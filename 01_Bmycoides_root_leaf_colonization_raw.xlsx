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arta\Documents\TESIS MARTA (propio)\3. BM-PLANT\Experimentos\Colonization\EXP 020925\"/>
    </mc:Choice>
  </mc:AlternateContent>
  <xr:revisionPtr revIDLastSave="0" documentId="13_ncr:1_{2FA0778C-A564-4E96-AA0B-72684D3134C7}" xr6:coauthVersionLast="47" xr6:coauthVersionMax="47" xr10:uidLastSave="{00000000-0000-0000-0000-000000000000}"/>
  <bookViews>
    <workbookView xWindow="43080" yWindow="-120" windowWidth="29040" windowHeight="15720" activeTab="1" xr2:uid="{00000000-000D-0000-FFFF-FFFF00000000}"/>
  </bookViews>
  <sheets>
    <sheet name="raw data" sheetId="1" r:id="rId1"/>
    <sheet name="UFCg" sheetId="2" r:id="rId2"/>
    <sheet name="Heatmap (log)+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3" l="1"/>
  <c r="AC5" i="2"/>
  <c r="AQ5" i="2"/>
  <c r="AR5" i="2"/>
  <c r="AS5" i="2"/>
  <c r="AQ6" i="2"/>
  <c r="AR6" i="2"/>
  <c r="AS6" i="2"/>
  <c r="AQ7" i="2"/>
  <c r="AR7" i="2"/>
  <c r="AS7" i="2"/>
  <c r="AQ8" i="2"/>
  <c r="AR8" i="2"/>
  <c r="AS8" i="2"/>
  <c r="AQ9" i="2"/>
  <c r="AR9" i="2"/>
  <c r="AS9" i="2"/>
  <c r="AQ10" i="2"/>
  <c r="AR10" i="2"/>
  <c r="AS10" i="2"/>
  <c r="AQ11" i="2"/>
  <c r="AR11" i="2"/>
  <c r="AS11" i="2"/>
  <c r="AQ12" i="2"/>
  <c r="AR12" i="2"/>
  <c r="AS12" i="2"/>
  <c r="AQ13" i="2"/>
  <c r="AR13" i="2"/>
  <c r="AS13" i="2"/>
  <c r="AQ14" i="2"/>
  <c r="AR14" i="2"/>
  <c r="AS14" i="2"/>
  <c r="AP14" i="2"/>
  <c r="AP6" i="2"/>
  <c r="AP7" i="2"/>
  <c r="AP8" i="2"/>
  <c r="AP9" i="2"/>
  <c r="AP10" i="2"/>
  <c r="AP11" i="2"/>
  <c r="AP12" i="2"/>
  <c r="AP13" i="2"/>
  <c r="AP5" i="2"/>
  <c r="AD5" i="2"/>
  <c r="AE5" i="2"/>
  <c r="AF5" i="2"/>
  <c r="AD6" i="2"/>
  <c r="AE6" i="2"/>
  <c r="AF6" i="2"/>
  <c r="AD7" i="2"/>
  <c r="AE7" i="2"/>
  <c r="AF7" i="2"/>
  <c r="AD8" i="2"/>
  <c r="AE8" i="2"/>
  <c r="AF8" i="2"/>
  <c r="AD9" i="2"/>
  <c r="AE9" i="2"/>
  <c r="AF9" i="2"/>
  <c r="AD10" i="2"/>
  <c r="AE10" i="2"/>
  <c r="AF10" i="2"/>
  <c r="AD11" i="2"/>
  <c r="AE11" i="2"/>
  <c r="AF11" i="2"/>
  <c r="AD12" i="2"/>
  <c r="AE12" i="2"/>
  <c r="AF12" i="2"/>
  <c r="AD13" i="2"/>
  <c r="AE13" i="2"/>
  <c r="AF13" i="2"/>
  <c r="AD14" i="2"/>
  <c r="AE14" i="2"/>
  <c r="AF14" i="2"/>
  <c r="AC6" i="2"/>
  <c r="AC7" i="2"/>
  <c r="AC8" i="2"/>
  <c r="AC9" i="2"/>
  <c r="AC10" i="2"/>
  <c r="AC11" i="2"/>
  <c r="AC12" i="2"/>
  <c r="AC13" i="2"/>
  <c r="AC14" i="2"/>
  <c r="AW5" i="2"/>
  <c r="BC5" i="2" s="1"/>
  <c r="AX5" i="2"/>
  <c r="AY5" i="2"/>
  <c r="AW6" i="2"/>
  <c r="BC6" i="2" s="1"/>
  <c r="AX6" i="2"/>
  <c r="BD6" i="2" s="1"/>
  <c r="AY6" i="2"/>
  <c r="AW7" i="2"/>
  <c r="BC7" i="2" s="1"/>
  <c r="AX7" i="2"/>
  <c r="BD7" i="2" s="1"/>
  <c r="AY7" i="2"/>
  <c r="AW8" i="2"/>
  <c r="BC8" i="2" s="1"/>
  <c r="AX8" i="2"/>
  <c r="BD8" i="2" s="1"/>
  <c r="AY8" i="2"/>
  <c r="AW9" i="2"/>
  <c r="BC9" i="2" s="1"/>
  <c r="AX9" i="2"/>
  <c r="BD9" i="2" s="1"/>
  <c r="AY9" i="2"/>
  <c r="BE9" i="2" s="1"/>
  <c r="AW10" i="2"/>
  <c r="BC10" i="2" s="1"/>
  <c r="AX10" i="2"/>
  <c r="BD10" i="2" s="1"/>
  <c r="AY10" i="2"/>
  <c r="BE10" i="2" s="1"/>
  <c r="AW11" i="2"/>
  <c r="BC11" i="2" s="1"/>
  <c r="AX11" i="2"/>
  <c r="BD11" i="2" s="1"/>
  <c r="AY11" i="2"/>
  <c r="AW12" i="2"/>
  <c r="BC12" i="2" s="1"/>
  <c r="AX12" i="2"/>
  <c r="BD12" i="2" s="1"/>
  <c r="AY12" i="2"/>
  <c r="BE12" i="2" s="1"/>
  <c r="AW13" i="2"/>
  <c r="AX13" i="2"/>
  <c r="BD13" i="2" s="1"/>
  <c r="AY13" i="2"/>
  <c r="BE13" i="2" s="1"/>
  <c r="AW14" i="2"/>
  <c r="BC14" i="2" s="1"/>
  <c r="AX14" i="2"/>
  <c r="AY14" i="2"/>
  <c r="AZ5" i="2"/>
  <c r="AZ6" i="2"/>
  <c r="AZ7" i="2"/>
  <c r="AZ8" i="2"/>
  <c r="AZ9" i="2"/>
  <c r="AZ10" i="2"/>
  <c r="BF10" i="2" s="1"/>
  <c r="BE11" i="2"/>
  <c r="AZ11" i="2"/>
  <c r="BF11" i="2" s="1"/>
  <c r="AZ12" i="2"/>
  <c r="BF12" i="2" s="1"/>
  <c r="AZ13" i="2"/>
  <c r="BF13" i="2" s="1"/>
  <c r="AZ14" i="2"/>
  <c r="BC13" i="2"/>
  <c r="R39" i="2"/>
  <c r="Q39" i="2"/>
  <c r="P39" i="2"/>
  <c r="O39" i="2"/>
  <c r="R38" i="2"/>
  <c r="Q38" i="2"/>
  <c r="P38" i="2"/>
  <c r="O38" i="2"/>
  <c r="L39" i="2"/>
  <c r="K39" i="2"/>
  <c r="J39" i="2"/>
  <c r="I39" i="2"/>
  <c r="L38" i="2"/>
  <c r="K38" i="2"/>
  <c r="J38" i="2"/>
  <c r="I38" i="2"/>
  <c r="F39" i="2"/>
  <c r="E39" i="2"/>
  <c r="D39" i="2"/>
  <c r="C39" i="2"/>
  <c r="F38" i="2"/>
  <c r="E38" i="2"/>
  <c r="D38" i="2"/>
  <c r="C38" i="2"/>
  <c r="Q26" i="2"/>
  <c r="P26" i="2"/>
  <c r="O26" i="2"/>
  <c r="N26" i="2"/>
  <c r="Q25" i="2"/>
  <c r="P25" i="2"/>
  <c r="O25" i="2"/>
  <c r="N25" i="2"/>
  <c r="K25" i="2"/>
  <c r="K26" i="2"/>
  <c r="J26" i="2"/>
  <c r="I26" i="2"/>
  <c r="H26" i="2"/>
  <c r="J25" i="2"/>
  <c r="I25" i="2"/>
  <c r="H25" i="2"/>
  <c r="E26" i="2"/>
  <c r="D26" i="2"/>
  <c r="C26" i="2"/>
  <c r="E25" i="2"/>
  <c r="D25" i="2"/>
  <c r="C25" i="2"/>
  <c r="S14" i="2"/>
  <c r="R14" i="2"/>
  <c r="Q14" i="2"/>
  <c r="S13" i="2"/>
  <c r="R13" i="2"/>
  <c r="Q13" i="2"/>
  <c r="N14" i="2"/>
  <c r="N13" i="2"/>
  <c r="M14" i="2"/>
  <c r="L14" i="2"/>
  <c r="M13" i="2"/>
  <c r="L13" i="2"/>
  <c r="H13" i="2"/>
  <c r="H14" i="2"/>
  <c r="G14" i="2"/>
  <c r="G13" i="2"/>
  <c r="C14" i="2"/>
  <c r="C13" i="2"/>
  <c r="R37" i="2"/>
  <c r="Q37" i="2"/>
  <c r="P37" i="2"/>
  <c r="O37" i="2"/>
  <c r="R36" i="2"/>
  <c r="Q36" i="2"/>
  <c r="P36" i="2"/>
  <c r="O36" i="2"/>
  <c r="L37" i="2"/>
  <c r="K37" i="2"/>
  <c r="J37" i="2"/>
  <c r="I37" i="2"/>
  <c r="L36" i="2"/>
  <c r="K36" i="2"/>
  <c r="J36" i="2"/>
  <c r="I36" i="2"/>
  <c r="F37" i="2"/>
  <c r="E37" i="2"/>
  <c r="D37" i="2"/>
  <c r="C37" i="2"/>
  <c r="F36" i="2"/>
  <c r="E36" i="2"/>
  <c r="D36" i="2"/>
  <c r="C36" i="2"/>
  <c r="Q24" i="2"/>
  <c r="P24" i="2"/>
  <c r="O24" i="2"/>
  <c r="N24" i="2"/>
  <c r="Q23" i="2"/>
  <c r="P23" i="2"/>
  <c r="O23" i="2"/>
  <c r="N23" i="2"/>
  <c r="K23" i="2"/>
  <c r="K24" i="2"/>
  <c r="J24" i="2"/>
  <c r="I24" i="2"/>
  <c r="H24" i="2"/>
  <c r="J23" i="2"/>
  <c r="I23" i="2"/>
  <c r="H23" i="2"/>
  <c r="E24" i="2"/>
  <c r="D24" i="2"/>
  <c r="C24" i="2"/>
  <c r="E23" i="2"/>
  <c r="D23" i="2"/>
  <c r="C23" i="2"/>
  <c r="S12" i="2"/>
  <c r="R12" i="2"/>
  <c r="Q12" i="2"/>
  <c r="S11" i="2"/>
  <c r="R11" i="2"/>
  <c r="Q11" i="2"/>
  <c r="N12" i="2"/>
  <c r="N11" i="2"/>
  <c r="M12" i="2"/>
  <c r="L12" i="2"/>
  <c r="M11" i="2"/>
  <c r="L11" i="2"/>
  <c r="H11" i="2"/>
  <c r="H12" i="2"/>
  <c r="G12" i="2"/>
  <c r="G11" i="2"/>
  <c r="C12" i="2"/>
  <c r="C11" i="2"/>
  <c r="BG21" i="1" l="1"/>
  <c r="AW21" i="1"/>
  <c r="CU33" i="1"/>
  <c r="CU29" i="1"/>
  <c r="CU25" i="1"/>
  <c r="CU21" i="1"/>
  <c r="CU17" i="1"/>
  <c r="CK36" i="1"/>
  <c r="CK33" i="1"/>
  <c r="CK29" i="1"/>
  <c r="CK25" i="1"/>
  <c r="CK24" i="1"/>
  <c r="CK21" i="1"/>
  <c r="CK17" i="1"/>
  <c r="CK13" i="1"/>
  <c r="CA36" i="1"/>
  <c r="CA33" i="1"/>
  <c r="CA32" i="1"/>
  <c r="CA31" i="1"/>
  <c r="CA29" i="1"/>
  <c r="CA28" i="1"/>
  <c r="CA27" i="1"/>
  <c r="CA26" i="1"/>
  <c r="CA25" i="1"/>
  <c r="CA24" i="1"/>
  <c r="CA22" i="1"/>
  <c r="CA21" i="1"/>
  <c r="CA20" i="1"/>
  <c r="CA19" i="1"/>
  <c r="CA18" i="1"/>
  <c r="CA17" i="1"/>
  <c r="CA16" i="1"/>
  <c r="CA15" i="1"/>
  <c r="CA14" i="1"/>
  <c r="CA13" i="1"/>
  <c r="BQ36" i="1"/>
  <c r="BQ33" i="1"/>
  <c r="BQ32" i="1"/>
  <c r="BQ30" i="1"/>
  <c r="BQ29" i="1"/>
  <c r="BQ28" i="1"/>
  <c r="BQ27" i="1"/>
  <c r="BQ26" i="1"/>
  <c r="BQ25" i="1"/>
  <c r="BQ24" i="1"/>
  <c r="BQ23" i="1"/>
  <c r="BQ22" i="1"/>
  <c r="BQ21" i="1"/>
  <c r="BQ20" i="1"/>
  <c r="BQ18" i="1"/>
  <c r="BQ17" i="1"/>
  <c r="BQ15" i="1"/>
  <c r="BQ16" i="1"/>
  <c r="BQ14" i="1"/>
  <c r="BQ13" i="1"/>
  <c r="BG36" i="1"/>
  <c r="BG34" i="1"/>
  <c r="BG33" i="1"/>
  <c r="BG32" i="1"/>
  <c r="BG31" i="1"/>
  <c r="BG30" i="1"/>
  <c r="BG29" i="1"/>
  <c r="BG28" i="1"/>
  <c r="BG27" i="1"/>
  <c r="BG26" i="1"/>
  <c r="BG25" i="1"/>
  <c r="BG22" i="1"/>
  <c r="BG20" i="1"/>
  <c r="BG19" i="1"/>
  <c r="BG18" i="1"/>
  <c r="BG17" i="1"/>
  <c r="BG16" i="1"/>
  <c r="BG15" i="1"/>
  <c r="BG14" i="1"/>
  <c r="BG13" i="1"/>
  <c r="CU36" i="1"/>
  <c r="CU35" i="1"/>
  <c r="CU34" i="1"/>
  <c r="CU32" i="1"/>
  <c r="CU31" i="1"/>
  <c r="CU30" i="1"/>
  <c r="CU28" i="1"/>
  <c r="CU27" i="1"/>
  <c r="CU26" i="1"/>
  <c r="CU24" i="1"/>
  <c r="CU23" i="1"/>
  <c r="CU22" i="1"/>
  <c r="CU20" i="1"/>
  <c r="CU19" i="1"/>
  <c r="CU18" i="1"/>
  <c r="CU16" i="1"/>
  <c r="CU15" i="1"/>
  <c r="CU14" i="1"/>
  <c r="CU13" i="1"/>
  <c r="CK35" i="1"/>
  <c r="CK34" i="1"/>
  <c r="CK32" i="1"/>
  <c r="CK31" i="1"/>
  <c r="CK30" i="1"/>
  <c r="CK28" i="1"/>
  <c r="CK27" i="1"/>
  <c r="CK26" i="1"/>
  <c r="CK23" i="1"/>
  <c r="CK22" i="1"/>
  <c r="CK20" i="1"/>
  <c r="CK19" i="1"/>
  <c r="CK18" i="1"/>
  <c r="CK16" i="1"/>
  <c r="CK15" i="1"/>
  <c r="CK14" i="1"/>
  <c r="CA35" i="1"/>
  <c r="CA34" i="1"/>
  <c r="CA30" i="1"/>
  <c r="CA23" i="1"/>
  <c r="BQ35" i="1"/>
  <c r="BQ34" i="1"/>
  <c r="BQ31" i="1"/>
  <c r="BQ19" i="1"/>
  <c r="BG24" i="1"/>
  <c r="BG35" i="1"/>
  <c r="BG23" i="1"/>
  <c r="AW33" i="1"/>
  <c r="AW29" i="1"/>
  <c r="AW27" i="1"/>
  <c r="AW25" i="1"/>
  <c r="AW19" i="1"/>
  <c r="AW18" i="1"/>
  <c r="AW17" i="1"/>
  <c r="AW13" i="1"/>
  <c r="AW35" i="1"/>
  <c r="AW34" i="1"/>
  <c r="AW31" i="1"/>
  <c r="AW30" i="1"/>
  <c r="AW26" i="1"/>
  <c r="AW22" i="1"/>
  <c r="AW23" i="1"/>
  <c r="AW15" i="1"/>
  <c r="AW14" i="1"/>
  <c r="AL30" i="1"/>
  <c r="AL29" i="1"/>
  <c r="AL28" i="1"/>
  <c r="AL27" i="1"/>
  <c r="AL26" i="1"/>
  <c r="AL25" i="1"/>
  <c r="AL24" i="1"/>
  <c r="AL23" i="1"/>
  <c r="AL22" i="1"/>
  <c r="AL19" i="1"/>
  <c r="AL18" i="1"/>
  <c r="AL21" i="1"/>
  <c r="AL20" i="1"/>
  <c r="AL17" i="1"/>
  <c r="AL16" i="1"/>
  <c r="AL15" i="1"/>
  <c r="AL14" i="1"/>
  <c r="AL13" i="1"/>
  <c r="AC30" i="1"/>
  <c r="AC29" i="1"/>
  <c r="AC28" i="1"/>
  <c r="AC27" i="1"/>
  <c r="AC26" i="1"/>
  <c r="AC25" i="1"/>
  <c r="AC23" i="1"/>
  <c r="AC24" i="1"/>
  <c r="AC22" i="1"/>
  <c r="AC20" i="1"/>
  <c r="AC19" i="1"/>
  <c r="AC21" i="1"/>
  <c r="AC18" i="1"/>
  <c r="AC17" i="1"/>
  <c r="AC16" i="1"/>
  <c r="AC15" i="1"/>
  <c r="AC14" i="1"/>
  <c r="AC13" i="1"/>
  <c r="S34" i="1"/>
  <c r="S33" i="1"/>
  <c r="S29" i="1"/>
  <c r="S30" i="1"/>
  <c r="S26" i="1"/>
  <c r="S25" i="1"/>
  <c r="S22" i="1"/>
  <c r="S21" i="1"/>
  <c r="S18" i="1"/>
  <c r="S17" i="1"/>
  <c r="S14" i="1"/>
  <c r="S13" i="1"/>
  <c r="I33" i="1"/>
  <c r="I29" i="1"/>
  <c r="I25" i="1"/>
  <c r="I21" i="1"/>
  <c r="I17" i="1"/>
  <c r="I13" i="1"/>
</calcChain>
</file>

<file path=xl/sharedStrings.xml><?xml version="1.0" encoding="utf-8"?>
<sst xmlns="http://schemas.openxmlformats.org/spreadsheetml/2006/main" count="586" uniqueCount="39">
  <si>
    <t>Planta</t>
  </si>
  <si>
    <t>Raiz</t>
  </si>
  <si>
    <t>Tallo 1</t>
  </si>
  <si>
    <t>Tallo 2</t>
  </si>
  <si>
    <t>g</t>
  </si>
  <si>
    <t>ml</t>
  </si>
  <si>
    <t>Tallo</t>
  </si>
  <si>
    <t>3ª hoja</t>
  </si>
  <si>
    <t>4ª hoja</t>
  </si>
  <si>
    <t>Presencia</t>
  </si>
  <si>
    <t>UFC/g</t>
  </si>
  <si>
    <t>Raíz</t>
  </si>
  <si>
    <t>-</t>
  </si>
  <si>
    <t>1d</t>
  </si>
  <si>
    <t>2d</t>
  </si>
  <si>
    <t>3d</t>
  </si>
  <si>
    <t>4d</t>
  </si>
  <si>
    <t>5d</t>
  </si>
  <si>
    <t>6d</t>
  </si>
  <si>
    <t>7d</t>
  </si>
  <si>
    <t>8d</t>
  </si>
  <si>
    <t>9d</t>
  </si>
  <si>
    <t>10d</t>
  </si>
  <si>
    <t>raiz</t>
  </si>
  <si>
    <t xml:space="preserve">tallo </t>
  </si>
  <si>
    <t xml:space="preserve">Tallo </t>
  </si>
  <si>
    <t xml:space="preserve"> </t>
  </si>
  <si>
    <t>Promedio</t>
  </si>
  <si>
    <t>Error</t>
  </si>
  <si>
    <t>RAIZ</t>
  </si>
  <si>
    <t>TALLO</t>
  </si>
  <si>
    <t>EXP1</t>
  </si>
  <si>
    <t>EXP 2</t>
  </si>
  <si>
    <t>TODO JUNTO</t>
  </si>
  <si>
    <t>Day</t>
  </si>
  <si>
    <t>Root</t>
  </si>
  <si>
    <t xml:space="preserve">Stem </t>
  </si>
  <si>
    <t>4th Leaf</t>
  </si>
  <si>
    <t>3rd Leaf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</si>
</sst>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.E+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64" fontId="1" fillId="0" borderId="11" xfId="0" applyNumberFormat="1" applyFont="1" applyBorder="1" applyAlignment="1">
      <alignment horizontal="center" vertical="center" wrapText="1"/>
    </xf>
    <xf numFmtId="11" fontId="0" fillId="0" borderId="0" xfId="0" applyNumberFormat="1" applyAlignment="1">
      <alignment horizontal="center"/>
    </xf>
    <xf numFmtId="11" fontId="1" fillId="0" borderId="0" xfId="0" applyNumberFormat="1" applyFont="1" applyAlignment="1">
      <alignment horizontal="center" vertical="center" wrapText="1"/>
    </xf>
    <xf numFmtId="11" fontId="1" fillId="0" borderId="2" xfId="0" applyNumberFormat="1" applyFont="1" applyBorder="1" applyAlignment="1">
      <alignment horizontal="center" vertical="center" wrapText="1"/>
    </xf>
    <xf numFmtId="11" fontId="1" fillId="0" borderId="11" xfId="0" applyNumberFormat="1" applyFont="1" applyBorder="1" applyAlignment="1">
      <alignment horizontal="center" vertical="center" wrapText="1"/>
    </xf>
    <xf numFmtId="11" fontId="0" fillId="0" borderId="0" xfId="0" applyNumberFormat="1"/>
    <xf numFmtId="11" fontId="1" fillId="0" borderId="8" xfId="0" applyNumberFormat="1" applyFont="1" applyBorder="1" applyAlignment="1">
      <alignment horizontal="center" vertical="center" wrapText="1"/>
    </xf>
    <xf numFmtId="11" fontId="1" fillId="0" borderId="7" xfId="0" applyNumberFormat="1" applyFont="1" applyBorder="1" applyAlignment="1">
      <alignment horizontal="center" vertical="center" wrapText="1"/>
    </xf>
    <xf numFmtId="11" fontId="1" fillId="0" borderId="13" xfId="0" applyNumberFormat="1" applyFont="1" applyBorder="1" applyAlignment="1">
      <alignment horizontal="center" vertical="center" wrapText="1"/>
    </xf>
    <xf numFmtId="11" fontId="1" fillId="0" borderId="14" xfId="0" applyNumberFormat="1" applyFont="1" applyBorder="1" applyAlignment="1">
      <alignment horizontal="center" vertical="center" wrapText="1"/>
    </xf>
    <xf numFmtId="11" fontId="1" fillId="0" borderId="5" xfId="0" applyNumberFormat="1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11" fontId="1" fillId="2" borderId="11" xfId="0" applyNumberFormat="1" applyFont="1" applyFill="1" applyBorder="1" applyAlignment="1">
      <alignment horizontal="center" vertical="center" wrapText="1"/>
    </xf>
    <xf numFmtId="11" fontId="0" fillId="2" borderId="0" xfId="0" applyNumberFormat="1" applyFill="1" applyAlignment="1">
      <alignment horizontal="center"/>
    </xf>
    <xf numFmtId="11" fontId="1" fillId="2" borderId="7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1" fontId="1" fillId="2" borderId="14" xfId="0" applyNumberFormat="1" applyFont="1" applyFill="1" applyBorder="1" applyAlignment="1">
      <alignment horizontal="center" vertical="center" wrapText="1"/>
    </xf>
    <xf numFmtId="11" fontId="1" fillId="2" borderId="13" xfId="0" applyNumberFormat="1" applyFont="1" applyFill="1" applyBorder="1" applyAlignment="1">
      <alignment horizontal="center" vertical="center" wrapText="1"/>
    </xf>
    <xf numFmtId="11" fontId="1" fillId="2" borderId="0" xfId="0" applyNumberFormat="1" applyFont="1" applyFill="1" applyAlignment="1">
      <alignment horizontal="center" vertical="center" wrapText="1"/>
    </xf>
    <xf numFmtId="164" fontId="0" fillId="0" borderId="0" xfId="0" applyNumberFormat="1"/>
    <xf numFmtId="0" fontId="0" fillId="0" borderId="16" xfId="0" applyBorder="1"/>
    <xf numFmtId="0" fontId="1" fillId="0" borderId="1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1" fontId="1" fillId="0" borderId="0" xfId="0" applyNumberFormat="1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UFCg!$W$4</c:f>
              <c:strCache>
                <c:ptCount val="1"/>
                <c:pt idx="0">
                  <c:v>RAIZ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UFCg!$V$5:$V$14</c:f>
              <c:strCache>
                <c:ptCount val="10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  <c:pt idx="8">
                  <c:v>9d</c:v>
                </c:pt>
                <c:pt idx="9">
                  <c:v>10d</c:v>
                </c:pt>
              </c:strCache>
            </c:strRef>
          </c:cat>
          <c:val>
            <c:numRef>
              <c:f>UFCg!$W$5:$W$14</c:f>
              <c:numCache>
                <c:formatCode>0.00E+00</c:formatCode>
                <c:ptCount val="10"/>
                <c:pt idx="0">
                  <c:v>30450</c:v>
                </c:pt>
                <c:pt idx="1">
                  <c:v>960</c:v>
                </c:pt>
                <c:pt idx="2">
                  <c:v>27000</c:v>
                </c:pt>
                <c:pt idx="3">
                  <c:v>36000</c:v>
                </c:pt>
                <c:pt idx="4">
                  <c:v>14520</c:v>
                </c:pt>
                <c:pt idx="5">
                  <c:v>129300</c:v>
                </c:pt>
                <c:pt idx="6">
                  <c:v>399000</c:v>
                </c:pt>
                <c:pt idx="7">
                  <c:v>31440</c:v>
                </c:pt>
                <c:pt idx="8">
                  <c:v>6870</c:v>
                </c:pt>
                <c:pt idx="9">
                  <c:v>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2-4407-BDAC-7AFAD21DD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0498975"/>
        <c:axId val="940507615"/>
      </c:lineChart>
      <c:catAx>
        <c:axId val="940498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40507615"/>
        <c:crosses val="autoZero"/>
        <c:auto val="1"/>
        <c:lblAlgn val="ctr"/>
        <c:lblOffset val="100"/>
        <c:noMultiLvlLbl val="0"/>
      </c:catAx>
      <c:valAx>
        <c:axId val="94050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40498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UFCg!$X$4</c:f>
              <c:strCache>
                <c:ptCount val="1"/>
                <c:pt idx="0">
                  <c:v>TALLO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UFCg!$V$5:$V$14</c:f>
              <c:strCache>
                <c:ptCount val="10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  <c:pt idx="8">
                  <c:v>9d</c:v>
                </c:pt>
                <c:pt idx="9">
                  <c:v>10d</c:v>
                </c:pt>
              </c:strCache>
            </c:strRef>
          </c:cat>
          <c:val>
            <c:numRef>
              <c:f>UFCg!$X$5:$X$14</c:f>
              <c:numCache>
                <c:formatCode>0.00E+00</c:formatCode>
                <c:ptCount val="10"/>
                <c:pt idx="0">
                  <c:v>0</c:v>
                </c:pt>
                <c:pt idx="1">
                  <c:v>3089.9999999999995</c:v>
                </c:pt>
                <c:pt idx="2">
                  <c:v>4080</c:v>
                </c:pt>
                <c:pt idx="3">
                  <c:v>2520</c:v>
                </c:pt>
                <c:pt idx="4">
                  <c:v>30</c:v>
                </c:pt>
                <c:pt idx="5">
                  <c:v>240</c:v>
                </c:pt>
                <c:pt idx="6">
                  <c:v>2010</c:v>
                </c:pt>
                <c:pt idx="7">
                  <c:v>330.00000000000006</c:v>
                </c:pt>
                <c:pt idx="8">
                  <c:v>30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65-4B58-BF2B-D75441B5E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0519135"/>
        <c:axId val="940520095"/>
      </c:lineChart>
      <c:catAx>
        <c:axId val="940519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40520095"/>
        <c:crosses val="autoZero"/>
        <c:auto val="1"/>
        <c:lblAlgn val="ctr"/>
        <c:lblOffset val="100"/>
        <c:noMultiLvlLbl val="0"/>
      </c:catAx>
      <c:valAx>
        <c:axId val="94052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4051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2720603674540681"/>
          <c:y val="0.16737388248337193"/>
          <c:w val="0.83390507436570427"/>
          <c:h val="0.72040228772752934"/>
        </c:manualLayout>
      </c:layout>
      <c:lineChart>
        <c:grouping val="standard"/>
        <c:varyColors val="0"/>
        <c:ser>
          <c:idx val="0"/>
          <c:order val="0"/>
          <c:tx>
            <c:strRef>
              <c:f>UFCg!$Y$4</c:f>
              <c:strCache>
                <c:ptCount val="1"/>
                <c:pt idx="0">
                  <c:v>3ª hoja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UFCg!$V$5:$V$14</c:f>
              <c:strCache>
                <c:ptCount val="10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  <c:pt idx="8">
                  <c:v>9d</c:v>
                </c:pt>
                <c:pt idx="9">
                  <c:v>10d</c:v>
                </c:pt>
              </c:strCache>
            </c:strRef>
          </c:cat>
          <c:val>
            <c:numRef>
              <c:f>UFCg!$Y$5:$Y$14</c:f>
              <c:numCache>
                <c:formatCode>0.00E+00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112.5</c:v>
                </c:pt>
                <c:pt idx="5">
                  <c:v>210</c:v>
                </c:pt>
                <c:pt idx="6">
                  <c:v>210</c:v>
                </c:pt>
                <c:pt idx="7">
                  <c:v>90</c:v>
                </c:pt>
                <c:pt idx="8">
                  <c:v>60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29-4450-8DEE-9D42C9B22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0515775"/>
        <c:axId val="940513855"/>
      </c:lineChart>
      <c:catAx>
        <c:axId val="94051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40513855"/>
        <c:crosses val="autoZero"/>
        <c:auto val="1"/>
        <c:lblAlgn val="ctr"/>
        <c:lblOffset val="100"/>
        <c:noMultiLvlLbl val="0"/>
      </c:catAx>
      <c:valAx>
        <c:axId val="94051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40515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UFCg!$Z$4</c:f>
              <c:strCache>
                <c:ptCount val="1"/>
                <c:pt idx="0">
                  <c:v>4ª hoja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UFCg!$V$5:$V$14</c:f>
              <c:strCache>
                <c:ptCount val="10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  <c:pt idx="8">
                  <c:v>9d</c:v>
                </c:pt>
                <c:pt idx="9">
                  <c:v>10d</c:v>
                </c:pt>
              </c:strCache>
            </c:strRef>
          </c:cat>
          <c:val>
            <c:numRef>
              <c:f>UFCg!$Z$5:$Z$14</c:f>
              <c:numCache>
                <c:formatCode>0.00E+00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240</c:v>
                </c:pt>
                <c:pt idx="6">
                  <c:v>1620</c:v>
                </c:pt>
                <c:pt idx="7">
                  <c:v>360</c:v>
                </c:pt>
                <c:pt idx="8">
                  <c:v>90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B0-4972-8862-8AF3AFF41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0510975"/>
        <c:axId val="940512415"/>
      </c:lineChart>
      <c:catAx>
        <c:axId val="94051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40512415"/>
        <c:crosses val="autoZero"/>
        <c:auto val="1"/>
        <c:lblAlgn val="ctr"/>
        <c:lblOffset val="100"/>
        <c:noMultiLvlLbl val="0"/>
      </c:catAx>
      <c:valAx>
        <c:axId val="94051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40510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UFCg!$AI$4</c:f>
              <c:strCache>
                <c:ptCount val="1"/>
                <c:pt idx="0">
                  <c:v>RAIZ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UFCg!$AH$5:$AH$14</c:f>
              <c:strCache>
                <c:ptCount val="10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  <c:pt idx="8">
                  <c:v>9d</c:v>
                </c:pt>
                <c:pt idx="9">
                  <c:v>10d</c:v>
                </c:pt>
              </c:strCache>
            </c:strRef>
          </c:cat>
          <c:val>
            <c:numRef>
              <c:f>UFCg!$AI$5:$AI$14</c:f>
              <c:numCache>
                <c:formatCode>0.00E+00</c:formatCode>
                <c:ptCount val="10"/>
                <c:pt idx="0">
                  <c:v>13860</c:v>
                </c:pt>
                <c:pt idx="1">
                  <c:v>930</c:v>
                </c:pt>
                <c:pt idx="2">
                  <c:v>25500</c:v>
                </c:pt>
                <c:pt idx="3">
                  <c:v>14850</c:v>
                </c:pt>
                <c:pt idx="4">
                  <c:v>3450</c:v>
                </c:pt>
                <c:pt idx="5">
                  <c:v>660000</c:v>
                </c:pt>
                <c:pt idx="6">
                  <c:v>6930</c:v>
                </c:pt>
                <c:pt idx="7">
                  <c:v>195000</c:v>
                </c:pt>
                <c:pt idx="8">
                  <c:v>1440</c:v>
                </c:pt>
                <c:pt idx="9">
                  <c:v>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BD-4FC7-B46A-988C6B739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2403423"/>
        <c:axId val="602416383"/>
      </c:lineChart>
      <c:catAx>
        <c:axId val="602403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02416383"/>
        <c:crosses val="autoZero"/>
        <c:auto val="1"/>
        <c:lblAlgn val="ctr"/>
        <c:lblOffset val="100"/>
        <c:noMultiLvlLbl val="0"/>
      </c:catAx>
      <c:valAx>
        <c:axId val="60241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02403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UFCg!$AJ$4</c:f>
              <c:strCache>
                <c:ptCount val="1"/>
                <c:pt idx="0">
                  <c:v>TALLO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UFCg!$AH$5:$AH$14</c:f>
              <c:strCache>
                <c:ptCount val="10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  <c:pt idx="8">
                  <c:v>9d</c:v>
                </c:pt>
                <c:pt idx="9">
                  <c:v>10d</c:v>
                </c:pt>
              </c:strCache>
            </c:strRef>
          </c:cat>
          <c:val>
            <c:numRef>
              <c:f>UFCg!$AJ$5:$AJ$14</c:f>
              <c:numCache>
                <c:formatCode>0.00E+00</c:formatCode>
                <c:ptCount val="10"/>
                <c:pt idx="0">
                  <c:v>0</c:v>
                </c:pt>
                <c:pt idx="1">
                  <c:v>5730</c:v>
                </c:pt>
                <c:pt idx="2">
                  <c:v>36600</c:v>
                </c:pt>
                <c:pt idx="3">
                  <c:v>1260</c:v>
                </c:pt>
                <c:pt idx="4">
                  <c:v>0</c:v>
                </c:pt>
                <c:pt idx="5">
                  <c:v>1349.9999999999998</c:v>
                </c:pt>
                <c:pt idx="6">
                  <c:v>390</c:v>
                </c:pt>
                <c:pt idx="7">
                  <c:v>210</c:v>
                </c:pt>
                <c:pt idx="8">
                  <c:v>90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83-490D-87D2-5A15D3A73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2455263"/>
        <c:axId val="602438943"/>
      </c:lineChart>
      <c:catAx>
        <c:axId val="60245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02438943"/>
        <c:crosses val="autoZero"/>
        <c:auto val="1"/>
        <c:lblAlgn val="ctr"/>
        <c:lblOffset val="100"/>
        <c:noMultiLvlLbl val="0"/>
      </c:catAx>
      <c:valAx>
        <c:axId val="60243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02455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UFCg!$AK$4</c:f>
              <c:strCache>
                <c:ptCount val="1"/>
                <c:pt idx="0">
                  <c:v>3ª hoja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UFCg!$AH$5:$AH$14</c:f>
              <c:strCache>
                <c:ptCount val="10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  <c:pt idx="8">
                  <c:v>9d</c:v>
                </c:pt>
                <c:pt idx="9">
                  <c:v>10d</c:v>
                </c:pt>
              </c:strCache>
            </c:strRef>
          </c:cat>
          <c:val>
            <c:numRef>
              <c:f>UFCg!$AK$5:$AK$14</c:f>
              <c:numCache>
                <c:formatCode>0.00E+00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150</c:v>
                </c:pt>
                <c:pt idx="5">
                  <c:v>930</c:v>
                </c:pt>
                <c:pt idx="6">
                  <c:v>300</c:v>
                </c:pt>
                <c:pt idx="7">
                  <c:v>3090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5A-44AF-B94E-423C8B027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2417823"/>
        <c:axId val="602418303"/>
      </c:lineChart>
      <c:catAx>
        <c:axId val="60241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02418303"/>
        <c:crosses val="autoZero"/>
        <c:auto val="1"/>
        <c:lblAlgn val="ctr"/>
        <c:lblOffset val="100"/>
        <c:noMultiLvlLbl val="0"/>
      </c:catAx>
      <c:valAx>
        <c:axId val="60241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02417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UFCg!$AL$4</c:f>
              <c:strCache>
                <c:ptCount val="1"/>
                <c:pt idx="0">
                  <c:v>4ª hoja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UFCg!$AH$5:$AH$14</c:f>
              <c:strCache>
                <c:ptCount val="10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  <c:pt idx="8">
                  <c:v>9d</c:v>
                </c:pt>
                <c:pt idx="9">
                  <c:v>10d</c:v>
                </c:pt>
              </c:strCache>
            </c:strRef>
          </c:cat>
          <c:val>
            <c:numRef>
              <c:f>UFCg!$AL$5:$AL$14</c:f>
              <c:numCache>
                <c:formatCode>0.00E+00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1890</c:v>
                </c:pt>
                <c:pt idx="6">
                  <c:v>1230</c:v>
                </c:pt>
                <c:pt idx="7">
                  <c:v>330</c:v>
                </c:pt>
                <c:pt idx="8">
                  <c:v>180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72-4E85-9E04-EB560B839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0490335"/>
        <c:axId val="94049225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UFCg!$AI$4</c15:sqref>
                        </c15:formulaRef>
                      </c:ext>
                    </c:extLst>
                    <c:strCache>
                      <c:ptCount val="1"/>
                      <c:pt idx="0">
                        <c:v>RAIZ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UFCg!$AH$5:$AH$14</c15:sqref>
                        </c15:formulaRef>
                      </c:ext>
                    </c:extLst>
                    <c:strCache>
                      <c:ptCount val="10"/>
                      <c:pt idx="0">
                        <c:v>1d</c:v>
                      </c:pt>
                      <c:pt idx="1">
                        <c:v>2d</c:v>
                      </c:pt>
                      <c:pt idx="2">
                        <c:v>3d</c:v>
                      </c:pt>
                      <c:pt idx="3">
                        <c:v>4d</c:v>
                      </c:pt>
                      <c:pt idx="4">
                        <c:v>5d</c:v>
                      </c:pt>
                      <c:pt idx="5">
                        <c:v>6d</c:v>
                      </c:pt>
                      <c:pt idx="6">
                        <c:v>7d</c:v>
                      </c:pt>
                      <c:pt idx="7">
                        <c:v>8d</c:v>
                      </c:pt>
                      <c:pt idx="8">
                        <c:v>9d</c:v>
                      </c:pt>
                      <c:pt idx="9">
                        <c:v>10d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UFCg!$AI$5:$AI$14</c15:sqref>
                        </c15:formulaRef>
                      </c:ext>
                    </c:extLst>
                    <c:numCache>
                      <c:formatCode>0.00E+00</c:formatCode>
                      <c:ptCount val="10"/>
                      <c:pt idx="0">
                        <c:v>13860</c:v>
                      </c:pt>
                      <c:pt idx="1">
                        <c:v>930</c:v>
                      </c:pt>
                      <c:pt idx="2">
                        <c:v>25500</c:v>
                      </c:pt>
                      <c:pt idx="3">
                        <c:v>14850</c:v>
                      </c:pt>
                      <c:pt idx="4">
                        <c:v>3450</c:v>
                      </c:pt>
                      <c:pt idx="5">
                        <c:v>660000</c:v>
                      </c:pt>
                      <c:pt idx="6">
                        <c:v>6930</c:v>
                      </c:pt>
                      <c:pt idx="7">
                        <c:v>195000</c:v>
                      </c:pt>
                      <c:pt idx="8">
                        <c:v>1440</c:v>
                      </c:pt>
                      <c:pt idx="9">
                        <c:v>690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B72-4E85-9E04-EB560B8393B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UFCg!$AJ$4</c15:sqref>
                        </c15:formulaRef>
                      </c:ext>
                    </c:extLst>
                    <c:strCache>
                      <c:ptCount val="1"/>
                      <c:pt idx="0">
                        <c:v>TALLO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UFCg!$AH$5:$AH$14</c15:sqref>
                        </c15:formulaRef>
                      </c:ext>
                    </c:extLst>
                    <c:strCache>
                      <c:ptCount val="10"/>
                      <c:pt idx="0">
                        <c:v>1d</c:v>
                      </c:pt>
                      <c:pt idx="1">
                        <c:v>2d</c:v>
                      </c:pt>
                      <c:pt idx="2">
                        <c:v>3d</c:v>
                      </c:pt>
                      <c:pt idx="3">
                        <c:v>4d</c:v>
                      </c:pt>
                      <c:pt idx="4">
                        <c:v>5d</c:v>
                      </c:pt>
                      <c:pt idx="5">
                        <c:v>6d</c:v>
                      </c:pt>
                      <c:pt idx="6">
                        <c:v>7d</c:v>
                      </c:pt>
                      <c:pt idx="7">
                        <c:v>8d</c:v>
                      </c:pt>
                      <c:pt idx="8">
                        <c:v>9d</c:v>
                      </c:pt>
                      <c:pt idx="9">
                        <c:v>10d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UFCg!$AJ$5:$AJ$14</c15:sqref>
                        </c15:formulaRef>
                      </c:ext>
                    </c:extLst>
                    <c:numCache>
                      <c:formatCode>0.00E+00</c:formatCode>
                      <c:ptCount val="10"/>
                      <c:pt idx="0">
                        <c:v>0</c:v>
                      </c:pt>
                      <c:pt idx="1">
                        <c:v>5730</c:v>
                      </c:pt>
                      <c:pt idx="2">
                        <c:v>36600</c:v>
                      </c:pt>
                      <c:pt idx="3">
                        <c:v>1260</c:v>
                      </c:pt>
                      <c:pt idx="4">
                        <c:v>0</c:v>
                      </c:pt>
                      <c:pt idx="5">
                        <c:v>1349.9999999999998</c:v>
                      </c:pt>
                      <c:pt idx="6">
                        <c:v>390</c:v>
                      </c:pt>
                      <c:pt idx="7">
                        <c:v>210</c:v>
                      </c:pt>
                      <c:pt idx="8">
                        <c:v>90</c:v>
                      </c:pt>
                      <c:pt idx="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B72-4E85-9E04-EB560B8393B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UFCg!$AK$4</c15:sqref>
                        </c15:formulaRef>
                      </c:ext>
                    </c:extLst>
                    <c:strCache>
                      <c:ptCount val="1"/>
                      <c:pt idx="0">
                        <c:v>3ª hoja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UFCg!$AH$5:$AH$14</c15:sqref>
                        </c15:formulaRef>
                      </c:ext>
                    </c:extLst>
                    <c:strCache>
                      <c:ptCount val="10"/>
                      <c:pt idx="0">
                        <c:v>1d</c:v>
                      </c:pt>
                      <c:pt idx="1">
                        <c:v>2d</c:v>
                      </c:pt>
                      <c:pt idx="2">
                        <c:v>3d</c:v>
                      </c:pt>
                      <c:pt idx="3">
                        <c:v>4d</c:v>
                      </c:pt>
                      <c:pt idx="4">
                        <c:v>5d</c:v>
                      </c:pt>
                      <c:pt idx="5">
                        <c:v>6d</c:v>
                      </c:pt>
                      <c:pt idx="6">
                        <c:v>7d</c:v>
                      </c:pt>
                      <c:pt idx="7">
                        <c:v>8d</c:v>
                      </c:pt>
                      <c:pt idx="8">
                        <c:v>9d</c:v>
                      </c:pt>
                      <c:pt idx="9">
                        <c:v>10d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UFCg!$AK$5:$AK$14</c15:sqref>
                        </c15:formulaRef>
                      </c:ext>
                    </c:extLst>
                    <c:numCache>
                      <c:formatCode>0.00E+00</c:formatCode>
                      <c:ptCount val="1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150</c:v>
                      </c:pt>
                      <c:pt idx="5">
                        <c:v>930</c:v>
                      </c:pt>
                      <c:pt idx="6">
                        <c:v>300</c:v>
                      </c:pt>
                      <c:pt idx="7">
                        <c:v>3090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B72-4E85-9E04-EB560B8393B2}"/>
                  </c:ext>
                </c:extLst>
              </c15:ser>
            </c15:filteredLineSeries>
          </c:ext>
        </c:extLst>
      </c:lineChart>
      <c:catAx>
        <c:axId val="940490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40492255"/>
        <c:crosses val="autoZero"/>
        <c:auto val="1"/>
        <c:lblAlgn val="ctr"/>
        <c:lblOffset val="100"/>
        <c:noMultiLvlLbl val="0"/>
      </c:catAx>
      <c:valAx>
        <c:axId val="94049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40490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UFCg!$AW$4</c:f>
              <c:strCache>
                <c:ptCount val="1"/>
                <c:pt idx="0">
                  <c:v>RAIZ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UFCg!$AV$5:$AV$14</c:f>
              <c:strCache>
                <c:ptCount val="10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  <c:pt idx="8">
                  <c:v>9d</c:v>
                </c:pt>
                <c:pt idx="9">
                  <c:v>10d</c:v>
                </c:pt>
              </c:strCache>
            </c:strRef>
          </c:cat>
          <c:val>
            <c:numRef>
              <c:f>UFCg!$AW$5:$AW$14</c:f>
              <c:numCache>
                <c:formatCode>0.00E+00</c:formatCode>
                <c:ptCount val="10"/>
                <c:pt idx="0">
                  <c:v>22155</c:v>
                </c:pt>
                <c:pt idx="1">
                  <c:v>945</c:v>
                </c:pt>
                <c:pt idx="2">
                  <c:v>26250</c:v>
                </c:pt>
                <c:pt idx="3">
                  <c:v>25425</c:v>
                </c:pt>
                <c:pt idx="4">
                  <c:v>8985</c:v>
                </c:pt>
                <c:pt idx="5">
                  <c:v>394650</c:v>
                </c:pt>
                <c:pt idx="6">
                  <c:v>202965</c:v>
                </c:pt>
                <c:pt idx="7">
                  <c:v>113220</c:v>
                </c:pt>
                <c:pt idx="8">
                  <c:v>4155</c:v>
                </c:pt>
                <c:pt idx="9">
                  <c:v>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D6-4290-A6AB-AA2A31984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1352671"/>
        <c:axId val="1031357951"/>
      </c:lineChart>
      <c:catAx>
        <c:axId val="1031352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31357951"/>
        <c:crosses val="autoZero"/>
        <c:auto val="1"/>
        <c:lblAlgn val="ctr"/>
        <c:lblOffset val="100"/>
        <c:noMultiLvlLbl val="0"/>
      </c:catAx>
      <c:valAx>
        <c:axId val="103135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31352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UFCg!$AX$4</c:f>
              <c:strCache>
                <c:ptCount val="1"/>
                <c:pt idx="0">
                  <c:v>TALLO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UFCg!$AV$5:$AV$14</c:f>
              <c:strCache>
                <c:ptCount val="10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  <c:pt idx="8">
                  <c:v>9d</c:v>
                </c:pt>
                <c:pt idx="9">
                  <c:v>10d</c:v>
                </c:pt>
              </c:strCache>
            </c:strRef>
          </c:cat>
          <c:val>
            <c:numRef>
              <c:f>UFCg!$AX$5:$AX$14</c:f>
              <c:numCache>
                <c:formatCode>0.00E+00</c:formatCode>
                <c:ptCount val="10"/>
                <c:pt idx="0">
                  <c:v>0</c:v>
                </c:pt>
                <c:pt idx="1">
                  <c:v>4410</c:v>
                </c:pt>
                <c:pt idx="2">
                  <c:v>20340</c:v>
                </c:pt>
                <c:pt idx="3">
                  <c:v>1890</c:v>
                </c:pt>
                <c:pt idx="4">
                  <c:v>15</c:v>
                </c:pt>
                <c:pt idx="5">
                  <c:v>794.99999999999989</c:v>
                </c:pt>
                <c:pt idx="6">
                  <c:v>1200</c:v>
                </c:pt>
                <c:pt idx="7">
                  <c:v>270</c:v>
                </c:pt>
                <c:pt idx="8">
                  <c:v>60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FD-4578-89A7-D8C6B6133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1380991"/>
        <c:axId val="1031382431"/>
      </c:lineChart>
      <c:catAx>
        <c:axId val="1031380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31382431"/>
        <c:crosses val="autoZero"/>
        <c:auto val="1"/>
        <c:lblAlgn val="ctr"/>
        <c:lblOffset val="100"/>
        <c:noMultiLvlLbl val="0"/>
      </c:catAx>
      <c:valAx>
        <c:axId val="103138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31380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UFCg!$AY$4</c:f>
              <c:strCache>
                <c:ptCount val="1"/>
                <c:pt idx="0">
                  <c:v>3ª hoja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UFCg!$AV$5:$AV$14</c:f>
              <c:strCache>
                <c:ptCount val="10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  <c:pt idx="8">
                  <c:v>9d</c:v>
                </c:pt>
                <c:pt idx="9">
                  <c:v>10d</c:v>
                </c:pt>
              </c:strCache>
            </c:strRef>
          </c:cat>
          <c:val>
            <c:numRef>
              <c:f>UFCg!$AY$5:$AY$14</c:f>
              <c:numCache>
                <c:formatCode>0.00E+00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131.25</c:v>
                </c:pt>
                <c:pt idx="5">
                  <c:v>570</c:v>
                </c:pt>
                <c:pt idx="6">
                  <c:v>255</c:v>
                </c:pt>
                <c:pt idx="7">
                  <c:v>1590</c:v>
                </c:pt>
                <c:pt idx="8">
                  <c:v>30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9F-4DBC-8F16-5EEE97358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1388191"/>
        <c:axId val="1031377151"/>
      </c:lineChart>
      <c:catAx>
        <c:axId val="103138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31377151"/>
        <c:crosses val="autoZero"/>
        <c:auto val="1"/>
        <c:lblAlgn val="ctr"/>
        <c:lblOffset val="100"/>
        <c:noMultiLvlLbl val="0"/>
      </c:catAx>
      <c:valAx>
        <c:axId val="103137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31388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UFCg!$AZ$4</c:f>
              <c:strCache>
                <c:ptCount val="1"/>
                <c:pt idx="0">
                  <c:v>4ª hoja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UFCg!$AV$5:$AV$14</c:f>
              <c:strCache>
                <c:ptCount val="10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  <c:pt idx="8">
                  <c:v>9d</c:v>
                </c:pt>
                <c:pt idx="9">
                  <c:v>10d</c:v>
                </c:pt>
              </c:strCache>
            </c:strRef>
          </c:cat>
          <c:val>
            <c:numRef>
              <c:f>UFCg!$AZ$5:$AZ$14</c:f>
              <c:numCache>
                <c:formatCode>0.00E+00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1065</c:v>
                </c:pt>
                <c:pt idx="6">
                  <c:v>1425</c:v>
                </c:pt>
                <c:pt idx="7">
                  <c:v>345</c:v>
                </c:pt>
                <c:pt idx="8">
                  <c:v>135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B0-496A-AD8F-6D9827E81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1344031"/>
        <c:axId val="1031355071"/>
      </c:lineChart>
      <c:catAx>
        <c:axId val="103134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31355071"/>
        <c:crosses val="autoZero"/>
        <c:auto val="1"/>
        <c:lblAlgn val="ctr"/>
        <c:lblOffset val="100"/>
        <c:noMultiLvlLbl val="0"/>
      </c:catAx>
      <c:valAx>
        <c:axId val="103135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31344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503633</xdr:colOff>
      <xdr:row>14</xdr:row>
      <xdr:rowOff>103583</xdr:rowOff>
    </xdr:from>
    <xdr:to>
      <xdr:col>25</xdr:col>
      <xdr:colOff>738187</xdr:colOff>
      <xdr:row>29</xdr:row>
      <xdr:rowOff>77388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BEE79C0-F287-7135-5B76-94EEC7E7D7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589359</xdr:colOff>
      <xdr:row>30</xdr:row>
      <xdr:rowOff>1188</xdr:rowOff>
    </xdr:from>
    <xdr:to>
      <xdr:col>26</xdr:col>
      <xdr:colOff>11906</xdr:colOff>
      <xdr:row>45</xdr:row>
      <xdr:rowOff>1189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408220C-895D-066C-3ECF-1AA6D9CAF8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675082</xdr:colOff>
      <xdr:row>46</xdr:row>
      <xdr:rowOff>1188</xdr:rowOff>
    </xdr:from>
    <xdr:to>
      <xdr:col>25</xdr:col>
      <xdr:colOff>738187</xdr:colOff>
      <xdr:row>61</xdr:row>
      <xdr:rowOff>65482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EB86D35-F152-F2CA-EFAA-CF7F7C5D7C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665557</xdr:colOff>
      <xdr:row>61</xdr:row>
      <xdr:rowOff>163114</xdr:rowOff>
    </xdr:from>
    <xdr:to>
      <xdr:col>25</xdr:col>
      <xdr:colOff>726281</xdr:colOff>
      <xdr:row>77</xdr:row>
      <xdr:rowOff>48814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8870782-E0A5-0D4E-E567-04C494140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10714</xdr:colOff>
      <xdr:row>14</xdr:row>
      <xdr:rowOff>67865</xdr:rowOff>
    </xdr:from>
    <xdr:to>
      <xdr:col>39</xdr:col>
      <xdr:colOff>10714</xdr:colOff>
      <xdr:row>29</xdr:row>
      <xdr:rowOff>32146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CA7F3D9-4CB5-4765-C5D8-B6A522A1EB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33</xdr:col>
      <xdr:colOff>53577</xdr:colOff>
      <xdr:row>30</xdr:row>
      <xdr:rowOff>55958</xdr:rowOff>
    </xdr:from>
    <xdr:to>
      <xdr:col>39</xdr:col>
      <xdr:colOff>53577</xdr:colOff>
      <xdr:row>45</xdr:row>
      <xdr:rowOff>55959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AEB6B0D-6705-E725-C008-745200EA73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33</xdr:col>
      <xdr:colOff>29765</xdr:colOff>
      <xdr:row>46</xdr:row>
      <xdr:rowOff>20239</xdr:rowOff>
    </xdr:from>
    <xdr:to>
      <xdr:col>39</xdr:col>
      <xdr:colOff>29765</xdr:colOff>
      <xdr:row>61</xdr:row>
      <xdr:rowOff>79771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C7C57DCC-E949-304D-373A-F58F295D8B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33</xdr:col>
      <xdr:colOff>94057</xdr:colOff>
      <xdr:row>61</xdr:row>
      <xdr:rowOff>132156</xdr:rowOff>
    </xdr:from>
    <xdr:to>
      <xdr:col>39</xdr:col>
      <xdr:colOff>142874</xdr:colOff>
      <xdr:row>77</xdr:row>
      <xdr:rowOff>83343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6F4E3270-C445-1E87-E73D-D0DE299CFA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677465</xdr:colOff>
      <xdr:row>14</xdr:row>
      <xdr:rowOff>125014</xdr:rowOff>
    </xdr:from>
    <xdr:to>
      <xdr:col>52</xdr:col>
      <xdr:colOff>677465</xdr:colOff>
      <xdr:row>29</xdr:row>
      <xdr:rowOff>119063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CEAE37B8-3EB8-BE26-D708-4742E97517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46</xdr:col>
      <xdr:colOff>725090</xdr:colOff>
      <xdr:row>46</xdr:row>
      <xdr:rowOff>53576</xdr:rowOff>
    </xdr:from>
    <xdr:to>
      <xdr:col>52</xdr:col>
      <xdr:colOff>725090</xdr:colOff>
      <xdr:row>61</xdr:row>
      <xdr:rowOff>113108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810AFDA6-0308-1280-1BFB-B223881D14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46</xdr:col>
      <xdr:colOff>706040</xdr:colOff>
      <xdr:row>30</xdr:row>
      <xdr:rowOff>125011</xdr:rowOff>
    </xdr:from>
    <xdr:to>
      <xdr:col>52</xdr:col>
      <xdr:colOff>706040</xdr:colOff>
      <xdr:row>45</xdr:row>
      <xdr:rowOff>125012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CCC2B016-DD0D-C11A-3A82-DC097F0BC0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46</xdr:col>
      <xdr:colOff>706039</xdr:colOff>
      <xdr:row>62</xdr:row>
      <xdr:rowOff>160731</xdr:rowOff>
    </xdr:from>
    <xdr:to>
      <xdr:col>52</xdr:col>
      <xdr:colOff>706039</xdr:colOff>
      <xdr:row>78</xdr:row>
      <xdr:rowOff>41669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22735032-100B-0DD3-10C6-A344D5C523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V46"/>
  <sheetViews>
    <sheetView topLeftCell="CJ1" zoomScale="90" zoomScaleNormal="90" workbookViewId="0">
      <selection activeCell="CY16" sqref="CY16"/>
    </sheetView>
  </sheetViews>
  <sheetFormatPr baseColWidth="10" defaultColWidth="9.06640625" defaultRowHeight="14.25" x14ac:dyDescent="0.45"/>
  <cols>
    <col min="3" max="3" width="9.3984375" bestFit="1" customWidth="1"/>
    <col min="9" max="9" width="11.19921875" bestFit="1" customWidth="1"/>
    <col min="14" max="14" width="9.3984375" bestFit="1" customWidth="1"/>
    <col min="19" max="20" width="9.06640625" style="14"/>
    <col min="29" max="30" width="9.06640625" style="14"/>
    <col min="38" max="39" width="9.06640625" style="14"/>
    <col min="49" max="50" width="9.06640625" style="14"/>
  </cols>
  <sheetData>
    <row r="1" spans="2:100" s="4" customFormat="1" ht="14.65" thickBot="1" x14ac:dyDescent="0.5">
      <c r="E1" s="4" t="s">
        <v>13</v>
      </c>
      <c r="P1" s="4" t="s">
        <v>14</v>
      </c>
      <c r="S1" s="10"/>
      <c r="T1" s="10"/>
      <c r="Y1" s="4" t="s">
        <v>15</v>
      </c>
      <c r="AC1" s="10"/>
      <c r="AD1" s="10"/>
      <c r="AH1" s="4" t="s">
        <v>16</v>
      </c>
      <c r="AL1" s="10"/>
      <c r="AM1" s="10"/>
      <c r="AS1" s="4" t="s">
        <v>17</v>
      </c>
      <c r="AW1" s="10"/>
      <c r="AX1" s="10"/>
      <c r="BD1" s="4" t="s">
        <v>18</v>
      </c>
      <c r="BN1" s="4" t="s">
        <v>19</v>
      </c>
      <c r="BX1" s="4" t="s">
        <v>20</v>
      </c>
      <c r="CH1" s="4" t="s">
        <v>21</v>
      </c>
      <c r="CR1" s="4" t="s">
        <v>22</v>
      </c>
    </row>
    <row r="2" spans="2:100" s="4" customFormat="1" ht="14.65" thickBot="1" x14ac:dyDescent="0.5">
      <c r="B2" s="6" t="s">
        <v>0</v>
      </c>
      <c r="C2" s="37" t="s">
        <v>1</v>
      </c>
      <c r="D2" s="40"/>
      <c r="E2" s="41"/>
      <c r="F2" s="41"/>
      <c r="G2" s="41"/>
      <c r="H2" s="41"/>
      <c r="I2" s="41"/>
      <c r="J2" s="41"/>
      <c r="L2" s="6" t="s">
        <v>0</v>
      </c>
      <c r="M2" s="37" t="s">
        <v>1</v>
      </c>
      <c r="N2" s="38"/>
      <c r="O2" s="37" t="s">
        <v>6</v>
      </c>
      <c r="P2" s="40"/>
      <c r="Q2" s="41"/>
      <c r="R2" s="41"/>
      <c r="S2" s="39"/>
      <c r="T2" s="39"/>
      <c r="V2" s="6" t="s">
        <v>0</v>
      </c>
      <c r="W2" s="37" t="s">
        <v>1</v>
      </c>
      <c r="X2" s="38"/>
      <c r="Y2" s="37" t="s">
        <v>2</v>
      </c>
      <c r="Z2" s="38"/>
      <c r="AA2" s="37" t="s">
        <v>3</v>
      </c>
      <c r="AB2" s="38"/>
      <c r="AC2" s="39"/>
      <c r="AD2" s="39"/>
      <c r="AE2" s="6" t="s">
        <v>0</v>
      </c>
      <c r="AF2" s="37" t="s">
        <v>1</v>
      </c>
      <c r="AG2" s="38"/>
      <c r="AH2" s="37" t="s">
        <v>2</v>
      </c>
      <c r="AI2" s="38"/>
      <c r="AJ2" s="37" t="s">
        <v>3</v>
      </c>
      <c r="AK2" s="38"/>
      <c r="AL2" s="39"/>
      <c r="AM2" s="39"/>
      <c r="AN2" s="3"/>
      <c r="AP2" s="6" t="s">
        <v>0</v>
      </c>
      <c r="AQ2" s="37" t="s">
        <v>1</v>
      </c>
      <c r="AR2" s="38"/>
      <c r="AS2" s="37" t="s">
        <v>6</v>
      </c>
      <c r="AT2" s="38"/>
      <c r="AU2" s="37" t="s">
        <v>7</v>
      </c>
      <c r="AV2" s="40"/>
      <c r="AW2" s="39"/>
      <c r="AX2" s="39"/>
      <c r="AZ2" s="6" t="s">
        <v>0</v>
      </c>
      <c r="BA2" s="37" t="s">
        <v>1</v>
      </c>
      <c r="BB2" s="38"/>
      <c r="BC2" s="37" t="s">
        <v>6</v>
      </c>
      <c r="BD2" s="38"/>
      <c r="BE2" s="37" t="s">
        <v>7</v>
      </c>
      <c r="BF2" s="38"/>
      <c r="BG2" s="37" t="s">
        <v>8</v>
      </c>
      <c r="BH2" s="38"/>
      <c r="BJ2" s="6" t="s">
        <v>0</v>
      </c>
      <c r="BK2" s="37" t="s">
        <v>1</v>
      </c>
      <c r="BL2" s="38"/>
      <c r="BM2" s="37" t="s">
        <v>6</v>
      </c>
      <c r="BN2" s="38"/>
      <c r="BO2" s="37" t="s">
        <v>7</v>
      </c>
      <c r="BP2" s="38"/>
      <c r="BQ2" s="37" t="s">
        <v>8</v>
      </c>
      <c r="BR2" s="38"/>
      <c r="BT2" s="6" t="s">
        <v>0</v>
      </c>
      <c r="BU2" s="37" t="s">
        <v>1</v>
      </c>
      <c r="BV2" s="38"/>
      <c r="BW2" s="37" t="s">
        <v>6</v>
      </c>
      <c r="BX2" s="38"/>
      <c r="BY2" s="37" t="s">
        <v>7</v>
      </c>
      <c r="BZ2" s="38"/>
      <c r="CA2" s="37" t="s">
        <v>8</v>
      </c>
      <c r="CB2" s="38"/>
      <c r="CD2" s="6" t="s">
        <v>0</v>
      </c>
      <c r="CE2" s="37" t="s">
        <v>1</v>
      </c>
      <c r="CF2" s="38"/>
      <c r="CG2" s="37" t="s">
        <v>6</v>
      </c>
      <c r="CH2" s="38"/>
      <c r="CI2" s="37" t="s">
        <v>7</v>
      </c>
      <c r="CJ2" s="38"/>
      <c r="CK2" s="37" t="s">
        <v>8</v>
      </c>
      <c r="CL2" s="38"/>
      <c r="CN2" s="6" t="s">
        <v>0</v>
      </c>
      <c r="CO2" s="37" t="s">
        <v>1</v>
      </c>
      <c r="CP2" s="38"/>
      <c r="CQ2" s="37" t="s">
        <v>6</v>
      </c>
      <c r="CR2" s="38"/>
      <c r="CS2" s="37" t="s">
        <v>7</v>
      </c>
      <c r="CT2" s="38"/>
      <c r="CU2" s="37" t="s">
        <v>8</v>
      </c>
      <c r="CV2" s="38"/>
    </row>
    <row r="3" spans="2:100" s="4" customFormat="1" ht="14.65" thickBot="1" x14ac:dyDescent="0.5">
      <c r="B3" s="2"/>
      <c r="C3" s="5" t="s">
        <v>4</v>
      </c>
      <c r="D3" s="7" t="s">
        <v>5</v>
      </c>
      <c r="E3" s="3"/>
      <c r="F3" s="3"/>
      <c r="G3" s="3"/>
      <c r="H3" s="3"/>
      <c r="I3" s="3"/>
      <c r="J3" s="3"/>
      <c r="L3" s="2"/>
      <c r="M3" s="5" t="s">
        <v>4</v>
      </c>
      <c r="N3" s="5" t="s">
        <v>5</v>
      </c>
      <c r="O3" s="5" t="s">
        <v>4</v>
      </c>
      <c r="P3" s="7" t="s">
        <v>4</v>
      </c>
      <c r="Q3" s="3"/>
      <c r="R3" s="3"/>
      <c r="S3" s="11"/>
      <c r="T3" s="11"/>
      <c r="V3" s="2"/>
      <c r="W3" s="5" t="s">
        <v>4</v>
      </c>
      <c r="X3" s="5" t="s">
        <v>5</v>
      </c>
      <c r="Y3" s="5" t="s">
        <v>4</v>
      </c>
      <c r="Z3" s="5" t="s">
        <v>5</v>
      </c>
      <c r="AA3" s="5" t="s">
        <v>4</v>
      </c>
      <c r="AB3" s="5" t="s">
        <v>5</v>
      </c>
      <c r="AC3" s="11"/>
      <c r="AD3" s="11"/>
      <c r="AE3" s="2"/>
      <c r="AF3" s="5" t="s">
        <v>4</v>
      </c>
      <c r="AG3" s="5" t="s">
        <v>5</v>
      </c>
      <c r="AH3" s="5" t="s">
        <v>4</v>
      </c>
      <c r="AI3" s="5" t="s">
        <v>5</v>
      </c>
      <c r="AJ3" s="5" t="s">
        <v>4</v>
      </c>
      <c r="AK3" s="5" t="s">
        <v>5</v>
      </c>
      <c r="AL3" s="11"/>
      <c r="AM3" s="11"/>
      <c r="AN3" s="3"/>
      <c r="AP3" s="2"/>
      <c r="AQ3" s="5" t="s">
        <v>4</v>
      </c>
      <c r="AR3" s="5" t="s">
        <v>5</v>
      </c>
      <c r="AS3" s="5" t="s">
        <v>4</v>
      </c>
      <c r="AT3" s="5" t="s">
        <v>4</v>
      </c>
      <c r="AU3" s="5" t="s">
        <v>5</v>
      </c>
      <c r="AV3" s="7" t="s">
        <v>5</v>
      </c>
      <c r="AW3" s="11"/>
      <c r="AX3" s="11"/>
      <c r="AZ3" s="2"/>
      <c r="BA3" s="5" t="s">
        <v>4</v>
      </c>
      <c r="BB3" s="5" t="s">
        <v>5</v>
      </c>
      <c r="BC3" s="5" t="s">
        <v>4</v>
      </c>
      <c r="BD3" s="5" t="s">
        <v>4</v>
      </c>
      <c r="BE3" s="5" t="s">
        <v>5</v>
      </c>
      <c r="BF3" s="5" t="s">
        <v>5</v>
      </c>
      <c r="BG3" s="5" t="s">
        <v>4</v>
      </c>
      <c r="BH3" s="5" t="s">
        <v>5</v>
      </c>
      <c r="BJ3" s="2"/>
      <c r="BK3" s="5" t="s">
        <v>4</v>
      </c>
      <c r="BL3" s="5" t="s">
        <v>5</v>
      </c>
      <c r="BM3" s="5" t="s">
        <v>4</v>
      </c>
      <c r="BN3" s="5" t="s">
        <v>5</v>
      </c>
      <c r="BO3" s="5" t="s">
        <v>4</v>
      </c>
      <c r="BP3" s="5" t="s">
        <v>5</v>
      </c>
      <c r="BQ3" s="5" t="s">
        <v>4</v>
      </c>
      <c r="BR3" s="5" t="s">
        <v>5</v>
      </c>
      <c r="BT3" s="2"/>
      <c r="BU3" s="5" t="s">
        <v>4</v>
      </c>
      <c r="BV3" s="5" t="s">
        <v>5</v>
      </c>
      <c r="BW3" s="5" t="s">
        <v>4</v>
      </c>
      <c r="BX3" s="5" t="s">
        <v>5</v>
      </c>
      <c r="BY3" s="5" t="s">
        <v>4</v>
      </c>
      <c r="BZ3" s="5" t="s">
        <v>5</v>
      </c>
      <c r="CA3" s="5" t="s">
        <v>4</v>
      </c>
      <c r="CB3" s="5" t="s">
        <v>5</v>
      </c>
      <c r="CD3" s="2"/>
      <c r="CE3" s="5" t="s">
        <v>4</v>
      </c>
      <c r="CF3" s="5" t="s">
        <v>5</v>
      </c>
      <c r="CG3" s="5" t="s">
        <v>4</v>
      </c>
      <c r="CH3" s="5" t="s">
        <v>5</v>
      </c>
      <c r="CI3" s="5" t="s">
        <v>4</v>
      </c>
      <c r="CJ3" s="5" t="s">
        <v>5</v>
      </c>
      <c r="CK3" s="5" t="s">
        <v>4</v>
      </c>
      <c r="CL3" s="5" t="s">
        <v>5</v>
      </c>
      <c r="CN3" s="2"/>
      <c r="CO3" s="5" t="s">
        <v>4</v>
      </c>
      <c r="CP3" s="5" t="s">
        <v>5</v>
      </c>
      <c r="CQ3" s="5" t="s">
        <v>4</v>
      </c>
      <c r="CR3" s="5" t="s">
        <v>5</v>
      </c>
      <c r="CS3" s="5" t="s">
        <v>4</v>
      </c>
      <c r="CT3" s="5" t="s">
        <v>5</v>
      </c>
      <c r="CU3" s="5" t="s">
        <v>4</v>
      </c>
      <c r="CV3" s="5" t="s">
        <v>5</v>
      </c>
    </row>
    <row r="4" spans="2:100" s="4" customFormat="1" ht="14.65" thickBot="1" x14ac:dyDescent="0.5">
      <c r="B4" s="2">
        <v>1</v>
      </c>
      <c r="C4" s="5">
        <v>0.39</v>
      </c>
      <c r="D4" s="7">
        <v>3.51</v>
      </c>
      <c r="E4" s="3"/>
      <c r="F4" s="3"/>
      <c r="G4" s="3"/>
      <c r="H4" s="3"/>
      <c r="I4" s="3"/>
      <c r="J4" s="3"/>
      <c r="L4" s="2">
        <v>1</v>
      </c>
      <c r="M4" s="5">
        <v>0.2</v>
      </c>
      <c r="N4" s="5">
        <v>1.8</v>
      </c>
      <c r="O4" s="5">
        <v>0.34</v>
      </c>
      <c r="P4" s="7">
        <v>3.06</v>
      </c>
      <c r="Q4" s="3"/>
      <c r="R4" s="3"/>
      <c r="S4" s="11"/>
      <c r="T4" s="11"/>
      <c r="V4" s="2">
        <v>1</v>
      </c>
      <c r="W4" s="5">
        <v>0.48</v>
      </c>
      <c r="X4" s="5">
        <v>4.32</v>
      </c>
      <c r="Y4" s="5">
        <v>0.67</v>
      </c>
      <c r="Z4" s="5">
        <v>6.03</v>
      </c>
      <c r="AA4" s="5">
        <v>0.32</v>
      </c>
      <c r="AB4" s="5">
        <v>2.88</v>
      </c>
      <c r="AC4" s="11"/>
      <c r="AD4" s="11"/>
      <c r="AE4" s="2">
        <v>1</v>
      </c>
      <c r="AF4" s="5">
        <v>0.16</v>
      </c>
      <c r="AG4" s="5">
        <v>1.44</v>
      </c>
      <c r="AH4" s="5">
        <v>0.37</v>
      </c>
      <c r="AI4" s="5">
        <v>3.33</v>
      </c>
      <c r="AJ4" s="5">
        <v>0.16</v>
      </c>
      <c r="AK4" s="5">
        <v>1.44</v>
      </c>
      <c r="AL4" s="11"/>
      <c r="AM4" s="11"/>
      <c r="AN4" s="3"/>
      <c r="AP4" s="2">
        <v>1</v>
      </c>
      <c r="AQ4" s="5">
        <v>0.68</v>
      </c>
      <c r="AR4" s="5">
        <v>6.12</v>
      </c>
      <c r="AS4" s="5">
        <v>1.34</v>
      </c>
      <c r="AT4" s="5">
        <v>12.06</v>
      </c>
      <c r="AU4" s="5">
        <v>0.45</v>
      </c>
      <c r="AV4" s="7">
        <v>4.05</v>
      </c>
      <c r="AW4" s="11"/>
      <c r="AX4" s="11"/>
      <c r="AZ4" s="2">
        <v>1</v>
      </c>
      <c r="BA4" s="5">
        <v>0.52</v>
      </c>
      <c r="BB4" s="5">
        <v>4.68</v>
      </c>
      <c r="BC4" s="5">
        <v>0.54</v>
      </c>
      <c r="BD4" s="5">
        <v>4.8600000000000003</v>
      </c>
      <c r="BE4" s="5">
        <v>0.4</v>
      </c>
      <c r="BF4" s="5">
        <v>3.6</v>
      </c>
      <c r="BG4" s="5">
        <v>0.22</v>
      </c>
      <c r="BH4" s="5">
        <v>1.98</v>
      </c>
      <c r="BJ4" s="2">
        <v>1</v>
      </c>
      <c r="BK4" s="5">
        <v>0.37</v>
      </c>
      <c r="BL4" s="5">
        <v>3.33</v>
      </c>
      <c r="BM4" s="5">
        <v>0.56000000000000005</v>
      </c>
      <c r="BN4" s="5">
        <v>5.04</v>
      </c>
      <c r="BO4" s="5">
        <v>0.34</v>
      </c>
      <c r="BP4" s="5">
        <v>3.06</v>
      </c>
      <c r="BQ4" s="5">
        <v>0.16</v>
      </c>
      <c r="BR4" s="5">
        <v>1.44</v>
      </c>
      <c r="BT4" s="2">
        <v>1</v>
      </c>
      <c r="BU4" s="5">
        <v>0.65</v>
      </c>
      <c r="BV4" s="5">
        <v>5.85</v>
      </c>
      <c r="BW4" s="5">
        <v>0.94</v>
      </c>
      <c r="BX4" s="5">
        <v>8.4600000000000009</v>
      </c>
      <c r="BY4" s="5">
        <v>0.5</v>
      </c>
      <c r="BZ4" s="5">
        <v>4.5</v>
      </c>
      <c r="CA4" s="5">
        <v>0.24</v>
      </c>
      <c r="CB4" s="5">
        <v>2.16</v>
      </c>
      <c r="CD4" s="2">
        <v>1</v>
      </c>
      <c r="CE4" s="5">
        <v>0.32</v>
      </c>
      <c r="CF4" s="5">
        <v>2.88</v>
      </c>
      <c r="CG4" s="5">
        <v>0.62</v>
      </c>
      <c r="CH4" s="5">
        <v>5.58</v>
      </c>
      <c r="CI4" s="5">
        <v>0.3</v>
      </c>
      <c r="CJ4" s="5">
        <v>2.7</v>
      </c>
      <c r="CK4" s="5">
        <v>0.12</v>
      </c>
      <c r="CL4" s="5">
        <v>1.08</v>
      </c>
      <c r="CN4" s="2">
        <v>1</v>
      </c>
      <c r="CO4" s="5">
        <v>0.44</v>
      </c>
      <c r="CP4" s="5">
        <v>3.96</v>
      </c>
      <c r="CQ4" s="5">
        <v>0.61</v>
      </c>
      <c r="CR4" s="5">
        <v>5.49</v>
      </c>
      <c r="CS4" s="5">
        <v>0.31</v>
      </c>
      <c r="CT4" s="5">
        <v>2.79</v>
      </c>
      <c r="CU4" s="5">
        <v>0.16</v>
      </c>
      <c r="CV4" s="5">
        <v>1.44</v>
      </c>
    </row>
    <row r="5" spans="2:100" s="4" customFormat="1" ht="14.65" thickBot="1" x14ac:dyDescent="0.5">
      <c r="B5" s="2">
        <v>2</v>
      </c>
      <c r="C5" s="5">
        <v>0.26</v>
      </c>
      <c r="D5" s="7">
        <v>2.34</v>
      </c>
      <c r="E5" s="3"/>
      <c r="F5" s="3"/>
      <c r="G5" s="3"/>
      <c r="H5" s="3"/>
      <c r="I5" s="3"/>
      <c r="J5" s="3"/>
      <c r="L5" s="2">
        <v>2</v>
      </c>
      <c r="M5" s="5">
        <v>0.22</v>
      </c>
      <c r="N5" s="5">
        <v>1.98</v>
      </c>
      <c r="O5" s="5">
        <v>0.52</v>
      </c>
      <c r="P5" s="7">
        <v>4.68</v>
      </c>
      <c r="Q5" s="3"/>
      <c r="R5" s="3"/>
      <c r="S5" s="11"/>
      <c r="T5" s="11"/>
      <c r="V5" s="2">
        <v>2</v>
      </c>
      <c r="W5" s="5">
        <v>0.26</v>
      </c>
      <c r="X5" s="5">
        <v>2.34</v>
      </c>
      <c r="Y5" s="5">
        <v>0.42</v>
      </c>
      <c r="Z5" s="5">
        <v>3.78</v>
      </c>
      <c r="AA5" s="5">
        <v>0.15</v>
      </c>
      <c r="AB5" s="5">
        <v>1.35</v>
      </c>
      <c r="AC5" s="11"/>
      <c r="AD5" s="11"/>
      <c r="AE5" s="2">
        <v>2</v>
      </c>
      <c r="AF5" s="5">
        <v>0.27</v>
      </c>
      <c r="AG5" s="5">
        <v>2.4300000000000002</v>
      </c>
      <c r="AH5" s="5">
        <v>0.45</v>
      </c>
      <c r="AI5" s="5">
        <v>4.05</v>
      </c>
      <c r="AJ5" s="5">
        <v>0.24</v>
      </c>
      <c r="AK5" s="5">
        <v>2.16</v>
      </c>
      <c r="AL5" s="11"/>
      <c r="AM5" s="11"/>
      <c r="AN5" s="3"/>
      <c r="AP5" s="2">
        <v>2</v>
      </c>
      <c r="AQ5" s="5">
        <v>0.28000000000000003</v>
      </c>
      <c r="AR5" s="5">
        <v>2.52</v>
      </c>
      <c r="AS5" s="5">
        <v>0.76</v>
      </c>
      <c r="AT5" s="5">
        <v>6.84</v>
      </c>
      <c r="AU5" s="5">
        <v>0.12</v>
      </c>
      <c r="AV5" s="7">
        <v>0.99</v>
      </c>
      <c r="AW5" s="11"/>
      <c r="AX5" s="11"/>
      <c r="AZ5" s="2">
        <v>2</v>
      </c>
      <c r="BA5" s="5">
        <v>0.7</v>
      </c>
      <c r="BB5" s="5">
        <v>6.3</v>
      </c>
      <c r="BC5" s="5">
        <v>0.96</v>
      </c>
      <c r="BD5" s="5">
        <v>8.64</v>
      </c>
      <c r="BE5" s="5">
        <v>0.49</v>
      </c>
      <c r="BF5" s="5">
        <v>4.41</v>
      </c>
      <c r="BG5" s="5">
        <v>0.34</v>
      </c>
      <c r="BH5" s="5">
        <v>3.06</v>
      </c>
      <c r="BJ5" s="2">
        <v>2</v>
      </c>
      <c r="BK5" s="5">
        <v>0.28000000000000003</v>
      </c>
      <c r="BL5" s="5">
        <v>2.52</v>
      </c>
      <c r="BM5" s="5">
        <v>0.63</v>
      </c>
      <c r="BN5" s="5">
        <v>5.67</v>
      </c>
      <c r="BO5" s="5">
        <v>0.28999999999999998</v>
      </c>
      <c r="BP5" s="5">
        <v>2.61</v>
      </c>
      <c r="BQ5" s="5">
        <v>0.09</v>
      </c>
      <c r="BR5" s="5">
        <v>0.81</v>
      </c>
      <c r="BT5" s="2">
        <v>2</v>
      </c>
      <c r="BU5" s="5">
        <v>0.43</v>
      </c>
      <c r="BV5" s="5">
        <v>3.87</v>
      </c>
      <c r="BW5" s="5">
        <v>0.76</v>
      </c>
      <c r="BX5" s="5">
        <v>6.84</v>
      </c>
      <c r="BY5" s="5">
        <v>0.32</v>
      </c>
      <c r="BZ5" s="5">
        <v>2.88</v>
      </c>
      <c r="CA5" s="5">
        <v>0.12</v>
      </c>
      <c r="CB5" s="5">
        <v>1.08</v>
      </c>
      <c r="CD5" s="2">
        <v>2</v>
      </c>
      <c r="CE5" s="5">
        <v>0.96</v>
      </c>
      <c r="CF5" s="5">
        <v>8.64</v>
      </c>
      <c r="CG5" s="5">
        <v>0.89</v>
      </c>
      <c r="CH5" s="5">
        <v>8.01</v>
      </c>
      <c r="CI5" s="5">
        <v>0.79</v>
      </c>
      <c r="CJ5" s="5">
        <v>7.11</v>
      </c>
      <c r="CK5" s="5">
        <v>0.6</v>
      </c>
      <c r="CL5" s="5">
        <v>5.4</v>
      </c>
      <c r="CN5" s="2">
        <v>2</v>
      </c>
      <c r="CO5" s="5">
        <v>0.91</v>
      </c>
      <c r="CP5" s="5">
        <v>8.19</v>
      </c>
      <c r="CQ5" s="5">
        <v>1.44</v>
      </c>
      <c r="CR5" s="5">
        <v>12.96</v>
      </c>
      <c r="CS5" s="5">
        <v>0.91</v>
      </c>
      <c r="CT5" s="5">
        <v>8.19</v>
      </c>
      <c r="CU5" s="5">
        <v>0.74</v>
      </c>
      <c r="CV5" s="5">
        <v>6.66</v>
      </c>
    </row>
    <row r="6" spans="2:100" s="4" customFormat="1" ht="14.65" thickBot="1" x14ac:dyDescent="0.5">
      <c r="B6" s="2">
        <v>3</v>
      </c>
      <c r="C6" s="5">
        <v>0.3</v>
      </c>
      <c r="D6" s="7">
        <v>2.7</v>
      </c>
      <c r="E6" s="3"/>
      <c r="F6" s="3"/>
      <c r="G6" s="3"/>
      <c r="H6" s="3"/>
      <c r="I6" s="3"/>
      <c r="J6" s="3"/>
      <c r="L6" s="2">
        <v>3</v>
      </c>
      <c r="M6" s="5">
        <v>0.17</v>
      </c>
      <c r="N6" s="5">
        <v>1.53</v>
      </c>
      <c r="O6" s="5">
        <v>0.36</v>
      </c>
      <c r="P6" s="7">
        <v>3.24</v>
      </c>
      <c r="Q6" s="3"/>
      <c r="R6" s="3"/>
      <c r="S6" s="11"/>
      <c r="T6" s="11"/>
      <c r="V6" s="2">
        <v>3</v>
      </c>
      <c r="W6" s="5">
        <v>0.28999999999999998</v>
      </c>
      <c r="X6" s="5">
        <v>2.61</v>
      </c>
      <c r="Y6" s="5">
        <v>0.53</v>
      </c>
      <c r="Z6" s="5">
        <v>4.7699999999999996</v>
      </c>
      <c r="AA6" s="5">
        <v>0.25</v>
      </c>
      <c r="AB6" s="5">
        <v>2.25</v>
      </c>
      <c r="AC6" s="11"/>
      <c r="AD6" s="11"/>
      <c r="AE6" s="2">
        <v>3</v>
      </c>
      <c r="AF6" s="5">
        <v>0.32</v>
      </c>
      <c r="AG6" s="5">
        <v>2.88</v>
      </c>
      <c r="AH6" s="5">
        <v>0.53</v>
      </c>
      <c r="AI6" s="5">
        <v>4.7699999999999996</v>
      </c>
      <c r="AJ6" s="5">
        <v>0.23</v>
      </c>
      <c r="AK6" s="5">
        <v>2.0699999999999998</v>
      </c>
      <c r="AL6" s="11"/>
      <c r="AM6" s="11"/>
      <c r="AN6" s="3"/>
      <c r="AP6" s="2">
        <v>3</v>
      </c>
      <c r="AQ6" s="5">
        <v>0.35</v>
      </c>
      <c r="AR6" s="5">
        <v>3.15</v>
      </c>
      <c r="AS6" s="5">
        <v>0.57999999999999996</v>
      </c>
      <c r="AT6" s="5">
        <v>5.22</v>
      </c>
      <c r="AU6" s="5">
        <v>0.19</v>
      </c>
      <c r="AV6" s="7">
        <v>1.71</v>
      </c>
      <c r="AW6" s="11"/>
      <c r="AX6" s="11"/>
      <c r="AZ6" s="2">
        <v>3</v>
      </c>
      <c r="BA6" s="5">
        <v>0.52</v>
      </c>
      <c r="BB6" s="5">
        <v>4.68</v>
      </c>
      <c r="BC6" s="5">
        <v>0.6</v>
      </c>
      <c r="BD6" s="5">
        <v>5.4</v>
      </c>
      <c r="BE6" s="5">
        <v>0.28000000000000003</v>
      </c>
      <c r="BF6" s="5">
        <v>2.52</v>
      </c>
      <c r="BG6" s="5">
        <v>0.34</v>
      </c>
      <c r="BH6" s="5">
        <v>3.06</v>
      </c>
      <c r="BJ6" s="2">
        <v>3</v>
      </c>
      <c r="BK6" s="5">
        <v>0.62</v>
      </c>
      <c r="BL6" s="5">
        <v>5.58</v>
      </c>
      <c r="BM6" s="5">
        <v>0.97</v>
      </c>
      <c r="BN6" s="5">
        <v>8.73</v>
      </c>
      <c r="BO6" s="5">
        <v>0.47</v>
      </c>
      <c r="BP6" s="5">
        <v>4.2300000000000004</v>
      </c>
      <c r="BQ6" s="5">
        <v>0.3</v>
      </c>
      <c r="BR6" s="5">
        <v>2.7</v>
      </c>
      <c r="BT6" s="2">
        <v>3</v>
      </c>
      <c r="BU6" s="5">
        <v>0.41</v>
      </c>
      <c r="BV6" s="5">
        <v>3.69</v>
      </c>
      <c r="BW6" s="5">
        <v>0.7</v>
      </c>
      <c r="BX6" s="5">
        <v>6.3</v>
      </c>
      <c r="BY6" s="5">
        <v>0.38</v>
      </c>
      <c r="BZ6" s="5">
        <v>3.42</v>
      </c>
      <c r="CA6" s="5">
        <v>0.18</v>
      </c>
      <c r="CB6" s="5">
        <v>1.62</v>
      </c>
      <c r="CD6" s="2">
        <v>3</v>
      </c>
      <c r="CE6" s="5">
        <v>0.38</v>
      </c>
      <c r="CF6" s="5">
        <v>3.42</v>
      </c>
      <c r="CG6" s="5">
        <v>0.64</v>
      </c>
      <c r="CH6" s="5">
        <v>5.76</v>
      </c>
      <c r="CI6" s="5">
        <v>0.21</v>
      </c>
      <c r="CJ6" s="5">
        <v>1.89</v>
      </c>
      <c r="CK6" s="5">
        <v>0.1</v>
      </c>
      <c r="CL6" s="5">
        <v>0.9</v>
      </c>
      <c r="CN6" s="2">
        <v>3</v>
      </c>
      <c r="CO6" s="5">
        <v>0.57999999999999996</v>
      </c>
      <c r="CP6" s="5">
        <v>5.22</v>
      </c>
      <c r="CQ6" s="5">
        <v>0.6</v>
      </c>
      <c r="CR6" s="5">
        <v>5.4</v>
      </c>
      <c r="CS6" s="5">
        <v>0.41</v>
      </c>
      <c r="CT6" s="5">
        <v>3.69</v>
      </c>
      <c r="CU6" s="5">
        <v>0.26</v>
      </c>
      <c r="CV6" s="5">
        <v>2.34</v>
      </c>
    </row>
    <row r="7" spans="2:100" s="4" customFormat="1" ht="14.65" thickBot="1" x14ac:dyDescent="0.5">
      <c r="B7" s="2">
        <v>4</v>
      </c>
      <c r="C7" s="5">
        <v>0.25</v>
      </c>
      <c r="D7" s="7">
        <v>2.25</v>
      </c>
      <c r="E7" s="3"/>
      <c r="F7" s="3"/>
      <c r="G7" s="3"/>
      <c r="H7" s="3"/>
      <c r="I7" s="3"/>
      <c r="J7" s="3"/>
      <c r="L7" s="2">
        <v>4</v>
      </c>
      <c r="M7" s="5">
        <v>0.28000000000000003</v>
      </c>
      <c r="N7" s="5">
        <v>2.52</v>
      </c>
      <c r="O7" s="5">
        <v>0.5</v>
      </c>
      <c r="P7" s="7">
        <v>4.5</v>
      </c>
      <c r="Q7" s="3"/>
      <c r="R7" s="3"/>
      <c r="S7" s="11"/>
      <c r="T7" s="11"/>
      <c r="V7" s="2">
        <v>4</v>
      </c>
      <c r="W7" s="5">
        <v>0.19</v>
      </c>
      <c r="X7" s="5">
        <v>1.71</v>
      </c>
      <c r="Y7" s="5">
        <v>0.46</v>
      </c>
      <c r="Z7" s="5">
        <v>4.1399999999999997</v>
      </c>
      <c r="AA7" s="5">
        <v>0.2</v>
      </c>
      <c r="AB7" s="5">
        <v>1.8</v>
      </c>
      <c r="AC7" s="11"/>
      <c r="AD7" s="11"/>
      <c r="AE7" s="2">
        <v>4</v>
      </c>
      <c r="AF7" s="5">
        <v>0.3</v>
      </c>
      <c r="AG7" s="5">
        <v>2.7</v>
      </c>
      <c r="AH7" s="5">
        <v>0.52</v>
      </c>
      <c r="AI7" s="5">
        <v>4.68</v>
      </c>
      <c r="AJ7" s="5">
        <v>0.18</v>
      </c>
      <c r="AK7" s="5">
        <v>1.62</v>
      </c>
      <c r="AL7" s="11"/>
      <c r="AM7" s="11"/>
      <c r="AN7" s="3"/>
      <c r="AP7" s="2">
        <v>4</v>
      </c>
      <c r="AQ7" s="5">
        <v>0.47</v>
      </c>
      <c r="AR7" s="5">
        <v>4.2300000000000004</v>
      </c>
      <c r="AS7" s="5">
        <v>0.71</v>
      </c>
      <c r="AT7" s="5">
        <v>6.39</v>
      </c>
      <c r="AU7" s="5">
        <v>0.27</v>
      </c>
      <c r="AV7" s="7">
        <v>2.4300000000000002</v>
      </c>
      <c r="AW7" s="11"/>
      <c r="AX7" s="11"/>
      <c r="AZ7" s="2">
        <v>4</v>
      </c>
      <c r="BA7" s="5">
        <v>0.52</v>
      </c>
      <c r="BB7" s="5">
        <v>4.68</v>
      </c>
      <c r="BC7" s="5">
        <v>87</v>
      </c>
      <c r="BD7" s="5">
        <v>7.83</v>
      </c>
      <c r="BE7" s="5">
        <v>0.3</v>
      </c>
      <c r="BF7" s="5">
        <v>2.7</v>
      </c>
      <c r="BG7" s="5">
        <v>0.17</v>
      </c>
      <c r="BH7" s="5">
        <v>1.53</v>
      </c>
      <c r="BJ7" s="2">
        <v>4</v>
      </c>
      <c r="BK7" s="5">
        <v>0.26</v>
      </c>
      <c r="BL7" s="5">
        <v>2.34</v>
      </c>
      <c r="BM7" s="5">
        <v>0.71</v>
      </c>
      <c r="BN7" s="5">
        <v>6.39</v>
      </c>
      <c r="BO7" s="5">
        <v>0.22</v>
      </c>
      <c r="BP7" s="5">
        <v>1.98</v>
      </c>
      <c r="BQ7" s="5">
        <v>0.06</v>
      </c>
      <c r="BR7" s="5">
        <v>0.54</v>
      </c>
      <c r="BT7" s="2">
        <v>4</v>
      </c>
      <c r="BU7" s="5">
        <v>0.31</v>
      </c>
      <c r="BV7" s="5">
        <v>2.79</v>
      </c>
      <c r="BW7" s="5">
        <v>0.7</v>
      </c>
      <c r="BX7" s="5">
        <v>6.3</v>
      </c>
      <c r="BY7" s="5">
        <v>0.25</v>
      </c>
      <c r="BZ7" s="5">
        <v>2.25</v>
      </c>
      <c r="CA7" s="5">
        <v>0.2</v>
      </c>
      <c r="CB7" s="5">
        <v>1.8</v>
      </c>
      <c r="CD7" s="2">
        <v>4</v>
      </c>
      <c r="CE7" s="5">
        <v>0.61</v>
      </c>
      <c r="CF7" s="5">
        <v>5.49</v>
      </c>
      <c r="CG7" s="5">
        <v>0.95</v>
      </c>
      <c r="CH7" s="5">
        <v>8.5500000000000007</v>
      </c>
      <c r="CI7" s="5">
        <v>0.41</v>
      </c>
      <c r="CJ7" s="5">
        <v>3.69</v>
      </c>
      <c r="CK7" s="5">
        <v>0.25</v>
      </c>
      <c r="CL7" s="5">
        <v>2.25</v>
      </c>
      <c r="CN7" s="2">
        <v>4</v>
      </c>
      <c r="CO7" s="5">
        <v>0.66</v>
      </c>
      <c r="CP7" s="5">
        <v>5.94</v>
      </c>
      <c r="CQ7" s="5">
        <v>1.06</v>
      </c>
      <c r="CR7" s="5">
        <v>9.5399999999999991</v>
      </c>
      <c r="CS7" s="5">
        <v>0.56000000000000005</v>
      </c>
      <c r="CT7" s="5">
        <v>5.04</v>
      </c>
      <c r="CU7" s="5">
        <v>0.42</v>
      </c>
      <c r="CV7" s="5">
        <v>3.78</v>
      </c>
    </row>
    <row r="8" spans="2:100" s="4" customFormat="1" ht="14.65" thickBot="1" x14ac:dyDescent="0.5">
      <c r="B8" s="2">
        <v>5</v>
      </c>
      <c r="C8" s="5">
        <v>0.24</v>
      </c>
      <c r="D8" s="7">
        <v>2.16</v>
      </c>
      <c r="E8" s="3"/>
      <c r="F8" s="3"/>
      <c r="G8" s="3"/>
      <c r="H8" s="3"/>
      <c r="I8" s="3"/>
      <c r="J8" s="3"/>
      <c r="L8" s="2">
        <v>5</v>
      </c>
      <c r="M8" s="5">
        <v>0.2</v>
      </c>
      <c r="N8" s="5">
        <v>1.8</v>
      </c>
      <c r="O8" s="5">
        <v>0.57999999999999996</v>
      </c>
      <c r="P8" s="7">
        <v>5.22</v>
      </c>
      <c r="Q8" s="3"/>
      <c r="R8" s="3"/>
      <c r="S8" s="11"/>
      <c r="T8" s="11"/>
      <c r="V8" s="2">
        <v>5</v>
      </c>
      <c r="W8" s="5">
        <v>0.25</v>
      </c>
      <c r="X8" s="5">
        <v>2.25</v>
      </c>
      <c r="Y8" s="5">
        <v>0.57999999999999996</v>
      </c>
      <c r="Z8" s="5">
        <v>5.22</v>
      </c>
      <c r="AA8" s="5">
        <v>0.26</v>
      </c>
      <c r="AB8" s="5">
        <v>2.34</v>
      </c>
      <c r="AC8" s="11"/>
      <c r="AD8" s="11"/>
      <c r="AE8" s="2">
        <v>5</v>
      </c>
      <c r="AF8" s="5">
        <v>0.37</v>
      </c>
      <c r="AG8" s="5">
        <v>3.33</v>
      </c>
      <c r="AH8" s="5">
        <v>0.47</v>
      </c>
      <c r="AI8" s="5">
        <v>4.2300000000000004</v>
      </c>
      <c r="AJ8" s="5">
        <v>0.23</v>
      </c>
      <c r="AK8" s="5">
        <v>2.0699999999999998</v>
      </c>
      <c r="AL8" s="11"/>
      <c r="AM8" s="11"/>
      <c r="AN8" s="3"/>
      <c r="AP8" s="2">
        <v>5</v>
      </c>
      <c r="AQ8" s="5">
        <v>0.35</v>
      </c>
      <c r="AR8" s="5">
        <v>3.15</v>
      </c>
      <c r="AS8" s="5">
        <v>0.87</v>
      </c>
      <c r="AT8" s="5">
        <v>7.83</v>
      </c>
      <c r="AU8" s="5">
        <v>0.23</v>
      </c>
      <c r="AV8" s="7">
        <v>2.0699999999999998</v>
      </c>
      <c r="AW8" s="11"/>
      <c r="AX8" s="11"/>
      <c r="AZ8" s="2">
        <v>5</v>
      </c>
      <c r="BA8" s="5">
        <v>0.62</v>
      </c>
      <c r="BB8" s="5">
        <v>5.58</v>
      </c>
      <c r="BC8" s="5">
        <v>0.78</v>
      </c>
      <c r="BD8" s="5">
        <v>7.02</v>
      </c>
      <c r="BE8" s="5">
        <v>0.39</v>
      </c>
      <c r="BF8" s="5">
        <v>3.51</v>
      </c>
      <c r="BG8" s="5">
        <v>0.23</v>
      </c>
      <c r="BH8" s="5">
        <v>2.0699999999999998</v>
      </c>
      <c r="BJ8" s="2">
        <v>5</v>
      </c>
      <c r="BK8" s="5">
        <v>0.61</v>
      </c>
      <c r="BL8" s="5">
        <v>5.49</v>
      </c>
      <c r="BM8" s="5">
        <v>1.0900000000000001</v>
      </c>
      <c r="BN8" s="5">
        <v>9.81</v>
      </c>
      <c r="BO8" s="5">
        <v>0.46</v>
      </c>
      <c r="BP8" s="5">
        <v>4.1399999999999997</v>
      </c>
      <c r="BQ8" s="5">
        <v>0.26</v>
      </c>
      <c r="BR8" s="5">
        <v>2.34</v>
      </c>
      <c r="BT8" s="2">
        <v>5</v>
      </c>
      <c r="BU8" s="5">
        <v>0.34</v>
      </c>
      <c r="BV8" s="5">
        <v>3.06</v>
      </c>
      <c r="BW8" s="5">
        <v>0.64</v>
      </c>
      <c r="BX8" s="5">
        <v>5.76</v>
      </c>
      <c r="BY8" s="5">
        <v>0.31</v>
      </c>
      <c r="BZ8" s="5">
        <v>2.79</v>
      </c>
      <c r="CA8" s="5">
        <v>0.15</v>
      </c>
      <c r="CB8" s="5">
        <v>1.35</v>
      </c>
      <c r="CD8" s="2">
        <v>5</v>
      </c>
      <c r="CE8" s="5">
        <v>0.24</v>
      </c>
      <c r="CF8" s="5">
        <v>2.16</v>
      </c>
      <c r="CG8" s="5">
        <v>0.59</v>
      </c>
      <c r="CH8" s="5">
        <v>5.31</v>
      </c>
      <c r="CI8" s="5">
        <v>0.34</v>
      </c>
      <c r="CJ8" s="5">
        <v>3.06</v>
      </c>
      <c r="CK8" s="5">
        <v>0.22</v>
      </c>
      <c r="CL8" s="5">
        <v>1.98</v>
      </c>
      <c r="CN8" s="2">
        <v>5</v>
      </c>
      <c r="CO8" s="5">
        <v>0.3</v>
      </c>
      <c r="CP8" s="5">
        <v>2.7</v>
      </c>
      <c r="CQ8" s="5">
        <v>0.91</v>
      </c>
      <c r="CR8" s="5">
        <v>8.19</v>
      </c>
      <c r="CS8" s="5">
        <v>0.4</v>
      </c>
      <c r="CT8" s="5">
        <v>3.6</v>
      </c>
      <c r="CU8" s="5">
        <v>0.1</v>
      </c>
      <c r="CV8" s="5">
        <v>0.9</v>
      </c>
    </row>
    <row r="9" spans="2:100" s="4" customFormat="1" ht="14.65" thickBot="1" x14ac:dyDescent="0.5">
      <c r="B9" s="2">
        <v>6</v>
      </c>
      <c r="C9" s="5">
        <v>0.24</v>
      </c>
      <c r="D9" s="7">
        <v>2.16</v>
      </c>
      <c r="E9" s="3"/>
      <c r="F9" s="3"/>
      <c r="G9" s="3"/>
      <c r="H9" s="3"/>
      <c r="I9" s="3"/>
      <c r="J9" s="3"/>
      <c r="L9" s="2">
        <v>6</v>
      </c>
      <c r="M9" s="5">
        <v>0.23</v>
      </c>
      <c r="N9" s="5">
        <v>2.0699999999999998</v>
      </c>
      <c r="O9" s="5">
        <v>0.48</v>
      </c>
      <c r="P9" s="7">
        <v>4.32</v>
      </c>
      <c r="Q9" s="3"/>
      <c r="R9" s="3"/>
      <c r="S9" s="11"/>
      <c r="T9" s="11"/>
      <c r="V9" s="2">
        <v>6</v>
      </c>
      <c r="W9" s="5">
        <v>0.28000000000000003</v>
      </c>
      <c r="X9" s="5">
        <v>2.52</v>
      </c>
      <c r="Y9" s="5">
        <v>0.48</v>
      </c>
      <c r="Z9" s="5">
        <v>4.32</v>
      </c>
      <c r="AA9" s="5">
        <v>0.22</v>
      </c>
      <c r="AB9" s="5">
        <v>1.98</v>
      </c>
      <c r="AC9" s="11"/>
      <c r="AD9" s="11"/>
      <c r="AE9" s="2">
        <v>6</v>
      </c>
      <c r="AF9" s="5">
        <v>0.25</v>
      </c>
      <c r="AG9" s="5">
        <v>2.25</v>
      </c>
      <c r="AH9" s="5">
        <v>0.62</v>
      </c>
      <c r="AI9" s="5">
        <v>5.58</v>
      </c>
      <c r="AJ9" s="5">
        <v>0.32</v>
      </c>
      <c r="AK9" s="5">
        <v>2.88</v>
      </c>
      <c r="AL9" s="11"/>
      <c r="AM9" s="11"/>
      <c r="AN9" s="3"/>
      <c r="AP9" s="2">
        <v>6</v>
      </c>
      <c r="AQ9" s="5">
        <v>0.17</v>
      </c>
      <c r="AR9" s="5">
        <v>1.53</v>
      </c>
      <c r="AS9" s="5">
        <v>0.78</v>
      </c>
      <c r="AT9" s="5">
        <v>7.02</v>
      </c>
      <c r="AU9" s="5">
        <v>0.19</v>
      </c>
      <c r="AV9" s="7">
        <v>1.71</v>
      </c>
      <c r="AW9" s="11"/>
      <c r="AX9" s="11"/>
      <c r="AZ9" s="2">
        <v>6</v>
      </c>
      <c r="BA9" s="5">
        <v>0.52</v>
      </c>
      <c r="BB9" s="5">
        <v>4.68</v>
      </c>
      <c r="BC9" s="5">
        <v>0.82</v>
      </c>
      <c r="BD9" s="5">
        <v>7.38</v>
      </c>
      <c r="BE9" s="5">
        <v>0.31</v>
      </c>
      <c r="BF9" s="5">
        <v>2.79</v>
      </c>
      <c r="BG9" s="5">
        <v>0.15</v>
      </c>
      <c r="BH9" s="5">
        <v>1.35</v>
      </c>
      <c r="BJ9" s="2">
        <v>6</v>
      </c>
      <c r="BK9" s="5">
        <v>0.78</v>
      </c>
      <c r="BL9" s="5">
        <v>7.02</v>
      </c>
      <c r="BM9" s="5">
        <v>1.28</v>
      </c>
      <c r="BN9" s="5">
        <v>11.52</v>
      </c>
      <c r="BO9" s="5">
        <v>0.46</v>
      </c>
      <c r="BP9" s="5">
        <v>4.1399999999999997</v>
      </c>
      <c r="BQ9" s="5">
        <v>0.25</v>
      </c>
      <c r="BR9" s="5">
        <v>2.25</v>
      </c>
      <c r="BT9" s="2">
        <v>6</v>
      </c>
      <c r="BU9" s="5">
        <v>0.67</v>
      </c>
      <c r="BV9" s="5">
        <v>6.03</v>
      </c>
      <c r="BW9" s="5">
        <v>1.04</v>
      </c>
      <c r="BX9" s="5">
        <v>9.36</v>
      </c>
      <c r="BY9" s="5">
        <v>0.65</v>
      </c>
      <c r="BZ9" s="5">
        <v>5.85</v>
      </c>
      <c r="CA9" s="5">
        <v>0.52</v>
      </c>
      <c r="CB9" s="5">
        <v>4.68</v>
      </c>
      <c r="CD9" s="2">
        <v>6</v>
      </c>
      <c r="CE9" s="5">
        <v>0.32</v>
      </c>
      <c r="CF9" s="5">
        <v>2.88</v>
      </c>
      <c r="CG9" s="5">
        <v>0.72</v>
      </c>
      <c r="CH9" s="5">
        <v>6.48</v>
      </c>
      <c r="CI9" s="5">
        <v>0.28000000000000003</v>
      </c>
      <c r="CJ9" s="5">
        <v>2.52</v>
      </c>
      <c r="CK9" s="5">
        <v>0.15</v>
      </c>
      <c r="CL9" s="5">
        <v>1.35</v>
      </c>
      <c r="CN9" s="2">
        <v>6</v>
      </c>
      <c r="CO9" s="5">
        <v>0.25</v>
      </c>
      <c r="CP9" s="5">
        <v>2.25</v>
      </c>
      <c r="CQ9" s="5">
        <v>0.54</v>
      </c>
      <c r="CR9" s="5">
        <v>4.8600000000000003</v>
      </c>
      <c r="CS9" s="5">
        <v>0.1</v>
      </c>
      <c r="CT9" s="5">
        <v>0.9</v>
      </c>
      <c r="CU9" s="5">
        <v>0.04</v>
      </c>
      <c r="CV9" s="5">
        <v>0.36</v>
      </c>
    </row>
    <row r="10" spans="2:100" s="4" customFormat="1" x14ac:dyDescent="0.45">
      <c r="S10" s="10"/>
      <c r="T10" s="10"/>
      <c r="AC10" s="10"/>
      <c r="AD10" s="10"/>
      <c r="AL10" s="10"/>
      <c r="AM10" s="10"/>
      <c r="AN10" s="3"/>
      <c r="AW10" s="10"/>
      <c r="AX10" s="10"/>
    </row>
    <row r="11" spans="2:100" s="4" customFormat="1" ht="14.65" thickBot="1" x14ac:dyDescent="0.5">
      <c r="S11" s="10"/>
      <c r="T11" s="10"/>
      <c r="AC11" s="10"/>
      <c r="AD11" s="10"/>
      <c r="AL11" s="10"/>
      <c r="AM11" s="10"/>
      <c r="AN11" s="3"/>
      <c r="AW11" s="10"/>
      <c r="AX11" s="10"/>
    </row>
    <row r="12" spans="2:100" s="4" customFormat="1" ht="14.65" thickBot="1" x14ac:dyDescent="0.5">
      <c r="B12" s="37" t="s">
        <v>0</v>
      </c>
      <c r="C12" s="38"/>
      <c r="D12" s="1"/>
      <c r="E12" s="1">
        <v>-1</v>
      </c>
      <c r="F12" s="1">
        <v>-2</v>
      </c>
      <c r="G12" s="1">
        <v>-3</v>
      </c>
      <c r="H12" s="1" t="s">
        <v>9</v>
      </c>
      <c r="I12" s="1" t="s">
        <v>10</v>
      </c>
      <c r="L12" s="37" t="s">
        <v>0</v>
      </c>
      <c r="M12" s="38"/>
      <c r="N12" s="1"/>
      <c r="O12" s="1">
        <v>-1</v>
      </c>
      <c r="P12" s="1">
        <v>-2</v>
      </c>
      <c r="Q12" s="1">
        <v>-3</v>
      </c>
      <c r="R12" s="1" t="s">
        <v>9</v>
      </c>
      <c r="S12" s="12" t="s">
        <v>10</v>
      </c>
      <c r="T12" s="10"/>
      <c r="V12" s="37" t="s">
        <v>0</v>
      </c>
      <c r="W12" s="38"/>
      <c r="X12" s="1"/>
      <c r="Y12" s="1">
        <v>-1</v>
      </c>
      <c r="Z12" s="1">
        <v>-2</v>
      </c>
      <c r="AA12" s="1">
        <v>-3</v>
      </c>
      <c r="AB12" s="1" t="s">
        <v>9</v>
      </c>
      <c r="AC12" s="12" t="s">
        <v>10</v>
      </c>
      <c r="AD12" s="10"/>
      <c r="AE12" s="37" t="s">
        <v>0</v>
      </c>
      <c r="AF12" s="38"/>
      <c r="AG12" s="1"/>
      <c r="AH12" s="1">
        <v>-1</v>
      </c>
      <c r="AI12" s="1">
        <v>-2</v>
      </c>
      <c r="AJ12" s="1">
        <v>-3</v>
      </c>
      <c r="AK12" s="1" t="s">
        <v>9</v>
      </c>
      <c r="AL12" s="12" t="s">
        <v>10</v>
      </c>
      <c r="AM12" s="10"/>
      <c r="AN12" s="3"/>
      <c r="AP12" s="37" t="s">
        <v>0</v>
      </c>
      <c r="AQ12" s="38"/>
      <c r="AR12" s="1"/>
      <c r="AS12" s="1">
        <v>-1</v>
      </c>
      <c r="AT12" s="1">
        <v>-2</v>
      </c>
      <c r="AU12" s="1">
        <v>-3</v>
      </c>
      <c r="AV12" s="1" t="s">
        <v>9</v>
      </c>
      <c r="AW12" s="12" t="s">
        <v>10</v>
      </c>
      <c r="AX12" s="10"/>
      <c r="AZ12" s="37" t="s">
        <v>0</v>
      </c>
      <c r="BA12" s="38"/>
      <c r="BB12" s="1"/>
      <c r="BC12" s="1">
        <v>-1</v>
      </c>
      <c r="BD12" s="1">
        <v>-2</v>
      </c>
      <c r="BE12" s="1">
        <v>-3</v>
      </c>
      <c r="BF12" s="1" t="s">
        <v>9</v>
      </c>
      <c r="BG12" s="1" t="s">
        <v>10</v>
      </c>
      <c r="BJ12" s="37" t="s">
        <v>0</v>
      </c>
      <c r="BK12" s="38"/>
      <c r="BL12" s="1"/>
      <c r="BM12" s="1">
        <v>-1</v>
      </c>
      <c r="BN12" s="1">
        <v>-2</v>
      </c>
      <c r="BO12" s="1">
        <v>-3</v>
      </c>
      <c r="BP12" s="1" t="s">
        <v>9</v>
      </c>
      <c r="BQ12" s="1" t="s">
        <v>10</v>
      </c>
      <c r="BT12" s="37" t="s">
        <v>0</v>
      </c>
      <c r="BU12" s="38"/>
      <c r="BV12" s="1"/>
      <c r="BW12" s="1">
        <v>-1</v>
      </c>
      <c r="BX12" s="1">
        <v>-2</v>
      </c>
      <c r="BY12" s="1">
        <v>-3</v>
      </c>
      <c r="BZ12" s="1" t="s">
        <v>9</v>
      </c>
      <c r="CA12" s="1" t="s">
        <v>10</v>
      </c>
      <c r="CD12" s="37" t="s">
        <v>0</v>
      </c>
      <c r="CE12" s="38"/>
      <c r="CF12" s="1"/>
      <c r="CG12" s="1">
        <v>-1</v>
      </c>
      <c r="CH12" s="1">
        <v>-2</v>
      </c>
      <c r="CI12" s="1">
        <v>-3</v>
      </c>
      <c r="CJ12" s="1" t="s">
        <v>9</v>
      </c>
      <c r="CK12" s="1" t="s">
        <v>10</v>
      </c>
      <c r="CN12" s="37" t="s">
        <v>0</v>
      </c>
      <c r="CO12" s="38"/>
      <c r="CP12" s="1"/>
      <c r="CQ12" s="1">
        <v>-1</v>
      </c>
      <c r="CR12" s="1">
        <v>-2</v>
      </c>
      <c r="CS12" s="1">
        <v>-3</v>
      </c>
      <c r="CT12" s="1" t="s">
        <v>9</v>
      </c>
      <c r="CU12" s="1" t="s">
        <v>10</v>
      </c>
    </row>
    <row r="13" spans="2:100" s="4" customFormat="1" ht="14.65" thickBot="1" x14ac:dyDescent="0.5">
      <c r="B13" s="34">
        <v>1</v>
      </c>
      <c r="C13" s="8" t="s">
        <v>11</v>
      </c>
      <c r="D13" s="8">
        <v>15</v>
      </c>
      <c r="E13" s="8">
        <v>1</v>
      </c>
      <c r="F13" s="8"/>
      <c r="G13" s="8"/>
      <c r="H13" s="8"/>
      <c r="I13" s="9">
        <f>(D13/0.1)*1/(C4/D4)</f>
        <v>1350</v>
      </c>
      <c r="L13" s="34">
        <v>1</v>
      </c>
      <c r="M13" s="5" t="s">
        <v>11</v>
      </c>
      <c r="N13" s="5">
        <v>6</v>
      </c>
      <c r="O13" s="5"/>
      <c r="P13" s="5"/>
      <c r="Q13" s="5"/>
      <c r="R13" s="5"/>
      <c r="S13" s="13">
        <f>(N13/0.1)*1/(M4/N4)</f>
        <v>540</v>
      </c>
      <c r="T13" s="10"/>
      <c r="V13" s="34">
        <v>1</v>
      </c>
      <c r="W13" s="5" t="s">
        <v>11</v>
      </c>
      <c r="X13" s="5"/>
      <c r="Y13" s="5">
        <v>14</v>
      </c>
      <c r="Z13" s="5">
        <v>2</v>
      </c>
      <c r="AA13" s="5">
        <v>1</v>
      </c>
      <c r="AB13" s="5"/>
      <c r="AC13" s="15">
        <f>(Z13/0.1)*100/(W4/X4)</f>
        <v>18000</v>
      </c>
      <c r="AD13" s="10"/>
      <c r="AE13" s="34">
        <v>1</v>
      </c>
      <c r="AF13" s="5" t="s">
        <v>11</v>
      </c>
      <c r="AG13" s="5">
        <v>9</v>
      </c>
      <c r="AH13" s="5">
        <v>2</v>
      </c>
      <c r="AI13" s="5">
        <v>3</v>
      </c>
      <c r="AJ13" s="5"/>
      <c r="AK13" s="5"/>
      <c r="AL13" s="15">
        <f>(AI13/0.1)*100/(AF4/AG4)</f>
        <v>26999.999999999996</v>
      </c>
      <c r="AM13" s="10"/>
      <c r="AN13" s="3"/>
      <c r="AP13" s="34">
        <v>1</v>
      </c>
      <c r="AQ13" s="5" t="s">
        <v>11</v>
      </c>
      <c r="AR13" s="5">
        <v>14</v>
      </c>
      <c r="AS13" s="5">
        <v>1</v>
      </c>
      <c r="AT13" s="5">
        <v>0</v>
      </c>
      <c r="AU13" s="5"/>
      <c r="AV13" s="5"/>
      <c r="AW13" s="15">
        <f>(AR13/0.1)*1/(AQ4/AR4)</f>
        <v>1260</v>
      </c>
      <c r="AX13" s="10"/>
      <c r="AZ13" s="34">
        <v>1</v>
      </c>
      <c r="BA13" s="5" t="s">
        <v>11</v>
      </c>
      <c r="BB13" s="5"/>
      <c r="BC13" s="5"/>
      <c r="BD13" s="5">
        <v>2</v>
      </c>
      <c r="BE13" s="5">
        <v>1</v>
      </c>
      <c r="BF13" s="5"/>
      <c r="BG13" s="15">
        <f>(BD13/0.1)*100/(BA4/BB4)</f>
        <v>18000</v>
      </c>
      <c r="BJ13" s="34">
        <v>1</v>
      </c>
      <c r="BK13" s="5" t="s">
        <v>11</v>
      </c>
      <c r="BL13" s="5"/>
      <c r="BM13" s="5"/>
      <c r="BN13" s="5">
        <v>3</v>
      </c>
      <c r="BO13" s="5">
        <v>1</v>
      </c>
      <c r="BP13" s="5"/>
      <c r="BQ13" s="15">
        <f>(BN13/0.1)*100/(BK4/BL4)</f>
        <v>27000</v>
      </c>
      <c r="BT13" s="34">
        <v>1</v>
      </c>
      <c r="BU13" s="5" t="s">
        <v>11</v>
      </c>
      <c r="BV13" s="5"/>
      <c r="BW13" s="5">
        <v>12</v>
      </c>
      <c r="BX13" s="5">
        <v>3</v>
      </c>
      <c r="BY13" s="5">
        <v>0</v>
      </c>
      <c r="BZ13" s="5"/>
      <c r="CA13" s="15">
        <f>(BW13/0.1)*1/(BU4/BV4)</f>
        <v>1080</v>
      </c>
      <c r="CD13" s="34">
        <v>1</v>
      </c>
      <c r="CE13" s="5" t="s">
        <v>11</v>
      </c>
      <c r="CF13" s="5">
        <v>23</v>
      </c>
      <c r="CG13" s="5">
        <v>1</v>
      </c>
      <c r="CH13" s="5">
        <v>0</v>
      </c>
      <c r="CI13" s="5">
        <v>0</v>
      </c>
      <c r="CJ13" s="5"/>
      <c r="CK13" s="15">
        <f>(CF13/0.1)*1/(CE4/CF4)</f>
        <v>2070</v>
      </c>
      <c r="CN13" s="34">
        <v>1</v>
      </c>
      <c r="CO13" s="5" t="s">
        <v>11</v>
      </c>
      <c r="CP13" s="5">
        <v>3</v>
      </c>
      <c r="CQ13" s="5"/>
      <c r="CR13" s="5"/>
      <c r="CS13" s="5"/>
      <c r="CT13" s="5"/>
      <c r="CU13" s="15">
        <f>(CP13/0.1)*1/(CO4/CP4)</f>
        <v>270</v>
      </c>
    </row>
    <row r="14" spans="2:100" s="4" customFormat="1" ht="14.65" thickBot="1" x14ac:dyDescent="0.5">
      <c r="B14" s="42"/>
      <c r="C14" s="3"/>
      <c r="D14" s="3"/>
      <c r="E14" s="3"/>
      <c r="F14" s="3"/>
      <c r="G14" s="3"/>
      <c r="H14" s="3"/>
      <c r="I14" s="3"/>
      <c r="L14" s="35"/>
      <c r="M14" s="8" t="s">
        <v>6</v>
      </c>
      <c r="N14" s="8">
        <v>20</v>
      </c>
      <c r="O14" s="8">
        <v>1</v>
      </c>
      <c r="P14" s="8"/>
      <c r="Q14" s="8"/>
      <c r="R14" s="8"/>
      <c r="S14" s="13">
        <f>(N14/0.1)*1/(O4/P4)</f>
        <v>1799.9999999999998</v>
      </c>
      <c r="T14" s="10"/>
      <c r="V14" s="35"/>
      <c r="W14" s="5" t="s">
        <v>2</v>
      </c>
      <c r="X14" s="5">
        <v>6</v>
      </c>
      <c r="Y14" s="5">
        <v>1</v>
      </c>
      <c r="Z14" s="5"/>
      <c r="AA14" s="5">
        <v>0</v>
      </c>
      <c r="AB14" s="5"/>
      <c r="AC14" s="16">
        <f>(X14/0.1)*1/(Y4/Z4)</f>
        <v>540</v>
      </c>
      <c r="AD14" s="10"/>
      <c r="AE14" s="35"/>
      <c r="AF14" s="5" t="s">
        <v>2</v>
      </c>
      <c r="AG14" s="5">
        <v>16</v>
      </c>
      <c r="AH14" s="5">
        <v>7</v>
      </c>
      <c r="AI14" s="5">
        <v>0</v>
      </c>
      <c r="AJ14" s="5"/>
      <c r="AK14" s="5"/>
      <c r="AL14" s="16">
        <f>(AH14/0.1)*10/(AH4/AI4)</f>
        <v>6300</v>
      </c>
      <c r="AM14" s="10"/>
      <c r="AN14" s="3"/>
      <c r="AP14" s="35"/>
      <c r="AQ14" s="5" t="s">
        <v>6</v>
      </c>
      <c r="AR14" s="5">
        <v>0</v>
      </c>
      <c r="AS14" s="5">
        <v>0</v>
      </c>
      <c r="AT14" s="5">
        <v>0</v>
      </c>
      <c r="AU14" s="5"/>
      <c r="AV14" s="5"/>
      <c r="AW14" s="16">
        <f>(AS14/0.1)*10/(AS4/AT4)</f>
        <v>0</v>
      </c>
      <c r="AX14" s="10"/>
      <c r="AZ14" s="35"/>
      <c r="BA14" s="5" t="s">
        <v>6</v>
      </c>
      <c r="BB14" s="5">
        <v>1</v>
      </c>
      <c r="BC14" s="5">
        <v>0</v>
      </c>
      <c r="BD14" s="5">
        <v>0</v>
      </c>
      <c r="BE14" s="5"/>
      <c r="BF14" s="5"/>
      <c r="BG14" s="16">
        <f>(BB14/0.1)*1/(BC4/BD4)</f>
        <v>90</v>
      </c>
      <c r="BJ14" s="35"/>
      <c r="BK14" s="5" t="s">
        <v>6</v>
      </c>
      <c r="BL14" s="5">
        <v>4</v>
      </c>
      <c r="BM14" s="5">
        <v>0</v>
      </c>
      <c r="BN14" s="5">
        <v>0</v>
      </c>
      <c r="BO14" s="5">
        <v>0</v>
      </c>
      <c r="BP14" s="5"/>
      <c r="BQ14" s="16">
        <f>(BL14/0.1)*1/(BM4/BN4)</f>
        <v>360</v>
      </c>
      <c r="BT14" s="35"/>
      <c r="BU14" s="5" t="s">
        <v>6</v>
      </c>
      <c r="BV14" s="5">
        <v>1</v>
      </c>
      <c r="BW14" s="5">
        <v>1</v>
      </c>
      <c r="BX14" s="5">
        <v>0</v>
      </c>
      <c r="BY14" s="5">
        <v>0</v>
      </c>
      <c r="BZ14" s="5"/>
      <c r="CA14" s="16">
        <f>(BW14/0.1)*10/(BW4/BX4)</f>
        <v>900.00000000000011</v>
      </c>
      <c r="CD14" s="35"/>
      <c r="CE14" s="5" t="s">
        <v>6</v>
      </c>
      <c r="CF14" s="5">
        <v>0</v>
      </c>
      <c r="CG14" s="5"/>
      <c r="CH14" s="5"/>
      <c r="CI14" s="5"/>
      <c r="CJ14" s="5"/>
      <c r="CK14" s="16">
        <f>(CG14/0.1)*10/(CG4/CH4)</f>
        <v>0</v>
      </c>
      <c r="CN14" s="35"/>
      <c r="CO14" s="5" t="s">
        <v>6</v>
      </c>
      <c r="CP14" s="5">
        <v>0</v>
      </c>
      <c r="CQ14" s="5"/>
      <c r="CR14" s="5"/>
      <c r="CS14" s="5"/>
      <c r="CT14" s="5"/>
      <c r="CU14" s="16">
        <f>(CQ14/0.1)*10/(CQ4/CR4)</f>
        <v>0</v>
      </c>
    </row>
    <row r="15" spans="2:100" s="4" customFormat="1" ht="14.65" thickBot="1" x14ac:dyDescent="0.5">
      <c r="B15" s="42"/>
      <c r="C15" s="3"/>
      <c r="D15" s="3"/>
      <c r="E15" s="3"/>
      <c r="F15" s="3"/>
      <c r="G15" s="3"/>
      <c r="H15" s="3"/>
      <c r="I15" s="3"/>
      <c r="L15" s="42"/>
      <c r="M15" s="3"/>
      <c r="N15" s="3"/>
      <c r="O15" s="3"/>
      <c r="P15" s="3"/>
      <c r="Q15" s="3"/>
      <c r="R15" s="3"/>
      <c r="S15" s="11"/>
      <c r="T15" s="10"/>
      <c r="V15" s="36"/>
      <c r="W15" s="5" t="s">
        <v>3</v>
      </c>
      <c r="X15" s="5"/>
      <c r="Y15" s="5">
        <v>0</v>
      </c>
      <c r="Z15" s="5">
        <v>0</v>
      </c>
      <c r="AA15" s="5">
        <v>0</v>
      </c>
      <c r="AB15" s="5"/>
      <c r="AC15" s="17">
        <f>(X15/0.1)*1/(AA4/AB4)</f>
        <v>0</v>
      </c>
      <c r="AD15" s="10"/>
      <c r="AE15" s="36"/>
      <c r="AF15" s="5" t="s">
        <v>3</v>
      </c>
      <c r="AG15" s="5">
        <v>1</v>
      </c>
      <c r="AH15" s="5">
        <v>0</v>
      </c>
      <c r="AI15" s="5">
        <v>0</v>
      </c>
      <c r="AJ15" s="5"/>
      <c r="AK15" s="5"/>
      <c r="AL15" s="17">
        <f>(AG15/0.1)*1/(AJ4/AK4)</f>
        <v>90</v>
      </c>
      <c r="AM15" s="10"/>
      <c r="AN15" s="3"/>
      <c r="AP15" s="35"/>
      <c r="AQ15" s="5" t="s">
        <v>7</v>
      </c>
      <c r="AR15" s="5">
        <v>0</v>
      </c>
      <c r="AS15" s="5">
        <v>0</v>
      </c>
      <c r="AT15" s="5">
        <v>0</v>
      </c>
      <c r="AU15" s="5"/>
      <c r="AV15" s="5"/>
      <c r="AW15" s="17">
        <f>(AR15/0.1)*1/(AU4/AV4)</f>
        <v>0</v>
      </c>
      <c r="AX15" s="10"/>
      <c r="AZ15" s="35"/>
      <c r="BA15" s="5" t="s">
        <v>7</v>
      </c>
      <c r="BB15" s="5">
        <v>1</v>
      </c>
      <c r="BC15" s="5">
        <v>0</v>
      </c>
      <c r="BD15" s="5">
        <v>0</v>
      </c>
      <c r="BE15" s="5"/>
      <c r="BF15" s="5"/>
      <c r="BG15" s="17">
        <f>(BB15/0.1)*1/(BE4/BF4)</f>
        <v>90</v>
      </c>
      <c r="BJ15" s="35"/>
      <c r="BK15" s="5" t="s">
        <v>7</v>
      </c>
      <c r="BL15" s="5">
        <v>3</v>
      </c>
      <c r="BM15" s="5">
        <v>0</v>
      </c>
      <c r="BN15" s="5">
        <v>0</v>
      </c>
      <c r="BO15" s="5">
        <v>0</v>
      </c>
      <c r="BP15" s="5"/>
      <c r="BQ15" s="17">
        <f>(BL15/0.1)*1/(BO4/BP4)</f>
        <v>270</v>
      </c>
      <c r="BT15" s="35"/>
      <c r="BU15" s="5" t="s">
        <v>7</v>
      </c>
      <c r="BV15" s="5">
        <v>2</v>
      </c>
      <c r="BW15" s="5">
        <v>1</v>
      </c>
      <c r="BX15" s="5">
        <v>0</v>
      </c>
      <c r="BY15" s="5">
        <v>0</v>
      </c>
      <c r="BZ15" s="5"/>
      <c r="CA15" s="17">
        <f>(BV15/0.1)*1/(BY4/BZ4)</f>
        <v>180</v>
      </c>
      <c r="CD15" s="35"/>
      <c r="CE15" s="5" t="s">
        <v>7</v>
      </c>
      <c r="CF15" s="5">
        <v>0</v>
      </c>
      <c r="CG15" s="5"/>
      <c r="CH15" s="5"/>
      <c r="CI15" s="5"/>
      <c r="CJ15" s="5"/>
      <c r="CK15" s="17">
        <f>(CF15/0.1)*1/(CI4/CJ4)</f>
        <v>0</v>
      </c>
      <c r="CN15" s="35"/>
      <c r="CO15" s="5" t="s">
        <v>7</v>
      </c>
      <c r="CP15" s="5">
        <v>0</v>
      </c>
      <c r="CQ15" s="5"/>
      <c r="CR15" s="5"/>
      <c r="CS15" s="5"/>
      <c r="CT15" s="5"/>
      <c r="CU15" s="17">
        <f>(CP15/0.1)*1/(CS4/CT4)</f>
        <v>0</v>
      </c>
    </row>
    <row r="16" spans="2:100" s="4" customFormat="1" ht="14.65" thickBot="1" x14ac:dyDescent="0.5">
      <c r="B16" s="43"/>
      <c r="C16" s="3"/>
      <c r="D16" s="3"/>
      <c r="E16" s="3"/>
      <c r="F16" s="3"/>
      <c r="G16" s="3"/>
      <c r="H16" s="3"/>
      <c r="I16" s="3"/>
      <c r="L16" s="43"/>
      <c r="M16" s="3"/>
      <c r="N16" s="3"/>
      <c r="O16" s="3"/>
      <c r="P16" s="3"/>
      <c r="Q16" s="3"/>
      <c r="R16" s="3"/>
      <c r="S16" s="11"/>
      <c r="T16" s="10"/>
      <c r="V16" s="34">
        <v>2</v>
      </c>
      <c r="W16" s="5" t="s">
        <v>11</v>
      </c>
      <c r="X16" s="5"/>
      <c r="Y16" s="5">
        <v>8</v>
      </c>
      <c r="Z16" s="5">
        <v>5</v>
      </c>
      <c r="AA16" s="5">
        <v>0</v>
      </c>
      <c r="AB16" s="5"/>
      <c r="AC16" s="18">
        <f>(Z16/0.1)*100/(W5/X5)</f>
        <v>45000</v>
      </c>
      <c r="AD16" s="10"/>
      <c r="AE16" s="34">
        <v>2</v>
      </c>
      <c r="AF16" s="5" t="s">
        <v>11</v>
      </c>
      <c r="AG16" s="5"/>
      <c r="AH16" s="5"/>
      <c r="AI16" s="5">
        <v>6</v>
      </c>
      <c r="AJ16" s="5"/>
      <c r="AK16" s="5"/>
      <c r="AL16" s="18">
        <f>(AI16/0.1)*100/(AF5/AG5)</f>
        <v>54000</v>
      </c>
      <c r="AM16" s="10"/>
      <c r="AN16" s="3"/>
      <c r="AP16" s="36"/>
      <c r="AQ16" s="5"/>
      <c r="AR16" s="5"/>
      <c r="AS16" s="5"/>
      <c r="AT16" s="5"/>
      <c r="AU16" s="5"/>
      <c r="AV16" s="5"/>
      <c r="AW16" s="19"/>
      <c r="AX16" s="10"/>
      <c r="AZ16" s="36"/>
      <c r="BA16" s="5" t="s">
        <v>8</v>
      </c>
      <c r="BB16" s="5">
        <v>2</v>
      </c>
      <c r="BC16" s="5">
        <v>2</v>
      </c>
      <c r="BD16" s="5">
        <v>1</v>
      </c>
      <c r="BE16" s="5"/>
      <c r="BF16" s="5"/>
      <c r="BG16" s="17">
        <f>(BB16/0.1)*1/(BG4/BH4)</f>
        <v>180</v>
      </c>
      <c r="BJ16" s="36"/>
      <c r="BK16" s="5" t="s">
        <v>8</v>
      </c>
      <c r="BL16" s="5">
        <v>24</v>
      </c>
      <c r="BM16" s="5">
        <v>1</v>
      </c>
      <c r="BN16" s="5">
        <v>0</v>
      </c>
      <c r="BO16" s="5">
        <v>0</v>
      </c>
      <c r="BP16" s="5"/>
      <c r="BQ16" s="17">
        <f>(BL16/0.1)*1/(BQ4/BR4)</f>
        <v>2160</v>
      </c>
      <c r="BT16" s="36"/>
      <c r="BU16" s="5" t="s">
        <v>8</v>
      </c>
      <c r="BV16" s="5">
        <v>3</v>
      </c>
      <c r="BW16" s="5">
        <v>1</v>
      </c>
      <c r="BX16" s="5">
        <v>0</v>
      </c>
      <c r="BY16" s="5">
        <v>0</v>
      </c>
      <c r="BZ16" s="5"/>
      <c r="CA16" s="17">
        <f>(BV16/0.1)*1/(CA4/CB4)</f>
        <v>270</v>
      </c>
      <c r="CD16" s="36"/>
      <c r="CE16" s="5" t="s">
        <v>8</v>
      </c>
      <c r="CF16" s="5">
        <v>0</v>
      </c>
      <c r="CG16" s="5"/>
      <c r="CH16" s="5"/>
      <c r="CI16" s="5"/>
      <c r="CJ16" s="5"/>
      <c r="CK16" s="17">
        <f>(CF16/0.1)*1/(CK4/CL4)</f>
        <v>0</v>
      </c>
      <c r="CN16" s="36"/>
      <c r="CO16" s="5" t="s">
        <v>8</v>
      </c>
      <c r="CP16" s="5">
        <v>0</v>
      </c>
      <c r="CQ16" s="5"/>
      <c r="CR16" s="5"/>
      <c r="CS16" s="5"/>
      <c r="CT16" s="5"/>
      <c r="CU16" s="17">
        <f>(CP16/0.1)*1/(CU4/CV4)</f>
        <v>0</v>
      </c>
    </row>
    <row r="17" spans="2:99" s="22" customFormat="1" ht="14.65" thickBot="1" x14ac:dyDescent="0.5">
      <c r="B17" s="34">
        <v>2</v>
      </c>
      <c r="C17" s="20" t="s">
        <v>11</v>
      </c>
      <c r="D17" s="20" t="s">
        <v>12</v>
      </c>
      <c r="E17" s="20">
        <v>10</v>
      </c>
      <c r="F17" s="20"/>
      <c r="G17" s="20">
        <v>1</v>
      </c>
      <c r="H17" s="20"/>
      <c r="I17" s="21">
        <f>(E17/0.1)*10/(C5/D5)</f>
        <v>9000</v>
      </c>
      <c r="L17" s="34">
        <v>2</v>
      </c>
      <c r="M17" s="23" t="s">
        <v>11</v>
      </c>
      <c r="N17" s="23">
        <v>12</v>
      </c>
      <c r="O17" s="23">
        <v>1</v>
      </c>
      <c r="P17" s="23"/>
      <c r="Q17" s="23"/>
      <c r="R17" s="23"/>
      <c r="S17" s="24">
        <f>(N17/0.1)*1/(M5/N5)</f>
        <v>1080</v>
      </c>
      <c r="T17" s="25"/>
      <c r="V17" s="35"/>
      <c r="W17" s="23" t="s">
        <v>2</v>
      </c>
      <c r="X17" s="23"/>
      <c r="Y17" s="23">
        <v>7</v>
      </c>
      <c r="Z17" s="23">
        <v>0</v>
      </c>
      <c r="AA17" s="23">
        <v>0</v>
      </c>
      <c r="AB17" s="23"/>
      <c r="AC17" s="26">
        <f>(Y17/0.1)*10/(Y5/Z5)</f>
        <v>6300</v>
      </c>
      <c r="AD17" s="25"/>
      <c r="AE17" s="35"/>
      <c r="AF17" s="23" t="s">
        <v>2</v>
      </c>
      <c r="AG17" s="23">
        <v>1</v>
      </c>
      <c r="AH17" s="23">
        <v>1</v>
      </c>
      <c r="AI17" s="23">
        <v>0</v>
      </c>
      <c r="AJ17" s="23"/>
      <c r="AK17" s="23"/>
      <c r="AL17" s="26">
        <f>(AH17/0.1)*10/(AH5/AI5)</f>
        <v>899.99999999999989</v>
      </c>
      <c r="AM17" s="25"/>
      <c r="AN17" s="27"/>
      <c r="AP17" s="34">
        <v>2</v>
      </c>
      <c r="AQ17" s="23" t="s">
        <v>11</v>
      </c>
      <c r="AR17" s="23"/>
      <c r="AS17" s="23">
        <v>19</v>
      </c>
      <c r="AT17" s="23">
        <v>3</v>
      </c>
      <c r="AU17" s="23"/>
      <c r="AV17" s="23"/>
      <c r="AW17" s="28">
        <f>(AT17/0.1)*100/(AQ5/AR5)</f>
        <v>26999.999999999996</v>
      </c>
      <c r="AX17" s="25"/>
      <c r="AZ17" s="34">
        <v>2</v>
      </c>
      <c r="BA17" s="23" t="s">
        <v>11</v>
      </c>
      <c r="BB17" s="23"/>
      <c r="BC17" s="23"/>
      <c r="BD17" s="23">
        <v>40</v>
      </c>
      <c r="BE17" s="23">
        <v>9</v>
      </c>
      <c r="BF17" s="23"/>
      <c r="BG17" s="28">
        <f>(BD17/0.1)*100/(BA5/BB5)</f>
        <v>360000</v>
      </c>
      <c r="BJ17" s="34">
        <v>2</v>
      </c>
      <c r="BK17" s="23" t="s">
        <v>11</v>
      </c>
      <c r="BL17" s="23"/>
      <c r="BM17" s="23"/>
      <c r="BN17" s="23">
        <v>10</v>
      </c>
      <c r="BO17" s="23">
        <v>1</v>
      </c>
      <c r="BP17" s="23"/>
      <c r="BQ17" s="28">
        <f>(BN17/0.1)*100/(BK5/BL5)</f>
        <v>90000</v>
      </c>
      <c r="BT17" s="34">
        <v>2</v>
      </c>
      <c r="BU17" s="23" t="s">
        <v>11</v>
      </c>
      <c r="BV17" s="23"/>
      <c r="BW17" s="23"/>
      <c r="BX17" s="23">
        <v>10</v>
      </c>
      <c r="BY17" s="23">
        <v>1</v>
      </c>
      <c r="BZ17" s="23"/>
      <c r="CA17" s="28">
        <f>(BX17/0.1)*100/(BU5/BV5)</f>
        <v>90000</v>
      </c>
      <c r="CD17" s="34">
        <v>2</v>
      </c>
      <c r="CE17" s="23" t="s">
        <v>11</v>
      </c>
      <c r="CF17" s="23">
        <v>36</v>
      </c>
      <c r="CG17" s="23">
        <v>1</v>
      </c>
      <c r="CH17" s="23">
        <v>1</v>
      </c>
      <c r="CI17" s="23">
        <v>0</v>
      </c>
      <c r="CJ17" s="23"/>
      <c r="CK17" s="28">
        <f>(CF17/0.1)*1/(CE5/CF5)</f>
        <v>3240</v>
      </c>
      <c r="CN17" s="34">
        <v>2</v>
      </c>
      <c r="CO17" s="23" t="s">
        <v>11</v>
      </c>
      <c r="CP17" s="23">
        <v>5</v>
      </c>
      <c r="CQ17" s="23">
        <v>1</v>
      </c>
      <c r="CR17" s="23"/>
      <c r="CS17" s="23"/>
      <c r="CT17" s="23"/>
      <c r="CU17" s="28">
        <f>(CP17/0.1)*1/(CO5/CP5)</f>
        <v>449.99999999999994</v>
      </c>
    </row>
    <row r="18" spans="2:99" s="4" customFormat="1" ht="14.65" thickBot="1" x14ac:dyDescent="0.5">
      <c r="B18" s="42"/>
      <c r="C18" s="3"/>
      <c r="D18" s="3"/>
      <c r="E18" s="3"/>
      <c r="F18" s="3"/>
      <c r="G18" s="3"/>
      <c r="H18" s="3"/>
      <c r="I18" s="3"/>
      <c r="L18" s="35"/>
      <c r="M18" s="8" t="s">
        <v>6</v>
      </c>
      <c r="N18" s="8"/>
      <c r="O18" s="8">
        <v>8</v>
      </c>
      <c r="P18" s="8">
        <v>1</v>
      </c>
      <c r="Q18" s="8"/>
      <c r="R18" s="8"/>
      <c r="S18" s="13">
        <f>(O18/0.1)*10/(O5/P5)</f>
        <v>7199.9999999999991</v>
      </c>
      <c r="T18" s="10"/>
      <c r="V18" s="36"/>
      <c r="W18" s="5" t="s">
        <v>3</v>
      </c>
      <c r="X18" s="5">
        <v>1</v>
      </c>
      <c r="Y18" s="5">
        <v>0</v>
      </c>
      <c r="Z18" s="5">
        <v>0</v>
      </c>
      <c r="AA18" s="5">
        <v>0</v>
      </c>
      <c r="AB18" s="5"/>
      <c r="AC18" s="17">
        <f>(X18/0.1)*1/(AA5/AB5)</f>
        <v>90</v>
      </c>
      <c r="AD18" s="10"/>
      <c r="AE18" s="36"/>
      <c r="AF18" s="5" t="s">
        <v>3</v>
      </c>
      <c r="AG18" s="5">
        <v>2</v>
      </c>
      <c r="AH18" s="5">
        <v>0</v>
      </c>
      <c r="AI18" s="5">
        <v>0</v>
      </c>
      <c r="AJ18" s="5"/>
      <c r="AK18" s="5"/>
      <c r="AL18" s="17">
        <f>(AG18/0.1)*1/(AJ5/AK5)</f>
        <v>180</v>
      </c>
      <c r="AM18" s="10"/>
      <c r="AN18" s="3"/>
      <c r="AP18" s="35"/>
      <c r="AQ18" s="5" t="s">
        <v>6</v>
      </c>
      <c r="AR18" s="5">
        <v>1</v>
      </c>
      <c r="AS18" s="5">
        <v>0</v>
      </c>
      <c r="AT18" s="5">
        <v>0</v>
      </c>
      <c r="AU18" s="5"/>
      <c r="AV18" s="5"/>
      <c r="AW18" s="16">
        <f>(AR18/0.1)*1/(AS5/AT5)</f>
        <v>90</v>
      </c>
      <c r="AX18" s="10"/>
      <c r="AZ18" s="35"/>
      <c r="BA18" s="5" t="s">
        <v>6</v>
      </c>
      <c r="BB18" s="5">
        <v>4</v>
      </c>
      <c r="BC18" s="5">
        <v>2</v>
      </c>
      <c r="BD18" s="5">
        <v>0</v>
      </c>
      <c r="BE18" s="5"/>
      <c r="BF18" s="5"/>
      <c r="BG18" s="16">
        <f>(BB18/0.1)*1/(BC5/BD5)</f>
        <v>360</v>
      </c>
      <c r="BJ18" s="35"/>
      <c r="BK18" s="5" t="s">
        <v>6</v>
      </c>
      <c r="BL18" s="5">
        <v>3</v>
      </c>
      <c r="BM18" s="5">
        <v>0</v>
      </c>
      <c r="BN18" s="5">
        <v>0</v>
      </c>
      <c r="BO18" s="5">
        <v>0</v>
      </c>
      <c r="BP18" s="5"/>
      <c r="BQ18" s="16">
        <f>(BL18/0.1)*1/(BM5/BN5)</f>
        <v>270</v>
      </c>
      <c r="BT18" s="35"/>
      <c r="BU18" s="5" t="s">
        <v>6</v>
      </c>
      <c r="BV18" s="5">
        <v>0</v>
      </c>
      <c r="BW18" s="5">
        <v>0</v>
      </c>
      <c r="BX18" s="5">
        <v>0</v>
      </c>
      <c r="BY18" s="5">
        <v>0</v>
      </c>
      <c r="BZ18" s="5"/>
      <c r="CA18" s="16">
        <f>(BV18/0.1)*1/(BW5/BX5)</f>
        <v>0</v>
      </c>
      <c r="CD18" s="35"/>
      <c r="CE18" s="5" t="s">
        <v>6</v>
      </c>
      <c r="CF18" s="5">
        <v>0</v>
      </c>
      <c r="CG18" s="5"/>
      <c r="CH18" s="5"/>
      <c r="CI18" s="5"/>
      <c r="CJ18" s="5"/>
      <c r="CK18" s="16">
        <f>(CF18/0.1)*1/(CG5/CH5)</f>
        <v>0</v>
      </c>
      <c r="CN18" s="35"/>
      <c r="CO18" s="5" t="s">
        <v>6</v>
      </c>
      <c r="CP18" s="5">
        <v>0</v>
      </c>
      <c r="CQ18" s="5"/>
      <c r="CR18" s="5"/>
      <c r="CS18" s="5"/>
      <c r="CT18" s="5"/>
      <c r="CU18" s="16">
        <f>(CP18/0.1)*1/(CQ5/CR5)</f>
        <v>0</v>
      </c>
    </row>
    <row r="19" spans="2:99" s="4" customFormat="1" ht="14.65" thickBot="1" x14ac:dyDescent="0.5">
      <c r="B19" s="42"/>
      <c r="C19" s="3"/>
      <c r="D19" s="3"/>
      <c r="E19" s="3"/>
      <c r="F19" s="3"/>
      <c r="G19" s="3"/>
      <c r="H19" s="3"/>
      <c r="I19" s="3"/>
      <c r="L19" s="42"/>
      <c r="M19" s="3"/>
      <c r="N19" s="3"/>
      <c r="O19" s="3"/>
      <c r="P19" s="3"/>
      <c r="Q19" s="3"/>
      <c r="R19" s="3"/>
      <c r="S19" s="11"/>
      <c r="T19" s="10"/>
      <c r="V19" s="34">
        <v>3</v>
      </c>
      <c r="W19" s="5" t="s">
        <v>11</v>
      </c>
      <c r="X19" s="5"/>
      <c r="Y19" s="5">
        <v>1</v>
      </c>
      <c r="Z19" s="5">
        <v>2</v>
      </c>
      <c r="AA19" s="5">
        <v>0</v>
      </c>
      <c r="AB19" s="5"/>
      <c r="AC19" s="18">
        <f>(Z19/0.1)*100/(W6/X6)</f>
        <v>18000</v>
      </c>
      <c r="AD19" s="10"/>
      <c r="AE19" s="34">
        <v>3</v>
      </c>
      <c r="AF19" s="5" t="s">
        <v>11</v>
      </c>
      <c r="AG19" s="5"/>
      <c r="AH19" s="5">
        <v>13</v>
      </c>
      <c r="AI19" s="5">
        <v>3</v>
      </c>
      <c r="AJ19" s="5"/>
      <c r="AK19" s="5"/>
      <c r="AL19" s="18">
        <f>(AI19/0.1)*100/(AF6/AG6)</f>
        <v>26999.999999999996</v>
      </c>
      <c r="AM19" s="10"/>
      <c r="AN19" s="3"/>
      <c r="AP19" s="35"/>
      <c r="AQ19" s="5" t="s">
        <v>7</v>
      </c>
      <c r="AR19" s="5">
        <v>3</v>
      </c>
      <c r="AS19" s="5">
        <v>0</v>
      </c>
      <c r="AT19" s="5">
        <v>0</v>
      </c>
      <c r="AU19" s="5"/>
      <c r="AV19" s="5"/>
      <c r="AW19" s="17">
        <f>(AR19/0.1)*1/(AU5/AV5)</f>
        <v>247.5</v>
      </c>
      <c r="AX19" s="10"/>
      <c r="AZ19" s="35"/>
      <c r="BA19" s="5" t="s">
        <v>7</v>
      </c>
      <c r="BB19" s="5">
        <v>5</v>
      </c>
      <c r="BC19" s="5">
        <v>3</v>
      </c>
      <c r="BD19" s="5">
        <v>0</v>
      </c>
      <c r="BE19" s="5"/>
      <c r="BF19" s="5"/>
      <c r="BG19" s="17">
        <f>(BB19/0.1)*1/(BE5/BF5)</f>
        <v>450</v>
      </c>
      <c r="BJ19" s="35"/>
      <c r="BK19" s="5" t="s">
        <v>7</v>
      </c>
      <c r="BL19" s="5">
        <v>0</v>
      </c>
      <c r="BM19" s="5">
        <v>0</v>
      </c>
      <c r="BN19" s="5">
        <v>0</v>
      </c>
      <c r="BO19" s="5">
        <v>0</v>
      </c>
      <c r="BP19" s="5"/>
      <c r="BQ19" s="17">
        <f>(BL19/0.1)*1/(BO5/BP5)</f>
        <v>0</v>
      </c>
      <c r="BT19" s="35"/>
      <c r="BU19" s="5" t="s">
        <v>7</v>
      </c>
      <c r="BV19" s="5">
        <v>1</v>
      </c>
      <c r="BW19" s="5">
        <v>0</v>
      </c>
      <c r="BX19" s="5">
        <v>0</v>
      </c>
      <c r="BY19" s="5">
        <v>0</v>
      </c>
      <c r="BZ19" s="5"/>
      <c r="CA19" s="17">
        <f>(BV19/0.1)*1/(BY5/BZ5)</f>
        <v>90</v>
      </c>
      <c r="CD19" s="35"/>
      <c r="CE19" s="5" t="s">
        <v>7</v>
      </c>
      <c r="CF19" s="5">
        <v>0</v>
      </c>
      <c r="CG19" s="5"/>
      <c r="CH19" s="5"/>
      <c r="CI19" s="5"/>
      <c r="CJ19" s="5"/>
      <c r="CK19" s="17">
        <f>(CF19/0.1)*1/(CI5/CJ5)</f>
        <v>0</v>
      </c>
      <c r="CN19" s="35"/>
      <c r="CO19" s="5" t="s">
        <v>7</v>
      </c>
      <c r="CP19" s="5">
        <v>0</v>
      </c>
      <c r="CQ19" s="5"/>
      <c r="CR19" s="5"/>
      <c r="CS19" s="5"/>
      <c r="CT19" s="5"/>
      <c r="CU19" s="17">
        <f>(CP19/0.1)*1/(CS5/CT5)</f>
        <v>0</v>
      </c>
    </row>
    <row r="20" spans="2:99" s="4" customFormat="1" ht="14.65" thickBot="1" x14ac:dyDescent="0.5">
      <c r="B20" s="43"/>
      <c r="C20" s="3"/>
      <c r="D20" s="3"/>
      <c r="E20" s="3"/>
      <c r="F20" s="3"/>
      <c r="G20" s="3"/>
      <c r="H20" s="3"/>
      <c r="I20" s="3"/>
      <c r="L20" s="43"/>
      <c r="M20" s="3"/>
      <c r="N20" s="3"/>
      <c r="O20" s="3"/>
      <c r="P20" s="3"/>
      <c r="Q20" s="3"/>
      <c r="R20" s="3"/>
      <c r="S20" s="11"/>
      <c r="T20" s="10"/>
      <c r="V20" s="35"/>
      <c r="W20" s="5" t="s">
        <v>2</v>
      </c>
      <c r="X20" s="5"/>
      <c r="Y20" s="5">
        <v>6</v>
      </c>
      <c r="Z20" s="5">
        <v>1</v>
      </c>
      <c r="AA20" s="5">
        <v>0</v>
      </c>
      <c r="AB20" s="5"/>
      <c r="AC20" s="16">
        <f>(Y20/0.1)*10/(Y6/Z6)</f>
        <v>5399.9999999999991</v>
      </c>
      <c r="AD20" s="10"/>
      <c r="AE20" s="35"/>
      <c r="AF20" s="5" t="s">
        <v>2</v>
      </c>
      <c r="AG20" s="5">
        <v>4</v>
      </c>
      <c r="AH20" s="5">
        <v>0</v>
      </c>
      <c r="AI20" s="5">
        <v>0</v>
      </c>
      <c r="AJ20" s="5"/>
      <c r="AK20" s="5"/>
      <c r="AL20" s="16">
        <f>(AG20/0.1)*1/(AH6/AI6)</f>
        <v>359.99999999999994</v>
      </c>
      <c r="AM20" s="10"/>
      <c r="AN20" s="3"/>
      <c r="AP20" s="36"/>
      <c r="AQ20" s="5"/>
      <c r="AR20" s="5"/>
      <c r="AS20" s="5"/>
      <c r="AT20" s="5"/>
      <c r="AU20" s="5"/>
      <c r="AV20" s="5"/>
      <c r="AW20" s="19"/>
      <c r="AX20" s="10"/>
      <c r="AZ20" s="36"/>
      <c r="BA20" s="5" t="s">
        <v>8</v>
      </c>
      <c r="BB20" s="5">
        <v>5</v>
      </c>
      <c r="BC20" s="5">
        <v>0</v>
      </c>
      <c r="BD20" s="5">
        <v>0</v>
      </c>
      <c r="BE20" s="5"/>
      <c r="BF20" s="5"/>
      <c r="BG20" s="17">
        <f>(BB20/0.1)*1/(BG5/BH5)</f>
        <v>449.99999999999994</v>
      </c>
      <c r="BJ20" s="36"/>
      <c r="BK20" s="5" t="s">
        <v>8</v>
      </c>
      <c r="BL20" s="5">
        <v>12</v>
      </c>
      <c r="BM20" s="5">
        <v>1</v>
      </c>
      <c r="BN20" s="5">
        <v>0</v>
      </c>
      <c r="BO20" s="5">
        <v>0</v>
      </c>
      <c r="BP20" s="5"/>
      <c r="BQ20" s="17">
        <f>(BL20/0.1)*1/(BQ5/BR5)</f>
        <v>1080</v>
      </c>
      <c r="BT20" s="36"/>
      <c r="BU20" s="5" t="s">
        <v>8</v>
      </c>
      <c r="BV20" s="5">
        <v>2</v>
      </c>
      <c r="BW20" s="5">
        <v>1</v>
      </c>
      <c r="BX20" s="5">
        <v>0</v>
      </c>
      <c r="BY20" s="5">
        <v>0</v>
      </c>
      <c r="BZ20" s="5"/>
      <c r="CA20" s="17">
        <f>(BV20/0.1)*1/(CA5/CB5)</f>
        <v>180</v>
      </c>
      <c r="CD20" s="36"/>
      <c r="CE20" s="5" t="s">
        <v>8</v>
      </c>
      <c r="CF20" s="5">
        <v>0</v>
      </c>
      <c r="CG20" s="5"/>
      <c r="CH20" s="5"/>
      <c r="CI20" s="5"/>
      <c r="CJ20" s="5"/>
      <c r="CK20" s="17">
        <f>(CF20/0.1)*1/(CK5/CL5)</f>
        <v>0</v>
      </c>
      <c r="CN20" s="36"/>
      <c r="CO20" s="5" t="s">
        <v>8</v>
      </c>
      <c r="CP20" s="5">
        <v>0</v>
      </c>
      <c r="CQ20" s="5"/>
      <c r="CR20" s="5"/>
      <c r="CS20" s="5"/>
      <c r="CT20" s="5"/>
      <c r="CU20" s="17">
        <f>(CP20/0.1)*1/(CU5/CV5)</f>
        <v>0</v>
      </c>
    </row>
    <row r="21" spans="2:99" s="22" customFormat="1" ht="14.65" thickBot="1" x14ac:dyDescent="0.5">
      <c r="B21" s="34">
        <v>3</v>
      </c>
      <c r="C21" s="20" t="s">
        <v>11</v>
      </c>
      <c r="D21" s="20"/>
      <c r="E21" s="20">
        <v>56</v>
      </c>
      <c r="F21" s="20">
        <v>9</v>
      </c>
      <c r="G21" s="20">
        <v>2</v>
      </c>
      <c r="H21" s="20"/>
      <c r="I21" s="21">
        <f>(F21/0.1)*100/(C6/D6)</f>
        <v>81000</v>
      </c>
      <c r="L21" s="34">
        <v>3</v>
      </c>
      <c r="M21" s="23" t="s">
        <v>11</v>
      </c>
      <c r="N21" s="23">
        <v>14</v>
      </c>
      <c r="O21" s="23">
        <v>2</v>
      </c>
      <c r="P21" s="23"/>
      <c r="Q21" s="23"/>
      <c r="R21" s="23"/>
      <c r="S21" s="24">
        <f>(N21/0.1)*1/(M6/N6)</f>
        <v>1260</v>
      </c>
      <c r="T21" s="25"/>
      <c r="V21" s="36"/>
      <c r="W21" s="23" t="s">
        <v>3</v>
      </c>
      <c r="X21" s="23"/>
      <c r="Y21" s="23">
        <v>0</v>
      </c>
      <c r="Z21" s="23">
        <v>0</v>
      </c>
      <c r="AA21" s="23">
        <v>0</v>
      </c>
      <c r="AB21" s="23"/>
      <c r="AC21" s="29">
        <f>(X21/0.1)*1/(AA8/AB8)</f>
        <v>0</v>
      </c>
      <c r="AD21" s="25"/>
      <c r="AE21" s="36"/>
      <c r="AF21" s="23" t="s">
        <v>3</v>
      </c>
      <c r="AG21" s="23">
        <v>3</v>
      </c>
      <c r="AH21" s="23">
        <v>1</v>
      </c>
      <c r="AI21" s="23">
        <v>0</v>
      </c>
      <c r="AJ21" s="23"/>
      <c r="AK21" s="23"/>
      <c r="AL21" s="29">
        <f>(AG21/0.1)*1/(AJ6/AK6)</f>
        <v>270</v>
      </c>
      <c r="AM21" s="25"/>
      <c r="AN21" s="27"/>
      <c r="AP21" s="34">
        <v>3</v>
      </c>
      <c r="AQ21" s="23" t="s">
        <v>11</v>
      </c>
      <c r="AR21" s="23"/>
      <c r="AS21" s="23">
        <v>17</v>
      </c>
      <c r="AT21" s="23">
        <v>0</v>
      </c>
      <c r="AU21" s="23"/>
      <c r="AV21" s="23"/>
      <c r="AW21" s="28">
        <f>(AS21/0.1)*10/(AQ6/AR6)</f>
        <v>15300</v>
      </c>
      <c r="AX21" s="25"/>
      <c r="AZ21" s="34">
        <v>3</v>
      </c>
      <c r="BA21" s="23" t="s">
        <v>11</v>
      </c>
      <c r="BB21" s="23">
        <v>66</v>
      </c>
      <c r="BC21" s="23">
        <v>11</v>
      </c>
      <c r="BD21" s="23">
        <v>0</v>
      </c>
      <c r="BE21" s="23"/>
      <c r="BF21" s="23"/>
      <c r="BG21" s="28">
        <f>(BC21/0.1)*10/(BA6/BB6)</f>
        <v>9900</v>
      </c>
      <c r="BJ21" s="34">
        <v>3</v>
      </c>
      <c r="BK21" s="23" t="s">
        <v>11</v>
      </c>
      <c r="BL21" s="23"/>
      <c r="BM21" s="23"/>
      <c r="BN21" s="23"/>
      <c r="BO21" s="23">
        <v>12</v>
      </c>
      <c r="BP21" s="23"/>
      <c r="BQ21" s="28">
        <f>(BO21/0.1)*1000/(BK8/BL8)</f>
        <v>1080000</v>
      </c>
      <c r="BT21" s="34">
        <v>3</v>
      </c>
      <c r="BU21" s="23" t="s">
        <v>11</v>
      </c>
      <c r="BV21" s="23">
        <v>36</v>
      </c>
      <c r="BW21" s="23">
        <v>3</v>
      </c>
      <c r="BX21" s="23">
        <v>2</v>
      </c>
      <c r="BY21" s="23">
        <v>1</v>
      </c>
      <c r="BZ21" s="23"/>
      <c r="CA21" s="28">
        <f>(BV21/0.1)*1/(BU6/BV6)</f>
        <v>3240</v>
      </c>
      <c r="CD21" s="34">
        <v>3</v>
      </c>
      <c r="CE21" s="23" t="s">
        <v>11</v>
      </c>
      <c r="CF21" s="23"/>
      <c r="CG21" s="23">
        <v>17</v>
      </c>
      <c r="CH21" s="23">
        <v>2</v>
      </c>
      <c r="CI21" s="23">
        <v>0</v>
      </c>
      <c r="CJ21" s="23"/>
      <c r="CK21" s="28">
        <f>(CG21/0.1)*10/(CE6/CF6)</f>
        <v>15299.999999999998</v>
      </c>
      <c r="CN21" s="34">
        <v>3</v>
      </c>
      <c r="CO21" s="23" t="s">
        <v>11</v>
      </c>
      <c r="CP21" s="23">
        <v>12</v>
      </c>
      <c r="CQ21" s="23">
        <v>1</v>
      </c>
      <c r="CR21" s="23"/>
      <c r="CS21" s="23"/>
      <c r="CT21" s="23"/>
      <c r="CU21" s="28">
        <f>(CP21/0.1)*1/(CO6/CP6)</f>
        <v>1080</v>
      </c>
    </row>
    <row r="22" spans="2:99" s="4" customFormat="1" ht="14.65" thickBot="1" x14ac:dyDescent="0.5">
      <c r="B22" s="42"/>
      <c r="C22" s="3"/>
      <c r="D22" s="3"/>
      <c r="E22" s="3"/>
      <c r="F22" s="3"/>
      <c r="G22" s="3"/>
      <c r="H22" s="3"/>
      <c r="I22" s="3"/>
      <c r="L22" s="35"/>
      <c r="M22" s="8" t="s">
        <v>6</v>
      </c>
      <c r="N22" s="8">
        <v>3</v>
      </c>
      <c r="O22" s="8"/>
      <c r="P22" s="8"/>
      <c r="Q22" s="8"/>
      <c r="R22" s="8"/>
      <c r="S22" s="13">
        <f>(N22/0.1)*1/(O6/P6)</f>
        <v>270</v>
      </c>
      <c r="T22" s="10"/>
      <c r="V22" s="34">
        <v>4</v>
      </c>
      <c r="W22" s="5" t="s">
        <v>11</v>
      </c>
      <c r="X22" s="5"/>
      <c r="Y22" s="5">
        <v>9</v>
      </c>
      <c r="Z22" s="5">
        <v>4</v>
      </c>
      <c r="AA22" s="5">
        <v>0</v>
      </c>
      <c r="AB22" s="5"/>
      <c r="AC22" s="18">
        <f>(Z22/0.1)*100/(W7/X7)</f>
        <v>36000</v>
      </c>
      <c r="AD22" s="10"/>
      <c r="AE22" s="34">
        <v>4</v>
      </c>
      <c r="AF22" s="5" t="s">
        <v>11</v>
      </c>
      <c r="AG22" s="5"/>
      <c r="AH22" s="5"/>
      <c r="AI22" s="5">
        <v>4</v>
      </c>
      <c r="AJ22" s="5">
        <v>1</v>
      </c>
      <c r="AK22" s="5"/>
      <c r="AL22" s="18">
        <f>(AI22/0.1)*100/(AF7/AG7)</f>
        <v>36000</v>
      </c>
      <c r="AM22" s="10"/>
      <c r="AN22" s="3"/>
      <c r="AP22" s="35"/>
      <c r="AQ22" s="5" t="s">
        <v>6</v>
      </c>
      <c r="AR22" s="5">
        <v>0</v>
      </c>
      <c r="AS22" s="5">
        <v>0</v>
      </c>
      <c r="AT22" s="5">
        <v>0</v>
      </c>
      <c r="AU22" s="5"/>
      <c r="AV22" s="5"/>
      <c r="AW22" s="16">
        <f>(AR22/0.1)*1/(AS6/AT6)</f>
        <v>0</v>
      </c>
      <c r="AX22" s="10"/>
      <c r="AZ22" s="35"/>
      <c r="BA22" s="5" t="s">
        <v>6</v>
      </c>
      <c r="BB22" s="5">
        <v>3</v>
      </c>
      <c r="BC22" s="5">
        <v>1</v>
      </c>
      <c r="BD22" s="5">
        <v>0</v>
      </c>
      <c r="BE22" s="5"/>
      <c r="BF22" s="5"/>
      <c r="BG22" s="16">
        <f>(BB22/0.1)*1/(BC6/BD6)</f>
        <v>270</v>
      </c>
      <c r="BJ22" s="35"/>
      <c r="BK22" s="5" t="s">
        <v>6</v>
      </c>
      <c r="BL22" s="5"/>
      <c r="BM22" s="5">
        <v>6</v>
      </c>
      <c r="BN22" s="5">
        <v>1</v>
      </c>
      <c r="BO22" s="5">
        <v>1</v>
      </c>
      <c r="BP22" s="5"/>
      <c r="BQ22" s="16">
        <f>(BM22/0.1)*10/(BM6/BN6)</f>
        <v>5400</v>
      </c>
      <c r="BT22" s="35"/>
      <c r="BU22" s="5" t="s">
        <v>6</v>
      </c>
      <c r="BV22" s="5">
        <v>1</v>
      </c>
      <c r="BW22" s="5">
        <v>0</v>
      </c>
      <c r="BX22" s="5">
        <v>0</v>
      </c>
      <c r="BY22" s="5">
        <v>0</v>
      </c>
      <c r="BZ22" s="5"/>
      <c r="CA22" s="16">
        <f>(BV22/0.1)*1/(BW6/BX6)</f>
        <v>90</v>
      </c>
      <c r="CD22" s="35"/>
      <c r="CE22" s="5" t="s">
        <v>6</v>
      </c>
      <c r="CF22" s="5">
        <v>1</v>
      </c>
      <c r="CG22" s="5"/>
      <c r="CH22" s="5"/>
      <c r="CI22" s="5"/>
      <c r="CJ22" s="5"/>
      <c r="CK22" s="16">
        <f>(CF22/0.1)*1/(CG6/CH6)</f>
        <v>90</v>
      </c>
      <c r="CN22" s="35"/>
      <c r="CO22" s="5" t="s">
        <v>6</v>
      </c>
      <c r="CP22" s="5">
        <v>0</v>
      </c>
      <c r="CQ22" s="5"/>
      <c r="CR22" s="5"/>
      <c r="CS22" s="5"/>
      <c r="CT22" s="5"/>
      <c r="CU22" s="16">
        <f>(CP22/0.1)*1/(CQ6/CR6)</f>
        <v>0</v>
      </c>
    </row>
    <row r="23" spans="2:99" s="4" customFormat="1" ht="14.65" thickBot="1" x14ac:dyDescent="0.5">
      <c r="B23" s="42"/>
      <c r="C23" s="3"/>
      <c r="D23" s="3"/>
      <c r="E23" s="3"/>
      <c r="F23" s="3"/>
      <c r="G23" s="3"/>
      <c r="H23" s="3"/>
      <c r="I23" s="3"/>
      <c r="L23" s="42"/>
      <c r="M23" s="3"/>
      <c r="N23" s="3"/>
      <c r="O23" s="3"/>
      <c r="P23" s="3"/>
      <c r="Q23" s="3"/>
      <c r="R23" s="3"/>
      <c r="S23" s="11"/>
      <c r="T23" s="10"/>
      <c r="V23" s="35"/>
      <c r="W23" s="5" t="s">
        <v>2</v>
      </c>
      <c r="X23" s="5">
        <v>7</v>
      </c>
      <c r="Y23" s="5">
        <v>2</v>
      </c>
      <c r="Z23" s="5">
        <v>0</v>
      </c>
      <c r="AA23" s="5">
        <v>0</v>
      </c>
      <c r="AB23" s="5"/>
      <c r="AC23" s="16">
        <f>(Y23/0.1)*10/(Y7/Z7)</f>
        <v>1799.9999999999998</v>
      </c>
      <c r="AD23" s="10"/>
      <c r="AE23" s="35"/>
      <c r="AF23" s="5" t="s">
        <v>2</v>
      </c>
      <c r="AG23" s="5">
        <v>11</v>
      </c>
      <c r="AH23" s="5">
        <v>3</v>
      </c>
      <c r="AI23" s="5">
        <v>0</v>
      </c>
      <c r="AJ23" s="5"/>
      <c r="AK23" s="5"/>
      <c r="AL23" s="16">
        <f>(AH23/0.1)*10/(AH7/AI7)</f>
        <v>2700</v>
      </c>
      <c r="AM23" s="10"/>
      <c r="AN23" s="3"/>
      <c r="AP23" s="35"/>
      <c r="AQ23" s="5" t="s">
        <v>7</v>
      </c>
      <c r="AR23" s="5">
        <v>1</v>
      </c>
      <c r="AS23" s="5">
        <v>0</v>
      </c>
      <c r="AT23" s="5">
        <v>0</v>
      </c>
      <c r="AU23" s="5"/>
      <c r="AV23" s="5"/>
      <c r="AW23" s="17">
        <f>(AR23/0.1)*1/(AU6/AV6)</f>
        <v>90</v>
      </c>
      <c r="AX23" s="10"/>
      <c r="AZ23" s="35"/>
      <c r="BA23" s="5" t="s">
        <v>7</v>
      </c>
      <c r="BB23" s="5">
        <v>1</v>
      </c>
      <c r="BC23" s="5">
        <v>0</v>
      </c>
      <c r="BD23" s="5">
        <v>0</v>
      </c>
      <c r="BE23" s="5"/>
      <c r="BF23" s="5"/>
      <c r="BG23" s="17">
        <f>(BB23/0.1)*1/(BE6/BF6)</f>
        <v>90</v>
      </c>
      <c r="BJ23" s="35"/>
      <c r="BK23" s="5" t="s">
        <v>7</v>
      </c>
      <c r="BL23" s="5">
        <v>4</v>
      </c>
      <c r="BM23" s="5">
        <v>0</v>
      </c>
      <c r="BN23" s="5">
        <v>0</v>
      </c>
      <c r="BO23" s="5">
        <v>0</v>
      </c>
      <c r="BP23" s="5"/>
      <c r="BQ23" s="17">
        <f>(BL23/0.1)*1/(BO6/BP6)</f>
        <v>360.00000000000006</v>
      </c>
      <c r="BT23" s="35"/>
      <c r="BU23" s="5" t="s">
        <v>7</v>
      </c>
      <c r="BV23" s="5">
        <v>0</v>
      </c>
      <c r="BW23" s="5">
        <v>0</v>
      </c>
      <c r="BX23" s="5">
        <v>0</v>
      </c>
      <c r="BY23" s="5">
        <v>0</v>
      </c>
      <c r="BZ23" s="5"/>
      <c r="CA23" s="17">
        <f>(BV23/0.1)*1/(BY6/BZ6)</f>
        <v>0</v>
      </c>
      <c r="CD23" s="35"/>
      <c r="CE23" s="5" t="s">
        <v>7</v>
      </c>
      <c r="CF23" s="5">
        <v>2</v>
      </c>
      <c r="CG23" s="5"/>
      <c r="CH23" s="5"/>
      <c r="CI23" s="5"/>
      <c r="CJ23" s="5"/>
      <c r="CK23" s="17">
        <f>(CF23/0.1)*1/(CI6/CJ6)</f>
        <v>180</v>
      </c>
      <c r="CN23" s="35"/>
      <c r="CO23" s="5" t="s">
        <v>7</v>
      </c>
      <c r="CP23" s="5">
        <v>0</v>
      </c>
      <c r="CQ23" s="5"/>
      <c r="CR23" s="5"/>
      <c r="CS23" s="5"/>
      <c r="CT23" s="5"/>
      <c r="CU23" s="17">
        <f>(CP23/0.1)*1/(CS6/CT6)</f>
        <v>0</v>
      </c>
    </row>
    <row r="24" spans="2:99" s="4" customFormat="1" ht="14.65" thickBot="1" x14ac:dyDescent="0.5">
      <c r="B24" s="43"/>
      <c r="C24" s="3"/>
      <c r="D24" s="3"/>
      <c r="E24" s="3"/>
      <c r="F24" s="3"/>
      <c r="G24" s="3"/>
      <c r="H24" s="3"/>
      <c r="I24" s="3"/>
      <c r="L24" s="43"/>
      <c r="M24" s="3"/>
      <c r="N24" s="3"/>
      <c r="O24" s="3"/>
      <c r="P24" s="3"/>
      <c r="Q24" s="3"/>
      <c r="R24" s="3"/>
      <c r="S24" s="11"/>
      <c r="T24" s="10"/>
      <c r="V24" s="36"/>
      <c r="W24" s="5" t="s">
        <v>3</v>
      </c>
      <c r="X24" s="5"/>
      <c r="Y24" s="5">
        <v>0</v>
      </c>
      <c r="Z24" s="5">
        <v>0</v>
      </c>
      <c r="AA24" s="5">
        <v>0</v>
      </c>
      <c r="AB24" s="5"/>
      <c r="AC24" s="17">
        <f>(Y24/0.1)*1/(AA7/AB7)</f>
        <v>0</v>
      </c>
      <c r="AD24" s="10"/>
      <c r="AE24" s="36"/>
      <c r="AF24" s="5" t="s">
        <v>3</v>
      </c>
      <c r="AG24" s="5">
        <v>8</v>
      </c>
      <c r="AH24" s="5">
        <v>1</v>
      </c>
      <c r="AI24" s="5">
        <v>1</v>
      </c>
      <c r="AJ24" s="5"/>
      <c r="AK24" s="5"/>
      <c r="AL24" s="17">
        <f>(AH24/0.1)*10/(AJ7/AK7)</f>
        <v>900</v>
      </c>
      <c r="AM24" s="10"/>
      <c r="AN24" s="3"/>
      <c r="AP24" s="36"/>
      <c r="AQ24" s="5"/>
      <c r="AR24" s="5"/>
      <c r="AS24" s="5"/>
      <c r="AT24" s="5"/>
      <c r="AU24" s="5"/>
      <c r="AV24" s="5"/>
      <c r="AW24" s="19"/>
      <c r="AX24" s="10"/>
      <c r="AZ24" s="36"/>
      <c r="BA24" s="5" t="s">
        <v>8</v>
      </c>
      <c r="BB24" s="5">
        <v>1</v>
      </c>
      <c r="BC24" s="5">
        <v>0</v>
      </c>
      <c r="BD24" s="5">
        <v>0</v>
      </c>
      <c r="BE24" s="5"/>
      <c r="BF24" s="5"/>
      <c r="BG24" s="17">
        <f>(BB24/0.1)*1/(BG6/BH6)</f>
        <v>90</v>
      </c>
      <c r="BJ24" s="36"/>
      <c r="BK24" s="5" t="s">
        <v>8</v>
      </c>
      <c r="BL24" s="5">
        <v>18</v>
      </c>
      <c r="BM24" s="5">
        <v>2</v>
      </c>
      <c r="BN24" s="5">
        <v>1</v>
      </c>
      <c r="BO24" s="5"/>
      <c r="BP24" s="5"/>
      <c r="BQ24" s="17">
        <f>(BL24/0.1)*1/(BQ6/BR6)</f>
        <v>1620</v>
      </c>
      <c r="BT24" s="36"/>
      <c r="BU24" s="5" t="s">
        <v>8</v>
      </c>
      <c r="BV24" s="5">
        <v>7</v>
      </c>
      <c r="BW24" s="5">
        <v>0</v>
      </c>
      <c r="BX24" s="5">
        <v>0</v>
      </c>
      <c r="BY24" s="5">
        <v>0</v>
      </c>
      <c r="BZ24" s="5"/>
      <c r="CA24" s="17">
        <f>(BV24/0.1)*1/(CA6/CB6)</f>
        <v>630</v>
      </c>
      <c r="CD24" s="36"/>
      <c r="CE24" s="5" t="s">
        <v>8</v>
      </c>
      <c r="CF24" s="5">
        <v>3</v>
      </c>
      <c r="CG24" s="5"/>
      <c r="CH24" s="5"/>
      <c r="CI24" s="5"/>
      <c r="CJ24" s="5"/>
      <c r="CK24" s="17">
        <f>(CF24/0.1)*1/(CK6/CL6)</f>
        <v>270</v>
      </c>
      <c r="CN24" s="36"/>
      <c r="CO24" s="5" t="s">
        <v>8</v>
      </c>
      <c r="CP24" s="5">
        <v>0</v>
      </c>
      <c r="CQ24" s="5"/>
      <c r="CR24" s="5"/>
      <c r="CS24" s="5"/>
      <c r="CT24" s="5"/>
      <c r="CU24" s="17">
        <f>(CP24/0.1)*1/(CU6/CV6)</f>
        <v>0</v>
      </c>
    </row>
    <row r="25" spans="2:99" s="22" customFormat="1" ht="14.65" thickBot="1" x14ac:dyDescent="0.5">
      <c r="B25" s="34">
        <v>4</v>
      </c>
      <c r="C25" s="20" t="s">
        <v>11</v>
      </c>
      <c r="D25" s="20">
        <v>12</v>
      </c>
      <c r="E25" s="20">
        <v>1</v>
      </c>
      <c r="F25" s="20"/>
      <c r="G25" s="20"/>
      <c r="H25" s="20"/>
      <c r="I25" s="21">
        <f>(D25/0.1)*1/(C7/D7)</f>
        <v>1080</v>
      </c>
      <c r="L25" s="34">
        <v>4</v>
      </c>
      <c r="M25" s="23" t="s">
        <v>11</v>
      </c>
      <c r="N25" s="23">
        <v>8</v>
      </c>
      <c r="O25" s="23"/>
      <c r="P25" s="23"/>
      <c r="Q25" s="23"/>
      <c r="R25" s="23"/>
      <c r="S25" s="24">
        <f>(N25/0.1)*1/(M7/N7)</f>
        <v>720</v>
      </c>
      <c r="T25" s="25"/>
      <c r="V25" s="34">
        <v>5</v>
      </c>
      <c r="W25" s="23" t="s">
        <v>11</v>
      </c>
      <c r="X25" s="23"/>
      <c r="Y25" s="23">
        <v>5</v>
      </c>
      <c r="Z25" s="23">
        <v>1</v>
      </c>
      <c r="AA25" s="23">
        <v>0</v>
      </c>
      <c r="AB25" s="23"/>
      <c r="AC25" s="28">
        <f>(Y25/0.1)*10/(W8/X8)</f>
        <v>4500</v>
      </c>
      <c r="AD25" s="25"/>
      <c r="AE25" s="34">
        <v>5</v>
      </c>
      <c r="AF25" s="23" t="s">
        <v>11</v>
      </c>
      <c r="AG25" s="23">
        <v>16</v>
      </c>
      <c r="AH25" s="23">
        <v>8</v>
      </c>
      <c r="AI25" s="23">
        <v>0</v>
      </c>
      <c r="AJ25" s="23"/>
      <c r="AK25" s="23"/>
      <c r="AL25" s="28">
        <f>(AH25/0.1)*10/(AF8/AG8)</f>
        <v>7200</v>
      </c>
      <c r="AM25" s="25"/>
      <c r="AN25" s="27"/>
      <c r="AP25" s="34">
        <v>4</v>
      </c>
      <c r="AQ25" s="23" t="s">
        <v>11</v>
      </c>
      <c r="AR25" s="23">
        <v>10</v>
      </c>
      <c r="AS25" s="23">
        <v>0</v>
      </c>
      <c r="AT25" s="23">
        <v>0</v>
      </c>
      <c r="AU25" s="23"/>
      <c r="AV25" s="23"/>
      <c r="AW25" s="28">
        <f>(AR25/0.1)*1/(AQ7/AR7)</f>
        <v>900.00000000000011</v>
      </c>
      <c r="AX25" s="25"/>
      <c r="AZ25" s="34">
        <v>4</v>
      </c>
      <c r="BA25" s="23" t="s">
        <v>11</v>
      </c>
      <c r="BB25" s="23"/>
      <c r="BC25" s="23"/>
      <c r="BD25" s="23">
        <v>0</v>
      </c>
      <c r="BE25" s="23">
        <v>10</v>
      </c>
      <c r="BF25" s="23"/>
      <c r="BG25" s="28">
        <f>(BE25/0.1)*1000/(BA7/BB7)</f>
        <v>899999.99999999988</v>
      </c>
      <c r="BJ25" s="34">
        <v>4</v>
      </c>
      <c r="BK25" s="23" t="s">
        <v>11</v>
      </c>
      <c r="BL25" s="23"/>
      <c r="BM25" s="23">
        <v>20</v>
      </c>
      <c r="BN25" s="23">
        <v>2</v>
      </c>
      <c r="BO25" s="23">
        <v>0</v>
      </c>
      <c r="BP25" s="23"/>
      <c r="BQ25" s="28">
        <f>(BM25/0.1)*10/(BK7/BL7)</f>
        <v>18000</v>
      </c>
      <c r="BT25" s="34">
        <v>4</v>
      </c>
      <c r="BU25" s="23" t="s">
        <v>11</v>
      </c>
      <c r="BV25" s="23"/>
      <c r="BW25" s="23">
        <v>5</v>
      </c>
      <c r="BX25" s="23">
        <v>1</v>
      </c>
      <c r="BY25" s="23">
        <v>4</v>
      </c>
      <c r="BZ25" s="23"/>
      <c r="CA25" s="28">
        <f>(BY25/0.1)*1000/(BU7/BV7)</f>
        <v>360000</v>
      </c>
      <c r="CD25" s="34">
        <v>4</v>
      </c>
      <c r="CE25" s="23" t="s">
        <v>11</v>
      </c>
      <c r="CF25" s="23">
        <v>33</v>
      </c>
      <c r="CG25" s="23">
        <v>5</v>
      </c>
      <c r="CH25" s="23">
        <v>2</v>
      </c>
      <c r="CI25" s="23">
        <v>0</v>
      </c>
      <c r="CJ25" s="23"/>
      <c r="CK25" s="28">
        <f>(CF25/0.1)*1/(CE7/CF7)</f>
        <v>2970</v>
      </c>
      <c r="CN25" s="34">
        <v>4</v>
      </c>
      <c r="CO25" s="23" t="s">
        <v>11</v>
      </c>
      <c r="CP25" s="23">
        <v>14</v>
      </c>
      <c r="CQ25" s="23">
        <v>1</v>
      </c>
      <c r="CR25" s="23">
        <v>1</v>
      </c>
      <c r="CS25" s="23"/>
      <c r="CT25" s="23"/>
      <c r="CU25" s="28">
        <f>(CP25/0.1)*1/(CO7/CP7)</f>
        <v>1260</v>
      </c>
    </row>
    <row r="26" spans="2:99" s="4" customFormat="1" ht="14.65" thickBot="1" x14ac:dyDescent="0.5">
      <c r="B26" s="42"/>
      <c r="C26" s="3"/>
      <c r="D26" s="3"/>
      <c r="E26" s="3"/>
      <c r="F26" s="3"/>
      <c r="G26" s="3"/>
      <c r="H26" s="3"/>
      <c r="I26" s="3"/>
      <c r="L26" s="35"/>
      <c r="M26" s="8" t="s">
        <v>6</v>
      </c>
      <c r="N26" s="8">
        <v>2</v>
      </c>
      <c r="O26" s="8"/>
      <c r="P26" s="8"/>
      <c r="Q26" s="8"/>
      <c r="R26" s="8"/>
      <c r="S26" s="13">
        <f>(N26/0.1)*1/(O7/P7)</f>
        <v>180</v>
      </c>
      <c r="T26" s="10"/>
      <c r="V26" s="35"/>
      <c r="W26" s="5" t="s">
        <v>2</v>
      </c>
      <c r="X26" s="5"/>
      <c r="Y26" s="5"/>
      <c r="Z26" s="5">
        <v>5</v>
      </c>
      <c r="AA26" s="5">
        <v>0</v>
      </c>
      <c r="AB26" s="5"/>
      <c r="AC26" s="16">
        <f>(Z26/0.1)*100/(Y8/Z8)</f>
        <v>45000</v>
      </c>
      <c r="AD26" s="10"/>
      <c r="AE26" s="35"/>
      <c r="AF26" s="5" t="s">
        <v>2</v>
      </c>
      <c r="AG26" s="5">
        <v>1</v>
      </c>
      <c r="AH26" s="5"/>
      <c r="AI26" s="5">
        <v>0</v>
      </c>
      <c r="AJ26" s="5"/>
      <c r="AK26" s="5"/>
      <c r="AL26" s="16">
        <f>(AG26/0.1)*1/(AH8/AI8)</f>
        <v>90.000000000000014</v>
      </c>
      <c r="AM26" s="10"/>
      <c r="AN26" s="3"/>
      <c r="AP26" s="35"/>
      <c r="AQ26" s="5" t="s">
        <v>6</v>
      </c>
      <c r="AR26" s="5">
        <v>0</v>
      </c>
      <c r="AS26" s="5">
        <v>0</v>
      </c>
      <c r="AT26" s="5">
        <v>0</v>
      </c>
      <c r="AU26" s="5"/>
      <c r="AV26" s="5"/>
      <c r="AW26" s="16">
        <f>(AS26/0.1)*10/(AS7/AT7)</f>
        <v>0</v>
      </c>
      <c r="AX26" s="10"/>
      <c r="AZ26" s="35"/>
      <c r="BA26" s="5" t="s">
        <v>6</v>
      </c>
      <c r="BB26" s="5">
        <v>0</v>
      </c>
      <c r="BC26" s="5">
        <v>0</v>
      </c>
      <c r="BD26" s="5">
        <v>0</v>
      </c>
      <c r="BE26" s="5"/>
      <c r="BF26" s="5"/>
      <c r="BG26" s="16">
        <f>(BC26/0.1)*10/(BC7/BD7)</f>
        <v>0</v>
      </c>
      <c r="BJ26" s="35"/>
      <c r="BK26" s="5" t="s">
        <v>6</v>
      </c>
      <c r="BL26" s="5">
        <v>10</v>
      </c>
      <c r="BM26" s="5">
        <v>0</v>
      </c>
      <c r="BN26" s="5">
        <v>0</v>
      </c>
      <c r="BO26" s="5">
        <v>0</v>
      </c>
      <c r="BP26" s="5"/>
      <c r="BQ26" s="16">
        <f>(BL27/0.1)*1/(BM7/BN7)</f>
        <v>630</v>
      </c>
      <c r="BT26" s="35"/>
      <c r="BU26" s="5" t="s">
        <v>6</v>
      </c>
      <c r="BV26" s="5">
        <v>6</v>
      </c>
      <c r="BW26" s="5">
        <v>1</v>
      </c>
      <c r="BX26" s="5">
        <v>0</v>
      </c>
      <c r="BY26" s="5">
        <v>0</v>
      </c>
      <c r="BZ26" s="5"/>
      <c r="CA26" s="16">
        <f>(BV26/0.1)*1/(BW7/BX7)</f>
        <v>540</v>
      </c>
      <c r="CD26" s="35"/>
      <c r="CE26" s="5" t="s">
        <v>6</v>
      </c>
      <c r="CF26" s="5">
        <v>1</v>
      </c>
      <c r="CG26" s="5"/>
      <c r="CH26" s="5"/>
      <c r="CI26" s="5"/>
      <c r="CJ26" s="5"/>
      <c r="CK26" s="16">
        <f>(CG26/0.1)*10/(CG7/CH7)</f>
        <v>0</v>
      </c>
      <c r="CN26" s="35"/>
      <c r="CO26" s="5" t="s">
        <v>6</v>
      </c>
      <c r="CP26" s="5">
        <v>0</v>
      </c>
      <c r="CQ26" s="5"/>
      <c r="CR26" s="5"/>
      <c r="CS26" s="5"/>
      <c r="CT26" s="5"/>
      <c r="CU26" s="16">
        <f>(CQ26/0.1)*10/(CQ7/CR7)</f>
        <v>0</v>
      </c>
    </row>
    <row r="27" spans="2:99" s="4" customFormat="1" ht="14.65" thickBot="1" x14ac:dyDescent="0.5">
      <c r="B27" s="42"/>
      <c r="C27" s="3"/>
      <c r="D27" s="3"/>
      <c r="E27" s="3"/>
      <c r="F27" s="3"/>
      <c r="G27" s="3"/>
      <c r="H27" s="3"/>
      <c r="I27" s="3"/>
      <c r="L27" s="42"/>
      <c r="M27" s="3"/>
      <c r="N27" s="3"/>
      <c r="O27" s="3"/>
      <c r="P27" s="3"/>
      <c r="Q27" s="3"/>
      <c r="R27" s="3"/>
      <c r="S27" s="11"/>
      <c r="T27" s="10"/>
      <c r="V27" s="36"/>
      <c r="W27" s="5" t="s">
        <v>3</v>
      </c>
      <c r="X27" s="5">
        <v>2</v>
      </c>
      <c r="Y27" s="5">
        <v>0</v>
      </c>
      <c r="Z27" s="5">
        <v>0</v>
      </c>
      <c r="AA27" s="5">
        <v>0</v>
      </c>
      <c r="AB27" s="5"/>
      <c r="AC27" s="17">
        <f>(X27/0.1)*1/(AA8/AB8)</f>
        <v>180</v>
      </c>
      <c r="AD27" s="10"/>
      <c r="AE27" s="36"/>
      <c r="AF27" s="5" t="s">
        <v>3</v>
      </c>
      <c r="AG27" s="5">
        <v>1</v>
      </c>
      <c r="AH27" s="5">
        <v>0</v>
      </c>
      <c r="AI27" s="5">
        <v>0</v>
      </c>
      <c r="AJ27" s="5"/>
      <c r="AK27" s="5"/>
      <c r="AL27" s="17">
        <f>(AG27/0.1)*1/(AJ8/AK8)</f>
        <v>90</v>
      </c>
      <c r="AM27" s="10"/>
      <c r="AN27" s="3"/>
      <c r="AP27" s="35"/>
      <c r="AQ27" s="5" t="s">
        <v>7</v>
      </c>
      <c r="AR27" s="5">
        <v>3</v>
      </c>
      <c r="AS27" s="5">
        <v>0</v>
      </c>
      <c r="AT27" s="5">
        <v>0</v>
      </c>
      <c r="AU27" s="5"/>
      <c r="AV27" s="5"/>
      <c r="AW27" s="17">
        <f>(AR27/0.1)*1/(AU7/AV7)</f>
        <v>270</v>
      </c>
      <c r="AX27" s="10"/>
      <c r="AZ27" s="35"/>
      <c r="BA27" s="5" t="s">
        <v>7</v>
      </c>
      <c r="BB27" s="5">
        <v>1</v>
      </c>
      <c r="BC27" s="5">
        <v>0</v>
      </c>
      <c r="BD27" s="5">
        <v>0</v>
      </c>
      <c r="BE27" s="5"/>
      <c r="BF27" s="5"/>
      <c r="BG27" s="17">
        <f>(BB27/0.1)*1/(BE7/BF7)</f>
        <v>90</v>
      </c>
      <c r="BJ27" s="35"/>
      <c r="BK27" s="5" t="s">
        <v>7</v>
      </c>
      <c r="BL27" s="5">
        <v>7</v>
      </c>
      <c r="BM27" s="5">
        <v>0</v>
      </c>
      <c r="BN27" s="5">
        <v>0</v>
      </c>
      <c r="BO27" s="5">
        <v>0</v>
      </c>
      <c r="BP27" s="5"/>
      <c r="BQ27" s="17">
        <f>(BL27/0.1)*1/(BO7/BP7)</f>
        <v>630</v>
      </c>
      <c r="BT27" s="35"/>
      <c r="BU27" s="5" t="s">
        <v>7</v>
      </c>
      <c r="BV27" s="5">
        <v>3</v>
      </c>
      <c r="BW27" s="5">
        <v>2</v>
      </c>
      <c r="BX27" s="5">
        <v>0</v>
      </c>
      <c r="BY27" s="5">
        <v>0</v>
      </c>
      <c r="BZ27" s="5"/>
      <c r="CA27" s="17">
        <f>(BV27/0.1)*1/(BY7/BZ7)</f>
        <v>270</v>
      </c>
      <c r="CD27" s="35"/>
      <c r="CE27" s="5" t="s">
        <v>7</v>
      </c>
      <c r="CF27" s="5">
        <v>0</v>
      </c>
      <c r="CG27" s="5"/>
      <c r="CH27" s="5"/>
      <c r="CI27" s="5"/>
      <c r="CJ27" s="5"/>
      <c r="CK27" s="17">
        <f>(CF27/0.1)*1/(CI7/CJ7)</f>
        <v>0</v>
      </c>
      <c r="CN27" s="35"/>
      <c r="CO27" s="5" t="s">
        <v>7</v>
      </c>
      <c r="CP27" s="5">
        <v>0</v>
      </c>
      <c r="CQ27" s="5"/>
      <c r="CR27" s="5"/>
      <c r="CS27" s="5"/>
      <c r="CT27" s="5"/>
      <c r="CU27" s="17">
        <f>(CP27/0.1)*1/(CS7/CT7)</f>
        <v>0</v>
      </c>
    </row>
    <row r="28" spans="2:99" s="4" customFormat="1" ht="14.65" thickBot="1" x14ac:dyDescent="0.5">
      <c r="B28" s="43"/>
      <c r="C28" s="3"/>
      <c r="D28" s="3"/>
      <c r="E28" s="3"/>
      <c r="F28" s="3"/>
      <c r="G28" s="3"/>
      <c r="H28" s="3"/>
      <c r="I28" s="3"/>
      <c r="L28" s="43"/>
      <c r="M28" s="3"/>
      <c r="N28" s="3"/>
      <c r="O28" s="3"/>
      <c r="P28" s="3"/>
      <c r="Q28" s="3"/>
      <c r="R28" s="3"/>
      <c r="S28" s="11"/>
      <c r="T28" s="10"/>
      <c r="V28" s="34">
        <v>6</v>
      </c>
      <c r="W28" s="5" t="s">
        <v>11</v>
      </c>
      <c r="X28" s="5">
        <v>18</v>
      </c>
      <c r="Y28" s="5">
        <v>2</v>
      </c>
      <c r="Z28" s="5">
        <v>4</v>
      </c>
      <c r="AA28" s="5">
        <v>0</v>
      </c>
      <c r="AB28" s="5"/>
      <c r="AC28" s="18">
        <f>(Z28/0.1)*100/(W9/X9)</f>
        <v>36000</v>
      </c>
      <c r="AD28" s="10"/>
      <c r="AE28" s="34">
        <v>6</v>
      </c>
      <c r="AF28" s="5" t="s">
        <v>11</v>
      </c>
      <c r="AG28" s="5">
        <v>15</v>
      </c>
      <c r="AH28" s="5">
        <v>2</v>
      </c>
      <c r="AI28" s="5">
        <v>0</v>
      </c>
      <c r="AJ28" s="5"/>
      <c r="AK28" s="5"/>
      <c r="AL28" s="18">
        <f>(AG28/0.1)*1/(AF9/AG9)</f>
        <v>1350</v>
      </c>
      <c r="AM28" s="10"/>
      <c r="AN28" s="3"/>
      <c r="AP28" s="36"/>
      <c r="AQ28" s="5"/>
      <c r="AR28" s="5"/>
      <c r="AS28" s="5"/>
      <c r="AT28" s="5"/>
      <c r="AU28" s="5"/>
      <c r="AV28" s="5"/>
      <c r="AW28" s="19"/>
      <c r="AX28" s="10"/>
      <c r="AZ28" s="36"/>
      <c r="BA28" s="5" t="s">
        <v>8</v>
      </c>
      <c r="BB28" s="5">
        <v>3</v>
      </c>
      <c r="BC28" s="5">
        <v>0</v>
      </c>
      <c r="BD28" s="5">
        <v>0</v>
      </c>
      <c r="BE28" s="5"/>
      <c r="BF28" s="5"/>
      <c r="BG28" s="17">
        <f>(BB28/0.1)*1/(BG7/BH7)</f>
        <v>270</v>
      </c>
      <c r="BJ28" s="36"/>
      <c r="BK28" s="5" t="s">
        <v>8</v>
      </c>
      <c r="BL28" s="5">
        <v>23</v>
      </c>
      <c r="BM28" s="5">
        <v>4</v>
      </c>
      <c r="BN28" s="5">
        <v>1</v>
      </c>
      <c r="BO28" s="5"/>
      <c r="BP28" s="5"/>
      <c r="BQ28" s="17">
        <f>(BL28/0.1)*1/(BQ7/BR7)</f>
        <v>2070</v>
      </c>
      <c r="BT28" s="36"/>
      <c r="BU28" s="5" t="s">
        <v>8</v>
      </c>
      <c r="BV28" s="5">
        <v>4</v>
      </c>
      <c r="BW28" s="5">
        <v>0</v>
      </c>
      <c r="BX28" s="5">
        <v>0</v>
      </c>
      <c r="BY28" s="5">
        <v>0</v>
      </c>
      <c r="BZ28" s="5"/>
      <c r="CA28" s="17">
        <f>(BV28/0.1)*1/(CA7/CB7)</f>
        <v>360</v>
      </c>
      <c r="CD28" s="36"/>
      <c r="CE28" s="5" t="s">
        <v>8</v>
      </c>
      <c r="CF28" s="5">
        <v>3</v>
      </c>
      <c r="CG28" s="5"/>
      <c r="CH28" s="5"/>
      <c r="CI28" s="5"/>
      <c r="CJ28" s="5"/>
      <c r="CK28" s="17">
        <f>(CF28/0.1)*1/(CK7/CL7)</f>
        <v>270</v>
      </c>
      <c r="CN28" s="36"/>
      <c r="CO28" s="5" t="s">
        <v>8</v>
      </c>
      <c r="CP28" s="5">
        <v>0</v>
      </c>
      <c r="CQ28" s="5"/>
      <c r="CR28" s="5"/>
      <c r="CS28" s="5"/>
      <c r="CT28" s="5"/>
      <c r="CU28" s="17">
        <f>(CP28/0.1)*1/(CU7/CV7)</f>
        <v>0</v>
      </c>
    </row>
    <row r="29" spans="2:99" s="22" customFormat="1" ht="14.65" thickBot="1" x14ac:dyDescent="0.5">
      <c r="B29" s="34">
        <v>5</v>
      </c>
      <c r="C29" s="20" t="s">
        <v>11</v>
      </c>
      <c r="D29" s="20">
        <v>3</v>
      </c>
      <c r="E29" s="20">
        <v>5</v>
      </c>
      <c r="F29" s="20">
        <v>2</v>
      </c>
      <c r="G29" s="20"/>
      <c r="H29" s="20"/>
      <c r="I29" s="24">
        <f>(E29/0.1)*10/(C8/D8)</f>
        <v>4500</v>
      </c>
      <c r="L29" s="34">
        <v>5</v>
      </c>
      <c r="M29" s="23" t="s">
        <v>11</v>
      </c>
      <c r="N29" s="23">
        <v>17</v>
      </c>
      <c r="O29" s="23">
        <v>2</v>
      </c>
      <c r="P29" s="23"/>
      <c r="Q29" s="23"/>
      <c r="R29" s="23"/>
      <c r="S29" s="24">
        <f>(O29/0.1)*10/(M8/N8)</f>
        <v>1799.9999999999998</v>
      </c>
      <c r="T29" s="25"/>
      <c r="V29" s="35"/>
      <c r="W29" s="23" t="s">
        <v>2</v>
      </c>
      <c r="X29" s="23"/>
      <c r="Y29" s="23"/>
      <c r="Z29" s="23">
        <v>7</v>
      </c>
      <c r="AA29" s="23">
        <v>0</v>
      </c>
      <c r="AB29" s="23"/>
      <c r="AC29" s="26">
        <f>(Z29/0.1)*100/(Y9/Z9)</f>
        <v>63000</v>
      </c>
      <c r="AD29" s="25"/>
      <c r="AE29" s="35"/>
      <c r="AF29" s="23" t="s">
        <v>2</v>
      </c>
      <c r="AG29" s="23">
        <v>11</v>
      </c>
      <c r="AH29" s="23">
        <v>1</v>
      </c>
      <c r="AI29" s="23">
        <v>0</v>
      </c>
      <c r="AJ29" s="23"/>
      <c r="AK29" s="23"/>
      <c r="AL29" s="26">
        <f>(AG29/0.1)*1/(AH9/AI9)</f>
        <v>990</v>
      </c>
      <c r="AM29" s="25"/>
      <c r="AN29" s="27"/>
      <c r="AP29" s="34">
        <v>5</v>
      </c>
      <c r="AQ29" s="23" t="s">
        <v>11</v>
      </c>
      <c r="AR29" s="23"/>
      <c r="AS29" s="23">
        <v>10</v>
      </c>
      <c r="AT29" s="23">
        <v>1</v>
      </c>
      <c r="AU29" s="23">
        <v>1</v>
      </c>
      <c r="AV29" s="23"/>
      <c r="AW29" s="28">
        <f>(AS29/0.1)*10/(AQ8/AR8)</f>
        <v>9000</v>
      </c>
      <c r="AX29" s="25"/>
      <c r="AZ29" s="34">
        <v>5</v>
      </c>
      <c r="BA29" s="23" t="s">
        <v>11</v>
      </c>
      <c r="BB29" s="23"/>
      <c r="BC29" s="23"/>
      <c r="BD29" s="23"/>
      <c r="BE29" s="23">
        <v>11</v>
      </c>
      <c r="BF29" s="23"/>
      <c r="BG29" s="28">
        <f>(BE29/0.1)*1000/(BA8/BB8)</f>
        <v>990000</v>
      </c>
      <c r="BJ29" s="34">
        <v>5</v>
      </c>
      <c r="BK29" s="23" t="s">
        <v>11</v>
      </c>
      <c r="BL29" s="23"/>
      <c r="BM29" s="23">
        <v>3</v>
      </c>
      <c r="BN29" s="23">
        <v>0</v>
      </c>
      <c r="BO29" s="23">
        <v>0</v>
      </c>
      <c r="BP29" s="23"/>
      <c r="BQ29" s="28">
        <f>(BM29/0.1)*10/(BK8/BL8)</f>
        <v>2700</v>
      </c>
      <c r="BT29" s="34">
        <v>5</v>
      </c>
      <c r="BU29" s="23" t="s">
        <v>11</v>
      </c>
      <c r="BV29" s="23"/>
      <c r="BW29" s="23"/>
      <c r="BX29" s="23">
        <v>22</v>
      </c>
      <c r="BY29" s="23">
        <v>4</v>
      </c>
      <c r="BZ29" s="23"/>
      <c r="CA29" s="28">
        <f>(BX29/0.1)*100/(BU8/BV8)</f>
        <v>198000</v>
      </c>
      <c r="CD29" s="34">
        <v>5</v>
      </c>
      <c r="CE29" s="23" t="s">
        <v>11</v>
      </c>
      <c r="CF29" s="23">
        <v>12</v>
      </c>
      <c r="CG29" s="23"/>
      <c r="CH29" s="23"/>
      <c r="CI29" s="23"/>
      <c r="CJ29" s="23"/>
      <c r="CK29" s="28">
        <f>(CF29/0.1)*1/(CE8/CF8)</f>
        <v>1080</v>
      </c>
      <c r="CN29" s="34">
        <v>5</v>
      </c>
      <c r="CO29" s="23" t="s">
        <v>11</v>
      </c>
      <c r="CP29" s="23">
        <v>4</v>
      </c>
      <c r="CQ29" s="23"/>
      <c r="CR29" s="23"/>
      <c r="CS29" s="23"/>
      <c r="CT29" s="23"/>
      <c r="CU29" s="28">
        <f>(CP29/0.1)*1/(CO8/CP8)</f>
        <v>360</v>
      </c>
    </row>
    <row r="30" spans="2:99" s="4" customFormat="1" ht="14.65" thickBot="1" x14ac:dyDescent="0.5">
      <c r="B30" s="42"/>
      <c r="C30" s="3"/>
      <c r="D30" s="3"/>
      <c r="E30" s="3"/>
      <c r="F30" s="3"/>
      <c r="G30" s="3"/>
      <c r="H30" s="3"/>
      <c r="I30" s="11"/>
      <c r="L30" s="35"/>
      <c r="M30" s="8" t="s">
        <v>6</v>
      </c>
      <c r="N30" s="8"/>
      <c r="O30" s="8">
        <v>18</v>
      </c>
      <c r="P30" s="8"/>
      <c r="Q30" s="8"/>
      <c r="R30" s="8"/>
      <c r="S30" s="13">
        <f>(O30/0.1)*10/(O8/P8)</f>
        <v>16200</v>
      </c>
      <c r="T30" s="10"/>
      <c r="V30" s="36"/>
      <c r="W30" s="5" t="s">
        <v>3</v>
      </c>
      <c r="X30" s="5">
        <v>0</v>
      </c>
      <c r="Y30" s="5">
        <v>0</v>
      </c>
      <c r="Z30" s="5">
        <v>0</v>
      </c>
      <c r="AA30" s="5">
        <v>0</v>
      </c>
      <c r="AB30" s="5"/>
      <c r="AC30" s="17">
        <f>(X30/0.1)*1/(AA9/AB9)</f>
        <v>0</v>
      </c>
      <c r="AD30" s="10"/>
      <c r="AE30" s="36"/>
      <c r="AF30" s="5" t="s">
        <v>3</v>
      </c>
      <c r="AG30" s="5">
        <v>4</v>
      </c>
      <c r="AH30" s="5"/>
      <c r="AI30" s="5">
        <v>0</v>
      </c>
      <c r="AJ30" s="5"/>
      <c r="AK30" s="5"/>
      <c r="AL30" s="17">
        <f>(AG30/0.1)*1/(AJ9/AK9)</f>
        <v>360</v>
      </c>
      <c r="AM30" s="10"/>
      <c r="AN30" s="3"/>
      <c r="AP30" s="35"/>
      <c r="AQ30" s="5" t="s">
        <v>6</v>
      </c>
      <c r="AR30" s="5">
        <v>0</v>
      </c>
      <c r="AS30" s="5">
        <v>0</v>
      </c>
      <c r="AT30" s="5">
        <v>0</v>
      </c>
      <c r="AU30" s="5"/>
      <c r="AV30" s="5"/>
      <c r="AW30" s="16">
        <f>(AR30/0.1)*1/(AS8/AT8)</f>
        <v>0</v>
      </c>
      <c r="AX30" s="10"/>
      <c r="AZ30" s="35"/>
      <c r="BA30" s="5" t="s">
        <v>6</v>
      </c>
      <c r="BB30" s="5">
        <v>12</v>
      </c>
      <c r="BC30" s="5">
        <v>4</v>
      </c>
      <c r="BD30" s="5">
        <v>0</v>
      </c>
      <c r="BE30" s="5"/>
      <c r="BF30" s="5"/>
      <c r="BG30" s="16">
        <f>(BC30/0.1)*10/(BC8/BD8)</f>
        <v>3599.9999999999995</v>
      </c>
      <c r="BJ30" s="35"/>
      <c r="BK30" s="5" t="s">
        <v>6</v>
      </c>
      <c r="BL30" s="5">
        <v>2</v>
      </c>
      <c r="BM30" s="5">
        <v>0</v>
      </c>
      <c r="BN30" s="5">
        <v>0</v>
      </c>
      <c r="BO30" s="5">
        <v>0</v>
      </c>
      <c r="BP30" s="5"/>
      <c r="BQ30" s="16">
        <f>(BL30/0.1)*1/(BM8/BN8)</f>
        <v>180</v>
      </c>
      <c r="BT30" s="35"/>
      <c r="BU30" s="5" t="s">
        <v>6</v>
      </c>
      <c r="BV30" s="5">
        <v>1</v>
      </c>
      <c r="BW30" s="5">
        <v>0</v>
      </c>
      <c r="BX30" s="5">
        <v>0</v>
      </c>
      <c r="BY30" s="5">
        <v>0</v>
      </c>
      <c r="BZ30" s="5"/>
      <c r="CA30" s="16">
        <f>(BV30/0.1)*1/(BW8/BX8)</f>
        <v>90</v>
      </c>
      <c r="CD30" s="35"/>
      <c r="CE30" s="5" t="s">
        <v>6</v>
      </c>
      <c r="CF30" s="5">
        <v>3</v>
      </c>
      <c r="CG30" s="5"/>
      <c r="CH30" s="5"/>
      <c r="CI30" s="5"/>
      <c r="CJ30" s="5"/>
      <c r="CK30" s="16">
        <f>(CF30/0.1)*1/(CG8/CH8)</f>
        <v>270</v>
      </c>
      <c r="CN30" s="35"/>
      <c r="CO30" s="5" t="s">
        <v>6</v>
      </c>
      <c r="CP30" s="5">
        <v>0</v>
      </c>
      <c r="CQ30" s="5"/>
      <c r="CR30" s="5"/>
      <c r="CS30" s="5"/>
      <c r="CT30" s="5"/>
      <c r="CU30" s="16">
        <f>(CP30/0.1)*1/(CQ8/CR8)</f>
        <v>0</v>
      </c>
    </row>
    <row r="31" spans="2:99" s="4" customFormat="1" ht="14.65" thickBot="1" x14ac:dyDescent="0.5">
      <c r="B31" s="42"/>
      <c r="C31" s="3"/>
      <c r="D31" s="3"/>
      <c r="E31" s="3"/>
      <c r="F31" s="3"/>
      <c r="G31" s="3"/>
      <c r="H31" s="3"/>
      <c r="I31" s="11"/>
      <c r="L31" s="42"/>
      <c r="M31" s="3"/>
      <c r="N31" s="3"/>
      <c r="O31" s="3"/>
      <c r="P31" s="3"/>
      <c r="Q31" s="3"/>
      <c r="R31" s="3"/>
      <c r="S31" s="11"/>
      <c r="T31" s="10"/>
      <c r="V31" s="3"/>
      <c r="W31" s="3"/>
      <c r="X31" s="3"/>
      <c r="Y31" s="3"/>
      <c r="Z31" s="3"/>
      <c r="AA31" s="3"/>
      <c r="AB31" s="3"/>
      <c r="AC31" s="11"/>
      <c r="AD31" s="10"/>
      <c r="AF31" s="3"/>
      <c r="AG31" s="3"/>
      <c r="AH31" s="3"/>
      <c r="AI31" s="3"/>
      <c r="AJ31" s="3"/>
      <c r="AK31" s="3"/>
      <c r="AL31" s="11"/>
      <c r="AM31" s="11"/>
      <c r="AN31" s="3"/>
      <c r="AP31" s="35"/>
      <c r="AQ31" s="5" t="s">
        <v>7</v>
      </c>
      <c r="AR31" s="5">
        <v>1</v>
      </c>
      <c r="AS31" s="5">
        <v>0</v>
      </c>
      <c r="AT31" s="5">
        <v>0</v>
      </c>
      <c r="AU31" s="5"/>
      <c r="AV31" s="5"/>
      <c r="AW31" s="17">
        <f>(AR31/0.1)*1/(AU8/AV8)</f>
        <v>90</v>
      </c>
      <c r="AX31" s="10"/>
      <c r="AZ31" s="35"/>
      <c r="BA31" s="5" t="s">
        <v>7</v>
      </c>
      <c r="BB31" s="5">
        <v>8</v>
      </c>
      <c r="BC31" s="5">
        <v>3</v>
      </c>
      <c r="BD31" s="5">
        <v>0</v>
      </c>
      <c r="BE31" s="5"/>
      <c r="BF31" s="5"/>
      <c r="BG31" s="17">
        <f>(BC31/0.1)*10/(BE8/BF8)</f>
        <v>2700</v>
      </c>
      <c r="BJ31" s="35"/>
      <c r="BK31" s="5" t="s">
        <v>7</v>
      </c>
      <c r="BL31" s="5">
        <v>1</v>
      </c>
      <c r="BM31" s="5">
        <v>0</v>
      </c>
      <c r="BN31" s="5">
        <v>0</v>
      </c>
      <c r="BO31" s="5">
        <v>0</v>
      </c>
      <c r="BP31" s="5"/>
      <c r="BQ31" s="17">
        <f>(BL31/0.1)*1/(BO8/BP8)</f>
        <v>90</v>
      </c>
      <c r="BT31" s="35"/>
      <c r="BU31" s="5" t="s">
        <v>7</v>
      </c>
      <c r="BV31" s="5">
        <v>2</v>
      </c>
      <c r="BW31" s="5">
        <v>0</v>
      </c>
      <c r="BX31" s="5">
        <v>1</v>
      </c>
      <c r="BY31" s="5"/>
      <c r="BZ31" s="5"/>
      <c r="CA31" s="17">
        <f>(BX31/0.1)*100/(BY8/BZ8)</f>
        <v>9000</v>
      </c>
      <c r="CD31" s="35"/>
      <c r="CE31" s="5" t="s">
        <v>7</v>
      </c>
      <c r="CF31" s="5">
        <v>0</v>
      </c>
      <c r="CG31" s="5"/>
      <c r="CH31" s="5"/>
      <c r="CI31" s="5"/>
      <c r="CJ31" s="5"/>
      <c r="CK31" s="17">
        <f>(CF31/0.1)*1/(CI8/CJ8)</f>
        <v>0</v>
      </c>
      <c r="CN31" s="35"/>
      <c r="CO31" s="5" t="s">
        <v>7</v>
      </c>
      <c r="CP31" s="5">
        <v>0</v>
      </c>
      <c r="CQ31" s="5"/>
      <c r="CR31" s="5"/>
      <c r="CS31" s="5"/>
      <c r="CT31" s="5"/>
      <c r="CU31" s="17">
        <f>(CP31/0.1)*1/(CS8/CT8)</f>
        <v>0</v>
      </c>
    </row>
    <row r="32" spans="2:99" s="4" customFormat="1" ht="14.65" thickBot="1" x14ac:dyDescent="0.5">
      <c r="B32" s="43"/>
      <c r="C32" s="3"/>
      <c r="D32" s="3"/>
      <c r="E32" s="3"/>
      <c r="F32" s="3"/>
      <c r="G32" s="3"/>
      <c r="H32" s="3"/>
      <c r="I32" s="11"/>
      <c r="L32" s="43"/>
      <c r="M32" s="3"/>
      <c r="N32" s="3"/>
      <c r="O32" s="3"/>
      <c r="P32" s="3"/>
      <c r="Q32" s="3"/>
      <c r="R32" s="3"/>
      <c r="S32" s="11"/>
      <c r="T32" s="10"/>
      <c r="V32" s="3"/>
      <c r="W32" s="3"/>
      <c r="X32" s="3"/>
      <c r="Y32" s="3"/>
      <c r="Z32" s="3"/>
      <c r="AA32" s="3"/>
      <c r="AB32" s="3"/>
      <c r="AC32" s="11"/>
      <c r="AD32" s="10"/>
      <c r="AF32" s="3"/>
      <c r="AG32" s="3"/>
      <c r="AH32" s="3"/>
      <c r="AI32" s="3"/>
      <c r="AJ32" s="3"/>
      <c r="AK32" s="3"/>
      <c r="AL32" s="11"/>
      <c r="AM32" s="11"/>
      <c r="AN32" s="3"/>
      <c r="AP32" s="36"/>
      <c r="AQ32" s="5"/>
      <c r="AR32" s="5"/>
      <c r="AS32" s="5"/>
      <c r="AT32" s="5"/>
      <c r="AU32" s="5"/>
      <c r="AV32" s="5"/>
      <c r="AW32" s="19"/>
      <c r="AX32" s="10"/>
      <c r="AZ32" s="36"/>
      <c r="BA32" s="5" t="s">
        <v>8</v>
      </c>
      <c r="BB32" s="5">
        <v>8</v>
      </c>
      <c r="BC32" s="5">
        <v>5</v>
      </c>
      <c r="BD32" s="5">
        <v>0</v>
      </c>
      <c r="BE32" s="5"/>
      <c r="BF32" s="5"/>
      <c r="BG32" s="17">
        <f>(BC32/0.1)*10/(BG8/BH8)</f>
        <v>4500</v>
      </c>
      <c r="BJ32" s="36"/>
      <c r="BK32" s="5" t="s">
        <v>8</v>
      </c>
      <c r="BL32" s="5">
        <v>5</v>
      </c>
      <c r="BM32" s="5">
        <v>0</v>
      </c>
      <c r="BN32" s="5">
        <v>0</v>
      </c>
      <c r="BO32" s="5">
        <v>0</v>
      </c>
      <c r="BP32" s="5"/>
      <c r="BQ32" s="17">
        <f>(BL32/0.1)*1/(BQ8/BR8)</f>
        <v>449.99999999999994</v>
      </c>
      <c r="BT32" s="36"/>
      <c r="BU32" s="5" t="s">
        <v>8</v>
      </c>
      <c r="BV32" s="5">
        <v>4</v>
      </c>
      <c r="BW32" s="5">
        <v>0</v>
      </c>
      <c r="BX32" s="5">
        <v>0</v>
      </c>
      <c r="BY32" s="5">
        <v>0</v>
      </c>
      <c r="BZ32" s="5"/>
      <c r="CA32" s="17">
        <f>(BV32/0.1)*1/(CA8/CB8)</f>
        <v>360</v>
      </c>
      <c r="CD32" s="36"/>
      <c r="CE32" s="5" t="s">
        <v>8</v>
      </c>
      <c r="CF32" s="5">
        <v>0</v>
      </c>
      <c r="CG32" s="5"/>
      <c r="CH32" s="5"/>
      <c r="CI32" s="5"/>
      <c r="CJ32" s="5"/>
      <c r="CK32" s="17">
        <f>(CF32/0.1)*1/(CK8/CL8)</f>
        <v>0</v>
      </c>
      <c r="CN32" s="36"/>
      <c r="CO32" s="5" t="s">
        <v>8</v>
      </c>
      <c r="CP32" s="5">
        <v>0</v>
      </c>
      <c r="CQ32" s="5"/>
      <c r="CR32" s="5"/>
      <c r="CS32" s="5"/>
      <c r="CT32" s="5"/>
      <c r="CU32" s="17">
        <f>(CP32/0.1)*1/(CU8/CV8)</f>
        <v>0</v>
      </c>
    </row>
    <row r="33" spans="2:99" s="22" customFormat="1" ht="14.65" thickBot="1" x14ac:dyDescent="0.5">
      <c r="B33" s="34">
        <v>6</v>
      </c>
      <c r="C33" s="20" t="s">
        <v>11</v>
      </c>
      <c r="D33" s="20"/>
      <c r="E33" s="20">
        <v>25</v>
      </c>
      <c r="F33" s="20">
        <v>4</v>
      </c>
      <c r="G33" s="20">
        <v>1</v>
      </c>
      <c r="H33" s="20"/>
      <c r="I33" s="24">
        <f>(F33/0.1)*100/(C9/D9)</f>
        <v>36000</v>
      </c>
      <c r="L33" s="34">
        <v>6</v>
      </c>
      <c r="M33" s="23" t="s">
        <v>11</v>
      </c>
      <c r="N33" s="23">
        <v>3</v>
      </c>
      <c r="O33" s="23"/>
      <c r="P33" s="23"/>
      <c r="Q33" s="23"/>
      <c r="R33" s="23"/>
      <c r="S33" s="24">
        <f>(N33/0.1)*1/(M9/N9)</f>
        <v>270</v>
      </c>
      <c r="T33" s="25"/>
      <c r="V33" s="27"/>
      <c r="W33" s="27"/>
      <c r="X33" s="27"/>
      <c r="Y33" s="27"/>
      <c r="Z33" s="27"/>
      <c r="AA33" s="27"/>
      <c r="AB33" s="27"/>
      <c r="AC33" s="30"/>
      <c r="AD33" s="25"/>
      <c r="AF33" s="27"/>
      <c r="AG33" s="27"/>
      <c r="AH33" s="27"/>
      <c r="AI33" s="27"/>
      <c r="AJ33" s="27"/>
      <c r="AK33" s="27"/>
      <c r="AL33" s="30"/>
      <c r="AM33" s="30"/>
      <c r="AN33" s="27"/>
      <c r="AP33" s="34">
        <v>6</v>
      </c>
      <c r="AQ33" s="23" t="s">
        <v>11</v>
      </c>
      <c r="AR33" s="23">
        <v>5</v>
      </c>
      <c r="AS33" s="23">
        <v>1</v>
      </c>
      <c r="AT33" s="23">
        <v>0</v>
      </c>
      <c r="AU33" s="23"/>
      <c r="AV33" s="23"/>
      <c r="AW33" s="28">
        <f>(AR33/0.1)*1/(AQ9/AR9)</f>
        <v>449.99999999999994</v>
      </c>
      <c r="AX33" s="25"/>
      <c r="AZ33" s="34">
        <v>6</v>
      </c>
      <c r="BA33" s="23" t="s">
        <v>11</v>
      </c>
      <c r="BB33" s="23"/>
      <c r="BC33" s="23"/>
      <c r="BD33" s="23">
        <v>10</v>
      </c>
      <c r="BE33" s="23">
        <v>1</v>
      </c>
      <c r="BF33" s="23"/>
      <c r="BG33" s="28">
        <f>(BD33/0.1)*100/(BA9/BB9)</f>
        <v>90000</v>
      </c>
      <c r="BJ33" s="34">
        <v>6</v>
      </c>
      <c r="BK33" s="23" t="s">
        <v>11</v>
      </c>
      <c r="BL33" s="23"/>
      <c r="BM33" s="23">
        <v>1</v>
      </c>
      <c r="BN33" s="23">
        <v>0</v>
      </c>
      <c r="BO33" s="23">
        <v>0</v>
      </c>
      <c r="BP33" s="23"/>
      <c r="BQ33" s="28">
        <f>(BM33/0.1)*1/(BK9/BL9)</f>
        <v>90</v>
      </c>
      <c r="BT33" s="34">
        <v>6</v>
      </c>
      <c r="BU33" s="23" t="s">
        <v>11</v>
      </c>
      <c r="BV33" s="23">
        <v>35</v>
      </c>
      <c r="BW33" s="23">
        <v>6</v>
      </c>
      <c r="BX33" s="23">
        <v>3</v>
      </c>
      <c r="BY33" s="23">
        <v>0</v>
      </c>
      <c r="BZ33" s="23"/>
      <c r="CA33" s="28">
        <f>(BX33/0.1)*100/(BU9/BV9)</f>
        <v>26999.999999999996</v>
      </c>
      <c r="CD33" s="34">
        <v>6</v>
      </c>
      <c r="CE33" s="23" t="s">
        <v>11</v>
      </c>
      <c r="CF33" s="23">
        <v>3</v>
      </c>
      <c r="CG33" s="23"/>
      <c r="CH33" s="23"/>
      <c r="CI33" s="23"/>
      <c r="CJ33" s="23"/>
      <c r="CK33" s="28">
        <f>(CF33/0.1)*1/(CE9/CF9)</f>
        <v>270</v>
      </c>
      <c r="CN33" s="34">
        <v>6</v>
      </c>
      <c r="CO33" s="23" t="s">
        <v>11</v>
      </c>
      <c r="CP33" s="23">
        <v>5</v>
      </c>
      <c r="CQ33" s="23"/>
      <c r="CR33" s="23"/>
      <c r="CS33" s="23"/>
      <c r="CT33" s="23"/>
      <c r="CU33" s="28">
        <f>(CP33/0.1)*1/(CO9/CP9)</f>
        <v>450</v>
      </c>
    </row>
    <row r="34" spans="2:99" s="4" customFormat="1" ht="14.65" thickBot="1" x14ac:dyDescent="0.5">
      <c r="B34" s="42"/>
      <c r="C34" s="3"/>
      <c r="D34" s="3"/>
      <c r="E34" s="3"/>
      <c r="F34" s="3"/>
      <c r="G34" s="3"/>
      <c r="H34" s="3"/>
      <c r="I34" s="3"/>
      <c r="L34" s="35"/>
      <c r="M34" s="8" t="s">
        <v>6</v>
      </c>
      <c r="N34" s="8">
        <v>9</v>
      </c>
      <c r="O34" s="8">
        <v>1</v>
      </c>
      <c r="P34" s="8"/>
      <c r="Q34" s="8"/>
      <c r="R34" s="8"/>
      <c r="S34" s="13">
        <f>(N34/0.1)*1/(O9/P9)</f>
        <v>810</v>
      </c>
      <c r="T34" s="10"/>
      <c r="V34" s="3"/>
      <c r="W34" s="3"/>
      <c r="X34" s="3"/>
      <c r="Y34" s="3"/>
      <c r="Z34" s="3"/>
      <c r="AA34" s="3"/>
      <c r="AB34" s="3"/>
      <c r="AC34" s="11"/>
      <c r="AD34" s="10"/>
      <c r="AF34" s="3"/>
      <c r="AG34" s="3"/>
      <c r="AH34" s="3"/>
      <c r="AI34" s="3"/>
      <c r="AJ34" s="3"/>
      <c r="AK34" s="3"/>
      <c r="AL34" s="11"/>
      <c r="AM34" s="11"/>
      <c r="AN34" s="3"/>
      <c r="AP34" s="35"/>
      <c r="AQ34" s="5" t="s">
        <v>6</v>
      </c>
      <c r="AR34" s="5">
        <v>0</v>
      </c>
      <c r="AS34" s="5">
        <v>0</v>
      </c>
      <c r="AT34" s="5">
        <v>0</v>
      </c>
      <c r="AU34" s="5"/>
      <c r="AV34" s="5"/>
      <c r="AW34" s="16">
        <f>(AR34/0.1)*1/(AS9/AT9)</f>
        <v>0</v>
      </c>
      <c r="AX34" s="10"/>
      <c r="AZ34" s="35"/>
      <c r="BA34" s="5" t="s">
        <v>6</v>
      </c>
      <c r="BB34" s="5">
        <v>5</v>
      </c>
      <c r="BC34" s="5">
        <v>0</v>
      </c>
      <c r="BD34" s="5">
        <v>0</v>
      </c>
      <c r="BE34" s="5"/>
      <c r="BF34" s="5"/>
      <c r="BG34" s="16">
        <f>(BB34/0.1)*1/(BC9/BD9)</f>
        <v>450</v>
      </c>
      <c r="BJ34" s="35"/>
      <c r="BK34" s="5" t="s">
        <v>6</v>
      </c>
      <c r="BL34" s="5">
        <v>4</v>
      </c>
      <c r="BM34" s="5">
        <v>0</v>
      </c>
      <c r="BN34" s="5">
        <v>0</v>
      </c>
      <c r="BO34" s="5">
        <v>0</v>
      </c>
      <c r="BP34" s="5"/>
      <c r="BQ34" s="16">
        <f>(BL34/0.1)*1/(BM9/BN9)</f>
        <v>360</v>
      </c>
      <c r="BT34" s="35"/>
      <c r="BU34" s="5" t="s">
        <v>6</v>
      </c>
      <c r="BV34" s="5">
        <v>0</v>
      </c>
      <c r="BW34" s="5">
        <v>0</v>
      </c>
      <c r="BX34" s="5">
        <v>0</v>
      </c>
      <c r="BY34" s="5">
        <v>0</v>
      </c>
      <c r="BZ34" s="5"/>
      <c r="CA34" s="16">
        <f>(BV34/0.1)*1/(BW9/BX9)</f>
        <v>0</v>
      </c>
      <c r="CD34" s="35"/>
      <c r="CE34" s="5" t="s">
        <v>6</v>
      </c>
      <c r="CF34" s="5">
        <v>0</v>
      </c>
      <c r="CG34" s="5"/>
      <c r="CH34" s="5"/>
      <c r="CI34" s="5"/>
      <c r="CJ34" s="5"/>
      <c r="CK34" s="16">
        <f>(CF34/0.1)*1/(CG9/CH9)</f>
        <v>0</v>
      </c>
      <c r="CN34" s="35"/>
      <c r="CO34" s="5" t="s">
        <v>6</v>
      </c>
      <c r="CP34" s="5">
        <v>0</v>
      </c>
      <c r="CQ34" s="5"/>
      <c r="CR34" s="5"/>
      <c r="CS34" s="5"/>
      <c r="CT34" s="5"/>
      <c r="CU34" s="16">
        <f>(CP34/0.1)*1/(CQ9/CR9)</f>
        <v>0</v>
      </c>
    </row>
    <row r="35" spans="2:99" s="4" customFormat="1" ht="14.65" thickBot="1" x14ac:dyDescent="0.5">
      <c r="B35" s="42"/>
      <c r="C35" s="3"/>
      <c r="D35" s="3"/>
      <c r="E35" s="3"/>
      <c r="F35" s="3"/>
      <c r="G35" s="3"/>
      <c r="H35" s="3"/>
      <c r="I35" s="3"/>
      <c r="L35" s="42"/>
      <c r="M35" s="3"/>
      <c r="N35" s="3"/>
      <c r="O35" s="3"/>
      <c r="P35" s="3"/>
      <c r="Q35" s="3"/>
      <c r="R35" s="3"/>
      <c r="S35" s="11"/>
      <c r="T35" s="10"/>
      <c r="V35" s="3"/>
      <c r="W35" s="3"/>
      <c r="X35" s="3"/>
      <c r="Y35" s="3"/>
      <c r="Z35" s="3"/>
      <c r="AA35" s="3"/>
      <c r="AB35" s="3"/>
      <c r="AC35" s="11"/>
      <c r="AD35" s="10"/>
      <c r="AF35" s="3"/>
      <c r="AG35" s="3"/>
      <c r="AH35" s="3"/>
      <c r="AI35" s="3"/>
      <c r="AJ35" s="3"/>
      <c r="AK35" s="3"/>
      <c r="AL35" s="11"/>
      <c r="AM35" s="11"/>
      <c r="AN35" s="3"/>
      <c r="AP35" s="35"/>
      <c r="AQ35" s="5" t="s">
        <v>7</v>
      </c>
      <c r="AR35" s="5">
        <v>1</v>
      </c>
      <c r="AS35" s="5">
        <v>0</v>
      </c>
      <c r="AT35" s="5">
        <v>0</v>
      </c>
      <c r="AU35" s="5"/>
      <c r="AV35" s="5"/>
      <c r="AW35" s="17">
        <f>(AR35/0.1)*1/(AU9/AV9)</f>
        <v>90</v>
      </c>
      <c r="AX35" s="10"/>
      <c r="AZ35" s="35"/>
      <c r="BA35" s="5" t="s">
        <v>7</v>
      </c>
      <c r="BB35" s="5">
        <v>0</v>
      </c>
      <c r="BC35" s="5">
        <v>0</v>
      </c>
      <c r="BD35" s="5">
        <v>0</v>
      </c>
      <c r="BE35" s="5"/>
      <c r="BF35" s="5"/>
      <c r="BG35" s="17">
        <f>(BB35/0.1)*1/(BE9/BF9)</f>
        <v>0</v>
      </c>
      <c r="BJ35" s="35"/>
      <c r="BK35" s="5" t="s">
        <v>7</v>
      </c>
      <c r="BL35" s="5">
        <v>2</v>
      </c>
      <c r="BM35" s="5">
        <v>0</v>
      </c>
      <c r="BN35" s="5">
        <v>0</v>
      </c>
      <c r="BO35" s="5">
        <v>0</v>
      </c>
      <c r="BP35" s="5"/>
      <c r="BQ35" s="17">
        <f>(BL35/0.1)*1/(BO9/BP9)</f>
        <v>180</v>
      </c>
      <c r="BT35" s="35"/>
      <c r="BU35" s="5" t="s">
        <v>7</v>
      </c>
      <c r="BV35" s="5">
        <v>0</v>
      </c>
      <c r="BW35" s="5">
        <v>0</v>
      </c>
      <c r="BX35" s="5">
        <v>0</v>
      </c>
      <c r="BY35" s="5">
        <v>0</v>
      </c>
      <c r="BZ35" s="5"/>
      <c r="CA35" s="17">
        <f>(BV35/0.1)*1/(BY9/BZ9)</f>
        <v>0</v>
      </c>
      <c r="CD35" s="35"/>
      <c r="CE35" s="5" t="s">
        <v>7</v>
      </c>
      <c r="CF35" s="5">
        <v>0</v>
      </c>
      <c r="CG35" s="5"/>
      <c r="CH35" s="5"/>
      <c r="CI35" s="5"/>
      <c r="CJ35" s="5"/>
      <c r="CK35" s="17">
        <f>(CF35/0.1)*1/(CI9/CJ9)</f>
        <v>0</v>
      </c>
      <c r="CN35" s="35"/>
      <c r="CO35" s="5" t="s">
        <v>7</v>
      </c>
      <c r="CP35" s="5">
        <v>0</v>
      </c>
      <c r="CQ35" s="5"/>
      <c r="CR35" s="5"/>
      <c r="CS35" s="5"/>
      <c r="CT35" s="5"/>
      <c r="CU35" s="17">
        <f>(CP35/0.1)*1/(CS9/CT9)</f>
        <v>0</v>
      </c>
    </row>
    <row r="36" spans="2:99" s="4" customFormat="1" ht="14.65" thickBot="1" x14ac:dyDescent="0.5">
      <c r="B36" s="43"/>
      <c r="C36" s="3"/>
      <c r="D36" s="3"/>
      <c r="E36" s="3"/>
      <c r="F36" s="3"/>
      <c r="G36" s="3"/>
      <c r="H36" s="3"/>
      <c r="I36" s="3"/>
      <c r="L36" s="43"/>
      <c r="M36" s="3"/>
      <c r="N36" s="3"/>
      <c r="O36" s="3"/>
      <c r="P36" s="3"/>
      <c r="Q36" s="3"/>
      <c r="R36" s="3"/>
      <c r="S36" s="11"/>
      <c r="T36" s="10"/>
      <c r="V36" s="3"/>
      <c r="W36" s="3"/>
      <c r="X36" s="3"/>
      <c r="Y36" s="3"/>
      <c r="Z36" s="3"/>
      <c r="AA36" s="3"/>
      <c r="AB36" s="3"/>
      <c r="AC36" s="11"/>
      <c r="AD36" s="10"/>
      <c r="AF36" s="3"/>
      <c r="AG36" s="3"/>
      <c r="AH36" s="3"/>
      <c r="AI36" s="3"/>
      <c r="AJ36" s="3"/>
      <c r="AK36" s="3"/>
      <c r="AL36" s="11"/>
      <c r="AM36" s="11"/>
      <c r="AN36" s="3"/>
      <c r="AP36" s="36"/>
      <c r="AQ36" s="5"/>
      <c r="AR36" s="5"/>
      <c r="AS36" s="5"/>
      <c r="AT36" s="5"/>
      <c r="AU36" s="5"/>
      <c r="AV36" s="5"/>
      <c r="AW36" s="19"/>
      <c r="AX36" s="10"/>
      <c r="AZ36" s="36"/>
      <c r="BA36" s="5" t="s">
        <v>8</v>
      </c>
      <c r="BB36" s="5">
        <v>10</v>
      </c>
      <c r="BC36" s="5">
        <v>2</v>
      </c>
      <c r="BD36" s="5">
        <v>0</v>
      </c>
      <c r="BE36" s="5"/>
      <c r="BF36" s="5"/>
      <c r="BG36" s="17">
        <f>(BB36/0.1)*1/(BG9/BH9)</f>
        <v>900</v>
      </c>
      <c r="BJ36" s="36"/>
      <c r="BK36" s="5" t="s">
        <v>8</v>
      </c>
      <c r="BL36" s="5">
        <v>13</v>
      </c>
      <c r="BM36" s="5">
        <v>3</v>
      </c>
      <c r="BN36" s="5">
        <v>0</v>
      </c>
      <c r="BO36" s="5">
        <v>0</v>
      </c>
      <c r="BP36" s="5"/>
      <c r="BQ36" s="17">
        <f>(BL36/0.1)*1/(BQ9/BR9)</f>
        <v>1170</v>
      </c>
      <c r="BT36" s="36"/>
      <c r="BU36" s="5" t="s">
        <v>8</v>
      </c>
      <c r="BV36" s="5">
        <v>3</v>
      </c>
      <c r="BW36" s="5">
        <v>0</v>
      </c>
      <c r="BX36" s="5">
        <v>0</v>
      </c>
      <c r="BY36" s="5">
        <v>0</v>
      </c>
      <c r="BZ36" s="5"/>
      <c r="CA36" s="17">
        <f>(BV36/0.1)*1/(CA9/CB9)</f>
        <v>270</v>
      </c>
      <c r="CD36" s="36"/>
      <c r="CE36" s="5" t="s">
        <v>8</v>
      </c>
      <c r="CF36" s="5">
        <v>3</v>
      </c>
      <c r="CG36" s="5"/>
      <c r="CH36" s="5"/>
      <c r="CI36" s="5"/>
      <c r="CJ36" s="5"/>
      <c r="CK36" s="17">
        <f>(CF36/0.1)*1/(CK9/CL9)</f>
        <v>270</v>
      </c>
      <c r="CN36" s="36"/>
      <c r="CO36" s="5" t="s">
        <v>8</v>
      </c>
      <c r="CP36" s="5">
        <v>0</v>
      </c>
      <c r="CQ36" s="5"/>
      <c r="CR36" s="5"/>
      <c r="CS36" s="5"/>
      <c r="CT36" s="5"/>
      <c r="CU36" s="17">
        <f>(CP36/0.1)*1/(CU9/CV9)</f>
        <v>0</v>
      </c>
    </row>
    <row r="37" spans="2:99" s="4" customFormat="1" x14ac:dyDescent="0.45">
      <c r="S37" s="10"/>
      <c r="T37" s="10"/>
      <c r="AC37" s="10"/>
      <c r="AD37" s="10"/>
      <c r="AF37" s="4" t="s">
        <v>16</v>
      </c>
      <c r="AL37" s="10"/>
      <c r="AM37" s="10"/>
      <c r="AW37" s="10"/>
      <c r="AX37" s="10"/>
    </row>
    <row r="38" spans="2:99" s="4" customFormat="1" ht="14.65" thickBot="1" x14ac:dyDescent="0.5">
      <c r="B38" s="4" t="s">
        <v>13</v>
      </c>
      <c r="S38" s="10"/>
      <c r="T38" s="10"/>
      <c r="W38" s="4" t="s">
        <v>15</v>
      </c>
      <c r="AC38" s="10"/>
      <c r="AD38" s="10"/>
      <c r="AF38" s="2" t="s">
        <v>0</v>
      </c>
      <c r="AG38" s="2" t="s">
        <v>1</v>
      </c>
      <c r="AH38" s="4" t="s">
        <v>2</v>
      </c>
      <c r="AI38" s="4" t="s">
        <v>3</v>
      </c>
      <c r="AL38" s="10"/>
      <c r="AM38" s="10"/>
      <c r="AW38" s="10"/>
      <c r="AX38" s="10"/>
    </row>
    <row r="39" spans="2:99" s="4" customFormat="1" ht="14.65" thickBot="1" x14ac:dyDescent="0.5">
      <c r="B39" s="2" t="s">
        <v>0</v>
      </c>
      <c r="C39" s="2" t="s">
        <v>23</v>
      </c>
      <c r="M39" s="4" t="s">
        <v>14</v>
      </c>
      <c r="S39" s="10"/>
      <c r="T39" s="10"/>
      <c r="W39" s="2" t="s">
        <v>0</v>
      </c>
      <c r="X39" s="2" t="s">
        <v>1</v>
      </c>
      <c r="Y39" s="4" t="s">
        <v>2</v>
      </c>
      <c r="Z39" s="4" t="s">
        <v>3</v>
      </c>
      <c r="AC39" s="10"/>
      <c r="AD39" s="10"/>
      <c r="AF39" s="2">
        <v>1</v>
      </c>
      <c r="AG39" s="15">
        <v>26999.999999999996</v>
      </c>
      <c r="AH39" s="16">
        <v>6300</v>
      </c>
      <c r="AI39" s="17">
        <v>90</v>
      </c>
      <c r="AL39" s="10"/>
      <c r="AM39" s="10"/>
      <c r="AQ39" s="4" t="s">
        <v>17</v>
      </c>
      <c r="AW39" s="10"/>
      <c r="AX39" s="10"/>
      <c r="BB39" s="4" t="s">
        <v>18</v>
      </c>
      <c r="BL39" s="4" t="s">
        <v>19</v>
      </c>
      <c r="BV39" s="4" t="s">
        <v>20</v>
      </c>
      <c r="CG39" s="4" t="s">
        <v>21</v>
      </c>
      <c r="CQ39" s="4" t="s">
        <v>22</v>
      </c>
    </row>
    <row r="40" spans="2:99" s="4" customFormat="1" ht="14.65" thickBot="1" x14ac:dyDescent="0.5">
      <c r="B40" s="2">
        <v>1</v>
      </c>
      <c r="C40" s="9">
        <v>1350</v>
      </c>
      <c r="M40" s="2" t="s">
        <v>0</v>
      </c>
      <c r="N40" s="2" t="s">
        <v>23</v>
      </c>
      <c r="O40" s="4" t="s">
        <v>24</v>
      </c>
      <c r="S40" s="10"/>
      <c r="T40" s="10"/>
      <c r="W40" s="2">
        <v>1</v>
      </c>
      <c r="X40" s="15">
        <v>18000</v>
      </c>
      <c r="Y40" s="16">
        <v>540</v>
      </c>
      <c r="Z40" s="17">
        <v>0</v>
      </c>
      <c r="AC40" s="10"/>
      <c r="AD40" s="10"/>
      <c r="AF40" s="2">
        <v>2</v>
      </c>
      <c r="AG40" s="18">
        <v>54000</v>
      </c>
      <c r="AH40" s="16">
        <v>899.99999999999989</v>
      </c>
      <c r="AI40" s="17">
        <v>180</v>
      </c>
      <c r="AL40" s="10"/>
      <c r="AM40" s="10"/>
      <c r="AQ40" s="2" t="s">
        <v>0</v>
      </c>
      <c r="AR40" s="2" t="s">
        <v>1</v>
      </c>
      <c r="AS40" s="4" t="s">
        <v>25</v>
      </c>
      <c r="AT40" s="5" t="s">
        <v>7</v>
      </c>
      <c r="AW40" s="10"/>
      <c r="AX40" s="10"/>
      <c r="BA40" s="2" t="s">
        <v>0</v>
      </c>
      <c r="BB40" s="2" t="s">
        <v>1</v>
      </c>
      <c r="BC40" s="4" t="s">
        <v>25</v>
      </c>
      <c r="BD40" s="5" t="s">
        <v>7</v>
      </c>
      <c r="BE40" s="5" t="s">
        <v>8</v>
      </c>
      <c r="BK40" s="2" t="s">
        <v>0</v>
      </c>
      <c r="BL40" s="2" t="s">
        <v>1</v>
      </c>
      <c r="BM40" s="4" t="s">
        <v>25</v>
      </c>
      <c r="BN40" s="5" t="s">
        <v>7</v>
      </c>
      <c r="BO40" s="5" t="s">
        <v>8</v>
      </c>
      <c r="BU40" s="2" t="s">
        <v>0</v>
      </c>
      <c r="BV40" s="2" t="s">
        <v>1</v>
      </c>
      <c r="BW40" s="4" t="s">
        <v>25</v>
      </c>
      <c r="BX40" s="5" t="s">
        <v>7</v>
      </c>
      <c r="BY40" s="5" t="s">
        <v>8</v>
      </c>
      <c r="CF40" s="2" t="s">
        <v>0</v>
      </c>
      <c r="CG40" s="2" t="s">
        <v>1</v>
      </c>
      <c r="CH40" s="4" t="s">
        <v>25</v>
      </c>
      <c r="CI40" s="5" t="s">
        <v>7</v>
      </c>
      <c r="CJ40" s="5" t="s">
        <v>8</v>
      </c>
      <c r="CP40" s="2" t="s">
        <v>0</v>
      </c>
      <c r="CQ40" s="2" t="s">
        <v>1</v>
      </c>
      <c r="CR40" s="4" t="s">
        <v>25</v>
      </c>
      <c r="CS40" s="5" t="s">
        <v>7</v>
      </c>
      <c r="CT40" s="5" t="s">
        <v>8</v>
      </c>
    </row>
    <row r="41" spans="2:99" ht="14.65" thickBot="1" x14ac:dyDescent="0.5">
      <c r="B41" s="2">
        <v>2</v>
      </c>
      <c r="C41" s="9">
        <v>9000</v>
      </c>
      <c r="M41" s="2">
        <v>1</v>
      </c>
      <c r="N41" s="13">
        <v>540</v>
      </c>
      <c r="O41" s="13">
        <v>1799.9999999999998</v>
      </c>
      <c r="W41" s="2">
        <v>2</v>
      </c>
      <c r="X41" s="18">
        <v>45000</v>
      </c>
      <c r="Y41" s="16">
        <v>6300</v>
      </c>
      <c r="Z41" s="17">
        <v>90</v>
      </c>
      <c r="AF41" s="2">
        <v>3</v>
      </c>
      <c r="AG41" s="18">
        <v>26999.999999999996</v>
      </c>
      <c r="AH41" s="16">
        <v>359.99999999999994</v>
      </c>
      <c r="AI41" s="17">
        <v>270</v>
      </c>
      <c r="AQ41" s="2">
        <v>1</v>
      </c>
      <c r="AR41" s="15">
        <v>1260</v>
      </c>
      <c r="AS41" s="16">
        <v>0</v>
      </c>
      <c r="AT41" s="17">
        <v>0</v>
      </c>
      <c r="BA41" s="2">
        <v>1</v>
      </c>
      <c r="BB41" s="15">
        <v>18000</v>
      </c>
      <c r="BC41" s="16">
        <v>90</v>
      </c>
      <c r="BD41" s="17">
        <v>90</v>
      </c>
      <c r="BE41" s="17">
        <v>180</v>
      </c>
      <c r="BK41" s="2">
        <v>1</v>
      </c>
      <c r="BL41" s="15">
        <v>27000</v>
      </c>
      <c r="BM41" s="16">
        <v>360</v>
      </c>
      <c r="BN41" s="17">
        <v>270</v>
      </c>
      <c r="BO41" s="17">
        <v>2160</v>
      </c>
      <c r="BU41" s="2">
        <v>1</v>
      </c>
      <c r="BV41" s="15">
        <v>1080</v>
      </c>
      <c r="BW41" s="16">
        <v>900.00000000000011</v>
      </c>
      <c r="BX41" s="17">
        <v>180</v>
      </c>
      <c r="BY41" s="17">
        <v>270</v>
      </c>
      <c r="CF41" s="2">
        <v>1</v>
      </c>
      <c r="CG41" s="15">
        <v>2070</v>
      </c>
      <c r="CH41" s="16">
        <v>0</v>
      </c>
      <c r="CI41" s="17">
        <v>0</v>
      </c>
      <c r="CJ41" s="17">
        <v>0</v>
      </c>
      <c r="CP41" s="2">
        <v>1</v>
      </c>
      <c r="CQ41" s="15">
        <v>270</v>
      </c>
      <c r="CR41" s="16">
        <v>0</v>
      </c>
      <c r="CS41" s="17">
        <v>0</v>
      </c>
      <c r="CT41" s="17">
        <v>0</v>
      </c>
    </row>
    <row r="42" spans="2:99" ht="14.65" thickBot="1" x14ac:dyDescent="0.5">
      <c r="B42" s="2">
        <v>3</v>
      </c>
      <c r="C42" s="9">
        <v>81000</v>
      </c>
      <c r="M42" s="2">
        <v>2</v>
      </c>
      <c r="N42" s="13">
        <v>1080</v>
      </c>
      <c r="O42" s="13">
        <v>7199.9999999999991</v>
      </c>
      <c r="W42" s="2">
        <v>3</v>
      </c>
      <c r="X42" s="18">
        <v>18000</v>
      </c>
      <c r="Y42" s="16">
        <v>5399.9999999999991</v>
      </c>
      <c r="Z42" s="17">
        <v>0</v>
      </c>
      <c r="AF42" s="2">
        <v>4</v>
      </c>
      <c r="AG42" s="18">
        <v>36000</v>
      </c>
      <c r="AH42" s="16">
        <v>2700</v>
      </c>
      <c r="AI42" s="17">
        <v>900</v>
      </c>
      <c r="AQ42" s="2">
        <v>2</v>
      </c>
      <c r="AR42" s="18">
        <v>26999.999999999996</v>
      </c>
      <c r="AS42" s="16">
        <v>90</v>
      </c>
      <c r="AT42" s="17">
        <v>247.5</v>
      </c>
      <c r="BA42" s="2">
        <v>2</v>
      </c>
      <c r="BB42" s="18">
        <v>360000</v>
      </c>
      <c r="BC42" s="16">
        <v>360</v>
      </c>
      <c r="BD42" s="17">
        <v>450</v>
      </c>
      <c r="BE42" s="17">
        <v>449.99999999999994</v>
      </c>
      <c r="BK42" s="2">
        <v>2</v>
      </c>
      <c r="BL42" s="18">
        <v>90000</v>
      </c>
      <c r="BM42" s="16">
        <v>270</v>
      </c>
      <c r="BN42" s="17">
        <v>0</v>
      </c>
      <c r="BO42" s="17">
        <v>1080</v>
      </c>
      <c r="BU42" s="2">
        <v>2</v>
      </c>
      <c r="BV42" s="18">
        <v>90000</v>
      </c>
      <c r="BW42" s="16">
        <v>0</v>
      </c>
      <c r="BX42" s="17">
        <v>90</v>
      </c>
      <c r="BY42" s="17">
        <v>180</v>
      </c>
      <c r="CF42" s="2">
        <v>2</v>
      </c>
      <c r="CG42" s="18">
        <v>3240</v>
      </c>
      <c r="CH42" s="16">
        <v>0</v>
      </c>
      <c r="CI42" s="17">
        <v>0</v>
      </c>
      <c r="CJ42" s="17">
        <v>0</v>
      </c>
      <c r="CP42" s="2">
        <v>2</v>
      </c>
      <c r="CQ42" s="18">
        <v>449.99999999999994</v>
      </c>
      <c r="CR42" s="16">
        <v>0</v>
      </c>
      <c r="CS42" s="17">
        <v>0</v>
      </c>
      <c r="CT42" s="17">
        <v>0</v>
      </c>
    </row>
    <row r="43" spans="2:99" ht="14.65" thickBot="1" x14ac:dyDescent="0.5">
      <c r="B43" s="2">
        <v>4</v>
      </c>
      <c r="C43" s="9">
        <v>1080</v>
      </c>
      <c r="M43" s="2">
        <v>3</v>
      </c>
      <c r="N43" s="13">
        <v>1260</v>
      </c>
      <c r="O43" s="13">
        <v>270</v>
      </c>
      <c r="W43" s="2">
        <v>4</v>
      </c>
      <c r="X43" s="18">
        <v>36000</v>
      </c>
      <c r="Y43" s="16">
        <v>1799.9999999999998</v>
      </c>
      <c r="Z43" s="17">
        <v>0</v>
      </c>
      <c r="AF43" s="2">
        <v>5</v>
      </c>
      <c r="AG43" s="18">
        <v>7200</v>
      </c>
      <c r="AH43" s="16">
        <v>90.000000000000014</v>
      </c>
      <c r="AI43" s="17">
        <v>90</v>
      </c>
      <c r="AQ43" s="2">
        <v>3</v>
      </c>
      <c r="AR43" s="18">
        <v>15300</v>
      </c>
      <c r="AS43" s="16">
        <v>0</v>
      </c>
      <c r="AT43" s="17">
        <v>90</v>
      </c>
      <c r="BA43" s="2">
        <v>3</v>
      </c>
      <c r="BB43" s="18">
        <v>9900</v>
      </c>
      <c r="BC43" s="16">
        <v>270</v>
      </c>
      <c r="BD43" s="17">
        <v>90</v>
      </c>
      <c r="BE43" s="17">
        <v>90</v>
      </c>
      <c r="BK43" s="2">
        <v>3</v>
      </c>
      <c r="BL43" s="18">
        <v>1080000</v>
      </c>
      <c r="BM43" s="16">
        <v>5400</v>
      </c>
      <c r="BN43" s="17">
        <v>360.00000000000006</v>
      </c>
      <c r="BO43" s="17">
        <v>1620</v>
      </c>
      <c r="BU43" s="2">
        <v>3</v>
      </c>
      <c r="BV43" s="18">
        <v>3240</v>
      </c>
      <c r="BW43" s="16">
        <v>90</v>
      </c>
      <c r="BX43" s="17">
        <v>0</v>
      </c>
      <c r="BY43" s="17">
        <v>630</v>
      </c>
      <c r="CF43" s="2">
        <v>3</v>
      </c>
      <c r="CG43" s="18">
        <v>15299.999999999998</v>
      </c>
      <c r="CH43" s="16">
        <v>90</v>
      </c>
      <c r="CI43" s="17">
        <v>180</v>
      </c>
      <c r="CJ43" s="17">
        <v>270</v>
      </c>
      <c r="CP43" s="2">
        <v>3</v>
      </c>
      <c r="CQ43" s="18">
        <v>1080</v>
      </c>
      <c r="CR43" s="16">
        <v>0</v>
      </c>
      <c r="CS43" s="17">
        <v>0</v>
      </c>
      <c r="CT43" s="17">
        <v>0</v>
      </c>
    </row>
    <row r="44" spans="2:99" ht="14.65" thickBot="1" x14ac:dyDescent="0.5">
      <c r="B44" s="2">
        <v>5</v>
      </c>
      <c r="C44" s="13">
        <v>4500</v>
      </c>
      <c r="M44" s="2">
        <v>4</v>
      </c>
      <c r="N44" s="13">
        <v>720</v>
      </c>
      <c r="O44" s="13">
        <v>180</v>
      </c>
      <c r="W44" s="2">
        <v>5</v>
      </c>
      <c r="X44" s="18">
        <v>4500</v>
      </c>
      <c r="Y44" s="16">
        <v>45000</v>
      </c>
      <c r="Z44" s="17">
        <v>180</v>
      </c>
      <c r="AF44" s="2">
        <v>6</v>
      </c>
      <c r="AG44" s="18">
        <v>1350</v>
      </c>
      <c r="AH44" s="16">
        <v>990</v>
      </c>
      <c r="AI44" s="17">
        <v>360</v>
      </c>
      <c r="AQ44" s="2">
        <v>4</v>
      </c>
      <c r="AR44" s="18">
        <v>900.00000000000011</v>
      </c>
      <c r="AS44" s="16">
        <v>0</v>
      </c>
      <c r="AT44" s="17">
        <v>270</v>
      </c>
      <c r="BA44" s="2">
        <v>4</v>
      </c>
      <c r="BB44" s="18">
        <v>899999.99999999988</v>
      </c>
      <c r="BC44" s="16">
        <v>0</v>
      </c>
      <c r="BD44" s="17">
        <v>90</v>
      </c>
      <c r="BE44" s="17">
        <v>270</v>
      </c>
      <c r="BK44" s="2">
        <v>4</v>
      </c>
      <c r="BL44" s="18">
        <v>18000</v>
      </c>
      <c r="BM44" s="16">
        <v>630</v>
      </c>
      <c r="BN44" s="17">
        <v>630</v>
      </c>
      <c r="BO44" s="17">
        <v>2070</v>
      </c>
      <c r="BU44" s="2">
        <v>4</v>
      </c>
      <c r="BV44" s="18">
        <v>360000</v>
      </c>
      <c r="BW44" s="16">
        <v>540</v>
      </c>
      <c r="BX44" s="17">
        <v>270</v>
      </c>
      <c r="BY44" s="17">
        <v>360</v>
      </c>
      <c r="CF44" s="2">
        <v>4</v>
      </c>
      <c r="CG44" s="18">
        <v>2970</v>
      </c>
      <c r="CH44" s="16">
        <v>0</v>
      </c>
      <c r="CI44" s="17">
        <v>0</v>
      </c>
      <c r="CJ44" s="17">
        <v>270</v>
      </c>
      <c r="CP44" s="2">
        <v>4</v>
      </c>
      <c r="CQ44" s="18">
        <v>1260</v>
      </c>
      <c r="CR44" s="16">
        <v>0</v>
      </c>
      <c r="CS44" s="17">
        <v>0</v>
      </c>
      <c r="CT44" s="17">
        <v>0</v>
      </c>
    </row>
    <row r="45" spans="2:99" ht="14.65" thickBot="1" x14ac:dyDescent="0.5">
      <c r="B45" s="2">
        <v>6</v>
      </c>
      <c r="C45" s="13">
        <v>36000</v>
      </c>
      <c r="M45" s="2">
        <v>5</v>
      </c>
      <c r="N45" s="13">
        <v>1799.9999999999998</v>
      </c>
      <c r="O45" s="13">
        <v>16200</v>
      </c>
      <c r="W45" s="2">
        <v>6</v>
      </c>
      <c r="X45" s="18">
        <v>36000</v>
      </c>
      <c r="Y45" s="16">
        <v>63000</v>
      </c>
      <c r="Z45" s="17">
        <v>0</v>
      </c>
      <c r="AQ45" s="2">
        <v>5</v>
      </c>
      <c r="AR45" s="18">
        <v>9000</v>
      </c>
      <c r="AS45" s="16">
        <v>0</v>
      </c>
      <c r="AT45" s="17">
        <v>90</v>
      </c>
      <c r="BA45" s="2">
        <v>5</v>
      </c>
      <c r="BB45" s="18">
        <v>990000</v>
      </c>
      <c r="BC45" s="16">
        <v>3599.9999999999995</v>
      </c>
      <c r="BD45" s="17">
        <v>2700</v>
      </c>
      <c r="BE45" s="17">
        <v>4500</v>
      </c>
      <c r="BK45" s="2">
        <v>5</v>
      </c>
      <c r="BL45" s="18">
        <v>2700</v>
      </c>
      <c r="BM45" s="16">
        <v>180</v>
      </c>
      <c r="BN45" s="17">
        <v>90</v>
      </c>
      <c r="BO45" s="17">
        <v>449.99999999999994</v>
      </c>
      <c r="BU45" s="2">
        <v>5</v>
      </c>
      <c r="BV45" s="18">
        <v>198000</v>
      </c>
      <c r="BW45" s="16">
        <v>90</v>
      </c>
      <c r="BX45" s="17">
        <v>9000</v>
      </c>
      <c r="BY45" s="17">
        <v>360</v>
      </c>
      <c r="CF45" s="2">
        <v>5</v>
      </c>
      <c r="CG45" s="18">
        <v>1080</v>
      </c>
      <c r="CH45" s="16">
        <v>270</v>
      </c>
      <c r="CI45" s="17">
        <v>0</v>
      </c>
      <c r="CJ45" s="17">
        <v>0</v>
      </c>
      <c r="CP45" s="2">
        <v>5</v>
      </c>
      <c r="CQ45" s="18">
        <v>360</v>
      </c>
      <c r="CR45" s="16">
        <v>0</v>
      </c>
      <c r="CS45" s="17">
        <v>0</v>
      </c>
      <c r="CT45" s="17">
        <v>0</v>
      </c>
    </row>
    <row r="46" spans="2:99" ht="14.65" thickBot="1" x14ac:dyDescent="0.5">
      <c r="M46" s="2">
        <v>6</v>
      </c>
      <c r="N46" s="13">
        <v>270</v>
      </c>
      <c r="O46" s="13">
        <v>810</v>
      </c>
      <c r="AQ46" s="2">
        <v>6</v>
      </c>
      <c r="AR46" s="18">
        <v>449.99999999999994</v>
      </c>
      <c r="AS46" s="16">
        <v>0</v>
      </c>
      <c r="AT46" s="17">
        <v>90</v>
      </c>
      <c r="BA46" s="2">
        <v>6</v>
      </c>
      <c r="BB46" s="18">
        <v>90000</v>
      </c>
      <c r="BC46" s="16">
        <v>450</v>
      </c>
      <c r="BD46" s="17">
        <v>0</v>
      </c>
      <c r="BE46" s="17">
        <v>900</v>
      </c>
      <c r="BK46" s="2">
        <v>6</v>
      </c>
      <c r="BL46" s="18">
        <v>90</v>
      </c>
      <c r="BM46" s="16">
        <v>360</v>
      </c>
      <c r="BN46" s="17">
        <v>180</v>
      </c>
      <c r="BO46" s="17">
        <v>1170</v>
      </c>
      <c r="BU46" s="2">
        <v>6</v>
      </c>
      <c r="BV46" s="18">
        <v>26999.999999999996</v>
      </c>
      <c r="BW46" s="16">
        <v>0</v>
      </c>
      <c r="BX46" s="17">
        <v>0</v>
      </c>
      <c r="BY46" s="17">
        <v>270</v>
      </c>
      <c r="CF46" s="2">
        <v>6</v>
      </c>
      <c r="CG46" s="18">
        <v>270</v>
      </c>
      <c r="CH46" s="16">
        <v>0</v>
      </c>
      <c r="CI46" s="17">
        <v>0</v>
      </c>
      <c r="CJ46" s="17">
        <v>270</v>
      </c>
      <c r="CP46" s="2">
        <v>6</v>
      </c>
      <c r="CQ46" s="18">
        <v>450</v>
      </c>
      <c r="CR46" s="16">
        <v>0</v>
      </c>
      <c r="CS46" s="17">
        <v>0</v>
      </c>
      <c r="CT46" s="17">
        <v>0</v>
      </c>
    </row>
  </sheetData>
  <mergeCells count="110">
    <mergeCell ref="B29:B32"/>
    <mergeCell ref="B33:B36"/>
    <mergeCell ref="M2:N2"/>
    <mergeCell ref="L21:L24"/>
    <mergeCell ref="L25:L28"/>
    <mergeCell ref="L29:L32"/>
    <mergeCell ref="L33:L36"/>
    <mergeCell ref="C2:D2"/>
    <mergeCell ref="E2:F2"/>
    <mergeCell ref="G2:H2"/>
    <mergeCell ref="I2:J2"/>
    <mergeCell ref="B12:C12"/>
    <mergeCell ref="B13:B16"/>
    <mergeCell ref="O2:P2"/>
    <mergeCell ref="Q2:R2"/>
    <mergeCell ref="S2:T2"/>
    <mergeCell ref="L12:M12"/>
    <mergeCell ref="L13:L16"/>
    <mergeCell ref="L17:L20"/>
    <mergeCell ref="B17:B20"/>
    <mergeCell ref="B21:B24"/>
    <mergeCell ref="B25:B28"/>
    <mergeCell ref="AZ17:AZ20"/>
    <mergeCell ref="AP17:AP20"/>
    <mergeCell ref="AP21:AP24"/>
    <mergeCell ref="AP25:AP28"/>
    <mergeCell ref="AP29:AP32"/>
    <mergeCell ref="AP33:AP36"/>
    <mergeCell ref="BA2:BB2"/>
    <mergeCell ref="AZ21:AZ24"/>
    <mergeCell ref="AZ25:AZ28"/>
    <mergeCell ref="AZ29:AZ32"/>
    <mergeCell ref="AZ33:AZ36"/>
    <mergeCell ref="AQ2:AR2"/>
    <mergeCell ref="AS2:AT2"/>
    <mergeCell ref="AU2:AV2"/>
    <mergeCell ref="AW2:AX2"/>
    <mergeCell ref="AP12:AQ12"/>
    <mergeCell ref="AP13:AP16"/>
    <mergeCell ref="BJ17:BJ20"/>
    <mergeCell ref="BJ21:BJ24"/>
    <mergeCell ref="BJ25:BJ28"/>
    <mergeCell ref="BJ29:BJ32"/>
    <mergeCell ref="BJ33:BJ36"/>
    <mergeCell ref="BU2:BV2"/>
    <mergeCell ref="BT21:BT24"/>
    <mergeCell ref="BT25:BT28"/>
    <mergeCell ref="BT29:BT32"/>
    <mergeCell ref="BT33:BT36"/>
    <mergeCell ref="BK2:BL2"/>
    <mergeCell ref="BM2:BN2"/>
    <mergeCell ref="BO2:BP2"/>
    <mergeCell ref="BQ2:BR2"/>
    <mergeCell ref="BJ12:BK12"/>
    <mergeCell ref="BJ13:BJ16"/>
    <mergeCell ref="CD21:CD24"/>
    <mergeCell ref="CD25:CD28"/>
    <mergeCell ref="CD29:CD32"/>
    <mergeCell ref="CD33:CD36"/>
    <mergeCell ref="CO2:CP2"/>
    <mergeCell ref="CN21:CN24"/>
    <mergeCell ref="CN25:CN28"/>
    <mergeCell ref="CN29:CN32"/>
    <mergeCell ref="CN33:CN36"/>
    <mergeCell ref="CE2:CF2"/>
    <mergeCell ref="CG2:CH2"/>
    <mergeCell ref="CI2:CJ2"/>
    <mergeCell ref="CK2:CL2"/>
    <mergeCell ref="CD12:CE12"/>
    <mergeCell ref="CD13:CD16"/>
    <mergeCell ref="AH2:AI2"/>
    <mergeCell ref="AJ2:AK2"/>
    <mergeCell ref="AL2:AM2"/>
    <mergeCell ref="AE12:AF12"/>
    <mergeCell ref="AE13:AE15"/>
    <mergeCell ref="CQ2:CR2"/>
    <mergeCell ref="CS2:CT2"/>
    <mergeCell ref="CU2:CV2"/>
    <mergeCell ref="CN12:CO12"/>
    <mergeCell ref="CN13:CN16"/>
    <mergeCell ref="BW2:BX2"/>
    <mergeCell ref="BY2:BZ2"/>
    <mergeCell ref="CA2:CB2"/>
    <mergeCell ref="BT12:BU12"/>
    <mergeCell ref="BT13:BT16"/>
    <mergeCell ref="BC2:BD2"/>
    <mergeCell ref="BE2:BF2"/>
    <mergeCell ref="BG2:BH2"/>
    <mergeCell ref="AZ12:BA12"/>
    <mergeCell ref="AZ13:AZ16"/>
    <mergeCell ref="AE16:AE18"/>
    <mergeCell ref="CN17:CN20"/>
    <mergeCell ref="CD17:CD20"/>
    <mergeCell ref="BT17:BT20"/>
    <mergeCell ref="AE19:AE21"/>
    <mergeCell ref="AE22:AE24"/>
    <mergeCell ref="AE25:AE27"/>
    <mergeCell ref="AE28:AE30"/>
    <mergeCell ref="V22:V24"/>
    <mergeCell ref="V25:V27"/>
    <mergeCell ref="V28:V30"/>
    <mergeCell ref="AF2:AG2"/>
    <mergeCell ref="W2:X2"/>
    <mergeCell ref="Y2:Z2"/>
    <mergeCell ref="AA2:AB2"/>
    <mergeCell ref="AC2:AD2"/>
    <mergeCell ref="V12:W12"/>
    <mergeCell ref="V13:V15"/>
    <mergeCell ref="V16:V18"/>
    <mergeCell ref="V19:V2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DE72B-5D50-4D79-B5D4-BC1A3327CA59}">
  <dimension ref="B2:BF39"/>
  <sheetViews>
    <sheetView tabSelected="1" topLeftCell="AD1" zoomScale="80" zoomScaleNormal="80" workbookViewId="0">
      <selection activeCell="AN39" sqref="AN39"/>
    </sheetView>
  </sheetViews>
  <sheetFormatPr baseColWidth="10" defaultRowHeight="14.25" x14ac:dyDescent="0.45"/>
  <sheetData>
    <row r="2" spans="2:58" x14ac:dyDescent="0.45">
      <c r="X2" t="s">
        <v>31</v>
      </c>
      <c r="AJ2" t="s">
        <v>32</v>
      </c>
      <c r="AX2" t="s">
        <v>33</v>
      </c>
    </row>
    <row r="3" spans="2:58" x14ac:dyDescent="0.45">
      <c r="B3" s="4" t="s">
        <v>13</v>
      </c>
      <c r="C3" s="4"/>
      <c r="F3" s="4" t="s">
        <v>14</v>
      </c>
      <c r="G3" s="4"/>
      <c r="H3" s="4"/>
      <c r="K3" s="4" t="s">
        <v>15</v>
      </c>
      <c r="L3" s="4"/>
      <c r="M3" s="4"/>
      <c r="N3" s="4"/>
      <c r="P3" s="4" t="s">
        <v>16</v>
      </c>
      <c r="Q3" s="4"/>
      <c r="R3" s="4"/>
      <c r="S3" s="4"/>
    </row>
    <row r="4" spans="2:58" ht="14.65" thickBot="1" x14ac:dyDescent="0.5">
      <c r="B4" s="2" t="s">
        <v>0</v>
      </c>
      <c r="C4" s="2" t="s">
        <v>23</v>
      </c>
      <c r="F4" s="2" t="s">
        <v>0</v>
      </c>
      <c r="G4" s="2" t="s">
        <v>23</v>
      </c>
      <c r="H4" s="4" t="s">
        <v>24</v>
      </c>
      <c r="K4" s="2" t="s">
        <v>0</v>
      </c>
      <c r="L4" s="2" t="s">
        <v>1</v>
      </c>
      <c r="M4" s="4" t="s">
        <v>2</v>
      </c>
      <c r="N4" s="4" t="s">
        <v>3</v>
      </c>
      <c r="P4" s="2" t="s">
        <v>0</v>
      </c>
      <c r="Q4" s="2" t="s">
        <v>1</v>
      </c>
      <c r="R4" s="4" t="s">
        <v>2</v>
      </c>
      <c r="S4" s="4" t="s">
        <v>3</v>
      </c>
      <c r="W4" s="32" t="s">
        <v>29</v>
      </c>
      <c r="X4" s="32" t="s">
        <v>30</v>
      </c>
      <c r="Y4" s="33" t="s">
        <v>7</v>
      </c>
      <c r="Z4" s="33" t="s">
        <v>8</v>
      </c>
      <c r="AC4" s="32" t="s">
        <v>29</v>
      </c>
      <c r="AD4" s="32" t="s">
        <v>30</v>
      </c>
      <c r="AE4" s="33" t="s">
        <v>7</v>
      </c>
      <c r="AF4" s="33" t="s">
        <v>8</v>
      </c>
      <c r="AI4" s="32" t="s">
        <v>29</v>
      </c>
      <c r="AJ4" s="32" t="s">
        <v>30</v>
      </c>
      <c r="AK4" s="33" t="s">
        <v>7</v>
      </c>
      <c r="AL4" s="33" t="s">
        <v>8</v>
      </c>
      <c r="AP4" s="32" t="s">
        <v>29</v>
      </c>
      <c r="AQ4" s="32" t="s">
        <v>30</v>
      </c>
      <c r="AR4" s="33" t="s">
        <v>7</v>
      </c>
      <c r="AS4" s="33" t="s">
        <v>8</v>
      </c>
      <c r="AW4" s="32" t="s">
        <v>29</v>
      </c>
      <c r="AX4" s="32" t="s">
        <v>30</v>
      </c>
      <c r="AY4" s="33" t="s">
        <v>7</v>
      </c>
      <c r="AZ4" s="33" t="s">
        <v>8</v>
      </c>
      <c r="BC4" s="32" t="s">
        <v>29</v>
      </c>
      <c r="BD4" s="32" t="s">
        <v>30</v>
      </c>
      <c r="BE4" s="33" t="s">
        <v>7</v>
      </c>
      <c r="BF4" s="33" t="s">
        <v>8</v>
      </c>
    </row>
    <row r="5" spans="2:58" ht="14.65" thickBot="1" x14ac:dyDescent="0.5">
      <c r="B5" s="2">
        <v>1</v>
      </c>
      <c r="C5" s="9">
        <v>1350</v>
      </c>
      <c r="F5" s="2">
        <v>1</v>
      </c>
      <c r="G5" s="13">
        <v>540</v>
      </c>
      <c r="H5" s="13">
        <v>1799.9999999999998</v>
      </c>
      <c r="K5" s="2">
        <v>1</v>
      </c>
      <c r="L5" s="15">
        <v>18000</v>
      </c>
      <c r="M5" s="16">
        <v>540</v>
      </c>
      <c r="N5" s="17">
        <v>0</v>
      </c>
      <c r="P5" s="2">
        <v>1</v>
      </c>
      <c r="Q5" s="15">
        <v>26999.999999999996</v>
      </c>
      <c r="R5" s="16">
        <v>6300</v>
      </c>
      <c r="S5" s="17">
        <v>90</v>
      </c>
      <c r="V5" s="4" t="s">
        <v>13</v>
      </c>
      <c r="W5" s="14">
        <v>30450</v>
      </c>
      <c r="X5" s="14">
        <v>0</v>
      </c>
      <c r="Y5" s="14">
        <v>0</v>
      </c>
      <c r="Z5" s="14">
        <v>0</v>
      </c>
      <c r="AB5" s="4" t="s">
        <v>13</v>
      </c>
      <c r="AC5" s="14">
        <f>LOG10(W5)+1</f>
        <v>5.4835872969688939</v>
      </c>
      <c r="AD5" s="14" t="e">
        <f t="shared" ref="AD5:AD14" si="0">LOG10(X5)+1</f>
        <v>#NUM!</v>
      </c>
      <c r="AE5" s="14" t="e">
        <f t="shared" ref="AE5:AE14" si="1">LOG10(Y5)+1</f>
        <v>#NUM!</v>
      </c>
      <c r="AF5" s="14" t="e">
        <f t="shared" ref="AF5:AF14" si="2">LOG10(Z5)+1</f>
        <v>#NUM!</v>
      </c>
      <c r="AH5" s="4" t="s">
        <v>13</v>
      </c>
      <c r="AI5" s="14">
        <v>13860</v>
      </c>
      <c r="AJ5" s="14">
        <v>0</v>
      </c>
      <c r="AK5" s="14">
        <v>0</v>
      </c>
      <c r="AL5" s="14">
        <v>0</v>
      </c>
      <c r="AO5" s="4" t="s">
        <v>13</v>
      </c>
      <c r="AP5" s="14">
        <f>LOG10(AI5)+1</f>
        <v>5.1417632302757879</v>
      </c>
      <c r="AQ5" s="14" t="e">
        <f t="shared" ref="AQ5:AS14" si="3">LOG10(AJ5)+1</f>
        <v>#NUM!</v>
      </c>
      <c r="AR5" s="14" t="e">
        <f t="shared" si="3"/>
        <v>#NUM!</v>
      </c>
      <c r="AS5" s="14" t="e">
        <f t="shared" si="3"/>
        <v>#NUM!</v>
      </c>
      <c r="AV5" s="4" t="s">
        <v>13</v>
      </c>
      <c r="AW5" s="14">
        <f>AVERAGE(W5,AI5)</f>
        <v>22155</v>
      </c>
      <c r="AX5" s="14">
        <f>AVERAGE(X5,AJ5)</f>
        <v>0</v>
      </c>
      <c r="AY5" s="14">
        <f>AVERAGE(Y5,AK5)</f>
        <v>0</v>
      </c>
      <c r="AZ5" s="14">
        <f>AVERAGE(Z5,AL5)</f>
        <v>0</v>
      </c>
      <c r="BB5" s="4" t="s">
        <v>13</v>
      </c>
      <c r="BC5">
        <f>LOG10(AW5)+1</f>
        <v>5.3454717543676304</v>
      </c>
      <c r="BD5">
        <v>0</v>
      </c>
      <c r="BE5">
        <v>0</v>
      </c>
      <c r="BF5">
        <v>0</v>
      </c>
    </row>
    <row r="6" spans="2:58" ht="14.65" thickBot="1" x14ac:dyDescent="0.5">
      <c r="B6" s="2">
        <v>2</v>
      </c>
      <c r="C6" s="9">
        <v>9000</v>
      </c>
      <c r="F6" s="2">
        <v>2</v>
      </c>
      <c r="G6" s="13">
        <v>1080</v>
      </c>
      <c r="H6" s="13">
        <v>7199.9999999999991</v>
      </c>
      <c r="K6" s="2">
        <v>2</v>
      </c>
      <c r="L6" s="18">
        <v>45000</v>
      </c>
      <c r="M6" s="16">
        <v>6300</v>
      </c>
      <c r="N6" s="17">
        <v>90</v>
      </c>
      <c r="P6" s="2">
        <v>2</v>
      </c>
      <c r="Q6" s="18">
        <v>54000</v>
      </c>
      <c r="R6" s="16">
        <v>899.99999999999989</v>
      </c>
      <c r="S6" s="17">
        <v>180</v>
      </c>
      <c r="V6" s="11" t="s">
        <v>14</v>
      </c>
      <c r="W6" s="14">
        <v>960</v>
      </c>
      <c r="X6" s="14">
        <v>3089.9999999999995</v>
      </c>
      <c r="Y6" s="14">
        <v>0</v>
      </c>
      <c r="Z6" s="14">
        <v>0</v>
      </c>
      <c r="AB6" s="11" t="s">
        <v>14</v>
      </c>
      <c r="AC6" s="14">
        <f t="shared" ref="AC6:AC14" si="4">LOG10(W6)+1</f>
        <v>3.9822712330395684</v>
      </c>
      <c r="AD6" s="14">
        <f t="shared" si="0"/>
        <v>4.4899584794248346</v>
      </c>
      <c r="AE6" s="14" t="e">
        <f t="shared" si="1"/>
        <v>#NUM!</v>
      </c>
      <c r="AF6" s="14" t="e">
        <f t="shared" si="2"/>
        <v>#NUM!</v>
      </c>
      <c r="AH6" s="11" t="s">
        <v>14</v>
      </c>
      <c r="AI6" s="14">
        <v>930</v>
      </c>
      <c r="AJ6" s="14">
        <v>5730</v>
      </c>
      <c r="AK6" s="14">
        <v>0</v>
      </c>
      <c r="AL6" s="14">
        <v>0</v>
      </c>
      <c r="AO6" s="11" t="s">
        <v>14</v>
      </c>
      <c r="AP6" s="14">
        <f t="shared" ref="AP6:AP13" si="5">LOG10(AI6)+1</f>
        <v>3.9684829485539352</v>
      </c>
      <c r="AQ6" s="14">
        <f t="shared" si="3"/>
        <v>4.7581546219673898</v>
      </c>
      <c r="AR6" s="14" t="e">
        <f t="shared" si="3"/>
        <v>#NUM!</v>
      </c>
      <c r="AS6" s="14" t="e">
        <f t="shared" si="3"/>
        <v>#NUM!</v>
      </c>
      <c r="AV6" s="11" t="s">
        <v>14</v>
      </c>
      <c r="AW6" s="14">
        <f t="shared" ref="AW6:AW13" si="6">AVERAGE(W6,AI6)</f>
        <v>945</v>
      </c>
      <c r="AX6" s="14">
        <f t="shared" ref="AX6:AX14" si="7">AVERAGE(X6,AJ6)</f>
        <v>4410</v>
      </c>
      <c r="AY6" s="14">
        <f t="shared" ref="AY6:AY14" si="8">AVERAGE(Y6,AK6)</f>
        <v>0</v>
      </c>
      <c r="AZ6" s="14">
        <f t="shared" ref="AZ6:AZ14" si="9">AVERAGE(Z6,AL6)</f>
        <v>0</v>
      </c>
      <c r="BB6" s="11" t="s">
        <v>14</v>
      </c>
      <c r="BC6">
        <f t="shared" ref="BC6:BC14" si="10">LOG10(AW6)+1</f>
        <v>3.975431808509263</v>
      </c>
      <c r="BD6">
        <f t="shared" ref="BD6:BF13" si="11">LOG10(AX6)+1</f>
        <v>4.6444385894678391</v>
      </c>
      <c r="BE6">
        <v>0</v>
      </c>
      <c r="BF6">
        <v>0</v>
      </c>
    </row>
    <row r="7" spans="2:58" ht="14.65" thickBot="1" x14ac:dyDescent="0.5">
      <c r="B7" s="2">
        <v>3</v>
      </c>
      <c r="C7" s="9">
        <v>81000</v>
      </c>
      <c r="F7" s="2">
        <v>3</v>
      </c>
      <c r="G7" s="13">
        <v>1260</v>
      </c>
      <c r="H7" s="13">
        <v>270</v>
      </c>
      <c r="K7" s="2">
        <v>3</v>
      </c>
      <c r="L7" s="18">
        <v>18000</v>
      </c>
      <c r="M7" s="16">
        <v>5399.9999999999991</v>
      </c>
      <c r="N7" s="17">
        <v>0</v>
      </c>
      <c r="P7" s="2">
        <v>3</v>
      </c>
      <c r="Q7" s="18">
        <v>26999.999999999996</v>
      </c>
      <c r="R7" s="16">
        <v>359.99999999999994</v>
      </c>
      <c r="S7" s="17">
        <v>270</v>
      </c>
      <c r="V7" s="4" t="s">
        <v>15</v>
      </c>
      <c r="W7" s="14">
        <v>27000</v>
      </c>
      <c r="X7" s="14">
        <v>4080</v>
      </c>
      <c r="Y7" s="14">
        <v>0</v>
      </c>
      <c r="Z7" s="14">
        <v>0</v>
      </c>
      <c r="AB7" s="4" t="s">
        <v>15</v>
      </c>
      <c r="AC7" s="14">
        <f t="shared" si="4"/>
        <v>5.4313637641589869</v>
      </c>
      <c r="AD7" s="14">
        <f t="shared" si="0"/>
        <v>4.6106601630898805</v>
      </c>
      <c r="AE7" s="14" t="e">
        <f t="shared" si="1"/>
        <v>#NUM!</v>
      </c>
      <c r="AF7" s="14" t="e">
        <f t="shared" si="2"/>
        <v>#NUM!</v>
      </c>
      <c r="AH7" s="4" t="s">
        <v>15</v>
      </c>
      <c r="AI7" s="14">
        <v>25500</v>
      </c>
      <c r="AJ7" s="14">
        <v>36600</v>
      </c>
      <c r="AK7" s="14">
        <v>0</v>
      </c>
      <c r="AL7" s="14">
        <v>0</v>
      </c>
      <c r="AO7" s="4" t="s">
        <v>15</v>
      </c>
      <c r="AP7" s="14">
        <f t="shared" si="5"/>
        <v>5.4065401804339555</v>
      </c>
      <c r="AQ7" s="14">
        <f t="shared" si="3"/>
        <v>5.563481085394411</v>
      </c>
      <c r="AR7" s="14" t="e">
        <f t="shared" si="3"/>
        <v>#NUM!</v>
      </c>
      <c r="AS7" s="14" t="e">
        <f t="shared" si="3"/>
        <v>#NUM!</v>
      </c>
      <c r="AV7" s="4" t="s">
        <v>15</v>
      </c>
      <c r="AW7" s="14">
        <f t="shared" si="6"/>
        <v>26250</v>
      </c>
      <c r="AX7" s="14">
        <f t="shared" si="7"/>
        <v>20340</v>
      </c>
      <c r="AY7" s="14">
        <f t="shared" si="8"/>
        <v>0</v>
      </c>
      <c r="AZ7" s="14">
        <f t="shared" si="9"/>
        <v>0</v>
      </c>
      <c r="BB7" s="4" t="s">
        <v>15</v>
      </c>
      <c r="BC7">
        <f t="shared" si="10"/>
        <v>5.4191293077419758</v>
      </c>
      <c r="BD7">
        <f t="shared" si="11"/>
        <v>5.3083509485867255</v>
      </c>
      <c r="BE7">
        <v>0</v>
      </c>
      <c r="BF7">
        <v>0</v>
      </c>
    </row>
    <row r="8" spans="2:58" ht="14.65" thickBot="1" x14ac:dyDescent="0.5">
      <c r="B8" s="2">
        <v>4</v>
      </c>
      <c r="C8" s="9">
        <v>1080</v>
      </c>
      <c r="F8" s="2">
        <v>4</v>
      </c>
      <c r="G8" s="13">
        <v>720</v>
      </c>
      <c r="H8" s="13">
        <v>180</v>
      </c>
      <c r="K8" s="2">
        <v>4</v>
      </c>
      <c r="L8" s="18">
        <v>36000</v>
      </c>
      <c r="M8" s="16">
        <v>1799.9999999999998</v>
      </c>
      <c r="N8" s="17">
        <v>0</v>
      </c>
      <c r="P8" s="2">
        <v>4</v>
      </c>
      <c r="Q8" s="18">
        <v>36000</v>
      </c>
      <c r="R8" s="16">
        <v>2700</v>
      </c>
      <c r="S8" s="17">
        <v>900</v>
      </c>
      <c r="V8" s="11" t="s">
        <v>16</v>
      </c>
      <c r="W8" s="14">
        <v>36000</v>
      </c>
      <c r="X8" s="14">
        <v>2520</v>
      </c>
      <c r="Y8" s="14">
        <v>0</v>
      </c>
      <c r="Z8" s="14">
        <v>0</v>
      </c>
      <c r="AB8" s="11" t="s">
        <v>16</v>
      </c>
      <c r="AC8" s="14">
        <f t="shared" si="4"/>
        <v>5.5563025007672868</v>
      </c>
      <c r="AD8" s="14">
        <f t="shared" si="0"/>
        <v>4.4014005407815446</v>
      </c>
      <c r="AE8" s="14" t="e">
        <f t="shared" si="1"/>
        <v>#NUM!</v>
      </c>
      <c r="AF8" s="14" t="e">
        <f t="shared" si="2"/>
        <v>#NUM!</v>
      </c>
      <c r="AH8" s="11" t="s">
        <v>16</v>
      </c>
      <c r="AI8" s="14">
        <v>14850</v>
      </c>
      <c r="AJ8" s="14">
        <v>1260</v>
      </c>
      <c r="AK8" s="14">
        <v>0</v>
      </c>
      <c r="AL8" s="14">
        <v>0</v>
      </c>
      <c r="AO8" s="11" t="s">
        <v>16</v>
      </c>
      <c r="AP8" s="14">
        <f t="shared" si="5"/>
        <v>5.171726453653231</v>
      </c>
      <c r="AQ8" s="14">
        <f t="shared" si="3"/>
        <v>4.1003705451175634</v>
      </c>
      <c r="AR8" s="14" t="e">
        <f t="shared" si="3"/>
        <v>#NUM!</v>
      </c>
      <c r="AS8" s="14" t="e">
        <f t="shared" si="3"/>
        <v>#NUM!</v>
      </c>
      <c r="AV8" s="11" t="s">
        <v>16</v>
      </c>
      <c r="AW8" s="14">
        <f t="shared" si="6"/>
        <v>25425</v>
      </c>
      <c r="AX8" s="14">
        <f t="shared" si="7"/>
        <v>1890</v>
      </c>
      <c r="AY8" s="14">
        <f t="shared" si="8"/>
        <v>0</v>
      </c>
      <c r="AZ8" s="14">
        <f t="shared" si="9"/>
        <v>0</v>
      </c>
      <c r="BB8" s="11" t="s">
        <v>16</v>
      </c>
      <c r="BC8">
        <f t="shared" si="10"/>
        <v>5.4052609615947826</v>
      </c>
      <c r="BD8">
        <f t="shared" si="11"/>
        <v>4.2764618041732447</v>
      </c>
      <c r="BE8">
        <v>0</v>
      </c>
      <c r="BF8">
        <v>0</v>
      </c>
    </row>
    <row r="9" spans="2:58" ht="14.65" thickBot="1" x14ac:dyDescent="0.5">
      <c r="B9" s="2">
        <v>5</v>
      </c>
      <c r="C9" s="13">
        <v>4500</v>
      </c>
      <c r="F9" s="2">
        <v>5</v>
      </c>
      <c r="G9" s="13">
        <v>1799.9999999999998</v>
      </c>
      <c r="H9" s="13">
        <v>16200</v>
      </c>
      <c r="K9" s="2">
        <v>5</v>
      </c>
      <c r="L9" s="18">
        <v>4500</v>
      </c>
      <c r="M9" s="16">
        <v>45000</v>
      </c>
      <c r="N9" s="17">
        <v>180</v>
      </c>
      <c r="P9" s="2">
        <v>5</v>
      </c>
      <c r="Q9" s="18">
        <v>7200</v>
      </c>
      <c r="R9" s="16">
        <v>90.000000000000014</v>
      </c>
      <c r="S9" s="17">
        <v>90</v>
      </c>
      <c r="V9" s="4" t="s">
        <v>17</v>
      </c>
      <c r="W9" s="14">
        <v>14520</v>
      </c>
      <c r="X9" s="14">
        <v>30</v>
      </c>
      <c r="Y9" s="14">
        <v>112.5</v>
      </c>
      <c r="Z9" s="14">
        <v>0</v>
      </c>
      <c r="AB9" s="4" t="s">
        <v>17</v>
      </c>
      <c r="AC9" s="14">
        <f t="shared" si="4"/>
        <v>5.1619666163640749</v>
      </c>
      <c r="AD9" s="14">
        <f t="shared" si="0"/>
        <v>2.4771212547196626</v>
      </c>
      <c r="AE9" s="14">
        <f t="shared" si="1"/>
        <v>3.0511525224473814</v>
      </c>
      <c r="AF9" s="14" t="e">
        <f t="shared" si="2"/>
        <v>#NUM!</v>
      </c>
      <c r="AH9" s="4" t="s">
        <v>17</v>
      </c>
      <c r="AI9" s="14">
        <v>3450</v>
      </c>
      <c r="AJ9" s="14">
        <v>0</v>
      </c>
      <c r="AK9" s="14">
        <v>150</v>
      </c>
      <c r="AL9" s="14">
        <v>0</v>
      </c>
      <c r="AO9" s="4" t="s">
        <v>17</v>
      </c>
      <c r="AP9" s="14">
        <f t="shared" si="5"/>
        <v>4.5378190950732744</v>
      </c>
      <c r="AQ9" s="14" t="e">
        <f t="shared" si="3"/>
        <v>#NUM!</v>
      </c>
      <c r="AR9" s="14">
        <f t="shared" si="3"/>
        <v>3.1760912590556813</v>
      </c>
      <c r="AS9" s="14" t="e">
        <f t="shared" si="3"/>
        <v>#NUM!</v>
      </c>
      <c r="AV9" s="4" t="s">
        <v>17</v>
      </c>
      <c r="AW9" s="14">
        <f t="shared" si="6"/>
        <v>8985</v>
      </c>
      <c r="AX9" s="14">
        <f t="shared" si="7"/>
        <v>15</v>
      </c>
      <c r="AY9" s="14">
        <f t="shared" si="8"/>
        <v>131.25</v>
      </c>
      <c r="AZ9" s="14">
        <f t="shared" si="9"/>
        <v>0</v>
      </c>
      <c r="BB9" s="4" t="s">
        <v>17</v>
      </c>
      <c r="BC9">
        <f t="shared" si="10"/>
        <v>4.9535180814449928</v>
      </c>
      <c r="BD9">
        <f t="shared" si="11"/>
        <v>2.1760912590556813</v>
      </c>
      <c r="BE9">
        <f t="shared" si="11"/>
        <v>3.1180993120779945</v>
      </c>
      <c r="BF9">
        <v>0</v>
      </c>
    </row>
    <row r="10" spans="2:58" ht="14.65" thickBot="1" x14ac:dyDescent="0.5">
      <c r="B10" s="2">
        <v>6</v>
      </c>
      <c r="C10" s="13">
        <v>36000</v>
      </c>
      <c r="F10" s="2">
        <v>6</v>
      </c>
      <c r="G10" s="13">
        <v>270</v>
      </c>
      <c r="H10" s="13">
        <v>810</v>
      </c>
      <c r="K10" s="2">
        <v>6</v>
      </c>
      <c r="L10" s="18">
        <v>36000</v>
      </c>
      <c r="M10" s="16">
        <v>63000</v>
      </c>
      <c r="N10" s="17">
        <v>0</v>
      </c>
      <c r="P10" s="2">
        <v>6</v>
      </c>
      <c r="Q10" s="18">
        <v>1350</v>
      </c>
      <c r="R10" s="16">
        <v>990</v>
      </c>
      <c r="S10" s="17">
        <v>360</v>
      </c>
      <c r="V10" s="11" t="s">
        <v>18</v>
      </c>
      <c r="W10" s="14">
        <v>129300</v>
      </c>
      <c r="X10" s="14">
        <v>240</v>
      </c>
      <c r="Y10" s="14">
        <v>210</v>
      </c>
      <c r="Z10" s="14">
        <v>240</v>
      </c>
      <c r="AB10" s="11" t="s">
        <v>18</v>
      </c>
      <c r="AC10" s="14">
        <f t="shared" si="4"/>
        <v>6.1115985248803941</v>
      </c>
      <c r="AD10" s="14">
        <f t="shared" si="0"/>
        <v>3.3802112417116059</v>
      </c>
      <c r="AE10" s="14">
        <f t="shared" si="1"/>
        <v>3.3222192947339191</v>
      </c>
      <c r="AF10" s="14">
        <f t="shared" si="2"/>
        <v>3.3802112417116059</v>
      </c>
      <c r="AH10" s="11" t="s">
        <v>18</v>
      </c>
      <c r="AI10" s="14">
        <v>660000</v>
      </c>
      <c r="AJ10" s="14">
        <v>1349.9999999999998</v>
      </c>
      <c r="AK10" s="14">
        <v>930</v>
      </c>
      <c r="AL10" s="14">
        <v>1890</v>
      </c>
      <c r="AO10" s="11" t="s">
        <v>18</v>
      </c>
      <c r="AP10" s="14">
        <f t="shared" si="5"/>
        <v>6.8195439355418683</v>
      </c>
      <c r="AQ10" s="14">
        <f t="shared" si="3"/>
        <v>4.1303337684950066</v>
      </c>
      <c r="AR10" s="14">
        <f t="shared" si="3"/>
        <v>3.9684829485539352</v>
      </c>
      <c r="AS10" s="14">
        <f t="shared" si="3"/>
        <v>4.2764618041732447</v>
      </c>
      <c r="AV10" s="11" t="s">
        <v>18</v>
      </c>
      <c r="AW10" s="14">
        <f t="shared" si="6"/>
        <v>394650</v>
      </c>
      <c r="AX10" s="14">
        <f t="shared" si="7"/>
        <v>794.99999999999989</v>
      </c>
      <c r="AY10" s="14">
        <f t="shared" si="8"/>
        <v>570</v>
      </c>
      <c r="AZ10" s="14">
        <f t="shared" si="9"/>
        <v>1065</v>
      </c>
      <c r="BB10" s="11" t="s">
        <v>18</v>
      </c>
      <c r="BC10">
        <f t="shared" si="10"/>
        <v>6.5962121071413842</v>
      </c>
      <c r="BD10">
        <f t="shared" si="11"/>
        <v>3.9003671286564701</v>
      </c>
      <c r="BE10">
        <f t="shared" si="11"/>
        <v>3.7558748556724915</v>
      </c>
      <c r="BF10">
        <f t="shared" si="11"/>
        <v>4.0273496077747559</v>
      </c>
    </row>
    <row r="11" spans="2:58" x14ac:dyDescent="0.45">
      <c r="B11" t="s">
        <v>27</v>
      </c>
      <c r="C11" s="31">
        <f>AVERAGE(C5:C7)</f>
        <v>30450</v>
      </c>
      <c r="F11" t="s">
        <v>27</v>
      </c>
      <c r="G11" s="31">
        <f>AVERAGE(G5:G7)</f>
        <v>960</v>
      </c>
      <c r="H11" s="31">
        <f>AVERAGE(H5:H7)</f>
        <v>3089.9999999999995</v>
      </c>
      <c r="K11" t="s">
        <v>27</v>
      </c>
      <c r="L11" s="31">
        <f>AVERAGE(L5:L7)</f>
        <v>27000</v>
      </c>
      <c r="M11" s="31">
        <f>AVERAGE(M5:M7)</f>
        <v>4080</v>
      </c>
      <c r="N11" s="31">
        <f>AVERAGE(N5:N7)</f>
        <v>30</v>
      </c>
      <c r="P11" t="s">
        <v>27</v>
      </c>
      <c r="Q11" s="31">
        <f>AVERAGE(Q5:Q7)</f>
        <v>36000</v>
      </c>
      <c r="R11" s="31">
        <f>AVERAGE(R5:R7)</f>
        <v>2520</v>
      </c>
      <c r="S11" s="31">
        <f>AVERAGE(S5:S7)</f>
        <v>180</v>
      </c>
      <c r="V11" s="4" t="s">
        <v>19</v>
      </c>
      <c r="W11" s="14">
        <v>399000</v>
      </c>
      <c r="X11" s="14">
        <v>2010</v>
      </c>
      <c r="Y11" s="14">
        <v>210</v>
      </c>
      <c r="Z11" s="14">
        <v>1620</v>
      </c>
      <c r="AB11" s="4" t="s">
        <v>19</v>
      </c>
      <c r="AC11" s="14">
        <f t="shared" si="4"/>
        <v>6.6009728956867484</v>
      </c>
      <c r="AD11" s="14">
        <f t="shared" si="0"/>
        <v>4.3031960574204895</v>
      </c>
      <c r="AE11" s="14">
        <f t="shared" si="1"/>
        <v>3.3222192947339191</v>
      </c>
      <c r="AF11" s="14">
        <f t="shared" si="2"/>
        <v>4.2095150145426308</v>
      </c>
      <c r="AH11" s="4" t="s">
        <v>19</v>
      </c>
      <c r="AI11" s="14">
        <v>6930</v>
      </c>
      <c r="AJ11" s="14">
        <v>390</v>
      </c>
      <c r="AK11" s="14">
        <v>300</v>
      </c>
      <c r="AL11" s="14">
        <v>1230</v>
      </c>
      <c r="AO11" s="4" t="s">
        <v>19</v>
      </c>
      <c r="AP11" s="14">
        <f t="shared" si="5"/>
        <v>4.8407332346118066</v>
      </c>
      <c r="AQ11" s="14">
        <f t="shared" si="3"/>
        <v>3.5910646070264991</v>
      </c>
      <c r="AR11" s="14">
        <f t="shared" si="3"/>
        <v>3.4771212547196626</v>
      </c>
      <c r="AS11" s="14">
        <f t="shared" si="3"/>
        <v>4.0899051114393981</v>
      </c>
      <c r="AV11" s="4" t="s">
        <v>19</v>
      </c>
      <c r="AW11" s="14">
        <f t="shared" si="6"/>
        <v>202965</v>
      </c>
      <c r="AX11" s="14">
        <f t="shared" si="7"/>
        <v>1200</v>
      </c>
      <c r="AY11" s="14">
        <f t="shared" si="8"/>
        <v>255</v>
      </c>
      <c r="AZ11" s="14">
        <f t="shared" si="9"/>
        <v>1425</v>
      </c>
      <c r="BB11" s="4" t="s">
        <v>19</v>
      </c>
      <c r="BC11">
        <f t="shared" si="10"/>
        <v>6.3074211530984909</v>
      </c>
      <c r="BD11">
        <f t="shared" si="11"/>
        <v>4.0791812460476251</v>
      </c>
      <c r="BE11">
        <f t="shared" si="11"/>
        <v>3.406540180433955</v>
      </c>
      <c r="BF11">
        <f t="shared" si="11"/>
        <v>4.153814864344529</v>
      </c>
    </row>
    <row r="12" spans="2:58" x14ac:dyDescent="0.45">
      <c r="B12" t="s">
        <v>27</v>
      </c>
      <c r="C12" s="31">
        <f>AVERAGE(C8:C10)</f>
        <v>13860</v>
      </c>
      <c r="F12" t="s">
        <v>27</v>
      </c>
      <c r="G12" s="31">
        <f>AVERAGE(G8:G10)</f>
        <v>930</v>
      </c>
      <c r="H12" s="31">
        <f>AVERAGE(H8:H10)</f>
        <v>5730</v>
      </c>
      <c r="K12" t="s">
        <v>27</v>
      </c>
      <c r="L12" s="31">
        <f>AVERAGE(L8:L10)</f>
        <v>25500</v>
      </c>
      <c r="M12" s="31">
        <f>AVERAGE(M8:M10)</f>
        <v>36600</v>
      </c>
      <c r="N12" s="31">
        <f>AVERAGE(N8:N10)</f>
        <v>60</v>
      </c>
      <c r="P12" t="s">
        <v>27</v>
      </c>
      <c r="Q12" s="31">
        <f>AVERAGE(Q8:Q10)</f>
        <v>14850</v>
      </c>
      <c r="R12" s="31">
        <f>AVERAGE(R8:R10)</f>
        <v>1260</v>
      </c>
      <c r="S12" s="31">
        <f>AVERAGE(S8:S10)</f>
        <v>450</v>
      </c>
      <c r="V12" s="11" t="s">
        <v>20</v>
      </c>
      <c r="W12" s="14">
        <v>31440</v>
      </c>
      <c r="X12" s="14">
        <v>330.00000000000006</v>
      </c>
      <c r="Y12" s="14">
        <v>90</v>
      </c>
      <c r="Z12" s="14">
        <v>360</v>
      </c>
      <c r="AB12" s="11" t="s">
        <v>20</v>
      </c>
      <c r="AC12" s="14">
        <f t="shared" si="4"/>
        <v>5.4974825373673699</v>
      </c>
      <c r="AD12" s="14">
        <f t="shared" si="0"/>
        <v>3.5185139398778875</v>
      </c>
      <c r="AE12" s="14">
        <f t="shared" si="1"/>
        <v>2.9542425094393252</v>
      </c>
      <c r="AF12" s="14">
        <f t="shared" si="2"/>
        <v>3.5563025007672873</v>
      </c>
      <c r="AH12" s="11" t="s">
        <v>20</v>
      </c>
      <c r="AI12" s="14">
        <v>195000</v>
      </c>
      <c r="AJ12" s="14">
        <v>210</v>
      </c>
      <c r="AK12" s="14">
        <v>3090</v>
      </c>
      <c r="AL12" s="14">
        <v>330</v>
      </c>
      <c r="AO12" s="11" t="s">
        <v>20</v>
      </c>
      <c r="AP12" s="14">
        <f t="shared" si="5"/>
        <v>6.2900346113625183</v>
      </c>
      <c r="AQ12" s="14">
        <f t="shared" si="3"/>
        <v>3.3222192947339191</v>
      </c>
      <c r="AR12" s="14">
        <f t="shared" si="3"/>
        <v>4.4899584794248346</v>
      </c>
      <c r="AS12" s="14">
        <f t="shared" si="3"/>
        <v>3.5185139398778875</v>
      </c>
      <c r="AV12" s="11" t="s">
        <v>20</v>
      </c>
      <c r="AW12" s="14">
        <f t="shared" si="6"/>
        <v>113220</v>
      </c>
      <c r="AX12" s="14">
        <f t="shared" si="7"/>
        <v>270</v>
      </c>
      <c r="AY12" s="14">
        <f t="shared" si="8"/>
        <v>1590</v>
      </c>
      <c r="AZ12" s="14">
        <f t="shared" si="9"/>
        <v>345</v>
      </c>
      <c r="BB12" s="11" t="s">
        <v>20</v>
      </c>
      <c r="BC12">
        <f t="shared" si="10"/>
        <v>6.0539231505485747</v>
      </c>
      <c r="BD12">
        <f t="shared" si="11"/>
        <v>3.4313637641589874</v>
      </c>
      <c r="BE12">
        <f t="shared" si="11"/>
        <v>4.2013971243204509</v>
      </c>
      <c r="BF12">
        <f t="shared" si="11"/>
        <v>3.537819095073274</v>
      </c>
    </row>
    <row r="13" spans="2:58" x14ac:dyDescent="0.45">
      <c r="B13" t="s">
        <v>28</v>
      </c>
      <c r="C13" s="31">
        <f>STDEV(C5:C7)/SQRT(3)</f>
        <v>25371.29283264848</v>
      </c>
      <c r="F13" t="s">
        <v>28</v>
      </c>
      <c r="G13" s="31">
        <f>STDEV(G5:G7)/SQRT(3)</f>
        <v>216.33307652783935</v>
      </c>
      <c r="H13" s="31">
        <f>STDEV(H5:H7)/SQRT(3)</f>
        <v>2101.9276866724031</v>
      </c>
      <c r="K13" t="s">
        <v>28</v>
      </c>
      <c r="L13" s="31">
        <f>STDEV(L5:L7)/SQRT(3)</f>
        <v>9000</v>
      </c>
      <c r="M13" s="31">
        <f>STDEV(M5:M7)/SQRT(3)</f>
        <v>1788.9661819050682</v>
      </c>
      <c r="N13" s="31">
        <f>STDEV(N5:N7)/SQRT(3)</f>
        <v>30.000000000000004</v>
      </c>
      <c r="P13" t="s">
        <v>28</v>
      </c>
      <c r="Q13" s="31">
        <f>STDEV(Q5:Q7)/SQRT(3)</f>
        <v>9000</v>
      </c>
      <c r="R13" s="31">
        <f>STDEV(R5:R7)/SQRT(3)</f>
        <v>1896.4176755134931</v>
      </c>
      <c r="S13" s="31">
        <f>STDEV(S5:S7)/SQRT(3)</f>
        <v>51.96152422706632</v>
      </c>
      <c r="V13" s="4" t="s">
        <v>21</v>
      </c>
      <c r="W13" s="14">
        <v>6870</v>
      </c>
      <c r="X13" s="14">
        <v>30</v>
      </c>
      <c r="Y13" s="14">
        <v>60</v>
      </c>
      <c r="Z13" s="14">
        <v>90</v>
      </c>
      <c r="AB13" s="4" t="s">
        <v>21</v>
      </c>
      <c r="AC13" s="14">
        <f t="shared" si="4"/>
        <v>4.8369567370595501</v>
      </c>
      <c r="AD13" s="14">
        <f t="shared" si="0"/>
        <v>2.4771212547196626</v>
      </c>
      <c r="AE13" s="14">
        <f t="shared" si="1"/>
        <v>2.7781512503836439</v>
      </c>
      <c r="AF13" s="14">
        <f t="shared" si="2"/>
        <v>2.9542425094393252</v>
      </c>
      <c r="AH13" s="4" t="s">
        <v>21</v>
      </c>
      <c r="AI13" s="14">
        <v>1440</v>
      </c>
      <c r="AJ13" s="14">
        <v>90</v>
      </c>
      <c r="AK13" s="14">
        <v>0</v>
      </c>
      <c r="AL13" s="14">
        <v>180</v>
      </c>
      <c r="AO13" s="4" t="s">
        <v>21</v>
      </c>
      <c r="AP13" s="14">
        <f t="shared" si="5"/>
        <v>4.1583624920952502</v>
      </c>
      <c r="AQ13" s="14">
        <f t="shared" si="3"/>
        <v>2.9542425094393252</v>
      </c>
      <c r="AR13" s="14" t="e">
        <f t="shared" si="3"/>
        <v>#NUM!</v>
      </c>
      <c r="AS13" s="14">
        <f t="shared" si="3"/>
        <v>3.255272505103306</v>
      </c>
      <c r="AV13" s="4" t="s">
        <v>21</v>
      </c>
      <c r="AW13" s="14">
        <f t="shared" si="6"/>
        <v>4155</v>
      </c>
      <c r="AX13" s="14">
        <f t="shared" si="7"/>
        <v>60</v>
      </c>
      <c r="AY13" s="14">
        <f t="shared" si="8"/>
        <v>30</v>
      </c>
      <c r="AZ13" s="14">
        <f t="shared" si="9"/>
        <v>135</v>
      </c>
      <c r="BB13" s="4" t="s">
        <v>21</v>
      </c>
      <c r="BC13">
        <f t="shared" si="10"/>
        <v>4.6185710281201295</v>
      </c>
      <c r="BD13">
        <f t="shared" si="11"/>
        <v>2.7781512503836439</v>
      </c>
      <c r="BE13">
        <f t="shared" si="11"/>
        <v>2.4771212547196626</v>
      </c>
      <c r="BF13">
        <f t="shared" si="11"/>
        <v>3.1303337684950061</v>
      </c>
    </row>
    <row r="14" spans="2:58" x14ac:dyDescent="0.45">
      <c r="B14" t="s">
        <v>28</v>
      </c>
      <c r="C14" s="31">
        <f>STDEV(C8:C10)/SQRT(3)</f>
        <v>11113.937196151508</v>
      </c>
      <c r="F14" t="s">
        <v>28</v>
      </c>
      <c r="G14" s="31">
        <f>STDEV(G8:G10)/SQRT(3)</f>
        <v>453.98237851264656</v>
      </c>
      <c r="H14" s="31">
        <f>STDEV(H8:H10)/SQRT(3)</f>
        <v>5238.1580732161956</v>
      </c>
      <c r="K14" t="s">
        <v>28</v>
      </c>
      <c r="L14" s="31">
        <f>STDEV(L8:L10)/SQRT(3)</f>
        <v>10500</v>
      </c>
      <c r="M14" s="31">
        <f>STDEV(M8:M10)/SQRT(3)</f>
        <v>18159.295140505867</v>
      </c>
      <c r="N14" s="31">
        <f>STDEV(N8:N10)/SQRT(3)</f>
        <v>60.000000000000007</v>
      </c>
      <c r="P14" t="s">
        <v>28</v>
      </c>
      <c r="Q14" s="31">
        <f>STDEV(Q8:Q10)/SQRT(3)</f>
        <v>10708.991549160921</v>
      </c>
      <c r="R14" s="31">
        <f>STDEV(R8:R10)/SQRT(3)</f>
        <v>765.44104933038443</v>
      </c>
      <c r="S14" s="31">
        <f>STDEV(S8:S10)/SQRT(3)</f>
        <v>238.11761799581316</v>
      </c>
      <c r="V14" s="11" t="s">
        <v>22</v>
      </c>
      <c r="W14" s="14">
        <v>600</v>
      </c>
      <c r="X14" s="14">
        <v>0</v>
      </c>
      <c r="Y14" s="14">
        <v>0</v>
      </c>
      <c r="Z14" s="14">
        <v>0</v>
      </c>
      <c r="AB14" s="11" t="s">
        <v>22</v>
      </c>
      <c r="AC14" s="14">
        <f t="shared" si="4"/>
        <v>3.7781512503836434</v>
      </c>
      <c r="AD14" s="14" t="e">
        <f t="shared" si="0"/>
        <v>#NUM!</v>
      </c>
      <c r="AE14" s="14" t="e">
        <f t="shared" si="1"/>
        <v>#NUM!</v>
      </c>
      <c r="AF14" s="14" t="e">
        <f t="shared" si="2"/>
        <v>#NUM!</v>
      </c>
      <c r="AH14" s="11" t="s">
        <v>22</v>
      </c>
      <c r="AI14" s="14">
        <v>690</v>
      </c>
      <c r="AJ14" s="14">
        <v>0</v>
      </c>
      <c r="AK14" s="14">
        <v>0</v>
      </c>
      <c r="AL14" s="14">
        <v>0</v>
      </c>
      <c r="AO14" s="11" t="s">
        <v>22</v>
      </c>
      <c r="AP14" s="14">
        <f>LOG10(AI14)+1</f>
        <v>3.8388490907372552</v>
      </c>
      <c r="AQ14" s="14" t="e">
        <f t="shared" si="3"/>
        <v>#NUM!</v>
      </c>
      <c r="AR14" s="14" t="e">
        <f t="shared" si="3"/>
        <v>#NUM!</v>
      </c>
      <c r="AS14" s="14" t="e">
        <f t="shared" si="3"/>
        <v>#NUM!</v>
      </c>
      <c r="AV14" s="11" t="s">
        <v>22</v>
      </c>
      <c r="AW14" s="14">
        <f>AVERAGE(W14,AI14)</f>
        <v>645</v>
      </c>
      <c r="AX14" s="14">
        <f t="shared" si="7"/>
        <v>0</v>
      </c>
      <c r="AY14" s="14">
        <f t="shared" si="8"/>
        <v>0</v>
      </c>
      <c r="AZ14" s="14">
        <f t="shared" si="9"/>
        <v>0</v>
      </c>
      <c r="BB14" s="11" t="s">
        <v>22</v>
      </c>
      <c r="BC14">
        <f t="shared" si="10"/>
        <v>3.8095597146352675</v>
      </c>
      <c r="BD14">
        <v>0</v>
      </c>
      <c r="BE14">
        <v>0</v>
      </c>
      <c r="BF14">
        <v>0</v>
      </c>
    </row>
    <row r="15" spans="2:58" x14ac:dyDescent="0.45">
      <c r="B15" s="4" t="s">
        <v>17</v>
      </c>
      <c r="C15" s="4"/>
      <c r="D15" s="4"/>
      <c r="E15" s="4"/>
      <c r="G15" s="4"/>
      <c r="H15" s="4" t="s">
        <v>18</v>
      </c>
      <c r="I15" s="4"/>
      <c r="J15" s="4"/>
      <c r="K15" s="4"/>
      <c r="M15" s="4"/>
      <c r="N15" s="4" t="s">
        <v>19</v>
      </c>
      <c r="O15" s="4"/>
      <c r="P15" s="4"/>
      <c r="Q15" s="4"/>
    </row>
    <row r="16" spans="2:58" ht="14.65" thickBot="1" x14ac:dyDescent="0.5">
      <c r="B16" s="2" t="s">
        <v>0</v>
      </c>
      <c r="C16" s="2" t="s">
        <v>1</v>
      </c>
      <c r="D16" s="4" t="s">
        <v>25</v>
      </c>
      <c r="E16" s="5" t="s">
        <v>7</v>
      </c>
      <c r="G16" s="2" t="s">
        <v>0</v>
      </c>
      <c r="H16" s="2" t="s">
        <v>1</v>
      </c>
      <c r="I16" s="4" t="s">
        <v>25</v>
      </c>
      <c r="J16" s="5" t="s">
        <v>7</v>
      </c>
      <c r="K16" s="5" t="s">
        <v>8</v>
      </c>
      <c r="M16" s="2" t="s">
        <v>0</v>
      </c>
      <c r="N16" s="2" t="s">
        <v>1</v>
      </c>
      <c r="O16" s="4" t="s">
        <v>25</v>
      </c>
      <c r="P16" s="5" t="s">
        <v>7</v>
      </c>
      <c r="Q16" s="5" t="s">
        <v>8</v>
      </c>
    </row>
    <row r="17" spans="2:46" ht="14.65" thickBot="1" x14ac:dyDescent="0.5">
      <c r="B17" s="2">
        <v>1</v>
      </c>
      <c r="C17" s="15">
        <v>1260</v>
      </c>
      <c r="D17" s="16">
        <v>0</v>
      </c>
      <c r="E17" s="17">
        <v>0</v>
      </c>
      <c r="G17" s="2">
        <v>1</v>
      </c>
      <c r="H17" s="15">
        <v>18000</v>
      </c>
      <c r="I17" s="16">
        <v>90</v>
      </c>
      <c r="J17" s="17">
        <v>90</v>
      </c>
      <c r="K17" s="17">
        <v>180</v>
      </c>
      <c r="M17" s="2">
        <v>1</v>
      </c>
      <c r="N17" s="15">
        <v>27000</v>
      </c>
      <c r="O17" s="16">
        <v>360</v>
      </c>
      <c r="P17" s="17">
        <v>270</v>
      </c>
      <c r="Q17" s="17">
        <v>2160</v>
      </c>
    </row>
    <row r="18" spans="2:46" ht="14.65" thickBot="1" x14ac:dyDescent="0.5">
      <c r="B18" s="2">
        <v>2</v>
      </c>
      <c r="C18" s="18">
        <v>26999.999999999996</v>
      </c>
      <c r="D18" s="16">
        <v>90</v>
      </c>
      <c r="E18" s="17">
        <v>247.5</v>
      </c>
      <c r="G18" s="2">
        <v>2</v>
      </c>
      <c r="H18" s="18">
        <v>360000</v>
      </c>
      <c r="I18" s="16">
        <v>360</v>
      </c>
      <c r="J18" s="17">
        <v>450</v>
      </c>
      <c r="K18" s="17">
        <v>449.99999999999994</v>
      </c>
      <c r="M18" s="2">
        <v>2</v>
      </c>
      <c r="N18" s="18">
        <v>90000</v>
      </c>
      <c r="O18" s="16">
        <v>270</v>
      </c>
      <c r="P18" s="17">
        <v>0</v>
      </c>
      <c r="Q18" s="17">
        <v>1080</v>
      </c>
    </row>
    <row r="19" spans="2:46" ht="14.65" thickBot="1" x14ac:dyDescent="0.5">
      <c r="B19" s="2">
        <v>3</v>
      </c>
      <c r="C19" s="18">
        <v>15300</v>
      </c>
      <c r="D19" s="16">
        <v>0</v>
      </c>
      <c r="E19" s="17">
        <v>90</v>
      </c>
      <c r="G19" s="2">
        <v>3</v>
      </c>
      <c r="H19" s="18">
        <v>9900</v>
      </c>
      <c r="I19" s="16">
        <v>270</v>
      </c>
      <c r="J19" s="17">
        <v>90</v>
      </c>
      <c r="K19" s="17">
        <v>90</v>
      </c>
      <c r="M19" s="2">
        <v>3</v>
      </c>
      <c r="N19" s="18">
        <v>1080000</v>
      </c>
      <c r="O19" s="16">
        <v>5400</v>
      </c>
      <c r="P19" s="17">
        <v>360.00000000000006</v>
      </c>
      <c r="Q19" s="17">
        <v>1620</v>
      </c>
    </row>
    <row r="20" spans="2:46" ht="14.65" thickBot="1" x14ac:dyDescent="0.5">
      <c r="B20" s="2">
        <v>4</v>
      </c>
      <c r="C20" s="18">
        <v>900.00000000000011</v>
      </c>
      <c r="D20" s="16">
        <v>0</v>
      </c>
      <c r="E20" s="17">
        <v>270</v>
      </c>
      <c r="G20" s="2">
        <v>4</v>
      </c>
      <c r="H20" s="18">
        <v>899999.99999999988</v>
      </c>
      <c r="I20" s="16">
        <v>0</v>
      </c>
      <c r="J20" s="17">
        <v>90</v>
      </c>
      <c r="K20" s="17">
        <v>270</v>
      </c>
      <c r="M20" s="2">
        <v>4</v>
      </c>
      <c r="N20" s="18">
        <v>18000</v>
      </c>
      <c r="O20" s="16">
        <v>630</v>
      </c>
      <c r="P20" s="17">
        <v>630</v>
      </c>
      <c r="Q20" s="17">
        <v>2070</v>
      </c>
    </row>
    <row r="21" spans="2:46" ht="14.65" thickBot="1" x14ac:dyDescent="0.5">
      <c r="B21" s="2">
        <v>5</v>
      </c>
      <c r="C21" s="18">
        <v>9000</v>
      </c>
      <c r="D21" s="16">
        <v>0</v>
      </c>
      <c r="E21" s="17">
        <v>90</v>
      </c>
      <c r="G21" s="2">
        <v>5</v>
      </c>
      <c r="H21" s="18">
        <v>990000</v>
      </c>
      <c r="I21" s="16">
        <v>3599.9999999999995</v>
      </c>
      <c r="J21" s="17">
        <v>2700</v>
      </c>
      <c r="K21" s="17">
        <v>4500</v>
      </c>
      <c r="M21" s="2">
        <v>5</v>
      </c>
      <c r="N21" s="18">
        <v>2700</v>
      </c>
      <c r="O21" s="16">
        <v>180</v>
      </c>
      <c r="P21" s="17">
        <v>90</v>
      </c>
      <c r="Q21" s="17">
        <v>449.99999999999994</v>
      </c>
      <c r="S21" t="s">
        <v>26</v>
      </c>
    </row>
    <row r="22" spans="2:46" ht="14.65" thickBot="1" x14ac:dyDescent="0.5">
      <c r="B22" s="2">
        <v>6</v>
      </c>
      <c r="C22" s="18">
        <v>449.99999999999994</v>
      </c>
      <c r="D22" s="16">
        <v>0</v>
      </c>
      <c r="E22" s="17">
        <v>90</v>
      </c>
      <c r="G22" s="2">
        <v>6</v>
      </c>
      <c r="H22" s="18">
        <v>90000</v>
      </c>
      <c r="I22" s="16">
        <v>450</v>
      </c>
      <c r="J22" s="17">
        <v>0</v>
      </c>
      <c r="K22" s="17">
        <v>900</v>
      </c>
      <c r="M22" s="2">
        <v>6</v>
      </c>
      <c r="N22" s="18">
        <v>90</v>
      </c>
      <c r="O22" s="16">
        <v>360</v>
      </c>
      <c r="P22" s="17">
        <v>180</v>
      </c>
      <c r="Q22" s="17">
        <v>1170</v>
      </c>
    </row>
    <row r="23" spans="2:46" x14ac:dyDescent="0.45">
      <c r="B23" t="s">
        <v>27</v>
      </c>
      <c r="C23" s="31">
        <f>AVERAGE(C17:C19)</f>
        <v>14520</v>
      </c>
      <c r="D23" s="31">
        <f>AVERAGE(D17:D19)</f>
        <v>30</v>
      </c>
      <c r="E23" s="31">
        <f>AVERAGE(E17:E19)</f>
        <v>112.5</v>
      </c>
      <c r="G23" t="s">
        <v>27</v>
      </c>
      <c r="H23" s="31">
        <f>AVERAGE(H17:H19)</f>
        <v>129300</v>
      </c>
      <c r="I23" s="31">
        <f>AVERAGE(I17:I19)</f>
        <v>240</v>
      </c>
      <c r="J23" s="31">
        <f>AVERAGE(J17:J19)</f>
        <v>210</v>
      </c>
      <c r="K23" s="31">
        <f>AVERAGE(K17:K19)</f>
        <v>240</v>
      </c>
      <c r="M23" t="s">
        <v>27</v>
      </c>
      <c r="N23" s="31">
        <f>AVERAGE(N17:N19)</f>
        <v>399000</v>
      </c>
      <c r="O23" s="31">
        <f>AVERAGE(O17:O19)</f>
        <v>2010</v>
      </c>
      <c r="P23" s="31">
        <f>AVERAGE(P17:P19)</f>
        <v>210</v>
      </c>
      <c r="Q23" s="31">
        <f>AVERAGE(Q17:Q19)</f>
        <v>1620</v>
      </c>
    </row>
    <row r="24" spans="2:46" x14ac:dyDescent="0.45">
      <c r="B24" t="s">
        <v>27</v>
      </c>
      <c r="C24" s="31">
        <f>AVERAGE(C20:C22)</f>
        <v>3450</v>
      </c>
      <c r="D24" s="31">
        <f>AVERAGE(D20:D22)</f>
        <v>0</v>
      </c>
      <c r="E24" s="31">
        <f>AVERAGE(E20:E22)</f>
        <v>150</v>
      </c>
      <c r="G24" t="s">
        <v>27</v>
      </c>
      <c r="H24" s="31">
        <f>AVERAGE(H20:H22)</f>
        <v>660000</v>
      </c>
      <c r="I24" s="31">
        <f>AVERAGE(I20:I22)</f>
        <v>1349.9999999999998</v>
      </c>
      <c r="J24" s="31">
        <f>AVERAGE(J20:J22)</f>
        <v>930</v>
      </c>
      <c r="K24" s="31">
        <f>AVERAGE(K20:K22)</f>
        <v>1890</v>
      </c>
      <c r="M24" t="s">
        <v>27</v>
      </c>
      <c r="N24" s="31">
        <f>AVERAGE(N20:N22)</f>
        <v>6930</v>
      </c>
      <c r="O24" s="31">
        <f>AVERAGE(O20:O22)</f>
        <v>390</v>
      </c>
      <c r="P24" s="31">
        <f>AVERAGE(P20:P22)</f>
        <v>300</v>
      </c>
      <c r="Q24" s="31">
        <f>AVERAGE(Q20:Q22)</f>
        <v>1230</v>
      </c>
    </row>
    <row r="25" spans="2:46" x14ac:dyDescent="0.45">
      <c r="B25" t="s">
        <v>28</v>
      </c>
      <c r="C25" s="31">
        <f>STDEV(C17:C19)/SQRT(3)</f>
        <v>7440.7257710521735</v>
      </c>
      <c r="D25" s="31">
        <f>STDEV(D17:D19)/SQRT(3)</f>
        <v>30.000000000000004</v>
      </c>
      <c r="E25" s="31">
        <f>STDEV(E17:E19)/SQRT(3)</f>
        <v>72.327380707447162</v>
      </c>
      <c r="G25" t="s">
        <v>28</v>
      </c>
      <c r="H25" s="31">
        <f>STDEV(H17:H19)/SQRT(3)</f>
        <v>115373.6971757428</v>
      </c>
      <c r="I25" s="31">
        <f>STDEV(I17:I19)/SQRT(3)</f>
        <v>79.37253933193773</v>
      </c>
      <c r="J25" s="31">
        <f>STDEV(J17:J19)/SQRT(3)</f>
        <v>120.00000000000001</v>
      </c>
      <c r="K25" s="31">
        <f>STDEV(K17:K19)/SQRT(3)</f>
        <v>108.16653826391965</v>
      </c>
      <c r="M25" t="s">
        <v>28</v>
      </c>
      <c r="N25" s="31">
        <f>STDEV(N17:N19)/SQRT(3)</f>
        <v>340985.33692814421</v>
      </c>
      <c r="O25" s="31">
        <f>STDEV(O17:O19)/SQRT(3)</f>
        <v>1695.1991033504</v>
      </c>
      <c r="P25" s="31">
        <f>STDEV(P17:P19)/SQRT(3)</f>
        <v>108.16653826391973</v>
      </c>
      <c r="Q25" s="31">
        <f>STDEV(Q17:Q19)/SQRT(3)</f>
        <v>311.76914536239792</v>
      </c>
      <c r="AR25" s="14"/>
    </row>
    <row r="26" spans="2:46" x14ac:dyDescent="0.45">
      <c r="B26" t="s">
        <v>28</v>
      </c>
      <c r="C26" s="31">
        <f>STDEV(C20:C22)/SQRT(3)</f>
        <v>2778.0388766178203</v>
      </c>
      <c r="D26" s="31">
        <f>STDEV(D20:D22)/SQRT(3)</f>
        <v>0</v>
      </c>
      <c r="E26" s="31">
        <f>STDEV(E20:E22)/SQRT(3)</f>
        <v>60.000000000000007</v>
      </c>
      <c r="G26" t="s">
        <v>28</v>
      </c>
      <c r="H26" s="31">
        <f>STDEV(H20:H22)/SQRT(3)</f>
        <v>286181.76042508363</v>
      </c>
      <c r="I26" s="31">
        <f>STDEV(I20:I22)/SQRT(3)</f>
        <v>1132.4751652906123</v>
      </c>
      <c r="J26" s="31">
        <f>STDEV(J20:J22)/SQRT(3)</f>
        <v>885.38127380242247</v>
      </c>
      <c r="K26" s="31">
        <f>STDEV(K20:K22)/SQRT(3)</f>
        <v>1317.6114753598652</v>
      </c>
      <c r="M26" t="s">
        <v>28</v>
      </c>
      <c r="N26" s="31">
        <f>STDEV(N20:N22)/SQRT(3)</f>
        <v>5586.0451125997906</v>
      </c>
      <c r="O26" s="31">
        <f>STDEV(O20:O22)/SQRT(3)</f>
        <v>130.76696830622021</v>
      </c>
      <c r="P26" s="31">
        <f>STDEV(P20:P22)/SQRT(3)</f>
        <v>167.03293088490068</v>
      </c>
      <c r="Q26" s="31">
        <f>STDEV(Q20:Q22)/SQRT(3)</f>
        <v>468.61498055439932</v>
      </c>
      <c r="AR26" s="14"/>
    </row>
    <row r="27" spans="2:46" x14ac:dyDescent="0.45">
      <c r="C27" s="31"/>
      <c r="D27" s="31"/>
      <c r="E27" s="31"/>
      <c r="H27" s="31"/>
      <c r="I27" s="31"/>
      <c r="J27" s="31"/>
      <c r="K27" s="31"/>
      <c r="N27" s="31"/>
      <c r="O27" s="31"/>
      <c r="P27" s="31"/>
      <c r="Q27" s="31"/>
      <c r="AR27" s="14"/>
    </row>
    <row r="28" spans="2:46" x14ac:dyDescent="0.45">
      <c r="B28" s="4"/>
      <c r="C28" s="4" t="s">
        <v>20</v>
      </c>
      <c r="D28" s="4"/>
      <c r="E28" s="4"/>
      <c r="F28" s="4"/>
      <c r="H28" s="4"/>
      <c r="I28" s="4" t="s">
        <v>21</v>
      </c>
      <c r="J28" s="4"/>
      <c r="K28" s="4"/>
      <c r="L28" s="4"/>
      <c r="N28" s="4"/>
      <c r="O28" s="4" t="s">
        <v>22</v>
      </c>
      <c r="P28" s="4"/>
      <c r="Q28" s="4"/>
      <c r="R28" s="4"/>
      <c r="AR28" s="14"/>
    </row>
    <row r="29" spans="2:46" ht="14.65" thickBot="1" x14ac:dyDescent="0.5">
      <c r="B29" s="2" t="s">
        <v>0</v>
      </c>
      <c r="C29" s="2" t="s">
        <v>1</v>
      </c>
      <c r="D29" s="4" t="s">
        <v>25</v>
      </c>
      <c r="E29" s="5" t="s">
        <v>7</v>
      </c>
      <c r="F29" s="5" t="s">
        <v>8</v>
      </c>
      <c r="H29" s="2" t="s">
        <v>0</v>
      </c>
      <c r="I29" s="2" t="s">
        <v>1</v>
      </c>
      <c r="J29" s="4" t="s">
        <v>25</v>
      </c>
      <c r="K29" s="5" t="s">
        <v>7</v>
      </c>
      <c r="L29" s="5" t="s">
        <v>8</v>
      </c>
      <c r="N29" s="2" t="s">
        <v>0</v>
      </c>
      <c r="O29" s="2" t="s">
        <v>1</v>
      </c>
      <c r="P29" s="4" t="s">
        <v>25</v>
      </c>
      <c r="Q29" s="5" t="s">
        <v>7</v>
      </c>
      <c r="R29" s="5" t="s">
        <v>8</v>
      </c>
      <c r="Y29" s="31"/>
      <c r="Z29" s="31"/>
      <c r="AB29" s="31"/>
      <c r="AC29" s="31"/>
      <c r="AD29" s="31"/>
      <c r="AE29" s="31"/>
      <c r="AF29" s="31"/>
      <c r="AO29" s="31"/>
      <c r="AP29" s="31"/>
      <c r="AQ29" s="31"/>
      <c r="AR29" s="14"/>
      <c r="AS29" s="31"/>
      <c r="AT29" s="31"/>
    </row>
    <row r="30" spans="2:46" ht="14.65" thickBot="1" x14ac:dyDescent="0.5">
      <c r="B30" s="2">
        <v>1</v>
      </c>
      <c r="C30" s="15">
        <v>1080</v>
      </c>
      <c r="D30" s="16">
        <v>900.00000000000011</v>
      </c>
      <c r="E30" s="17">
        <v>180</v>
      </c>
      <c r="F30" s="17">
        <v>270</v>
      </c>
      <c r="H30" s="2">
        <v>1</v>
      </c>
      <c r="I30" s="15">
        <v>2070</v>
      </c>
      <c r="J30" s="16">
        <v>0</v>
      </c>
      <c r="K30" s="17">
        <v>0</v>
      </c>
      <c r="L30" s="17">
        <v>0</v>
      </c>
      <c r="N30" s="2">
        <v>1</v>
      </c>
      <c r="O30" s="15">
        <v>270</v>
      </c>
      <c r="P30" s="16">
        <v>0</v>
      </c>
      <c r="Q30" s="17">
        <v>0</v>
      </c>
      <c r="R30" s="17">
        <v>0</v>
      </c>
      <c r="AR30" s="14"/>
    </row>
    <row r="31" spans="2:46" ht="14.65" thickBot="1" x14ac:dyDescent="0.5">
      <c r="B31" s="2">
        <v>2</v>
      </c>
      <c r="C31" s="18">
        <v>90000</v>
      </c>
      <c r="D31" s="16">
        <v>0</v>
      </c>
      <c r="E31" s="17">
        <v>90</v>
      </c>
      <c r="F31" s="17">
        <v>180</v>
      </c>
      <c r="H31" s="2">
        <v>2</v>
      </c>
      <c r="I31" s="18">
        <v>3240</v>
      </c>
      <c r="J31" s="16">
        <v>0</v>
      </c>
      <c r="K31" s="17">
        <v>0</v>
      </c>
      <c r="L31" s="17">
        <v>0</v>
      </c>
      <c r="N31" s="2">
        <v>2</v>
      </c>
      <c r="O31" s="18">
        <v>449.99999999999994</v>
      </c>
      <c r="P31" s="16">
        <v>0</v>
      </c>
      <c r="Q31" s="17">
        <v>0</v>
      </c>
      <c r="R31" s="17">
        <v>0</v>
      </c>
      <c r="AR31" s="14"/>
    </row>
    <row r="32" spans="2:46" ht="14.65" thickBot="1" x14ac:dyDescent="0.5">
      <c r="B32" s="2">
        <v>3</v>
      </c>
      <c r="C32" s="18">
        <v>3240</v>
      </c>
      <c r="D32" s="16">
        <v>90</v>
      </c>
      <c r="E32" s="17">
        <v>0</v>
      </c>
      <c r="F32" s="17">
        <v>630</v>
      </c>
      <c r="H32" s="2">
        <v>3</v>
      </c>
      <c r="I32" s="18">
        <v>15299.999999999998</v>
      </c>
      <c r="J32" s="16">
        <v>90</v>
      </c>
      <c r="K32" s="17">
        <v>180</v>
      </c>
      <c r="L32" s="17">
        <v>270</v>
      </c>
      <c r="N32" s="2">
        <v>3</v>
      </c>
      <c r="O32" s="18">
        <v>1080</v>
      </c>
      <c r="P32" s="16">
        <v>0</v>
      </c>
      <c r="Q32" s="17">
        <v>0</v>
      </c>
      <c r="R32" s="17">
        <v>0</v>
      </c>
      <c r="AR32" s="14"/>
    </row>
    <row r="33" spans="2:44" ht="14.65" thickBot="1" x14ac:dyDescent="0.5">
      <c r="B33" s="2">
        <v>4</v>
      </c>
      <c r="C33" s="18">
        <v>360000</v>
      </c>
      <c r="D33" s="16">
        <v>540</v>
      </c>
      <c r="E33" s="17">
        <v>270</v>
      </c>
      <c r="F33" s="17">
        <v>360</v>
      </c>
      <c r="H33" s="2">
        <v>4</v>
      </c>
      <c r="I33" s="18">
        <v>2970</v>
      </c>
      <c r="J33" s="16">
        <v>0</v>
      </c>
      <c r="K33" s="17">
        <v>0</v>
      </c>
      <c r="L33" s="17">
        <v>270</v>
      </c>
      <c r="N33" s="2">
        <v>4</v>
      </c>
      <c r="O33" s="18">
        <v>1260</v>
      </c>
      <c r="P33" s="16">
        <v>0</v>
      </c>
      <c r="Q33" s="17">
        <v>0</v>
      </c>
      <c r="R33" s="17">
        <v>0</v>
      </c>
      <c r="AR33" s="14"/>
    </row>
    <row r="34" spans="2:44" ht="14.65" thickBot="1" x14ac:dyDescent="0.5">
      <c r="B34" s="2">
        <v>5</v>
      </c>
      <c r="C34" s="18">
        <v>198000</v>
      </c>
      <c r="D34" s="16">
        <v>90</v>
      </c>
      <c r="E34" s="17">
        <v>9000</v>
      </c>
      <c r="F34" s="17">
        <v>360</v>
      </c>
      <c r="H34" s="2">
        <v>5</v>
      </c>
      <c r="I34" s="18">
        <v>1080</v>
      </c>
      <c r="J34" s="16">
        <v>270</v>
      </c>
      <c r="K34" s="17">
        <v>0</v>
      </c>
      <c r="L34" s="17">
        <v>0</v>
      </c>
      <c r="N34" s="2">
        <v>5</v>
      </c>
      <c r="O34" s="18">
        <v>360</v>
      </c>
      <c r="P34" s="16">
        <v>0</v>
      </c>
      <c r="Q34" s="17">
        <v>0</v>
      </c>
      <c r="R34" s="17">
        <v>0</v>
      </c>
      <c r="AR34" s="14"/>
    </row>
    <row r="35" spans="2:44" ht="14.65" thickBot="1" x14ac:dyDescent="0.5">
      <c r="B35" s="2">
        <v>6</v>
      </c>
      <c r="C35" s="18">
        <v>26999.999999999996</v>
      </c>
      <c r="D35" s="16">
        <v>0</v>
      </c>
      <c r="E35" s="17">
        <v>0</v>
      </c>
      <c r="F35" s="17">
        <v>270</v>
      </c>
      <c r="H35" s="2">
        <v>6</v>
      </c>
      <c r="I35" s="18">
        <v>270</v>
      </c>
      <c r="J35" s="16">
        <v>0</v>
      </c>
      <c r="K35" s="17">
        <v>0</v>
      </c>
      <c r="L35" s="17">
        <v>270</v>
      </c>
      <c r="N35" s="2">
        <v>6</v>
      </c>
      <c r="O35" s="18">
        <v>450</v>
      </c>
      <c r="P35" s="16">
        <v>0</v>
      </c>
      <c r="Q35" s="17">
        <v>0</v>
      </c>
      <c r="R35" s="17">
        <v>0</v>
      </c>
    </row>
    <row r="36" spans="2:44" x14ac:dyDescent="0.45">
      <c r="B36" t="s">
        <v>27</v>
      </c>
      <c r="C36" s="31">
        <f>AVERAGE(C30:C32)</f>
        <v>31440</v>
      </c>
      <c r="D36" s="31">
        <f>AVERAGE(D30:D32)</f>
        <v>330.00000000000006</v>
      </c>
      <c r="E36" s="31">
        <f>AVERAGE(E30:E32)</f>
        <v>90</v>
      </c>
      <c r="F36" s="31">
        <f>AVERAGE(F30:F32)</f>
        <v>360</v>
      </c>
      <c r="H36" t="s">
        <v>27</v>
      </c>
      <c r="I36" s="31">
        <f>AVERAGE(I30:I32)</f>
        <v>6870</v>
      </c>
      <c r="J36" s="31">
        <f>AVERAGE(J30:J32)</f>
        <v>30</v>
      </c>
      <c r="K36" s="31">
        <f>AVERAGE(K30:K32)</f>
        <v>60</v>
      </c>
      <c r="L36" s="31">
        <f>AVERAGE(L30:L32)</f>
        <v>90</v>
      </c>
      <c r="N36" t="s">
        <v>27</v>
      </c>
      <c r="O36" s="31">
        <f>AVERAGE(O30:O32)</f>
        <v>600</v>
      </c>
      <c r="P36" s="31">
        <f>AVERAGE(P30:P32)</f>
        <v>0</v>
      </c>
      <c r="Q36" s="31">
        <f>AVERAGE(Q30:Q32)</f>
        <v>0</v>
      </c>
      <c r="R36" s="31">
        <f>AVERAGE(R30:R32)</f>
        <v>0</v>
      </c>
    </row>
    <row r="37" spans="2:44" x14ac:dyDescent="0.45">
      <c r="B37" t="s">
        <v>27</v>
      </c>
      <c r="C37" s="31">
        <f>AVERAGE(C33:C35)</f>
        <v>195000</v>
      </c>
      <c r="D37" s="31">
        <f>AVERAGE(D33:D35)</f>
        <v>210</v>
      </c>
      <c r="E37" s="31">
        <f>AVERAGE(E33:E35)</f>
        <v>3090</v>
      </c>
      <c r="F37" s="31">
        <f>AVERAGE(F33:F35)</f>
        <v>330</v>
      </c>
      <c r="H37" t="s">
        <v>27</v>
      </c>
      <c r="I37" s="31">
        <f>AVERAGE(I33:I35)</f>
        <v>1440</v>
      </c>
      <c r="J37" s="31">
        <f>AVERAGE(J33:J35)</f>
        <v>90</v>
      </c>
      <c r="K37" s="31">
        <f>AVERAGE(K33:K35)</f>
        <v>0</v>
      </c>
      <c r="L37" s="31">
        <f>AVERAGE(L33:L35)</f>
        <v>180</v>
      </c>
      <c r="N37" t="s">
        <v>27</v>
      </c>
      <c r="O37" s="31">
        <f>AVERAGE(O33:O35)</f>
        <v>690</v>
      </c>
      <c r="P37" s="31">
        <f>AVERAGE(P33:P35)</f>
        <v>0</v>
      </c>
      <c r="Q37" s="31">
        <f>AVERAGE(Q33:Q35)</f>
        <v>0</v>
      </c>
      <c r="R37" s="31">
        <f>AVERAGE(R33:R35)</f>
        <v>0</v>
      </c>
    </row>
    <row r="38" spans="2:44" x14ac:dyDescent="0.45">
      <c r="B38" t="s">
        <v>28</v>
      </c>
      <c r="C38" s="31">
        <f>STDEV(C30:C32)/SQRT(3)</f>
        <v>29286.63859168546</v>
      </c>
      <c r="D38" s="31">
        <f>STDEV(D30:D32)/SQRT(3)</f>
        <v>286.18176042508378</v>
      </c>
      <c r="E38" s="31">
        <f>STDEV(E30:E32)/SQRT(3)</f>
        <v>51.96152422706632</v>
      </c>
      <c r="F38" s="31">
        <f>STDEV(F30:F32)/SQRT(3)</f>
        <v>137.4772708486752</v>
      </c>
      <c r="H38" t="s">
        <v>28</v>
      </c>
      <c r="I38" s="31">
        <f>STDEV(I30:I32)/SQRT(3)</f>
        <v>4228.5103760071343</v>
      </c>
      <c r="J38" s="31">
        <f>STDEV(J30:J32)/SQRT(3)</f>
        <v>30.000000000000004</v>
      </c>
      <c r="K38" s="31">
        <f>STDEV(K30:K32)/SQRT(3)</f>
        <v>60.000000000000007</v>
      </c>
      <c r="L38" s="31">
        <f>STDEV(L30:L32)/SQRT(3)</f>
        <v>90.000000000000014</v>
      </c>
      <c r="N38" t="s">
        <v>28</v>
      </c>
      <c r="O38" s="31">
        <f>STDEV(O30:O32)/SQRT(3)</f>
        <v>245.56058315617352</v>
      </c>
      <c r="P38" s="31">
        <f>STDEV(P30:P32)/SQRT(3)</f>
        <v>0</v>
      </c>
      <c r="Q38" s="31">
        <f>STDEV(Q30:Q32)/SQRT(3)</f>
        <v>0</v>
      </c>
      <c r="R38" s="31">
        <f>STDEV(R30:R32)/SQRT(3)</f>
        <v>0</v>
      </c>
    </row>
    <row r="39" spans="2:44" x14ac:dyDescent="0.45">
      <c r="B39" t="s">
        <v>28</v>
      </c>
      <c r="C39" s="31">
        <f>STDEV(C33:C35)/SQRT(3)</f>
        <v>96140.522153772385</v>
      </c>
      <c r="D39" s="31">
        <f>STDEV(D33:D35)/SQRT(3)</f>
        <v>167.03293088490068</v>
      </c>
      <c r="E39" s="31">
        <f>STDEV(E33:E35)/SQRT(3)</f>
        <v>2956.0277400592845</v>
      </c>
      <c r="F39" s="31">
        <f>STDEV(F33:F35)/SQRT(3)</f>
        <v>30.000000000000004</v>
      </c>
      <c r="H39" t="s">
        <v>28</v>
      </c>
      <c r="I39" s="31">
        <f>STDEV(I33:I35)/SQRT(3)</f>
        <v>799.93749755840304</v>
      </c>
      <c r="J39" s="31">
        <f>STDEV(J33:J35)/SQRT(3)</f>
        <v>90.000000000000014</v>
      </c>
      <c r="K39" s="31">
        <f>STDEV(K33:K35)/SQRT(3)</f>
        <v>0</v>
      </c>
      <c r="L39" s="31">
        <f>STDEV(L33:L35)/SQRT(3)</f>
        <v>90.000000000000014</v>
      </c>
      <c r="N39" t="s">
        <v>28</v>
      </c>
      <c r="O39" s="31">
        <f>STDEV(O33:O35)/SQRT(3)</f>
        <v>286.18176042508372</v>
      </c>
      <c r="P39" s="31">
        <f>STDEV(P33:P35)/SQRT(3)</f>
        <v>0</v>
      </c>
      <c r="Q39" s="31">
        <f>STDEV(Q33:Q35)/SQRT(3)</f>
        <v>0</v>
      </c>
      <c r="R39" s="31">
        <f>STDEV(R33:R35)/SQRT(3)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15FC3-A31F-4394-9282-69A9ACF4A018}">
  <dimension ref="A1:E11"/>
  <sheetViews>
    <sheetView workbookViewId="0">
      <selection activeCell="G33" sqref="G33"/>
    </sheetView>
  </sheetViews>
  <sheetFormatPr baseColWidth="10" defaultRowHeight="14.25" x14ac:dyDescent="0.45"/>
  <sheetData>
    <row r="1" spans="1:5" x14ac:dyDescent="0.45">
      <c r="A1" t="s">
        <v>34</v>
      </c>
      <c r="B1" t="s">
        <v>35</v>
      </c>
      <c r="C1" t="s">
        <v>36</v>
      </c>
      <c r="D1" t="s">
        <v>38</v>
      </c>
      <c r="E1" t="s">
        <v>37</v>
      </c>
    </row>
    <row r="2" spans="1:5" x14ac:dyDescent="0.45">
      <c r="A2" t="s">
        <v>13</v>
      </c>
      <c r="B2">
        <v>5.3454717543676304</v>
      </c>
      <c r="C2">
        <v>0</v>
      </c>
      <c r="D2">
        <v>0</v>
      </c>
      <c r="E2">
        <v>0</v>
      </c>
    </row>
    <row r="3" spans="1:5" x14ac:dyDescent="0.45">
      <c r="A3" t="s">
        <v>14</v>
      </c>
      <c r="B3">
        <v>3.975431808509263</v>
      </c>
      <c r="C3">
        <v>4.6444385894678391</v>
      </c>
      <c r="D3">
        <v>0</v>
      </c>
      <c r="E3">
        <v>0</v>
      </c>
    </row>
    <row r="4" spans="1:5" x14ac:dyDescent="0.45">
      <c r="A4" t="s">
        <v>15</v>
      </c>
      <c r="B4">
        <v>5.4191293077419758</v>
      </c>
      <c r="C4">
        <v>5.3083509485867255</v>
      </c>
      <c r="D4">
        <v>1.28364185751985</v>
      </c>
      <c r="E4">
        <v>0.56441964371729603</v>
      </c>
    </row>
    <row r="5" spans="1:5" x14ac:dyDescent="0.45">
      <c r="A5" t="s">
        <v>16</v>
      </c>
      <c r="B5">
        <v>5.4052609615947826</v>
      </c>
      <c r="C5">
        <v>4.2764618041732447</v>
      </c>
      <c r="D5">
        <v>2.17</v>
      </c>
      <c r="E5">
        <v>1.95</v>
      </c>
    </row>
    <row r="6" spans="1:5" x14ac:dyDescent="0.45">
      <c r="A6" t="s">
        <v>17</v>
      </c>
      <c r="B6">
        <v>4.9535180814449928</v>
      </c>
      <c r="C6">
        <v>2.1760912590556813</v>
      </c>
      <c r="D6">
        <v>3.1180993120779945</v>
      </c>
      <c r="E6">
        <v>1.3209715053383599</v>
      </c>
    </row>
    <row r="7" spans="1:5" x14ac:dyDescent="0.45">
      <c r="A7" t="s">
        <v>18</v>
      </c>
      <c r="B7">
        <v>6.5962121071413842</v>
      </c>
      <c r="C7">
        <v>3.9003671286564701</v>
      </c>
      <c r="D7">
        <v>3.7558748556724915</v>
      </c>
      <c r="E7">
        <v>4.0273496077747559</v>
      </c>
    </row>
    <row r="8" spans="1:5" x14ac:dyDescent="0.45">
      <c r="A8" t="s">
        <v>19</v>
      </c>
      <c r="B8">
        <v>6.3074211530984909</v>
      </c>
      <c r="C8">
        <v>4.0791812460476251</v>
      </c>
      <c r="D8">
        <v>3.406540180433955</v>
      </c>
      <c r="E8">
        <v>4.153814864344529</v>
      </c>
    </row>
    <row r="9" spans="1:5" x14ac:dyDescent="0.45">
      <c r="A9" t="s">
        <v>20</v>
      </c>
      <c r="B9">
        <v>6.0539231505485747</v>
      </c>
      <c r="C9">
        <v>3.4313637641589874</v>
      </c>
      <c r="D9">
        <v>4.2013971243204509</v>
      </c>
      <c r="E9">
        <v>3.537819095073274</v>
      </c>
    </row>
    <row r="10" spans="1:5" x14ac:dyDescent="0.45">
      <c r="A10" t="s">
        <v>21</v>
      </c>
      <c r="B10">
        <v>4.6185710281201295</v>
      </c>
      <c r="C10">
        <v>2.7781512503836439</v>
      </c>
      <c r="D10">
        <v>2.4771212547196626</v>
      </c>
      <c r="E10">
        <v>3.1303337684950061</v>
      </c>
    </row>
    <row r="11" spans="1:5" x14ac:dyDescent="0.45">
      <c r="A11" t="s">
        <v>22</v>
      </c>
      <c r="B11">
        <v>3.8095597146352675</v>
      </c>
      <c r="C11">
        <f>AVERAGE(C10,C6)</f>
        <v>2.4771212547196626</v>
      </c>
      <c r="D11">
        <v>0.70196659761430802</v>
      </c>
      <c r="E11">
        <v>0.84476173628888895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raw data</vt:lpstr>
      <vt:lpstr>UFCg</vt:lpstr>
      <vt:lpstr>Heatmap (log)+1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orero bayo</dc:creator>
  <cp:lastModifiedBy>Marta Orero Bayo</cp:lastModifiedBy>
  <dcterms:created xsi:type="dcterms:W3CDTF">2015-06-05T18:19:34Z</dcterms:created>
  <dcterms:modified xsi:type="dcterms:W3CDTF">2026-05-19T09:05:14Z</dcterms:modified>
</cp:coreProperties>
</file>