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381CB1F2-E575-49AC-9458-87ECB09AEC72}" xr6:coauthVersionLast="47" xr6:coauthVersionMax="47" xr10:uidLastSave="{00000000-0000-0000-0000-000000000000}"/>
  <bookViews>
    <workbookView xWindow="43080" yWindow="-120" windowWidth="29040" windowHeight="15720" activeTab="2" xr2:uid="{2C6FC011-A483-4EAB-8195-2486AC472A06}"/>
  </bookViews>
  <sheets>
    <sheet name="Raw data" sheetId="1" r:id="rId1"/>
    <sheet name="Dynamic table" sheetId="11" r:id="rId2"/>
    <sheet name="Dynamic table processed" sheetId="13" r:id="rId3"/>
    <sheet name="Subpathways" sheetId="14" r:id="rId4"/>
  </sheets>
  <definedNames>
    <definedName name="_xlnm._FilterDatabase" localSheetId="1" hidden="1">'Dynamic table'!$AM$3:$AM$105</definedName>
    <definedName name="_xlnm._FilterDatabase" localSheetId="0" hidden="1">'Raw data'!$A$2:$F$793</definedName>
    <definedName name="_xlnm._FilterDatabase" localSheetId="3" hidden="1">Subpathways!$V$2:$V$91</definedName>
  </definedNames>
  <calcPr calcId="191029"/>
  <pivotCaches>
    <pivotCache cacheId="5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8" i="13" l="1"/>
  <c r="AK27" i="13"/>
  <c r="F3" i="1"/>
  <c r="AO28" i="13"/>
  <c r="AT28" i="13"/>
  <c r="AT29" i="13"/>
  <c r="AT30" i="13"/>
  <c r="AT31" i="13"/>
  <c r="AT32" i="13"/>
  <c r="AT34" i="13"/>
  <c r="AT35" i="13"/>
  <c r="AT36" i="13"/>
  <c r="AT37" i="13"/>
  <c r="AT38" i="13"/>
  <c r="AT39" i="13"/>
  <c r="AT40" i="13"/>
  <c r="AT41" i="13"/>
  <c r="AS28" i="13"/>
  <c r="AS29" i="13"/>
  <c r="AS30" i="13"/>
  <c r="AS34" i="13"/>
  <c r="AS35" i="13"/>
  <c r="AS37" i="13"/>
  <c r="AS41" i="13"/>
  <c r="AR28" i="13"/>
  <c r="AR29" i="13"/>
  <c r="AR30" i="13"/>
  <c r="AR31" i="13"/>
  <c r="AR34" i="13"/>
  <c r="AR35" i="13"/>
  <c r="AR36" i="13"/>
  <c r="AR37" i="13"/>
  <c r="AR38" i="13"/>
  <c r="AR39" i="13"/>
  <c r="AR41" i="13"/>
  <c r="AR27" i="13"/>
  <c r="AQ28" i="13"/>
  <c r="AQ29" i="13"/>
  <c r="AQ30" i="13"/>
  <c r="AQ31" i="13"/>
  <c r="AQ36" i="13"/>
  <c r="AQ37" i="13"/>
  <c r="AQ38" i="13"/>
  <c r="AQ39" i="13"/>
  <c r="AQ41" i="13"/>
  <c r="AP28" i="13"/>
  <c r="AP29" i="13"/>
  <c r="AP30" i="13"/>
  <c r="AP31" i="13"/>
  <c r="AP34" i="13"/>
  <c r="AP35" i="13"/>
  <c r="AP36" i="13"/>
  <c r="AP37" i="13"/>
  <c r="AP38" i="13"/>
  <c r="AP39" i="13"/>
  <c r="AP40" i="13"/>
  <c r="AP41" i="13"/>
  <c r="AP27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27" i="13"/>
  <c r="AN28" i="13"/>
  <c r="AN29" i="13"/>
  <c r="AN30" i="13"/>
  <c r="AN31" i="13"/>
  <c r="AN32" i="13"/>
  <c r="AN34" i="13"/>
  <c r="AN35" i="13"/>
  <c r="AN36" i="13"/>
  <c r="AN37" i="13"/>
  <c r="AN38" i="13"/>
  <c r="AN39" i="13"/>
  <c r="AN41" i="13"/>
  <c r="AN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27" i="13"/>
  <c r="AL28" i="13"/>
  <c r="AL29" i="13"/>
  <c r="AL30" i="13"/>
  <c r="AL31" i="13"/>
  <c r="AL32" i="13"/>
  <c r="AL35" i="13"/>
  <c r="AL36" i="13"/>
  <c r="AL39" i="13"/>
  <c r="AK29" i="13"/>
  <c r="AK30" i="13"/>
  <c r="AK31" i="13"/>
  <c r="AK34" i="13"/>
  <c r="AK35" i="13"/>
  <c r="AK36" i="13"/>
  <c r="AK37" i="13"/>
  <c r="AK39" i="13"/>
  <c r="AK41" i="13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99" i="1"/>
  <c r="F23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253" i="1"/>
  <c r="F193" i="1"/>
  <c r="F194" i="1"/>
  <c r="F195" i="1"/>
  <c r="F196" i="1"/>
  <c r="F197" i="1"/>
  <c r="F198" i="1"/>
  <c r="F309" i="1"/>
  <c r="F31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330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350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48" i="1"/>
  <c r="F388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99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409" i="1"/>
  <c r="F349" i="1"/>
  <c r="F41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442" i="1"/>
  <c r="F389" i="1"/>
  <c r="F390" i="1"/>
  <c r="F391" i="1"/>
  <c r="F392" i="1"/>
  <c r="F393" i="1"/>
  <c r="F394" i="1"/>
  <c r="F395" i="1"/>
  <c r="F396" i="1"/>
  <c r="F397" i="1"/>
  <c r="F398" i="1"/>
  <c r="F523" i="1"/>
  <c r="F400" i="1"/>
  <c r="F401" i="1"/>
  <c r="F402" i="1"/>
  <c r="F403" i="1"/>
  <c r="F404" i="1"/>
  <c r="F405" i="1"/>
  <c r="F406" i="1"/>
  <c r="F407" i="1"/>
  <c r="F578" i="1"/>
  <c r="F468" i="1"/>
  <c r="F59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723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735" i="1"/>
  <c r="F728" i="1"/>
  <c r="F458" i="1"/>
  <c r="F459" i="1"/>
  <c r="F460" i="1"/>
  <c r="F461" i="1"/>
  <c r="F462" i="1"/>
  <c r="F463" i="1"/>
  <c r="F464" i="1"/>
  <c r="F465" i="1"/>
  <c r="F466" i="1"/>
  <c r="F467" i="1"/>
  <c r="F722" i="1"/>
  <c r="F469" i="1"/>
  <c r="F470" i="1"/>
  <c r="F471" i="1"/>
  <c r="F472" i="1"/>
  <c r="F473" i="1"/>
  <c r="F474" i="1"/>
  <c r="F475" i="1"/>
  <c r="F476" i="1"/>
  <c r="F477" i="1"/>
  <c r="F478" i="1"/>
  <c r="F479" i="1"/>
  <c r="F736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74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173" i="1"/>
  <c r="F579" i="1"/>
  <c r="F580" i="1"/>
  <c r="F581" i="1"/>
  <c r="F582" i="1"/>
  <c r="F583" i="1"/>
  <c r="F584" i="1"/>
  <c r="F585" i="1"/>
  <c r="F586" i="1"/>
  <c r="F587" i="1"/>
  <c r="F588" i="1"/>
  <c r="F172" i="1"/>
  <c r="F192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200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408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457" i="1"/>
  <c r="F456" i="1"/>
  <c r="F480" i="1"/>
  <c r="F724" i="1"/>
  <c r="F725" i="1"/>
  <c r="F726" i="1"/>
  <c r="F727" i="1"/>
  <c r="F612" i="1"/>
  <c r="F729" i="1"/>
  <c r="F730" i="1"/>
  <c r="F731" i="1"/>
  <c r="F732" i="1"/>
  <c r="F733" i="1"/>
  <c r="F734" i="1"/>
  <c r="F589" i="1"/>
  <c r="F689" i="1"/>
  <c r="F737" i="1"/>
  <c r="F738" i="1"/>
  <c r="F739" i="1"/>
  <c r="F740" i="1"/>
  <c r="F741" i="1"/>
  <c r="F742" i="1"/>
  <c r="F721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marta orero bayo</author>
  </authors>
  <commentList>
    <comment ref="C2" authorId="0" shapeId="0" xr:uid="{0B057621-3742-4CA8-968C-FCDCBA216C74}">
      <text>
        <r>
          <rPr>
            <b/>
            <sz val="9"/>
            <color indexed="81"/>
            <rFont val="Tahoma"/>
            <family val="2"/>
          </rPr>
          <t>marta orero bayo:</t>
        </r>
        <r>
          <rPr>
            <sz val="9"/>
            <color indexed="81"/>
            <rFont val="Tahoma"/>
            <family val="2"/>
          </rPr>
          <t xml:space="preserve">
Si es ruta de Bm mas acumulado es Bm up y eso equivale a 1, y si en cambio es de ruta de compuestos que estan mas acumulados en C, eso quiere decir que estan más reprimidos en Bm, es decir, Bm down que equivale a -1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202A5-95E9-43D2-80D7-9937A6519518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C6631595-3757-4B86-9C14-9B6C5FE449B4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<sst xmlns="http://schemas.openxmlformats.org/spreadsheetml/2006/main" count="2559" uniqueCount="224">
  <si>
    <t>Pathway</t>
  </si>
  <si>
    <t>Day</t>
  </si>
  <si>
    <t>Direction</t>
  </si>
  <si>
    <t>Ion</t>
  </si>
  <si>
    <t>-</t>
  </si>
  <si>
    <t>Porphyrin and chlorophyll metabolism - Solanum lycopersicum (tomato)</t>
  </si>
  <si>
    <t>Zeatin biosynthesis - Solanum lycopersicum (tomato)</t>
  </si>
  <si>
    <t>Glycolysis / Gluconeogenesis - Solanum lycopersicum (tomato)</t>
  </si>
  <si>
    <t>Pentose and glucuronate interconversions - Solanum lycopersicum (tomato)</t>
  </si>
  <si>
    <t>Galactose metabolism - Solanum lycopersicum (tomato)</t>
  </si>
  <si>
    <t>Ascorbate and aldarate metabolism - Solanum lycopersicum (tomato)</t>
  </si>
  <si>
    <t>Pyrimidine metabolism - Solanum lycopersicum (tomato)</t>
  </si>
  <si>
    <t>Starch and sucrose metabolism - Solanum lycopersicum (tomato)</t>
  </si>
  <si>
    <t>Amino sugar and nucleotide sugar metabolism - Solanum lycopersicum (tomato)</t>
  </si>
  <si>
    <t>Glycerolipid metabolism - Solanum lycopersicum (tomato)</t>
  </si>
  <si>
    <t>Carbon fixation in photosynthetic organisms - Solanum lycopersicum (tomato)</t>
  </si>
  <si>
    <t>Riboflavin metabolism - Solanum lycopersicum (tomato)</t>
  </si>
  <si>
    <t>Pantothenate and CoA biosynthesis - Solanum lycopersicum (tomato)</t>
  </si>
  <si>
    <t>Monoterpenoid biosynthesis - Solanum lycopersicum (tomato)</t>
  </si>
  <si>
    <t>Anthocyanin biosynthesis - Solanum lycopersicum (tomato)</t>
  </si>
  <si>
    <t>Flavone and flavonol biosynthesis - Solanum lycopersicum (tomato)</t>
  </si>
  <si>
    <t>Carbon metabolism - Solanum lycopersicum (tomato)</t>
  </si>
  <si>
    <t>Biosynthesis of amino acids - Solanum lycopersicum (tomato)</t>
  </si>
  <si>
    <t>ABC transporters - Solanum lycopersicum (tomato)</t>
  </si>
  <si>
    <t>Lignans</t>
  </si>
  <si>
    <t>Primary metabolism</t>
  </si>
  <si>
    <t>Phenylalanine; tyrosine and tryptophan biosynthesis - Solanum lycopersicum (tomato)</t>
  </si>
  <si>
    <t>Glutathione metabolism - Solanum lycopersicum (tomato)</t>
  </si>
  <si>
    <t>Metabolic pathways - Solanum lycopersicum (tomato)</t>
  </si>
  <si>
    <t>Purine metabolism - Solanum lycopersicum (tomato)</t>
  </si>
  <si>
    <t>Degradation of aromatic compounds - Solanum lycopersicum (tomato)</t>
  </si>
  <si>
    <t>Citrate cycle (TCA cycle) - Solanum lycopersicum (tomato)</t>
  </si>
  <si>
    <t>Cutin; suberine and wax biosynthesis - Solanum lycopersicum (tomato)</t>
  </si>
  <si>
    <t>Cysteine and methionine metabolism - Solanum lycopersicum (tomato)</t>
  </si>
  <si>
    <t>Histidine metabolism - Solanum lycopersicum (tomato)</t>
  </si>
  <si>
    <t>Tyrosine metabolism - Solanum lycopersicum (tomato)</t>
  </si>
  <si>
    <t>Pyruvate metabolism - Solanum lycopersicum (tomato)</t>
  </si>
  <si>
    <t>Oxidative phosphorylation - Solanum lycopersicum (tomato)</t>
  </si>
  <si>
    <t>Alanine; aspartate and glutamate metabolism - Solanum lycopersicum (tomato)</t>
  </si>
  <si>
    <t>Valine; leucine and isoleucine degradation - Solanum lycopersicum (tomato)</t>
  </si>
  <si>
    <t>Butanoate metabolism - Solanum lycopersicum (tomato)</t>
  </si>
  <si>
    <t>Thiamine metabolism - Solanum lycopersicum (tomato)</t>
  </si>
  <si>
    <t>Diterpenoid biosynthesis - Solanum lycopersicum (tomato)</t>
  </si>
  <si>
    <t>Stilbenoid; diarylheptanoid and gingerol biosynthesis - Solanum lycopersicum (tomato)</t>
  </si>
  <si>
    <t>Glucosinolate biosynthesis - Solanum lycopersicum (tomato)</t>
  </si>
  <si>
    <t>2-Oxocarboxylic acid metabolism - Solanum lycopersicum (tomato)</t>
  </si>
  <si>
    <t>Secondary metabolism</t>
  </si>
  <si>
    <t>Valine; leucine and isoleucine biosynthesis - Solanum lycopersicum (tomato)</t>
  </si>
  <si>
    <t>Pentose phosphate pathway - Solanum lycopersicum (tomato)</t>
  </si>
  <si>
    <t>db/grp/intern/G_Sec0001</t>
  </si>
  <si>
    <t>Fatty acid biosynthesis - Solanum lycopersicum (tomato)</t>
  </si>
  <si>
    <t>Ubiquinone and other terpenoid-quinone biosynthesis - Solanum lycopersicum (tomato)</t>
  </si>
  <si>
    <t>Glycine; serine and threonine metabolism - Solanum lycopersicum (tomato)</t>
  </si>
  <si>
    <t>Lysine degradation - Solanum lycopersicum (tomato)</t>
  </si>
  <si>
    <t>Arginine and proline metabolism - Solanum lycopersicum (tomato)</t>
  </si>
  <si>
    <t>Phenylalanine metabolism - Solanum lycopersicum (tomato)</t>
  </si>
  <si>
    <t>Cyanoamino acid metabolism - Solanum lycopersicum (tomato)</t>
  </si>
  <si>
    <t>Inositol phosphate metabolism - Solanum lycopersicum (tomato)</t>
  </si>
  <si>
    <t>Glyoxylate and dicarboxylate metabolism - Solanum lycopersicum (tomato)</t>
  </si>
  <si>
    <t>Nicotinate and nicotinamide metabolism - Solanum lycopersicum (tomato)</t>
  </si>
  <si>
    <t>Phenylpropanoid biosynthesis - Solanum lycopersicum (tomato)</t>
  </si>
  <si>
    <t>Tropane; piperidine and pyridine alkaloid biosynthesis - Solanum lycopersicum (tomato)</t>
  </si>
  <si>
    <t>Aminoacyl-tRNA biosynthesis - Solanum lycopersicum (tomato)</t>
  </si>
  <si>
    <t>Sulfur relay system - Solanum lycopersicum (tomato)</t>
  </si>
  <si>
    <t>db/grp/intern/G_Lign0001</t>
  </si>
  <si>
    <t>Amino acids</t>
  </si>
  <si>
    <t>Indole derivatives</t>
  </si>
  <si>
    <t>Podophyllotoxin</t>
  </si>
  <si>
    <t>Diconiferyle</t>
  </si>
  <si>
    <t>Tryptophan metabolism - Solanum lycopersicum (tomato)</t>
  </si>
  <si>
    <t>beta-Alanine metabolism - Solanum lycopersicum (tomato)</t>
  </si>
  <si>
    <t>Arachidonic acid metabolism - Solanum lycopersicum (tomato)</t>
  </si>
  <si>
    <t>Linoleic acid metabolism - Solanum lycopersicum (tomato)</t>
  </si>
  <si>
    <t>alpha-Linolenic acid metabolism - Solanum lycopersicum (tomato)</t>
  </si>
  <si>
    <t>Biotin metabolism - Solanum lycopersicum (tomato)</t>
  </si>
  <si>
    <t>Folate biosynthesis - Solanum lycopersicum (tomato)</t>
  </si>
  <si>
    <t>Sesquiterpenoid and triterpenoid biosynthesis - Solanum lycopersicum (tomato)</t>
  </si>
  <si>
    <t>Plant hormone signal transduction - Solanum lycopersicum (tomato)</t>
  </si>
  <si>
    <t>Alkaloids Library</t>
  </si>
  <si>
    <t>Sulfur metabolism - Solanum lycopersicum (tomato)</t>
  </si>
  <si>
    <t>Flavonoid biosynthesis - Solanum lycopersicum (tomato)</t>
  </si>
  <si>
    <t>Biosynthesis of unsaturated fatty acids - Solanum lycopersicum (tomato)</t>
  </si>
  <si>
    <t>Isoquinoline alkaloid biosynthesis - Solanum lycopersicum (tomato)</t>
  </si>
  <si>
    <t>Phenylpropanoids biosynthesis</t>
  </si>
  <si>
    <t>C5-Branched dibasic acid metabolism - Solanum lycopersicum (tomato)</t>
  </si>
  <si>
    <t>Carotenoid biosynthesis - Solanum lycopersicum (tomato)</t>
  </si>
  <si>
    <t>Glycerophospholipid metabolism - Solanum lycopersicum (tomato)</t>
  </si>
  <si>
    <t>Propanoate metabolism - Solanum lycopersicum (tomato)</t>
  </si>
  <si>
    <t>Vitamin B6 metabolism - Solanum lycopersicum (tomato)</t>
  </si>
  <si>
    <t>Limonene and pinene degradation - Solanum lycopersicum (tomato)</t>
  </si>
  <si>
    <t>Caffeine metabolism - Solanum lycopersicum (tomato)</t>
  </si>
  <si>
    <t>Lysine biosynthesis - Solanum lycopersicum (tomato)</t>
  </si>
  <si>
    <t>Taurine and hypotaurine metabolism - Solanum lycopersicum (tomato)</t>
  </si>
  <si>
    <t>One carbon pool by folate - Solanum lycopersicum (tomato)</t>
  </si>
  <si>
    <t>Terpenoid backbone biosynthesis - Solanum lycopersicum (tomato)</t>
  </si>
  <si>
    <t>Fructose and mannose metabolism - Solanum lycopersicum (tomato)</t>
  </si>
  <si>
    <t>Phosphatidylinositol signaling system - Solanum lycopersicum (tomato)</t>
  </si>
  <si>
    <t>+</t>
  </si>
  <si>
    <t>Photosynthesis - Solanum lycopersicum (tomato)</t>
  </si>
  <si>
    <t>Polyamines</t>
  </si>
  <si>
    <t>Ether lipid metabolism - Solanum lycopersicum (tomato)</t>
  </si>
  <si>
    <t>Flavonoids</t>
  </si>
  <si>
    <t>Steroid biosynthesis - Solanum lycopersicum (tomato)</t>
  </si>
  <si>
    <t>Brassinosteroid biosynthesis - Solanum lycopersicum (tomato)</t>
  </si>
  <si>
    <t>Fatty acid degradation - Solanum lycopersicum (tomato)</t>
  </si>
  <si>
    <t>Etiquetas de fila</t>
  </si>
  <si>
    <t>Total general</t>
  </si>
  <si>
    <t>Etiquetas de columna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</si>
  <si>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</si>
  <si>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</si>
  <si>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</si>
  <si>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</si>
  <si>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</si>
  <si>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</si>
  <si>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</si>
  <si>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</si>
  <si>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</si>
  <si>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</si>
  <si>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Superpathways</t>
  </si>
  <si>
    <t>Amino acid metabolism</t>
  </si>
  <si>
    <t>Membrane transport</t>
  </si>
  <si>
    <t> Amino acid metabolism</t>
  </si>
  <si>
    <t>Lipid metabolism</t>
  </si>
  <si>
    <t>Glycan biosynthesis and metabolism</t>
  </si>
  <si>
    <t>Genetic Information Processing</t>
  </si>
  <si>
    <t>Carbohydrate metabolism</t>
  </si>
  <si>
    <t>Metabolism of cofactors and vitamins</t>
  </si>
  <si>
    <t xml:space="preserve">Carbon metabolism </t>
  </si>
  <si>
    <t>Metabolism of terpenoids and polyketides</t>
  </si>
  <si>
    <t>Degradation of aromatic compounds</t>
  </si>
  <si>
    <t>Glucosinolate biosynthesis</t>
  </si>
  <si>
    <t>Phenylpropanoid biosynthesis</t>
  </si>
  <si>
    <t>Nucleotide metabolism</t>
  </si>
  <si>
    <t>Metabolism of cofactors and vitamin</t>
  </si>
  <si>
    <t>Stilbenoid; diarylheptanoid and gingerol biosynthesis</t>
  </si>
  <si>
    <t>Phenylpropanoid metabolism</t>
  </si>
  <si>
    <t>Terpenoid metabolism</t>
  </si>
  <si>
    <t>Alkaloid metabolism</t>
  </si>
  <si>
    <t>Carbon metabolism</t>
  </si>
  <si>
    <t>Pathways</t>
  </si>
  <si>
    <t>marker hits</t>
  </si>
  <si>
    <t>Suma de marker hits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</si>
  <si>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</si>
  <si>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</si>
  <si>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</si>
  <si>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</si>
  <si>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</si>
  <si>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</si>
  <si>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</si>
  <si>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</si>
  <si>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</si>
  <si>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</si>
  <si>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superpathway</t>
  </si>
  <si>
    <t>Superpathway</t>
  </si>
  <si>
    <t>Biosynthesis of other secondary metabolites</t>
  </si>
  <si>
    <t>Energy metabolism</t>
  </si>
  <si>
    <t>Signal transduction</t>
  </si>
  <si>
    <t>Biosynthesis of phenylpropanoids</t>
  </si>
  <si>
    <t>Pathwar</t>
  </si>
  <si>
    <t>Dia</t>
  </si>
  <si>
    <t>up</t>
  </si>
  <si>
    <t>down</t>
  </si>
  <si>
    <t xml:space="preserve">y </t>
  </si>
  <si>
    <t>Nitrogen metabolism - Solanum lycopersicum (tomato)</t>
  </si>
  <si>
    <t>Fatty acid elongation - Solanum lycopersicum (tomato)</t>
  </si>
  <si>
    <t>Selenocompound metabolism - Solanum lycopersicum (tomato)</t>
  </si>
  <si>
    <t>Fatty acid metabolism - Solanum lycopersicum (tomato)</t>
  </si>
  <si>
    <t>Fatty acid metabolism</t>
  </si>
  <si>
    <t>Plant-pathogen interaction</t>
  </si>
  <si>
    <t>Plant-pathogen interaction - Solanum lycopersicum (tomato)</t>
  </si>
  <si>
    <t>JA biosynthesis</t>
  </si>
  <si>
    <t>put Lignans</t>
  </si>
  <si>
    <t>Abscisic Acid</t>
  </si>
  <si>
    <t>Synthesis and degradation of ketone bodies - Solanum lycopersicum (tomato)</t>
  </si>
  <si>
    <t>Lipoic acid metabolism - Solanum lycopersicum (tomato)</t>
  </si>
  <si>
    <t>RNA transport - Solanum lycopersicum (tomato)</t>
  </si>
  <si>
    <t>Sphingolipid metabolism - Solanum lycopersicum (tomato)</t>
  </si>
  <si>
    <t>Regulation of autophagy - Solanum lycopersicum (tomato)</t>
  </si>
  <si>
    <t>leaves</t>
  </si>
  <si>
    <t>Alanine; aspartate and glutamate metabolism</t>
  </si>
  <si>
    <t>2-Oxocarboxylic acid metabolism</t>
  </si>
  <si>
    <t>Arginine and proline metabolism</t>
  </si>
  <si>
    <t>beta-Alanine metabolism</t>
  </si>
  <si>
    <t>Biosynthesis of amino acids</t>
  </si>
  <si>
    <t>Cyanoamino acid metabolism</t>
  </si>
  <si>
    <t>Cysteine and methionine metabolism</t>
  </si>
  <si>
    <t>Glutathione metabolism</t>
  </si>
  <si>
    <t>Glycine; serine and threonine metabolism</t>
  </si>
  <si>
    <t>Histidine metabolism</t>
  </si>
  <si>
    <t>Lysine biosynthesis</t>
  </si>
  <si>
    <t>Lysine degradation</t>
  </si>
  <si>
    <t>Phenylalanine metabolism</t>
  </si>
  <si>
    <t>Phenylalanine; tyrosine and tryptophan biosynthesis</t>
  </si>
  <si>
    <t>Taurine and hypotaurine metabolism</t>
  </si>
  <si>
    <t>Tryptophan metabolism</t>
  </si>
  <si>
    <t>Tyrosine metabolism</t>
  </si>
  <si>
    <t>Valine; leucine and isoleucine biosynthesis</t>
  </si>
  <si>
    <t>Valine; leucine and isoleucine degradation</t>
  </si>
  <si>
    <t>alpha-Linolenic acid metabolism</t>
  </si>
  <si>
    <t>Arachidonic acid metabolism</t>
  </si>
  <si>
    <t>Biosynthesis of unsaturated fatty acids</t>
  </si>
  <si>
    <t>Cutin; suberine and wax biosynthesis</t>
  </si>
  <si>
    <t>Ether lipid metabolism</t>
  </si>
  <si>
    <t>Fatty acid biosynthesis</t>
  </si>
  <si>
    <t>Fatty acid degradation</t>
  </si>
  <si>
    <t>Glycerolipid metabolism</t>
  </si>
  <si>
    <t>Glycerophospholipid metabolism</t>
  </si>
  <si>
    <t>Linoleic acid metabolism</t>
  </si>
  <si>
    <t>Steroid biosynthesis</t>
  </si>
  <si>
    <t>Anthocyanin biosynthesis</t>
  </si>
  <si>
    <t>Flavone and flavonol biosynthesis</t>
  </si>
  <si>
    <t>Flavonoid biosynthesis</t>
  </si>
  <si>
    <t>Ascorbate and aldarate metabolism</t>
  </si>
  <si>
    <t>Butanoate metabolism</t>
  </si>
  <si>
    <t>C5-Branched dibasic acid metabolism</t>
  </si>
  <si>
    <t>Fructose and mannose metabolism</t>
  </si>
  <si>
    <t>Galactose metabolism</t>
  </si>
  <si>
    <t>Glycolysis / Gluconeogenesis</t>
  </si>
  <si>
    <t>Glyoxylate and dicarboxylate metabolism</t>
  </si>
  <si>
    <t>Inositol phosphate metabolism</t>
  </si>
  <si>
    <t>Pentose and glucuronate interconversions</t>
  </si>
  <si>
    <t>Pentose phosphate pathway</t>
  </si>
  <si>
    <t>Propanoate metabolism</t>
  </si>
  <si>
    <t>Pyruvate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</si>
</sst>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Nº of marker hit 5 days post inoculation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'Dynamic table processed'!$AK$46</c:f>
              <c:strCache>
                <c:ptCount val="1"/>
                <c:pt idx="0">
                  <c:v>5D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'Dynamic table processed'!$AJ$47:$AJ$61</c:f>
              <c:strCache>
                <c:ptCount val="15"/>
                <c:pt idx="0">
                  <c:v>Membrane transport</c:v>
                </c:pt>
                <c:pt idx="1">
                  <c:v>Genetic Information Processing</c:v>
                </c:pt>
                <c:pt idx="2">
                  <c:v>Alkaloid metabolism</c:v>
                </c:pt>
                <c:pt idx="3">
                  <c:v>Terpenoid metabolism</c:v>
                </c:pt>
                <c:pt idx="4">
                  <c:v>Lipid metabolism</c:v>
                </c:pt>
                <c:pt idx="5">
                  <c:v>Signal transduction</c:v>
                </c:pt>
                <c:pt idx="6">
                  <c:v>Energy metabolism</c:v>
                </c:pt>
                <c:pt idx="7">
                  <c:v>Degradation of aromatic compounds</c:v>
                </c:pt>
                <c:pt idx="8">
                  <c:v>Amino acid metabolism</c:v>
                </c:pt>
                <c:pt idx="9">
                  <c:v>Nucleotide metabolism</c:v>
                </c:pt>
                <c:pt idx="10">
                  <c:v>Glycan biosynthesis and metabolism</c:v>
                </c:pt>
                <c:pt idx="11">
                  <c:v>Carbohydrate metabolism</c:v>
                </c:pt>
                <c:pt idx="12">
                  <c:v>Carbon metabolism</c:v>
                </c:pt>
                <c:pt idx="13">
                  <c:v>Phenylpropanoid metabolism</c:v>
                </c:pt>
                <c:pt idx="14">
                  <c:v>Metabolism of cofactors and vitamins</c:v>
                </c:pt>
              </c:strCache>
            </c:strRef>
          </c:cat>
          <c:val>
            <c:numRef>
              <c:f>'Dynamic table processed'!$AK$47:$AK$61</c:f>
              <c:numCache>
                <c:formatCode>General</c:formatCode>
                <c:ptCount val="15"/>
                <c:pt idx="0">
                  <c:v>10</c:v>
                </c:pt>
                <c:pt idx="1">
                  <c:v>3</c:v>
                </c:pt>
                <c:pt idx="2">
                  <c:v>21</c:v>
                </c:pt>
                <c:pt idx="3">
                  <c:v>24</c:v>
                </c:pt>
                <c:pt idx="4">
                  <c:v>30</c:v>
                </c:pt>
                <c:pt idx="5">
                  <c:v>4</c:v>
                </c:pt>
                <c:pt idx="6">
                  <c:v>3</c:v>
                </c:pt>
                <c:pt idx="7">
                  <c:v>12</c:v>
                </c:pt>
                <c:pt idx="8">
                  <c:v>70</c:v>
                </c:pt>
                <c:pt idx="9">
                  <c:v>10</c:v>
                </c:pt>
                <c:pt idx="10">
                  <c:v>6</c:v>
                </c:pt>
                <c:pt idx="11">
                  <c:v>43</c:v>
                </c:pt>
                <c:pt idx="12">
                  <c:v>7</c:v>
                </c:pt>
                <c:pt idx="13">
                  <c:v>32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3-461C-9B25-3F31928DD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1939935"/>
        <c:axId val="381940415"/>
      </c:barChart>
      <c:catAx>
        <c:axId val="38193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1940415"/>
        <c:crosses val="autoZero"/>
        <c:auto val="1"/>
        <c:lblAlgn val="ctr"/>
        <c:lblOffset val="100"/>
        <c:noMultiLvlLbl val="0"/>
      </c:catAx>
      <c:valAx>
        <c:axId val="38194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193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70826</xdr:colOff>
      <xdr:row>44</xdr:row>
      <xdr:rowOff>75466</xdr:rowOff>
    </xdr:from>
    <xdr:to>
      <xdr:col>46</xdr:col>
      <xdr:colOff>677741</xdr:colOff>
      <xdr:row>71</xdr:row>
      <xdr:rowOff>158749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3F10F1-EC9E-AE00-6E8E-419020966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orero bayo" refreshedDate="46097.755734375001" createdVersion="8" refreshedVersion="8" minRefreshableVersion="3" recordCount="791" xr:uid="{384F72C6-BD8B-464B-B42D-D6FF27463CD1}">
  <cacheSource type="worksheet">
    <worksheetSource ref="A2:E793" sheet="Raw data"/>
  </cacheSource>
  <cacheFields count="5">
    <cacheField name="Pathway" numFmtId="0">
      <sharedItems count="99">
        <s v="Porphyrin and chlorophyll metabolism - Solanum lycopersicum (tomato)"/>
        <s v="Zeatin biosynthesis - Solanum lycopersicum (tomato)"/>
        <s v="Glycolysis / Gluconeogenesis - Solanum lycopersicum (tomato)"/>
        <s v="Pentose and glucuronate interconversions - Solanum lycopersicum (tomato)"/>
        <s v="Galactose metabolism - Solanum lycopersicum (tomato)"/>
        <s v="Ascorbate and aldarate metabolism - Solanum lycopersicum (tomato)"/>
        <s v="Pyrimidine metabolism - Solanum lycopersicum (tomato)"/>
        <s v="Starch and sucrose metabolism - Solanum lycopersicum (tomato)"/>
        <s v="Amino sugar and nucleotide sugar metabolism - Solanum lycopersicum (tomato)"/>
        <s v="Glycerolipid metabolism - Solanum lycopersicum (tomato)"/>
        <s v="Carbon fixation in photosynthetic organisms - Solanum lycopersicum (tomato)"/>
        <s v="Riboflavin metabolism - Solanum lycopersicum (tomato)"/>
        <s v="Pantothenate and CoA biosynthesis - Solanum lycopersicum (tomato)"/>
        <s v="Monoterpenoid biosynthesis - Solanum lycopersicum (tomato)"/>
        <s v="Anthocyanin biosynthesis - Solanum lycopersicum (tomato)"/>
        <s v="Flavone and flavonol biosynthesis - Solanum lycopersicum (tomato)"/>
        <s v="Carbon metabolism - Solanum lycopersicum (tomato)"/>
        <s v="Biosynthesis of amino acids - Solanum lycopersicum (tomato)"/>
        <s v="ABC transporters - Solanum lycopersicum (tomato)"/>
        <s v="Lignans"/>
        <s v="Primary metabolism"/>
        <s v="Phenylalanine; tyrosine and tryptophan biosynthesis - Solanum lycopersicum (tomato)"/>
        <s v="Glutathione metabolism - Solanum lycopersicum (tomato)"/>
        <s v="Metabolic pathways - Solanum lycopersicum (tomato)"/>
        <s v="Purine metabolism - Solanum lycopersicum (tomato)"/>
        <s v="Degradation of aromatic compounds - Solanum lycopersicum (tomato)"/>
        <s v="Citrate cycle (TCA cycle) - Solanum lycopersicum (tomato)"/>
        <s v="Cutin; suberine and wax biosynthesis - Solanum lycopersicum (tomato)"/>
        <s v="Cysteine and methionine metabolism - Solanum lycopersicum (tomato)"/>
        <s v="Histidine metabolism - Solanum lycopersicum (tomato)"/>
        <s v="Tyrosine metabolism - Solanum lycopersicum (tomato)"/>
        <s v="Pyruvate metabolism - Solanum lycopersicum (tomato)"/>
        <s v="Oxidative phosphorylation - Solanum lycopersicum (tomato)"/>
        <s v="Alanine; aspartate and glutamate metabolism - Solanum lycopersicum (tomato)"/>
        <s v="Valine; leucine and isoleucine degradation - Solanum lycopersicum (tomato)"/>
        <s v="Butanoate metabolism - Solanum lycopersicum (tomato)"/>
        <s v="Thiamine metabolism - Solanum lycopersicum (tomato)"/>
        <s v="Diterpenoid biosynthesis - Solanum lycopersicum (tomato)"/>
        <s v="Stilbenoid; diarylheptanoid and gingerol biosynthesis - Solanum lycopersicum (tomato)"/>
        <s v="Glucosinolate biosynthesis - Solanum lycopersicum (tomato)"/>
        <s v="2-Oxocarboxylic acid metabolism - Solanum lycopersicum (tomato)"/>
        <s v="Secondary metabolism"/>
        <s v="Valine; leucine and isoleucine biosynthesis - Solanum lycopersicum (tomato)"/>
        <s v="Pentose phosphate pathway - Solanum lycopersicum (tomato)"/>
        <s v="db/grp/intern/G_Sec0001"/>
        <s v="Fatty acid biosynthesis - Solanum lycopersicum (tomato)"/>
        <s v="Ubiquinone and other terpenoid-quinone biosynthesis - Solanum lycopersicum (tomato)"/>
        <s v="Glycine; serine and threonine metabolism - Solanum lycopersicum (tomato)"/>
        <s v="Lysine degradation - Solanum lycopersicum (tomato)"/>
        <s v="Arginine and proline metabolism - Solanum lycopersicum (tomato)"/>
        <s v="Phenylalanine metabolism - Solanum lycopersicum (tomato)"/>
        <s v="Cyanoamino acid metabolism - Solanum lycopersicum (tomato)"/>
        <s v="Inositol phosphate metabolism - Solanum lycopersicum (tomato)"/>
        <s v="Glyoxylate and dicarboxylate metabolism - Solanum lycopersicum (tomato)"/>
        <s v="Nicotinate and nicotinamide metabolism - Solanum lycopersicum (tomato)"/>
        <s v="Phenylpropanoid biosynthesis - Solanum lycopersicum (tomato)"/>
        <s v="Tropane; piperidine and pyridine alkaloid biosynthesis - Solanum lycopersicum (tomato)"/>
        <s v="Aminoacyl-tRNA biosynthesis - Solanum lycopersicum (tomato)"/>
        <s v="Sulfur relay system - Solanum lycopersicum (tomato)"/>
        <s v="db/grp/intern/G_Lign0001"/>
        <s v="Amino acids"/>
        <s v="Indole derivatives"/>
        <s v="Podophyllotoxin"/>
        <s v="Diconiferyle"/>
        <s v="Tryptophan metabolism - Solanum lycopersicum (tomato)"/>
        <s v="beta-Alanine metabolism - Solanum lycopersicum (tomato)"/>
        <s v="Arachidonic acid metabolism - Solanum lycopersicum (tomato)"/>
        <s v="Linoleic acid metabolism - Solanum lycopersicum (tomato)"/>
        <s v="alpha-Linolenic acid metabolism - Solanum lycopersicum (tomato)"/>
        <s v="Biotin metabolism - Solanum lycopersicum (tomato)"/>
        <s v="Folate biosynthesis - Solanum lycopersicum (tomato)"/>
        <s v="Sesquiterpenoid and triterpenoid biosynthesis - Solanum lycopersicum (tomato)"/>
        <s v="Plant hormone signal transduction - Solanum lycopersicum (tomato)"/>
        <s v="Alkaloids Library"/>
        <s v="Sulfur metabolism - Solanum lycopersicum (tomato)"/>
        <s v="Flavonoid biosynthesis - Solanum lycopersicum (tomato)"/>
        <s v="Biosynthesis of unsaturated fatty acids - Solanum lycopersicum (tomato)"/>
        <s v="Isoquinoline alkaloid biosynthesis - Solanum lycopersicum (tomato)"/>
        <s v="Phenylpropanoids biosynthesis"/>
        <s v="C5-Branched dibasic acid metabolism - Solanum lycopersicum (tomato)"/>
        <s v="Carotenoid biosynthesis - Solanum lycopersicum (tomato)"/>
        <s v="Glycerophospholipid metabolism - Solanum lycopersicum (tomato)"/>
        <s v="Propanoate metabolism - Solanum lycopersicum (tomato)"/>
        <s v="Vitamin B6 metabolism - Solanum lycopersicum (tomato)"/>
        <s v="Limonene and pinene degradation - Solanum lycopersicum (tomato)"/>
        <s v="Caffeine metabolism - Solanum lycopersicum (tomato)"/>
        <s v="Lysine biosynthesis - Solanum lycopersicum (tomato)"/>
        <s v="Taurine and hypotaurine metabolism - Solanum lycopersicum (tomato)"/>
        <s v="One carbon pool by folate - Solanum lycopersicum (tomato)"/>
        <s v="Terpenoid backbone biosynthesis - Solanum lycopersicum (tomato)"/>
        <s v="Fructose and mannose metabolism - Solanum lycopersicum (tomato)"/>
        <s v="Phosphatidylinositol signaling system - Solanum lycopersicum (tomato)"/>
        <s v="Photosynthesis - Solanum lycopersicum (tomato)"/>
        <s v="Polyamines"/>
        <s v="Ether lipid metabolism - Solanum lycopersicum (tomato)"/>
        <s v="Flavonoids"/>
        <s v="Steroid biosynthesis - Solanum lycopersicum (tomato)"/>
        <s v="Brassinosteroid biosynthesis - Solanum lycopersicum (tomato)"/>
        <s v="Fatty acid degradation - Solanum lycopersicum (tomato)"/>
      </sharedItems>
    </cacheField>
    <cacheField name="Da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irection" numFmtId="0">
      <sharedItems containsSemiMixedTypes="0" containsString="0" containsNumber="1" containsInteger="1" minValue="-1" maxValue="1" count="2">
        <n v="1"/>
        <n v="-1"/>
      </sharedItems>
    </cacheField>
    <cacheField name="Ion" numFmtId="0">
      <sharedItems/>
    </cacheField>
    <cacheField name="marker hit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orero bayo" refreshedDate="46097.800887268517" createdVersion="8" refreshedVersion="8" minRefreshableVersion="3" recordCount="791" xr:uid="{52A42F0B-A3AC-4D81-A953-EFBF856FE4C5}">
  <cacheSource type="worksheet">
    <worksheetSource ref="A2:F793" sheet="Raw data"/>
  </cacheSource>
  <cacheFields count="6">
    <cacheField name="Pathway" numFmtId="0">
      <sharedItems/>
    </cacheField>
    <cacheField name="Da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irection" numFmtId="0">
      <sharedItems containsSemiMixedTypes="0" containsString="0" containsNumber="1" containsInteger="1" minValue="-1" maxValue="1" count="2">
        <n v="1"/>
        <n v="-1"/>
      </sharedItems>
    </cacheField>
    <cacheField name="Ion" numFmtId="0">
      <sharedItems/>
    </cacheField>
    <cacheField name="marker hits" numFmtId="0">
      <sharedItems containsSemiMixedTypes="0" containsString="0" containsNumber="1" containsInteger="1" minValue="1" maxValue="12"/>
    </cacheField>
    <cacheField name="Superpathway" numFmtId="0">
      <sharedItems containsMixedTypes="1" containsNumber="1" containsInteger="1" minValue="0" maxValue="0" count="26">
        <s v="Metabolism of cofactors and vitamins"/>
        <s v="Terpenoid metabolism"/>
        <s v="Carbohydrate metabolism"/>
        <s v="Nucleotide metabolism"/>
        <s v="Glycan biosynthesis and metabolism"/>
        <s v="Lipid metabolism"/>
        <s v="Carbon metabolism"/>
        <s v="Metabolism of cofactors and vitamin"/>
        <s v="Metabolism of terpenoids and polyketides"/>
        <s v="Phenylpropanoid metabolism"/>
        <s v="Carbon metabolism "/>
        <s v="Amino acid metabolism"/>
        <s v="Membrane transport"/>
        <s v="Primary metabolism"/>
        <n v="0"/>
        <s v="Degradation of aromatic compounds"/>
        <s v="Energy metabolism"/>
        <s v="Stilbenoid; diarylheptanoid and gingerol biosynthesis"/>
        <s v="Glucosinolate biosynthesis"/>
        <s v="Secondary metabolism"/>
        <s v="Phenylpropanoid biosynthesis"/>
        <s v="Alkaloid metabolism"/>
        <s v="Genetic Information Processing"/>
        <s v="Biosynthesis of phenylpropanoids"/>
        <s v="Signal transduction"/>
        <s v="Biosynthesis of other secondary metabolit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x v="0"/>
    <x v="0"/>
    <x v="0"/>
    <s v="-"/>
    <n v="3"/>
  </r>
  <r>
    <x v="1"/>
    <x v="0"/>
    <x v="0"/>
    <s v="-"/>
    <n v="2"/>
  </r>
  <r>
    <x v="2"/>
    <x v="0"/>
    <x v="0"/>
    <s v="-"/>
    <n v="1"/>
  </r>
  <r>
    <x v="3"/>
    <x v="0"/>
    <x v="0"/>
    <s v="-"/>
    <n v="1"/>
  </r>
  <r>
    <x v="4"/>
    <x v="0"/>
    <x v="0"/>
    <s v="-"/>
    <n v="1"/>
  </r>
  <r>
    <x v="5"/>
    <x v="0"/>
    <x v="0"/>
    <s v="-"/>
    <n v="1"/>
  </r>
  <r>
    <x v="6"/>
    <x v="0"/>
    <x v="0"/>
    <s v="-"/>
    <n v="1"/>
  </r>
  <r>
    <x v="7"/>
    <x v="0"/>
    <x v="0"/>
    <s v="-"/>
    <n v="1"/>
  </r>
  <r>
    <x v="8"/>
    <x v="0"/>
    <x v="0"/>
    <s v="-"/>
    <n v="1"/>
  </r>
  <r>
    <x v="9"/>
    <x v="0"/>
    <x v="0"/>
    <s v="-"/>
    <n v="1"/>
  </r>
  <r>
    <x v="10"/>
    <x v="0"/>
    <x v="0"/>
    <s v="-"/>
    <n v="1"/>
  </r>
  <r>
    <x v="11"/>
    <x v="0"/>
    <x v="0"/>
    <s v="-"/>
    <n v="1"/>
  </r>
  <r>
    <x v="12"/>
    <x v="0"/>
    <x v="0"/>
    <s v="-"/>
    <n v="1"/>
  </r>
  <r>
    <x v="13"/>
    <x v="0"/>
    <x v="0"/>
    <s v="-"/>
    <n v="1"/>
  </r>
  <r>
    <x v="14"/>
    <x v="0"/>
    <x v="0"/>
    <s v="-"/>
    <n v="2"/>
  </r>
  <r>
    <x v="15"/>
    <x v="0"/>
    <x v="0"/>
    <s v="-"/>
    <n v="2"/>
  </r>
  <r>
    <x v="16"/>
    <x v="0"/>
    <x v="0"/>
    <s v="-"/>
    <n v="1"/>
  </r>
  <r>
    <x v="17"/>
    <x v="0"/>
    <x v="0"/>
    <s v="-"/>
    <n v="1"/>
  </r>
  <r>
    <x v="18"/>
    <x v="0"/>
    <x v="0"/>
    <s v="-"/>
    <n v="2"/>
  </r>
  <r>
    <x v="19"/>
    <x v="0"/>
    <x v="0"/>
    <s v="-"/>
    <n v="1"/>
  </r>
  <r>
    <x v="20"/>
    <x v="0"/>
    <x v="0"/>
    <s v="-"/>
    <n v="1"/>
  </r>
  <r>
    <x v="6"/>
    <x v="0"/>
    <x v="1"/>
    <s v="-"/>
    <n v="1"/>
  </r>
  <r>
    <x v="21"/>
    <x v="0"/>
    <x v="1"/>
    <s v="-"/>
    <n v="1"/>
  </r>
  <r>
    <x v="22"/>
    <x v="0"/>
    <x v="1"/>
    <s v="-"/>
    <n v="3"/>
  </r>
  <r>
    <x v="17"/>
    <x v="0"/>
    <x v="1"/>
    <s v="-"/>
    <n v="1"/>
  </r>
  <r>
    <x v="23"/>
    <x v="0"/>
    <x v="1"/>
    <s v="-"/>
    <n v="1"/>
  </r>
  <r>
    <x v="24"/>
    <x v="1"/>
    <x v="0"/>
    <s v="-"/>
    <n v="2"/>
  </r>
  <r>
    <x v="25"/>
    <x v="1"/>
    <x v="0"/>
    <s v="-"/>
    <n v="2"/>
  </r>
  <r>
    <x v="17"/>
    <x v="1"/>
    <x v="0"/>
    <s v="-"/>
    <n v="2"/>
  </r>
  <r>
    <x v="2"/>
    <x v="1"/>
    <x v="0"/>
    <s v="-"/>
    <n v="1"/>
  </r>
  <r>
    <x v="26"/>
    <x v="1"/>
    <x v="0"/>
    <s v="-"/>
    <n v="1"/>
  </r>
  <r>
    <x v="27"/>
    <x v="1"/>
    <x v="0"/>
    <s v="-"/>
    <n v="1"/>
  </r>
  <r>
    <x v="28"/>
    <x v="1"/>
    <x v="0"/>
    <s v="-"/>
    <n v="1"/>
  </r>
  <r>
    <x v="29"/>
    <x v="1"/>
    <x v="0"/>
    <s v="-"/>
    <n v="1"/>
  </r>
  <r>
    <x v="30"/>
    <x v="1"/>
    <x v="0"/>
    <s v="-"/>
    <n v="1"/>
  </r>
  <r>
    <x v="21"/>
    <x v="1"/>
    <x v="0"/>
    <s v="-"/>
    <n v="1"/>
  </r>
  <r>
    <x v="31"/>
    <x v="1"/>
    <x v="0"/>
    <s v="-"/>
    <n v="1"/>
  </r>
  <r>
    <x v="10"/>
    <x v="1"/>
    <x v="0"/>
    <s v="-"/>
    <n v="1"/>
  </r>
  <r>
    <x v="0"/>
    <x v="1"/>
    <x v="0"/>
    <s v="-"/>
    <n v="1"/>
  </r>
  <r>
    <x v="1"/>
    <x v="1"/>
    <x v="0"/>
    <s v="-"/>
    <n v="1"/>
  </r>
  <r>
    <x v="16"/>
    <x v="1"/>
    <x v="0"/>
    <s v="-"/>
    <n v="1"/>
  </r>
  <r>
    <x v="20"/>
    <x v="1"/>
    <x v="0"/>
    <s v="-"/>
    <n v="1"/>
  </r>
  <r>
    <x v="2"/>
    <x v="1"/>
    <x v="1"/>
    <s v="-"/>
    <n v="1"/>
  </r>
  <r>
    <x v="26"/>
    <x v="1"/>
    <x v="1"/>
    <s v="-"/>
    <n v="1"/>
  </r>
  <r>
    <x v="32"/>
    <x v="1"/>
    <x v="1"/>
    <s v="-"/>
    <n v="1"/>
  </r>
  <r>
    <x v="24"/>
    <x v="1"/>
    <x v="1"/>
    <s v="-"/>
    <n v="1"/>
  </r>
  <r>
    <x v="6"/>
    <x v="1"/>
    <x v="1"/>
    <s v="-"/>
    <n v="1"/>
  </r>
  <r>
    <x v="33"/>
    <x v="1"/>
    <x v="1"/>
    <s v="-"/>
    <n v="1"/>
  </r>
  <r>
    <x v="34"/>
    <x v="1"/>
    <x v="1"/>
    <s v="-"/>
    <n v="1"/>
  </r>
  <r>
    <x v="31"/>
    <x v="1"/>
    <x v="1"/>
    <s v="-"/>
    <n v="1"/>
  </r>
  <r>
    <x v="35"/>
    <x v="1"/>
    <x v="1"/>
    <s v="-"/>
    <n v="1"/>
  </r>
  <r>
    <x v="36"/>
    <x v="1"/>
    <x v="1"/>
    <s v="-"/>
    <n v="1"/>
  </r>
  <r>
    <x v="37"/>
    <x v="1"/>
    <x v="1"/>
    <s v="-"/>
    <n v="1"/>
  </r>
  <r>
    <x v="38"/>
    <x v="1"/>
    <x v="1"/>
    <s v="-"/>
    <n v="1"/>
  </r>
  <r>
    <x v="39"/>
    <x v="1"/>
    <x v="1"/>
    <s v="-"/>
    <n v="1"/>
  </r>
  <r>
    <x v="40"/>
    <x v="1"/>
    <x v="1"/>
    <s v="-"/>
    <n v="1"/>
  </r>
  <r>
    <x v="19"/>
    <x v="1"/>
    <x v="1"/>
    <s v="-"/>
    <n v="1"/>
  </r>
  <r>
    <x v="41"/>
    <x v="1"/>
    <x v="1"/>
    <s v="-"/>
    <n v="1"/>
  </r>
  <r>
    <x v="17"/>
    <x v="2"/>
    <x v="0"/>
    <s v="-"/>
    <n v="9"/>
  </r>
  <r>
    <x v="39"/>
    <x v="2"/>
    <x v="0"/>
    <s v="-"/>
    <n v="4"/>
  </r>
  <r>
    <x v="40"/>
    <x v="2"/>
    <x v="0"/>
    <s v="-"/>
    <n v="4"/>
  </r>
  <r>
    <x v="25"/>
    <x v="2"/>
    <x v="0"/>
    <s v="-"/>
    <n v="5"/>
  </r>
  <r>
    <x v="34"/>
    <x v="2"/>
    <x v="0"/>
    <s v="-"/>
    <n v="3"/>
  </r>
  <r>
    <x v="42"/>
    <x v="2"/>
    <x v="0"/>
    <s v="-"/>
    <n v="3"/>
  </r>
  <r>
    <x v="43"/>
    <x v="2"/>
    <x v="0"/>
    <s v="-"/>
    <n v="2"/>
  </r>
  <r>
    <x v="4"/>
    <x v="2"/>
    <x v="0"/>
    <s v="-"/>
    <n v="3"/>
  </r>
  <r>
    <x v="9"/>
    <x v="2"/>
    <x v="0"/>
    <s v="-"/>
    <n v="3"/>
  </r>
  <r>
    <x v="16"/>
    <x v="2"/>
    <x v="0"/>
    <s v="-"/>
    <n v="2"/>
  </r>
  <r>
    <x v="19"/>
    <x v="2"/>
    <x v="0"/>
    <s v="-"/>
    <n v="4"/>
  </r>
  <r>
    <x v="44"/>
    <x v="2"/>
    <x v="0"/>
    <s v="-"/>
    <n v="2"/>
  </r>
  <r>
    <x v="2"/>
    <x v="2"/>
    <x v="0"/>
    <s v="-"/>
    <n v="1"/>
  </r>
  <r>
    <x v="45"/>
    <x v="2"/>
    <x v="0"/>
    <s v="-"/>
    <n v="1"/>
  </r>
  <r>
    <x v="46"/>
    <x v="2"/>
    <x v="0"/>
    <s v="-"/>
    <n v="1"/>
  </r>
  <r>
    <x v="24"/>
    <x v="2"/>
    <x v="0"/>
    <s v="-"/>
    <n v="1"/>
  </r>
  <r>
    <x v="6"/>
    <x v="2"/>
    <x v="0"/>
    <s v="-"/>
    <n v="1"/>
  </r>
  <r>
    <x v="47"/>
    <x v="2"/>
    <x v="0"/>
    <s v="-"/>
    <n v="1"/>
  </r>
  <r>
    <x v="28"/>
    <x v="2"/>
    <x v="0"/>
    <s v="-"/>
    <n v="3"/>
  </r>
  <r>
    <x v="48"/>
    <x v="2"/>
    <x v="0"/>
    <s v="-"/>
    <n v="1"/>
  </r>
  <r>
    <x v="49"/>
    <x v="2"/>
    <x v="0"/>
    <s v="-"/>
    <n v="3"/>
  </r>
  <r>
    <x v="29"/>
    <x v="2"/>
    <x v="0"/>
    <s v="-"/>
    <n v="1"/>
  </r>
  <r>
    <x v="50"/>
    <x v="2"/>
    <x v="0"/>
    <s v="-"/>
    <n v="1"/>
  </r>
  <r>
    <x v="21"/>
    <x v="2"/>
    <x v="0"/>
    <s v="-"/>
    <n v="1"/>
  </r>
  <r>
    <x v="51"/>
    <x v="2"/>
    <x v="0"/>
    <s v="-"/>
    <n v="1"/>
  </r>
  <r>
    <x v="8"/>
    <x v="2"/>
    <x v="0"/>
    <s v="-"/>
    <n v="1"/>
  </r>
  <r>
    <x v="52"/>
    <x v="2"/>
    <x v="0"/>
    <s v="-"/>
    <n v="1"/>
  </r>
  <r>
    <x v="53"/>
    <x v="2"/>
    <x v="0"/>
    <s v="-"/>
    <n v="1"/>
  </r>
  <r>
    <x v="10"/>
    <x v="2"/>
    <x v="0"/>
    <s v="-"/>
    <n v="1"/>
  </r>
  <r>
    <x v="54"/>
    <x v="2"/>
    <x v="0"/>
    <s v="-"/>
    <n v="2"/>
  </r>
  <r>
    <x v="12"/>
    <x v="2"/>
    <x v="0"/>
    <s v="-"/>
    <n v="1"/>
  </r>
  <r>
    <x v="1"/>
    <x v="2"/>
    <x v="0"/>
    <s v="-"/>
    <n v="3"/>
  </r>
  <r>
    <x v="55"/>
    <x v="2"/>
    <x v="0"/>
    <s v="-"/>
    <n v="1"/>
  </r>
  <r>
    <x v="38"/>
    <x v="2"/>
    <x v="0"/>
    <s v="-"/>
    <n v="1"/>
  </r>
  <r>
    <x v="56"/>
    <x v="2"/>
    <x v="0"/>
    <s v="-"/>
    <n v="1"/>
  </r>
  <r>
    <x v="57"/>
    <x v="2"/>
    <x v="0"/>
    <s v="-"/>
    <n v="1"/>
  </r>
  <r>
    <x v="18"/>
    <x v="2"/>
    <x v="0"/>
    <s v="-"/>
    <n v="1"/>
  </r>
  <r>
    <x v="58"/>
    <x v="2"/>
    <x v="0"/>
    <s v="-"/>
    <n v="3"/>
  </r>
  <r>
    <x v="59"/>
    <x v="2"/>
    <x v="0"/>
    <s v="-"/>
    <n v="3"/>
  </r>
  <r>
    <x v="60"/>
    <x v="2"/>
    <x v="0"/>
    <s v="-"/>
    <n v="1"/>
  </r>
  <r>
    <x v="61"/>
    <x v="2"/>
    <x v="0"/>
    <s v="-"/>
    <n v="1"/>
  </r>
  <r>
    <x v="62"/>
    <x v="2"/>
    <x v="0"/>
    <s v="-"/>
    <n v="3"/>
  </r>
  <r>
    <x v="41"/>
    <x v="2"/>
    <x v="0"/>
    <s v="-"/>
    <n v="2"/>
  </r>
  <r>
    <x v="14"/>
    <x v="2"/>
    <x v="1"/>
    <s v="-"/>
    <n v="8"/>
  </r>
  <r>
    <x v="19"/>
    <x v="2"/>
    <x v="1"/>
    <s v="-"/>
    <n v="7"/>
  </r>
  <r>
    <x v="15"/>
    <x v="2"/>
    <x v="1"/>
    <s v="-"/>
    <n v="6"/>
  </r>
  <r>
    <x v="17"/>
    <x v="2"/>
    <x v="1"/>
    <s v="-"/>
    <n v="3"/>
  </r>
  <r>
    <x v="24"/>
    <x v="2"/>
    <x v="1"/>
    <s v="-"/>
    <n v="2"/>
  </r>
  <r>
    <x v="0"/>
    <x v="2"/>
    <x v="1"/>
    <s v="-"/>
    <n v="2"/>
  </r>
  <r>
    <x v="1"/>
    <x v="2"/>
    <x v="1"/>
    <s v="-"/>
    <n v="2"/>
  </r>
  <r>
    <x v="40"/>
    <x v="2"/>
    <x v="1"/>
    <s v="-"/>
    <n v="3"/>
  </r>
  <r>
    <x v="25"/>
    <x v="2"/>
    <x v="1"/>
    <s v="-"/>
    <n v="2"/>
  </r>
  <r>
    <x v="63"/>
    <x v="2"/>
    <x v="1"/>
    <s v="-"/>
    <n v="2"/>
  </r>
  <r>
    <x v="26"/>
    <x v="2"/>
    <x v="1"/>
    <s v="-"/>
    <n v="1"/>
  </r>
  <r>
    <x v="43"/>
    <x v="2"/>
    <x v="1"/>
    <s v="-"/>
    <n v="1"/>
  </r>
  <r>
    <x v="3"/>
    <x v="2"/>
    <x v="1"/>
    <s v="-"/>
    <n v="1"/>
  </r>
  <r>
    <x v="5"/>
    <x v="2"/>
    <x v="1"/>
    <s v="-"/>
    <n v="1"/>
  </r>
  <r>
    <x v="27"/>
    <x v="2"/>
    <x v="1"/>
    <s v="-"/>
    <n v="1"/>
  </r>
  <r>
    <x v="46"/>
    <x v="2"/>
    <x v="1"/>
    <s v="-"/>
    <n v="1"/>
  </r>
  <r>
    <x v="28"/>
    <x v="2"/>
    <x v="1"/>
    <s v="-"/>
    <n v="1"/>
  </r>
  <r>
    <x v="49"/>
    <x v="2"/>
    <x v="1"/>
    <s v="-"/>
    <n v="1"/>
  </r>
  <r>
    <x v="29"/>
    <x v="2"/>
    <x v="1"/>
    <s v="-"/>
    <n v="1"/>
  </r>
  <r>
    <x v="64"/>
    <x v="2"/>
    <x v="1"/>
    <s v="-"/>
    <n v="2"/>
  </r>
  <r>
    <x v="21"/>
    <x v="2"/>
    <x v="1"/>
    <s v="-"/>
    <n v="1"/>
  </r>
  <r>
    <x v="65"/>
    <x v="2"/>
    <x v="1"/>
    <s v="-"/>
    <n v="1"/>
  </r>
  <r>
    <x v="22"/>
    <x v="2"/>
    <x v="1"/>
    <s v="-"/>
    <n v="1"/>
  </r>
  <r>
    <x v="66"/>
    <x v="2"/>
    <x v="1"/>
    <s v="-"/>
    <n v="1"/>
  </r>
  <r>
    <x v="67"/>
    <x v="2"/>
    <x v="1"/>
    <s v="-"/>
    <n v="1"/>
  </r>
  <r>
    <x v="68"/>
    <x v="2"/>
    <x v="1"/>
    <s v="-"/>
    <n v="1"/>
  </r>
  <r>
    <x v="53"/>
    <x v="2"/>
    <x v="1"/>
    <s v="-"/>
    <n v="1"/>
  </r>
  <r>
    <x v="36"/>
    <x v="2"/>
    <x v="1"/>
    <s v="-"/>
    <n v="1"/>
  </r>
  <r>
    <x v="12"/>
    <x v="2"/>
    <x v="1"/>
    <s v="-"/>
    <n v="1"/>
  </r>
  <r>
    <x v="69"/>
    <x v="2"/>
    <x v="1"/>
    <s v="-"/>
    <n v="1"/>
  </r>
  <r>
    <x v="70"/>
    <x v="2"/>
    <x v="1"/>
    <s v="-"/>
    <n v="1"/>
  </r>
  <r>
    <x v="37"/>
    <x v="2"/>
    <x v="1"/>
    <s v="-"/>
    <n v="1"/>
  </r>
  <r>
    <x v="71"/>
    <x v="2"/>
    <x v="1"/>
    <s v="-"/>
    <n v="1"/>
  </r>
  <r>
    <x v="38"/>
    <x v="2"/>
    <x v="1"/>
    <s v="-"/>
    <n v="2"/>
  </r>
  <r>
    <x v="39"/>
    <x v="2"/>
    <x v="1"/>
    <s v="-"/>
    <n v="2"/>
  </r>
  <r>
    <x v="16"/>
    <x v="2"/>
    <x v="1"/>
    <s v="-"/>
    <n v="1"/>
  </r>
  <r>
    <x v="72"/>
    <x v="2"/>
    <x v="1"/>
    <s v="-"/>
    <n v="1"/>
  </r>
  <r>
    <x v="58"/>
    <x v="2"/>
    <x v="1"/>
    <s v="-"/>
    <n v="1"/>
  </r>
  <r>
    <x v="59"/>
    <x v="2"/>
    <x v="1"/>
    <s v="-"/>
    <n v="1"/>
  </r>
  <r>
    <x v="61"/>
    <x v="2"/>
    <x v="1"/>
    <s v="-"/>
    <n v="1"/>
  </r>
  <r>
    <x v="62"/>
    <x v="2"/>
    <x v="1"/>
    <s v="-"/>
    <n v="1"/>
  </r>
  <r>
    <x v="41"/>
    <x v="2"/>
    <x v="1"/>
    <s v="-"/>
    <n v="1"/>
  </r>
  <r>
    <x v="1"/>
    <x v="3"/>
    <x v="0"/>
    <s v="-"/>
    <n v="3"/>
  </r>
  <r>
    <x v="39"/>
    <x v="3"/>
    <x v="0"/>
    <s v="-"/>
    <n v="3"/>
  </r>
  <r>
    <x v="40"/>
    <x v="3"/>
    <x v="0"/>
    <s v="-"/>
    <n v="3"/>
  </r>
  <r>
    <x v="6"/>
    <x v="3"/>
    <x v="0"/>
    <s v="-"/>
    <n v="2"/>
  </r>
  <r>
    <x v="64"/>
    <x v="3"/>
    <x v="0"/>
    <s v="-"/>
    <n v="2"/>
  </r>
  <r>
    <x v="25"/>
    <x v="3"/>
    <x v="0"/>
    <s v="-"/>
    <n v="2"/>
  </r>
  <r>
    <x v="17"/>
    <x v="3"/>
    <x v="0"/>
    <s v="-"/>
    <n v="2"/>
  </r>
  <r>
    <x v="44"/>
    <x v="3"/>
    <x v="0"/>
    <s v="-"/>
    <n v="1"/>
  </r>
  <r>
    <x v="3"/>
    <x v="3"/>
    <x v="0"/>
    <s v="-"/>
    <n v="1"/>
  </r>
  <r>
    <x v="4"/>
    <x v="3"/>
    <x v="0"/>
    <s v="-"/>
    <n v="1"/>
  </r>
  <r>
    <x v="5"/>
    <x v="3"/>
    <x v="0"/>
    <s v="-"/>
    <n v="1"/>
  </r>
  <r>
    <x v="47"/>
    <x v="3"/>
    <x v="0"/>
    <s v="-"/>
    <n v="1"/>
  </r>
  <r>
    <x v="34"/>
    <x v="3"/>
    <x v="0"/>
    <s v="-"/>
    <n v="1"/>
  </r>
  <r>
    <x v="42"/>
    <x v="3"/>
    <x v="0"/>
    <s v="-"/>
    <n v="1"/>
  </r>
  <r>
    <x v="21"/>
    <x v="3"/>
    <x v="0"/>
    <s v="-"/>
    <n v="1"/>
  </r>
  <r>
    <x v="22"/>
    <x v="3"/>
    <x v="0"/>
    <s v="-"/>
    <n v="2"/>
  </r>
  <r>
    <x v="7"/>
    <x v="3"/>
    <x v="0"/>
    <s v="-"/>
    <n v="1"/>
  </r>
  <r>
    <x v="8"/>
    <x v="3"/>
    <x v="0"/>
    <s v="-"/>
    <n v="1"/>
  </r>
  <r>
    <x v="9"/>
    <x v="3"/>
    <x v="0"/>
    <s v="-"/>
    <n v="1"/>
  </r>
  <r>
    <x v="11"/>
    <x v="3"/>
    <x v="0"/>
    <s v="-"/>
    <n v="1"/>
  </r>
  <r>
    <x v="71"/>
    <x v="3"/>
    <x v="0"/>
    <s v="-"/>
    <n v="1"/>
  </r>
  <r>
    <x v="57"/>
    <x v="3"/>
    <x v="0"/>
    <s v="-"/>
    <n v="1"/>
  </r>
  <r>
    <x v="60"/>
    <x v="3"/>
    <x v="0"/>
    <s v="-"/>
    <n v="1"/>
  </r>
  <r>
    <x v="41"/>
    <x v="3"/>
    <x v="0"/>
    <s v="-"/>
    <n v="1"/>
  </r>
  <r>
    <x v="65"/>
    <x v="3"/>
    <x v="1"/>
    <s v="-"/>
    <n v="2"/>
  </r>
  <r>
    <x v="55"/>
    <x v="3"/>
    <x v="1"/>
    <s v="-"/>
    <n v="2"/>
  </r>
  <r>
    <x v="14"/>
    <x v="3"/>
    <x v="1"/>
    <s v="-"/>
    <n v="2"/>
  </r>
  <r>
    <x v="15"/>
    <x v="3"/>
    <x v="1"/>
    <s v="-"/>
    <n v="2"/>
  </r>
  <r>
    <x v="38"/>
    <x v="3"/>
    <x v="1"/>
    <s v="-"/>
    <n v="2"/>
  </r>
  <r>
    <x v="25"/>
    <x v="3"/>
    <x v="1"/>
    <s v="-"/>
    <n v="2"/>
  </r>
  <r>
    <x v="18"/>
    <x v="3"/>
    <x v="1"/>
    <s v="-"/>
    <n v="2"/>
  </r>
  <r>
    <x v="73"/>
    <x v="3"/>
    <x v="1"/>
    <s v="-"/>
    <n v="2"/>
  </r>
  <r>
    <x v="19"/>
    <x v="3"/>
    <x v="1"/>
    <s v="-"/>
    <n v="2"/>
  </r>
  <r>
    <x v="63"/>
    <x v="3"/>
    <x v="1"/>
    <s v="-"/>
    <n v="2"/>
  </r>
  <r>
    <x v="68"/>
    <x v="3"/>
    <x v="1"/>
    <s v="-"/>
    <n v="2"/>
  </r>
  <r>
    <x v="5"/>
    <x v="3"/>
    <x v="1"/>
    <s v="-"/>
    <n v="1"/>
  </r>
  <r>
    <x v="46"/>
    <x v="3"/>
    <x v="1"/>
    <s v="-"/>
    <n v="1"/>
  </r>
  <r>
    <x v="24"/>
    <x v="3"/>
    <x v="1"/>
    <s v="-"/>
    <n v="1"/>
  </r>
  <r>
    <x v="6"/>
    <x v="3"/>
    <x v="1"/>
    <s v="-"/>
    <n v="1"/>
  </r>
  <r>
    <x v="47"/>
    <x v="3"/>
    <x v="1"/>
    <s v="-"/>
    <n v="1"/>
  </r>
  <r>
    <x v="28"/>
    <x v="3"/>
    <x v="1"/>
    <s v="-"/>
    <n v="1"/>
  </r>
  <r>
    <x v="29"/>
    <x v="3"/>
    <x v="1"/>
    <s v="-"/>
    <n v="1"/>
  </r>
  <r>
    <x v="67"/>
    <x v="3"/>
    <x v="1"/>
    <s v="-"/>
    <n v="1"/>
  </r>
  <r>
    <x v="53"/>
    <x v="3"/>
    <x v="1"/>
    <s v="-"/>
    <n v="1"/>
  </r>
  <r>
    <x v="11"/>
    <x v="3"/>
    <x v="1"/>
    <s v="-"/>
    <n v="1"/>
  </r>
  <r>
    <x v="74"/>
    <x v="3"/>
    <x v="1"/>
    <s v="-"/>
    <n v="1"/>
  </r>
  <r>
    <x v="75"/>
    <x v="3"/>
    <x v="1"/>
    <s v="-"/>
    <n v="1"/>
  </r>
  <r>
    <x v="57"/>
    <x v="3"/>
    <x v="1"/>
    <s v="-"/>
    <n v="1"/>
  </r>
  <r>
    <x v="76"/>
    <x v="3"/>
    <x v="1"/>
    <s v="-"/>
    <n v="1"/>
  </r>
  <r>
    <x v="16"/>
    <x v="3"/>
    <x v="1"/>
    <s v="-"/>
    <n v="1"/>
  </r>
  <r>
    <x v="17"/>
    <x v="3"/>
    <x v="1"/>
    <s v="-"/>
    <n v="1"/>
  </r>
  <r>
    <x v="60"/>
    <x v="3"/>
    <x v="1"/>
    <s v="-"/>
    <n v="1"/>
  </r>
  <r>
    <x v="28"/>
    <x v="4"/>
    <x v="0"/>
    <s v="-"/>
    <n v="1"/>
  </r>
  <r>
    <x v="14"/>
    <x v="4"/>
    <x v="0"/>
    <s v="-"/>
    <n v="1"/>
  </r>
  <r>
    <x v="15"/>
    <x v="4"/>
    <x v="0"/>
    <s v="-"/>
    <n v="1"/>
  </r>
  <r>
    <x v="18"/>
    <x v="4"/>
    <x v="0"/>
    <s v="-"/>
    <n v="1"/>
  </r>
  <r>
    <x v="25"/>
    <x v="4"/>
    <x v="1"/>
    <s v="-"/>
    <n v="12"/>
  </r>
  <r>
    <x v="67"/>
    <x v="4"/>
    <x v="1"/>
    <s v="-"/>
    <n v="9"/>
  </r>
  <r>
    <x v="18"/>
    <x v="4"/>
    <x v="1"/>
    <s v="-"/>
    <n v="8"/>
  </r>
  <r>
    <x v="40"/>
    <x v="4"/>
    <x v="1"/>
    <s v="-"/>
    <n v="10"/>
  </r>
  <r>
    <x v="17"/>
    <x v="4"/>
    <x v="1"/>
    <s v="-"/>
    <n v="9"/>
  </r>
  <r>
    <x v="5"/>
    <x v="4"/>
    <x v="1"/>
    <s v="-"/>
    <n v="6"/>
  </r>
  <r>
    <x v="27"/>
    <x v="4"/>
    <x v="1"/>
    <s v="-"/>
    <n v="10"/>
  </r>
  <r>
    <x v="37"/>
    <x v="4"/>
    <x v="1"/>
    <s v="-"/>
    <n v="7"/>
  </r>
  <r>
    <x v="55"/>
    <x v="4"/>
    <x v="1"/>
    <s v="-"/>
    <n v="6"/>
  </r>
  <r>
    <x v="19"/>
    <x v="4"/>
    <x v="1"/>
    <s v="-"/>
    <n v="7"/>
  </r>
  <r>
    <x v="24"/>
    <x v="4"/>
    <x v="1"/>
    <s v="-"/>
    <n v="6"/>
  </r>
  <r>
    <x v="50"/>
    <x v="4"/>
    <x v="1"/>
    <s v="-"/>
    <n v="6"/>
  </r>
  <r>
    <x v="35"/>
    <x v="4"/>
    <x v="1"/>
    <s v="-"/>
    <n v="7"/>
  </r>
  <r>
    <x v="77"/>
    <x v="4"/>
    <x v="1"/>
    <s v="-"/>
    <n v="6"/>
  </r>
  <r>
    <x v="39"/>
    <x v="4"/>
    <x v="1"/>
    <s v="-"/>
    <n v="6"/>
  </r>
  <r>
    <x v="78"/>
    <x v="4"/>
    <x v="1"/>
    <s v="-"/>
    <n v="5"/>
  </r>
  <r>
    <x v="79"/>
    <x v="4"/>
    <x v="1"/>
    <s v="-"/>
    <n v="5"/>
  </r>
  <r>
    <x v="68"/>
    <x v="4"/>
    <x v="1"/>
    <s v="-"/>
    <n v="4"/>
  </r>
  <r>
    <x v="29"/>
    <x v="4"/>
    <x v="1"/>
    <s v="-"/>
    <n v="5"/>
  </r>
  <r>
    <x v="30"/>
    <x v="4"/>
    <x v="1"/>
    <s v="-"/>
    <n v="5"/>
  </r>
  <r>
    <x v="64"/>
    <x v="4"/>
    <x v="1"/>
    <s v="-"/>
    <n v="6"/>
  </r>
  <r>
    <x v="8"/>
    <x v="4"/>
    <x v="1"/>
    <s v="-"/>
    <n v="4"/>
  </r>
  <r>
    <x v="69"/>
    <x v="4"/>
    <x v="1"/>
    <s v="-"/>
    <n v="4"/>
  </r>
  <r>
    <x v="80"/>
    <x v="4"/>
    <x v="1"/>
    <s v="-"/>
    <n v="7"/>
  </r>
  <r>
    <x v="41"/>
    <x v="4"/>
    <x v="1"/>
    <s v="-"/>
    <n v="4"/>
  </r>
  <r>
    <x v="4"/>
    <x v="4"/>
    <x v="1"/>
    <s v="-"/>
    <n v="4"/>
  </r>
  <r>
    <x v="61"/>
    <x v="4"/>
    <x v="1"/>
    <s v="-"/>
    <n v="6"/>
  </r>
  <r>
    <x v="26"/>
    <x v="4"/>
    <x v="1"/>
    <s v="-"/>
    <n v="4"/>
  </r>
  <r>
    <x v="3"/>
    <x v="4"/>
    <x v="1"/>
    <s v="-"/>
    <n v="4"/>
  </r>
  <r>
    <x v="6"/>
    <x v="4"/>
    <x v="1"/>
    <s v="-"/>
    <n v="4"/>
  </r>
  <r>
    <x v="14"/>
    <x v="4"/>
    <x v="1"/>
    <s v="-"/>
    <n v="3"/>
  </r>
  <r>
    <x v="15"/>
    <x v="4"/>
    <x v="1"/>
    <s v="-"/>
    <n v="3"/>
  </r>
  <r>
    <x v="57"/>
    <x v="4"/>
    <x v="1"/>
    <s v="-"/>
    <n v="3"/>
  </r>
  <r>
    <x v="60"/>
    <x v="4"/>
    <x v="1"/>
    <s v="-"/>
    <n v="3"/>
  </r>
  <r>
    <x v="73"/>
    <x v="4"/>
    <x v="1"/>
    <s v="-"/>
    <n v="7"/>
  </r>
  <r>
    <x v="20"/>
    <x v="4"/>
    <x v="1"/>
    <s v="-"/>
    <n v="4"/>
  </r>
  <r>
    <x v="2"/>
    <x v="4"/>
    <x v="1"/>
    <s v="-"/>
    <n v="3"/>
  </r>
  <r>
    <x v="33"/>
    <x v="4"/>
    <x v="1"/>
    <s v="-"/>
    <n v="3"/>
  </r>
  <r>
    <x v="34"/>
    <x v="4"/>
    <x v="1"/>
    <s v="-"/>
    <n v="2"/>
  </r>
  <r>
    <x v="42"/>
    <x v="4"/>
    <x v="1"/>
    <s v="-"/>
    <n v="2"/>
  </r>
  <r>
    <x v="21"/>
    <x v="4"/>
    <x v="1"/>
    <s v="-"/>
    <n v="2"/>
  </r>
  <r>
    <x v="51"/>
    <x v="4"/>
    <x v="1"/>
    <s v="-"/>
    <n v="2"/>
  </r>
  <r>
    <x v="22"/>
    <x v="4"/>
    <x v="1"/>
    <s v="-"/>
    <n v="2"/>
  </r>
  <r>
    <x v="81"/>
    <x v="4"/>
    <x v="1"/>
    <s v="-"/>
    <n v="3"/>
  </r>
  <r>
    <x v="31"/>
    <x v="4"/>
    <x v="1"/>
    <s v="-"/>
    <n v="3"/>
  </r>
  <r>
    <x v="53"/>
    <x v="4"/>
    <x v="1"/>
    <s v="-"/>
    <n v="3"/>
  </r>
  <r>
    <x v="82"/>
    <x v="4"/>
    <x v="1"/>
    <s v="-"/>
    <n v="3"/>
  </r>
  <r>
    <x v="11"/>
    <x v="4"/>
    <x v="1"/>
    <s v="-"/>
    <n v="2"/>
  </r>
  <r>
    <x v="83"/>
    <x v="4"/>
    <x v="1"/>
    <s v="-"/>
    <n v="3"/>
  </r>
  <r>
    <x v="0"/>
    <x v="4"/>
    <x v="1"/>
    <s v="-"/>
    <n v="2"/>
  </r>
  <r>
    <x v="84"/>
    <x v="4"/>
    <x v="1"/>
    <s v="-"/>
    <n v="2"/>
  </r>
  <r>
    <x v="75"/>
    <x v="4"/>
    <x v="1"/>
    <s v="-"/>
    <n v="2"/>
  </r>
  <r>
    <x v="38"/>
    <x v="4"/>
    <x v="1"/>
    <s v="-"/>
    <n v="6"/>
  </r>
  <r>
    <x v="56"/>
    <x v="4"/>
    <x v="1"/>
    <s v="-"/>
    <n v="2"/>
  </r>
  <r>
    <x v="76"/>
    <x v="4"/>
    <x v="1"/>
    <s v="-"/>
    <n v="2"/>
  </r>
  <r>
    <x v="16"/>
    <x v="4"/>
    <x v="1"/>
    <s v="-"/>
    <n v="3"/>
  </r>
  <r>
    <x v="71"/>
    <x v="4"/>
    <x v="1"/>
    <s v="-"/>
    <n v="3"/>
  </r>
  <r>
    <x v="43"/>
    <x v="4"/>
    <x v="1"/>
    <s v="-"/>
    <n v="1"/>
  </r>
  <r>
    <x v="32"/>
    <x v="4"/>
    <x v="1"/>
    <s v="-"/>
    <n v="1"/>
  </r>
  <r>
    <x v="85"/>
    <x v="4"/>
    <x v="1"/>
    <s v="-"/>
    <n v="1"/>
  </r>
  <r>
    <x v="28"/>
    <x v="4"/>
    <x v="1"/>
    <s v="-"/>
    <n v="2"/>
  </r>
  <r>
    <x v="86"/>
    <x v="4"/>
    <x v="1"/>
    <s v="-"/>
    <n v="2"/>
  </r>
  <r>
    <x v="49"/>
    <x v="4"/>
    <x v="1"/>
    <s v="-"/>
    <n v="2"/>
  </r>
  <r>
    <x v="65"/>
    <x v="4"/>
    <x v="1"/>
    <s v="-"/>
    <n v="1"/>
  </r>
  <r>
    <x v="87"/>
    <x v="4"/>
    <x v="1"/>
    <s v="-"/>
    <n v="2"/>
  </r>
  <r>
    <x v="7"/>
    <x v="4"/>
    <x v="1"/>
    <s v="-"/>
    <n v="1"/>
  </r>
  <r>
    <x v="9"/>
    <x v="4"/>
    <x v="1"/>
    <s v="-"/>
    <n v="2"/>
  </r>
  <r>
    <x v="36"/>
    <x v="4"/>
    <x v="1"/>
    <s v="-"/>
    <n v="1"/>
  </r>
  <r>
    <x v="54"/>
    <x v="4"/>
    <x v="1"/>
    <s v="-"/>
    <n v="1"/>
  </r>
  <r>
    <x v="12"/>
    <x v="4"/>
    <x v="1"/>
    <s v="-"/>
    <n v="1"/>
  </r>
  <r>
    <x v="13"/>
    <x v="4"/>
    <x v="1"/>
    <s v="-"/>
    <n v="1"/>
  </r>
  <r>
    <x v="1"/>
    <x v="4"/>
    <x v="1"/>
    <s v="-"/>
    <n v="2"/>
  </r>
  <r>
    <x v="72"/>
    <x v="4"/>
    <x v="1"/>
    <s v="-"/>
    <n v="4"/>
  </r>
  <r>
    <x v="58"/>
    <x v="4"/>
    <x v="1"/>
    <s v="-"/>
    <n v="2"/>
  </r>
  <r>
    <x v="59"/>
    <x v="4"/>
    <x v="1"/>
    <s v="-"/>
    <n v="2"/>
  </r>
  <r>
    <x v="62"/>
    <x v="4"/>
    <x v="1"/>
    <s v="-"/>
    <n v="2"/>
  </r>
  <r>
    <x v="6"/>
    <x v="5"/>
    <x v="0"/>
    <s v="-"/>
    <n v="3"/>
  </r>
  <r>
    <x v="4"/>
    <x v="5"/>
    <x v="0"/>
    <s v="-"/>
    <n v="2"/>
  </r>
  <r>
    <x v="27"/>
    <x v="5"/>
    <x v="0"/>
    <s v="-"/>
    <n v="3"/>
  </r>
  <r>
    <x v="0"/>
    <x v="5"/>
    <x v="0"/>
    <s v="-"/>
    <n v="2"/>
  </r>
  <r>
    <x v="37"/>
    <x v="5"/>
    <x v="0"/>
    <s v="-"/>
    <n v="2"/>
  </r>
  <r>
    <x v="55"/>
    <x v="5"/>
    <x v="0"/>
    <s v="-"/>
    <n v="2"/>
  </r>
  <r>
    <x v="38"/>
    <x v="5"/>
    <x v="0"/>
    <s v="-"/>
    <n v="2"/>
  </r>
  <r>
    <x v="40"/>
    <x v="5"/>
    <x v="0"/>
    <s v="-"/>
    <n v="3"/>
  </r>
  <r>
    <x v="25"/>
    <x v="5"/>
    <x v="0"/>
    <s v="-"/>
    <n v="2"/>
  </r>
  <r>
    <x v="78"/>
    <x v="5"/>
    <x v="0"/>
    <s v="-"/>
    <n v="2"/>
  </r>
  <r>
    <x v="26"/>
    <x v="5"/>
    <x v="0"/>
    <s v="-"/>
    <n v="1"/>
  </r>
  <r>
    <x v="3"/>
    <x v="5"/>
    <x v="0"/>
    <s v="-"/>
    <n v="1"/>
  </r>
  <r>
    <x v="5"/>
    <x v="5"/>
    <x v="0"/>
    <s v="-"/>
    <n v="1"/>
  </r>
  <r>
    <x v="33"/>
    <x v="5"/>
    <x v="0"/>
    <s v="-"/>
    <n v="1"/>
  </r>
  <r>
    <x v="86"/>
    <x v="5"/>
    <x v="0"/>
    <s v="-"/>
    <n v="1"/>
  </r>
  <r>
    <x v="49"/>
    <x v="5"/>
    <x v="0"/>
    <s v="-"/>
    <n v="2"/>
  </r>
  <r>
    <x v="29"/>
    <x v="5"/>
    <x v="0"/>
    <s v="-"/>
    <n v="1"/>
  </r>
  <r>
    <x v="30"/>
    <x v="5"/>
    <x v="0"/>
    <s v="-"/>
    <n v="1"/>
  </r>
  <r>
    <x v="64"/>
    <x v="5"/>
    <x v="0"/>
    <s v="-"/>
    <n v="1"/>
  </r>
  <r>
    <x v="21"/>
    <x v="5"/>
    <x v="0"/>
    <s v="-"/>
    <n v="1"/>
  </r>
  <r>
    <x v="87"/>
    <x v="5"/>
    <x v="0"/>
    <s v="-"/>
    <n v="1"/>
  </r>
  <r>
    <x v="7"/>
    <x v="5"/>
    <x v="0"/>
    <s v="-"/>
    <n v="1"/>
  </r>
  <r>
    <x v="9"/>
    <x v="5"/>
    <x v="0"/>
    <s v="-"/>
    <n v="1"/>
  </r>
  <r>
    <x v="67"/>
    <x v="5"/>
    <x v="0"/>
    <s v="-"/>
    <n v="1"/>
  </r>
  <r>
    <x v="53"/>
    <x v="5"/>
    <x v="0"/>
    <s v="-"/>
    <n v="1"/>
  </r>
  <r>
    <x v="35"/>
    <x v="5"/>
    <x v="0"/>
    <s v="-"/>
    <n v="1"/>
  </r>
  <r>
    <x v="79"/>
    <x v="5"/>
    <x v="0"/>
    <s v="-"/>
    <n v="1"/>
  </r>
  <r>
    <x v="11"/>
    <x v="5"/>
    <x v="0"/>
    <s v="-"/>
    <n v="1"/>
  </r>
  <r>
    <x v="83"/>
    <x v="5"/>
    <x v="0"/>
    <s v="-"/>
    <n v="1"/>
  </r>
  <r>
    <x v="54"/>
    <x v="5"/>
    <x v="0"/>
    <s v="-"/>
    <n v="1"/>
  </r>
  <r>
    <x v="69"/>
    <x v="5"/>
    <x v="0"/>
    <s v="-"/>
    <n v="2"/>
  </r>
  <r>
    <x v="14"/>
    <x v="5"/>
    <x v="0"/>
    <s v="-"/>
    <n v="1"/>
  </r>
  <r>
    <x v="15"/>
    <x v="5"/>
    <x v="0"/>
    <s v="-"/>
    <n v="1"/>
  </r>
  <r>
    <x v="76"/>
    <x v="5"/>
    <x v="0"/>
    <s v="-"/>
    <n v="1"/>
  </r>
  <r>
    <x v="16"/>
    <x v="5"/>
    <x v="0"/>
    <s v="-"/>
    <n v="1"/>
  </r>
  <r>
    <x v="17"/>
    <x v="5"/>
    <x v="0"/>
    <s v="-"/>
    <n v="1"/>
  </r>
  <r>
    <x v="61"/>
    <x v="5"/>
    <x v="0"/>
    <s v="-"/>
    <n v="1"/>
  </r>
  <r>
    <x v="20"/>
    <x v="5"/>
    <x v="0"/>
    <s v="-"/>
    <n v="1"/>
  </r>
  <r>
    <x v="41"/>
    <x v="5"/>
    <x v="0"/>
    <s v="-"/>
    <n v="1"/>
  </r>
  <r>
    <x v="1"/>
    <x v="5"/>
    <x v="1"/>
    <s v="-"/>
    <n v="2"/>
  </r>
  <r>
    <x v="3"/>
    <x v="5"/>
    <x v="1"/>
    <s v="-"/>
    <n v="1"/>
  </r>
  <r>
    <x v="4"/>
    <x v="5"/>
    <x v="1"/>
    <s v="-"/>
    <n v="1"/>
  </r>
  <r>
    <x v="5"/>
    <x v="5"/>
    <x v="1"/>
    <s v="-"/>
    <n v="1"/>
  </r>
  <r>
    <x v="6"/>
    <x v="5"/>
    <x v="1"/>
    <s v="-"/>
    <n v="1"/>
  </r>
  <r>
    <x v="50"/>
    <x v="5"/>
    <x v="1"/>
    <s v="-"/>
    <n v="1"/>
  </r>
  <r>
    <x v="65"/>
    <x v="5"/>
    <x v="1"/>
    <s v="-"/>
    <n v="1"/>
  </r>
  <r>
    <x v="7"/>
    <x v="5"/>
    <x v="1"/>
    <s v="-"/>
    <n v="1"/>
  </r>
  <r>
    <x v="8"/>
    <x v="5"/>
    <x v="1"/>
    <s v="-"/>
    <n v="1"/>
  </r>
  <r>
    <x v="9"/>
    <x v="5"/>
    <x v="1"/>
    <s v="-"/>
    <n v="1"/>
  </r>
  <r>
    <x v="54"/>
    <x v="5"/>
    <x v="1"/>
    <s v="-"/>
    <n v="1"/>
  </r>
  <r>
    <x v="12"/>
    <x v="5"/>
    <x v="1"/>
    <s v="-"/>
    <n v="1"/>
  </r>
  <r>
    <x v="55"/>
    <x v="5"/>
    <x v="1"/>
    <s v="-"/>
    <n v="1"/>
  </r>
  <r>
    <x v="75"/>
    <x v="5"/>
    <x v="1"/>
    <s v="-"/>
    <n v="1"/>
  </r>
  <r>
    <x v="14"/>
    <x v="5"/>
    <x v="1"/>
    <s v="-"/>
    <n v="1"/>
  </r>
  <r>
    <x v="25"/>
    <x v="5"/>
    <x v="1"/>
    <s v="-"/>
    <n v="1"/>
  </r>
  <r>
    <x v="72"/>
    <x v="5"/>
    <x v="1"/>
    <s v="-"/>
    <n v="1"/>
  </r>
  <r>
    <x v="78"/>
    <x v="5"/>
    <x v="1"/>
    <s v="-"/>
    <n v="1"/>
  </r>
  <r>
    <x v="2"/>
    <x v="6"/>
    <x v="0"/>
    <s v="-"/>
    <n v="1"/>
  </r>
  <r>
    <x v="26"/>
    <x v="6"/>
    <x v="0"/>
    <s v="-"/>
    <n v="1"/>
  </r>
  <r>
    <x v="46"/>
    <x v="6"/>
    <x v="0"/>
    <s v="-"/>
    <n v="1"/>
  </r>
  <r>
    <x v="24"/>
    <x v="6"/>
    <x v="0"/>
    <s v="-"/>
    <n v="1"/>
  </r>
  <r>
    <x v="6"/>
    <x v="6"/>
    <x v="0"/>
    <s v="-"/>
    <n v="1"/>
  </r>
  <r>
    <x v="34"/>
    <x v="6"/>
    <x v="0"/>
    <s v="-"/>
    <n v="1"/>
  </r>
  <r>
    <x v="21"/>
    <x v="6"/>
    <x v="0"/>
    <s v="-"/>
    <n v="1"/>
  </r>
  <r>
    <x v="31"/>
    <x v="6"/>
    <x v="0"/>
    <s v="-"/>
    <n v="1"/>
  </r>
  <r>
    <x v="35"/>
    <x v="6"/>
    <x v="0"/>
    <s v="-"/>
    <n v="1"/>
  </r>
  <r>
    <x v="36"/>
    <x v="6"/>
    <x v="0"/>
    <s v="-"/>
    <n v="1"/>
  </r>
  <r>
    <x v="1"/>
    <x v="6"/>
    <x v="0"/>
    <s v="-"/>
    <n v="1"/>
  </r>
  <r>
    <x v="17"/>
    <x v="6"/>
    <x v="0"/>
    <s v="-"/>
    <n v="1"/>
  </r>
  <r>
    <x v="20"/>
    <x v="6"/>
    <x v="0"/>
    <s v="-"/>
    <n v="1"/>
  </r>
  <r>
    <x v="14"/>
    <x v="6"/>
    <x v="1"/>
    <s v="-"/>
    <n v="11"/>
  </r>
  <r>
    <x v="40"/>
    <x v="6"/>
    <x v="1"/>
    <s v="-"/>
    <n v="9"/>
  </r>
  <r>
    <x v="15"/>
    <x v="6"/>
    <x v="1"/>
    <s v="-"/>
    <n v="8"/>
  </r>
  <r>
    <x v="5"/>
    <x v="6"/>
    <x v="1"/>
    <s v="-"/>
    <n v="4"/>
  </r>
  <r>
    <x v="55"/>
    <x v="6"/>
    <x v="1"/>
    <s v="-"/>
    <n v="6"/>
  </r>
  <r>
    <x v="39"/>
    <x v="6"/>
    <x v="1"/>
    <s v="-"/>
    <n v="6"/>
  </r>
  <r>
    <x v="16"/>
    <x v="6"/>
    <x v="1"/>
    <s v="-"/>
    <n v="4"/>
  </r>
  <r>
    <x v="25"/>
    <x v="6"/>
    <x v="1"/>
    <s v="-"/>
    <n v="5"/>
  </r>
  <r>
    <x v="17"/>
    <x v="6"/>
    <x v="1"/>
    <s v="-"/>
    <n v="4"/>
  </r>
  <r>
    <x v="19"/>
    <x v="6"/>
    <x v="1"/>
    <s v="-"/>
    <n v="5"/>
  </r>
  <r>
    <x v="26"/>
    <x v="6"/>
    <x v="1"/>
    <s v="-"/>
    <n v="3"/>
  </r>
  <r>
    <x v="29"/>
    <x v="6"/>
    <x v="1"/>
    <s v="-"/>
    <n v="3"/>
  </r>
  <r>
    <x v="64"/>
    <x v="6"/>
    <x v="1"/>
    <s v="-"/>
    <n v="4"/>
  </r>
  <r>
    <x v="53"/>
    <x v="6"/>
    <x v="1"/>
    <s v="-"/>
    <n v="3"/>
  </r>
  <r>
    <x v="69"/>
    <x v="6"/>
    <x v="1"/>
    <s v="-"/>
    <n v="3"/>
  </r>
  <r>
    <x v="24"/>
    <x v="6"/>
    <x v="1"/>
    <s v="-"/>
    <n v="2"/>
  </r>
  <r>
    <x v="6"/>
    <x v="6"/>
    <x v="1"/>
    <s v="-"/>
    <n v="2"/>
  </r>
  <r>
    <x v="47"/>
    <x v="6"/>
    <x v="1"/>
    <s v="-"/>
    <n v="2"/>
  </r>
  <r>
    <x v="35"/>
    <x v="6"/>
    <x v="1"/>
    <s v="-"/>
    <n v="2"/>
  </r>
  <r>
    <x v="18"/>
    <x v="6"/>
    <x v="1"/>
    <s v="-"/>
    <n v="2"/>
  </r>
  <r>
    <x v="63"/>
    <x v="6"/>
    <x v="1"/>
    <s v="-"/>
    <n v="2"/>
  </r>
  <r>
    <x v="20"/>
    <x v="6"/>
    <x v="1"/>
    <s v="-"/>
    <n v="2"/>
  </r>
  <r>
    <x v="78"/>
    <x v="6"/>
    <x v="1"/>
    <s v="-"/>
    <n v="2"/>
  </r>
  <r>
    <x v="1"/>
    <x v="6"/>
    <x v="1"/>
    <s v="-"/>
    <n v="2"/>
  </r>
  <r>
    <x v="61"/>
    <x v="6"/>
    <x v="1"/>
    <s v="-"/>
    <n v="5"/>
  </r>
  <r>
    <x v="2"/>
    <x v="6"/>
    <x v="1"/>
    <s v="-"/>
    <n v="1"/>
  </r>
  <r>
    <x v="43"/>
    <x v="6"/>
    <x v="1"/>
    <s v="-"/>
    <n v="1"/>
  </r>
  <r>
    <x v="3"/>
    <x v="6"/>
    <x v="1"/>
    <s v="-"/>
    <n v="2"/>
  </r>
  <r>
    <x v="28"/>
    <x v="6"/>
    <x v="1"/>
    <s v="-"/>
    <n v="1"/>
  </r>
  <r>
    <x v="34"/>
    <x v="6"/>
    <x v="1"/>
    <s v="-"/>
    <n v="1"/>
  </r>
  <r>
    <x v="50"/>
    <x v="6"/>
    <x v="1"/>
    <s v="-"/>
    <n v="1"/>
  </r>
  <r>
    <x v="21"/>
    <x v="6"/>
    <x v="1"/>
    <s v="-"/>
    <n v="1"/>
  </r>
  <r>
    <x v="65"/>
    <x v="6"/>
    <x v="1"/>
    <s v="-"/>
    <n v="1"/>
  </r>
  <r>
    <x v="22"/>
    <x v="6"/>
    <x v="1"/>
    <s v="-"/>
    <n v="3"/>
  </r>
  <r>
    <x v="31"/>
    <x v="6"/>
    <x v="1"/>
    <s v="-"/>
    <n v="1"/>
  </r>
  <r>
    <x v="88"/>
    <x v="6"/>
    <x v="1"/>
    <s v="-"/>
    <n v="1"/>
  </r>
  <r>
    <x v="10"/>
    <x v="6"/>
    <x v="1"/>
    <s v="-"/>
    <n v="1"/>
  </r>
  <r>
    <x v="36"/>
    <x v="6"/>
    <x v="1"/>
    <s v="-"/>
    <n v="1"/>
  </r>
  <r>
    <x v="11"/>
    <x v="6"/>
    <x v="1"/>
    <s v="-"/>
    <n v="1"/>
  </r>
  <r>
    <x v="13"/>
    <x v="6"/>
    <x v="1"/>
    <s v="-"/>
    <n v="1"/>
  </r>
  <r>
    <x v="75"/>
    <x v="6"/>
    <x v="1"/>
    <s v="-"/>
    <n v="1"/>
  </r>
  <r>
    <x v="57"/>
    <x v="6"/>
    <x v="1"/>
    <s v="-"/>
    <n v="1"/>
  </r>
  <r>
    <x v="60"/>
    <x v="6"/>
    <x v="1"/>
    <s v="-"/>
    <n v="1"/>
  </r>
  <r>
    <x v="2"/>
    <x v="7"/>
    <x v="0"/>
    <s v="-"/>
    <n v="1"/>
  </r>
  <r>
    <x v="26"/>
    <x v="7"/>
    <x v="0"/>
    <s v="-"/>
    <n v="1"/>
  </r>
  <r>
    <x v="34"/>
    <x v="7"/>
    <x v="0"/>
    <s v="-"/>
    <n v="1"/>
  </r>
  <r>
    <x v="64"/>
    <x v="7"/>
    <x v="0"/>
    <s v="-"/>
    <n v="1"/>
  </r>
  <r>
    <x v="31"/>
    <x v="7"/>
    <x v="0"/>
    <s v="-"/>
    <n v="1"/>
  </r>
  <r>
    <x v="35"/>
    <x v="7"/>
    <x v="0"/>
    <s v="-"/>
    <n v="1"/>
  </r>
  <r>
    <x v="36"/>
    <x v="7"/>
    <x v="0"/>
    <s v="-"/>
    <n v="1"/>
  </r>
  <r>
    <x v="55"/>
    <x v="7"/>
    <x v="0"/>
    <s v="-"/>
    <n v="1"/>
  </r>
  <r>
    <x v="15"/>
    <x v="7"/>
    <x v="0"/>
    <s v="-"/>
    <n v="1"/>
  </r>
  <r>
    <x v="39"/>
    <x v="7"/>
    <x v="0"/>
    <s v="-"/>
    <n v="1"/>
  </r>
  <r>
    <x v="23"/>
    <x v="7"/>
    <x v="0"/>
    <s v="-"/>
    <n v="1"/>
  </r>
  <r>
    <x v="40"/>
    <x v="7"/>
    <x v="0"/>
    <s v="-"/>
    <n v="1"/>
  </r>
  <r>
    <x v="25"/>
    <x v="7"/>
    <x v="0"/>
    <s v="-"/>
    <n v="1"/>
  </r>
  <r>
    <x v="61"/>
    <x v="7"/>
    <x v="0"/>
    <s v="-"/>
    <n v="1"/>
  </r>
  <r>
    <x v="67"/>
    <x v="7"/>
    <x v="1"/>
    <s v="-"/>
    <n v="2"/>
  </r>
  <r>
    <x v="0"/>
    <x v="7"/>
    <x v="1"/>
    <s v="-"/>
    <n v="2"/>
  </r>
  <r>
    <x v="55"/>
    <x v="7"/>
    <x v="1"/>
    <s v="-"/>
    <n v="2"/>
  </r>
  <r>
    <x v="75"/>
    <x v="7"/>
    <x v="1"/>
    <s v="-"/>
    <n v="2"/>
  </r>
  <r>
    <x v="14"/>
    <x v="7"/>
    <x v="1"/>
    <s v="-"/>
    <n v="2"/>
  </r>
  <r>
    <x v="15"/>
    <x v="7"/>
    <x v="1"/>
    <s v="-"/>
    <n v="2"/>
  </r>
  <r>
    <x v="68"/>
    <x v="7"/>
    <x v="1"/>
    <s v="-"/>
    <n v="2"/>
  </r>
  <r>
    <x v="4"/>
    <x v="7"/>
    <x v="1"/>
    <s v="-"/>
    <n v="1"/>
  </r>
  <r>
    <x v="30"/>
    <x v="7"/>
    <x v="1"/>
    <s v="-"/>
    <n v="1"/>
  </r>
  <r>
    <x v="50"/>
    <x v="7"/>
    <x v="1"/>
    <s v="-"/>
    <n v="1"/>
  </r>
  <r>
    <x v="7"/>
    <x v="7"/>
    <x v="1"/>
    <s v="-"/>
    <n v="1"/>
  </r>
  <r>
    <x v="35"/>
    <x v="7"/>
    <x v="1"/>
    <s v="-"/>
    <n v="1"/>
  </r>
  <r>
    <x v="36"/>
    <x v="7"/>
    <x v="1"/>
    <s v="-"/>
    <n v="1"/>
  </r>
  <r>
    <x v="11"/>
    <x v="7"/>
    <x v="1"/>
    <s v="-"/>
    <n v="1"/>
  </r>
  <r>
    <x v="12"/>
    <x v="7"/>
    <x v="1"/>
    <s v="-"/>
    <n v="1"/>
  </r>
  <r>
    <x v="69"/>
    <x v="7"/>
    <x v="1"/>
    <s v="-"/>
    <n v="1"/>
  </r>
  <r>
    <x v="56"/>
    <x v="7"/>
    <x v="1"/>
    <s v="-"/>
    <n v="1"/>
  </r>
  <r>
    <x v="76"/>
    <x v="7"/>
    <x v="1"/>
    <s v="-"/>
    <n v="1"/>
  </r>
  <r>
    <x v="25"/>
    <x v="7"/>
    <x v="1"/>
    <s v="-"/>
    <n v="1"/>
  </r>
  <r>
    <x v="19"/>
    <x v="7"/>
    <x v="1"/>
    <s v="-"/>
    <n v="1"/>
  </r>
  <r>
    <x v="78"/>
    <x v="7"/>
    <x v="1"/>
    <s v="-"/>
    <n v="1"/>
  </r>
  <r>
    <x v="40"/>
    <x v="8"/>
    <x v="1"/>
    <s v="-"/>
    <n v="4"/>
  </r>
  <r>
    <x v="68"/>
    <x v="8"/>
    <x v="1"/>
    <s v="-"/>
    <n v="2"/>
  </r>
  <r>
    <x v="39"/>
    <x v="8"/>
    <x v="1"/>
    <s v="-"/>
    <n v="2"/>
  </r>
  <r>
    <x v="61"/>
    <x v="8"/>
    <x v="1"/>
    <s v="-"/>
    <n v="2"/>
  </r>
  <r>
    <x v="26"/>
    <x v="8"/>
    <x v="1"/>
    <s v="-"/>
    <n v="1"/>
  </r>
  <r>
    <x v="43"/>
    <x v="8"/>
    <x v="1"/>
    <s v="-"/>
    <n v="1"/>
  </r>
  <r>
    <x v="5"/>
    <x v="8"/>
    <x v="1"/>
    <s v="-"/>
    <n v="1"/>
  </r>
  <r>
    <x v="51"/>
    <x v="8"/>
    <x v="1"/>
    <s v="-"/>
    <n v="1"/>
  </r>
  <r>
    <x v="22"/>
    <x v="8"/>
    <x v="1"/>
    <s v="-"/>
    <n v="1"/>
  </r>
  <r>
    <x v="53"/>
    <x v="8"/>
    <x v="1"/>
    <s v="-"/>
    <n v="1"/>
  </r>
  <r>
    <x v="79"/>
    <x v="8"/>
    <x v="1"/>
    <s v="-"/>
    <n v="1"/>
  </r>
  <r>
    <x v="83"/>
    <x v="8"/>
    <x v="1"/>
    <s v="-"/>
    <n v="1"/>
  </r>
  <r>
    <x v="12"/>
    <x v="8"/>
    <x v="1"/>
    <s v="-"/>
    <n v="1"/>
  </r>
  <r>
    <x v="69"/>
    <x v="8"/>
    <x v="1"/>
    <s v="-"/>
    <n v="1"/>
  </r>
  <r>
    <x v="0"/>
    <x v="8"/>
    <x v="1"/>
    <s v="-"/>
    <n v="1"/>
  </r>
  <r>
    <x v="80"/>
    <x v="8"/>
    <x v="1"/>
    <s v="-"/>
    <n v="1"/>
  </r>
  <r>
    <x v="15"/>
    <x v="8"/>
    <x v="1"/>
    <s v="-"/>
    <n v="1"/>
  </r>
  <r>
    <x v="16"/>
    <x v="8"/>
    <x v="1"/>
    <s v="-"/>
    <n v="1"/>
  </r>
  <r>
    <x v="46"/>
    <x v="9"/>
    <x v="0"/>
    <s v="-"/>
    <n v="2"/>
  </r>
  <r>
    <x v="50"/>
    <x v="9"/>
    <x v="0"/>
    <s v="-"/>
    <n v="2"/>
  </r>
  <r>
    <x v="21"/>
    <x v="9"/>
    <x v="0"/>
    <s v="-"/>
    <n v="2"/>
  </r>
  <r>
    <x v="55"/>
    <x v="9"/>
    <x v="0"/>
    <s v="-"/>
    <n v="2"/>
  </r>
  <r>
    <x v="17"/>
    <x v="9"/>
    <x v="0"/>
    <s v="-"/>
    <n v="2"/>
  </r>
  <r>
    <x v="18"/>
    <x v="9"/>
    <x v="0"/>
    <s v="-"/>
    <n v="2"/>
  </r>
  <r>
    <x v="27"/>
    <x v="9"/>
    <x v="0"/>
    <s v="-"/>
    <n v="1"/>
  </r>
  <r>
    <x v="24"/>
    <x v="9"/>
    <x v="0"/>
    <s v="-"/>
    <n v="1"/>
  </r>
  <r>
    <x v="28"/>
    <x v="9"/>
    <x v="0"/>
    <s v="-"/>
    <n v="1"/>
  </r>
  <r>
    <x v="51"/>
    <x v="9"/>
    <x v="0"/>
    <s v="-"/>
    <n v="1"/>
  </r>
  <r>
    <x v="70"/>
    <x v="9"/>
    <x v="0"/>
    <s v="-"/>
    <n v="1"/>
  </r>
  <r>
    <x v="74"/>
    <x v="9"/>
    <x v="0"/>
    <s v="-"/>
    <n v="1"/>
  </r>
  <r>
    <x v="14"/>
    <x v="9"/>
    <x v="0"/>
    <s v="-"/>
    <n v="1"/>
  </r>
  <r>
    <x v="15"/>
    <x v="9"/>
    <x v="0"/>
    <s v="-"/>
    <n v="1"/>
  </r>
  <r>
    <x v="56"/>
    <x v="9"/>
    <x v="0"/>
    <s v="-"/>
    <n v="1"/>
  </r>
  <r>
    <x v="39"/>
    <x v="9"/>
    <x v="0"/>
    <s v="-"/>
    <n v="1"/>
  </r>
  <r>
    <x v="57"/>
    <x v="9"/>
    <x v="0"/>
    <s v="-"/>
    <n v="1"/>
  </r>
  <r>
    <x v="40"/>
    <x v="9"/>
    <x v="0"/>
    <s v="-"/>
    <n v="1"/>
  </r>
  <r>
    <x v="25"/>
    <x v="9"/>
    <x v="0"/>
    <s v="-"/>
    <n v="1"/>
  </r>
  <r>
    <x v="60"/>
    <x v="9"/>
    <x v="0"/>
    <s v="-"/>
    <n v="1"/>
  </r>
  <r>
    <x v="63"/>
    <x v="9"/>
    <x v="0"/>
    <s v="-"/>
    <n v="1"/>
  </r>
  <r>
    <x v="40"/>
    <x v="9"/>
    <x v="1"/>
    <s v="-"/>
    <n v="12"/>
  </r>
  <r>
    <x v="5"/>
    <x v="9"/>
    <x v="1"/>
    <s v="-"/>
    <n v="7"/>
  </r>
  <r>
    <x v="24"/>
    <x v="9"/>
    <x v="1"/>
    <s v="-"/>
    <n v="6"/>
  </r>
  <r>
    <x v="14"/>
    <x v="9"/>
    <x v="1"/>
    <s v="-"/>
    <n v="8"/>
  </r>
  <r>
    <x v="25"/>
    <x v="9"/>
    <x v="1"/>
    <s v="-"/>
    <n v="11"/>
  </r>
  <r>
    <x v="17"/>
    <x v="9"/>
    <x v="1"/>
    <s v="-"/>
    <n v="9"/>
  </r>
  <r>
    <x v="2"/>
    <x v="9"/>
    <x v="1"/>
    <s v="-"/>
    <n v="8"/>
  </r>
  <r>
    <x v="8"/>
    <x v="9"/>
    <x v="1"/>
    <s v="-"/>
    <n v="6"/>
  </r>
  <r>
    <x v="35"/>
    <x v="9"/>
    <x v="1"/>
    <s v="-"/>
    <n v="7"/>
  </r>
  <r>
    <x v="39"/>
    <x v="9"/>
    <x v="1"/>
    <s v="-"/>
    <n v="6"/>
  </r>
  <r>
    <x v="16"/>
    <x v="9"/>
    <x v="1"/>
    <s v="-"/>
    <n v="6"/>
  </r>
  <r>
    <x v="26"/>
    <x v="9"/>
    <x v="1"/>
    <s v="-"/>
    <n v="5"/>
  </r>
  <r>
    <x v="3"/>
    <x v="9"/>
    <x v="1"/>
    <s v="-"/>
    <n v="7"/>
  </r>
  <r>
    <x v="47"/>
    <x v="9"/>
    <x v="1"/>
    <s v="-"/>
    <n v="5"/>
  </r>
  <r>
    <x v="21"/>
    <x v="9"/>
    <x v="1"/>
    <s v="-"/>
    <n v="6"/>
  </r>
  <r>
    <x v="15"/>
    <x v="9"/>
    <x v="1"/>
    <s v="-"/>
    <n v="4"/>
  </r>
  <r>
    <x v="43"/>
    <x v="9"/>
    <x v="1"/>
    <s v="-"/>
    <n v="3"/>
  </r>
  <r>
    <x v="4"/>
    <x v="9"/>
    <x v="1"/>
    <s v="-"/>
    <n v="3"/>
  </r>
  <r>
    <x v="6"/>
    <x v="9"/>
    <x v="1"/>
    <s v="-"/>
    <n v="4"/>
  </r>
  <r>
    <x v="50"/>
    <x v="9"/>
    <x v="1"/>
    <s v="-"/>
    <n v="6"/>
  </r>
  <r>
    <x v="7"/>
    <x v="9"/>
    <x v="1"/>
    <s v="-"/>
    <n v="4"/>
  </r>
  <r>
    <x v="31"/>
    <x v="9"/>
    <x v="1"/>
    <s v="-"/>
    <n v="6"/>
  </r>
  <r>
    <x v="53"/>
    <x v="9"/>
    <x v="1"/>
    <s v="-"/>
    <n v="4"/>
  </r>
  <r>
    <x v="55"/>
    <x v="9"/>
    <x v="1"/>
    <s v="-"/>
    <n v="3"/>
  </r>
  <r>
    <x v="78"/>
    <x v="9"/>
    <x v="1"/>
    <s v="-"/>
    <n v="3"/>
  </r>
  <r>
    <x v="46"/>
    <x v="9"/>
    <x v="1"/>
    <s v="-"/>
    <n v="2"/>
  </r>
  <r>
    <x v="28"/>
    <x v="9"/>
    <x v="1"/>
    <s v="-"/>
    <n v="3"/>
  </r>
  <r>
    <x v="49"/>
    <x v="9"/>
    <x v="1"/>
    <s v="-"/>
    <n v="3"/>
  </r>
  <r>
    <x v="64"/>
    <x v="9"/>
    <x v="1"/>
    <s v="-"/>
    <n v="3"/>
  </r>
  <r>
    <x v="65"/>
    <x v="9"/>
    <x v="1"/>
    <s v="-"/>
    <n v="2"/>
  </r>
  <r>
    <x v="82"/>
    <x v="9"/>
    <x v="1"/>
    <s v="-"/>
    <n v="3"/>
  </r>
  <r>
    <x v="10"/>
    <x v="9"/>
    <x v="1"/>
    <s v="-"/>
    <n v="2"/>
  </r>
  <r>
    <x v="36"/>
    <x v="9"/>
    <x v="1"/>
    <s v="-"/>
    <n v="2"/>
  </r>
  <r>
    <x v="12"/>
    <x v="9"/>
    <x v="1"/>
    <s v="-"/>
    <n v="2"/>
  </r>
  <r>
    <x v="89"/>
    <x v="9"/>
    <x v="1"/>
    <s v="-"/>
    <n v="2"/>
  </r>
  <r>
    <x v="1"/>
    <x v="9"/>
    <x v="1"/>
    <s v="-"/>
    <n v="3"/>
  </r>
  <r>
    <x v="52"/>
    <x v="9"/>
    <x v="1"/>
    <s v="-"/>
    <n v="2"/>
  </r>
  <r>
    <x v="90"/>
    <x v="9"/>
    <x v="1"/>
    <s v="-"/>
    <n v="1"/>
  </r>
  <r>
    <x v="27"/>
    <x v="9"/>
    <x v="1"/>
    <s v="-"/>
    <n v="1"/>
  </r>
  <r>
    <x v="85"/>
    <x v="9"/>
    <x v="1"/>
    <s v="-"/>
    <n v="2"/>
  </r>
  <r>
    <x v="33"/>
    <x v="9"/>
    <x v="1"/>
    <s v="-"/>
    <n v="1"/>
  </r>
  <r>
    <x v="34"/>
    <x v="9"/>
    <x v="1"/>
    <s v="-"/>
    <n v="1"/>
  </r>
  <r>
    <x v="42"/>
    <x v="9"/>
    <x v="1"/>
    <s v="-"/>
    <n v="1"/>
  </r>
  <r>
    <x v="86"/>
    <x v="9"/>
    <x v="1"/>
    <s v="-"/>
    <n v="2"/>
  </r>
  <r>
    <x v="30"/>
    <x v="9"/>
    <x v="1"/>
    <s v="-"/>
    <n v="1"/>
  </r>
  <r>
    <x v="87"/>
    <x v="9"/>
    <x v="1"/>
    <s v="-"/>
    <n v="1"/>
  </r>
  <r>
    <x v="9"/>
    <x v="9"/>
    <x v="1"/>
    <s v="-"/>
    <n v="2"/>
  </r>
  <r>
    <x v="81"/>
    <x v="9"/>
    <x v="1"/>
    <s v="-"/>
    <n v="4"/>
  </r>
  <r>
    <x v="67"/>
    <x v="9"/>
    <x v="1"/>
    <s v="-"/>
    <n v="1"/>
  </r>
  <r>
    <x v="79"/>
    <x v="9"/>
    <x v="1"/>
    <s v="-"/>
    <n v="1"/>
  </r>
  <r>
    <x v="11"/>
    <x v="9"/>
    <x v="1"/>
    <s v="-"/>
    <n v="2"/>
  </r>
  <r>
    <x v="83"/>
    <x v="9"/>
    <x v="1"/>
    <s v="-"/>
    <n v="1"/>
  </r>
  <r>
    <x v="54"/>
    <x v="9"/>
    <x v="1"/>
    <s v="-"/>
    <n v="1"/>
  </r>
  <r>
    <x v="69"/>
    <x v="9"/>
    <x v="1"/>
    <s v="-"/>
    <n v="1"/>
  </r>
  <r>
    <x v="70"/>
    <x v="9"/>
    <x v="1"/>
    <s v="-"/>
    <n v="1"/>
  </r>
  <r>
    <x v="0"/>
    <x v="9"/>
    <x v="1"/>
    <s v="-"/>
    <n v="1"/>
  </r>
  <r>
    <x v="13"/>
    <x v="9"/>
    <x v="1"/>
    <s v="-"/>
    <n v="1"/>
  </r>
  <r>
    <x v="84"/>
    <x v="9"/>
    <x v="1"/>
    <s v="-"/>
    <n v="1"/>
  </r>
  <r>
    <x v="75"/>
    <x v="9"/>
    <x v="1"/>
    <s v="-"/>
    <n v="1"/>
  </r>
  <r>
    <x v="77"/>
    <x v="9"/>
    <x v="1"/>
    <s v="-"/>
    <n v="1"/>
  </r>
  <r>
    <x v="57"/>
    <x v="9"/>
    <x v="1"/>
    <s v="-"/>
    <n v="2"/>
  </r>
  <r>
    <x v="18"/>
    <x v="9"/>
    <x v="1"/>
    <s v="-"/>
    <n v="1"/>
  </r>
  <r>
    <x v="91"/>
    <x v="9"/>
    <x v="1"/>
    <s v="-"/>
    <n v="1"/>
  </r>
  <r>
    <x v="72"/>
    <x v="9"/>
    <x v="1"/>
    <s v="-"/>
    <n v="1"/>
  </r>
  <r>
    <x v="60"/>
    <x v="9"/>
    <x v="1"/>
    <s v="-"/>
    <n v="2"/>
  </r>
  <r>
    <x v="61"/>
    <x v="9"/>
    <x v="1"/>
    <s v="-"/>
    <n v="1"/>
  </r>
  <r>
    <x v="20"/>
    <x v="9"/>
    <x v="1"/>
    <s v="-"/>
    <n v="1"/>
  </r>
  <r>
    <x v="21"/>
    <x v="0"/>
    <x v="0"/>
    <s v="+"/>
    <n v="1"/>
  </r>
  <r>
    <x v="0"/>
    <x v="0"/>
    <x v="0"/>
    <s v="+"/>
    <n v="1"/>
  </r>
  <r>
    <x v="17"/>
    <x v="0"/>
    <x v="0"/>
    <s v="+"/>
    <n v="1"/>
  </r>
  <r>
    <x v="47"/>
    <x v="0"/>
    <x v="1"/>
    <s v="+"/>
    <n v="2"/>
  </r>
  <r>
    <x v="28"/>
    <x v="0"/>
    <x v="1"/>
    <s v="+"/>
    <n v="2"/>
  </r>
  <r>
    <x v="21"/>
    <x v="0"/>
    <x v="1"/>
    <s v="+"/>
    <n v="2"/>
  </r>
  <r>
    <x v="40"/>
    <x v="0"/>
    <x v="1"/>
    <s v="+"/>
    <n v="2"/>
  </r>
  <r>
    <x v="25"/>
    <x v="0"/>
    <x v="1"/>
    <s v="+"/>
    <n v="2"/>
  </r>
  <r>
    <x v="17"/>
    <x v="0"/>
    <x v="1"/>
    <s v="+"/>
    <n v="2"/>
  </r>
  <r>
    <x v="2"/>
    <x v="0"/>
    <x v="1"/>
    <s v="+"/>
    <n v="1"/>
  </r>
  <r>
    <x v="26"/>
    <x v="0"/>
    <x v="1"/>
    <s v="+"/>
    <n v="1"/>
  </r>
  <r>
    <x v="46"/>
    <x v="0"/>
    <x v="1"/>
    <s v="+"/>
    <n v="1"/>
  </r>
  <r>
    <x v="42"/>
    <x v="0"/>
    <x v="1"/>
    <s v="+"/>
    <n v="1"/>
  </r>
  <r>
    <x v="49"/>
    <x v="0"/>
    <x v="1"/>
    <s v="+"/>
    <n v="1"/>
  </r>
  <r>
    <x v="30"/>
    <x v="0"/>
    <x v="1"/>
    <s v="+"/>
    <n v="1"/>
  </r>
  <r>
    <x v="50"/>
    <x v="0"/>
    <x v="1"/>
    <s v="+"/>
    <n v="1"/>
  </r>
  <r>
    <x v="22"/>
    <x v="0"/>
    <x v="1"/>
    <s v="+"/>
    <n v="1"/>
  </r>
  <r>
    <x v="31"/>
    <x v="0"/>
    <x v="1"/>
    <s v="+"/>
    <n v="1"/>
  </r>
  <r>
    <x v="79"/>
    <x v="0"/>
    <x v="1"/>
    <s v="+"/>
    <n v="1"/>
  </r>
  <r>
    <x v="10"/>
    <x v="0"/>
    <x v="1"/>
    <s v="+"/>
    <n v="1"/>
  </r>
  <r>
    <x v="37"/>
    <x v="0"/>
    <x v="1"/>
    <s v="+"/>
    <n v="1"/>
  </r>
  <r>
    <x v="55"/>
    <x v="0"/>
    <x v="1"/>
    <s v="+"/>
    <n v="1"/>
  </r>
  <r>
    <x v="77"/>
    <x v="0"/>
    <x v="1"/>
    <s v="+"/>
    <n v="1"/>
  </r>
  <r>
    <x v="16"/>
    <x v="0"/>
    <x v="1"/>
    <s v="+"/>
    <n v="1"/>
  </r>
  <r>
    <x v="18"/>
    <x v="0"/>
    <x v="1"/>
    <s v="+"/>
    <n v="1"/>
  </r>
  <r>
    <x v="19"/>
    <x v="0"/>
    <x v="1"/>
    <s v="+"/>
    <n v="1"/>
  </r>
  <r>
    <x v="78"/>
    <x v="0"/>
    <x v="1"/>
    <s v="+"/>
    <n v="1"/>
  </r>
  <r>
    <x v="80"/>
    <x v="1"/>
    <x v="0"/>
    <s v="+"/>
    <n v="1"/>
  </r>
  <r>
    <x v="66"/>
    <x v="1"/>
    <x v="1"/>
    <s v="+"/>
    <n v="2"/>
  </r>
  <r>
    <x v="40"/>
    <x v="1"/>
    <x v="1"/>
    <s v="+"/>
    <n v="2"/>
  </r>
  <r>
    <x v="92"/>
    <x v="1"/>
    <x v="1"/>
    <s v="+"/>
    <n v="1"/>
  </r>
  <r>
    <x v="47"/>
    <x v="1"/>
    <x v="1"/>
    <s v="+"/>
    <n v="1"/>
  </r>
  <r>
    <x v="49"/>
    <x v="1"/>
    <x v="1"/>
    <s v="+"/>
    <n v="1"/>
  </r>
  <r>
    <x v="64"/>
    <x v="1"/>
    <x v="1"/>
    <s v="+"/>
    <n v="1"/>
  </r>
  <r>
    <x v="22"/>
    <x v="1"/>
    <x v="1"/>
    <s v="+"/>
    <n v="1"/>
  </r>
  <r>
    <x v="37"/>
    <x v="1"/>
    <x v="1"/>
    <s v="+"/>
    <n v="1"/>
  </r>
  <r>
    <x v="39"/>
    <x v="1"/>
    <x v="1"/>
    <s v="+"/>
    <n v="1"/>
  </r>
  <r>
    <x v="17"/>
    <x v="1"/>
    <x v="1"/>
    <s v="+"/>
    <n v="1"/>
  </r>
  <r>
    <x v="18"/>
    <x v="1"/>
    <x v="1"/>
    <s v="+"/>
    <n v="1"/>
  </r>
  <r>
    <x v="93"/>
    <x v="1"/>
    <x v="1"/>
    <s v="+"/>
    <n v="1"/>
  </r>
  <r>
    <x v="6"/>
    <x v="2"/>
    <x v="0"/>
    <s v="+"/>
    <n v="1"/>
  </r>
  <r>
    <x v="8"/>
    <x v="2"/>
    <x v="0"/>
    <s v="+"/>
    <n v="1"/>
  </r>
  <r>
    <x v="69"/>
    <x v="2"/>
    <x v="0"/>
    <s v="+"/>
    <n v="1"/>
  </r>
  <r>
    <x v="38"/>
    <x v="2"/>
    <x v="0"/>
    <s v="+"/>
    <n v="1"/>
  </r>
  <r>
    <x v="18"/>
    <x v="2"/>
    <x v="0"/>
    <s v="+"/>
    <n v="1"/>
  </r>
  <r>
    <x v="55"/>
    <x v="2"/>
    <x v="1"/>
    <s v="+"/>
    <n v="5"/>
  </r>
  <r>
    <x v="75"/>
    <x v="2"/>
    <x v="1"/>
    <s v="+"/>
    <n v="4"/>
  </r>
  <r>
    <x v="25"/>
    <x v="2"/>
    <x v="1"/>
    <s v="+"/>
    <n v="4"/>
  </r>
  <r>
    <x v="78"/>
    <x v="2"/>
    <x v="1"/>
    <s v="+"/>
    <n v="5"/>
  </r>
  <r>
    <x v="37"/>
    <x v="2"/>
    <x v="1"/>
    <s v="+"/>
    <n v="3"/>
  </r>
  <r>
    <x v="6"/>
    <x v="2"/>
    <x v="1"/>
    <s v="+"/>
    <n v="4"/>
  </r>
  <r>
    <x v="28"/>
    <x v="2"/>
    <x v="1"/>
    <s v="+"/>
    <n v="5"/>
  </r>
  <r>
    <x v="40"/>
    <x v="2"/>
    <x v="1"/>
    <s v="+"/>
    <n v="5"/>
  </r>
  <r>
    <x v="17"/>
    <x v="2"/>
    <x v="1"/>
    <s v="+"/>
    <n v="3"/>
  </r>
  <r>
    <x v="48"/>
    <x v="2"/>
    <x v="1"/>
    <s v="+"/>
    <n v="2"/>
  </r>
  <r>
    <x v="66"/>
    <x v="2"/>
    <x v="1"/>
    <s v="+"/>
    <n v="3"/>
  </r>
  <r>
    <x v="54"/>
    <x v="2"/>
    <x v="1"/>
    <s v="+"/>
    <n v="2"/>
  </r>
  <r>
    <x v="14"/>
    <x v="2"/>
    <x v="1"/>
    <s v="+"/>
    <n v="3"/>
  </r>
  <r>
    <x v="15"/>
    <x v="2"/>
    <x v="1"/>
    <s v="+"/>
    <n v="3"/>
  </r>
  <r>
    <x v="2"/>
    <x v="2"/>
    <x v="1"/>
    <s v="+"/>
    <n v="1"/>
  </r>
  <r>
    <x v="43"/>
    <x v="2"/>
    <x v="1"/>
    <s v="+"/>
    <n v="1"/>
  </r>
  <r>
    <x v="46"/>
    <x v="2"/>
    <x v="1"/>
    <s v="+"/>
    <n v="1"/>
  </r>
  <r>
    <x v="24"/>
    <x v="2"/>
    <x v="1"/>
    <s v="+"/>
    <n v="1"/>
  </r>
  <r>
    <x v="47"/>
    <x v="2"/>
    <x v="1"/>
    <s v="+"/>
    <n v="1"/>
  </r>
  <r>
    <x v="49"/>
    <x v="2"/>
    <x v="1"/>
    <s v="+"/>
    <n v="1"/>
  </r>
  <r>
    <x v="30"/>
    <x v="2"/>
    <x v="1"/>
    <s v="+"/>
    <n v="1"/>
  </r>
  <r>
    <x v="50"/>
    <x v="2"/>
    <x v="1"/>
    <s v="+"/>
    <n v="1"/>
  </r>
  <r>
    <x v="21"/>
    <x v="2"/>
    <x v="1"/>
    <s v="+"/>
    <n v="1"/>
  </r>
  <r>
    <x v="22"/>
    <x v="2"/>
    <x v="1"/>
    <s v="+"/>
    <n v="1"/>
  </r>
  <r>
    <x v="9"/>
    <x v="2"/>
    <x v="1"/>
    <s v="+"/>
    <n v="1"/>
  </r>
  <r>
    <x v="81"/>
    <x v="2"/>
    <x v="1"/>
    <s v="+"/>
    <n v="1"/>
  </r>
  <r>
    <x v="94"/>
    <x v="2"/>
    <x v="1"/>
    <s v="+"/>
    <n v="1"/>
  </r>
  <r>
    <x v="53"/>
    <x v="2"/>
    <x v="1"/>
    <s v="+"/>
    <n v="1"/>
  </r>
  <r>
    <x v="10"/>
    <x v="2"/>
    <x v="1"/>
    <s v="+"/>
    <n v="1"/>
  </r>
  <r>
    <x v="80"/>
    <x v="2"/>
    <x v="1"/>
    <s v="+"/>
    <n v="1"/>
  </r>
  <r>
    <x v="77"/>
    <x v="2"/>
    <x v="1"/>
    <s v="+"/>
    <n v="1"/>
  </r>
  <r>
    <x v="39"/>
    <x v="2"/>
    <x v="1"/>
    <s v="+"/>
    <n v="3"/>
  </r>
  <r>
    <x v="16"/>
    <x v="2"/>
    <x v="1"/>
    <s v="+"/>
    <n v="1"/>
  </r>
  <r>
    <x v="18"/>
    <x v="2"/>
    <x v="1"/>
    <s v="+"/>
    <n v="1"/>
  </r>
  <r>
    <x v="73"/>
    <x v="2"/>
    <x v="1"/>
    <s v="+"/>
    <n v="3"/>
  </r>
  <r>
    <x v="95"/>
    <x v="2"/>
    <x v="1"/>
    <s v="+"/>
    <n v="2"/>
  </r>
  <r>
    <x v="93"/>
    <x v="2"/>
    <x v="1"/>
    <s v="+"/>
    <n v="1"/>
  </r>
  <r>
    <x v="27"/>
    <x v="3"/>
    <x v="0"/>
    <s v="+"/>
    <n v="1"/>
  </r>
  <r>
    <x v="67"/>
    <x v="3"/>
    <x v="0"/>
    <s v="+"/>
    <n v="1"/>
  </r>
  <r>
    <x v="61"/>
    <x v="3"/>
    <x v="0"/>
    <s v="+"/>
    <n v="1"/>
  </r>
  <r>
    <x v="50"/>
    <x v="3"/>
    <x v="1"/>
    <s v="+"/>
    <n v="2"/>
  </r>
  <r>
    <x v="39"/>
    <x v="3"/>
    <x v="1"/>
    <s v="+"/>
    <n v="2"/>
  </r>
  <r>
    <x v="40"/>
    <x v="3"/>
    <x v="1"/>
    <s v="+"/>
    <n v="2"/>
  </r>
  <r>
    <x v="73"/>
    <x v="3"/>
    <x v="1"/>
    <s v="+"/>
    <n v="2"/>
  </r>
  <r>
    <x v="24"/>
    <x v="3"/>
    <x v="1"/>
    <s v="+"/>
    <n v="1"/>
  </r>
  <r>
    <x v="28"/>
    <x v="3"/>
    <x v="1"/>
    <s v="+"/>
    <n v="1"/>
  </r>
  <r>
    <x v="64"/>
    <x v="3"/>
    <x v="1"/>
    <s v="+"/>
    <n v="1"/>
  </r>
  <r>
    <x v="54"/>
    <x v="3"/>
    <x v="1"/>
    <s v="+"/>
    <n v="1"/>
  </r>
  <r>
    <x v="74"/>
    <x v="3"/>
    <x v="1"/>
    <s v="+"/>
    <n v="1"/>
  </r>
  <r>
    <x v="55"/>
    <x v="3"/>
    <x v="1"/>
    <s v="+"/>
    <n v="1"/>
  </r>
  <r>
    <x v="25"/>
    <x v="3"/>
    <x v="1"/>
    <s v="+"/>
    <n v="1"/>
  </r>
  <r>
    <x v="61"/>
    <x v="3"/>
    <x v="1"/>
    <s v="+"/>
    <n v="1"/>
  </r>
  <r>
    <x v="78"/>
    <x v="3"/>
    <x v="1"/>
    <s v="+"/>
    <n v="1"/>
  </r>
  <r>
    <x v="55"/>
    <x v="4"/>
    <x v="0"/>
    <s v="+"/>
    <n v="2"/>
  </r>
  <r>
    <x v="78"/>
    <x v="4"/>
    <x v="0"/>
    <s v="+"/>
    <n v="2"/>
  </r>
  <r>
    <x v="46"/>
    <x v="4"/>
    <x v="0"/>
    <s v="+"/>
    <n v="1"/>
  </r>
  <r>
    <x v="6"/>
    <x v="4"/>
    <x v="0"/>
    <s v="+"/>
    <n v="1"/>
  </r>
  <r>
    <x v="28"/>
    <x v="4"/>
    <x v="0"/>
    <s v="+"/>
    <n v="1"/>
  </r>
  <r>
    <x v="30"/>
    <x v="4"/>
    <x v="0"/>
    <s v="+"/>
    <n v="1"/>
  </r>
  <r>
    <x v="50"/>
    <x v="4"/>
    <x v="0"/>
    <s v="+"/>
    <n v="1"/>
  </r>
  <r>
    <x v="21"/>
    <x v="4"/>
    <x v="0"/>
    <s v="+"/>
    <n v="1"/>
  </r>
  <r>
    <x v="12"/>
    <x v="4"/>
    <x v="0"/>
    <s v="+"/>
    <n v="1"/>
  </r>
  <r>
    <x v="77"/>
    <x v="4"/>
    <x v="0"/>
    <s v="+"/>
    <n v="1"/>
  </r>
  <r>
    <x v="40"/>
    <x v="4"/>
    <x v="0"/>
    <s v="+"/>
    <n v="1"/>
  </r>
  <r>
    <x v="25"/>
    <x v="4"/>
    <x v="0"/>
    <s v="+"/>
    <n v="1"/>
  </r>
  <r>
    <x v="17"/>
    <x v="4"/>
    <x v="0"/>
    <s v="+"/>
    <n v="1"/>
  </r>
  <r>
    <x v="61"/>
    <x v="4"/>
    <x v="0"/>
    <s v="+"/>
    <n v="1"/>
  </r>
  <r>
    <x v="55"/>
    <x v="4"/>
    <x v="1"/>
    <s v="+"/>
    <n v="3"/>
  </r>
  <r>
    <x v="50"/>
    <x v="4"/>
    <x v="1"/>
    <s v="+"/>
    <n v="2"/>
  </r>
  <r>
    <x v="18"/>
    <x v="4"/>
    <x v="1"/>
    <s v="+"/>
    <n v="3"/>
  </r>
  <r>
    <x v="73"/>
    <x v="4"/>
    <x v="1"/>
    <s v="+"/>
    <n v="6"/>
  </r>
  <r>
    <x v="25"/>
    <x v="4"/>
    <x v="1"/>
    <s v="+"/>
    <n v="2"/>
  </r>
  <r>
    <x v="90"/>
    <x v="4"/>
    <x v="1"/>
    <s v="+"/>
    <n v="1"/>
  </r>
  <r>
    <x v="24"/>
    <x v="4"/>
    <x v="1"/>
    <s v="+"/>
    <n v="1"/>
  </r>
  <r>
    <x v="86"/>
    <x v="4"/>
    <x v="1"/>
    <s v="+"/>
    <n v="1"/>
  </r>
  <r>
    <x v="30"/>
    <x v="4"/>
    <x v="1"/>
    <s v="+"/>
    <n v="1"/>
  </r>
  <r>
    <x v="8"/>
    <x v="4"/>
    <x v="1"/>
    <s v="+"/>
    <n v="2"/>
  </r>
  <r>
    <x v="31"/>
    <x v="4"/>
    <x v="1"/>
    <s v="+"/>
    <n v="1"/>
  </r>
  <r>
    <x v="53"/>
    <x v="4"/>
    <x v="1"/>
    <s v="+"/>
    <n v="1"/>
  </r>
  <r>
    <x v="83"/>
    <x v="4"/>
    <x v="1"/>
    <s v="+"/>
    <n v="1"/>
  </r>
  <r>
    <x v="54"/>
    <x v="4"/>
    <x v="1"/>
    <s v="+"/>
    <n v="1"/>
  </r>
  <r>
    <x v="12"/>
    <x v="4"/>
    <x v="1"/>
    <s v="+"/>
    <n v="1"/>
  </r>
  <r>
    <x v="69"/>
    <x v="4"/>
    <x v="1"/>
    <s v="+"/>
    <n v="1"/>
  </r>
  <r>
    <x v="0"/>
    <x v="4"/>
    <x v="1"/>
    <s v="+"/>
    <n v="1"/>
  </r>
  <r>
    <x v="37"/>
    <x v="4"/>
    <x v="1"/>
    <s v="+"/>
    <n v="1"/>
  </r>
  <r>
    <x v="1"/>
    <x v="4"/>
    <x v="1"/>
    <s v="+"/>
    <n v="1"/>
  </r>
  <r>
    <x v="77"/>
    <x v="4"/>
    <x v="1"/>
    <s v="+"/>
    <n v="1"/>
  </r>
  <r>
    <x v="61"/>
    <x v="4"/>
    <x v="1"/>
    <s v="+"/>
    <n v="2"/>
  </r>
  <r>
    <x v="20"/>
    <x v="4"/>
    <x v="1"/>
    <s v="+"/>
    <n v="1"/>
  </r>
  <r>
    <x v="78"/>
    <x v="4"/>
    <x v="1"/>
    <s v="+"/>
    <n v="1"/>
  </r>
  <r>
    <x v="1"/>
    <x v="5"/>
    <x v="0"/>
    <s v="+"/>
    <n v="2"/>
  </r>
  <r>
    <x v="24"/>
    <x v="5"/>
    <x v="0"/>
    <s v="+"/>
    <n v="1"/>
  </r>
  <r>
    <x v="28"/>
    <x v="5"/>
    <x v="0"/>
    <s v="+"/>
    <n v="1"/>
  </r>
  <r>
    <x v="49"/>
    <x v="5"/>
    <x v="0"/>
    <s v="+"/>
    <n v="2"/>
  </r>
  <r>
    <x v="50"/>
    <x v="5"/>
    <x v="0"/>
    <s v="+"/>
    <n v="1"/>
  </r>
  <r>
    <x v="83"/>
    <x v="5"/>
    <x v="0"/>
    <s v="+"/>
    <n v="1"/>
  </r>
  <r>
    <x v="71"/>
    <x v="5"/>
    <x v="0"/>
    <s v="+"/>
    <n v="1"/>
  </r>
  <r>
    <x v="55"/>
    <x v="5"/>
    <x v="0"/>
    <s v="+"/>
    <n v="1"/>
  </r>
  <r>
    <x v="25"/>
    <x v="5"/>
    <x v="0"/>
    <s v="+"/>
    <n v="1"/>
  </r>
  <r>
    <x v="6"/>
    <x v="5"/>
    <x v="1"/>
    <s v="+"/>
    <n v="2"/>
  </r>
  <r>
    <x v="78"/>
    <x v="5"/>
    <x v="1"/>
    <s v="+"/>
    <n v="4"/>
  </r>
  <r>
    <x v="50"/>
    <x v="5"/>
    <x v="1"/>
    <s v="+"/>
    <n v="3"/>
  </r>
  <r>
    <x v="55"/>
    <x v="5"/>
    <x v="1"/>
    <s v="+"/>
    <n v="3"/>
  </r>
  <r>
    <x v="25"/>
    <x v="5"/>
    <x v="1"/>
    <s v="+"/>
    <n v="4"/>
  </r>
  <r>
    <x v="73"/>
    <x v="5"/>
    <x v="1"/>
    <s v="+"/>
    <n v="7"/>
  </r>
  <r>
    <x v="96"/>
    <x v="5"/>
    <x v="1"/>
    <s v="+"/>
    <n v="1"/>
  </r>
  <r>
    <x v="24"/>
    <x v="5"/>
    <x v="1"/>
    <s v="+"/>
    <n v="2"/>
  </r>
  <r>
    <x v="86"/>
    <x v="5"/>
    <x v="1"/>
    <s v="+"/>
    <n v="1"/>
  </r>
  <r>
    <x v="48"/>
    <x v="5"/>
    <x v="1"/>
    <s v="+"/>
    <n v="1"/>
  </r>
  <r>
    <x v="69"/>
    <x v="5"/>
    <x v="1"/>
    <s v="+"/>
    <n v="1"/>
  </r>
  <r>
    <x v="0"/>
    <x v="5"/>
    <x v="1"/>
    <s v="+"/>
    <n v="1"/>
  </r>
  <r>
    <x v="1"/>
    <x v="5"/>
    <x v="1"/>
    <s v="+"/>
    <n v="1"/>
  </r>
  <r>
    <x v="75"/>
    <x v="5"/>
    <x v="1"/>
    <s v="+"/>
    <n v="1"/>
  </r>
  <r>
    <x v="56"/>
    <x v="5"/>
    <x v="1"/>
    <s v="+"/>
    <n v="1"/>
  </r>
  <r>
    <x v="40"/>
    <x v="5"/>
    <x v="1"/>
    <s v="+"/>
    <n v="1"/>
  </r>
  <r>
    <x v="17"/>
    <x v="5"/>
    <x v="1"/>
    <s v="+"/>
    <n v="1"/>
  </r>
  <r>
    <x v="18"/>
    <x v="5"/>
    <x v="1"/>
    <s v="+"/>
    <n v="1"/>
  </r>
  <r>
    <x v="49"/>
    <x v="6"/>
    <x v="0"/>
    <s v="+"/>
    <n v="1"/>
  </r>
  <r>
    <x v="57"/>
    <x v="6"/>
    <x v="0"/>
    <s v="+"/>
    <n v="1"/>
  </r>
  <r>
    <x v="25"/>
    <x v="6"/>
    <x v="0"/>
    <s v="+"/>
    <n v="1"/>
  </r>
  <r>
    <x v="17"/>
    <x v="6"/>
    <x v="0"/>
    <s v="+"/>
    <n v="1"/>
  </r>
  <r>
    <x v="18"/>
    <x v="6"/>
    <x v="0"/>
    <s v="+"/>
    <n v="1"/>
  </r>
  <r>
    <x v="60"/>
    <x v="6"/>
    <x v="0"/>
    <s v="+"/>
    <n v="1"/>
  </r>
  <r>
    <x v="73"/>
    <x v="6"/>
    <x v="0"/>
    <s v="+"/>
    <n v="1"/>
  </r>
  <r>
    <x v="24"/>
    <x v="6"/>
    <x v="1"/>
    <s v="+"/>
    <n v="4"/>
  </r>
  <r>
    <x v="6"/>
    <x v="6"/>
    <x v="1"/>
    <s v="+"/>
    <n v="2"/>
  </r>
  <r>
    <x v="39"/>
    <x v="6"/>
    <x v="1"/>
    <s v="+"/>
    <n v="2"/>
  </r>
  <r>
    <x v="40"/>
    <x v="6"/>
    <x v="1"/>
    <s v="+"/>
    <n v="2"/>
  </r>
  <r>
    <x v="78"/>
    <x v="6"/>
    <x v="1"/>
    <s v="+"/>
    <n v="2"/>
  </r>
  <r>
    <x v="2"/>
    <x v="6"/>
    <x v="1"/>
    <s v="+"/>
    <n v="1"/>
  </r>
  <r>
    <x v="26"/>
    <x v="6"/>
    <x v="1"/>
    <s v="+"/>
    <n v="1"/>
  </r>
  <r>
    <x v="33"/>
    <x v="6"/>
    <x v="1"/>
    <s v="+"/>
    <n v="1"/>
  </r>
  <r>
    <x v="34"/>
    <x v="6"/>
    <x v="1"/>
    <s v="+"/>
    <n v="1"/>
  </r>
  <r>
    <x v="86"/>
    <x v="6"/>
    <x v="1"/>
    <s v="+"/>
    <n v="1"/>
  </r>
  <r>
    <x v="64"/>
    <x v="6"/>
    <x v="1"/>
    <s v="+"/>
    <n v="1"/>
  </r>
  <r>
    <x v="22"/>
    <x v="6"/>
    <x v="1"/>
    <s v="+"/>
    <n v="1"/>
  </r>
  <r>
    <x v="31"/>
    <x v="6"/>
    <x v="1"/>
    <s v="+"/>
    <n v="1"/>
  </r>
  <r>
    <x v="35"/>
    <x v="6"/>
    <x v="1"/>
    <s v="+"/>
    <n v="1"/>
  </r>
  <r>
    <x v="36"/>
    <x v="6"/>
    <x v="1"/>
    <s v="+"/>
    <n v="1"/>
  </r>
  <r>
    <x v="83"/>
    <x v="6"/>
    <x v="1"/>
    <s v="+"/>
    <n v="2"/>
  </r>
  <r>
    <x v="0"/>
    <x v="6"/>
    <x v="1"/>
    <s v="+"/>
    <n v="1"/>
  </r>
  <r>
    <x v="80"/>
    <x v="6"/>
    <x v="1"/>
    <s v="+"/>
    <n v="1"/>
  </r>
  <r>
    <x v="1"/>
    <x v="6"/>
    <x v="1"/>
    <s v="+"/>
    <n v="2"/>
  </r>
  <r>
    <x v="55"/>
    <x v="6"/>
    <x v="1"/>
    <s v="+"/>
    <n v="1"/>
  </r>
  <r>
    <x v="75"/>
    <x v="6"/>
    <x v="1"/>
    <s v="+"/>
    <n v="1"/>
  </r>
  <r>
    <x v="14"/>
    <x v="6"/>
    <x v="1"/>
    <s v="+"/>
    <n v="1"/>
  </r>
  <r>
    <x v="15"/>
    <x v="6"/>
    <x v="1"/>
    <s v="+"/>
    <n v="1"/>
  </r>
  <r>
    <x v="56"/>
    <x v="6"/>
    <x v="1"/>
    <s v="+"/>
    <n v="1"/>
  </r>
  <r>
    <x v="61"/>
    <x v="6"/>
    <x v="1"/>
    <s v="+"/>
    <n v="1"/>
  </r>
  <r>
    <x v="41"/>
    <x v="6"/>
    <x v="1"/>
    <s v="+"/>
    <n v="1"/>
  </r>
  <r>
    <x v="73"/>
    <x v="7"/>
    <x v="0"/>
    <s v="+"/>
    <n v="4"/>
  </r>
  <r>
    <x v="75"/>
    <x v="7"/>
    <x v="0"/>
    <s v="+"/>
    <n v="2"/>
  </r>
  <r>
    <x v="6"/>
    <x v="7"/>
    <x v="0"/>
    <s v="+"/>
    <n v="1"/>
  </r>
  <r>
    <x v="86"/>
    <x v="7"/>
    <x v="0"/>
    <s v="+"/>
    <n v="1"/>
  </r>
  <r>
    <x v="8"/>
    <x v="7"/>
    <x v="0"/>
    <s v="+"/>
    <n v="2"/>
  </r>
  <r>
    <x v="83"/>
    <x v="7"/>
    <x v="0"/>
    <s v="+"/>
    <n v="1"/>
  </r>
  <r>
    <x v="0"/>
    <x v="7"/>
    <x v="0"/>
    <s v="+"/>
    <n v="1"/>
  </r>
  <r>
    <x v="97"/>
    <x v="7"/>
    <x v="0"/>
    <s v="+"/>
    <n v="2"/>
  </r>
  <r>
    <x v="14"/>
    <x v="7"/>
    <x v="0"/>
    <s v="+"/>
    <n v="2"/>
  </r>
  <r>
    <x v="15"/>
    <x v="7"/>
    <x v="0"/>
    <s v="+"/>
    <n v="2"/>
  </r>
  <r>
    <x v="38"/>
    <x v="7"/>
    <x v="0"/>
    <s v="+"/>
    <n v="1"/>
  </r>
  <r>
    <x v="77"/>
    <x v="7"/>
    <x v="0"/>
    <s v="+"/>
    <n v="1"/>
  </r>
  <r>
    <x v="56"/>
    <x v="7"/>
    <x v="0"/>
    <s v="+"/>
    <n v="1"/>
  </r>
  <r>
    <x v="25"/>
    <x v="7"/>
    <x v="0"/>
    <s v="+"/>
    <n v="1"/>
  </r>
  <r>
    <x v="17"/>
    <x v="7"/>
    <x v="0"/>
    <s v="+"/>
    <n v="1"/>
  </r>
  <r>
    <x v="18"/>
    <x v="7"/>
    <x v="0"/>
    <s v="+"/>
    <n v="2"/>
  </r>
  <r>
    <x v="95"/>
    <x v="7"/>
    <x v="0"/>
    <s v="+"/>
    <n v="2"/>
  </r>
  <r>
    <x v="19"/>
    <x v="7"/>
    <x v="0"/>
    <s v="+"/>
    <n v="1"/>
  </r>
  <r>
    <x v="78"/>
    <x v="7"/>
    <x v="0"/>
    <s v="+"/>
    <n v="2"/>
  </r>
  <r>
    <x v="85"/>
    <x v="7"/>
    <x v="1"/>
    <s v="+"/>
    <n v="1"/>
  </r>
  <r>
    <x v="52"/>
    <x v="7"/>
    <x v="1"/>
    <s v="+"/>
    <n v="1"/>
  </r>
  <r>
    <x v="18"/>
    <x v="7"/>
    <x v="1"/>
    <s v="+"/>
    <n v="1"/>
  </r>
  <r>
    <x v="45"/>
    <x v="8"/>
    <x v="0"/>
    <s v="+"/>
    <n v="1"/>
  </r>
  <r>
    <x v="27"/>
    <x v="8"/>
    <x v="0"/>
    <s v="+"/>
    <n v="1"/>
  </r>
  <r>
    <x v="38"/>
    <x v="8"/>
    <x v="0"/>
    <s v="+"/>
    <n v="1"/>
  </r>
  <r>
    <x v="76"/>
    <x v="8"/>
    <x v="0"/>
    <s v="+"/>
    <n v="1"/>
  </r>
  <r>
    <x v="0"/>
    <x v="8"/>
    <x v="1"/>
    <s v="+"/>
    <n v="2"/>
  </r>
  <r>
    <x v="4"/>
    <x v="8"/>
    <x v="1"/>
    <s v="+"/>
    <n v="1"/>
  </r>
  <r>
    <x v="8"/>
    <x v="8"/>
    <x v="1"/>
    <s v="+"/>
    <n v="1"/>
  </r>
  <r>
    <x v="70"/>
    <x v="8"/>
    <x v="1"/>
    <s v="+"/>
    <n v="1"/>
  </r>
  <r>
    <x v="80"/>
    <x v="8"/>
    <x v="1"/>
    <s v="+"/>
    <n v="1"/>
  </r>
  <r>
    <x v="1"/>
    <x v="8"/>
    <x v="1"/>
    <s v="+"/>
    <n v="1"/>
  </r>
  <r>
    <x v="48"/>
    <x v="9"/>
    <x v="0"/>
    <s v="+"/>
    <n v="2"/>
  </r>
  <r>
    <x v="49"/>
    <x v="9"/>
    <x v="0"/>
    <s v="+"/>
    <n v="2"/>
  </r>
  <r>
    <x v="12"/>
    <x v="9"/>
    <x v="0"/>
    <s v="+"/>
    <n v="2"/>
  </r>
  <r>
    <x v="90"/>
    <x v="9"/>
    <x v="0"/>
    <s v="+"/>
    <n v="1"/>
  </r>
  <r>
    <x v="98"/>
    <x v="9"/>
    <x v="0"/>
    <s v="+"/>
    <n v="1"/>
  </r>
  <r>
    <x v="92"/>
    <x v="9"/>
    <x v="0"/>
    <s v="+"/>
    <n v="1"/>
  </r>
  <r>
    <x v="6"/>
    <x v="9"/>
    <x v="0"/>
    <s v="+"/>
    <n v="1"/>
  </r>
  <r>
    <x v="33"/>
    <x v="9"/>
    <x v="0"/>
    <s v="+"/>
    <n v="1"/>
  </r>
  <r>
    <x v="42"/>
    <x v="9"/>
    <x v="0"/>
    <s v="+"/>
    <n v="1"/>
  </r>
  <r>
    <x v="29"/>
    <x v="9"/>
    <x v="0"/>
    <s v="+"/>
    <n v="1"/>
  </r>
  <r>
    <x v="50"/>
    <x v="9"/>
    <x v="0"/>
    <s v="+"/>
    <n v="1"/>
  </r>
  <r>
    <x v="64"/>
    <x v="9"/>
    <x v="0"/>
    <s v="+"/>
    <n v="1"/>
  </r>
  <r>
    <x v="65"/>
    <x v="9"/>
    <x v="0"/>
    <s v="+"/>
    <n v="1"/>
  </r>
  <r>
    <x v="51"/>
    <x v="9"/>
    <x v="0"/>
    <s v="+"/>
    <n v="1"/>
  </r>
  <r>
    <x v="8"/>
    <x v="9"/>
    <x v="0"/>
    <s v="+"/>
    <n v="1"/>
  </r>
  <r>
    <x v="31"/>
    <x v="9"/>
    <x v="0"/>
    <s v="+"/>
    <n v="1"/>
  </r>
  <r>
    <x v="53"/>
    <x v="9"/>
    <x v="0"/>
    <s v="+"/>
    <n v="1"/>
  </r>
  <r>
    <x v="35"/>
    <x v="9"/>
    <x v="0"/>
    <s v="+"/>
    <n v="1"/>
  </r>
  <r>
    <x v="79"/>
    <x v="9"/>
    <x v="0"/>
    <s v="+"/>
    <n v="1"/>
  </r>
  <r>
    <x v="83"/>
    <x v="9"/>
    <x v="0"/>
    <s v="+"/>
    <n v="1"/>
  </r>
  <r>
    <x v="54"/>
    <x v="9"/>
    <x v="0"/>
    <s v="+"/>
    <n v="1"/>
  </r>
  <r>
    <x v="0"/>
    <x v="9"/>
    <x v="0"/>
    <s v="+"/>
    <n v="1"/>
  </r>
  <r>
    <x v="57"/>
    <x v="9"/>
    <x v="0"/>
    <s v="+"/>
    <n v="1"/>
  </r>
  <r>
    <x v="40"/>
    <x v="9"/>
    <x v="0"/>
    <s v="+"/>
    <n v="1"/>
  </r>
  <r>
    <x v="25"/>
    <x v="9"/>
    <x v="0"/>
    <s v="+"/>
    <n v="1"/>
  </r>
  <r>
    <x v="17"/>
    <x v="9"/>
    <x v="0"/>
    <s v="+"/>
    <n v="1"/>
  </r>
  <r>
    <x v="18"/>
    <x v="9"/>
    <x v="0"/>
    <s v="+"/>
    <n v="1"/>
  </r>
  <r>
    <x v="60"/>
    <x v="9"/>
    <x v="0"/>
    <s v="+"/>
    <n v="1"/>
  </r>
  <r>
    <x v="29"/>
    <x v="9"/>
    <x v="1"/>
    <s v="+"/>
    <n v="1"/>
  </r>
  <r>
    <x v="50"/>
    <x v="9"/>
    <x v="1"/>
    <s v="+"/>
    <n v="2"/>
  </r>
  <r>
    <x v="64"/>
    <x v="9"/>
    <x v="1"/>
    <s v="+"/>
    <n v="1"/>
  </r>
  <r>
    <x v="81"/>
    <x v="9"/>
    <x v="1"/>
    <s v="+"/>
    <n v="1"/>
  </r>
  <r>
    <x v="53"/>
    <x v="9"/>
    <x v="1"/>
    <s v="+"/>
    <n v="1"/>
  </r>
  <r>
    <x v="1"/>
    <x v="9"/>
    <x v="1"/>
    <s v="+"/>
    <n v="1"/>
  </r>
  <r>
    <x v="19"/>
    <x v="9"/>
    <x v="1"/>
    <s v="+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s v="Porphyrin and chlorophyll metabolism - Solanum lycopersicum (tomato)"/>
    <x v="0"/>
    <x v="0"/>
    <s v="-"/>
    <n v="3"/>
    <x v="0"/>
  </r>
  <r>
    <s v="Zeatin biosynthesis - Solanum lycopersicum (tomato)"/>
    <x v="0"/>
    <x v="0"/>
    <s v="-"/>
    <n v="2"/>
    <x v="1"/>
  </r>
  <r>
    <s v="Glycolysis / Gluconeogenesis - Solanum lycopersicum (tomato)"/>
    <x v="0"/>
    <x v="0"/>
    <s v="-"/>
    <n v="1"/>
    <x v="2"/>
  </r>
  <r>
    <s v="Pentose and glucuronate interconversions - Solanum lycopersicum (tomato)"/>
    <x v="0"/>
    <x v="0"/>
    <s v="-"/>
    <n v="1"/>
    <x v="2"/>
  </r>
  <r>
    <s v="Galactose metabolism - Solanum lycopersicum (tomato)"/>
    <x v="0"/>
    <x v="0"/>
    <s v="-"/>
    <n v="1"/>
    <x v="2"/>
  </r>
  <r>
    <s v="Ascorbate and aldarate metabolism - Solanum lycopersicum (tomato)"/>
    <x v="0"/>
    <x v="0"/>
    <s v="-"/>
    <n v="1"/>
    <x v="2"/>
  </r>
  <r>
    <s v="Pyrimidine metabolism - Solanum lycopersicum (tomato)"/>
    <x v="0"/>
    <x v="0"/>
    <s v="-"/>
    <n v="1"/>
    <x v="3"/>
  </r>
  <r>
    <s v="Starch and sucrose metabolism - Solanum lycopersicum (tomato)"/>
    <x v="0"/>
    <x v="0"/>
    <s v="-"/>
    <n v="1"/>
    <x v="2"/>
  </r>
  <r>
    <s v="Amino sugar and nucleotide sugar metabolism - Solanum lycopersicum (tomato)"/>
    <x v="0"/>
    <x v="0"/>
    <s v="-"/>
    <n v="1"/>
    <x v="4"/>
  </r>
  <r>
    <s v="Glycerolipid metabolism - Solanum lycopersicum (tomato)"/>
    <x v="0"/>
    <x v="0"/>
    <s v="-"/>
    <n v="1"/>
    <x v="5"/>
  </r>
  <r>
    <s v="Carbon fixation in photosynthetic organisms - Solanum lycopersicum (tomato)"/>
    <x v="0"/>
    <x v="0"/>
    <s v="-"/>
    <n v="1"/>
    <x v="6"/>
  </r>
  <r>
    <s v="Riboflavin metabolism - Solanum lycopersicum (tomato)"/>
    <x v="0"/>
    <x v="0"/>
    <s v="-"/>
    <n v="1"/>
    <x v="7"/>
  </r>
  <r>
    <s v="Pantothenate and CoA biosynthesis - Solanum lycopersicum (tomato)"/>
    <x v="0"/>
    <x v="0"/>
    <s v="-"/>
    <n v="1"/>
    <x v="0"/>
  </r>
  <r>
    <s v="Monoterpenoid biosynthesis - Solanum lycopersicum (tomato)"/>
    <x v="0"/>
    <x v="0"/>
    <s v="-"/>
    <n v="1"/>
    <x v="8"/>
  </r>
  <r>
    <s v="Anthocyanin biosynthesis - Solanum lycopersicum (tomato)"/>
    <x v="0"/>
    <x v="0"/>
    <s v="-"/>
    <n v="2"/>
    <x v="9"/>
  </r>
  <r>
    <s v="Flavone and flavonol biosynthesis - Solanum lycopersicum (tomato)"/>
    <x v="0"/>
    <x v="0"/>
    <s v="-"/>
    <n v="2"/>
    <x v="9"/>
  </r>
  <r>
    <s v="Carbon metabolism - Solanum lycopersicum (tomato)"/>
    <x v="0"/>
    <x v="0"/>
    <s v="-"/>
    <n v="1"/>
    <x v="10"/>
  </r>
  <r>
    <s v="Biosynthesis of amino acids - Solanum lycopersicum (tomato)"/>
    <x v="0"/>
    <x v="0"/>
    <s v="-"/>
    <n v="1"/>
    <x v="11"/>
  </r>
  <r>
    <s v="ABC transporters - Solanum lycopersicum (tomato)"/>
    <x v="0"/>
    <x v="0"/>
    <s v="-"/>
    <n v="2"/>
    <x v="12"/>
  </r>
  <r>
    <s v="Lignans"/>
    <x v="0"/>
    <x v="0"/>
    <s v="-"/>
    <n v="1"/>
    <x v="9"/>
  </r>
  <r>
    <s v="Primary metabolism"/>
    <x v="0"/>
    <x v="0"/>
    <s v="-"/>
    <n v="1"/>
    <x v="13"/>
  </r>
  <r>
    <s v="Pyrimidine metabolism - Solanum lycopersicum (tomato)"/>
    <x v="0"/>
    <x v="1"/>
    <s v="-"/>
    <n v="1"/>
    <x v="3"/>
  </r>
  <r>
    <s v="Phenylalanine; tyrosine and tryptophan biosynthesis - Solanum lycopersicum (tomato)"/>
    <x v="0"/>
    <x v="1"/>
    <s v="-"/>
    <n v="1"/>
    <x v="11"/>
  </r>
  <r>
    <s v="Glutathione metabolism - Solanum lycopersicum (tomato)"/>
    <x v="0"/>
    <x v="1"/>
    <s v="-"/>
    <n v="3"/>
    <x v="11"/>
  </r>
  <r>
    <s v="Biosynthesis of amino acids - Solanum lycopersicum (tomato)"/>
    <x v="0"/>
    <x v="1"/>
    <s v="-"/>
    <n v="1"/>
    <x v="11"/>
  </r>
  <r>
    <s v="Metabolic pathways - Solanum lycopersicum (tomato)"/>
    <x v="0"/>
    <x v="1"/>
    <s v="-"/>
    <n v="1"/>
    <x v="14"/>
  </r>
  <r>
    <s v="Purine metabolism - Solanum lycopersicum (tomato)"/>
    <x v="1"/>
    <x v="0"/>
    <s v="-"/>
    <n v="2"/>
    <x v="3"/>
  </r>
  <r>
    <s v="Degradation of aromatic compounds - Solanum lycopersicum (tomato)"/>
    <x v="1"/>
    <x v="0"/>
    <s v="-"/>
    <n v="2"/>
    <x v="15"/>
  </r>
  <r>
    <s v="Biosynthesis of amino acids - Solanum lycopersicum (tomato)"/>
    <x v="1"/>
    <x v="0"/>
    <s v="-"/>
    <n v="2"/>
    <x v="11"/>
  </r>
  <r>
    <s v="Glycolysis / Gluconeogenesis - Solanum lycopersicum (tomato)"/>
    <x v="1"/>
    <x v="0"/>
    <s v="-"/>
    <n v="1"/>
    <x v="2"/>
  </r>
  <r>
    <s v="Citrate cycle (TCA cycle) - Solanum lycopersicum (tomato)"/>
    <x v="1"/>
    <x v="0"/>
    <s v="-"/>
    <n v="1"/>
    <x v="6"/>
  </r>
  <r>
    <s v="Cutin; suberine and wax biosynthesis - Solanum lycopersicum (tomato)"/>
    <x v="1"/>
    <x v="0"/>
    <s v="-"/>
    <n v="1"/>
    <x v="5"/>
  </r>
  <r>
    <s v="Cysteine and methionine metabolism - Solanum lycopersicum (tomato)"/>
    <x v="1"/>
    <x v="0"/>
    <s v="-"/>
    <n v="1"/>
    <x v="11"/>
  </r>
  <r>
    <s v="Histidine metabolism - Solanum lycopersicum (tomato)"/>
    <x v="1"/>
    <x v="0"/>
    <s v="-"/>
    <n v="1"/>
    <x v="11"/>
  </r>
  <r>
    <s v="Tyrosine metabolism - Solanum lycopersicum (tomato)"/>
    <x v="1"/>
    <x v="0"/>
    <s v="-"/>
    <n v="1"/>
    <x v="11"/>
  </r>
  <r>
    <s v="Phenylalanine; tyrosine and tryptophan biosynthesis - Solanum lycopersicum (tomato)"/>
    <x v="1"/>
    <x v="0"/>
    <s v="-"/>
    <n v="1"/>
    <x v="11"/>
  </r>
  <r>
    <s v="Pyruvate metabolism - Solanum lycopersicum (tomato)"/>
    <x v="1"/>
    <x v="0"/>
    <s v="-"/>
    <n v="1"/>
    <x v="2"/>
  </r>
  <r>
    <s v="Carbon fixation in photosynthetic organisms - Solanum lycopersicum (tomato)"/>
    <x v="1"/>
    <x v="0"/>
    <s v="-"/>
    <n v="1"/>
    <x v="6"/>
  </r>
  <r>
    <s v="Porphyrin and chlorophyll metabolism - Solanum lycopersicum (tomato)"/>
    <x v="1"/>
    <x v="0"/>
    <s v="-"/>
    <n v="1"/>
    <x v="0"/>
  </r>
  <r>
    <s v="Zeatin biosynthesis - Solanum lycopersicum (tomato)"/>
    <x v="1"/>
    <x v="0"/>
    <s v="-"/>
    <n v="1"/>
    <x v="1"/>
  </r>
  <r>
    <s v="Carbon metabolism - Solanum lycopersicum (tomato)"/>
    <x v="1"/>
    <x v="0"/>
    <s v="-"/>
    <n v="1"/>
    <x v="10"/>
  </r>
  <r>
    <s v="Primary metabolism"/>
    <x v="1"/>
    <x v="0"/>
    <s v="-"/>
    <n v="1"/>
    <x v="13"/>
  </r>
  <r>
    <s v="Glycolysis / Gluconeogenesis - Solanum lycopersicum (tomato)"/>
    <x v="1"/>
    <x v="1"/>
    <s v="-"/>
    <n v="1"/>
    <x v="2"/>
  </r>
  <r>
    <s v="Citrate cycle (TCA cycle) - Solanum lycopersicum (tomato)"/>
    <x v="1"/>
    <x v="1"/>
    <s v="-"/>
    <n v="1"/>
    <x v="6"/>
  </r>
  <r>
    <s v="Oxidative phosphorylation - Solanum lycopersicum (tomato)"/>
    <x v="1"/>
    <x v="1"/>
    <s v="-"/>
    <n v="1"/>
    <x v="16"/>
  </r>
  <r>
    <s v="Purine metabolism - Solanum lycopersicum (tomato)"/>
    <x v="1"/>
    <x v="1"/>
    <s v="-"/>
    <n v="1"/>
    <x v="3"/>
  </r>
  <r>
    <s v="Pyrimidine metabolism - Solanum lycopersicum (tomato)"/>
    <x v="1"/>
    <x v="1"/>
    <s v="-"/>
    <n v="1"/>
    <x v="3"/>
  </r>
  <r>
    <s v="Alanine; aspartate and glutamate metabolism - Solanum lycopersicum (tomato)"/>
    <x v="1"/>
    <x v="1"/>
    <s v="-"/>
    <n v="1"/>
    <x v="11"/>
  </r>
  <r>
    <s v="Valine; leucine and isoleucine degradation - Solanum lycopersicum (tomato)"/>
    <x v="1"/>
    <x v="1"/>
    <s v="-"/>
    <n v="1"/>
    <x v="11"/>
  </r>
  <r>
    <s v="Pyruvate metabolism - Solanum lycopersicum (tomato)"/>
    <x v="1"/>
    <x v="1"/>
    <s v="-"/>
    <n v="1"/>
    <x v="2"/>
  </r>
  <r>
    <s v="Butanoate metabolism - Solanum lycopersicum (tomato)"/>
    <x v="1"/>
    <x v="1"/>
    <s v="-"/>
    <n v="1"/>
    <x v="2"/>
  </r>
  <r>
    <s v="Thiamine metabolism - Solanum lycopersicum (tomato)"/>
    <x v="1"/>
    <x v="1"/>
    <s v="-"/>
    <n v="1"/>
    <x v="0"/>
  </r>
  <r>
    <s v="Diterpenoid biosynthesis - Solanum lycopersicum (tomato)"/>
    <x v="1"/>
    <x v="1"/>
    <s v="-"/>
    <n v="1"/>
    <x v="8"/>
  </r>
  <r>
    <s v="Stilbenoid; diarylheptanoid and gingerol biosynthesis - Solanum lycopersicum (tomato)"/>
    <x v="1"/>
    <x v="1"/>
    <s v="-"/>
    <n v="1"/>
    <x v="17"/>
  </r>
  <r>
    <s v="Glucosinolate biosynthesis - Solanum lycopersicum (tomato)"/>
    <x v="1"/>
    <x v="1"/>
    <s v="-"/>
    <n v="1"/>
    <x v="18"/>
  </r>
  <r>
    <s v="2-Oxocarboxylic acid metabolism - Solanum lycopersicum (tomato)"/>
    <x v="1"/>
    <x v="1"/>
    <s v="-"/>
    <n v="1"/>
    <x v="11"/>
  </r>
  <r>
    <s v="Lignans"/>
    <x v="1"/>
    <x v="1"/>
    <s v="-"/>
    <n v="1"/>
    <x v="9"/>
  </r>
  <r>
    <s v="Secondary metabolism"/>
    <x v="1"/>
    <x v="1"/>
    <s v="-"/>
    <n v="1"/>
    <x v="19"/>
  </r>
  <r>
    <s v="Biosynthesis of amino acids - Solanum lycopersicum (tomato)"/>
    <x v="2"/>
    <x v="0"/>
    <s v="-"/>
    <n v="9"/>
    <x v="11"/>
  </r>
  <r>
    <s v="Glucosinolate biosynthesis - Solanum lycopersicum (tomato)"/>
    <x v="2"/>
    <x v="0"/>
    <s v="-"/>
    <n v="4"/>
    <x v="18"/>
  </r>
  <r>
    <s v="2-Oxocarboxylic acid metabolism - Solanum lycopersicum (tomato)"/>
    <x v="2"/>
    <x v="0"/>
    <s v="-"/>
    <n v="4"/>
    <x v="11"/>
  </r>
  <r>
    <s v="Degradation of aromatic compounds - Solanum lycopersicum (tomato)"/>
    <x v="2"/>
    <x v="0"/>
    <s v="-"/>
    <n v="5"/>
    <x v="15"/>
  </r>
  <r>
    <s v="Valine; leucine and isoleucine degradation - Solanum lycopersicum (tomato)"/>
    <x v="2"/>
    <x v="0"/>
    <s v="-"/>
    <n v="3"/>
    <x v="11"/>
  </r>
  <r>
    <s v="Valine; leucine and isoleucine biosynthesis - Solanum lycopersicum (tomato)"/>
    <x v="2"/>
    <x v="0"/>
    <s v="-"/>
    <n v="3"/>
    <x v="11"/>
  </r>
  <r>
    <s v="Pentose phosphate pathway - Solanum lycopersicum (tomato)"/>
    <x v="2"/>
    <x v="0"/>
    <s v="-"/>
    <n v="2"/>
    <x v="2"/>
  </r>
  <r>
    <s v="Galactose metabolism - Solanum lycopersicum (tomato)"/>
    <x v="2"/>
    <x v="0"/>
    <s v="-"/>
    <n v="3"/>
    <x v="2"/>
  </r>
  <r>
    <s v="Glycerolipid metabolism - Solanum lycopersicum (tomato)"/>
    <x v="2"/>
    <x v="0"/>
    <s v="-"/>
    <n v="3"/>
    <x v="5"/>
  </r>
  <r>
    <s v="Carbon metabolism - Solanum lycopersicum (tomato)"/>
    <x v="2"/>
    <x v="0"/>
    <s v="-"/>
    <n v="2"/>
    <x v="10"/>
  </r>
  <r>
    <s v="Lignans"/>
    <x v="2"/>
    <x v="0"/>
    <s v="-"/>
    <n v="4"/>
    <x v="9"/>
  </r>
  <r>
    <s v="db/grp/intern/G_Sec0001"/>
    <x v="2"/>
    <x v="0"/>
    <s v="-"/>
    <n v="2"/>
    <x v="14"/>
  </r>
  <r>
    <s v="Glycolysis / Gluconeogenesis - Solanum lycopersicum (tomato)"/>
    <x v="2"/>
    <x v="0"/>
    <s v="-"/>
    <n v="1"/>
    <x v="2"/>
  </r>
  <r>
    <s v="Fatty acid biosynthesis - Solanum lycopersicum (tomato)"/>
    <x v="2"/>
    <x v="0"/>
    <s v="-"/>
    <n v="1"/>
    <x v="5"/>
  </r>
  <r>
    <s v="Ubiquinone and other terpenoid-quinone biosynthesis - Solanum lycopersicum (tomato)"/>
    <x v="2"/>
    <x v="0"/>
    <s v="-"/>
    <n v="1"/>
    <x v="0"/>
  </r>
  <r>
    <s v="Purine metabolism - Solanum lycopersicum (tomato)"/>
    <x v="2"/>
    <x v="0"/>
    <s v="-"/>
    <n v="1"/>
    <x v="3"/>
  </r>
  <r>
    <s v="Pyrimidine metabolism - Solanum lycopersicum (tomato)"/>
    <x v="2"/>
    <x v="0"/>
    <s v="-"/>
    <n v="1"/>
    <x v="3"/>
  </r>
  <r>
    <s v="Glycine; serine and threonine metabolism - Solanum lycopersicum (tomato)"/>
    <x v="2"/>
    <x v="0"/>
    <s v="-"/>
    <n v="1"/>
    <x v="11"/>
  </r>
  <r>
    <s v="Cysteine and methionine metabolism - Solanum lycopersicum (tomato)"/>
    <x v="2"/>
    <x v="0"/>
    <s v="-"/>
    <n v="3"/>
    <x v="11"/>
  </r>
  <r>
    <s v="Lysine degradation - Solanum lycopersicum (tomato)"/>
    <x v="2"/>
    <x v="0"/>
    <s v="-"/>
    <n v="1"/>
    <x v="11"/>
  </r>
  <r>
    <s v="Arginine and proline metabolism - Solanum lycopersicum (tomato)"/>
    <x v="2"/>
    <x v="0"/>
    <s v="-"/>
    <n v="3"/>
    <x v="11"/>
  </r>
  <r>
    <s v="Histidine metabolism - Solanum lycopersicum (tomato)"/>
    <x v="2"/>
    <x v="0"/>
    <s v="-"/>
    <n v="1"/>
    <x v="11"/>
  </r>
  <r>
    <s v="Phenylalanine metabolism - Solanum lycopersicum (tomato)"/>
    <x v="2"/>
    <x v="0"/>
    <s v="-"/>
    <n v="1"/>
    <x v="11"/>
  </r>
  <r>
    <s v="Phenylalanine; tyrosine and tryptophan biosynthesis - Solanum lycopersicum (tomato)"/>
    <x v="2"/>
    <x v="0"/>
    <s v="-"/>
    <n v="1"/>
    <x v="11"/>
  </r>
  <r>
    <s v="Cyanoamino acid metabolism - Solanum lycopersicum (tomato)"/>
    <x v="2"/>
    <x v="0"/>
    <s v="-"/>
    <n v="1"/>
    <x v="11"/>
  </r>
  <r>
    <s v="Amino sugar and nucleotide sugar metabolism - Solanum lycopersicum (tomato)"/>
    <x v="2"/>
    <x v="0"/>
    <s v="-"/>
    <n v="1"/>
    <x v="4"/>
  </r>
  <r>
    <s v="Inositol phosphate metabolism - Solanum lycopersicum (tomato)"/>
    <x v="2"/>
    <x v="0"/>
    <s v="-"/>
    <n v="1"/>
    <x v="2"/>
  </r>
  <r>
    <s v="Glyoxylate and dicarboxylate metabolism - Solanum lycopersicum (tomato)"/>
    <x v="2"/>
    <x v="0"/>
    <s v="-"/>
    <n v="1"/>
    <x v="2"/>
  </r>
  <r>
    <s v="Carbon fixation in photosynthetic organisms - Solanum lycopersicum (tomato)"/>
    <x v="2"/>
    <x v="0"/>
    <s v="-"/>
    <n v="1"/>
    <x v="6"/>
  </r>
  <r>
    <s v="Nicotinate and nicotinamide metabolism - Solanum lycopersicum (tomato)"/>
    <x v="2"/>
    <x v="0"/>
    <s v="-"/>
    <n v="2"/>
    <x v="0"/>
  </r>
  <r>
    <s v="Pantothenate and CoA biosynthesis - Solanum lycopersicum (tomato)"/>
    <x v="2"/>
    <x v="0"/>
    <s v="-"/>
    <n v="1"/>
    <x v="0"/>
  </r>
  <r>
    <s v="Zeatin biosynthesis - Solanum lycopersicum (tomato)"/>
    <x v="2"/>
    <x v="0"/>
    <s v="-"/>
    <n v="3"/>
    <x v="1"/>
  </r>
  <r>
    <s v="Phenylpropanoid biosynthesis - Solanum lycopersicum (tomato)"/>
    <x v="2"/>
    <x v="0"/>
    <s v="-"/>
    <n v="1"/>
    <x v="20"/>
  </r>
  <r>
    <s v="Stilbenoid; diarylheptanoid and gingerol biosynthesis - Solanum lycopersicum (tomato)"/>
    <x v="2"/>
    <x v="0"/>
    <s v="-"/>
    <n v="1"/>
    <x v="17"/>
  </r>
  <r>
    <s v="Tropane; piperidine and pyridine alkaloid biosynthesis - Solanum lycopersicum (tomato)"/>
    <x v="2"/>
    <x v="0"/>
    <s v="-"/>
    <n v="1"/>
    <x v="21"/>
  </r>
  <r>
    <s v="Aminoacyl-tRNA biosynthesis - Solanum lycopersicum (tomato)"/>
    <x v="2"/>
    <x v="0"/>
    <s v="-"/>
    <n v="1"/>
    <x v="22"/>
  </r>
  <r>
    <s v="ABC transporters - Solanum lycopersicum (tomato)"/>
    <x v="2"/>
    <x v="0"/>
    <s v="-"/>
    <n v="1"/>
    <x v="12"/>
  </r>
  <r>
    <s v="Sulfur relay system - Solanum lycopersicum (tomato)"/>
    <x v="2"/>
    <x v="0"/>
    <s v="-"/>
    <n v="3"/>
    <x v="16"/>
  </r>
  <r>
    <s v="db/grp/intern/G_Lign0001"/>
    <x v="2"/>
    <x v="0"/>
    <s v="-"/>
    <n v="3"/>
    <x v="14"/>
  </r>
  <r>
    <s v="Amino acids"/>
    <x v="2"/>
    <x v="0"/>
    <s v="-"/>
    <n v="1"/>
    <x v="11"/>
  </r>
  <r>
    <s v="Indole derivatives"/>
    <x v="2"/>
    <x v="0"/>
    <s v="-"/>
    <n v="1"/>
    <x v="11"/>
  </r>
  <r>
    <s v="Podophyllotoxin"/>
    <x v="2"/>
    <x v="0"/>
    <s v="-"/>
    <n v="3"/>
    <x v="23"/>
  </r>
  <r>
    <s v="Secondary metabolism"/>
    <x v="2"/>
    <x v="0"/>
    <s v="-"/>
    <n v="2"/>
    <x v="19"/>
  </r>
  <r>
    <s v="Anthocyanin biosynthesis - Solanum lycopersicum (tomato)"/>
    <x v="2"/>
    <x v="1"/>
    <s v="-"/>
    <n v="8"/>
    <x v="9"/>
  </r>
  <r>
    <s v="Lignans"/>
    <x v="2"/>
    <x v="1"/>
    <s v="-"/>
    <n v="7"/>
    <x v="9"/>
  </r>
  <r>
    <s v="Flavone and flavonol biosynthesis - Solanum lycopersicum (tomato)"/>
    <x v="2"/>
    <x v="1"/>
    <s v="-"/>
    <n v="6"/>
    <x v="9"/>
  </r>
  <r>
    <s v="Biosynthesis of amino acids - Solanum lycopersicum (tomato)"/>
    <x v="2"/>
    <x v="1"/>
    <s v="-"/>
    <n v="3"/>
    <x v="11"/>
  </r>
  <r>
    <s v="Purine metabolism - Solanum lycopersicum (tomato)"/>
    <x v="2"/>
    <x v="1"/>
    <s v="-"/>
    <n v="2"/>
    <x v="3"/>
  </r>
  <r>
    <s v="Porphyrin and chlorophyll metabolism - Solanum lycopersicum (tomato)"/>
    <x v="2"/>
    <x v="1"/>
    <s v="-"/>
    <n v="2"/>
    <x v="0"/>
  </r>
  <r>
    <s v="Zeatin biosynthesis - Solanum lycopersicum (tomato)"/>
    <x v="2"/>
    <x v="1"/>
    <s v="-"/>
    <n v="2"/>
    <x v="1"/>
  </r>
  <r>
    <s v="2-Oxocarboxylic acid metabolism - Solanum lycopersicum (tomato)"/>
    <x v="2"/>
    <x v="1"/>
    <s v="-"/>
    <n v="3"/>
    <x v="11"/>
  </r>
  <r>
    <s v="Degradation of aromatic compounds - Solanum lycopersicum (tomato)"/>
    <x v="2"/>
    <x v="1"/>
    <s v="-"/>
    <n v="2"/>
    <x v="15"/>
  </r>
  <r>
    <s v="Diconiferyle"/>
    <x v="2"/>
    <x v="1"/>
    <s v="-"/>
    <n v="2"/>
    <x v="14"/>
  </r>
  <r>
    <s v="Citrate cycle (TCA cycle) - Solanum lycopersicum (tomato)"/>
    <x v="2"/>
    <x v="1"/>
    <s v="-"/>
    <n v="1"/>
    <x v="6"/>
  </r>
  <r>
    <s v="Pentose phosphate pathway - Solanum lycopersicum (tomato)"/>
    <x v="2"/>
    <x v="1"/>
    <s v="-"/>
    <n v="1"/>
    <x v="2"/>
  </r>
  <r>
    <s v="Pentose and glucuronate interconversions - Solanum lycopersicum (tomato)"/>
    <x v="2"/>
    <x v="1"/>
    <s v="-"/>
    <n v="1"/>
    <x v="2"/>
  </r>
  <r>
    <s v="Ascorbate and aldarate metabolism - Solanum lycopersicum (tomato)"/>
    <x v="2"/>
    <x v="1"/>
    <s v="-"/>
    <n v="1"/>
    <x v="2"/>
  </r>
  <r>
    <s v="Cutin; suberine and wax biosynthesis - Solanum lycopersicum (tomato)"/>
    <x v="2"/>
    <x v="1"/>
    <s v="-"/>
    <n v="1"/>
    <x v="5"/>
  </r>
  <r>
    <s v="Ubiquinone and other terpenoid-quinone biosynthesis - Solanum lycopersicum (tomato)"/>
    <x v="2"/>
    <x v="1"/>
    <s v="-"/>
    <n v="1"/>
    <x v="0"/>
  </r>
  <r>
    <s v="Cysteine and methionine metabolism - Solanum lycopersicum (tomato)"/>
    <x v="2"/>
    <x v="1"/>
    <s v="-"/>
    <n v="1"/>
    <x v="11"/>
  </r>
  <r>
    <s v="Arginine and proline metabolism - Solanum lycopersicum (tomato)"/>
    <x v="2"/>
    <x v="1"/>
    <s v="-"/>
    <n v="1"/>
    <x v="11"/>
  </r>
  <r>
    <s v="Histidine metabolism - Solanum lycopersicum (tomato)"/>
    <x v="2"/>
    <x v="1"/>
    <s v="-"/>
    <n v="1"/>
    <x v="11"/>
  </r>
  <r>
    <s v="Tryptophan metabolism - Solanum lycopersicum (tomato)"/>
    <x v="2"/>
    <x v="1"/>
    <s v="-"/>
    <n v="2"/>
    <x v="11"/>
  </r>
  <r>
    <s v="Phenylalanine; tyrosine and tryptophan biosynthesis - Solanum lycopersicum (tomato)"/>
    <x v="2"/>
    <x v="1"/>
    <s v="-"/>
    <n v="1"/>
    <x v="11"/>
  </r>
  <r>
    <s v="beta-Alanine metabolism - Solanum lycopersicum (tomato)"/>
    <x v="2"/>
    <x v="1"/>
    <s v="-"/>
    <n v="1"/>
    <x v="11"/>
  </r>
  <r>
    <s v="Glutathione metabolism - Solanum lycopersicum (tomato)"/>
    <x v="2"/>
    <x v="1"/>
    <s v="-"/>
    <n v="1"/>
    <x v="11"/>
  </r>
  <r>
    <s v="Arachidonic acid metabolism - Solanum lycopersicum (tomato)"/>
    <x v="2"/>
    <x v="1"/>
    <s v="-"/>
    <n v="1"/>
    <x v="5"/>
  </r>
  <r>
    <s v="Linoleic acid metabolism - Solanum lycopersicum (tomato)"/>
    <x v="2"/>
    <x v="1"/>
    <s v="-"/>
    <n v="1"/>
    <x v="5"/>
  </r>
  <r>
    <s v="alpha-Linolenic acid metabolism - Solanum lycopersicum (tomato)"/>
    <x v="2"/>
    <x v="1"/>
    <s v="-"/>
    <n v="1"/>
    <x v="5"/>
  </r>
  <r>
    <s v="Glyoxylate and dicarboxylate metabolism - Solanum lycopersicum (tomato)"/>
    <x v="2"/>
    <x v="1"/>
    <s v="-"/>
    <n v="1"/>
    <x v="2"/>
  </r>
  <r>
    <s v="Thiamine metabolism - Solanum lycopersicum (tomato)"/>
    <x v="2"/>
    <x v="1"/>
    <s v="-"/>
    <n v="1"/>
    <x v="0"/>
  </r>
  <r>
    <s v="Pantothenate and CoA biosynthesis - Solanum lycopersicum (tomato)"/>
    <x v="2"/>
    <x v="1"/>
    <s v="-"/>
    <n v="1"/>
    <x v="0"/>
  </r>
  <r>
    <s v="Biotin metabolism - Solanum lycopersicum (tomato)"/>
    <x v="2"/>
    <x v="1"/>
    <s v="-"/>
    <n v="1"/>
    <x v="0"/>
  </r>
  <r>
    <s v="Folate biosynthesis - Solanum lycopersicum (tomato)"/>
    <x v="2"/>
    <x v="1"/>
    <s v="-"/>
    <n v="1"/>
    <x v="0"/>
  </r>
  <r>
    <s v="Diterpenoid biosynthesis - Solanum lycopersicum (tomato)"/>
    <x v="2"/>
    <x v="1"/>
    <s v="-"/>
    <n v="1"/>
    <x v="8"/>
  </r>
  <r>
    <s v="Sesquiterpenoid and triterpenoid biosynthesis - Solanum lycopersicum (tomato)"/>
    <x v="2"/>
    <x v="1"/>
    <s v="-"/>
    <n v="1"/>
    <x v="8"/>
  </r>
  <r>
    <s v="Stilbenoid; diarylheptanoid and gingerol biosynthesis - Solanum lycopersicum (tomato)"/>
    <x v="2"/>
    <x v="1"/>
    <s v="-"/>
    <n v="2"/>
    <x v="17"/>
  </r>
  <r>
    <s v="Glucosinolate biosynthesis - Solanum lycopersicum (tomato)"/>
    <x v="2"/>
    <x v="1"/>
    <s v="-"/>
    <n v="2"/>
    <x v="18"/>
  </r>
  <r>
    <s v="Carbon metabolism - Solanum lycopersicum (tomato)"/>
    <x v="2"/>
    <x v="1"/>
    <s v="-"/>
    <n v="1"/>
    <x v="10"/>
  </r>
  <r>
    <s v="Plant hormone signal transduction - Solanum lycopersicum (tomato)"/>
    <x v="2"/>
    <x v="1"/>
    <s v="-"/>
    <n v="1"/>
    <x v="24"/>
  </r>
  <r>
    <s v="Sulfur relay system - Solanum lycopersicum (tomato)"/>
    <x v="2"/>
    <x v="1"/>
    <s v="-"/>
    <n v="1"/>
    <x v="16"/>
  </r>
  <r>
    <s v="db/grp/intern/G_Lign0001"/>
    <x v="2"/>
    <x v="1"/>
    <s v="-"/>
    <n v="1"/>
    <x v="14"/>
  </r>
  <r>
    <s v="Indole derivatives"/>
    <x v="2"/>
    <x v="1"/>
    <s v="-"/>
    <n v="1"/>
    <x v="11"/>
  </r>
  <r>
    <s v="Podophyllotoxin"/>
    <x v="2"/>
    <x v="1"/>
    <s v="-"/>
    <n v="1"/>
    <x v="23"/>
  </r>
  <r>
    <s v="Secondary metabolism"/>
    <x v="2"/>
    <x v="1"/>
    <s v="-"/>
    <n v="1"/>
    <x v="19"/>
  </r>
  <r>
    <s v="Zeatin biosynthesis - Solanum lycopersicum (tomato)"/>
    <x v="3"/>
    <x v="0"/>
    <s v="-"/>
    <n v="3"/>
    <x v="1"/>
  </r>
  <r>
    <s v="Glucosinolate biosynthesis - Solanum lycopersicum (tomato)"/>
    <x v="3"/>
    <x v="0"/>
    <s v="-"/>
    <n v="3"/>
    <x v="18"/>
  </r>
  <r>
    <s v="2-Oxocarboxylic acid metabolism - Solanum lycopersicum (tomato)"/>
    <x v="3"/>
    <x v="0"/>
    <s v="-"/>
    <n v="3"/>
    <x v="11"/>
  </r>
  <r>
    <s v="Pyrimidine metabolism - Solanum lycopersicum (tomato)"/>
    <x v="3"/>
    <x v="0"/>
    <s v="-"/>
    <n v="2"/>
    <x v="3"/>
  </r>
  <r>
    <s v="Tryptophan metabolism - Solanum lycopersicum (tomato)"/>
    <x v="3"/>
    <x v="0"/>
    <s v="-"/>
    <n v="2"/>
    <x v="11"/>
  </r>
  <r>
    <s v="Degradation of aromatic compounds - Solanum lycopersicum (tomato)"/>
    <x v="3"/>
    <x v="0"/>
    <s v="-"/>
    <n v="2"/>
    <x v="15"/>
  </r>
  <r>
    <s v="Biosynthesis of amino acids - Solanum lycopersicum (tomato)"/>
    <x v="3"/>
    <x v="0"/>
    <s v="-"/>
    <n v="2"/>
    <x v="11"/>
  </r>
  <r>
    <s v="db/grp/intern/G_Sec0001"/>
    <x v="3"/>
    <x v="0"/>
    <s v="-"/>
    <n v="1"/>
    <x v="14"/>
  </r>
  <r>
    <s v="Pentose and glucuronate interconversions - Solanum lycopersicum (tomato)"/>
    <x v="3"/>
    <x v="0"/>
    <s v="-"/>
    <n v="1"/>
    <x v="2"/>
  </r>
  <r>
    <s v="Galactose metabolism - Solanum lycopersicum (tomato)"/>
    <x v="3"/>
    <x v="0"/>
    <s v="-"/>
    <n v="1"/>
    <x v="2"/>
  </r>
  <r>
    <s v="Ascorbate and aldarate metabolism - Solanum lycopersicum (tomato)"/>
    <x v="3"/>
    <x v="0"/>
    <s v="-"/>
    <n v="1"/>
    <x v="2"/>
  </r>
  <r>
    <s v="Glycine; serine and threonine metabolism - Solanum lycopersicum (tomato)"/>
    <x v="3"/>
    <x v="0"/>
    <s v="-"/>
    <n v="1"/>
    <x v="11"/>
  </r>
  <r>
    <s v="Valine; leucine and isoleucine degradation - Solanum lycopersicum (tomato)"/>
    <x v="3"/>
    <x v="0"/>
    <s v="-"/>
    <n v="1"/>
    <x v="11"/>
  </r>
  <r>
    <s v="Valine; leucine and isoleucine biosynthesis - Solanum lycopersicum (tomato)"/>
    <x v="3"/>
    <x v="0"/>
    <s v="-"/>
    <n v="1"/>
    <x v="11"/>
  </r>
  <r>
    <s v="Phenylalanine; tyrosine and tryptophan biosynthesis - Solanum lycopersicum (tomato)"/>
    <x v="3"/>
    <x v="0"/>
    <s v="-"/>
    <n v="1"/>
    <x v="11"/>
  </r>
  <r>
    <s v="Glutathione metabolism - Solanum lycopersicum (tomato)"/>
    <x v="3"/>
    <x v="0"/>
    <s v="-"/>
    <n v="2"/>
    <x v="11"/>
  </r>
  <r>
    <s v="Starch and sucrose metabolism - Solanum lycopersicum (tomato)"/>
    <x v="3"/>
    <x v="0"/>
    <s v="-"/>
    <n v="1"/>
    <x v="2"/>
  </r>
  <r>
    <s v="Amino sugar and nucleotide sugar metabolism - Solanum lycopersicum (tomato)"/>
    <x v="3"/>
    <x v="0"/>
    <s v="-"/>
    <n v="1"/>
    <x v="4"/>
  </r>
  <r>
    <s v="Glycerolipid metabolism - Solanum lycopersicum (tomato)"/>
    <x v="3"/>
    <x v="0"/>
    <s v="-"/>
    <n v="1"/>
    <x v="5"/>
  </r>
  <r>
    <s v="Riboflavin metabolism - Solanum lycopersicum (tomato)"/>
    <x v="3"/>
    <x v="0"/>
    <s v="-"/>
    <n v="1"/>
    <x v="7"/>
  </r>
  <r>
    <s v="Sesquiterpenoid and triterpenoid biosynthesis - Solanum lycopersicum (tomato)"/>
    <x v="3"/>
    <x v="0"/>
    <s v="-"/>
    <n v="1"/>
    <x v="8"/>
  </r>
  <r>
    <s v="Aminoacyl-tRNA biosynthesis - Solanum lycopersicum (tomato)"/>
    <x v="3"/>
    <x v="0"/>
    <s v="-"/>
    <n v="1"/>
    <x v="22"/>
  </r>
  <r>
    <s v="Amino acids"/>
    <x v="3"/>
    <x v="0"/>
    <s v="-"/>
    <n v="1"/>
    <x v="11"/>
  </r>
  <r>
    <s v="Secondary metabolism"/>
    <x v="3"/>
    <x v="0"/>
    <s v="-"/>
    <n v="1"/>
    <x v="19"/>
  </r>
  <r>
    <s v="beta-Alanine metabolism - Solanum lycopersicum (tomato)"/>
    <x v="3"/>
    <x v="1"/>
    <s v="-"/>
    <n v="2"/>
    <x v="11"/>
  </r>
  <r>
    <s v="Phenylpropanoid biosynthesis - Solanum lycopersicum (tomato)"/>
    <x v="3"/>
    <x v="1"/>
    <s v="-"/>
    <n v="2"/>
    <x v="20"/>
  </r>
  <r>
    <s v="Anthocyanin biosynthesis - Solanum lycopersicum (tomato)"/>
    <x v="3"/>
    <x v="1"/>
    <s v="-"/>
    <n v="2"/>
    <x v="9"/>
  </r>
  <r>
    <s v="Flavone and flavonol biosynthesis - Solanum lycopersicum (tomato)"/>
    <x v="3"/>
    <x v="1"/>
    <s v="-"/>
    <n v="2"/>
    <x v="9"/>
  </r>
  <r>
    <s v="Stilbenoid; diarylheptanoid and gingerol biosynthesis - Solanum lycopersicum (tomato)"/>
    <x v="3"/>
    <x v="1"/>
    <s v="-"/>
    <n v="2"/>
    <x v="17"/>
  </r>
  <r>
    <s v="Degradation of aromatic compounds - Solanum lycopersicum (tomato)"/>
    <x v="3"/>
    <x v="1"/>
    <s v="-"/>
    <n v="2"/>
    <x v="15"/>
  </r>
  <r>
    <s v="ABC transporters - Solanum lycopersicum (tomato)"/>
    <x v="3"/>
    <x v="1"/>
    <s v="-"/>
    <n v="2"/>
    <x v="12"/>
  </r>
  <r>
    <s v="Alkaloids Library"/>
    <x v="3"/>
    <x v="1"/>
    <s v="-"/>
    <n v="2"/>
    <x v="21"/>
  </r>
  <r>
    <s v="Lignans"/>
    <x v="3"/>
    <x v="1"/>
    <s v="-"/>
    <n v="2"/>
    <x v="9"/>
  </r>
  <r>
    <s v="Diconiferyle"/>
    <x v="3"/>
    <x v="1"/>
    <s v="-"/>
    <n v="2"/>
    <x v="14"/>
  </r>
  <r>
    <s v="alpha-Linolenic acid metabolism - Solanum lycopersicum (tomato)"/>
    <x v="3"/>
    <x v="1"/>
    <s v="-"/>
    <n v="2"/>
    <x v="5"/>
  </r>
  <r>
    <s v="Ascorbate and aldarate metabolism - Solanum lycopersicum (tomato)"/>
    <x v="3"/>
    <x v="1"/>
    <s v="-"/>
    <n v="1"/>
    <x v="2"/>
  </r>
  <r>
    <s v="Ubiquinone and other terpenoid-quinone biosynthesis - Solanum lycopersicum (tomato)"/>
    <x v="3"/>
    <x v="1"/>
    <s v="-"/>
    <n v="1"/>
    <x v="0"/>
  </r>
  <r>
    <s v="Purine metabolism - Solanum lycopersicum (tomato)"/>
    <x v="3"/>
    <x v="1"/>
    <s v="-"/>
    <n v="1"/>
    <x v="3"/>
  </r>
  <r>
    <s v="Pyrimidine metabolism - Solanum lycopersicum (tomato)"/>
    <x v="3"/>
    <x v="1"/>
    <s v="-"/>
    <n v="1"/>
    <x v="3"/>
  </r>
  <r>
    <s v="Glycine; serine and threonine metabolism - Solanum lycopersicum (tomato)"/>
    <x v="3"/>
    <x v="1"/>
    <s v="-"/>
    <n v="1"/>
    <x v="11"/>
  </r>
  <r>
    <s v="Cysteine and methionine metabolism - Solanum lycopersicum (tomato)"/>
    <x v="3"/>
    <x v="1"/>
    <s v="-"/>
    <n v="1"/>
    <x v="11"/>
  </r>
  <r>
    <s v="Histidine metabolism - Solanum lycopersicum (tomato)"/>
    <x v="3"/>
    <x v="1"/>
    <s v="-"/>
    <n v="1"/>
    <x v="11"/>
  </r>
  <r>
    <s v="Linoleic acid metabolism - Solanum lycopersicum (tomato)"/>
    <x v="3"/>
    <x v="1"/>
    <s v="-"/>
    <n v="1"/>
    <x v="5"/>
  </r>
  <r>
    <s v="Glyoxylate and dicarboxylate metabolism - Solanum lycopersicum (tomato)"/>
    <x v="3"/>
    <x v="1"/>
    <s v="-"/>
    <n v="1"/>
    <x v="2"/>
  </r>
  <r>
    <s v="Riboflavin metabolism - Solanum lycopersicum (tomato)"/>
    <x v="3"/>
    <x v="1"/>
    <s v="-"/>
    <n v="1"/>
    <x v="7"/>
  </r>
  <r>
    <s v="Sulfur metabolism - Solanum lycopersicum (tomato)"/>
    <x v="3"/>
    <x v="1"/>
    <s v="-"/>
    <n v="1"/>
    <x v="16"/>
  </r>
  <r>
    <s v="Flavonoid biosynthesis - Solanum lycopersicum (tomato)"/>
    <x v="3"/>
    <x v="1"/>
    <s v="-"/>
    <n v="1"/>
    <x v="9"/>
  </r>
  <r>
    <s v="Aminoacyl-tRNA biosynthesis - Solanum lycopersicum (tomato)"/>
    <x v="3"/>
    <x v="1"/>
    <s v="-"/>
    <n v="1"/>
    <x v="22"/>
  </r>
  <r>
    <s v="Biosynthesis of unsaturated fatty acids - Solanum lycopersicum (tomato)"/>
    <x v="3"/>
    <x v="1"/>
    <s v="-"/>
    <n v="1"/>
    <x v="5"/>
  </r>
  <r>
    <s v="Carbon metabolism - Solanum lycopersicum (tomato)"/>
    <x v="3"/>
    <x v="1"/>
    <s v="-"/>
    <n v="1"/>
    <x v="10"/>
  </r>
  <r>
    <s v="Biosynthesis of amino acids - Solanum lycopersicum (tomato)"/>
    <x v="3"/>
    <x v="1"/>
    <s v="-"/>
    <n v="1"/>
    <x v="11"/>
  </r>
  <r>
    <s v="Amino acids"/>
    <x v="3"/>
    <x v="1"/>
    <s v="-"/>
    <n v="1"/>
    <x v="11"/>
  </r>
  <r>
    <s v="Cysteine and methionine metabolism - Solanum lycopersicum (tomato)"/>
    <x v="4"/>
    <x v="0"/>
    <s v="-"/>
    <n v="1"/>
    <x v="11"/>
  </r>
  <r>
    <s v="Anthocyanin biosynthesis - Solanum lycopersicum (tomato)"/>
    <x v="4"/>
    <x v="0"/>
    <s v="-"/>
    <n v="1"/>
    <x v="9"/>
  </r>
  <r>
    <s v="Flavone and flavonol biosynthesis - Solanum lycopersicum (tomato)"/>
    <x v="4"/>
    <x v="0"/>
    <s v="-"/>
    <n v="1"/>
    <x v="9"/>
  </r>
  <r>
    <s v="ABC transporters - Solanum lycopersicum (tomato)"/>
    <x v="4"/>
    <x v="0"/>
    <s v="-"/>
    <n v="1"/>
    <x v="12"/>
  </r>
  <r>
    <s v="Degradation of aromatic compounds - Solanum lycopersicum (tomato)"/>
    <x v="4"/>
    <x v="1"/>
    <s v="-"/>
    <n v="12"/>
    <x v="15"/>
  </r>
  <r>
    <s v="Linoleic acid metabolism - Solanum lycopersicum (tomato)"/>
    <x v="4"/>
    <x v="1"/>
    <s v="-"/>
    <n v="9"/>
    <x v="5"/>
  </r>
  <r>
    <s v="ABC transporters - Solanum lycopersicum (tomato)"/>
    <x v="4"/>
    <x v="1"/>
    <s v="-"/>
    <n v="8"/>
    <x v="12"/>
  </r>
  <r>
    <s v="2-Oxocarboxylic acid metabolism - Solanum lycopersicum (tomato)"/>
    <x v="4"/>
    <x v="1"/>
    <s v="-"/>
    <n v="10"/>
    <x v="11"/>
  </r>
  <r>
    <s v="Biosynthesis of amino acids - Solanum lycopersicum (tomato)"/>
    <x v="4"/>
    <x v="1"/>
    <s v="-"/>
    <n v="9"/>
    <x v="11"/>
  </r>
  <r>
    <s v="Ascorbate and aldarate metabolism - Solanum lycopersicum (tomato)"/>
    <x v="4"/>
    <x v="1"/>
    <s v="-"/>
    <n v="6"/>
    <x v="2"/>
  </r>
  <r>
    <s v="Cutin; suberine and wax biosynthesis - Solanum lycopersicum (tomato)"/>
    <x v="4"/>
    <x v="1"/>
    <s v="-"/>
    <n v="10"/>
    <x v="5"/>
  </r>
  <r>
    <s v="Diterpenoid biosynthesis - Solanum lycopersicum (tomato)"/>
    <x v="4"/>
    <x v="1"/>
    <s v="-"/>
    <n v="7"/>
    <x v="8"/>
  </r>
  <r>
    <s v="Phenylpropanoid biosynthesis - Solanum lycopersicum (tomato)"/>
    <x v="4"/>
    <x v="1"/>
    <s v="-"/>
    <n v="6"/>
    <x v="20"/>
  </r>
  <r>
    <s v="Lignans"/>
    <x v="4"/>
    <x v="1"/>
    <s v="-"/>
    <n v="7"/>
    <x v="9"/>
  </r>
  <r>
    <s v="Purine metabolism - Solanum lycopersicum (tomato)"/>
    <x v="4"/>
    <x v="1"/>
    <s v="-"/>
    <n v="6"/>
    <x v="3"/>
  </r>
  <r>
    <s v="Phenylalanine metabolism - Solanum lycopersicum (tomato)"/>
    <x v="4"/>
    <x v="1"/>
    <s v="-"/>
    <n v="6"/>
    <x v="11"/>
  </r>
  <r>
    <s v="Butanoate metabolism - Solanum lycopersicum (tomato)"/>
    <x v="4"/>
    <x v="1"/>
    <s v="-"/>
    <n v="7"/>
    <x v="2"/>
  </r>
  <r>
    <s v="Isoquinoline alkaloid biosynthesis - Solanum lycopersicum (tomato)"/>
    <x v="4"/>
    <x v="1"/>
    <s v="-"/>
    <n v="6"/>
    <x v="21"/>
  </r>
  <r>
    <s v="Glucosinolate biosynthesis - Solanum lycopersicum (tomato)"/>
    <x v="4"/>
    <x v="1"/>
    <s v="-"/>
    <n v="6"/>
    <x v="18"/>
  </r>
  <r>
    <s v="Phenylpropanoids biosynthesis"/>
    <x v="4"/>
    <x v="1"/>
    <s v="-"/>
    <n v="5"/>
    <x v="9"/>
  </r>
  <r>
    <s v="C5-Branched dibasic acid metabolism - Solanum lycopersicum (tomato)"/>
    <x v="4"/>
    <x v="1"/>
    <s v="-"/>
    <n v="5"/>
    <x v="2"/>
  </r>
  <r>
    <s v="alpha-Linolenic acid metabolism - Solanum lycopersicum (tomato)"/>
    <x v="4"/>
    <x v="1"/>
    <s v="-"/>
    <n v="4"/>
    <x v="5"/>
  </r>
  <r>
    <s v="Histidine metabolism - Solanum lycopersicum (tomato)"/>
    <x v="4"/>
    <x v="1"/>
    <s v="-"/>
    <n v="5"/>
    <x v="11"/>
  </r>
  <r>
    <s v="Tyrosine metabolism - Solanum lycopersicum (tomato)"/>
    <x v="4"/>
    <x v="1"/>
    <s v="-"/>
    <n v="5"/>
    <x v="11"/>
  </r>
  <r>
    <s v="Tryptophan metabolism - Solanum lycopersicum (tomato)"/>
    <x v="4"/>
    <x v="1"/>
    <s v="-"/>
    <n v="6"/>
    <x v="11"/>
  </r>
  <r>
    <s v="Amino sugar and nucleotide sugar metabolism - Solanum lycopersicum (tomato)"/>
    <x v="4"/>
    <x v="1"/>
    <s v="-"/>
    <n v="4"/>
    <x v="4"/>
  </r>
  <r>
    <s v="Biotin metabolism - Solanum lycopersicum (tomato)"/>
    <x v="4"/>
    <x v="1"/>
    <s v="-"/>
    <n v="4"/>
    <x v="0"/>
  </r>
  <r>
    <s v="Carotenoid biosynthesis - Solanum lycopersicum (tomato)"/>
    <x v="4"/>
    <x v="1"/>
    <s v="-"/>
    <n v="7"/>
    <x v="1"/>
  </r>
  <r>
    <s v="Secondary metabolism"/>
    <x v="4"/>
    <x v="1"/>
    <s v="-"/>
    <n v="4"/>
    <x v="19"/>
  </r>
  <r>
    <s v="Galactose metabolism - Solanum lycopersicum (tomato)"/>
    <x v="4"/>
    <x v="1"/>
    <s v="-"/>
    <n v="4"/>
    <x v="2"/>
  </r>
  <r>
    <s v="Indole derivatives"/>
    <x v="4"/>
    <x v="1"/>
    <s v="-"/>
    <n v="6"/>
    <x v="11"/>
  </r>
  <r>
    <s v="Citrate cycle (TCA cycle) - Solanum lycopersicum (tomato)"/>
    <x v="4"/>
    <x v="1"/>
    <s v="-"/>
    <n v="4"/>
    <x v="6"/>
  </r>
  <r>
    <s v="Pentose and glucuronate interconversions - Solanum lycopersicum (tomato)"/>
    <x v="4"/>
    <x v="1"/>
    <s v="-"/>
    <n v="4"/>
    <x v="2"/>
  </r>
  <r>
    <s v="Pyrimidine metabolism - Solanum lycopersicum (tomato)"/>
    <x v="4"/>
    <x v="1"/>
    <s v="-"/>
    <n v="4"/>
    <x v="3"/>
  </r>
  <r>
    <s v="Anthocyanin biosynthesis - Solanum lycopersicum (tomato)"/>
    <x v="4"/>
    <x v="1"/>
    <s v="-"/>
    <n v="3"/>
    <x v="9"/>
  </r>
  <r>
    <s v="Flavone and flavonol biosynthesis - Solanum lycopersicum (tomato)"/>
    <x v="4"/>
    <x v="1"/>
    <s v="-"/>
    <n v="3"/>
    <x v="9"/>
  </r>
  <r>
    <s v="Aminoacyl-tRNA biosynthesis - Solanum lycopersicum (tomato)"/>
    <x v="4"/>
    <x v="1"/>
    <s v="-"/>
    <n v="3"/>
    <x v="22"/>
  </r>
  <r>
    <s v="Amino acids"/>
    <x v="4"/>
    <x v="1"/>
    <s v="-"/>
    <n v="3"/>
    <x v="11"/>
  </r>
  <r>
    <s v="Alkaloids Library"/>
    <x v="4"/>
    <x v="1"/>
    <s v="-"/>
    <n v="7"/>
    <x v="21"/>
  </r>
  <r>
    <s v="Primary metabolism"/>
    <x v="4"/>
    <x v="1"/>
    <s v="-"/>
    <n v="4"/>
    <x v="13"/>
  </r>
  <r>
    <s v="Glycolysis / Gluconeogenesis - Solanum lycopersicum (tomato)"/>
    <x v="4"/>
    <x v="1"/>
    <s v="-"/>
    <n v="3"/>
    <x v="2"/>
  </r>
  <r>
    <s v="Alanine; aspartate and glutamate metabolism - Solanum lycopersicum (tomato)"/>
    <x v="4"/>
    <x v="1"/>
    <s v="-"/>
    <n v="3"/>
    <x v="11"/>
  </r>
  <r>
    <s v="Valine; leucine and isoleucine degradation - Solanum lycopersicum (tomato)"/>
    <x v="4"/>
    <x v="1"/>
    <s v="-"/>
    <n v="2"/>
    <x v="11"/>
  </r>
  <r>
    <s v="Valine; leucine and isoleucine biosynthesis - Solanum lycopersicum (tomato)"/>
    <x v="4"/>
    <x v="1"/>
    <s v="-"/>
    <n v="2"/>
    <x v="11"/>
  </r>
  <r>
    <s v="Phenylalanine; tyrosine and tryptophan biosynthesis - Solanum lycopersicum (tomato)"/>
    <x v="4"/>
    <x v="1"/>
    <s v="-"/>
    <n v="2"/>
    <x v="11"/>
  </r>
  <r>
    <s v="Cyanoamino acid metabolism - Solanum lycopersicum (tomato)"/>
    <x v="4"/>
    <x v="1"/>
    <s v="-"/>
    <n v="2"/>
    <x v="11"/>
  </r>
  <r>
    <s v="Glutathione metabolism - Solanum lycopersicum (tomato)"/>
    <x v="4"/>
    <x v="1"/>
    <s v="-"/>
    <n v="2"/>
    <x v="11"/>
  </r>
  <r>
    <s v="Glycerophospholipid metabolism - Solanum lycopersicum (tomato)"/>
    <x v="4"/>
    <x v="1"/>
    <s v="-"/>
    <n v="3"/>
    <x v="5"/>
  </r>
  <r>
    <s v="Pyruvate metabolism - Solanum lycopersicum (tomato)"/>
    <x v="4"/>
    <x v="1"/>
    <s v="-"/>
    <n v="3"/>
    <x v="2"/>
  </r>
  <r>
    <s v="Glyoxylate and dicarboxylate metabolism - Solanum lycopersicum (tomato)"/>
    <x v="4"/>
    <x v="1"/>
    <s v="-"/>
    <n v="3"/>
    <x v="2"/>
  </r>
  <r>
    <s v="Propanoate metabolism - Solanum lycopersicum (tomato)"/>
    <x v="4"/>
    <x v="1"/>
    <s v="-"/>
    <n v="3"/>
    <x v="2"/>
  </r>
  <r>
    <s v="Riboflavin metabolism - Solanum lycopersicum (tomato)"/>
    <x v="4"/>
    <x v="1"/>
    <s v="-"/>
    <n v="2"/>
    <x v="7"/>
  </r>
  <r>
    <s v="Vitamin B6 metabolism - Solanum lycopersicum (tomato)"/>
    <x v="4"/>
    <x v="1"/>
    <s v="-"/>
    <n v="3"/>
    <x v="0"/>
  </r>
  <r>
    <s v="Porphyrin and chlorophyll metabolism - Solanum lycopersicum (tomato)"/>
    <x v="4"/>
    <x v="1"/>
    <s v="-"/>
    <n v="2"/>
    <x v="0"/>
  </r>
  <r>
    <s v="Limonene and pinene degradation - Solanum lycopersicum (tomato)"/>
    <x v="4"/>
    <x v="1"/>
    <s v="-"/>
    <n v="2"/>
    <x v="8"/>
  </r>
  <r>
    <s v="Flavonoid biosynthesis - Solanum lycopersicum (tomato)"/>
    <x v="4"/>
    <x v="1"/>
    <s v="-"/>
    <n v="2"/>
    <x v="9"/>
  </r>
  <r>
    <s v="Stilbenoid; diarylheptanoid and gingerol biosynthesis - Solanum lycopersicum (tomato)"/>
    <x v="4"/>
    <x v="1"/>
    <s v="-"/>
    <n v="6"/>
    <x v="17"/>
  </r>
  <r>
    <s v="Tropane; piperidine and pyridine alkaloid biosynthesis - Solanum lycopersicum (tomato)"/>
    <x v="4"/>
    <x v="1"/>
    <s v="-"/>
    <n v="2"/>
    <x v="21"/>
  </r>
  <r>
    <s v="Biosynthesis of unsaturated fatty acids - Solanum lycopersicum (tomato)"/>
    <x v="4"/>
    <x v="1"/>
    <s v="-"/>
    <n v="2"/>
    <x v="5"/>
  </r>
  <r>
    <s v="Carbon metabolism - Solanum lycopersicum (tomato)"/>
    <x v="4"/>
    <x v="1"/>
    <s v="-"/>
    <n v="3"/>
    <x v="10"/>
  </r>
  <r>
    <s v="Sesquiterpenoid and triterpenoid biosynthesis - Solanum lycopersicum (tomato)"/>
    <x v="4"/>
    <x v="1"/>
    <s v="-"/>
    <n v="3"/>
    <x v="8"/>
  </r>
  <r>
    <s v="Pentose phosphate pathway - Solanum lycopersicum (tomato)"/>
    <x v="4"/>
    <x v="1"/>
    <s v="-"/>
    <n v="1"/>
    <x v="2"/>
  </r>
  <r>
    <s v="Oxidative phosphorylation - Solanum lycopersicum (tomato)"/>
    <x v="4"/>
    <x v="1"/>
    <s v="-"/>
    <n v="1"/>
    <x v="16"/>
  </r>
  <r>
    <s v="Caffeine metabolism - Solanum lycopersicum (tomato)"/>
    <x v="4"/>
    <x v="1"/>
    <s v="-"/>
    <n v="1"/>
    <x v="25"/>
  </r>
  <r>
    <s v="Cysteine and methionine metabolism - Solanum lycopersicum (tomato)"/>
    <x v="4"/>
    <x v="1"/>
    <s v="-"/>
    <n v="2"/>
    <x v="11"/>
  </r>
  <r>
    <s v="Lysine biosynthesis - Solanum lycopersicum (tomato)"/>
    <x v="4"/>
    <x v="1"/>
    <s v="-"/>
    <n v="2"/>
    <x v="11"/>
  </r>
  <r>
    <s v="Arginine and proline metabolism - Solanum lycopersicum (tomato)"/>
    <x v="4"/>
    <x v="1"/>
    <s v="-"/>
    <n v="2"/>
    <x v="11"/>
  </r>
  <r>
    <s v="beta-Alanine metabolism - Solanum lycopersicum (tomato)"/>
    <x v="4"/>
    <x v="1"/>
    <s v="-"/>
    <n v="1"/>
    <x v="11"/>
  </r>
  <r>
    <s v="Taurine and hypotaurine metabolism - Solanum lycopersicum (tomato)"/>
    <x v="4"/>
    <x v="1"/>
    <s v="-"/>
    <n v="2"/>
    <x v="11"/>
  </r>
  <r>
    <s v="Starch and sucrose metabolism - Solanum lycopersicum (tomato)"/>
    <x v="4"/>
    <x v="1"/>
    <s v="-"/>
    <n v="1"/>
    <x v="2"/>
  </r>
  <r>
    <s v="Glycerolipid metabolism - Solanum lycopersicum (tomato)"/>
    <x v="4"/>
    <x v="1"/>
    <s v="-"/>
    <n v="2"/>
    <x v="5"/>
  </r>
  <r>
    <s v="Thiamine metabolism - Solanum lycopersicum (tomato)"/>
    <x v="4"/>
    <x v="1"/>
    <s v="-"/>
    <n v="1"/>
    <x v="0"/>
  </r>
  <r>
    <s v="Nicotinate and nicotinamide metabolism - Solanum lycopersicum (tomato)"/>
    <x v="4"/>
    <x v="1"/>
    <s v="-"/>
    <n v="1"/>
    <x v="0"/>
  </r>
  <r>
    <s v="Pantothenate and CoA biosynthesis - Solanum lycopersicum (tomato)"/>
    <x v="4"/>
    <x v="1"/>
    <s v="-"/>
    <n v="1"/>
    <x v="0"/>
  </r>
  <r>
    <s v="Monoterpenoid biosynthesis - Solanum lycopersicum (tomato)"/>
    <x v="4"/>
    <x v="1"/>
    <s v="-"/>
    <n v="1"/>
    <x v="8"/>
  </r>
  <r>
    <s v="Zeatin biosynthesis - Solanum lycopersicum (tomato)"/>
    <x v="4"/>
    <x v="1"/>
    <s v="-"/>
    <n v="2"/>
    <x v="1"/>
  </r>
  <r>
    <s v="Plant hormone signal transduction - Solanum lycopersicum (tomato)"/>
    <x v="4"/>
    <x v="1"/>
    <s v="-"/>
    <n v="4"/>
    <x v="24"/>
  </r>
  <r>
    <s v="Sulfur relay system - Solanum lycopersicum (tomato)"/>
    <x v="4"/>
    <x v="1"/>
    <s v="-"/>
    <n v="2"/>
    <x v="16"/>
  </r>
  <r>
    <s v="db/grp/intern/G_Lign0001"/>
    <x v="4"/>
    <x v="1"/>
    <s v="-"/>
    <n v="2"/>
    <x v="14"/>
  </r>
  <r>
    <s v="Podophyllotoxin"/>
    <x v="4"/>
    <x v="1"/>
    <s v="-"/>
    <n v="2"/>
    <x v="23"/>
  </r>
  <r>
    <s v="Pyrimidine metabolism - Solanum lycopersicum (tomato)"/>
    <x v="5"/>
    <x v="0"/>
    <s v="-"/>
    <n v="3"/>
    <x v="3"/>
  </r>
  <r>
    <s v="Galactose metabolism - Solanum lycopersicum (tomato)"/>
    <x v="5"/>
    <x v="0"/>
    <s v="-"/>
    <n v="2"/>
    <x v="2"/>
  </r>
  <r>
    <s v="Cutin; suberine and wax biosynthesis - Solanum lycopersicum (tomato)"/>
    <x v="5"/>
    <x v="0"/>
    <s v="-"/>
    <n v="3"/>
    <x v="5"/>
  </r>
  <r>
    <s v="Porphyrin and chlorophyll metabolism - Solanum lycopersicum (tomato)"/>
    <x v="5"/>
    <x v="0"/>
    <s v="-"/>
    <n v="2"/>
    <x v="0"/>
  </r>
  <r>
    <s v="Diterpenoid biosynthesis - Solanum lycopersicum (tomato)"/>
    <x v="5"/>
    <x v="0"/>
    <s v="-"/>
    <n v="2"/>
    <x v="8"/>
  </r>
  <r>
    <s v="Phenylpropanoid biosynthesis - Solanum lycopersicum (tomato)"/>
    <x v="5"/>
    <x v="0"/>
    <s v="-"/>
    <n v="2"/>
    <x v="20"/>
  </r>
  <r>
    <s v="Stilbenoid; diarylheptanoid and gingerol biosynthesis - Solanum lycopersicum (tomato)"/>
    <x v="5"/>
    <x v="0"/>
    <s v="-"/>
    <n v="2"/>
    <x v="17"/>
  </r>
  <r>
    <s v="2-Oxocarboxylic acid metabolism - Solanum lycopersicum (tomato)"/>
    <x v="5"/>
    <x v="0"/>
    <s v="-"/>
    <n v="3"/>
    <x v="11"/>
  </r>
  <r>
    <s v="Degradation of aromatic compounds - Solanum lycopersicum (tomato)"/>
    <x v="5"/>
    <x v="0"/>
    <s v="-"/>
    <n v="2"/>
    <x v="15"/>
  </r>
  <r>
    <s v="Phenylpropanoids biosynthesis"/>
    <x v="5"/>
    <x v="0"/>
    <s v="-"/>
    <n v="2"/>
    <x v="9"/>
  </r>
  <r>
    <s v="Citrate cycle (TCA cycle) - Solanum lycopersicum (tomato)"/>
    <x v="5"/>
    <x v="0"/>
    <s v="-"/>
    <n v="1"/>
    <x v="6"/>
  </r>
  <r>
    <s v="Pentose and glucuronate interconversions - Solanum lycopersicum (tomato)"/>
    <x v="5"/>
    <x v="0"/>
    <s v="-"/>
    <n v="1"/>
    <x v="2"/>
  </r>
  <r>
    <s v="Ascorbate and aldarate metabolism - Solanum lycopersicum (tomato)"/>
    <x v="5"/>
    <x v="0"/>
    <s v="-"/>
    <n v="1"/>
    <x v="2"/>
  </r>
  <r>
    <s v="Alanine; aspartate and glutamate metabolism - Solanum lycopersicum (tomato)"/>
    <x v="5"/>
    <x v="0"/>
    <s v="-"/>
    <n v="1"/>
    <x v="11"/>
  </r>
  <r>
    <s v="Lysine biosynthesis - Solanum lycopersicum (tomato)"/>
    <x v="5"/>
    <x v="0"/>
    <s v="-"/>
    <n v="1"/>
    <x v="11"/>
  </r>
  <r>
    <s v="Arginine and proline metabolism - Solanum lycopersicum (tomato)"/>
    <x v="5"/>
    <x v="0"/>
    <s v="-"/>
    <n v="2"/>
    <x v="11"/>
  </r>
  <r>
    <s v="Histidine metabolism - Solanum lycopersicum (tomato)"/>
    <x v="5"/>
    <x v="0"/>
    <s v="-"/>
    <n v="1"/>
    <x v="11"/>
  </r>
  <r>
    <s v="Tyrosine metabolism - Solanum lycopersicum (tomato)"/>
    <x v="5"/>
    <x v="0"/>
    <s v="-"/>
    <n v="1"/>
    <x v="11"/>
  </r>
  <r>
    <s v="Tryptophan metabolism - Solanum lycopersicum (tomato)"/>
    <x v="5"/>
    <x v="0"/>
    <s v="-"/>
    <n v="1"/>
    <x v="11"/>
  </r>
  <r>
    <s v="Phenylalanine; tyrosine and tryptophan biosynthesis - Solanum lycopersicum (tomato)"/>
    <x v="5"/>
    <x v="0"/>
    <s v="-"/>
    <n v="1"/>
    <x v="11"/>
  </r>
  <r>
    <s v="Taurine and hypotaurine metabolism - Solanum lycopersicum (tomato)"/>
    <x v="5"/>
    <x v="0"/>
    <s v="-"/>
    <n v="1"/>
    <x v="11"/>
  </r>
  <r>
    <s v="Starch and sucrose metabolism - Solanum lycopersicum (tomato)"/>
    <x v="5"/>
    <x v="0"/>
    <s v="-"/>
    <n v="1"/>
    <x v="2"/>
  </r>
  <r>
    <s v="Glycerolipid metabolism - Solanum lycopersicum (tomato)"/>
    <x v="5"/>
    <x v="0"/>
    <s v="-"/>
    <n v="1"/>
    <x v="5"/>
  </r>
  <r>
    <s v="Linoleic acid metabolism - Solanum lycopersicum (tomato)"/>
    <x v="5"/>
    <x v="0"/>
    <s v="-"/>
    <n v="1"/>
    <x v="5"/>
  </r>
  <r>
    <s v="Glyoxylate and dicarboxylate metabolism - Solanum lycopersicum (tomato)"/>
    <x v="5"/>
    <x v="0"/>
    <s v="-"/>
    <n v="1"/>
    <x v="2"/>
  </r>
  <r>
    <s v="Butanoate metabolism - Solanum lycopersicum (tomato)"/>
    <x v="5"/>
    <x v="0"/>
    <s v="-"/>
    <n v="1"/>
    <x v="2"/>
  </r>
  <r>
    <s v="C5-Branched dibasic acid metabolism - Solanum lycopersicum (tomato)"/>
    <x v="5"/>
    <x v="0"/>
    <s v="-"/>
    <n v="1"/>
    <x v="2"/>
  </r>
  <r>
    <s v="Riboflavin metabolism - Solanum lycopersicum (tomato)"/>
    <x v="5"/>
    <x v="0"/>
    <s v="-"/>
    <n v="1"/>
    <x v="7"/>
  </r>
  <r>
    <s v="Vitamin B6 metabolism - Solanum lycopersicum (tomato)"/>
    <x v="5"/>
    <x v="0"/>
    <s v="-"/>
    <n v="1"/>
    <x v="0"/>
  </r>
  <r>
    <s v="Nicotinate and nicotinamide metabolism - Solanum lycopersicum (tomato)"/>
    <x v="5"/>
    <x v="0"/>
    <s v="-"/>
    <n v="1"/>
    <x v="0"/>
  </r>
  <r>
    <s v="Biotin metabolism - Solanum lycopersicum (tomato)"/>
    <x v="5"/>
    <x v="0"/>
    <s v="-"/>
    <n v="2"/>
    <x v="0"/>
  </r>
  <r>
    <s v="Anthocyanin biosynthesis - Solanum lycopersicum (tomato)"/>
    <x v="5"/>
    <x v="0"/>
    <s v="-"/>
    <n v="1"/>
    <x v="9"/>
  </r>
  <r>
    <s v="Flavone and flavonol biosynthesis - Solanum lycopersicum (tomato)"/>
    <x v="5"/>
    <x v="0"/>
    <s v="-"/>
    <n v="1"/>
    <x v="9"/>
  </r>
  <r>
    <s v="Biosynthesis of unsaturated fatty acids - Solanum lycopersicum (tomato)"/>
    <x v="5"/>
    <x v="0"/>
    <s v="-"/>
    <n v="1"/>
    <x v="5"/>
  </r>
  <r>
    <s v="Carbon metabolism - Solanum lycopersicum (tomato)"/>
    <x v="5"/>
    <x v="0"/>
    <s v="-"/>
    <n v="1"/>
    <x v="10"/>
  </r>
  <r>
    <s v="Biosynthesis of amino acids - Solanum lycopersicum (tomato)"/>
    <x v="5"/>
    <x v="0"/>
    <s v="-"/>
    <n v="1"/>
    <x v="11"/>
  </r>
  <r>
    <s v="Indole derivatives"/>
    <x v="5"/>
    <x v="0"/>
    <s v="-"/>
    <n v="1"/>
    <x v="11"/>
  </r>
  <r>
    <s v="Primary metabolism"/>
    <x v="5"/>
    <x v="0"/>
    <s v="-"/>
    <n v="1"/>
    <x v="13"/>
  </r>
  <r>
    <s v="Secondary metabolism"/>
    <x v="5"/>
    <x v="0"/>
    <s v="-"/>
    <n v="1"/>
    <x v="19"/>
  </r>
  <r>
    <s v="Zeatin biosynthesis - Solanum lycopersicum (tomato)"/>
    <x v="5"/>
    <x v="1"/>
    <s v="-"/>
    <n v="2"/>
    <x v="1"/>
  </r>
  <r>
    <s v="Pentose and glucuronate interconversions - Solanum lycopersicum (tomato)"/>
    <x v="5"/>
    <x v="1"/>
    <s v="-"/>
    <n v="1"/>
    <x v="2"/>
  </r>
  <r>
    <s v="Galactose metabolism - Solanum lycopersicum (tomato)"/>
    <x v="5"/>
    <x v="1"/>
    <s v="-"/>
    <n v="1"/>
    <x v="2"/>
  </r>
  <r>
    <s v="Ascorbate and aldarate metabolism - Solanum lycopersicum (tomato)"/>
    <x v="5"/>
    <x v="1"/>
    <s v="-"/>
    <n v="1"/>
    <x v="2"/>
  </r>
  <r>
    <s v="Pyrimidine metabolism - Solanum lycopersicum (tomato)"/>
    <x v="5"/>
    <x v="1"/>
    <s v="-"/>
    <n v="1"/>
    <x v="3"/>
  </r>
  <r>
    <s v="Phenylalanine metabolism - Solanum lycopersicum (tomato)"/>
    <x v="5"/>
    <x v="1"/>
    <s v="-"/>
    <n v="1"/>
    <x v="11"/>
  </r>
  <r>
    <s v="beta-Alanine metabolism - Solanum lycopersicum (tomato)"/>
    <x v="5"/>
    <x v="1"/>
    <s v="-"/>
    <n v="1"/>
    <x v="11"/>
  </r>
  <r>
    <s v="Starch and sucrose metabolism - Solanum lycopersicum (tomato)"/>
    <x v="5"/>
    <x v="1"/>
    <s v="-"/>
    <n v="1"/>
    <x v="2"/>
  </r>
  <r>
    <s v="Amino sugar and nucleotide sugar metabolism - Solanum lycopersicum (tomato)"/>
    <x v="5"/>
    <x v="1"/>
    <s v="-"/>
    <n v="1"/>
    <x v="4"/>
  </r>
  <r>
    <s v="Glycerolipid metabolism - Solanum lycopersicum (tomato)"/>
    <x v="5"/>
    <x v="1"/>
    <s v="-"/>
    <n v="1"/>
    <x v="5"/>
  </r>
  <r>
    <s v="Nicotinate and nicotinamide metabolism - Solanum lycopersicum (tomato)"/>
    <x v="5"/>
    <x v="1"/>
    <s v="-"/>
    <n v="1"/>
    <x v="0"/>
  </r>
  <r>
    <s v="Pantothenate and CoA biosynthesis - Solanum lycopersicum (tomato)"/>
    <x v="5"/>
    <x v="1"/>
    <s v="-"/>
    <n v="1"/>
    <x v="0"/>
  </r>
  <r>
    <s v="Phenylpropanoid biosynthesis - Solanum lycopersicum (tomato)"/>
    <x v="5"/>
    <x v="1"/>
    <s v="-"/>
    <n v="1"/>
    <x v="20"/>
  </r>
  <r>
    <s v="Flavonoid biosynthesis - Solanum lycopersicum (tomato)"/>
    <x v="5"/>
    <x v="1"/>
    <s v="-"/>
    <n v="1"/>
    <x v="9"/>
  </r>
  <r>
    <s v="Anthocyanin biosynthesis - Solanum lycopersicum (tomato)"/>
    <x v="5"/>
    <x v="1"/>
    <s v="-"/>
    <n v="1"/>
    <x v="9"/>
  </r>
  <r>
    <s v="Degradation of aromatic compounds - Solanum lycopersicum (tomato)"/>
    <x v="5"/>
    <x v="1"/>
    <s v="-"/>
    <n v="1"/>
    <x v="15"/>
  </r>
  <r>
    <s v="Plant hormone signal transduction - Solanum lycopersicum (tomato)"/>
    <x v="5"/>
    <x v="1"/>
    <s v="-"/>
    <n v="1"/>
    <x v="24"/>
  </r>
  <r>
    <s v="Phenylpropanoids biosynthesis"/>
    <x v="5"/>
    <x v="1"/>
    <s v="-"/>
    <n v="1"/>
    <x v="9"/>
  </r>
  <r>
    <s v="Glycolysis / Gluconeogenesis - Solanum lycopersicum (tomato)"/>
    <x v="6"/>
    <x v="0"/>
    <s v="-"/>
    <n v="1"/>
    <x v="2"/>
  </r>
  <r>
    <s v="Citrate cycle (TCA cycle) - Solanum lycopersicum (tomato)"/>
    <x v="6"/>
    <x v="0"/>
    <s v="-"/>
    <n v="1"/>
    <x v="6"/>
  </r>
  <r>
    <s v="Ubiquinone and other terpenoid-quinone biosynthesis - Solanum lycopersicum (tomato)"/>
    <x v="6"/>
    <x v="0"/>
    <s v="-"/>
    <n v="1"/>
    <x v="0"/>
  </r>
  <r>
    <s v="Purine metabolism - Solanum lycopersicum (tomato)"/>
    <x v="6"/>
    <x v="0"/>
    <s v="-"/>
    <n v="1"/>
    <x v="3"/>
  </r>
  <r>
    <s v="Pyrimidine metabolism - Solanum lycopersicum (tomato)"/>
    <x v="6"/>
    <x v="0"/>
    <s v="-"/>
    <n v="1"/>
    <x v="3"/>
  </r>
  <r>
    <s v="Valine; leucine and isoleucine degradation - Solanum lycopersicum (tomato)"/>
    <x v="6"/>
    <x v="0"/>
    <s v="-"/>
    <n v="1"/>
    <x v="11"/>
  </r>
  <r>
    <s v="Phenylalanine; tyrosine and tryptophan biosynthesis - Solanum lycopersicum (tomato)"/>
    <x v="6"/>
    <x v="0"/>
    <s v="-"/>
    <n v="1"/>
    <x v="11"/>
  </r>
  <r>
    <s v="Pyruvate metabolism - Solanum lycopersicum (tomato)"/>
    <x v="6"/>
    <x v="0"/>
    <s v="-"/>
    <n v="1"/>
    <x v="2"/>
  </r>
  <r>
    <s v="Butanoate metabolism - Solanum lycopersicum (tomato)"/>
    <x v="6"/>
    <x v="0"/>
    <s v="-"/>
    <n v="1"/>
    <x v="2"/>
  </r>
  <r>
    <s v="Thiamine metabolism - Solanum lycopersicum (tomato)"/>
    <x v="6"/>
    <x v="0"/>
    <s v="-"/>
    <n v="1"/>
    <x v="0"/>
  </r>
  <r>
    <s v="Zeatin biosynthesis - Solanum lycopersicum (tomato)"/>
    <x v="6"/>
    <x v="0"/>
    <s v="-"/>
    <n v="1"/>
    <x v="1"/>
  </r>
  <r>
    <s v="Biosynthesis of amino acids - Solanum lycopersicum (tomato)"/>
    <x v="6"/>
    <x v="0"/>
    <s v="-"/>
    <n v="1"/>
    <x v="11"/>
  </r>
  <r>
    <s v="Primary metabolism"/>
    <x v="6"/>
    <x v="0"/>
    <s v="-"/>
    <n v="1"/>
    <x v="13"/>
  </r>
  <r>
    <s v="Anthocyanin biosynthesis - Solanum lycopersicum (tomato)"/>
    <x v="6"/>
    <x v="1"/>
    <s v="-"/>
    <n v="11"/>
    <x v="9"/>
  </r>
  <r>
    <s v="2-Oxocarboxylic acid metabolism - Solanum lycopersicum (tomato)"/>
    <x v="6"/>
    <x v="1"/>
    <s v="-"/>
    <n v="9"/>
    <x v="11"/>
  </r>
  <r>
    <s v="Flavone and flavonol biosynthesis - Solanum lycopersicum (tomato)"/>
    <x v="6"/>
    <x v="1"/>
    <s v="-"/>
    <n v="8"/>
    <x v="9"/>
  </r>
  <r>
    <s v="Ascorbate and aldarate metabolism - Solanum lycopersicum (tomato)"/>
    <x v="6"/>
    <x v="1"/>
    <s v="-"/>
    <n v="4"/>
    <x v="2"/>
  </r>
  <r>
    <s v="Phenylpropanoid biosynthesis - Solanum lycopersicum (tomato)"/>
    <x v="6"/>
    <x v="1"/>
    <s v="-"/>
    <n v="6"/>
    <x v="20"/>
  </r>
  <r>
    <s v="Glucosinolate biosynthesis - Solanum lycopersicum (tomato)"/>
    <x v="6"/>
    <x v="1"/>
    <s v="-"/>
    <n v="6"/>
    <x v="18"/>
  </r>
  <r>
    <s v="Carbon metabolism - Solanum lycopersicum (tomato)"/>
    <x v="6"/>
    <x v="1"/>
    <s v="-"/>
    <n v="4"/>
    <x v="10"/>
  </r>
  <r>
    <s v="Degradation of aromatic compounds - Solanum lycopersicum (tomato)"/>
    <x v="6"/>
    <x v="1"/>
    <s v="-"/>
    <n v="5"/>
    <x v="15"/>
  </r>
  <r>
    <s v="Biosynthesis of amino acids - Solanum lycopersicum (tomato)"/>
    <x v="6"/>
    <x v="1"/>
    <s v="-"/>
    <n v="4"/>
    <x v="11"/>
  </r>
  <r>
    <s v="Lignans"/>
    <x v="6"/>
    <x v="1"/>
    <s v="-"/>
    <n v="5"/>
    <x v="9"/>
  </r>
  <r>
    <s v="Citrate cycle (TCA cycle) - Solanum lycopersicum (tomato)"/>
    <x v="6"/>
    <x v="1"/>
    <s v="-"/>
    <n v="3"/>
    <x v="6"/>
  </r>
  <r>
    <s v="Histidine metabolism - Solanum lycopersicum (tomato)"/>
    <x v="6"/>
    <x v="1"/>
    <s v="-"/>
    <n v="3"/>
    <x v="11"/>
  </r>
  <r>
    <s v="Tryptophan metabolism - Solanum lycopersicum (tomato)"/>
    <x v="6"/>
    <x v="1"/>
    <s v="-"/>
    <n v="4"/>
    <x v="11"/>
  </r>
  <r>
    <s v="Glyoxylate and dicarboxylate metabolism - Solanum lycopersicum (tomato)"/>
    <x v="6"/>
    <x v="1"/>
    <s v="-"/>
    <n v="3"/>
    <x v="2"/>
  </r>
  <r>
    <s v="Biotin metabolism - Solanum lycopersicum (tomato)"/>
    <x v="6"/>
    <x v="1"/>
    <s v="-"/>
    <n v="3"/>
    <x v="0"/>
  </r>
  <r>
    <s v="Purine metabolism - Solanum lycopersicum (tomato)"/>
    <x v="6"/>
    <x v="1"/>
    <s v="-"/>
    <n v="2"/>
    <x v="3"/>
  </r>
  <r>
    <s v="Pyrimidine metabolism - Solanum lycopersicum (tomato)"/>
    <x v="6"/>
    <x v="1"/>
    <s v="-"/>
    <n v="2"/>
    <x v="3"/>
  </r>
  <r>
    <s v="Glycine; serine and threonine metabolism - Solanum lycopersicum (tomato)"/>
    <x v="6"/>
    <x v="1"/>
    <s v="-"/>
    <n v="2"/>
    <x v="11"/>
  </r>
  <r>
    <s v="Butanoate metabolism - Solanum lycopersicum (tomato)"/>
    <x v="6"/>
    <x v="1"/>
    <s v="-"/>
    <n v="2"/>
    <x v="2"/>
  </r>
  <r>
    <s v="ABC transporters - Solanum lycopersicum (tomato)"/>
    <x v="6"/>
    <x v="1"/>
    <s v="-"/>
    <n v="2"/>
    <x v="12"/>
  </r>
  <r>
    <s v="Diconiferyle"/>
    <x v="6"/>
    <x v="1"/>
    <s v="-"/>
    <n v="2"/>
    <x v="14"/>
  </r>
  <r>
    <s v="Primary metabolism"/>
    <x v="6"/>
    <x v="1"/>
    <s v="-"/>
    <n v="2"/>
    <x v="13"/>
  </r>
  <r>
    <s v="Phenylpropanoids biosynthesis"/>
    <x v="6"/>
    <x v="1"/>
    <s v="-"/>
    <n v="2"/>
    <x v="9"/>
  </r>
  <r>
    <s v="Zeatin biosynthesis - Solanum lycopersicum (tomato)"/>
    <x v="6"/>
    <x v="1"/>
    <s v="-"/>
    <n v="2"/>
    <x v="1"/>
  </r>
  <r>
    <s v="Indole derivatives"/>
    <x v="6"/>
    <x v="1"/>
    <s v="-"/>
    <n v="5"/>
    <x v="11"/>
  </r>
  <r>
    <s v="Glycolysis / Gluconeogenesis - Solanum lycopersicum (tomato)"/>
    <x v="6"/>
    <x v="1"/>
    <s v="-"/>
    <n v="1"/>
    <x v="2"/>
  </r>
  <r>
    <s v="Pentose phosphate pathway - Solanum lycopersicum (tomato)"/>
    <x v="6"/>
    <x v="1"/>
    <s v="-"/>
    <n v="1"/>
    <x v="2"/>
  </r>
  <r>
    <s v="Pentose and glucuronate interconversions - Solanum lycopersicum (tomato)"/>
    <x v="6"/>
    <x v="1"/>
    <s v="-"/>
    <n v="2"/>
    <x v="2"/>
  </r>
  <r>
    <s v="Cysteine and methionine metabolism - Solanum lycopersicum (tomato)"/>
    <x v="6"/>
    <x v="1"/>
    <s v="-"/>
    <n v="1"/>
    <x v="11"/>
  </r>
  <r>
    <s v="Valine; leucine and isoleucine degradation - Solanum lycopersicum (tomato)"/>
    <x v="6"/>
    <x v="1"/>
    <s v="-"/>
    <n v="1"/>
    <x v="11"/>
  </r>
  <r>
    <s v="Phenylalanine metabolism - Solanum lycopersicum (tomato)"/>
    <x v="6"/>
    <x v="1"/>
    <s v="-"/>
    <n v="1"/>
    <x v="11"/>
  </r>
  <r>
    <s v="Phenylalanine; tyrosine and tryptophan biosynthesis - Solanum lycopersicum (tomato)"/>
    <x v="6"/>
    <x v="1"/>
    <s v="-"/>
    <n v="1"/>
    <x v="11"/>
  </r>
  <r>
    <s v="beta-Alanine metabolism - Solanum lycopersicum (tomato)"/>
    <x v="6"/>
    <x v="1"/>
    <s v="-"/>
    <n v="1"/>
    <x v="11"/>
  </r>
  <r>
    <s v="Glutathione metabolism - Solanum lycopersicum (tomato)"/>
    <x v="6"/>
    <x v="1"/>
    <s v="-"/>
    <n v="3"/>
    <x v="11"/>
  </r>
  <r>
    <s v="Pyruvate metabolism - Solanum lycopersicum (tomato)"/>
    <x v="6"/>
    <x v="1"/>
    <s v="-"/>
    <n v="1"/>
    <x v="2"/>
  </r>
  <r>
    <s v="One carbon pool by folate - Solanum lycopersicum (tomato)"/>
    <x v="6"/>
    <x v="1"/>
    <s v="-"/>
    <n v="1"/>
    <x v="0"/>
  </r>
  <r>
    <s v="Carbon fixation in photosynthetic organisms - Solanum lycopersicum (tomato)"/>
    <x v="6"/>
    <x v="1"/>
    <s v="-"/>
    <n v="1"/>
    <x v="6"/>
  </r>
  <r>
    <s v="Thiamine metabolism - Solanum lycopersicum (tomato)"/>
    <x v="6"/>
    <x v="1"/>
    <s v="-"/>
    <n v="1"/>
    <x v="0"/>
  </r>
  <r>
    <s v="Riboflavin metabolism - Solanum lycopersicum (tomato)"/>
    <x v="6"/>
    <x v="1"/>
    <s v="-"/>
    <n v="1"/>
    <x v="7"/>
  </r>
  <r>
    <s v="Monoterpenoid biosynthesis - Solanum lycopersicum (tomato)"/>
    <x v="6"/>
    <x v="1"/>
    <s v="-"/>
    <n v="1"/>
    <x v="8"/>
  </r>
  <r>
    <s v="Flavonoid biosynthesis - Solanum lycopersicum (tomato)"/>
    <x v="6"/>
    <x v="1"/>
    <s v="-"/>
    <n v="1"/>
    <x v="9"/>
  </r>
  <r>
    <s v="Aminoacyl-tRNA biosynthesis - Solanum lycopersicum (tomato)"/>
    <x v="6"/>
    <x v="1"/>
    <s v="-"/>
    <n v="1"/>
    <x v="22"/>
  </r>
  <r>
    <s v="Amino acids"/>
    <x v="6"/>
    <x v="1"/>
    <s v="-"/>
    <n v="1"/>
    <x v="11"/>
  </r>
  <r>
    <s v="Glycolysis / Gluconeogenesis - Solanum lycopersicum (tomato)"/>
    <x v="7"/>
    <x v="0"/>
    <s v="-"/>
    <n v="1"/>
    <x v="2"/>
  </r>
  <r>
    <s v="Citrate cycle (TCA cycle) - Solanum lycopersicum (tomato)"/>
    <x v="7"/>
    <x v="0"/>
    <s v="-"/>
    <n v="1"/>
    <x v="6"/>
  </r>
  <r>
    <s v="Valine; leucine and isoleucine degradation - Solanum lycopersicum (tomato)"/>
    <x v="7"/>
    <x v="0"/>
    <s v="-"/>
    <n v="1"/>
    <x v="11"/>
  </r>
  <r>
    <s v="Tryptophan metabolism - Solanum lycopersicum (tomato)"/>
    <x v="7"/>
    <x v="0"/>
    <s v="-"/>
    <n v="1"/>
    <x v="11"/>
  </r>
  <r>
    <s v="Pyruvate metabolism - Solanum lycopersicum (tomato)"/>
    <x v="7"/>
    <x v="0"/>
    <s v="-"/>
    <n v="1"/>
    <x v="2"/>
  </r>
  <r>
    <s v="Butanoate metabolism - Solanum lycopersicum (tomato)"/>
    <x v="7"/>
    <x v="0"/>
    <s v="-"/>
    <n v="1"/>
    <x v="2"/>
  </r>
  <r>
    <s v="Thiamine metabolism - Solanum lycopersicum (tomato)"/>
    <x v="7"/>
    <x v="0"/>
    <s v="-"/>
    <n v="1"/>
    <x v="0"/>
  </r>
  <r>
    <s v="Phenylpropanoid biosynthesis - Solanum lycopersicum (tomato)"/>
    <x v="7"/>
    <x v="0"/>
    <s v="-"/>
    <n v="1"/>
    <x v="20"/>
  </r>
  <r>
    <s v="Flavone and flavonol biosynthesis - Solanum lycopersicum (tomato)"/>
    <x v="7"/>
    <x v="0"/>
    <s v="-"/>
    <n v="1"/>
    <x v="9"/>
  </r>
  <r>
    <s v="Glucosinolate biosynthesis - Solanum lycopersicum (tomato)"/>
    <x v="7"/>
    <x v="0"/>
    <s v="-"/>
    <n v="1"/>
    <x v="18"/>
  </r>
  <r>
    <s v="Metabolic pathways - Solanum lycopersicum (tomato)"/>
    <x v="7"/>
    <x v="0"/>
    <s v="-"/>
    <n v="1"/>
    <x v="14"/>
  </r>
  <r>
    <s v="2-Oxocarboxylic acid metabolism - Solanum lycopersicum (tomato)"/>
    <x v="7"/>
    <x v="0"/>
    <s v="-"/>
    <n v="1"/>
    <x v="11"/>
  </r>
  <r>
    <s v="Degradation of aromatic compounds - Solanum lycopersicum (tomato)"/>
    <x v="7"/>
    <x v="0"/>
    <s v="-"/>
    <n v="1"/>
    <x v="15"/>
  </r>
  <r>
    <s v="Indole derivatives"/>
    <x v="7"/>
    <x v="0"/>
    <s v="-"/>
    <n v="1"/>
    <x v="11"/>
  </r>
  <r>
    <s v="Linoleic acid metabolism - Solanum lycopersicum (tomato)"/>
    <x v="7"/>
    <x v="1"/>
    <s v="-"/>
    <n v="2"/>
    <x v="5"/>
  </r>
  <r>
    <s v="Porphyrin and chlorophyll metabolism - Solanum lycopersicum (tomato)"/>
    <x v="7"/>
    <x v="1"/>
    <s v="-"/>
    <n v="2"/>
    <x v="0"/>
  </r>
  <r>
    <s v="Phenylpropanoid biosynthesis - Solanum lycopersicum (tomato)"/>
    <x v="7"/>
    <x v="1"/>
    <s v="-"/>
    <n v="2"/>
    <x v="20"/>
  </r>
  <r>
    <s v="Flavonoid biosynthesis - Solanum lycopersicum (tomato)"/>
    <x v="7"/>
    <x v="1"/>
    <s v="-"/>
    <n v="2"/>
    <x v="9"/>
  </r>
  <r>
    <s v="Anthocyanin biosynthesis - Solanum lycopersicum (tomato)"/>
    <x v="7"/>
    <x v="1"/>
    <s v="-"/>
    <n v="2"/>
    <x v="9"/>
  </r>
  <r>
    <s v="Flavone and flavonol biosynthesis - Solanum lycopersicum (tomato)"/>
    <x v="7"/>
    <x v="1"/>
    <s v="-"/>
    <n v="2"/>
    <x v="9"/>
  </r>
  <r>
    <s v="alpha-Linolenic acid metabolism - Solanum lycopersicum (tomato)"/>
    <x v="7"/>
    <x v="1"/>
    <s v="-"/>
    <n v="2"/>
    <x v="5"/>
  </r>
  <r>
    <s v="Galactose metabolism - Solanum lycopersicum (tomato)"/>
    <x v="7"/>
    <x v="1"/>
    <s v="-"/>
    <n v="1"/>
    <x v="2"/>
  </r>
  <r>
    <s v="Tyrosine metabolism - Solanum lycopersicum (tomato)"/>
    <x v="7"/>
    <x v="1"/>
    <s v="-"/>
    <n v="1"/>
    <x v="11"/>
  </r>
  <r>
    <s v="Phenylalanine metabolism - Solanum lycopersicum (tomato)"/>
    <x v="7"/>
    <x v="1"/>
    <s v="-"/>
    <n v="1"/>
    <x v="11"/>
  </r>
  <r>
    <s v="Starch and sucrose metabolism - Solanum lycopersicum (tomato)"/>
    <x v="7"/>
    <x v="1"/>
    <s v="-"/>
    <n v="1"/>
    <x v="2"/>
  </r>
  <r>
    <s v="Butanoate metabolism - Solanum lycopersicum (tomato)"/>
    <x v="7"/>
    <x v="1"/>
    <s v="-"/>
    <n v="1"/>
    <x v="2"/>
  </r>
  <r>
    <s v="Thiamine metabolism - Solanum lycopersicum (tomato)"/>
    <x v="7"/>
    <x v="1"/>
    <s v="-"/>
    <n v="1"/>
    <x v="0"/>
  </r>
  <r>
    <s v="Riboflavin metabolism - Solanum lycopersicum (tomato)"/>
    <x v="7"/>
    <x v="1"/>
    <s v="-"/>
    <n v="1"/>
    <x v="7"/>
  </r>
  <r>
    <s v="Pantothenate and CoA biosynthesis - Solanum lycopersicum (tomato)"/>
    <x v="7"/>
    <x v="1"/>
    <s v="-"/>
    <n v="1"/>
    <x v="0"/>
  </r>
  <r>
    <s v="Biotin metabolism - Solanum lycopersicum (tomato)"/>
    <x v="7"/>
    <x v="1"/>
    <s v="-"/>
    <n v="1"/>
    <x v="0"/>
  </r>
  <r>
    <s v="Tropane; piperidine and pyridine alkaloid biosynthesis - Solanum lycopersicum (tomato)"/>
    <x v="7"/>
    <x v="1"/>
    <s v="-"/>
    <n v="1"/>
    <x v="21"/>
  </r>
  <r>
    <s v="Biosynthesis of unsaturated fatty acids - Solanum lycopersicum (tomato)"/>
    <x v="7"/>
    <x v="1"/>
    <s v="-"/>
    <n v="1"/>
    <x v="5"/>
  </r>
  <r>
    <s v="Degradation of aromatic compounds - Solanum lycopersicum (tomato)"/>
    <x v="7"/>
    <x v="1"/>
    <s v="-"/>
    <n v="1"/>
    <x v="15"/>
  </r>
  <r>
    <s v="Lignans"/>
    <x v="7"/>
    <x v="1"/>
    <s v="-"/>
    <n v="1"/>
    <x v="9"/>
  </r>
  <r>
    <s v="Phenylpropanoids biosynthesis"/>
    <x v="7"/>
    <x v="1"/>
    <s v="-"/>
    <n v="1"/>
    <x v="9"/>
  </r>
  <r>
    <s v="2-Oxocarboxylic acid metabolism - Solanum lycopersicum (tomato)"/>
    <x v="8"/>
    <x v="1"/>
    <s v="-"/>
    <n v="4"/>
    <x v="11"/>
  </r>
  <r>
    <s v="alpha-Linolenic acid metabolism - Solanum lycopersicum (tomato)"/>
    <x v="8"/>
    <x v="1"/>
    <s v="-"/>
    <n v="2"/>
    <x v="5"/>
  </r>
  <r>
    <s v="Glucosinolate biosynthesis - Solanum lycopersicum (tomato)"/>
    <x v="8"/>
    <x v="1"/>
    <s v="-"/>
    <n v="2"/>
    <x v="18"/>
  </r>
  <r>
    <s v="Indole derivatives"/>
    <x v="8"/>
    <x v="1"/>
    <s v="-"/>
    <n v="2"/>
    <x v="11"/>
  </r>
  <r>
    <s v="Citrate cycle (TCA cycle) - Solanum lycopersicum (tomato)"/>
    <x v="8"/>
    <x v="1"/>
    <s v="-"/>
    <n v="1"/>
    <x v="6"/>
  </r>
  <r>
    <s v="Pentose phosphate pathway - Solanum lycopersicum (tomato)"/>
    <x v="8"/>
    <x v="1"/>
    <s v="-"/>
    <n v="1"/>
    <x v="2"/>
  </r>
  <r>
    <s v="Ascorbate and aldarate metabolism - Solanum lycopersicum (tomato)"/>
    <x v="8"/>
    <x v="1"/>
    <s v="-"/>
    <n v="1"/>
    <x v="2"/>
  </r>
  <r>
    <s v="Cyanoamino acid metabolism - Solanum lycopersicum (tomato)"/>
    <x v="8"/>
    <x v="1"/>
    <s v="-"/>
    <n v="1"/>
    <x v="11"/>
  </r>
  <r>
    <s v="Glutathione metabolism - Solanum lycopersicum (tomato)"/>
    <x v="8"/>
    <x v="1"/>
    <s v="-"/>
    <n v="1"/>
    <x v="11"/>
  </r>
  <r>
    <s v="Glyoxylate and dicarboxylate metabolism - Solanum lycopersicum (tomato)"/>
    <x v="8"/>
    <x v="1"/>
    <s v="-"/>
    <n v="1"/>
    <x v="2"/>
  </r>
  <r>
    <s v="C5-Branched dibasic acid metabolism - Solanum lycopersicum (tomato)"/>
    <x v="8"/>
    <x v="1"/>
    <s v="-"/>
    <n v="1"/>
    <x v="2"/>
  </r>
  <r>
    <s v="Vitamin B6 metabolism - Solanum lycopersicum (tomato)"/>
    <x v="8"/>
    <x v="1"/>
    <s v="-"/>
    <n v="1"/>
    <x v="0"/>
  </r>
  <r>
    <s v="Pantothenate and CoA biosynthesis - Solanum lycopersicum (tomato)"/>
    <x v="8"/>
    <x v="1"/>
    <s v="-"/>
    <n v="1"/>
    <x v="0"/>
  </r>
  <r>
    <s v="Biotin metabolism - Solanum lycopersicum (tomato)"/>
    <x v="8"/>
    <x v="1"/>
    <s v="-"/>
    <n v="1"/>
    <x v="0"/>
  </r>
  <r>
    <s v="Porphyrin and chlorophyll metabolism - Solanum lycopersicum (tomato)"/>
    <x v="8"/>
    <x v="1"/>
    <s v="-"/>
    <n v="1"/>
    <x v="0"/>
  </r>
  <r>
    <s v="Carotenoid biosynthesis - Solanum lycopersicum (tomato)"/>
    <x v="8"/>
    <x v="1"/>
    <s v="-"/>
    <n v="1"/>
    <x v="1"/>
  </r>
  <r>
    <s v="Flavone and flavonol biosynthesis - Solanum lycopersicum (tomato)"/>
    <x v="8"/>
    <x v="1"/>
    <s v="-"/>
    <n v="1"/>
    <x v="9"/>
  </r>
  <r>
    <s v="Carbon metabolism - Solanum lycopersicum (tomato)"/>
    <x v="8"/>
    <x v="1"/>
    <s v="-"/>
    <n v="1"/>
    <x v="10"/>
  </r>
  <r>
    <s v="Ubiquinone and other terpenoid-quinone biosynthesis - Solanum lycopersicum (tomato)"/>
    <x v="9"/>
    <x v="0"/>
    <s v="-"/>
    <n v="2"/>
    <x v="0"/>
  </r>
  <r>
    <s v="Phenylalanine metabolism - Solanum lycopersicum (tomato)"/>
    <x v="9"/>
    <x v="0"/>
    <s v="-"/>
    <n v="2"/>
    <x v="11"/>
  </r>
  <r>
    <s v="Phenylalanine; tyrosine and tryptophan biosynthesis - Solanum lycopersicum (tomato)"/>
    <x v="9"/>
    <x v="0"/>
    <s v="-"/>
    <n v="2"/>
    <x v="11"/>
  </r>
  <r>
    <s v="Phenylpropanoid biosynthesis - Solanum lycopersicum (tomato)"/>
    <x v="9"/>
    <x v="0"/>
    <s v="-"/>
    <n v="2"/>
    <x v="20"/>
  </r>
  <r>
    <s v="Biosynthesis of amino acids - Solanum lycopersicum (tomato)"/>
    <x v="9"/>
    <x v="0"/>
    <s v="-"/>
    <n v="2"/>
    <x v="11"/>
  </r>
  <r>
    <s v="ABC transporters - Solanum lycopersicum (tomato)"/>
    <x v="9"/>
    <x v="0"/>
    <s v="-"/>
    <n v="2"/>
    <x v="12"/>
  </r>
  <r>
    <s v="Cutin; suberine and wax biosynthesis - Solanum lycopersicum (tomato)"/>
    <x v="9"/>
    <x v="0"/>
    <s v="-"/>
    <n v="1"/>
    <x v="5"/>
  </r>
  <r>
    <s v="Purine metabolism - Solanum lycopersicum (tomato)"/>
    <x v="9"/>
    <x v="0"/>
    <s v="-"/>
    <n v="1"/>
    <x v="3"/>
  </r>
  <r>
    <s v="Cysteine and methionine metabolism - Solanum lycopersicum (tomato)"/>
    <x v="9"/>
    <x v="0"/>
    <s v="-"/>
    <n v="1"/>
    <x v="11"/>
  </r>
  <r>
    <s v="Cyanoamino acid metabolism - Solanum lycopersicum (tomato)"/>
    <x v="9"/>
    <x v="0"/>
    <s v="-"/>
    <n v="1"/>
    <x v="11"/>
  </r>
  <r>
    <s v="Folate biosynthesis - Solanum lycopersicum (tomato)"/>
    <x v="9"/>
    <x v="0"/>
    <s v="-"/>
    <n v="1"/>
    <x v="0"/>
  </r>
  <r>
    <s v="Sulfur metabolism - Solanum lycopersicum (tomato)"/>
    <x v="9"/>
    <x v="0"/>
    <s v="-"/>
    <n v="1"/>
    <x v="16"/>
  </r>
  <r>
    <s v="Anthocyanin biosynthesis - Solanum lycopersicum (tomato)"/>
    <x v="9"/>
    <x v="0"/>
    <s v="-"/>
    <n v="1"/>
    <x v="9"/>
  </r>
  <r>
    <s v="Flavone and flavonol biosynthesis - Solanum lycopersicum (tomato)"/>
    <x v="9"/>
    <x v="0"/>
    <s v="-"/>
    <n v="1"/>
    <x v="9"/>
  </r>
  <r>
    <s v="Tropane; piperidine and pyridine alkaloid biosynthesis - Solanum lycopersicum (tomato)"/>
    <x v="9"/>
    <x v="0"/>
    <s v="-"/>
    <n v="1"/>
    <x v="21"/>
  </r>
  <r>
    <s v="Glucosinolate biosynthesis - Solanum lycopersicum (tomato)"/>
    <x v="9"/>
    <x v="0"/>
    <s v="-"/>
    <n v="1"/>
    <x v="18"/>
  </r>
  <r>
    <s v="Aminoacyl-tRNA biosynthesis - Solanum lycopersicum (tomato)"/>
    <x v="9"/>
    <x v="0"/>
    <s v="-"/>
    <n v="1"/>
    <x v="22"/>
  </r>
  <r>
    <s v="2-Oxocarboxylic acid metabolism - Solanum lycopersicum (tomato)"/>
    <x v="9"/>
    <x v="0"/>
    <s v="-"/>
    <n v="1"/>
    <x v="11"/>
  </r>
  <r>
    <s v="Degradation of aromatic compounds - Solanum lycopersicum (tomato)"/>
    <x v="9"/>
    <x v="0"/>
    <s v="-"/>
    <n v="1"/>
    <x v="15"/>
  </r>
  <r>
    <s v="Amino acids"/>
    <x v="9"/>
    <x v="0"/>
    <s v="-"/>
    <n v="1"/>
    <x v="11"/>
  </r>
  <r>
    <s v="Diconiferyle"/>
    <x v="9"/>
    <x v="0"/>
    <s v="-"/>
    <n v="1"/>
    <x v="14"/>
  </r>
  <r>
    <s v="2-Oxocarboxylic acid metabolism - Solanum lycopersicum (tomato)"/>
    <x v="9"/>
    <x v="1"/>
    <s v="-"/>
    <n v="12"/>
    <x v="11"/>
  </r>
  <r>
    <s v="Ascorbate and aldarate metabolism - Solanum lycopersicum (tomato)"/>
    <x v="9"/>
    <x v="1"/>
    <s v="-"/>
    <n v="7"/>
    <x v="2"/>
  </r>
  <r>
    <s v="Purine metabolism - Solanum lycopersicum (tomato)"/>
    <x v="9"/>
    <x v="1"/>
    <s v="-"/>
    <n v="6"/>
    <x v="3"/>
  </r>
  <r>
    <s v="Anthocyanin biosynthesis - Solanum lycopersicum (tomato)"/>
    <x v="9"/>
    <x v="1"/>
    <s v="-"/>
    <n v="8"/>
    <x v="9"/>
  </r>
  <r>
    <s v="Degradation of aromatic compounds - Solanum lycopersicum (tomato)"/>
    <x v="9"/>
    <x v="1"/>
    <s v="-"/>
    <n v="11"/>
    <x v="15"/>
  </r>
  <r>
    <s v="Biosynthesis of amino acids - Solanum lycopersicum (tomato)"/>
    <x v="9"/>
    <x v="1"/>
    <s v="-"/>
    <n v="9"/>
    <x v="11"/>
  </r>
  <r>
    <s v="Glycolysis / Gluconeogenesis - Solanum lycopersicum (tomato)"/>
    <x v="9"/>
    <x v="1"/>
    <s v="-"/>
    <n v="8"/>
    <x v="2"/>
  </r>
  <r>
    <s v="Amino sugar and nucleotide sugar metabolism - Solanum lycopersicum (tomato)"/>
    <x v="9"/>
    <x v="1"/>
    <s v="-"/>
    <n v="6"/>
    <x v="4"/>
  </r>
  <r>
    <s v="Butanoate metabolism - Solanum lycopersicum (tomato)"/>
    <x v="9"/>
    <x v="1"/>
    <s v="-"/>
    <n v="7"/>
    <x v="2"/>
  </r>
  <r>
    <s v="Glucosinolate biosynthesis - Solanum lycopersicum (tomato)"/>
    <x v="9"/>
    <x v="1"/>
    <s v="-"/>
    <n v="6"/>
    <x v="18"/>
  </r>
  <r>
    <s v="Carbon metabolism - Solanum lycopersicum (tomato)"/>
    <x v="9"/>
    <x v="1"/>
    <s v="-"/>
    <n v="6"/>
    <x v="10"/>
  </r>
  <r>
    <s v="Citrate cycle (TCA cycle) - Solanum lycopersicum (tomato)"/>
    <x v="9"/>
    <x v="1"/>
    <s v="-"/>
    <n v="5"/>
    <x v="6"/>
  </r>
  <r>
    <s v="Pentose and glucuronate interconversions - Solanum lycopersicum (tomato)"/>
    <x v="9"/>
    <x v="1"/>
    <s v="-"/>
    <n v="7"/>
    <x v="2"/>
  </r>
  <r>
    <s v="Glycine; serine and threonine metabolism - Solanum lycopersicum (tomato)"/>
    <x v="9"/>
    <x v="1"/>
    <s v="-"/>
    <n v="5"/>
    <x v="11"/>
  </r>
  <r>
    <s v="Phenylalanine; tyrosine and tryptophan biosynthesis - Solanum lycopersicum (tomato)"/>
    <x v="9"/>
    <x v="1"/>
    <s v="-"/>
    <n v="6"/>
    <x v="11"/>
  </r>
  <r>
    <s v="Flavone and flavonol biosynthesis - Solanum lycopersicum (tomato)"/>
    <x v="9"/>
    <x v="1"/>
    <s v="-"/>
    <n v="4"/>
    <x v="9"/>
  </r>
  <r>
    <s v="Pentose phosphate pathway - Solanum lycopersicum (tomato)"/>
    <x v="9"/>
    <x v="1"/>
    <s v="-"/>
    <n v="3"/>
    <x v="2"/>
  </r>
  <r>
    <s v="Galactose metabolism - Solanum lycopersicum (tomato)"/>
    <x v="9"/>
    <x v="1"/>
    <s v="-"/>
    <n v="3"/>
    <x v="2"/>
  </r>
  <r>
    <s v="Pyrimidine metabolism - Solanum lycopersicum (tomato)"/>
    <x v="9"/>
    <x v="1"/>
    <s v="-"/>
    <n v="4"/>
    <x v="3"/>
  </r>
  <r>
    <s v="Phenylalanine metabolism - Solanum lycopersicum (tomato)"/>
    <x v="9"/>
    <x v="1"/>
    <s v="-"/>
    <n v="6"/>
    <x v="11"/>
  </r>
  <r>
    <s v="Starch and sucrose metabolism - Solanum lycopersicum (tomato)"/>
    <x v="9"/>
    <x v="1"/>
    <s v="-"/>
    <n v="4"/>
    <x v="2"/>
  </r>
  <r>
    <s v="Pyruvate metabolism - Solanum lycopersicum (tomato)"/>
    <x v="9"/>
    <x v="1"/>
    <s v="-"/>
    <n v="6"/>
    <x v="2"/>
  </r>
  <r>
    <s v="Glyoxylate and dicarboxylate metabolism - Solanum lycopersicum (tomato)"/>
    <x v="9"/>
    <x v="1"/>
    <s v="-"/>
    <n v="4"/>
    <x v="2"/>
  </r>
  <r>
    <s v="Phenylpropanoid biosynthesis - Solanum lycopersicum (tomato)"/>
    <x v="9"/>
    <x v="1"/>
    <s v="-"/>
    <n v="3"/>
    <x v="20"/>
  </r>
  <r>
    <s v="Phenylpropanoids biosynthesis"/>
    <x v="9"/>
    <x v="1"/>
    <s v="-"/>
    <n v="3"/>
    <x v="9"/>
  </r>
  <r>
    <s v="Ubiquinone and other terpenoid-quinone biosynthesis - Solanum lycopersicum (tomato)"/>
    <x v="9"/>
    <x v="1"/>
    <s v="-"/>
    <n v="2"/>
    <x v="0"/>
  </r>
  <r>
    <s v="Cysteine and methionine metabolism - Solanum lycopersicum (tomato)"/>
    <x v="9"/>
    <x v="1"/>
    <s v="-"/>
    <n v="3"/>
    <x v="11"/>
  </r>
  <r>
    <s v="Arginine and proline metabolism - Solanum lycopersicum (tomato)"/>
    <x v="9"/>
    <x v="1"/>
    <s v="-"/>
    <n v="3"/>
    <x v="11"/>
  </r>
  <r>
    <s v="Tryptophan metabolism - Solanum lycopersicum (tomato)"/>
    <x v="9"/>
    <x v="1"/>
    <s v="-"/>
    <n v="3"/>
    <x v="11"/>
  </r>
  <r>
    <s v="beta-Alanine metabolism - Solanum lycopersicum (tomato)"/>
    <x v="9"/>
    <x v="1"/>
    <s v="-"/>
    <n v="2"/>
    <x v="11"/>
  </r>
  <r>
    <s v="Propanoate metabolism - Solanum lycopersicum (tomato)"/>
    <x v="9"/>
    <x v="1"/>
    <s v="-"/>
    <n v="3"/>
    <x v="2"/>
  </r>
  <r>
    <s v="Carbon fixation in photosynthetic organisms - Solanum lycopersicum (tomato)"/>
    <x v="9"/>
    <x v="1"/>
    <s v="-"/>
    <n v="2"/>
    <x v="6"/>
  </r>
  <r>
    <s v="Thiamine metabolism - Solanum lycopersicum (tomato)"/>
    <x v="9"/>
    <x v="1"/>
    <s v="-"/>
    <n v="2"/>
    <x v="0"/>
  </r>
  <r>
    <s v="Pantothenate and CoA biosynthesis - Solanum lycopersicum (tomato)"/>
    <x v="9"/>
    <x v="1"/>
    <s v="-"/>
    <n v="2"/>
    <x v="0"/>
  </r>
  <r>
    <s v="Terpenoid backbone biosynthesis - Solanum lycopersicum (tomato)"/>
    <x v="9"/>
    <x v="1"/>
    <s v="-"/>
    <n v="2"/>
    <x v="8"/>
  </r>
  <r>
    <s v="Zeatin biosynthesis - Solanum lycopersicum (tomato)"/>
    <x v="9"/>
    <x v="1"/>
    <s v="-"/>
    <n v="3"/>
    <x v="1"/>
  </r>
  <r>
    <s v="Inositol phosphate metabolism - Solanum lycopersicum (tomato)"/>
    <x v="9"/>
    <x v="1"/>
    <s v="-"/>
    <n v="2"/>
    <x v="2"/>
  </r>
  <r>
    <s v="Fructose and mannose metabolism - Solanum lycopersicum (tomato)"/>
    <x v="9"/>
    <x v="1"/>
    <s v="-"/>
    <n v="1"/>
    <x v="2"/>
  </r>
  <r>
    <s v="Cutin; suberine and wax biosynthesis - Solanum lycopersicum (tomato)"/>
    <x v="9"/>
    <x v="1"/>
    <s v="-"/>
    <n v="1"/>
    <x v="5"/>
  </r>
  <r>
    <s v="Caffeine metabolism - Solanum lycopersicum (tomato)"/>
    <x v="9"/>
    <x v="1"/>
    <s v="-"/>
    <n v="2"/>
    <x v="25"/>
  </r>
  <r>
    <s v="Alanine; aspartate and glutamate metabolism - Solanum lycopersicum (tomato)"/>
    <x v="9"/>
    <x v="1"/>
    <s v="-"/>
    <n v="1"/>
    <x v="11"/>
  </r>
  <r>
    <s v="Valine; leucine and isoleucine degradation - Solanum lycopersicum (tomato)"/>
    <x v="9"/>
    <x v="1"/>
    <s v="-"/>
    <n v="1"/>
    <x v="11"/>
  </r>
  <r>
    <s v="Valine; leucine and isoleucine biosynthesis - Solanum lycopersicum (tomato)"/>
    <x v="9"/>
    <x v="1"/>
    <s v="-"/>
    <n v="1"/>
    <x v="11"/>
  </r>
  <r>
    <s v="Lysine biosynthesis - Solanum lycopersicum (tomato)"/>
    <x v="9"/>
    <x v="1"/>
    <s v="-"/>
    <n v="2"/>
    <x v="11"/>
  </r>
  <r>
    <s v="Tyrosine metabolism - Solanum lycopersicum (tomato)"/>
    <x v="9"/>
    <x v="1"/>
    <s v="-"/>
    <n v="1"/>
    <x v="11"/>
  </r>
  <r>
    <s v="Taurine and hypotaurine metabolism - Solanum lycopersicum (tomato)"/>
    <x v="9"/>
    <x v="1"/>
    <s v="-"/>
    <n v="1"/>
    <x v="11"/>
  </r>
  <r>
    <s v="Glycerolipid metabolism - Solanum lycopersicum (tomato)"/>
    <x v="9"/>
    <x v="1"/>
    <s v="-"/>
    <n v="2"/>
    <x v="5"/>
  </r>
  <r>
    <s v="Glycerophospholipid metabolism - Solanum lycopersicum (tomato)"/>
    <x v="9"/>
    <x v="1"/>
    <s v="-"/>
    <n v="4"/>
    <x v="5"/>
  </r>
  <r>
    <s v="Linoleic acid metabolism - Solanum lycopersicum (tomato)"/>
    <x v="9"/>
    <x v="1"/>
    <s v="-"/>
    <n v="1"/>
    <x v="5"/>
  </r>
  <r>
    <s v="C5-Branched dibasic acid metabolism - Solanum lycopersicum (tomato)"/>
    <x v="9"/>
    <x v="1"/>
    <s v="-"/>
    <n v="1"/>
    <x v="2"/>
  </r>
  <r>
    <s v="Riboflavin metabolism - Solanum lycopersicum (tomato)"/>
    <x v="9"/>
    <x v="1"/>
    <s v="-"/>
    <n v="2"/>
    <x v="7"/>
  </r>
  <r>
    <s v="Vitamin B6 metabolism - Solanum lycopersicum (tomato)"/>
    <x v="9"/>
    <x v="1"/>
    <s v="-"/>
    <n v="1"/>
    <x v="0"/>
  </r>
  <r>
    <s v="Nicotinate and nicotinamide metabolism - Solanum lycopersicum (tomato)"/>
    <x v="9"/>
    <x v="1"/>
    <s v="-"/>
    <n v="1"/>
    <x v="0"/>
  </r>
  <r>
    <s v="Biotin metabolism - Solanum lycopersicum (tomato)"/>
    <x v="9"/>
    <x v="1"/>
    <s v="-"/>
    <n v="1"/>
    <x v="0"/>
  </r>
  <r>
    <s v="Folate biosynthesis - Solanum lycopersicum (tomato)"/>
    <x v="9"/>
    <x v="1"/>
    <s v="-"/>
    <n v="1"/>
    <x v="0"/>
  </r>
  <r>
    <s v="Porphyrin and chlorophyll metabolism - Solanum lycopersicum (tomato)"/>
    <x v="9"/>
    <x v="1"/>
    <s v="-"/>
    <n v="1"/>
    <x v="0"/>
  </r>
  <r>
    <s v="Monoterpenoid biosynthesis - Solanum lycopersicum (tomato)"/>
    <x v="9"/>
    <x v="1"/>
    <s v="-"/>
    <n v="1"/>
    <x v="8"/>
  </r>
  <r>
    <s v="Limonene and pinene degradation - Solanum lycopersicum (tomato)"/>
    <x v="9"/>
    <x v="1"/>
    <s v="-"/>
    <n v="1"/>
    <x v="8"/>
  </r>
  <r>
    <s v="Flavonoid biosynthesis - Solanum lycopersicum (tomato)"/>
    <x v="9"/>
    <x v="1"/>
    <s v="-"/>
    <n v="1"/>
    <x v="9"/>
  </r>
  <r>
    <s v="Isoquinoline alkaloid biosynthesis - Solanum lycopersicum (tomato)"/>
    <x v="9"/>
    <x v="1"/>
    <s v="-"/>
    <n v="1"/>
    <x v="21"/>
  </r>
  <r>
    <s v="Aminoacyl-tRNA biosynthesis - Solanum lycopersicum (tomato)"/>
    <x v="9"/>
    <x v="1"/>
    <s v="-"/>
    <n v="2"/>
    <x v="22"/>
  </r>
  <r>
    <s v="ABC transporters - Solanum lycopersicum (tomato)"/>
    <x v="9"/>
    <x v="1"/>
    <s v="-"/>
    <n v="1"/>
    <x v="12"/>
  </r>
  <r>
    <s v="Phosphatidylinositol signaling system - Solanum lycopersicum (tomato)"/>
    <x v="9"/>
    <x v="1"/>
    <s v="-"/>
    <n v="1"/>
    <x v="24"/>
  </r>
  <r>
    <s v="Plant hormone signal transduction - Solanum lycopersicum (tomato)"/>
    <x v="9"/>
    <x v="1"/>
    <s v="-"/>
    <n v="1"/>
    <x v="24"/>
  </r>
  <r>
    <s v="Amino acids"/>
    <x v="9"/>
    <x v="1"/>
    <s v="-"/>
    <n v="2"/>
    <x v="11"/>
  </r>
  <r>
    <s v="Indole derivatives"/>
    <x v="9"/>
    <x v="1"/>
    <s v="-"/>
    <n v="1"/>
    <x v="11"/>
  </r>
  <r>
    <s v="Primary metabolism"/>
    <x v="9"/>
    <x v="1"/>
    <s v="-"/>
    <n v="1"/>
    <x v="13"/>
  </r>
  <r>
    <s v="Phenylalanine; tyrosine and tryptophan biosynthesis - Solanum lycopersicum (tomato)"/>
    <x v="0"/>
    <x v="0"/>
    <s v="+"/>
    <n v="1"/>
    <x v="11"/>
  </r>
  <r>
    <s v="Porphyrin and chlorophyll metabolism - Solanum lycopersicum (tomato)"/>
    <x v="0"/>
    <x v="0"/>
    <s v="+"/>
    <n v="1"/>
    <x v="0"/>
  </r>
  <r>
    <s v="Biosynthesis of amino acids - Solanum lycopersicum (tomato)"/>
    <x v="0"/>
    <x v="0"/>
    <s v="+"/>
    <n v="1"/>
    <x v="11"/>
  </r>
  <r>
    <s v="Glycine; serine and threonine metabolism - Solanum lycopersicum (tomato)"/>
    <x v="0"/>
    <x v="1"/>
    <s v="+"/>
    <n v="2"/>
    <x v="11"/>
  </r>
  <r>
    <s v="Cysteine and methionine metabolism - Solanum lycopersicum (tomato)"/>
    <x v="0"/>
    <x v="1"/>
    <s v="+"/>
    <n v="2"/>
    <x v="11"/>
  </r>
  <r>
    <s v="Phenylalanine; tyrosine and tryptophan biosynthesis - Solanum lycopersicum (tomato)"/>
    <x v="0"/>
    <x v="1"/>
    <s v="+"/>
    <n v="2"/>
    <x v="11"/>
  </r>
  <r>
    <s v="2-Oxocarboxylic acid metabolism - Solanum lycopersicum (tomato)"/>
    <x v="0"/>
    <x v="1"/>
    <s v="+"/>
    <n v="2"/>
    <x v="11"/>
  </r>
  <r>
    <s v="Degradation of aromatic compounds - Solanum lycopersicum (tomato)"/>
    <x v="0"/>
    <x v="1"/>
    <s v="+"/>
    <n v="2"/>
    <x v="15"/>
  </r>
  <r>
    <s v="Biosynthesis of amino acids - Solanum lycopersicum (tomato)"/>
    <x v="0"/>
    <x v="1"/>
    <s v="+"/>
    <n v="2"/>
    <x v="11"/>
  </r>
  <r>
    <s v="Glycolysis / Gluconeogenesis - Solanum lycopersicum (tomato)"/>
    <x v="0"/>
    <x v="1"/>
    <s v="+"/>
    <n v="1"/>
    <x v="2"/>
  </r>
  <r>
    <s v="Citrate cycle (TCA cycle) - Solanum lycopersicum (tomato)"/>
    <x v="0"/>
    <x v="1"/>
    <s v="+"/>
    <n v="1"/>
    <x v="6"/>
  </r>
  <r>
    <s v="Ubiquinone and other terpenoid-quinone biosynthesis - Solanum lycopersicum (tomato)"/>
    <x v="0"/>
    <x v="1"/>
    <s v="+"/>
    <n v="1"/>
    <x v="0"/>
  </r>
  <r>
    <s v="Valine; leucine and isoleucine biosynthesis - Solanum lycopersicum (tomato)"/>
    <x v="0"/>
    <x v="1"/>
    <s v="+"/>
    <n v="1"/>
    <x v="11"/>
  </r>
  <r>
    <s v="Arginine and proline metabolism - Solanum lycopersicum (tomato)"/>
    <x v="0"/>
    <x v="1"/>
    <s v="+"/>
    <n v="1"/>
    <x v="11"/>
  </r>
  <r>
    <s v="Tyrosine metabolism - Solanum lycopersicum (tomato)"/>
    <x v="0"/>
    <x v="1"/>
    <s v="+"/>
    <n v="1"/>
    <x v="11"/>
  </r>
  <r>
    <s v="Phenylalanine metabolism - Solanum lycopersicum (tomato)"/>
    <x v="0"/>
    <x v="1"/>
    <s v="+"/>
    <n v="1"/>
    <x v="11"/>
  </r>
  <r>
    <s v="Glutathione metabolism - Solanum lycopersicum (tomato)"/>
    <x v="0"/>
    <x v="1"/>
    <s v="+"/>
    <n v="1"/>
    <x v="11"/>
  </r>
  <r>
    <s v="Pyruvate metabolism - Solanum lycopersicum (tomato)"/>
    <x v="0"/>
    <x v="1"/>
    <s v="+"/>
    <n v="1"/>
    <x v="2"/>
  </r>
  <r>
    <s v="C5-Branched dibasic acid metabolism - Solanum lycopersicum (tomato)"/>
    <x v="0"/>
    <x v="1"/>
    <s v="+"/>
    <n v="1"/>
    <x v="2"/>
  </r>
  <r>
    <s v="Carbon fixation in photosynthetic organisms - Solanum lycopersicum (tomato)"/>
    <x v="0"/>
    <x v="1"/>
    <s v="+"/>
    <n v="1"/>
    <x v="6"/>
  </r>
  <r>
    <s v="Diterpenoid biosynthesis - Solanum lycopersicum (tomato)"/>
    <x v="0"/>
    <x v="1"/>
    <s v="+"/>
    <n v="1"/>
    <x v="8"/>
  </r>
  <r>
    <s v="Phenylpropanoid biosynthesis - Solanum lycopersicum (tomato)"/>
    <x v="0"/>
    <x v="1"/>
    <s v="+"/>
    <n v="1"/>
    <x v="20"/>
  </r>
  <r>
    <s v="Isoquinoline alkaloid biosynthesis - Solanum lycopersicum (tomato)"/>
    <x v="0"/>
    <x v="1"/>
    <s v="+"/>
    <n v="1"/>
    <x v="21"/>
  </r>
  <r>
    <s v="Carbon metabolism - Solanum lycopersicum (tomato)"/>
    <x v="0"/>
    <x v="1"/>
    <s v="+"/>
    <n v="1"/>
    <x v="10"/>
  </r>
  <r>
    <s v="ABC transporters - Solanum lycopersicum (tomato)"/>
    <x v="0"/>
    <x v="1"/>
    <s v="+"/>
    <n v="1"/>
    <x v="12"/>
  </r>
  <r>
    <s v="Lignans"/>
    <x v="0"/>
    <x v="1"/>
    <s v="+"/>
    <n v="1"/>
    <x v="9"/>
  </r>
  <r>
    <s v="Phenylpropanoids biosynthesis"/>
    <x v="0"/>
    <x v="1"/>
    <s v="+"/>
    <n v="1"/>
    <x v="9"/>
  </r>
  <r>
    <s v="Carotenoid biosynthesis - Solanum lycopersicum (tomato)"/>
    <x v="1"/>
    <x v="0"/>
    <s v="+"/>
    <n v="1"/>
    <x v="1"/>
  </r>
  <r>
    <s v="Arachidonic acid metabolism - Solanum lycopersicum (tomato)"/>
    <x v="1"/>
    <x v="1"/>
    <s v="+"/>
    <n v="2"/>
    <x v="5"/>
  </r>
  <r>
    <s v="2-Oxocarboxylic acid metabolism - Solanum lycopersicum (tomato)"/>
    <x v="1"/>
    <x v="1"/>
    <s v="+"/>
    <n v="2"/>
    <x v="11"/>
  </r>
  <r>
    <s v="Photosynthesis - Solanum lycopersicum (tomato)"/>
    <x v="1"/>
    <x v="1"/>
    <s v="+"/>
    <n v="1"/>
    <x v="16"/>
  </r>
  <r>
    <s v="Glycine; serine and threonine metabolism - Solanum lycopersicum (tomato)"/>
    <x v="1"/>
    <x v="1"/>
    <s v="+"/>
    <n v="1"/>
    <x v="11"/>
  </r>
  <r>
    <s v="Arginine and proline metabolism - Solanum lycopersicum (tomato)"/>
    <x v="1"/>
    <x v="1"/>
    <s v="+"/>
    <n v="1"/>
    <x v="11"/>
  </r>
  <r>
    <s v="Tryptophan metabolism - Solanum lycopersicum (tomato)"/>
    <x v="1"/>
    <x v="1"/>
    <s v="+"/>
    <n v="1"/>
    <x v="11"/>
  </r>
  <r>
    <s v="Glutathione metabolism - Solanum lycopersicum (tomato)"/>
    <x v="1"/>
    <x v="1"/>
    <s v="+"/>
    <n v="1"/>
    <x v="11"/>
  </r>
  <r>
    <s v="Diterpenoid biosynthesis - Solanum lycopersicum (tomato)"/>
    <x v="1"/>
    <x v="1"/>
    <s v="+"/>
    <n v="1"/>
    <x v="8"/>
  </r>
  <r>
    <s v="Glucosinolate biosynthesis - Solanum lycopersicum (tomato)"/>
    <x v="1"/>
    <x v="1"/>
    <s v="+"/>
    <n v="1"/>
    <x v="18"/>
  </r>
  <r>
    <s v="Biosynthesis of amino acids - Solanum lycopersicum (tomato)"/>
    <x v="1"/>
    <x v="1"/>
    <s v="+"/>
    <n v="1"/>
    <x v="11"/>
  </r>
  <r>
    <s v="ABC transporters - Solanum lycopersicum (tomato)"/>
    <x v="1"/>
    <x v="1"/>
    <s v="+"/>
    <n v="1"/>
    <x v="12"/>
  </r>
  <r>
    <s v="Polyamines"/>
    <x v="1"/>
    <x v="1"/>
    <s v="+"/>
    <n v="1"/>
    <x v="14"/>
  </r>
  <r>
    <s v="Pyrimidine metabolism - Solanum lycopersicum (tomato)"/>
    <x v="2"/>
    <x v="0"/>
    <s v="+"/>
    <n v="1"/>
    <x v="3"/>
  </r>
  <r>
    <s v="Amino sugar and nucleotide sugar metabolism - Solanum lycopersicum (tomato)"/>
    <x v="2"/>
    <x v="0"/>
    <s v="+"/>
    <n v="1"/>
    <x v="4"/>
  </r>
  <r>
    <s v="Biotin metabolism - Solanum lycopersicum (tomato)"/>
    <x v="2"/>
    <x v="0"/>
    <s v="+"/>
    <n v="1"/>
    <x v="0"/>
  </r>
  <r>
    <s v="Stilbenoid; diarylheptanoid and gingerol biosynthesis - Solanum lycopersicum (tomato)"/>
    <x v="2"/>
    <x v="0"/>
    <s v="+"/>
    <n v="1"/>
    <x v="17"/>
  </r>
  <r>
    <s v="ABC transporters - Solanum lycopersicum (tomato)"/>
    <x v="2"/>
    <x v="0"/>
    <s v="+"/>
    <n v="1"/>
    <x v="12"/>
  </r>
  <r>
    <s v="Phenylpropanoid biosynthesis - Solanum lycopersicum (tomato)"/>
    <x v="2"/>
    <x v="1"/>
    <s v="+"/>
    <n v="5"/>
    <x v="20"/>
  </r>
  <r>
    <s v="Flavonoid biosynthesis - Solanum lycopersicum (tomato)"/>
    <x v="2"/>
    <x v="1"/>
    <s v="+"/>
    <n v="4"/>
    <x v="9"/>
  </r>
  <r>
    <s v="Degradation of aromatic compounds - Solanum lycopersicum (tomato)"/>
    <x v="2"/>
    <x v="1"/>
    <s v="+"/>
    <n v="4"/>
    <x v="15"/>
  </r>
  <r>
    <s v="Phenylpropanoids biosynthesis"/>
    <x v="2"/>
    <x v="1"/>
    <s v="+"/>
    <n v="5"/>
    <x v="9"/>
  </r>
  <r>
    <s v="Diterpenoid biosynthesis - Solanum lycopersicum (tomato)"/>
    <x v="2"/>
    <x v="1"/>
    <s v="+"/>
    <n v="3"/>
    <x v="8"/>
  </r>
  <r>
    <s v="Pyrimidine metabolism - Solanum lycopersicum (tomato)"/>
    <x v="2"/>
    <x v="1"/>
    <s v="+"/>
    <n v="4"/>
    <x v="3"/>
  </r>
  <r>
    <s v="Cysteine and methionine metabolism - Solanum lycopersicum (tomato)"/>
    <x v="2"/>
    <x v="1"/>
    <s v="+"/>
    <n v="5"/>
    <x v="11"/>
  </r>
  <r>
    <s v="2-Oxocarboxylic acid metabolism - Solanum lycopersicum (tomato)"/>
    <x v="2"/>
    <x v="1"/>
    <s v="+"/>
    <n v="5"/>
    <x v="11"/>
  </r>
  <r>
    <s v="Biosynthesis of amino acids - Solanum lycopersicum (tomato)"/>
    <x v="2"/>
    <x v="1"/>
    <s v="+"/>
    <n v="3"/>
    <x v="11"/>
  </r>
  <r>
    <s v="Lysine degradation - Solanum lycopersicum (tomato)"/>
    <x v="2"/>
    <x v="1"/>
    <s v="+"/>
    <n v="2"/>
    <x v="11"/>
  </r>
  <r>
    <s v="Arachidonic acid metabolism - Solanum lycopersicum (tomato)"/>
    <x v="2"/>
    <x v="1"/>
    <s v="+"/>
    <n v="3"/>
    <x v="5"/>
  </r>
  <r>
    <s v="Nicotinate and nicotinamide metabolism - Solanum lycopersicum (tomato)"/>
    <x v="2"/>
    <x v="1"/>
    <s v="+"/>
    <n v="2"/>
    <x v="0"/>
  </r>
  <r>
    <s v="Anthocyanin biosynthesis - Solanum lycopersicum (tomato)"/>
    <x v="2"/>
    <x v="1"/>
    <s v="+"/>
    <n v="3"/>
    <x v="9"/>
  </r>
  <r>
    <s v="Flavone and flavonol biosynthesis - Solanum lycopersicum (tomato)"/>
    <x v="2"/>
    <x v="1"/>
    <s v="+"/>
    <n v="3"/>
    <x v="9"/>
  </r>
  <r>
    <s v="Glycolysis / Gluconeogenesis - Solanum lycopersicum (tomato)"/>
    <x v="2"/>
    <x v="1"/>
    <s v="+"/>
    <n v="1"/>
    <x v="2"/>
  </r>
  <r>
    <s v="Pentose phosphate pathway - Solanum lycopersicum (tomato)"/>
    <x v="2"/>
    <x v="1"/>
    <s v="+"/>
    <n v="1"/>
    <x v="2"/>
  </r>
  <r>
    <s v="Ubiquinone and other terpenoid-quinone biosynthesis - Solanum lycopersicum (tomato)"/>
    <x v="2"/>
    <x v="1"/>
    <s v="+"/>
    <n v="1"/>
    <x v="0"/>
  </r>
  <r>
    <s v="Purine metabolism - Solanum lycopersicum (tomato)"/>
    <x v="2"/>
    <x v="1"/>
    <s v="+"/>
    <n v="1"/>
    <x v="3"/>
  </r>
  <r>
    <s v="Glycine; serine and threonine metabolism - Solanum lycopersicum (tomato)"/>
    <x v="2"/>
    <x v="1"/>
    <s v="+"/>
    <n v="1"/>
    <x v="11"/>
  </r>
  <r>
    <s v="Arginine and proline metabolism - Solanum lycopersicum (tomato)"/>
    <x v="2"/>
    <x v="1"/>
    <s v="+"/>
    <n v="1"/>
    <x v="11"/>
  </r>
  <r>
    <s v="Tyrosine metabolism - Solanum lycopersicum (tomato)"/>
    <x v="2"/>
    <x v="1"/>
    <s v="+"/>
    <n v="1"/>
    <x v="11"/>
  </r>
  <r>
    <s v="Phenylalanine metabolism - Solanum lycopersicum (tomato)"/>
    <x v="2"/>
    <x v="1"/>
    <s v="+"/>
    <n v="1"/>
    <x v="11"/>
  </r>
  <r>
    <s v="Phenylalanine; tyrosine and tryptophan biosynthesis - Solanum lycopersicum (tomato)"/>
    <x v="2"/>
    <x v="1"/>
    <s v="+"/>
    <n v="1"/>
    <x v="11"/>
  </r>
  <r>
    <s v="Glutathione metabolism - Solanum lycopersicum (tomato)"/>
    <x v="2"/>
    <x v="1"/>
    <s v="+"/>
    <n v="1"/>
    <x v="11"/>
  </r>
  <r>
    <s v="Glycerolipid metabolism - Solanum lycopersicum (tomato)"/>
    <x v="2"/>
    <x v="1"/>
    <s v="+"/>
    <n v="1"/>
    <x v="5"/>
  </r>
  <r>
    <s v="Glycerophospholipid metabolism - Solanum lycopersicum (tomato)"/>
    <x v="2"/>
    <x v="1"/>
    <s v="+"/>
    <n v="1"/>
    <x v="5"/>
  </r>
  <r>
    <s v="Ether lipid metabolism - Solanum lycopersicum (tomato)"/>
    <x v="2"/>
    <x v="1"/>
    <s v="+"/>
    <n v="1"/>
    <x v="5"/>
  </r>
  <r>
    <s v="Glyoxylate and dicarboxylate metabolism - Solanum lycopersicum (tomato)"/>
    <x v="2"/>
    <x v="1"/>
    <s v="+"/>
    <n v="1"/>
    <x v="2"/>
  </r>
  <r>
    <s v="Carbon fixation in photosynthetic organisms - Solanum lycopersicum (tomato)"/>
    <x v="2"/>
    <x v="1"/>
    <s v="+"/>
    <n v="1"/>
    <x v="6"/>
  </r>
  <r>
    <s v="Carotenoid biosynthesis - Solanum lycopersicum (tomato)"/>
    <x v="2"/>
    <x v="1"/>
    <s v="+"/>
    <n v="1"/>
    <x v="1"/>
  </r>
  <r>
    <s v="Isoquinoline alkaloid biosynthesis - Solanum lycopersicum (tomato)"/>
    <x v="2"/>
    <x v="1"/>
    <s v="+"/>
    <n v="1"/>
    <x v="21"/>
  </r>
  <r>
    <s v="Glucosinolate biosynthesis - Solanum lycopersicum (tomato)"/>
    <x v="2"/>
    <x v="1"/>
    <s v="+"/>
    <n v="3"/>
    <x v="18"/>
  </r>
  <r>
    <s v="Carbon metabolism - Solanum lycopersicum (tomato)"/>
    <x v="2"/>
    <x v="1"/>
    <s v="+"/>
    <n v="1"/>
    <x v="10"/>
  </r>
  <r>
    <s v="ABC transporters - Solanum lycopersicum (tomato)"/>
    <x v="2"/>
    <x v="1"/>
    <s v="+"/>
    <n v="1"/>
    <x v="12"/>
  </r>
  <r>
    <s v="Alkaloids Library"/>
    <x v="2"/>
    <x v="1"/>
    <s v="+"/>
    <n v="3"/>
    <x v="21"/>
  </r>
  <r>
    <s v="Flavonoids"/>
    <x v="2"/>
    <x v="1"/>
    <s v="+"/>
    <n v="2"/>
    <x v="9"/>
  </r>
  <r>
    <s v="Polyamines"/>
    <x v="2"/>
    <x v="1"/>
    <s v="+"/>
    <n v="1"/>
    <x v="14"/>
  </r>
  <r>
    <s v="Cutin; suberine and wax biosynthesis - Solanum lycopersicum (tomato)"/>
    <x v="3"/>
    <x v="0"/>
    <s v="+"/>
    <n v="1"/>
    <x v="5"/>
  </r>
  <r>
    <s v="Linoleic acid metabolism - Solanum lycopersicum (tomato)"/>
    <x v="3"/>
    <x v="0"/>
    <s v="+"/>
    <n v="1"/>
    <x v="5"/>
  </r>
  <r>
    <s v="Indole derivatives"/>
    <x v="3"/>
    <x v="0"/>
    <s v="+"/>
    <n v="1"/>
    <x v="11"/>
  </r>
  <r>
    <s v="Phenylalanine metabolism - Solanum lycopersicum (tomato)"/>
    <x v="3"/>
    <x v="1"/>
    <s v="+"/>
    <n v="2"/>
    <x v="11"/>
  </r>
  <r>
    <s v="Glucosinolate biosynthesis - Solanum lycopersicum (tomato)"/>
    <x v="3"/>
    <x v="1"/>
    <s v="+"/>
    <n v="2"/>
    <x v="18"/>
  </r>
  <r>
    <s v="2-Oxocarboxylic acid metabolism - Solanum lycopersicum (tomato)"/>
    <x v="3"/>
    <x v="1"/>
    <s v="+"/>
    <n v="2"/>
    <x v="11"/>
  </r>
  <r>
    <s v="Alkaloids Library"/>
    <x v="3"/>
    <x v="1"/>
    <s v="+"/>
    <n v="2"/>
    <x v="21"/>
  </r>
  <r>
    <s v="Purine metabolism - Solanum lycopersicum (tomato)"/>
    <x v="3"/>
    <x v="1"/>
    <s v="+"/>
    <n v="1"/>
    <x v="3"/>
  </r>
  <r>
    <s v="Cysteine and methionine metabolism - Solanum lycopersicum (tomato)"/>
    <x v="3"/>
    <x v="1"/>
    <s v="+"/>
    <n v="1"/>
    <x v="11"/>
  </r>
  <r>
    <s v="Tryptophan metabolism - Solanum lycopersicum (tomato)"/>
    <x v="3"/>
    <x v="1"/>
    <s v="+"/>
    <n v="1"/>
    <x v="11"/>
  </r>
  <r>
    <s v="Nicotinate and nicotinamide metabolism - Solanum lycopersicum (tomato)"/>
    <x v="3"/>
    <x v="1"/>
    <s v="+"/>
    <n v="1"/>
    <x v="0"/>
  </r>
  <r>
    <s v="Sulfur metabolism - Solanum lycopersicum (tomato)"/>
    <x v="3"/>
    <x v="1"/>
    <s v="+"/>
    <n v="1"/>
    <x v="16"/>
  </r>
  <r>
    <s v="Phenylpropanoid biosynthesis - Solanum lycopersicum (tomato)"/>
    <x v="3"/>
    <x v="1"/>
    <s v="+"/>
    <n v="1"/>
    <x v="20"/>
  </r>
  <r>
    <s v="Degradation of aromatic compounds - Solanum lycopersicum (tomato)"/>
    <x v="3"/>
    <x v="1"/>
    <s v="+"/>
    <n v="1"/>
    <x v="15"/>
  </r>
  <r>
    <s v="Indole derivatives"/>
    <x v="3"/>
    <x v="1"/>
    <s v="+"/>
    <n v="1"/>
    <x v="11"/>
  </r>
  <r>
    <s v="Phenylpropanoids biosynthesis"/>
    <x v="3"/>
    <x v="1"/>
    <s v="+"/>
    <n v="1"/>
    <x v="9"/>
  </r>
  <r>
    <s v="Phenylpropanoid biosynthesis - Solanum lycopersicum (tomato)"/>
    <x v="4"/>
    <x v="0"/>
    <s v="+"/>
    <n v="2"/>
    <x v="20"/>
  </r>
  <r>
    <s v="Phenylpropanoids biosynthesis"/>
    <x v="4"/>
    <x v="0"/>
    <s v="+"/>
    <n v="2"/>
    <x v="9"/>
  </r>
  <r>
    <s v="Ubiquinone and other terpenoid-quinone biosynthesis - Solanum lycopersicum (tomato)"/>
    <x v="4"/>
    <x v="0"/>
    <s v="+"/>
    <n v="1"/>
    <x v="0"/>
  </r>
  <r>
    <s v="Pyrimidine metabolism - Solanum lycopersicum (tomato)"/>
    <x v="4"/>
    <x v="0"/>
    <s v="+"/>
    <n v="1"/>
    <x v="3"/>
  </r>
  <r>
    <s v="Cysteine and methionine metabolism - Solanum lycopersicum (tomato)"/>
    <x v="4"/>
    <x v="0"/>
    <s v="+"/>
    <n v="1"/>
    <x v="11"/>
  </r>
  <r>
    <s v="Tyrosine metabolism - Solanum lycopersicum (tomato)"/>
    <x v="4"/>
    <x v="0"/>
    <s v="+"/>
    <n v="1"/>
    <x v="11"/>
  </r>
  <r>
    <s v="Phenylalanine metabolism - Solanum lycopersicum (tomato)"/>
    <x v="4"/>
    <x v="0"/>
    <s v="+"/>
    <n v="1"/>
    <x v="11"/>
  </r>
  <r>
    <s v="Phenylalanine; tyrosine and tryptophan biosynthesis - Solanum lycopersicum (tomato)"/>
    <x v="4"/>
    <x v="0"/>
    <s v="+"/>
    <n v="1"/>
    <x v="11"/>
  </r>
  <r>
    <s v="Pantothenate and CoA biosynthesis - Solanum lycopersicum (tomato)"/>
    <x v="4"/>
    <x v="0"/>
    <s v="+"/>
    <n v="1"/>
    <x v="0"/>
  </r>
  <r>
    <s v="Isoquinoline alkaloid biosynthesis - Solanum lycopersicum (tomato)"/>
    <x v="4"/>
    <x v="0"/>
    <s v="+"/>
    <n v="1"/>
    <x v="21"/>
  </r>
  <r>
    <s v="2-Oxocarboxylic acid metabolism - Solanum lycopersicum (tomato)"/>
    <x v="4"/>
    <x v="0"/>
    <s v="+"/>
    <n v="1"/>
    <x v="11"/>
  </r>
  <r>
    <s v="Degradation of aromatic compounds - Solanum lycopersicum (tomato)"/>
    <x v="4"/>
    <x v="0"/>
    <s v="+"/>
    <n v="1"/>
    <x v="15"/>
  </r>
  <r>
    <s v="Biosynthesis of amino acids - Solanum lycopersicum (tomato)"/>
    <x v="4"/>
    <x v="0"/>
    <s v="+"/>
    <n v="1"/>
    <x v="11"/>
  </r>
  <r>
    <s v="Indole derivatives"/>
    <x v="4"/>
    <x v="0"/>
    <s v="+"/>
    <n v="1"/>
    <x v="11"/>
  </r>
  <r>
    <s v="Phenylpropanoid biosynthesis - Solanum lycopersicum (tomato)"/>
    <x v="4"/>
    <x v="1"/>
    <s v="+"/>
    <n v="3"/>
    <x v="20"/>
  </r>
  <r>
    <s v="Phenylalanine metabolism - Solanum lycopersicum (tomato)"/>
    <x v="4"/>
    <x v="1"/>
    <s v="+"/>
    <n v="2"/>
    <x v="11"/>
  </r>
  <r>
    <s v="ABC transporters - Solanum lycopersicum (tomato)"/>
    <x v="4"/>
    <x v="1"/>
    <s v="+"/>
    <n v="3"/>
    <x v="12"/>
  </r>
  <r>
    <s v="Alkaloids Library"/>
    <x v="4"/>
    <x v="1"/>
    <s v="+"/>
    <n v="6"/>
    <x v="21"/>
  </r>
  <r>
    <s v="Degradation of aromatic compounds - Solanum lycopersicum (tomato)"/>
    <x v="4"/>
    <x v="1"/>
    <s v="+"/>
    <n v="2"/>
    <x v="15"/>
  </r>
  <r>
    <s v="Fructose and mannose metabolism - Solanum lycopersicum (tomato)"/>
    <x v="4"/>
    <x v="1"/>
    <s v="+"/>
    <n v="1"/>
    <x v="2"/>
  </r>
  <r>
    <s v="Purine metabolism - Solanum lycopersicum (tomato)"/>
    <x v="4"/>
    <x v="1"/>
    <s v="+"/>
    <n v="1"/>
    <x v="3"/>
  </r>
  <r>
    <s v="Lysine biosynthesis - Solanum lycopersicum (tomato)"/>
    <x v="4"/>
    <x v="1"/>
    <s v="+"/>
    <n v="1"/>
    <x v="11"/>
  </r>
  <r>
    <s v="Tyrosine metabolism - Solanum lycopersicum (tomato)"/>
    <x v="4"/>
    <x v="1"/>
    <s v="+"/>
    <n v="1"/>
    <x v="11"/>
  </r>
  <r>
    <s v="Amino sugar and nucleotide sugar metabolism - Solanum lycopersicum (tomato)"/>
    <x v="4"/>
    <x v="1"/>
    <s v="+"/>
    <n v="2"/>
    <x v="4"/>
  </r>
  <r>
    <s v="Pyruvate metabolism - Solanum lycopersicum (tomato)"/>
    <x v="4"/>
    <x v="1"/>
    <s v="+"/>
    <n v="1"/>
    <x v="2"/>
  </r>
  <r>
    <s v="Glyoxylate and dicarboxylate metabolism - Solanum lycopersicum (tomato)"/>
    <x v="4"/>
    <x v="1"/>
    <s v="+"/>
    <n v="1"/>
    <x v="2"/>
  </r>
  <r>
    <s v="Vitamin B6 metabolism - Solanum lycopersicum (tomato)"/>
    <x v="4"/>
    <x v="1"/>
    <s v="+"/>
    <n v="1"/>
    <x v="0"/>
  </r>
  <r>
    <s v="Nicotinate and nicotinamide metabolism - Solanum lycopersicum (tomato)"/>
    <x v="4"/>
    <x v="1"/>
    <s v="+"/>
    <n v="1"/>
    <x v="0"/>
  </r>
  <r>
    <s v="Pantothenate and CoA biosynthesis - Solanum lycopersicum (tomato)"/>
    <x v="4"/>
    <x v="1"/>
    <s v="+"/>
    <n v="1"/>
    <x v="0"/>
  </r>
  <r>
    <s v="Biotin metabolism - Solanum lycopersicum (tomato)"/>
    <x v="4"/>
    <x v="1"/>
    <s v="+"/>
    <n v="1"/>
    <x v="0"/>
  </r>
  <r>
    <s v="Porphyrin and chlorophyll metabolism - Solanum lycopersicum (tomato)"/>
    <x v="4"/>
    <x v="1"/>
    <s v="+"/>
    <n v="1"/>
    <x v="0"/>
  </r>
  <r>
    <s v="Diterpenoid biosynthesis - Solanum lycopersicum (tomato)"/>
    <x v="4"/>
    <x v="1"/>
    <s v="+"/>
    <n v="1"/>
    <x v="8"/>
  </r>
  <r>
    <s v="Zeatin biosynthesis - Solanum lycopersicum (tomato)"/>
    <x v="4"/>
    <x v="1"/>
    <s v="+"/>
    <n v="1"/>
    <x v="1"/>
  </r>
  <r>
    <s v="Isoquinoline alkaloid biosynthesis - Solanum lycopersicum (tomato)"/>
    <x v="4"/>
    <x v="1"/>
    <s v="+"/>
    <n v="1"/>
    <x v="21"/>
  </r>
  <r>
    <s v="Indole derivatives"/>
    <x v="4"/>
    <x v="1"/>
    <s v="+"/>
    <n v="2"/>
    <x v="11"/>
  </r>
  <r>
    <s v="Primary metabolism"/>
    <x v="4"/>
    <x v="1"/>
    <s v="+"/>
    <n v="1"/>
    <x v="13"/>
  </r>
  <r>
    <s v="Phenylpropanoids biosynthesis"/>
    <x v="4"/>
    <x v="1"/>
    <s v="+"/>
    <n v="1"/>
    <x v="9"/>
  </r>
  <r>
    <s v="Zeatin biosynthesis - Solanum lycopersicum (tomato)"/>
    <x v="5"/>
    <x v="0"/>
    <s v="+"/>
    <n v="2"/>
    <x v="1"/>
  </r>
  <r>
    <s v="Purine metabolism - Solanum lycopersicum (tomato)"/>
    <x v="5"/>
    <x v="0"/>
    <s v="+"/>
    <n v="1"/>
    <x v="3"/>
  </r>
  <r>
    <s v="Cysteine and methionine metabolism - Solanum lycopersicum (tomato)"/>
    <x v="5"/>
    <x v="0"/>
    <s v="+"/>
    <n v="1"/>
    <x v="11"/>
  </r>
  <r>
    <s v="Arginine and proline metabolism - Solanum lycopersicum (tomato)"/>
    <x v="5"/>
    <x v="0"/>
    <s v="+"/>
    <n v="2"/>
    <x v="11"/>
  </r>
  <r>
    <s v="Phenylalanine metabolism - Solanum lycopersicum (tomato)"/>
    <x v="5"/>
    <x v="0"/>
    <s v="+"/>
    <n v="1"/>
    <x v="11"/>
  </r>
  <r>
    <s v="Vitamin B6 metabolism - Solanum lycopersicum (tomato)"/>
    <x v="5"/>
    <x v="0"/>
    <s v="+"/>
    <n v="1"/>
    <x v="0"/>
  </r>
  <r>
    <s v="Sesquiterpenoid and triterpenoid biosynthesis - Solanum lycopersicum (tomato)"/>
    <x v="5"/>
    <x v="0"/>
    <s v="+"/>
    <n v="1"/>
    <x v="8"/>
  </r>
  <r>
    <s v="Phenylpropanoid biosynthesis - Solanum lycopersicum (tomato)"/>
    <x v="5"/>
    <x v="0"/>
    <s v="+"/>
    <n v="1"/>
    <x v="20"/>
  </r>
  <r>
    <s v="Degradation of aromatic compounds - Solanum lycopersicum (tomato)"/>
    <x v="5"/>
    <x v="0"/>
    <s v="+"/>
    <n v="1"/>
    <x v="15"/>
  </r>
  <r>
    <s v="Pyrimidine metabolism - Solanum lycopersicum (tomato)"/>
    <x v="5"/>
    <x v="1"/>
    <s v="+"/>
    <n v="2"/>
    <x v="3"/>
  </r>
  <r>
    <s v="Phenylpropanoids biosynthesis"/>
    <x v="5"/>
    <x v="1"/>
    <s v="+"/>
    <n v="4"/>
    <x v="9"/>
  </r>
  <r>
    <s v="Phenylalanine metabolism - Solanum lycopersicum (tomato)"/>
    <x v="5"/>
    <x v="1"/>
    <s v="+"/>
    <n v="3"/>
    <x v="11"/>
  </r>
  <r>
    <s v="Phenylpropanoid biosynthesis - Solanum lycopersicum (tomato)"/>
    <x v="5"/>
    <x v="1"/>
    <s v="+"/>
    <n v="3"/>
    <x v="20"/>
  </r>
  <r>
    <s v="Degradation of aromatic compounds - Solanum lycopersicum (tomato)"/>
    <x v="5"/>
    <x v="1"/>
    <s v="+"/>
    <n v="4"/>
    <x v="15"/>
  </r>
  <r>
    <s v="Alkaloids Library"/>
    <x v="5"/>
    <x v="1"/>
    <s v="+"/>
    <n v="7"/>
    <x v="21"/>
  </r>
  <r>
    <s v="Steroid biosynthesis - Solanum lycopersicum (tomato)"/>
    <x v="5"/>
    <x v="1"/>
    <s v="+"/>
    <n v="1"/>
    <x v="5"/>
  </r>
  <r>
    <s v="Purine metabolism - Solanum lycopersicum (tomato)"/>
    <x v="5"/>
    <x v="1"/>
    <s v="+"/>
    <n v="2"/>
    <x v="3"/>
  </r>
  <r>
    <s v="Lysine biosynthesis - Solanum lycopersicum (tomato)"/>
    <x v="5"/>
    <x v="1"/>
    <s v="+"/>
    <n v="1"/>
    <x v="11"/>
  </r>
  <r>
    <s v="Lysine degradation - Solanum lycopersicum (tomato)"/>
    <x v="5"/>
    <x v="1"/>
    <s v="+"/>
    <n v="1"/>
    <x v="11"/>
  </r>
  <r>
    <s v="Biotin metabolism - Solanum lycopersicum (tomato)"/>
    <x v="5"/>
    <x v="1"/>
    <s v="+"/>
    <n v="1"/>
    <x v="0"/>
  </r>
  <r>
    <s v="Porphyrin and chlorophyll metabolism - Solanum lycopersicum (tomato)"/>
    <x v="5"/>
    <x v="1"/>
    <s v="+"/>
    <n v="1"/>
    <x v="0"/>
  </r>
  <r>
    <s v="Zeatin biosynthesis - Solanum lycopersicum (tomato)"/>
    <x v="5"/>
    <x v="1"/>
    <s v="+"/>
    <n v="1"/>
    <x v="1"/>
  </r>
  <r>
    <s v="Flavonoid biosynthesis - Solanum lycopersicum (tomato)"/>
    <x v="5"/>
    <x v="1"/>
    <s v="+"/>
    <n v="1"/>
    <x v="9"/>
  </r>
  <r>
    <s v="Tropane; piperidine and pyridine alkaloid biosynthesis - Solanum lycopersicum (tomato)"/>
    <x v="5"/>
    <x v="1"/>
    <s v="+"/>
    <n v="1"/>
    <x v="21"/>
  </r>
  <r>
    <s v="2-Oxocarboxylic acid metabolism - Solanum lycopersicum (tomato)"/>
    <x v="5"/>
    <x v="1"/>
    <s v="+"/>
    <n v="1"/>
    <x v="11"/>
  </r>
  <r>
    <s v="Biosynthesis of amino acids - Solanum lycopersicum (tomato)"/>
    <x v="5"/>
    <x v="1"/>
    <s v="+"/>
    <n v="1"/>
    <x v="11"/>
  </r>
  <r>
    <s v="ABC transporters - Solanum lycopersicum (tomato)"/>
    <x v="5"/>
    <x v="1"/>
    <s v="+"/>
    <n v="1"/>
    <x v="12"/>
  </r>
  <r>
    <s v="Arginine and proline metabolism - Solanum lycopersicum (tomato)"/>
    <x v="6"/>
    <x v="0"/>
    <s v="+"/>
    <n v="1"/>
    <x v="11"/>
  </r>
  <r>
    <s v="Aminoacyl-tRNA biosynthesis - Solanum lycopersicum (tomato)"/>
    <x v="6"/>
    <x v="0"/>
    <s v="+"/>
    <n v="1"/>
    <x v="22"/>
  </r>
  <r>
    <s v="Degradation of aromatic compounds - Solanum lycopersicum (tomato)"/>
    <x v="6"/>
    <x v="0"/>
    <s v="+"/>
    <n v="1"/>
    <x v="15"/>
  </r>
  <r>
    <s v="Biosynthesis of amino acids - Solanum lycopersicum (tomato)"/>
    <x v="6"/>
    <x v="0"/>
    <s v="+"/>
    <n v="1"/>
    <x v="11"/>
  </r>
  <r>
    <s v="ABC transporters - Solanum lycopersicum (tomato)"/>
    <x v="6"/>
    <x v="0"/>
    <s v="+"/>
    <n v="1"/>
    <x v="12"/>
  </r>
  <r>
    <s v="Amino acids"/>
    <x v="6"/>
    <x v="0"/>
    <s v="+"/>
    <n v="1"/>
    <x v="11"/>
  </r>
  <r>
    <s v="Alkaloids Library"/>
    <x v="6"/>
    <x v="0"/>
    <s v="+"/>
    <n v="1"/>
    <x v="21"/>
  </r>
  <r>
    <s v="Purine metabolism - Solanum lycopersicum (tomato)"/>
    <x v="6"/>
    <x v="1"/>
    <s v="+"/>
    <n v="4"/>
    <x v="3"/>
  </r>
  <r>
    <s v="Pyrimidine metabolism - Solanum lycopersicum (tomato)"/>
    <x v="6"/>
    <x v="1"/>
    <s v="+"/>
    <n v="2"/>
    <x v="3"/>
  </r>
  <r>
    <s v="Glucosinolate biosynthesis - Solanum lycopersicum (tomato)"/>
    <x v="6"/>
    <x v="1"/>
    <s v="+"/>
    <n v="2"/>
    <x v="18"/>
  </r>
  <r>
    <s v="2-Oxocarboxylic acid metabolism - Solanum lycopersicum (tomato)"/>
    <x v="6"/>
    <x v="1"/>
    <s v="+"/>
    <n v="2"/>
    <x v="11"/>
  </r>
  <r>
    <s v="Phenylpropanoids biosynthesis"/>
    <x v="6"/>
    <x v="1"/>
    <s v="+"/>
    <n v="2"/>
    <x v="9"/>
  </r>
  <r>
    <s v="Glycolysis / Gluconeogenesis - Solanum lycopersicum (tomato)"/>
    <x v="6"/>
    <x v="1"/>
    <s v="+"/>
    <n v="1"/>
    <x v="2"/>
  </r>
  <r>
    <s v="Citrate cycle (TCA cycle) - Solanum lycopersicum (tomato)"/>
    <x v="6"/>
    <x v="1"/>
    <s v="+"/>
    <n v="1"/>
    <x v="6"/>
  </r>
  <r>
    <s v="Alanine; aspartate and glutamate metabolism - Solanum lycopersicum (tomato)"/>
    <x v="6"/>
    <x v="1"/>
    <s v="+"/>
    <n v="1"/>
    <x v="11"/>
  </r>
  <r>
    <s v="Valine; leucine and isoleucine degradation - Solanum lycopersicum (tomato)"/>
    <x v="6"/>
    <x v="1"/>
    <s v="+"/>
    <n v="1"/>
    <x v="11"/>
  </r>
  <r>
    <s v="Lysine biosynthesis - Solanum lycopersicum (tomato)"/>
    <x v="6"/>
    <x v="1"/>
    <s v="+"/>
    <n v="1"/>
    <x v="11"/>
  </r>
  <r>
    <s v="Tryptophan metabolism - Solanum lycopersicum (tomato)"/>
    <x v="6"/>
    <x v="1"/>
    <s v="+"/>
    <n v="1"/>
    <x v="11"/>
  </r>
  <r>
    <s v="Glutathione metabolism - Solanum lycopersicum (tomato)"/>
    <x v="6"/>
    <x v="1"/>
    <s v="+"/>
    <n v="1"/>
    <x v="11"/>
  </r>
  <r>
    <s v="Pyruvate metabolism - Solanum lycopersicum (tomato)"/>
    <x v="6"/>
    <x v="1"/>
    <s v="+"/>
    <n v="1"/>
    <x v="2"/>
  </r>
  <r>
    <s v="Butanoate metabolism - Solanum lycopersicum (tomato)"/>
    <x v="6"/>
    <x v="1"/>
    <s v="+"/>
    <n v="1"/>
    <x v="2"/>
  </r>
  <r>
    <s v="Thiamine metabolism - Solanum lycopersicum (tomato)"/>
    <x v="6"/>
    <x v="1"/>
    <s v="+"/>
    <n v="1"/>
    <x v="0"/>
  </r>
  <r>
    <s v="Vitamin B6 metabolism - Solanum lycopersicum (tomato)"/>
    <x v="6"/>
    <x v="1"/>
    <s v="+"/>
    <n v="2"/>
    <x v="0"/>
  </r>
  <r>
    <s v="Porphyrin and chlorophyll metabolism - Solanum lycopersicum (tomato)"/>
    <x v="6"/>
    <x v="1"/>
    <s v="+"/>
    <n v="1"/>
    <x v="0"/>
  </r>
  <r>
    <s v="Carotenoid biosynthesis - Solanum lycopersicum (tomato)"/>
    <x v="6"/>
    <x v="1"/>
    <s v="+"/>
    <n v="1"/>
    <x v="1"/>
  </r>
  <r>
    <s v="Zeatin biosynthesis - Solanum lycopersicum (tomato)"/>
    <x v="6"/>
    <x v="1"/>
    <s v="+"/>
    <n v="2"/>
    <x v="1"/>
  </r>
  <r>
    <s v="Phenylpropanoid biosynthesis - Solanum lycopersicum (tomato)"/>
    <x v="6"/>
    <x v="1"/>
    <s v="+"/>
    <n v="1"/>
    <x v="20"/>
  </r>
  <r>
    <s v="Flavonoid biosynthesis - Solanum lycopersicum (tomato)"/>
    <x v="6"/>
    <x v="1"/>
    <s v="+"/>
    <n v="1"/>
    <x v="9"/>
  </r>
  <r>
    <s v="Anthocyanin biosynthesis - Solanum lycopersicum (tomato)"/>
    <x v="6"/>
    <x v="1"/>
    <s v="+"/>
    <n v="1"/>
    <x v="9"/>
  </r>
  <r>
    <s v="Flavone and flavonol biosynthesis - Solanum lycopersicum (tomato)"/>
    <x v="6"/>
    <x v="1"/>
    <s v="+"/>
    <n v="1"/>
    <x v="9"/>
  </r>
  <r>
    <s v="Tropane; piperidine and pyridine alkaloid biosynthesis - Solanum lycopersicum (tomato)"/>
    <x v="6"/>
    <x v="1"/>
    <s v="+"/>
    <n v="1"/>
    <x v="21"/>
  </r>
  <r>
    <s v="Indole derivatives"/>
    <x v="6"/>
    <x v="1"/>
    <s v="+"/>
    <n v="1"/>
    <x v="11"/>
  </r>
  <r>
    <s v="Secondary metabolism"/>
    <x v="6"/>
    <x v="1"/>
    <s v="+"/>
    <n v="1"/>
    <x v="19"/>
  </r>
  <r>
    <s v="Alkaloids Library"/>
    <x v="7"/>
    <x v="0"/>
    <s v="+"/>
    <n v="4"/>
    <x v="21"/>
  </r>
  <r>
    <s v="Flavonoid biosynthesis - Solanum lycopersicum (tomato)"/>
    <x v="7"/>
    <x v="0"/>
    <s v="+"/>
    <n v="2"/>
    <x v="9"/>
  </r>
  <r>
    <s v="Pyrimidine metabolism - Solanum lycopersicum (tomato)"/>
    <x v="7"/>
    <x v="0"/>
    <s v="+"/>
    <n v="1"/>
    <x v="3"/>
  </r>
  <r>
    <s v="Lysine biosynthesis - Solanum lycopersicum (tomato)"/>
    <x v="7"/>
    <x v="0"/>
    <s v="+"/>
    <n v="1"/>
    <x v="11"/>
  </r>
  <r>
    <s v="Amino sugar and nucleotide sugar metabolism - Solanum lycopersicum (tomato)"/>
    <x v="7"/>
    <x v="0"/>
    <s v="+"/>
    <n v="2"/>
    <x v="4"/>
  </r>
  <r>
    <s v="Vitamin B6 metabolism - Solanum lycopersicum (tomato)"/>
    <x v="7"/>
    <x v="0"/>
    <s v="+"/>
    <n v="1"/>
    <x v="0"/>
  </r>
  <r>
    <s v="Porphyrin and chlorophyll metabolism - Solanum lycopersicum (tomato)"/>
    <x v="7"/>
    <x v="0"/>
    <s v="+"/>
    <n v="1"/>
    <x v="0"/>
  </r>
  <r>
    <s v="Brassinosteroid biosynthesis - Solanum lycopersicum (tomato)"/>
    <x v="7"/>
    <x v="0"/>
    <s v="+"/>
    <n v="2"/>
    <x v="8"/>
  </r>
  <r>
    <s v="Anthocyanin biosynthesis - Solanum lycopersicum (tomato)"/>
    <x v="7"/>
    <x v="0"/>
    <s v="+"/>
    <n v="2"/>
    <x v="9"/>
  </r>
  <r>
    <s v="Flavone and flavonol biosynthesis - Solanum lycopersicum (tomato)"/>
    <x v="7"/>
    <x v="0"/>
    <s v="+"/>
    <n v="2"/>
    <x v="9"/>
  </r>
  <r>
    <s v="Stilbenoid; diarylheptanoid and gingerol biosynthesis - Solanum lycopersicum (tomato)"/>
    <x v="7"/>
    <x v="0"/>
    <s v="+"/>
    <n v="1"/>
    <x v="17"/>
  </r>
  <r>
    <s v="Isoquinoline alkaloid biosynthesis - Solanum lycopersicum (tomato)"/>
    <x v="7"/>
    <x v="0"/>
    <s v="+"/>
    <n v="1"/>
    <x v="21"/>
  </r>
  <r>
    <s v="Tropane; piperidine and pyridine alkaloid biosynthesis - Solanum lycopersicum (tomato)"/>
    <x v="7"/>
    <x v="0"/>
    <s v="+"/>
    <n v="1"/>
    <x v="21"/>
  </r>
  <r>
    <s v="Degradation of aromatic compounds - Solanum lycopersicum (tomato)"/>
    <x v="7"/>
    <x v="0"/>
    <s v="+"/>
    <n v="1"/>
    <x v="15"/>
  </r>
  <r>
    <s v="Biosynthesis of amino acids - Solanum lycopersicum (tomato)"/>
    <x v="7"/>
    <x v="0"/>
    <s v="+"/>
    <n v="1"/>
    <x v="11"/>
  </r>
  <r>
    <s v="ABC transporters - Solanum lycopersicum (tomato)"/>
    <x v="7"/>
    <x v="0"/>
    <s v="+"/>
    <n v="2"/>
    <x v="12"/>
  </r>
  <r>
    <s v="Flavonoids"/>
    <x v="7"/>
    <x v="0"/>
    <s v="+"/>
    <n v="2"/>
    <x v="9"/>
  </r>
  <r>
    <s v="Lignans"/>
    <x v="7"/>
    <x v="0"/>
    <s v="+"/>
    <n v="1"/>
    <x v="9"/>
  </r>
  <r>
    <s v="Phenylpropanoids biosynthesis"/>
    <x v="7"/>
    <x v="0"/>
    <s v="+"/>
    <n v="2"/>
    <x v="9"/>
  </r>
  <r>
    <s v="Caffeine metabolism - Solanum lycopersicum (tomato)"/>
    <x v="7"/>
    <x v="1"/>
    <s v="+"/>
    <n v="1"/>
    <x v="25"/>
  </r>
  <r>
    <s v="Inositol phosphate metabolism - Solanum lycopersicum (tomato)"/>
    <x v="7"/>
    <x v="1"/>
    <s v="+"/>
    <n v="1"/>
    <x v="2"/>
  </r>
  <r>
    <s v="ABC transporters - Solanum lycopersicum (tomato)"/>
    <x v="7"/>
    <x v="1"/>
    <s v="+"/>
    <n v="1"/>
    <x v="12"/>
  </r>
  <r>
    <s v="Fatty acid biosynthesis - Solanum lycopersicum (tomato)"/>
    <x v="8"/>
    <x v="0"/>
    <s v="+"/>
    <n v="1"/>
    <x v="5"/>
  </r>
  <r>
    <s v="Cutin; suberine and wax biosynthesis - Solanum lycopersicum (tomato)"/>
    <x v="8"/>
    <x v="0"/>
    <s v="+"/>
    <n v="1"/>
    <x v="5"/>
  </r>
  <r>
    <s v="Stilbenoid; diarylheptanoid and gingerol biosynthesis - Solanum lycopersicum (tomato)"/>
    <x v="8"/>
    <x v="0"/>
    <s v="+"/>
    <n v="1"/>
    <x v="17"/>
  </r>
  <r>
    <s v="Biosynthesis of unsaturated fatty acids - Solanum lycopersicum (tomato)"/>
    <x v="8"/>
    <x v="0"/>
    <s v="+"/>
    <n v="1"/>
    <x v="5"/>
  </r>
  <r>
    <s v="Porphyrin and chlorophyll metabolism - Solanum lycopersicum (tomato)"/>
    <x v="8"/>
    <x v="1"/>
    <s v="+"/>
    <n v="2"/>
    <x v="0"/>
  </r>
  <r>
    <s v="Galactose metabolism - Solanum lycopersicum (tomato)"/>
    <x v="8"/>
    <x v="1"/>
    <s v="+"/>
    <n v="1"/>
    <x v="2"/>
  </r>
  <r>
    <s v="Amino sugar and nucleotide sugar metabolism - Solanum lycopersicum (tomato)"/>
    <x v="8"/>
    <x v="1"/>
    <s v="+"/>
    <n v="1"/>
    <x v="4"/>
  </r>
  <r>
    <s v="Folate biosynthesis - Solanum lycopersicum (tomato)"/>
    <x v="8"/>
    <x v="1"/>
    <s v="+"/>
    <n v="1"/>
    <x v="0"/>
  </r>
  <r>
    <s v="Carotenoid biosynthesis - Solanum lycopersicum (tomato)"/>
    <x v="8"/>
    <x v="1"/>
    <s v="+"/>
    <n v="1"/>
    <x v="1"/>
  </r>
  <r>
    <s v="Zeatin biosynthesis - Solanum lycopersicum (tomato)"/>
    <x v="8"/>
    <x v="1"/>
    <s v="+"/>
    <n v="1"/>
    <x v="1"/>
  </r>
  <r>
    <s v="Lysine degradation - Solanum lycopersicum (tomato)"/>
    <x v="9"/>
    <x v="0"/>
    <s v="+"/>
    <n v="2"/>
    <x v="11"/>
  </r>
  <r>
    <s v="Arginine and proline metabolism - Solanum lycopersicum (tomato)"/>
    <x v="9"/>
    <x v="0"/>
    <s v="+"/>
    <n v="2"/>
    <x v="11"/>
  </r>
  <r>
    <s v="Pantothenate and CoA biosynthesis - Solanum lycopersicum (tomato)"/>
    <x v="9"/>
    <x v="0"/>
    <s v="+"/>
    <n v="2"/>
    <x v="0"/>
  </r>
  <r>
    <s v="Fructose and mannose metabolism - Solanum lycopersicum (tomato)"/>
    <x v="9"/>
    <x v="0"/>
    <s v="+"/>
    <n v="1"/>
    <x v="2"/>
  </r>
  <r>
    <s v="Fatty acid degradation - Solanum lycopersicum (tomato)"/>
    <x v="9"/>
    <x v="0"/>
    <s v="+"/>
    <n v="1"/>
    <x v="5"/>
  </r>
  <r>
    <s v="Photosynthesis - Solanum lycopersicum (tomato)"/>
    <x v="9"/>
    <x v="0"/>
    <s v="+"/>
    <n v="1"/>
    <x v="16"/>
  </r>
  <r>
    <s v="Pyrimidine metabolism - Solanum lycopersicum (tomato)"/>
    <x v="9"/>
    <x v="0"/>
    <s v="+"/>
    <n v="1"/>
    <x v="3"/>
  </r>
  <r>
    <s v="Alanine; aspartate and glutamate metabolism - Solanum lycopersicum (tomato)"/>
    <x v="9"/>
    <x v="0"/>
    <s v="+"/>
    <n v="1"/>
    <x v="11"/>
  </r>
  <r>
    <s v="Valine; leucine and isoleucine biosynthesis - Solanum lycopersicum (tomato)"/>
    <x v="9"/>
    <x v="0"/>
    <s v="+"/>
    <n v="1"/>
    <x v="11"/>
  </r>
  <r>
    <s v="Histidine metabolism - Solanum lycopersicum (tomato)"/>
    <x v="9"/>
    <x v="0"/>
    <s v="+"/>
    <n v="1"/>
    <x v="11"/>
  </r>
  <r>
    <s v="Phenylalanine metabolism - Solanum lycopersicum (tomato)"/>
    <x v="9"/>
    <x v="0"/>
    <s v="+"/>
    <n v="1"/>
    <x v="11"/>
  </r>
  <r>
    <s v="Tryptophan metabolism - Solanum lycopersicum (tomato)"/>
    <x v="9"/>
    <x v="0"/>
    <s v="+"/>
    <n v="1"/>
    <x v="11"/>
  </r>
  <r>
    <s v="beta-Alanine metabolism - Solanum lycopersicum (tomato)"/>
    <x v="9"/>
    <x v="0"/>
    <s v="+"/>
    <n v="1"/>
    <x v="11"/>
  </r>
  <r>
    <s v="Cyanoamino acid metabolism - Solanum lycopersicum (tomato)"/>
    <x v="9"/>
    <x v="0"/>
    <s v="+"/>
    <n v="1"/>
    <x v="11"/>
  </r>
  <r>
    <s v="Amino sugar and nucleotide sugar metabolism - Solanum lycopersicum (tomato)"/>
    <x v="9"/>
    <x v="0"/>
    <s v="+"/>
    <n v="1"/>
    <x v="4"/>
  </r>
  <r>
    <s v="Pyruvate metabolism - Solanum lycopersicum (tomato)"/>
    <x v="9"/>
    <x v="0"/>
    <s v="+"/>
    <n v="1"/>
    <x v="2"/>
  </r>
  <r>
    <s v="Glyoxylate and dicarboxylate metabolism - Solanum lycopersicum (tomato)"/>
    <x v="9"/>
    <x v="0"/>
    <s v="+"/>
    <n v="1"/>
    <x v="2"/>
  </r>
  <r>
    <s v="Butanoate metabolism - Solanum lycopersicum (tomato)"/>
    <x v="9"/>
    <x v="0"/>
    <s v="+"/>
    <n v="1"/>
    <x v="2"/>
  </r>
  <r>
    <s v="C5-Branched dibasic acid metabolism - Solanum lycopersicum (tomato)"/>
    <x v="9"/>
    <x v="0"/>
    <s v="+"/>
    <n v="1"/>
    <x v="2"/>
  </r>
  <r>
    <s v="Vitamin B6 metabolism - Solanum lycopersicum (tomato)"/>
    <x v="9"/>
    <x v="0"/>
    <s v="+"/>
    <n v="1"/>
    <x v="0"/>
  </r>
  <r>
    <s v="Nicotinate and nicotinamide metabolism - Solanum lycopersicum (tomato)"/>
    <x v="9"/>
    <x v="0"/>
    <s v="+"/>
    <n v="1"/>
    <x v="0"/>
  </r>
  <r>
    <s v="Porphyrin and chlorophyll metabolism - Solanum lycopersicum (tomato)"/>
    <x v="9"/>
    <x v="0"/>
    <s v="+"/>
    <n v="1"/>
    <x v="0"/>
  </r>
  <r>
    <s v="Aminoacyl-tRNA biosynthesis - Solanum lycopersicum (tomato)"/>
    <x v="9"/>
    <x v="0"/>
    <s v="+"/>
    <n v="1"/>
    <x v="22"/>
  </r>
  <r>
    <s v="2-Oxocarboxylic acid metabolism - Solanum lycopersicum (tomato)"/>
    <x v="9"/>
    <x v="0"/>
    <s v="+"/>
    <n v="1"/>
    <x v="11"/>
  </r>
  <r>
    <s v="Degradation of aromatic compounds - Solanum lycopersicum (tomato)"/>
    <x v="9"/>
    <x v="0"/>
    <s v="+"/>
    <n v="1"/>
    <x v="15"/>
  </r>
  <r>
    <s v="Biosynthesis of amino acids - Solanum lycopersicum (tomato)"/>
    <x v="9"/>
    <x v="0"/>
    <s v="+"/>
    <n v="1"/>
    <x v="11"/>
  </r>
  <r>
    <s v="ABC transporters - Solanum lycopersicum (tomato)"/>
    <x v="9"/>
    <x v="0"/>
    <s v="+"/>
    <n v="1"/>
    <x v="12"/>
  </r>
  <r>
    <s v="Amino acids"/>
    <x v="9"/>
    <x v="0"/>
    <s v="+"/>
    <n v="1"/>
    <x v="11"/>
  </r>
  <r>
    <s v="Histidine metabolism - Solanum lycopersicum (tomato)"/>
    <x v="9"/>
    <x v="1"/>
    <s v="+"/>
    <n v="1"/>
    <x v="11"/>
  </r>
  <r>
    <s v="Phenylalanine metabolism - Solanum lycopersicum (tomato)"/>
    <x v="9"/>
    <x v="1"/>
    <s v="+"/>
    <n v="2"/>
    <x v="11"/>
  </r>
  <r>
    <s v="Tryptophan metabolism - Solanum lycopersicum (tomato)"/>
    <x v="9"/>
    <x v="1"/>
    <s v="+"/>
    <n v="1"/>
    <x v="11"/>
  </r>
  <r>
    <s v="Glycerophospholipid metabolism - Solanum lycopersicum (tomato)"/>
    <x v="9"/>
    <x v="1"/>
    <s v="+"/>
    <n v="1"/>
    <x v="5"/>
  </r>
  <r>
    <s v="Glyoxylate and dicarboxylate metabolism - Solanum lycopersicum (tomato)"/>
    <x v="9"/>
    <x v="1"/>
    <s v="+"/>
    <n v="1"/>
    <x v="2"/>
  </r>
  <r>
    <s v="Zeatin biosynthesis - Solanum lycopersicum (tomato)"/>
    <x v="9"/>
    <x v="1"/>
    <s v="+"/>
    <n v="1"/>
    <x v="1"/>
  </r>
  <r>
    <s v="Lignans"/>
    <x v="9"/>
    <x v="1"/>
    <s v="+"/>
    <n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81A35-4629-4132-B7A7-47FFB654AF70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F105" firstHeaderRow="1" firstDataRow="3" firstDataCol="1"/>
  <pivotFields count="5">
    <pivotField axis="axisRow" showAll="0">
      <items count="100">
        <item x="40"/>
        <item x="18"/>
        <item x="33"/>
        <item x="73"/>
        <item x="68"/>
        <item x="60"/>
        <item x="8"/>
        <item x="57"/>
        <item x="14"/>
        <item x="66"/>
        <item x="49"/>
        <item x="5"/>
        <item x="65"/>
        <item x="17"/>
        <item x="76"/>
        <item x="69"/>
        <item x="97"/>
        <item x="35"/>
        <item x="79"/>
        <item x="85"/>
        <item x="10"/>
        <item x="16"/>
        <item x="80"/>
        <item x="26"/>
        <item x="27"/>
        <item x="51"/>
        <item x="28"/>
        <item x="59"/>
        <item x="44"/>
        <item x="25"/>
        <item x="63"/>
        <item x="37"/>
        <item x="94"/>
        <item x="45"/>
        <item x="98"/>
        <item x="15"/>
        <item x="75"/>
        <item x="95"/>
        <item x="70"/>
        <item x="90"/>
        <item x="4"/>
        <item x="39"/>
        <item x="22"/>
        <item x="9"/>
        <item x="81"/>
        <item x="47"/>
        <item x="2"/>
        <item x="53"/>
        <item x="29"/>
        <item x="61"/>
        <item x="52"/>
        <item x="77"/>
        <item x="19"/>
        <item x="84"/>
        <item x="67"/>
        <item x="86"/>
        <item x="48"/>
        <item x="23"/>
        <item x="13"/>
        <item x="54"/>
        <item x="88"/>
        <item x="32"/>
        <item x="12"/>
        <item x="3"/>
        <item x="43"/>
        <item x="50"/>
        <item x="21"/>
        <item x="55"/>
        <item x="78"/>
        <item x="91"/>
        <item x="92"/>
        <item x="72"/>
        <item x="62"/>
        <item x="93"/>
        <item x="0"/>
        <item x="20"/>
        <item x="82"/>
        <item x="24"/>
        <item x="6"/>
        <item x="31"/>
        <item x="11"/>
        <item x="41"/>
        <item x="71"/>
        <item x="7"/>
        <item x="96"/>
        <item x="38"/>
        <item x="74"/>
        <item x="58"/>
        <item x="87"/>
        <item x="89"/>
        <item x="36"/>
        <item x="56"/>
        <item x="64"/>
        <item x="30"/>
        <item x="46"/>
        <item x="42"/>
        <item x="34"/>
        <item x="83"/>
        <item x="1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2">
    <field x="1"/>
    <field x="2"/>
  </colFields>
  <colItems count="31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 t="grand">
      <x/>
    </i>
  </colItems>
  <dataFields count="1">
    <dataField name="Suma de marker h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4EB8-6BBB-4642-9388-3152CB107A28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F32" firstHeaderRow="1" firstDataRow="3" firstDataCol="1"/>
  <pivotFields count="6"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27">
        <item x="14"/>
        <item x="21"/>
        <item x="11"/>
        <item x="25"/>
        <item x="23"/>
        <item x="2"/>
        <item x="6"/>
        <item x="10"/>
        <item x="15"/>
        <item x="16"/>
        <item x="22"/>
        <item x="18"/>
        <item x="4"/>
        <item x="5"/>
        <item x="12"/>
        <item x="7"/>
        <item x="0"/>
        <item x="8"/>
        <item x="3"/>
        <item x="20"/>
        <item x="9"/>
        <item x="13"/>
        <item x="19"/>
        <item x="24"/>
        <item x="17"/>
        <item x="1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2">
    <field x="1"/>
    <field x="2"/>
  </colFields>
  <colItems count="31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 t="grand">
      <x/>
    </i>
  </colItems>
  <dataFields count="1">
    <dataField name="Suma de marker h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0284-F0C7-4C24-A06F-A80FF9C8483F}">
  <dimension ref="A1:J793"/>
  <sheetViews>
    <sheetView topLeftCell="A426" zoomScale="60" zoomScaleNormal="60" workbookViewId="0">
      <selection activeCell="A474" sqref="A474"/>
    </sheetView>
  </sheetViews>
  <sheetFormatPr baseColWidth="10" defaultRowHeight="14.25" x14ac:dyDescent="0.45"/>
  <cols>
    <col min="1" max="1" width="69.59765625" bestFit="1" customWidth="1"/>
    <col min="6" max="6" width="42.9296875" bestFit="1" customWidth="1"/>
    <col min="9" max="9" width="69.59765625" bestFit="1" customWidth="1"/>
  </cols>
  <sheetData>
    <row r="1" spans="1:10" x14ac:dyDescent="0.45">
      <c r="I1" t="s">
        <v>158</v>
      </c>
      <c r="J1" t="s">
        <v>152</v>
      </c>
    </row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140</v>
      </c>
      <c r="F2" t="s">
        <v>153</v>
      </c>
      <c r="I2" s="2" t="s">
        <v>45</v>
      </c>
      <c r="J2" t="s">
        <v>119</v>
      </c>
    </row>
    <row r="3" spans="1:10" x14ac:dyDescent="0.45">
      <c r="A3" t="s">
        <v>5</v>
      </c>
      <c r="B3">
        <v>1</v>
      </c>
      <c r="C3">
        <v>1</v>
      </c>
      <c r="D3" t="s">
        <v>4</v>
      </c>
      <c r="E3">
        <v>3</v>
      </c>
      <c r="F3" t="str">
        <f>_xlfn.XLOOKUP(A3,$I$2:$I$200,$J$2:$J$200)</f>
        <v>Metabolism of cofactors and vitamins</v>
      </c>
      <c r="I3" s="2" t="s">
        <v>23</v>
      </c>
      <c r="J3" t="s">
        <v>120</v>
      </c>
    </row>
    <row r="4" spans="1:10" x14ac:dyDescent="0.45">
      <c r="A4" t="s">
        <v>6</v>
      </c>
      <c r="B4">
        <v>1</v>
      </c>
      <c r="C4">
        <v>1</v>
      </c>
      <c r="D4" t="s">
        <v>4</v>
      </c>
      <c r="E4">
        <v>2</v>
      </c>
      <c r="F4" t="str">
        <f t="shared" ref="F4:F16" si="0">_xlfn.XLOOKUP(A4,$I$2:$I$200,$J$2:$J$200)</f>
        <v>Terpenoid metabolism</v>
      </c>
      <c r="I4" s="2" t="s">
        <v>38</v>
      </c>
      <c r="J4" t="s">
        <v>119</v>
      </c>
    </row>
    <row r="5" spans="1:10" x14ac:dyDescent="0.45">
      <c r="A5" t="s">
        <v>7</v>
      </c>
      <c r="B5">
        <v>1</v>
      </c>
      <c r="C5">
        <v>1</v>
      </c>
      <c r="D5" t="s">
        <v>4</v>
      </c>
      <c r="E5">
        <v>1</v>
      </c>
      <c r="F5" t="str">
        <f t="shared" si="0"/>
        <v>Carbohydrate metabolism</v>
      </c>
      <c r="I5" s="2" t="s">
        <v>78</v>
      </c>
      <c r="J5" t="s">
        <v>137</v>
      </c>
    </row>
    <row r="6" spans="1:10" x14ac:dyDescent="0.45">
      <c r="A6" t="s">
        <v>8</v>
      </c>
      <c r="B6">
        <v>1</v>
      </c>
      <c r="C6">
        <v>1</v>
      </c>
      <c r="D6" t="s">
        <v>4</v>
      </c>
      <c r="E6">
        <v>1</v>
      </c>
      <c r="F6" t="str">
        <f t="shared" si="0"/>
        <v>Carbohydrate metabolism</v>
      </c>
      <c r="I6" s="2" t="s">
        <v>73</v>
      </c>
      <c r="J6" t="s">
        <v>122</v>
      </c>
    </row>
    <row r="7" spans="1:10" x14ac:dyDescent="0.45">
      <c r="A7" t="s">
        <v>9</v>
      </c>
      <c r="B7">
        <v>1</v>
      </c>
      <c r="C7">
        <v>1</v>
      </c>
      <c r="D7" t="s">
        <v>4</v>
      </c>
      <c r="E7">
        <v>1</v>
      </c>
      <c r="F7" t="str">
        <f t="shared" si="0"/>
        <v>Carbohydrate metabolism</v>
      </c>
      <c r="I7" s="2" t="s">
        <v>65</v>
      </c>
      <c r="J7" t="s">
        <v>119</v>
      </c>
    </row>
    <row r="8" spans="1:10" x14ac:dyDescent="0.45">
      <c r="A8" t="s">
        <v>10</v>
      </c>
      <c r="B8">
        <v>1</v>
      </c>
      <c r="C8">
        <v>1</v>
      </c>
      <c r="D8" t="s">
        <v>4</v>
      </c>
      <c r="E8">
        <v>1</v>
      </c>
      <c r="F8" t="str">
        <f t="shared" si="0"/>
        <v>Carbohydrate metabolism</v>
      </c>
      <c r="I8" s="2" t="s">
        <v>13</v>
      </c>
      <c r="J8" t="s">
        <v>123</v>
      </c>
    </row>
    <row r="9" spans="1:10" x14ac:dyDescent="0.45">
      <c r="A9" t="s">
        <v>11</v>
      </c>
      <c r="B9">
        <v>1</v>
      </c>
      <c r="C9">
        <v>1</v>
      </c>
      <c r="D9" t="s">
        <v>4</v>
      </c>
      <c r="E9">
        <v>1</v>
      </c>
      <c r="F9" t="str">
        <f t="shared" si="0"/>
        <v>Nucleotide metabolism</v>
      </c>
      <c r="I9" s="2" t="s">
        <v>62</v>
      </c>
      <c r="J9" t="s">
        <v>124</v>
      </c>
    </row>
    <row r="10" spans="1:10" x14ac:dyDescent="0.45">
      <c r="A10" t="s">
        <v>12</v>
      </c>
      <c r="B10">
        <v>1</v>
      </c>
      <c r="C10">
        <v>1</v>
      </c>
      <c r="D10" t="s">
        <v>4</v>
      </c>
      <c r="E10">
        <v>1</v>
      </c>
      <c r="F10" t="str">
        <f t="shared" si="0"/>
        <v>Carbohydrate metabolism</v>
      </c>
      <c r="I10" s="2" t="s">
        <v>19</v>
      </c>
      <c r="J10" t="s">
        <v>135</v>
      </c>
    </row>
    <row r="11" spans="1:10" x14ac:dyDescent="0.45">
      <c r="A11" t="s">
        <v>13</v>
      </c>
      <c r="B11">
        <v>1</v>
      </c>
      <c r="C11">
        <v>1</v>
      </c>
      <c r="D11" t="s">
        <v>4</v>
      </c>
      <c r="E11">
        <v>1</v>
      </c>
      <c r="F11" t="str">
        <f t="shared" si="0"/>
        <v>Glycan biosynthesis and metabolism</v>
      </c>
      <c r="I11" s="2" t="s">
        <v>71</v>
      </c>
      <c r="J11" t="s">
        <v>122</v>
      </c>
    </row>
    <row r="12" spans="1:10" x14ac:dyDescent="0.45">
      <c r="A12" t="s">
        <v>14</v>
      </c>
      <c r="B12">
        <v>1</v>
      </c>
      <c r="C12">
        <v>1</v>
      </c>
      <c r="D12" t="s">
        <v>4</v>
      </c>
      <c r="E12">
        <v>1</v>
      </c>
      <c r="F12" t="str">
        <f t="shared" si="0"/>
        <v>Lipid metabolism</v>
      </c>
      <c r="I12" s="2" t="s">
        <v>54</v>
      </c>
      <c r="J12" t="s">
        <v>119</v>
      </c>
    </row>
    <row r="13" spans="1:10" x14ac:dyDescent="0.45">
      <c r="A13" t="s">
        <v>15</v>
      </c>
      <c r="B13">
        <v>1</v>
      </c>
      <c r="C13">
        <v>1</v>
      </c>
      <c r="D13" t="s">
        <v>4</v>
      </c>
      <c r="E13">
        <v>1</v>
      </c>
      <c r="F13" t="str">
        <f t="shared" si="0"/>
        <v>Carbon metabolism</v>
      </c>
      <c r="I13" s="2" t="s">
        <v>10</v>
      </c>
      <c r="J13" t="s">
        <v>125</v>
      </c>
    </row>
    <row r="14" spans="1:10" x14ac:dyDescent="0.45">
      <c r="A14" t="s">
        <v>16</v>
      </c>
      <c r="B14">
        <v>1</v>
      </c>
      <c r="C14">
        <v>1</v>
      </c>
      <c r="D14" t="s">
        <v>4</v>
      </c>
      <c r="E14">
        <v>1</v>
      </c>
      <c r="F14" t="str">
        <f t="shared" si="0"/>
        <v>Metabolism of cofactors and vitamin</v>
      </c>
      <c r="I14" s="2" t="s">
        <v>70</v>
      </c>
      <c r="J14" t="s">
        <v>119</v>
      </c>
    </row>
    <row r="15" spans="1:10" x14ac:dyDescent="0.45">
      <c r="A15" t="s">
        <v>17</v>
      </c>
      <c r="B15">
        <v>1</v>
      </c>
      <c r="C15">
        <v>1</v>
      </c>
      <c r="D15" t="s">
        <v>4</v>
      </c>
      <c r="E15">
        <v>1</v>
      </c>
      <c r="F15" t="str">
        <f t="shared" si="0"/>
        <v>Metabolism of cofactors and vitamins</v>
      </c>
      <c r="I15" s="2" t="s">
        <v>22</v>
      </c>
      <c r="J15" t="s">
        <v>119</v>
      </c>
    </row>
    <row r="16" spans="1:10" x14ac:dyDescent="0.45">
      <c r="A16" t="s">
        <v>18</v>
      </c>
      <c r="B16">
        <v>1</v>
      </c>
      <c r="C16">
        <v>1</v>
      </c>
      <c r="D16" t="s">
        <v>4</v>
      </c>
      <c r="E16">
        <v>1</v>
      </c>
      <c r="F16" t="str">
        <f t="shared" si="0"/>
        <v>Metabolism of terpenoids and polyketides</v>
      </c>
      <c r="I16" s="2" t="s">
        <v>81</v>
      </c>
      <c r="J16" t="s">
        <v>122</v>
      </c>
    </row>
    <row r="17" spans="1:10" x14ac:dyDescent="0.45">
      <c r="A17" t="s">
        <v>19</v>
      </c>
      <c r="B17">
        <v>1</v>
      </c>
      <c r="C17">
        <v>1</v>
      </c>
      <c r="D17" t="s">
        <v>4</v>
      </c>
      <c r="E17">
        <v>2</v>
      </c>
      <c r="F17" t="str">
        <f t="shared" ref="F17:F80" si="1">_xlfn.XLOOKUP(A17,$I$2:$I$200,$J$2:$J$200)</f>
        <v>Phenylpropanoid metabolism</v>
      </c>
      <c r="I17" s="2" t="s">
        <v>74</v>
      </c>
      <c r="J17" t="s">
        <v>126</v>
      </c>
    </row>
    <row r="18" spans="1:10" x14ac:dyDescent="0.45">
      <c r="A18" t="s">
        <v>20</v>
      </c>
      <c r="B18">
        <v>1</v>
      </c>
      <c r="C18">
        <v>1</v>
      </c>
      <c r="D18" t="s">
        <v>4</v>
      </c>
      <c r="E18">
        <v>2</v>
      </c>
      <c r="F18" t="str">
        <f t="shared" si="1"/>
        <v>Phenylpropanoid metabolism</v>
      </c>
      <c r="I18" s="2" t="s">
        <v>103</v>
      </c>
      <c r="J18" t="s">
        <v>128</v>
      </c>
    </row>
    <row r="19" spans="1:10" x14ac:dyDescent="0.45">
      <c r="A19" t="s">
        <v>21</v>
      </c>
      <c r="B19">
        <v>1</v>
      </c>
      <c r="C19">
        <v>1</v>
      </c>
      <c r="D19" t="s">
        <v>4</v>
      </c>
      <c r="E19">
        <v>1</v>
      </c>
      <c r="F19" t="str">
        <f t="shared" si="1"/>
        <v xml:space="preserve">Carbon metabolism </v>
      </c>
      <c r="I19" s="2" t="s">
        <v>40</v>
      </c>
      <c r="J19" t="s">
        <v>125</v>
      </c>
    </row>
    <row r="20" spans="1:10" x14ac:dyDescent="0.45">
      <c r="A20" t="s">
        <v>22</v>
      </c>
      <c r="B20">
        <v>1</v>
      </c>
      <c r="C20">
        <v>1</v>
      </c>
      <c r="D20" t="s">
        <v>4</v>
      </c>
      <c r="E20">
        <v>1</v>
      </c>
      <c r="F20" t="str">
        <f t="shared" si="1"/>
        <v>Amino acid metabolism</v>
      </c>
      <c r="I20" s="2" t="s">
        <v>84</v>
      </c>
      <c r="J20" t="s">
        <v>125</v>
      </c>
    </row>
    <row r="21" spans="1:10" x14ac:dyDescent="0.45">
      <c r="A21" t="s">
        <v>23</v>
      </c>
      <c r="B21">
        <v>1</v>
      </c>
      <c r="C21">
        <v>1</v>
      </c>
      <c r="D21" t="s">
        <v>4</v>
      </c>
      <c r="E21">
        <v>2</v>
      </c>
      <c r="F21" t="str">
        <f t="shared" si="1"/>
        <v>Membrane transport</v>
      </c>
      <c r="I21" s="2" t="s">
        <v>90</v>
      </c>
      <c r="J21" t="s">
        <v>154</v>
      </c>
    </row>
    <row r="22" spans="1:10" x14ac:dyDescent="0.45">
      <c r="A22" t="s">
        <v>24</v>
      </c>
      <c r="B22">
        <v>1</v>
      </c>
      <c r="C22">
        <v>1</v>
      </c>
      <c r="D22" t="s">
        <v>4</v>
      </c>
      <c r="E22">
        <v>1</v>
      </c>
      <c r="F22" t="str">
        <f t="shared" si="1"/>
        <v>Phenylpropanoid metabolism</v>
      </c>
      <c r="I22" s="2" t="s">
        <v>15</v>
      </c>
      <c r="J22" t="s">
        <v>138</v>
      </c>
    </row>
    <row r="23" spans="1:10" x14ac:dyDescent="0.45">
      <c r="A23" t="s">
        <v>25</v>
      </c>
      <c r="B23">
        <v>1</v>
      </c>
      <c r="C23">
        <v>1</v>
      </c>
      <c r="D23" t="s">
        <v>4</v>
      </c>
      <c r="E23">
        <v>1</v>
      </c>
      <c r="F23" t="str">
        <f t="shared" si="1"/>
        <v>Primary metabolism</v>
      </c>
      <c r="I23" s="2" t="s">
        <v>21</v>
      </c>
      <c r="J23" t="s">
        <v>127</v>
      </c>
    </row>
    <row r="24" spans="1:10" x14ac:dyDescent="0.45">
      <c r="A24" t="s">
        <v>11</v>
      </c>
      <c r="B24">
        <v>1</v>
      </c>
      <c r="C24">
        <v>-1</v>
      </c>
      <c r="D24" t="s">
        <v>4</v>
      </c>
      <c r="E24">
        <v>1</v>
      </c>
      <c r="F24" t="str">
        <f t="shared" si="1"/>
        <v>Nucleotide metabolism</v>
      </c>
      <c r="I24" s="2" t="s">
        <v>85</v>
      </c>
      <c r="J24" t="s">
        <v>136</v>
      </c>
    </row>
    <row r="25" spans="1:10" x14ac:dyDescent="0.45">
      <c r="A25" t="s">
        <v>26</v>
      </c>
      <c r="B25">
        <v>1</v>
      </c>
      <c r="C25">
        <v>-1</v>
      </c>
      <c r="D25" t="s">
        <v>4</v>
      </c>
      <c r="E25">
        <v>1</v>
      </c>
      <c r="F25" t="str">
        <f t="shared" si="1"/>
        <v>Amino acid metabolism</v>
      </c>
      <c r="I25" s="2" t="s">
        <v>31</v>
      </c>
      <c r="J25" t="s">
        <v>138</v>
      </c>
    </row>
    <row r="26" spans="1:10" x14ac:dyDescent="0.45">
      <c r="A26" t="s">
        <v>27</v>
      </c>
      <c r="B26">
        <v>1</v>
      </c>
      <c r="C26">
        <v>-1</v>
      </c>
      <c r="D26" t="s">
        <v>4</v>
      </c>
      <c r="E26">
        <v>3</v>
      </c>
      <c r="F26" t="str">
        <f t="shared" si="1"/>
        <v>Amino acid metabolism</v>
      </c>
      <c r="I26" s="2" t="s">
        <v>32</v>
      </c>
      <c r="J26" t="s">
        <v>122</v>
      </c>
    </row>
    <row r="27" spans="1:10" x14ac:dyDescent="0.45">
      <c r="A27" t="s">
        <v>22</v>
      </c>
      <c r="B27">
        <v>1</v>
      </c>
      <c r="C27">
        <v>-1</v>
      </c>
      <c r="D27" t="s">
        <v>4</v>
      </c>
      <c r="E27">
        <v>1</v>
      </c>
      <c r="F27" t="str">
        <f t="shared" si="1"/>
        <v>Amino acid metabolism</v>
      </c>
      <c r="I27" s="2" t="s">
        <v>56</v>
      </c>
      <c r="J27" t="s">
        <v>119</v>
      </c>
    </row>
    <row r="28" spans="1:10" x14ac:dyDescent="0.45">
      <c r="A28" t="s">
        <v>28</v>
      </c>
      <c r="B28">
        <v>1</v>
      </c>
      <c r="C28">
        <v>-1</v>
      </c>
      <c r="D28" t="s">
        <v>4</v>
      </c>
      <c r="E28">
        <v>1</v>
      </c>
      <c r="F28">
        <f t="shared" si="1"/>
        <v>0</v>
      </c>
      <c r="I28" s="2" t="s">
        <v>33</v>
      </c>
      <c r="J28" t="s">
        <v>119</v>
      </c>
    </row>
    <row r="29" spans="1:10" x14ac:dyDescent="0.45">
      <c r="A29" t="s">
        <v>29</v>
      </c>
      <c r="B29">
        <v>2</v>
      </c>
      <c r="C29">
        <v>1</v>
      </c>
      <c r="D29" t="s">
        <v>4</v>
      </c>
      <c r="E29">
        <v>2</v>
      </c>
      <c r="F29" t="str">
        <f t="shared" si="1"/>
        <v>Nucleotide metabolism</v>
      </c>
      <c r="I29" s="2" t="s">
        <v>64</v>
      </c>
    </row>
    <row r="30" spans="1:10" x14ac:dyDescent="0.45">
      <c r="A30" t="s">
        <v>30</v>
      </c>
      <c r="B30">
        <v>2</v>
      </c>
      <c r="C30">
        <v>1</v>
      </c>
      <c r="D30" t="s">
        <v>4</v>
      </c>
      <c r="E30">
        <v>2</v>
      </c>
      <c r="F30" t="str">
        <f t="shared" si="1"/>
        <v>Degradation of aromatic compounds</v>
      </c>
      <c r="I30" s="2" t="s">
        <v>49</v>
      </c>
    </row>
    <row r="31" spans="1:10" x14ac:dyDescent="0.45">
      <c r="A31" t="s">
        <v>22</v>
      </c>
      <c r="B31">
        <v>2</v>
      </c>
      <c r="C31">
        <v>1</v>
      </c>
      <c r="D31" t="s">
        <v>4</v>
      </c>
      <c r="E31">
        <v>2</v>
      </c>
      <c r="F31" t="str">
        <f t="shared" si="1"/>
        <v>Amino acid metabolism</v>
      </c>
      <c r="I31" s="2" t="s">
        <v>30</v>
      </c>
      <c r="J31" t="s">
        <v>129</v>
      </c>
    </row>
    <row r="32" spans="1:10" x14ac:dyDescent="0.45">
      <c r="A32" t="s">
        <v>7</v>
      </c>
      <c r="B32">
        <v>2</v>
      </c>
      <c r="C32">
        <v>1</v>
      </c>
      <c r="D32" t="s">
        <v>4</v>
      </c>
      <c r="E32">
        <v>1</v>
      </c>
      <c r="F32" t="str">
        <f t="shared" si="1"/>
        <v>Carbohydrate metabolism</v>
      </c>
      <c r="I32" s="2" t="s">
        <v>68</v>
      </c>
    </row>
    <row r="33" spans="1:10" x14ac:dyDescent="0.45">
      <c r="A33" t="s">
        <v>31</v>
      </c>
      <c r="B33">
        <v>2</v>
      </c>
      <c r="C33">
        <v>1</v>
      </c>
      <c r="D33" t="s">
        <v>4</v>
      </c>
      <c r="E33">
        <v>1</v>
      </c>
      <c r="F33" t="str">
        <f t="shared" si="1"/>
        <v>Carbon metabolism</v>
      </c>
      <c r="I33" s="2" t="s">
        <v>42</v>
      </c>
      <c r="J33" t="s">
        <v>128</v>
      </c>
    </row>
    <row r="34" spans="1:10" x14ac:dyDescent="0.45">
      <c r="A34" t="s">
        <v>32</v>
      </c>
      <c r="B34">
        <v>2</v>
      </c>
      <c r="C34">
        <v>1</v>
      </c>
      <c r="D34" t="s">
        <v>4</v>
      </c>
      <c r="E34">
        <v>1</v>
      </c>
      <c r="F34" t="str">
        <f t="shared" si="1"/>
        <v>Lipid metabolism</v>
      </c>
      <c r="I34" s="2" t="s">
        <v>100</v>
      </c>
      <c r="J34" t="s">
        <v>122</v>
      </c>
    </row>
    <row r="35" spans="1:10" x14ac:dyDescent="0.45">
      <c r="A35" t="s">
        <v>33</v>
      </c>
      <c r="B35">
        <v>2</v>
      </c>
      <c r="C35">
        <v>1</v>
      </c>
      <c r="D35" t="s">
        <v>4</v>
      </c>
      <c r="E35">
        <v>1</v>
      </c>
      <c r="F35" t="str">
        <f t="shared" si="1"/>
        <v>Amino acid metabolism</v>
      </c>
      <c r="I35" s="2" t="s">
        <v>50</v>
      </c>
      <c r="J35" t="s">
        <v>122</v>
      </c>
    </row>
    <row r="36" spans="1:10" x14ac:dyDescent="0.45">
      <c r="A36" t="s">
        <v>34</v>
      </c>
      <c r="B36">
        <v>2</v>
      </c>
      <c r="C36">
        <v>1</v>
      </c>
      <c r="D36" t="s">
        <v>4</v>
      </c>
      <c r="E36">
        <v>1</v>
      </c>
      <c r="F36" t="str">
        <f t="shared" si="1"/>
        <v>Amino acid metabolism</v>
      </c>
      <c r="I36" s="2" t="s">
        <v>104</v>
      </c>
      <c r="J36" t="s">
        <v>122</v>
      </c>
    </row>
    <row r="37" spans="1:10" x14ac:dyDescent="0.45">
      <c r="A37" t="s">
        <v>35</v>
      </c>
      <c r="B37">
        <v>2</v>
      </c>
      <c r="C37">
        <v>1</v>
      </c>
      <c r="D37" t="s">
        <v>4</v>
      </c>
      <c r="E37">
        <v>1</v>
      </c>
      <c r="F37" t="str">
        <f t="shared" si="1"/>
        <v>Amino acid metabolism</v>
      </c>
      <c r="I37" s="2" t="s">
        <v>20</v>
      </c>
      <c r="J37" t="s">
        <v>135</v>
      </c>
    </row>
    <row r="38" spans="1:10" x14ac:dyDescent="0.45">
      <c r="A38" t="s">
        <v>26</v>
      </c>
      <c r="B38">
        <v>2</v>
      </c>
      <c r="C38">
        <v>1</v>
      </c>
      <c r="D38" t="s">
        <v>4</v>
      </c>
      <c r="E38">
        <v>1</v>
      </c>
      <c r="F38" t="str">
        <f t="shared" si="1"/>
        <v>Amino acid metabolism</v>
      </c>
      <c r="I38" s="2" t="s">
        <v>80</v>
      </c>
      <c r="J38" t="s">
        <v>135</v>
      </c>
    </row>
    <row r="39" spans="1:10" x14ac:dyDescent="0.45">
      <c r="A39" t="s">
        <v>36</v>
      </c>
      <c r="B39">
        <v>2</v>
      </c>
      <c r="C39">
        <v>1</v>
      </c>
      <c r="D39" t="s">
        <v>4</v>
      </c>
      <c r="E39">
        <v>1</v>
      </c>
      <c r="F39" t="str">
        <f t="shared" si="1"/>
        <v>Carbohydrate metabolism</v>
      </c>
      <c r="I39" s="2" t="s">
        <v>101</v>
      </c>
      <c r="J39" t="s">
        <v>135</v>
      </c>
    </row>
    <row r="40" spans="1:10" x14ac:dyDescent="0.45">
      <c r="A40" t="s">
        <v>15</v>
      </c>
      <c r="B40">
        <v>2</v>
      </c>
      <c r="C40">
        <v>1</v>
      </c>
      <c r="D40" t="s">
        <v>4</v>
      </c>
      <c r="E40">
        <v>1</v>
      </c>
      <c r="F40" t="str">
        <f t="shared" si="1"/>
        <v>Carbon metabolism</v>
      </c>
      <c r="I40" s="2" t="s">
        <v>75</v>
      </c>
      <c r="J40" t="s">
        <v>126</v>
      </c>
    </row>
    <row r="41" spans="1:10" x14ac:dyDescent="0.45">
      <c r="A41" t="s">
        <v>5</v>
      </c>
      <c r="B41">
        <v>2</v>
      </c>
      <c r="C41">
        <v>1</v>
      </c>
      <c r="D41" t="s">
        <v>4</v>
      </c>
      <c r="E41">
        <v>1</v>
      </c>
      <c r="F41" t="str">
        <f t="shared" si="1"/>
        <v>Metabolism of cofactors and vitamins</v>
      </c>
      <c r="I41" s="2" t="s">
        <v>95</v>
      </c>
      <c r="J41" t="s">
        <v>125</v>
      </c>
    </row>
    <row r="42" spans="1:10" x14ac:dyDescent="0.45">
      <c r="A42" t="s">
        <v>6</v>
      </c>
      <c r="B42">
        <v>2</v>
      </c>
      <c r="C42">
        <v>1</v>
      </c>
      <c r="D42" t="s">
        <v>4</v>
      </c>
      <c r="E42">
        <v>1</v>
      </c>
      <c r="F42" t="str">
        <f t="shared" si="1"/>
        <v>Terpenoid metabolism</v>
      </c>
      <c r="I42" s="2" t="s">
        <v>9</v>
      </c>
      <c r="J42" t="s">
        <v>125</v>
      </c>
    </row>
    <row r="43" spans="1:10" x14ac:dyDescent="0.45">
      <c r="A43" t="s">
        <v>21</v>
      </c>
      <c r="B43">
        <v>2</v>
      </c>
      <c r="C43">
        <v>1</v>
      </c>
      <c r="D43" t="s">
        <v>4</v>
      </c>
      <c r="E43">
        <v>1</v>
      </c>
      <c r="F43" t="str">
        <f t="shared" si="1"/>
        <v xml:space="preserve">Carbon metabolism </v>
      </c>
      <c r="I43" s="2" t="s">
        <v>44</v>
      </c>
      <c r="J43" t="s">
        <v>130</v>
      </c>
    </row>
    <row r="44" spans="1:10" x14ac:dyDescent="0.45">
      <c r="A44" t="s">
        <v>25</v>
      </c>
      <c r="B44">
        <v>2</v>
      </c>
      <c r="C44">
        <v>1</v>
      </c>
      <c r="D44" t="s">
        <v>4</v>
      </c>
      <c r="E44">
        <v>1</v>
      </c>
      <c r="F44" t="str">
        <f t="shared" si="1"/>
        <v>Primary metabolism</v>
      </c>
      <c r="I44" s="2" t="s">
        <v>27</v>
      </c>
      <c r="J44" t="s">
        <v>119</v>
      </c>
    </row>
    <row r="45" spans="1:10" x14ac:dyDescent="0.45">
      <c r="A45" t="s">
        <v>7</v>
      </c>
      <c r="B45">
        <v>2</v>
      </c>
      <c r="C45">
        <v>-1</v>
      </c>
      <c r="D45" t="s">
        <v>4</v>
      </c>
      <c r="E45">
        <v>1</v>
      </c>
      <c r="F45" t="str">
        <f t="shared" si="1"/>
        <v>Carbohydrate metabolism</v>
      </c>
      <c r="I45" s="2" t="s">
        <v>14</v>
      </c>
      <c r="J45" t="s">
        <v>122</v>
      </c>
    </row>
    <row r="46" spans="1:10" x14ac:dyDescent="0.45">
      <c r="A46" t="s">
        <v>31</v>
      </c>
      <c r="B46">
        <v>2</v>
      </c>
      <c r="C46">
        <v>-1</v>
      </c>
      <c r="D46" t="s">
        <v>4</v>
      </c>
      <c r="E46">
        <v>1</v>
      </c>
      <c r="F46" t="str">
        <f t="shared" si="1"/>
        <v>Carbon metabolism</v>
      </c>
      <c r="I46" s="2" t="s">
        <v>86</v>
      </c>
      <c r="J46" t="s">
        <v>122</v>
      </c>
    </row>
    <row r="47" spans="1:10" x14ac:dyDescent="0.45">
      <c r="A47" t="s">
        <v>37</v>
      </c>
      <c r="B47">
        <v>2</v>
      </c>
      <c r="C47">
        <v>-1</v>
      </c>
      <c r="D47" t="s">
        <v>4</v>
      </c>
      <c r="E47">
        <v>1</v>
      </c>
      <c r="F47" t="str">
        <f t="shared" si="1"/>
        <v>Energy metabolism</v>
      </c>
      <c r="I47" s="2" t="s">
        <v>52</v>
      </c>
      <c r="J47" t="s">
        <v>119</v>
      </c>
    </row>
    <row r="48" spans="1:10" x14ac:dyDescent="0.45">
      <c r="A48" t="s">
        <v>29</v>
      </c>
      <c r="B48">
        <v>2</v>
      </c>
      <c r="C48">
        <v>-1</v>
      </c>
      <c r="D48" t="s">
        <v>4</v>
      </c>
      <c r="E48">
        <v>1</v>
      </c>
      <c r="F48" t="str">
        <f t="shared" si="1"/>
        <v>Nucleotide metabolism</v>
      </c>
      <c r="I48" s="2" t="s">
        <v>7</v>
      </c>
      <c r="J48" t="s">
        <v>125</v>
      </c>
    </row>
    <row r="49" spans="1:10" x14ac:dyDescent="0.45">
      <c r="A49" t="s">
        <v>11</v>
      </c>
      <c r="B49">
        <v>2</v>
      </c>
      <c r="C49">
        <v>-1</v>
      </c>
      <c r="D49" t="s">
        <v>4</v>
      </c>
      <c r="E49">
        <v>1</v>
      </c>
      <c r="F49" t="str">
        <f t="shared" si="1"/>
        <v>Nucleotide metabolism</v>
      </c>
      <c r="I49" s="2" t="s">
        <v>58</v>
      </c>
      <c r="J49" t="s">
        <v>125</v>
      </c>
    </row>
    <row r="50" spans="1:10" x14ac:dyDescent="0.45">
      <c r="A50" t="s">
        <v>38</v>
      </c>
      <c r="B50">
        <v>2</v>
      </c>
      <c r="C50">
        <v>-1</v>
      </c>
      <c r="D50" t="s">
        <v>4</v>
      </c>
      <c r="E50">
        <v>1</v>
      </c>
      <c r="F50" t="str">
        <f t="shared" si="1"/>
        <v>Amino acid metabolism</v>
      </c>
      <c r="I50" s="2" t="s">
        <v>34</v>
      </c>
      <c r="J50" t="s">
        <v>119</v>
      </c>
    </row>
    <row r="51" spans="1:10" x14ac:dyDescent="0.45">
      <c r="A51" t="s">
        <v>39</v>
      </c>
      <c r="B51">
        <v>2</v>
      </c>
      <c r="C51">
        <v>-1</v>
      </c>
      <c r="D51" t="s">
        <v>4</v>
      </c>
      <c r="E51">
        <v>1</v>
      </c>
      <c r="F51" t="str">
        <f t="shared" si="1"/>
        <v>Amino acid metabolism</v>
      </c>
      <c r="I51" s="2" t="s">
        <v>66</v>
      </c>
      <c r="J51" t="s">
        <v>119</v>
      </c>
    </row>
    <row r="52" spans="1:10" x14ac:dyDescent="0.45">
      <c r="A52" t="s">
        <v>36</v>
      </c>
      <c r="B52">
        <v>2</v>
      </c>
      <c r="C52">
        <v>-1</v>
      </c>
      <c r="D52" t="s">
        <v>4</v>
      </c>
      <c r="E52">
        <v>1</v>
      </c>
      <c r="F52" t="str">
        <f t="shared" si="1"/>
        <v>Carbohydrate metabolism</v>
      </c>
      <c r="I52" s="2" t="s">
        <v>57</v>
      </c>
      <c r="J52" t="s">
        <v>125</v>
      </c>
    </row>
    <row r="53" spans="1:10" x14ac:dyDescent="0.45">
      <c r="A53" t="s">
        <v>40</v>
      </c>
      <c r="B53">
        <v>2</v>
      </c>
      <c r="C53">
        <v>-1</v>
      </c>
      <c r="D53" t="s">
        <v>4</v>
      </c>
      <c r="E53">
        <v>1</v>
      </c>
      <c r="F53" t="str">
        <f t="shared" si="1"/>
        <v>Carbohydrate metabolism</v>
      </c>
      <c r="I53" s="2" t="s">
        <v>82</v>
      </c>
      <c r="J53" t="s">
        <v>137</v>
      </c>
    </row>
    <row r="54" spans="1:10" x14ac:dyDescent="0.45">
      <c r="A54" t="s">
        <v>41</v>
      </c>
      <c r="B54">
        <v>2</v>
      </c>
      <c r="C54">
        <v>-1</v>
      </c>
      <c r="D54" t="s">
        <v>4</v>
      </c>
      <c r="E54">
        <v>1</v>
      </c>
      <c r="F54" t="str">
        <f t="shared" si="1"/>
        <v>Metabolism of cofactors and vitamins</v>
      </c>
      <c r="I54" s="2" t="s">
        <v>24</v>
      </c>
      <c r="J54" t="s">
        <v>135</v>
      </c>
    </row>
    <row r="55" spans="1:10" x14ac:dyDescent="0.45">
      <c r="A55" t="s">
        <v>42</v>
      </c>
      <c r="B55">
        <v>2</v>
      </c>
      <c r="C55">
        <v>-1</v>
      </c>
      <c r="D55" t="s">
        <v>4</v>
      </c>
      <c r="E55">
        <v>1</v>
      </c>
      <c r="F55" t="str">
        <f t="shared" si="1"/>
        <v>Metabolism of terpenoids and polyketides</v>
      </c>
      <c r="I55" s="2" t="s">
        <v>89</v>
      </c>
      <c r="J55" t="s">
        <v>128</v>
      </c>
    </row>
    <row r="56" spans="1:10" x14ac:dyDescent="0.45">
      <c r="A56" t="s">
        <v>43</v>
      </c>
      <c r="B56">
        <v>2</v>
      </c>
      <c r="C56">
        <v>-1</v>
      </c>
      <c r="D56" t="s">
        <v>4</v>
      </c>
      <c r="E56">
        <v>1</v>
      </c>
      <c r="F56" t="str">
        <f t="shared" si="1"/>
        <v>Stilbenoid; diarylheptanoid and gingerol biosynthesis</v>
      </c>
      <c r="I56" s="2" t="s">
        <v>72</v>
      </c>
      <c r="J56" t="s">
        <v>122</v>
      </c>
    </row>
    <row r="57" spans="1:10" x14ac:dyDescent="0.45">
      <c r="A57" t="s">
        <v>44</v>
      </c>
      <c r="B57">
        <v>2</v>
      </c>
      <c r="C57">
        <v>-1</v>
      </c>
      <c r="D57" t="s">
        <v>4</v>
      </c>
      <c r="E57">
        <v>1</v>
      </c>
      <c r="F57" t="str">
        <f t="shared" si="1"/>
        <v>Glucosinolate biosynthesis</v>
      </c>
      <c r="I57" s="2" t="s">
        <v>91</v>
      </c>
      <c r="J57" t="s">
        <v>119</v>
      </c>
    </row>
    <row r="58" spans="1:10" x14ac:dyDescent="0.45">
      <c r="A58" t="s">
        <v>45</v>
      </c>
      <c r="B58">
        <v>2</v>
      </c>
      <c r="C58">
        <v>-1</v>
      </c>
      <c r="D58" t="s">
        <v>4</v>
      </c>
      <c r="E58">
        <v>1</v>
      </c>
      <c r="F58" t="str">
        <f t="shared" si="1"/>
        <v>Amino acid metabolism</v>
      </c>
      <c r="I58" s="2" t="s">
        <v>53</v>
      </c>
      <c r="J58" t="s">
        <v>119</v>
      </c>
    </row>
    <row r="59" spans="1:10" x14ac:dyDescent="0.45">
      <c r="A59" t="s">
        <v>24</v>
      </c>
      <c r="B59">
        <v>2</v>
      </c>
      <c r="C59">
        <v>-1</v>
      </c>
      <c r="D59" t="s">
        <v>4</v>
      </c>
      <c r="E59">
        <v>1</v>
      </c>
      <c r="F59" t="str">
        <f t="shared" si="1"/>
        <v>Phenylpropanoid metabolism</v>
      </c>
      <c r="I59" s="2" t="s">
        <v>28</v>
      </c>
    </row>
    <row r="60" spans="1:10" x14ac:dyDescent="0.45">
      <c r="A60" t="s">
        <v>46</v>
      </c>
      <c r="B60">
        <v>2</v>
      </c>
      <c r="C60">
        <v>-1</v>
      </c>
      <c r="D60" t="s">
        <v>4</v>
      </c>
      <c r="E60">
        <v>1</v>
      </c>
      <c r="F60" t="str">
        <f t="shared" si="1"/>
        <v>Secondary metabolism</v>
      </c>
      <c r="I60" s="2" t="s">
        <v>18</v>
      </c>
      <c r="J60" t="s">
        <v>128</v>
      </c>
    </row>
    <row r="61" spans="1:10" x14ac:dyDescent="0.45">
      <c r="A61" t="s">
        <v>22</v>
      </c>
      <c r="B61">
        <v>3</v>
      </c>
      <c r="C61">
        <v>1</v>
      </c>
      <c r="D61" t="s">
        <v>4</v>
      </c>
      <c r="E61">
        <v>9</v>
      </c>
      <c r="F61" t="str">
        <f t="shared" si="1"/>
        <v>Amino acid metabolism</v>
      </c>
      <c r="I61" s="2" t="s">
        <v>59</v>
      </c>
      <c r="J61" t="s">
        <v>126</v>
      </c>
    </row>
    <row r="62" spans="1:10" x14ac:dyDescent="0.45">
      <c r="A62" t="s">
        <v>44</v>
      </c>
      <c r="B62">
        <v>3</v>
      </c>
      <c r="C62">
        <v>1</v>
      </c>
      <c r="D62" t="s">
        <v>4</v>
      </c>
      <c r="E62">
        <v>4</v>
      </c>
      <c r="F62" t="str">
        <f t="shared" si="1"/>
        <v>Glucosinolate biosynthesis</v>
      </c>
      <c r="I62" s="2" t="s">
        <v>93</v>
      </c>
      <c r="J62" t="s">
        <v>126</v>
      </c>
    </row>
    <row r="63" spans="1:10" x14ac:dyDescent="0.45">
      <c r="A63" t="s">
        <v>45</v>
      </c>
      <c r="B63">
        <v>3</v>
      </c>
      <c r="C63">
        <v>1</v>
      </c>
      <c r="D63" t="s">
        <v>4</v>
      </c>
      <c r="E63">
        <v>4</v>
      </c>
      <c r="F63" t="str">
        <f t="shared" si="1"/>
        <v>Amino acid metabolism</v>
      </c>
      <c r="I63" s="2" t="s">
        <v>37</v>
      </c>
      <c r="J63" t="s">
        <v>155</v>
      </c>
    </row>
    <row r="64" spans="1:10" x14ac:dyDescent="0.45">
      <c r="A64" t="s">
        <v>30</v>
      </c>
      <c r="B64">
        <v>3</v>
      </c>
      <c r="C64">
        <v>1</v>
      </c>
      <c r="D64" t="s">
        <v>4</v>
      </c>
      <c r="E64">
        <v>5</v>
      </c>
      <c r="F64" t="str">
        <f t="shared" si="1"/>
        <v>Degradation of aromatic compounds</v>
      </c>
      <c r="I64" s="2" t="s">
        <v>17</v>
      </c>
      <c r="J64" t="s">
        <v>126</v>
      </c>
    </row>
    <row r="65" spans="1:10" x14ac:dyDescent="0.45">
      <c r="A65" t="s">
        <v>39</v>
      </c>
      <c r="B65">
        <v>3</v>
      </c>
      <c r="C65">
        <v>1</v>
      </c>
      <c r="D65" t="s">
        <v>4</v>
      </c>
      <c r="E65">
        <v>3</v>
      </c>
      <c r="F65" t="str">
        <f t="shared" si="1"/>
        <v>Amino acid metabolism</v>
      </c>
      <c r="I65" s="2" t="s">
        <v>8</v>
      </c>
      <c r="J65" t="s">
        <v>125</v>
      </c>
    </row>
    <row r="66" spans="1:10" x14ac:dyDescent="0.45">
      <c r="A66" t="s">
        <v>47</v>
      </c>
      <c r="B66">
        <v>3</v>
      </c>
      <c r="C66">
        <v>1</v>
      </c>
      <c r="D66" t="s">
        <v>4</v>
      </c>
      <c r="E66">
        <v>3</v>
      </c>
      <c r="F66" t="str">
        <f t="shared" si="1"/>
        <v>Amino acid metabolism</v>
      </c>
      <c r="I66" s="2" t="s">
        <v>48</v>
      </c>
      <c r="J66" t="s">
        <v>125</v>
      </c>
    </row>
    <row r="67" spans="1:10" x14ac:dyDescent="0.45">
      <c r="A67" t="s">
        <v>48</v>
      </c>
      <c r="B67">
        <v>3</v>
      </c>
      <c r="C67">
        <v>1</v>
      </c>
      <c r="D67" t="s">
        <v>4</v>
      </c>
      <c r="E67">
        <v>2</v>
      </c>
      <c r="F67" t="str">
        <f t="shared" si="1"/>
        <v>Carbohydrate metabolism</v>
      </c>
      <c r="I67" s="2" t="s">
        <v>55</v>
      </c>
      <c r="J67" t="s">
        <v>119</v>
      </c>
    </row>
    <row r="68" spans="1:10" x14ac:dyDescent="0.45">
      <c r="A68" t="s">
        <v>9</v>
      </c>
      <c r="B68">
        <v>3</v>
      </c>
      <c r="C68">
        <v>1</v>
      </c>
      <c r="D68" t="s">
        <v>4</v>
      </c>
      <c r="E68">
        <v>3</v>
      </c>
      <c r="F68" t="str">
        <f t="shared" si="1"/>
        <v>Carbohydrate metabolism</v>
      </c>
      <c r="I68" s="2" t="s">
        <v>26</v>
      </c>
      <c r="J68" t="s">
        <v>119</v>
      </c>
    </row>
    <row r="69" spans="1:10" x14ac:dyDescent="0.45">
      <c r="A69" t="s">
        <v>14</v>
      </c>
      <c r="B69">
        <v>3</v>
      </c>
      <c r="C69">
        <v>1</v>
      </c>
      <c r="D69" t="s">
        <v>4</v>
      </c>
      <c r="E69">
        <v>3</v>
      </c>
      <c r="F69" t="str">
        <f t="shared" si="1"/>
        <v>Lipid metabolism</v>
      </c>
      <c r="I69" s="2" t="s">
        <v>60</v>
      </c>
      <c r="J69" t="s">
        <v>131</v>
      </c>
    </row>
    <row r="70" spans="1:10" x14ac:dyDescent="0.45">
      <c r="A70" t="s">
        <v>21</v>
      </c>
      <c r="B70">
        <v>3</v>
      </c>
      <c r="C70">
        <v>1</v>
      </c>
      <c r="D70" t="s">
        <v>4</v>
      </c>
      <c r="E70">
        <v>2</v>
      </c>
      <c r="F70" t="str">
        <f t="shared" si="1"/>
        <v xml:space="preserve">Carbon metabolism </v>
      </c>
      <c r="I70" s="2" t="s">
        <v>83</v>
      </c>
      <c r="J70" t="s">
        <v>135</v>
      </c>
    </row>
    <row r="71" spans="1:10" x14ac:dyDescent="0.45">
      <c r="A71" t="s">
        <v>24</v>
      </c>
      <c r="B71">
        <v>3</v>
      </c>
      <c r="C71">
        <v>1</v>
      </c>
      <c r="D71" t="s">
        <v>4</v>
      </c>
      <c r="E71">
        <v>4</v>
      </c>
      <c r="F71" t="str">
        <f t="shared" si="1"/>
        <v>Phenylpropanoid metabolism</v>
      </c>
      <c r="I71" s="2" t="s">
        <v>96</v>
      </c>
      <c r="J71" t="s">
        <v>156</v>
      </c>
    </row>
    <row r="72" spans="1:10" x14ac:dyDescent="0.45">
      <c r="A72" t="s">
        <v>49</v>
      </c>
      <c r="B72">
        <v>3</v>
      </c>
      <c r="C72">
        <v>1</v>
      </c>
      <c r="D72" t="s">
        <v>4</v>
      </c>
      <c r="E72">
        <v>2</v>
      </c>
      <c r="F72">
        <f t="shared" si="1"/>
        <v>0</v>
      </c>
      <c r="I72" s="2" t="s">
        <v>98</v>
      </c>
      <c r="J72" t="s">
        <v>155</v>
      </c>
    </row>
    <row r="73" spans="1:10" x14ac:dyDescent="0.45">
      <c r="A73" t="s">
        <v>7</v>
      </c>
      <c r="B73">
        <v>3</v>
      </c>
      <c r="C73">
        <v>1</v>
      </c>
      <c r="D73" t="s">
        <v>4</v>
      </c>
      <c r="E73">
        <v>1</v>
      </c>
      <c r="F73" t="str">
        <f t="shared" si="1"/>
        <v>Carbohydrate metabolism</v>
      </c>
      <c r="I73" s="2" t="s">
        <v>77</v>
      </c>
      <c r="J73" t="s">
        <v>156</v>
      </c>
    </row>
    <row r="74" spans="1:10" x14ac:dyDescent="0.45">
      <c r="A74" t="s">
        <v>50</v>
      </c>
      <c r="B74">
        <v>3</v>
      </c>
      <c r="C74">
        <v>1</v>
      </c>
      <c r="D74" t="s">
        <v>4</v>
      </c>
      <c r="E74">
        <v>1</v>
      </c>
      <c r="F74" t="str">
        <f t="shared" si="1"/>
        <v>Lipid metabolism</v>
      </c>
      <c r="I74" s="2" t="s">
        <v>67</v>
      </c>
      <c r="J74" t="s">
        <v>157</v>
      </c>
    </row>
    <row r="75" spans="1:10" x14ac:dyDescent="0.45">
      <c r="A75" t="s">
        <v>51</v>
      </c>
      <c r="B75">
        <v>3</v>
      </c>
      <c r="C75">
        <v>1</v>
      </c>
      <c r="D75" t="s">
        <v>4</v>
      </c>
      <c r="E75">
        <v>1</v>
      </c>
      <c r="F75" t="str">
        <f t="shared" si="1"/>
        <v>Metabolism of cofactors and vitamins</v>
      </c>
      <c r="I75" s="2" t="s">
        <v>99</v>
      </c>
    </row>
    <row r="76" spans="1:10" x14ac:dyDescent="0.45">
      <c r="A76" t="s">
        <v>29</v>
      </c>
      <c r="B76">
        <v>3</v>
      </c>
      <c r="C76">
        <v>1</v>
      </c>
      <c r="D76" t="s">
        <v>4</v>
      </c>
      <c r="E76">
        <v>1</v>
      </c>
      <c r="F76" t="str">
        <f t="shared" si="1"/>
        <v>Nucleotide metabolism</v>
      </c>
      <c r="I76" s="2" t="s">
        <v>5</v>
      </c>
      <c r="J76" t="s">
        <v>126</v>
      </c>
    </row>
    <row r="77" spans="1:10" x14ac:dyDescent="0.45">
      <c r="A77" t="s">
        <v>11</v>
      </c>
      <c r="B77">
        <v>3</v>
      </c>
      <c r="C77">
        <v>1</v>
      </c>
      <c r="D77" t="s">
        <v>4</v>
      </c>
      <c r="E77">
        <v>1</v>
      </c>
      <c r="F77" t="str">
        <f t="shared" si="1"/>
        <v>Nucleotide metabolism</v>
      </c>
      <c r="I77" s="2" t="s">
        <v>25</v>
      </c>
      <c r="J77" t="s">
        <v>25</v>
      </c>
    </row>
    <row r="78" spans="1:10" x14ac:dyDescent="0.45">
      <c r="A78" t="s">
        <v>52</v>
      </c>
      <c r="B78">
        <v>3</v>
      </c>
      <c r="C78">
        <v>1</v>
      </c>
      <c r="D78" t="s">
        <v>4</v>
      </c>
      <c r="E78">
        <v>1</v>
      </c>
      <c r="F78" t="str">
        <f t="shared" si="1"/>
        <v>Amino acid metabolism</v>
      </c>
      <c r="I78" s="2" t="s">
        <v>87</v>
      </c>
      <c r="J78" t="s">
        <v>125</v>
      </c>
    </row>
    <row r="79" spans="1:10" x14ac:dyDescent="0.45">
      <c r="A79" t="s">
        <v>33</v>
      </c>
      <c r="B79">
        <v>3</v>
      </c>
      <c r="C79">
        <v>1</v>
      </c>
      <c r="D79" t="s">
        <v>4</v>
      </c>
      <c r="E79">
        <v>3</v>
      </c>
      <c r="F79" t="str">
        <f t="shared" si="1"/>
        <v>Amino acid metabolism</v>
      </c>
      <c r="I79" s="2" t="s">
        <v>29</v>
      </c>
      <c r="J79" t="s">
        <v>132</v>
      </c>
    </row>
    <row r="80" spans="1:10" x14ac:dyDescent="0.45">
      <c r="A80" t="s">
        <v>53</v>
      </c>
      <c r="B80">
        <v>3</v>
      </c>
      <c r="C80">
        <v>1</v>
      </c>
      <c r="D80" t="s">
        <v>4</v>
      </c>
      <c r="E80">
        <v>1</v>
      </c>
      <c r="F80" t="str">
        <f t="shared" si="1"/>
        <v>Amino acid metabolism</v>
      </c>
      <c r="I80" s="2" t="s">
        <v>11</v>
      </c>
      <c r="J80" t="s">
        <v>132</v>
      </c>
    </row>
    <row r="81" spans="1:10" x14ac:dyDescent="0.45">
      <c r="A81" t="s">
        <v>54</v>
      </c>
      <c r="B81">
        <v>3</v>
      </c>
      <c r="C81">
        <v>1</v>
      </c>
      <c r="D81" t="s">
        <v>4</v>
      </c>
      <c r="E81">
        <v>3</v>
      </c>
      <c r="F81" t="str">
        <f t="shared" ref="F81:F144" si="2">_xlfn.XLOOKUP(A81,$I$2:$I$200,$J$2:$J$200)</f>
        <v>Amino acid metabolism</v>
      </c>
      <c r="I81" s="2" t="s">
        <v>36</v>
      </c>
      <c r="J81" t="s">
        <v>125</v>
      </c>
    </row>
    <row r="82" spans="1:10" x14ac:dyDescent="0.45">
      <c r="A82" t="s">
        <v>34</v>
      </c>
      <c r="B82">
        <v>3</v>
      </c>
      <c r="C82">
        <v>1</v>
      </c>
      <c r="D82" t="s">
        <v>4</v>
      </c>
      <c r="E82">
        <v>1</v>
      </c>
      <c r="F82" t="str">
        <f t="shared" si="2"/>
        <v>Amino acid metabolism</v>
      </c>
      <c r="I82" s="2" t="s">
        <v>16</v>
      </c>
      <c r="J82" t="s">
        <v>133</v>
      </c>
    </row>
    <row r="83" spans="1:10" x14ac:dyDescent="0.45">
      <c r="A83" t="s">
        <v>55</v>
      </c>
      <c r="B83">
        <v>3</v>
      </c>
      <c r="C83">
        <v>1</v>
      </c>
      <c r="D83" t="s">
        <v>4</v>
      </c>
      <c r="E83">
        <v>1</v>
      </c>
      <c r="F83" t="str">
        <f t="shared" si="2"/>
        <v>Amino acid metabolism</v>
      </c>
      <c r="I83" s="2" t="s">
        <v>46</v>
      </c>
      <c r="J83" t="s">
        <v>46</v>
      </c>
    </row>
    <row r="84" spans="1:10" x14ac:dyDescent="0.45">
      <c r="A84" t="s">
        <v>26</v>
      </c>
      <c r="B84">
        <v>3</v>
      </c>
      <c r="C84">
        <v>1</v>
      </c>
      <c r="D84" t="s">
        <v>4</v>
      </c>
      <c r="E84">
        <v>1</v>
      </c>
      <c r="F84" t="str">
        <f t="shared" si="2"/>
        <v>Amino acid metabolism</v>
      </c>
      <c r="I84" s="2" t="s">
        <v>76</v>
      </c>
      <c r="J84" t="s">
        <v>128</v>
      </c>
    </row>
    <row r="85" spans="1:10" x14ac:dyDescent="0.45">
      <c r="A85" t="s">
        <v>56</v>
      </c>
      <c r="B85">
        <v>3</v>
      </c>
      <c r="C85">
        <v>1</v>
      </c>
      <c r="D85" t="s">
        <v>4</v>
      </c>
      <c r="E85">
        <v>1</v>
      </c>
      <c r="F85" t="str">
        <f t="shared" si="2"/>
        <v>Amino acid metabolism</v>
      </c>
      <c r="I85" s="2" t="s">
        <v>12</v>
      </c>
      <c r="J85" t="s">
        <v>125</v>
      </c>
    </row>
    <row r="86" spans="1:10" x14ac:dyDescent="0.45">
      <c r="A86" t="s">
        <v>13</v>
      </c>
      <c r="B86">
        <v>3</v>
      </c>
      <c r="C86">
        <v>1</v>
      </c>
      <c r="D86" t="s">
        <v>4</v>
      </c>
      <c r="E86">
        <v>1</v>
      </c>
      <c r="F86" t="str">
        <f t="shared" si="2"/>
        <v>Glycan biosynthesis and metabolism</v>
      </c>
      <c r="I86" s="2" t="s">
        <v>102</v>
      </c>
      <c r="J86" t="s">
        <v>122</v>
      </c>
    </row>
    <row r="87" spans="1:10" x14ac:dyDescent="0.45">
      <c r="A87" t="s">
        <v>57</v>
      </c>
      <c r="B87">
        <v>3</v>
      </c>
      <c r="C87">
        <v>1</v>
      </c>
      <c r="D87" t="s">
        <v>4</v>
      </c>
      <c r="E87">
        <v>1</v>
      </c>
      <c r="F87" t="str">
        <f t="shared" si="2"/>
        <v>Carbohydrate metabolism</v>
      </c>
      <c r="I87" s="2" t="s">
        <v>43</v>
      </c>
      <c r="J87" t="s">
        <v>134</v>
      </c>
    </row>
    <row r="88" spans="1:10" x14ac:dyDescent="0.45">
      <c r="A88" t="s">
        <v>58</v>
      </c>
      <c r="B88">
        <v>3</v>
      </c>
      <c r="C88">
        <v>1</v>
      </c>
      <c r="D88" t="s">
        <v>4</v>
      </c>
      <c r="E88">
        <v>1</v>
      </c>
      <c r="F88" t="str">
        <f t="shared" si="2"/>
        <v>Carbohydrate metabolism</v>
      </c>
      <c r="I88" s="2" t="s">
        <v>79</v>
      </c>
      <c r="J88" t="s">
        <v>155</v>
      </c>
    </row>
    <row r="89" spans="1:10" x14ac:dyDescent="0.45">
      <c r="A89" t="s">
        <v>15</v>
      </c>
      <c r="B89">
        <v>3</v>
      </c>
      <c r="C89">
        <v>1</v>
      </c>
      <c r="D89" t="s">
        <v>4</v>
      </c>
      <c r="E89">
        <v>1</v>
      </c>
      <c r="F89" t="str">
        <f t="shared" si="2"/>
        <v>Carbon metabolism</v>
      </c>
      <c r="I89" s="2" t="s">
        <v>63</v>
      </c>
      <c r="J89" t="s">
        <v>155</v>
      </c>
    </row>
    <row r="90" spans="1:10" x14ac:dyDescent="0.45">
      <c r="A90" t="s">
        <v>59</v>
      </c>
      <c r="B90">
        <v>3</v>
      </c>
      <c r="C90">
        <v>1</v>
      </c>
      <c r="D90" t="s">
        <v>4</v>
      </c>
      <c r="E90">
        <v>2</v>
      </c>
      <c r="F90" t="str">
        <f t="shared" si="2"/>
        <v>Metabolism of cofactors and vitamins</v>
      </c>
      <c r="I90" s="2" t="s">
        <v>92</v>
      </c>
      <c r="J90" t="s">
        <v>119</v>
      </c>
    </row>
    <row r="91" spans="1:10" x14ac:dyDescent="0.45">
      <c r="A91" t="s">
        <v>17</v>
      </c>
      <c r="B91">
        <v>3</v>
      </c>
      <c r="C91">
        <v>1</v>
      </c>
      <c r="D91" t="s">
        <v>4</v>
      </c>
      <c r="E91">
        <v>1</v>
      </c>
      <c r="F91" t="str">
        <f t="shared" si="2"/>
        <v>Metabolism of cofactors and vitamins</v>
      </c>
      <c r="I91" s="2" t="s">
        <v>94</v>
      </c>
      <c r="J91" t="s">
        <v>128</v>
      </c>
    </row>
    <row r="92" spans="1:10" x14ac:dyDescent="0.45">
      <c r="A92" t="s">
        <v>6</v>
      </c>
      <c r="B92">
        <v>3</v>
      </c>
      <c r="C92">
        <v>1</v>
      </c>
      <c r="D92" t="s">
        <v>4</v>
      </c>
      <c r="E92">
        <v>3</v>
      </c>
      <c r="F92" t="str">
        <f t="shared" si="2"/>
        <v>Terpenoid metabolism</v>
      </c>
      <c r="I92" s="2" t="s">
        <v>41</v>
      </c>
      <c r="J92" t="s">
        <v>126</v>
      </c>
    </row>
    <row r="93" spans="1:10" x14ac:dyDescent="0.45">
      <c r="A93" t="s">
        <v>60</v>
      </c>
      <c r="B93">
        <v>3</v>
      </c>
      <c r="C93">
        <v>1</v>
      </c>
      <c r="D93" t="s">
        <v>4</v>
      </c>
      <c r="E93">
        <v>1</v>
      </c>
      <c r="F93" t="str">
        <f t="shared" si="2"/>
        <v>Phenylpropanoid biosynthesis</v>
      </c>
      <c r="I93" s="2" t="s">
        <v>61</v>
      </c>
      <c r="J93" t="s">
        <v>137</v>
      </c>
    </row>
    <row r="94" spans="1:10" x14ac:dyDescent="0.45">
      <c r="A94" t="s">
        <v>43</v>
      </c>
      <c r="B94">
        <v>3</v>
      </c>
      <c r="C94">
        <v>1</v>
      </c>
      <c r="D94" t="s">
        <v>4</v>
      </c>
      <c r="E94">
        <v>1</v>
      </c>
      <c r="F94" t="str">
        <f t="shared" si="2"/>
        <v>Stilbenoid; diarylheptanoid and gingerol biosynthesis</v>
      </c>
      <c r="I94" s="2" t="s">
        <v>69</v>
      </c>
      <c r="J94" t="s">
        <v>119</v>
      </c>
    </row>
    <row r="95" spans="1:10" x14ac:dyDescent="0.45">
      <c r="A95" t="s">
        <v>61</v>
      </c>
      <c r="B95">
        <v>3</v>
      </c>
      <c r="C95">
        <v>1</v>
      </c>
      <c r="D95" t="s">
        <v>4</v>
      </c>
      <c r="E95">
        <v>1</v>
      </c>
      <c r="F95" t="str">
        <f t="shared" si="2"/>
        <v>Alkaloid metabolism</v>
      </c>
      <c r="I95" s="2" t="s">
        <v>35</v>
      </c>
      <c r="J95" t="s">
        <v>119</v>
      </c>
    </row>
    <row r="96" spans="1:10" x14ac:dyDescent="0.45">
      <c r="A96" t="s">
        <v>62</v>
      </c>
      <c r="B96">
        <v>3</v>
      </c>
      <c r="C96">
        <v>1</v>
      </c>
      <c r="D96" t="s">
        <v>4</v>
      </c>
      <c r="E96">
        <v>1</v>
      </c>
      <c r="F96" t="str">
        <f t="shared" si="2"/>
        <v>Genetic Information Processing</v>
      </c>
      <c r="I96" s="2" t="s">
        <v>51</v>
      </c>
      <c r="J96" t="s">
        <v>126</v>
      </c>
    </row>
    <row r="97" spans="1:10" x14ac:dyDescent="0.45">
      <c r="A97" t="s">
        <v>23</v>
      </c>
      <c r="B97">
        <v>3</v>
      </c>
      <c r="C97">
        <v>1</v>
      </c>
      <c r="D97" t="s">
        <v>4</v>
      </c>
      <c r="E97">
        <v>1</v>
      </c>
      <c r="F97" t="str">
        <f t="shared" si="2"/>
        <v>Membrane transport</v>
      </c>
      <c r="I97" s="2" t="s">
        <v>47</v>
      </c>
      <c r="J97" t="s">
        <v>119</v>
      </c>
    </row>
    <row r="98" spans="1:10" x14ac:dyDescent="0.45">
      <c r="A98" t="s">
        <v>63</v>
      </c>
      <c r="B98">
        <v>3</v>
      </c>
      <c r="C98">
        <v>1</v>
      </c>
      <c r="D98" t="s">
        <v>4</v>
      </c>
      <c r="E98">
        <v>3</v>
      </c>
      <c r="F98" t="str">
        <f t="shared" si="2"/>
        <v>Energy metabolism</v>
      </c>
      <c r="I98" s="2" t="s">
        <v>39</v>
      </c>
      <c r="J98" t="s">
        <v>119</v>
      </c>
    </row>
    <row r="99" spans="1:10" x14ac:dyDescent="0.45">
      <c r="A99" t="s">
        <v>64</v>
      </c>
      <c r="B99">
        <v>3</v>
      </c>
      <c r="C99">
        <v>1</v>
      </c>
      <c r="D99" t="s">
        <v>4</v>
      </c>
      <c r="E99">
        <v>3</v>
      </c>
      <c r="F99">
        <f t="shared" si="2"/>
        <v>0</v>
      </c>
      <c r="I99" s="2" t="s">
        <v>88</v>
      </c>
      <c r="J99" t="s">
        <v>126</v>
      </c>
    </row>
    <row r="100" spans="1:10" x14ac:dyDescent="0.45">
      <c r="A100" t="s">
        <v>65</v>
      </c>
      <c r="B100">
        <v>3</v>
      </c>
      <c r="C100">
        <v>1</v>
      </c>
      <c r="D100" t="s">
        <v>4</v>
      </c>
      <c r="E100">
        <v>1</v>
      </c>
      <c r="F100" t="str">
        <f t="shared" si="2"/>
        <v>Amino acid metabolism</v>
      </c>
      <c r="I100" s="2" t="s">
        <v>6</v>
      </c>
      <c r="J100" t="s">
        <v>136</v>
      </c>
    </row>
    <row r="101" spans="1:10" x14ac:dyDescent="0.45">
      <c r="A101" t="s">
        <v>66</v>
      </c>
      <c r="B101">
        <v>3</v>
      </c>
      <c r="C101">
        <v>1</v>
      </c>
      <c r="D101" t="s">
        <v>4</v>
      </c>
      <c r="E101">
        <v>1</v>
      </c>
      <c r="F101" t="str">
        <f t="shared" si="2"/>
        <v>Amino acid metabolism</v>
      </c>
      <c r="I101" s="5" t="s">
        <v>163</v>
      </c>
      <c r="J101" t="s">
        <v>155</v>
      </c>
    </row>
    <row r="102" spans="1:10" x14ac:dyDescent="0.45">
      <c r="A102" t="s">
        <v>67</v>
      </c>
      <c r="B102">
        <v>3</v>
      </c>
      <c r="C102">
        <v>1</v>
      </c>
      <c r="D102" t="s">
        <v>4</v>
      </c>
      <c r="E102">
        <v>3</v>
      </c>
      <c r="F102" t="str">
        <f t="shared" si="2"/>
        <v>Biosynthesis of phenylpropanoids</v>
      </c>
      <c r="I102" t="s">
        <v>164</v>
      </c>
      <c r="J102" t="s">
        <v>122</v>
      </c>
    </row>
    <row r="103" spans="1:10" x14ac:dyDescent="0.45">
      <c r="A103" t="s">
        <v>46</v>
      </c>
      <c r="B103">
        <v>3</v>
      </c>
      <c r="C103">
        <v>1</v>
      </c>
      <c r="D103" t="s">
        <v>4</v>
      </c>
      <c r="E103">
        <v>2</v>
      </c>
      <c r="F103" t="str">
        <f t="shared" si="2"/>
        <v>Secondary metabolism</v>
      </c>
      <c r="I103" t="s">
        <v>165</v>
      </c>
      <c r="J103" t="s">
        <v>119</v>
      </c>
    </row>
    <row r="104" spans="1:10" x14ac:dyDescent="0.45">
      <c r="A104" t="s">
        <v>19</v>
      </c>
      <c r="B104">
        <v>3</v>
      </c>
      <c r="C104">
        <v>-1</v>
      </c>
      <c r="D104" t="s">
        <v>4</v>
      </c>
      <c r="E104">
        <v>8</v>
      </c>
      <c r="F104" t="str">
        <f t="shared" si="2"/>
        <v>Phenylpropanoid metabolism</v>
      </c>
      <c r="I104" t="s">
        <v>166</v>
      </c>
      <c r="J104" t="s">
        <v>167</v>
      </c>
    </row>
    <row r="105" spans="1:10" x14ac:dyDescent="0.45">
      <c r="A105" t="s">
        <v>24</v>
      </c>
      <c r="B105">
        <v>3</v>
      </c>
      <c r="C105">
        <v>-1</v>
      </c>
      <c r="D105" t="s">
        <v>4</v>
      </c>
      <c r="E105">
        <v>7</v>
      </c>
      <c r="F105" t="str">
        <f t="shared" si="2"/>
        <v>Phenylpropanoid metabolism</v>
      </c>
      <c r="I105" t="s">
        <v>169</v>
      </c>
      <c r="J105" t="s">
        <v>168</v>
      </c>
    </row>
    <row r="106" spans="1:10" x14ac:dyDescent="0.45">
      <c r="A106" t="s">
        <v>20</v>
      </c>
      <c r="B106">
        <v>3</v>
      </c>
      <c r="C106">
        <v>-1</v>
      </c>
      <c r="D106" t="s">
        <v>4</v>
      </c>
      <c r="E106">
        <v>6</v>
      </c>
      <c r="F106" t="str">
        <f t="shared" si="2"/>
        <v>Phenylpropanoid metabolism</v>
      </c>
      <c r="I106" t="s">
        <v>170</v>
      </c>
      <c r="J106" t="s">
        <v>170</v>
      </c>
    </row>
    <row r="107" spans="1:10" x14ac:dyDescent="0.45">
      <c r="A107" t="s">
        <v>22</v>
      </c>
      <c r="B107">
        <v>3</v>
      </c>
      <c r="C107">
        <v>-1</v>
      </c>
      <c r="D107" t="s">
        <v>4</v>
      </c>
      <c r="E107">
        <v>3</v>
      </c>
      <c r="F107" t="str">
        <f t="shared" si="2"/>
        <v>Amino acid metabolism</v>
      </c>
      <c r="I107" t="s">
        <v>171</v>
      </c>
      <c r="J107" t="s">
        <v>24</v>
      </c>
    </row>
    <row r="108" spans="1:10" x14ac:dyDescent="0.45">
      <c r="A108" t="s">
        <v>29</v>
      </c>
      <c r="B108">
        <v>3</v>
      </c>
      <c r="C108">
        <v>-1</v>
      </c>
      <c r="D108" t="s">
        <v>4</v>
      </c>
      <c r="E108">
        <v>2</v>
      </c>
      <c r="F108" t="str">
        <f t="shared" si="2"/>
        <v>Nucleotide metabolism</v>
      </c>
      <c r="I108" t="s">
        <v>172</v>
      </c>
      <c r="J108" t="s">
        <v>172</v>
      </c>
    </row>
    <row r="109" spans="1:10" x14ac:dyDescent="0.45">
      <c r="A109" t="s">
        <v>5</v>
      </c>
      <c r="B109">
        <v>3</v>
      </c>
      <c r="C109">
        <v>-1</v>
      </c>
      <c r="D109" t="s">
        <v>4</v>
      </c>
      <c r="E109">
        <v>2</v>
      </c>
      <c r="F109" t="str">
        <f t="shared" si="2"/>
        <v>Metabolism of cofactors and vitamins</v>
      </c>
      <c r="I109" t="s">
        <v>173</v>
      </c>
    </row>
    <row r="110" spans="1:10" x14ac:dyDescent="0.45">
      <c r="A110" t="s">
        <v>6</v>
      </c>
      <c r="B110">
        <v>3</v>
      </c>
      <c r="C110">
        <v>-1</v>
      </c>
      <c r="D110" t="s">
        <v>4</v>
      </c>
      <c r="E110">
        <v>2</v>
      </c>
      <c r="F110" t="str">
        <f t="shared" si="2"/>
        <v>Terpenoid metabolism</v>
      </c>
      <c r="I110" t="s">
        <v>174</v>
      </c>
      <c r="J110" t="s">
        <v>126</v>
      </c>
    </row>
    <row r="111" spans="1:10" x14ac:dyDescent="0.45">
      <c r="A111" t="s">
        <v>45</v>
      </c>
      <c r="B111">
        <v>3</v>
      </c>
      <c r="C111">
        <v>-1</v>
      </c>
      <c r="D111" t="s">
        <v>4</v>
      </c>
      <c r="E111">
        <v>3</v>
      </c>
      <c r="F111" t="str">
        <f t="shared" si="2"/>
        <v>Amino acid metabolism</v>
      </c>
      <c r="I111" t="s">
        <v>175</v>
      </c>
    </row>
    <row r="112" spans="1:10" x14ac:dyDescent="0.45">
      <c r="A112" t="s">
        <v>30</v>
      </c>
      <c r="B112">
        <v>3</v>
      </c>
      <c r="C112">
        <v>-1</v>
      </c>
      <c r="D112" t="s">
        <v>4</v>
      </c>
      <c r="E112">
        <v>2</v>
      </c>
      <c r="F112" t="str">
        <f t="shared" si="2"/>
        <v>Degradation of aromatic compounds</v>
      </c>
      <c r="I112" t="s">
        <v>176</v>
      </c>
      <c r="J112" t="s">
        <v>122</v>
      </c>
    </row>
    <row r="113" spans="1:9" x14ac:dyDescent="0.45">
      <c r="A113" t="s">
        <v>68</v>
      </c>
      <c r="B113">
        <v>3</v>
      </c>
      <c r="C113">
        <v>-1</v>
      </c>
      <c r="D113" t="s">
        <v>4</v>
      </c>
      <c r="E113">
        <v>2</v>
      </c>
      <c r="F113">
        <f t="shared" si="2"/>
        <v>0</v>
      </c>
      <c r="I113" t="s">
        <v>177</v>
      </c>
    </row>
    <row r="114" spans="1:9" x14ac:dyDescent="0.45">
      <c r="A114" t="s">
        <v>31</v>
      </c>
      <c r="B114">
        <v>3</v>
      </c>
      <c r="C114">
        <v>-1</v>
      </c>
      <c r="D114" t="s">
        <v>4</v>
      </c>
      <c r="E114">
        <v>1</v>
      </c>
      <c r="F114" t="str">
        <f t="shared" si="2"/>
        <v>Carbon metabolism</v>
      </c>
    </row>
    <row r="115" spans="1:9" x14ac:dyDescent="0.45">
      <c r="A115" t="s">
        <v>48</v>
      </c>
      <c r="B115">
        <v>3</v>
      </c>
      <c r="C115">
        <v>-1</v>
      </c>
      <c r="D115" t="s">
        <v>4</v>
      </c>
      <c r="E115">
        <v>1</v>
      </c>
      <c r="F115" t="str">
        <f t="shared" si="2"/>
        <v>Carbohydrate metabolism</v>
      </c>
    </row>
    <row r="116" spans="1:9" x14ac:dyDescent="0.45">
      <c r="A116" t="s">
        <v>8</v>
      </c>
      <c r="B116">
        <v>3</v>
      </c>
      <c r="C116">
        <v>-1</v>
      </c>
      <c r="D116" t="s">
        <v>4</v>
      </c>
      <c r="E116">
        <v>1</v>
      </c>
      <c r="F116" t="str">
        <f t="shared" si="2"/>
        <v>Carbohydrate metabolism</v>
      </c>
    </row>
    <row r="117" spans="1:9" x14ac:dyDescent="0.45">
      <c r="A117" t="s">
        <v>10</v>
      </c>
      <c r="B117">
        <v>3</v>
      </c>
      <c r="C117">
        <v>-1</v>
      </c>
      <c r="D117" t="s">
        <v>4</v>
      </c>
      <c r="E117">
        <v>1</v>
      </c>
      <c r="F117" t="str">
        <f t="shared" si="2"/>
        <v>Carbohydrate metabolism</v>
      </c>
    </row>
    <row r="118" spans="1:9" x14ac:dyDescent="0.45">
      <c r="A118" t="s">
        <v>32</v>
      </c>
      <c r="B118">
        <v>3</v>
      </c>
      <c r="C118">
        <v>-1</v>
      </c>
      <c r="D118" t="s">
        <v>4</v>
      </c>
      <c r="E118">
        <v>1</v>
      </c>
      <c r="F118" t="str">
        <f t="shared" si="2"/>
        <v>Lipid metabolism</v>
      </c>
    </row>
    <row r="119" spans="1:9" x14ac:dyDescent="0.45">
      <c r="A119" t="s">
        <v>51</v>
      </c>
      <c r="B119">
        <v>3</v>
      </c>
      <c r="C119">
        <v>-1</v>
      </c>
      <c r="D119" t="s">
        <v>4</v>
      </c>
      <c r="E119">
        <v>1</v>
      </c>
      <c r="F119" t="str">
        <f t="shared" si="2"/>
        <v>Metabolism of cofactors and vitamins</v>
      </c>
    </row>
    <row r="120" spans="1:9" x14ac:dyDescent="0.45">
      <c r="A120" t="s">
        <v>33</v>
      </c>
      <c r="B120">
        <v>3</v>
      </c>
      <c r="C120">
        <v>-1</v>
      </c>
      <c r="D120" t="s">
        <v>4</v>
      </c>
      <c r="E120">
        <v>1</v>
      </c>
      <c r="F120" t="str">
        <f t="shared" si="2"/>
        <v>Amino acid metabolism</v>
      </c>
    </row>
    <row r="121" spans="1:9" x14ac:dyDescent="0.45">
      <c r="A121" t="s">
        <v>54</v>
      </c>
      <c r="B121">
        <v>3</v>
      </c>
      <c r="C121">
        <v>-1</v>
      </c>
      <c r="D121" t="s">
        <v>4</v>
      </c>
      <c r="E121">
        <v>1</v>
      </c>
      <c r="F121" t="str">
        <f t="shared" si="2"/>
        <v>Amino acid metabolism</v>
      </c>
    </row>
    <row r="122" spans="1:9" x14ac:dyDescent="0.45">
      <c r="A122" t="s">
        <v>34</v>
      </c>
      <c r="B122">
        <v>3</v>
      </c>
      <c r="C122">
        <v>-1</v>
      </c>
      <c r="D122" t="s">
        <v>4</v>
      </c>
      <c r="E122">
        <v>1</v>
      </c>
      <c r="F122" t="str">
        <f t="shared" si="2"/>
        <v>Amino acid metabolism</v>
      </c>
    </row>
    <row r="123" spans="1:9" x14ac:dyDescent="0.45">
      <c r="A123" t="s">
        <v>69</v>
      </c>
      <c r="B123">
        <v>3</v>
      </c>
      <c r="C123">
        <v>-1</v>
      </c>
      <c r="D123" t="s">
        <v>4</v>
      </c>
      <c r="E123">
        <v>2</v>
      </c>
      <c r="F123" t="str">
        <f t="shared" si="2"/>
        <v>Amino acid metabolism</v>
      </c>
    </row>
    <row r="124" spans="1:9" x14ac:dyDescent="0.45">
      <c r="A124" t="s">
        <v>26</v>
      </c>
      <c r="B124">
        <v>3</v>
      </c>
      <c r="C124">
        <v>-1</v>
      </c>
      <c r="D124" t="s">
        <v>4</v>
      </c>
      <c r="E124">
        <v>1</v>
      </c>
      <c r="F124" t="str">
        <f t="shared" si="2"/>
        <v>Amino acid metabolism</v>
      </c>
    </row>
    <row r="125" spans="1:9" x14ac:dyDescent="0.45">
      <c r="A125" t="s">
        <v>70</v>
      </c>
      <c r="B125">
        <v>3</v>
      </c>
      <c r="C125">
        <v>-1</v>
      </c>
      <c r="D125" t="s">
        <v>4</v>
      </c>
      <c r="E125">
        <v>1</v>
      </c>
      <c r="F125" t="str">
        <f t="shared" si="2"/>
        <v>Amino acid metabolism</v>
      </c>
    </row>
    <row r="126" spans="1:9" x14ac:dyDescent="0.45">
      <c r="A126" t="s">
        <v>27</v>
      </c>
      <c r="B126">
        <v>3</v>
      </c>
      <c r="C126">
        <v>-1</v>
      </c>
      <c r="D126" t="s">
        <v>4</v>
      </c>
      <c r="E126">
        <v>1</v>
      </c>
      <c r="F126" t="str">
        <f t="shared" si="2"/>
        <v>Amino acid metabolism</v>
      </c>
    </row>
    <row r="127" spans="1:9" x14ac:dyDescent="0.45">
      <c r="A127" t="s">
        <v>71</v>
      </c>
      <c r="B127">
        <v>3</v>
      </c>
      <c r="C127">
        <v>-1</v>
      </c>
      <c r="D127" t="s">
        <v>4</v>
      </c>
      <c r="E127">
        <v>1</v>
      </c>
      <c r="F127" t="str">
        <f t="shared" si="2"/>
        <v>Lipid metabolism</v>
      </c>
    </row>
    <row r="128" spans="1:9" x14ac:dyDescent="0.45">
      <c r="A128" t="s">
        <v>72</v>
      </c>
      <c r="B128">
        <v>3</v>
      </c>
      <c r="C128">
        <v>-1</v>
      </c>
      <c r="D128" t="s">
        <v>4</v>
      </c>
      <c r="E128">
        <v>1</v>
      </c>
      <c r="F128" t="str">
        <f t="shared" si="2"/>
        <v>Lipid metabolism</v>
      </c>
    </row>
    <row r="129" spans="1:6" x14ac:dyDescent="0.45">
      <c r="A129" t="s">
        <v>73</v>
      </c>
      <c r="B129">
        <v>3</v>
      </c>
      <c r="C129">
        <v>-1</v>
      </c>
      <c r="D129" t="s">
        <v>4</v>
      </c>
      <c r="E129">
        <v>1</v>
      </c>
      <c r="F129" t="str">
        <f t="shared" si="2"/>
        <v>Lipid metabolism</v>
      </c>
    </row>
    <row r="130" spans="1:6" x14ac:dyDescent="0.45">
      <c r="A130" t="s">
        <v>58</v>
      </c>
      <c r="B130">
        <v>3</v>
      </c>
      <c r="C130">
        <v>-1</v>
      </c>
      <c r="D130" t="s">
        <v>4</v>
      </c>
      <c r="E130">
        <v>1</v>
      </c>
      <c r="F130" t="str">
        <f t="shared" si="2"/>
        <v>Carbohydrate metabolism</v>
      </c>
    </row>
    <row r="131" spans="1:6" x14ac:dyDescent="0.45">
      <c r="A131" t="s">
        <v>41</v>
      </c>
      <c r="B131">
        <v>3</v>
      </c>
      <c r="C131">
        <v>-1</v>
      </c>
      <c r="D131" t="s">
        <v>4</v>
      </c>
      <c r="E131">
        <v>1</v>
      </c>
      <c r="F131" t="str">
        <f t="shared" si="2"/>
        <v>Metabolism of cofactors and vitamins</v>
      </c>
    </row>
    <row r="132" spans="1:6" x14ac:dyDescent="0.45">
      <c r="A132" t="s">
        <v>17</v>
      </c>
      <c r="B132">
        <v>3</v>
      </c>
      <c r="C132">
        <v>-1</v>
      </c>
      <c r="D132" t="s">
        <v>4</v>
      </c>
      <c r="E132">
        <v>1</v>
      </c>
      <c r="F132" t="str">
        <f t="shared" si="2"/>
        <v>Metabolism of cofactors and vitamins</v>
      </c>
    </row>
    <row r="133" spans="1:6" x14ac:dyDescent="0.45">
      <c r="A133" t="s">
        <v>74</v>
      </c>
      <c r="B133">
        <v>3</v>
      </c>
      <c r="C133">
        <v>-1</v>
      </c>
      <c r="D133" t="s">
        <v>4</v>
      </c>
      <c r="E133">
        <v>1</v>
      </c>
      <c r="F133" t="str">
        <f t="shared" si="2"/>
        <v>Metabolism of cofactors and vitamins</v>
      </c>
    </row>
    <row r="134" spans="1:6" x14ac:dyDescent="0.45">
      <c r="A134" t="s">
        <v>75</v>
      </c>
      <c r="B134">
        <v>3</v>
      </c>
      <c r="C134">
        <v>-1</v>
      </c>
      <c r="D134" t="s">
        <v>4</v>
      </c>
      <c r="E134">
        <v>1</v>
      </c>
      <c r="F134" t="str">
        <f t="shared" si="2"/>
        <v>Metabolism of cofactors and vitamins</v>
      </c>
    </row>
    <row r="135" spans="1:6" x14ac:dyDescent="0.45">
      <c r="A135" t="s">
        <v>42</v>
      </c>
      <c r="B135">
        <v>3</v>
      </c>
      <c r="C135">
        <v>-1</v>
      </c>
      <c r="D135" t="s">
        <v>4</v>
      </c>
      <c r="E135">
        <v>1</v>
      </c>
      <c r="F135" t="str">
        <f t="shared" si="2"/>
        <v>Metabolism of terpenoids and polyketides</v>
      </c>
    </row>
    <row r="136" spans="1:6" x14ac:dyDescent="0.45">
      <c r="A136" t="s">
        <v>76</v>
      </c>
      <c r="B136">
        <v>3</v>
      </c>
      <c r="C136">
        <v>-1</v>
      </c>
      <c r="D136" t="s">
        <v>4</v>
      </c>
      <c r="E136">
        <v>1</v>
      </c>
      <c r="F136" t="str">
        <f t="shared" si="2"/>
        <v>Metabolism of terpenoids and polyketides</v>
      </c>
    </row>
    <row r="137" spans="1:6" x14ac:dyDescent="0.45">
      <c r="A137" t="s">
        <v>43</v>
      </c>
      <c r="B137">
        <v>3</v>
      </c>
      <c r="C137">
        <v>-1</v>
      </c>
      <c r="D137" t="s">
        <v>4</v>
      </c>
      <c r="E137">
        <v>2</v>
      </c>
      <c r="F137" t="str">
        <f t="shared" si="2"/>
        <v>Stilbenoid; diarylheptanoid and gingerol biosynthesis</v>
      </c>
    </row>
    <row r="138" spans="1:6" x14ac:dyDescent="0.45">
      <c r="A138" t="s">
        <v>44</v>
      </c>
      <c r="B138">
        <v>3</v>
      </c>
      <c r="C138">
        <v>-1</v>
      </c>
      <c r="D138" t="s">
        <v>4</v>
      </c>
      <c r="E138">
        <v>2</v>
      </c>
      <c r="F138" t="str">
        <f t="shared" si="2"/>
        <v>Glucosinolate biosynthesis</v>
      </c>
    </row>
    <row r="139" spans="1:6" x14ac:dyDescent="0.45">
      <c r="A139" t="s">
        <v>21</v>
      </c>
      <c r="B139">
        <v>3</v>
      </c>
      <c r="C139">
        <v>-1</v>
      </c>
      <c r="D139" t="s">
        <v>4</v>
      </c>
      <c r="E139">
        <v>1</v>
      </c>
      <c r="F139" t="str">
        <f t="shared" si="2"/>
        <v xml:space="preserve">Carbon metabolism </v>
      </c>
    </row>
    <row r="140" spans="1:6" x14ac:dyDescent="0.45">
      <c r="A140" t="s">
        <v>77</v>
      </c>
      <c r="B140">
        <v>3</v>
      </c>
      <c r="C140">
        <v>-1</v>
      </c>
      <c r="D140" t="s">
        <v>4</v>
      </c>
      <c r="E140">
        <v>1</v>
      </c>
      <c r="F140" t="str">
        <f t="shared" si="2"/>
        <v>Signal transduction</v>
      </c>
    </row>
    <row r="141" spans="1:6" x14ac:dyDescent="0.45">
      <c r="A141" t="s">
        <v>63</v>
      </c>
      <c r="B141">
        <v>3</v>
      </c>
      <c r="C141">
        <v>-1</v>
      </c>
      <c r="D141" t="s">
        <v>4</v>
      </c>
      <c r="E141">
        <v>1</v>
      </c>
      <c r="F141" t="str">
        <f t="shared" si="2"/>
        <v>Energy metabolism</v>
      </c>
    </row>
    <row r="142" spans="1:6" x14ac:dyDescent="0.45">
      <c r="A142" t="s">
        <v>64</v>
      </c>
      <c r="B142">
        <v>3</v>
      </c>
      <c r="C142">
        <v>-1</v>
      </c>
      <c r="D142" t="s">
        <v>4</v>
      </c>
      <c r="E142">
        <v>1</v>
      </c>
      <c r="F142">
        <f t="shared" si="2"/>
        <v>0</v>
      </c>
    </row>
    <row r="143" spans="1:6" x14ac:dyDescent="0.45">
      <c r="A143" t="s">
        <v>66</v>
      </c>
      <c r="B143">
        <v>3</v>
      </c>
      <c r="C143">
        <v>-1</v>
      </c>
      <c r="D143" t="s">
        <v>4</v>
      </c>
      <c r="E143">
        <v>1</v>
      </c>
      <c r="F143" t="str">
        <f t="shared" si="2"/>
        <v>Amino acid metabolism</v>
      </c>
    </row>
    <row r="144" spans="1:6" x14ac:dyDescent="0.45">
      <c r="A144" t="s">
        <v>67</v>
      </c>
      <c r="B144">
        <v>3</v>
      </c>
      <c r="C144">
        <v>-1</v>
      </c>
      <c r="D144" t="s">
        <v>4</v>
      </c>
      <c r="E144">
        <v>1</v>
      </c>
      <c r="F144" t="str">
        <f t="shared" si="2"/>
        <v>Biosynthesis of phenylpropanoids</v>
      </c>
    </row>
    <row r="145" spans="1:6" x14ac:dyDescent="0.45">
      <c r="A145" t="s">
        <v>46</v>
      </c>
      <c r="B145">
        <v>3</v>
      </c>
      <c r="C145">
        <v>-1</v>
      </c>
      <c r="D145" t="s">
        <v>4</v>
      </c>
      <c r="E145">
        <v>1</v>
      </c>
      <c r="F145" t="str">
        <f t="shared" ref="F145:F208" si="3">_xlfn.XLOOKUP(A145,$I$2:$I$200,$J$2:$J$200)</f>
        <v>Secondary metabolism</v>
      </c>
    </row>
    <row r="146" spans="1:6" x14ac:dyDescent="0.45">
      <c r="A146" t="s">
        <v>6</v>
      </c>
      <c r="B146">
        <v>4</v>
      </c>
      <c r="C146">
        <v>1</v>
      </c>
      <c r="D146" t="s">
        <v>4</v>
      </c>
      <c r="E146">
        <v>3</v>
      </c>
      <c r="F146" t="str">
        <f t="shared" si="3"/>
        <v>Terpenoid metabolism</v>
      </c>
    </row>
    <row r="147" spans="1:6" x14ac:dyDescent="0.45">
      <c r="A147" t="s">
        <v>44</v>
      </c>
      <c r="B147">
        <v>4</v>
      </c>
      <c r="C147">
        <v>1</v>
      </c>
      <c r="D147" t="s">
        <v>4</v>
      </c>
      <c r="E147">
        <v>3</v>
      </c>
      <c r="F147" t="str">
        <f t="shared" si="3"/>
        <v>Glucosinolate biosynthesis</v>
      </c>
    </row>
    <row r="148" spans="1:6" x14ac:dyDescent="0.45">
      <c r="A148" t="s">
        <v>45</v>
      </c>
      <c r="B148">
        <v>4</v>
      </c>
      <c r="C148">
        <v>1</v>
      </c>
      <c r="D148" t="s">
        <v>4</v>
      </c>
      <c r="E148">
        <v>3</v>
      </c>
      <c r="F148" t="str">
        <f t="shared" si="3"/>
        <v>Amino acid metabolism</v>
      </c>
    </row>
    <row r="149" spans="1:6" x14ac:dyDescent="0.45">
      <c r="A149" t="s">
        <v>11</v>
      </c>
      <c r="B149">
        <v>4</v>
      </c>
      <c r="C149">
        <v>1</v>
      </c>
      <c r="D149" t="s">
        <v>4</v>
      </c>
      <c r="E149">
        <v>2</v>
      </c>
      <c r="F149" t="str">
        <f t="shared" si="3"/>
        <v>Nucleotide metabolism</v>
      </c>
    </row>
    <row r="150" spans="1:6" x14ac:dyDescent="0.45">
      <c r="A150" t="s">
        <v>69</v>
      </c>
      <c r="B150">
        <v>4</v>
      </c>
      <c r="C150">
        <v>1</v>
      </c>
      <c r="D150" t="s">
        <v>4</v>
      </c>
      <c r="E150">
        <v>2</v>
      </c>
      <c r="F150" t="str">
        <f t="shared" si="3"/>
        <v>Amino acid metabolism</v>
      </c>
    </row>
    <row r="151" spans="1:6" x14ac:dyDescent="0.45">
      <c r="A151" t="s">
        <v>30</v>
      </c>
      <c r="B151">
        <v>4</v>
      </c>
      <c r="C151">
        <v>1</v>
      </c>
      <c r="D151" t="s">
        <v>4</v>
      </c>
      <c r="E151">
        <v>2</v>
      </c>
      <c r="F151" t="str">
        <f t="shared" si="3"/>
        <v>Degradation of aromatic compounds</v>
      </c>
    </row>
    <row r="152" spans="1:6" x14ac:dyDescent="0.45">
      <c r="A152" t="s">
        <v>22</v>
      </c>
      <c r="B152">
        <v>4</v>
      </c>
      <c r="C152">
        <v>1</v>
      </c>
      <c r="D152" t="s">
        <v>4</v>
      </c>
      <c r="E152">
        <v>2</v>
      </c>
      <c r="F152" t="str">
        <f t="shared" si="3"/>
        <v>Amino acid metabolism</v>
      </c>
    </row>
    <row r="153" spans="1:6" x14ac:dyDescent="0.45">
      <c r="A153" t="s">
        <v>49</v>
      </c>
      <c r="B153">
        <v>4</v>
      </c>
      <c r="C153">
        <v>1</v>
      </c>
      <c r="D153" t="s">
        <v>4</v>
      </c>
      <c r="E153">
        <v>1</v>
      </c>
      <c r="F153">
        <f t="shared" si="3"/>
        <v>0</v>
      </c>
    </row>
    <row r="154" spans="1:6" x14ac:dyDescent="0.45">
      <c r="A154" t="s">
        <v>8</v>
      </c>
      <c r="B154">
        <v>4</v>
      </c>
      <c r="C154">
        <v>1</v>
      </c>
      <c r="D154" t="s">
        <v>4</v>
      </c>
      <c r="E154">
        <v>1</v>
      </c>
      <c r="F154" t="str">
        <f t="shared" si="3"/>
        <v>Carbohydrate metabolism</v>
      </c>
    </row>
    <row r="155" spans="1:6" x14ac:dyDescent="0.45">
      <c r="A155" t="s">
        <v>9</v>
      </c>
      <c r="B155">
        <v>4</v>
      </c>
      <c r="C155">
        <v>1</v>
      </c>
      <c r="D155" t="s">
        <v>4</v>
      </c>
      <c r="E155">
        <v>1</v>
      </c>
      <c r="F155" t="str">
        <f t="shared" si="3"/>
        <v>Carbohydrate metabolism</v>
      </c>
    </row>
    <row r="156" spans="1:6" x14ac:dyDescent="0.45">
      <c r="A156" t="s">
        <v>10</v>
      </c>
      <c r="B156">
        <v>4</v>
      </c>
      <c r="C156">
        <v>1</v>
      </c>
      <c r="D156" t="s">
        <v>4</v>
      </c>
      <c r="E156">
        <v>1</v>
      </c>
      <c r="F156" t="str">
        <f t="shared" si="3"/>
        <v>Carbohydrate metabolism</v>
      </c>
    </row>
    <row r="157" spans="1:6" x14ac:dyDescent="0.45">
      <c r="A157" t="s">
        <v>52</v>
      </c>
      <c r="B157">
        <v>4</v>
      </c>
      <c r="C157">
        <v>1</v>
      </c>
      <c r="D157" t="s">
        <v>4</v>
      </c>
      <c r="E157">
        <v>1</v>
      </c>
      <c r="F157" t="str">
        <f t="shared" si="3"/>
        <v>Amino acid metabolism</v>
      </c>
    </row>
    <row r="158" spans="1:6" x14ac:dyDescent="0.45">
      <c r="A158" t="s">
        <v>39</v>
      </c>
      <c r="B158">
        <v>4</v>
      </c>
      <c r="C158">
        <v>1</v>
      </c>
      <c r="D158" t="s">
        <v>4</v>
      </c>
      <c r="E158">
        <v>1</v>
      </c>
      <c r="F158" t="str">
        <f t="shared" si="3"/>
        <v>Amino acid metabolism</v>
      </c>
    </row>
    <row r="159" spans="1:6" x14ac:dyDescent="0.45">
      <c r="A159" t="s">
        <v>47</v>
      </c>
      <c r="B159">
        <v>4</v>
      </c>
      <c r="C159">
        <v>1</v>
      </c>
      <c r="D159" t="s">
        <v>4</v>
      </c>
      <c r="E159">
        <v>1</v>
      </c>
      <c r="F159" t="str">
        <f t="shared" si="3"/>
        <v>Amino acid metabolism</v>
      </c>
    </row>
    <row r="160" spans="1:6" x14ac:dyDescent="0.45">
      <c r="A160" t="s">
        <v>26</v>
      </c>
      <c r="B160">
        <v>4</v>
      </c>
      <c r="C160">
        <v>1</v>
      </c>
      <c r="D160" t="s">
        <v>4</v>
      </c>
      <c r="E160">
        <v>1</v>
      </c>
      <c r="F160" t="str">
        <f t="shared" si="3"/>
        <v>Amino acid metabolism</v>
      </c>
    </row>
    <row r="161" spans="1:6" x14ac:dyDescent="0.45">
      <c r="A161" t="s">
        <v>27</v>
      </c>
      <c r="B161">
        <v>4</v>
      </c>
      <c r="C161">
        <v>1</v>
      </c>
      <c r="D161" t="s">
        <v>4</v>
      </c>
      <c r="E161">
        <v>2</v>
      </c>
      <c r="F161" t="str">
        <f t="shared" si="3"/>
        <v>Amino acid metabolism</v>
      </c>
    </row>
    <row r="162" spans="1:6" x14ac:dyDescent="0.45">
      <c r="A162" t="s">
        <v>12</v>
      </c>
      <c r="B162">
        <v>4</v>
      </c>
      <c r="C162">
        <v>1</v>
      </c>
      <c r="D162" t="s">
        <v>4</v>
      </c>
      <c r="E162">
        <v>1</v>
      </c>
      <c r="F162" t="str">
        <f t="shared" si="3"/>
        <v>Carbohydrate metabolism</v>
      </c>
    </row>
    <row r="163" spans="1:6" x14ac:dyDescent="0.45">
      <c r="A163" t="s">
        <v>13</v>
      </c>
      <c r="B163">
        <v>4</v>
      </c>
      <c r="C163">
        <v>1</v>
      </c>
      <c r="D163" t="s">
        <v>4</v>
      </c>
      <c r="E163">
        <v>1</v>
      </c>
      <c r="F163" t="str">
        <f t="shared" si="3"/>
        <v>Glycan biosynthesis and metabolism</v>
      </c>
    </row>
    <row r="164" spans="1:6" x14ac:dyDescent="0.45">
      <c r="A164" t="s">
        <v>14</v>
      </c>
      <c r="B164">
        <v>4</v>
      </c>
      <c r="C164">
        <v>1</v>
      </c>
      <c r="D164" t="s">
        <v>4</v>
      </c>
      <c r="E164">
        <v>1</v>
      </c>
      <c r="F164" t="str">
        <f t="shared" si="3"/>
        <v>Lipid metabolism</v>
      </c>
    </row>
    <row r="165" spans="1:6" x14ac:dyDescent="0.45">
      <c r="A165" t="s">
        <v>16</v>
      </c>
      <c r="B165">
        <v>4</v>
      </c>
      <c r="C165">
        <v>1</v>
      </c>
      <c r="D165" t="s">
        <v>4</v>
      </c>
      <c r="E165">
        <v>1</v>
      </c>
      <c r="F165" t="str">
        <f t="shared" si="3"/>
        <v>Metabolism of cofactors and vitamin</v>
      </c>
    </row>
    <row r="166" spans="1:6" x14ac:dyDescent="0.45">
      <c r="A166" t="s">
        <v>76</v>
      </c>
      <c r="B166">
        <v>4</v>
      </c>
      <c r="C166">
        <v>1</v>
      </c>
      <c r="D166" t="s">
        <v>4</v>
      </c>
      <c r="E166">
        <v>1</v>
      </c>
      <c r="F166" t="str">
        <f t="shared" si="3"/>
        <v>Metabolism of terpenoids and polyketides</v>
      </c>
    </row>
    <row r="167" spans="1:6" x14ac:dyDescent="0.45">
      <c r="A167" t="s">
        <v>62</v>
      </c>
      <c r="B167">
        <v>4</v>
      </c>
      <c r="C167">
        <v>1</v>
      </c>
      <c r="D167" t="s">
        <v>4</v>
      </c>
      <c r="E167">
        <v>1</v>
      </c>
      <c r="F167" t="str">
        <f t="shared" si="3"/>
        <v>Genetic Information Processing</v>
      </c>
    </row>
    <row r="168" spans="1:6" x14ac:dyDescent="0.45">
      <c r="A168" t="s">
        <v>65</v>
      </c>
      <c r="B168">
        <v>4</v>
      </c>
      <c r="C168">
        <v>1</v>
      </c>
      <c r="D168" t="s">
        <v>4</v>
      </c>
      <c r="E168">
        <v>1</v>
      </c>
      <c r="F168" t="str">
        <f t="shared" si="3"/>
        <v>Amino acid metabolism</v>
      </c>
    </row>
    <row r="169" spans="1:6" x14ac:dyDescent="0.45">
      <c r="A169" t="s">
        <v>46</v>
      </c>
      <c r="B169">
        <v>4</v>
      </c>
      <c r="C169">
        <v>1</v>
      </c>
      <c r="D169" t="s">
        <v>4</v>
      </c>
      <c r="E169">
        <v>1</v>
      </c>
      <c r="F169" t="str">
        <f t="shared" si="3"/>
        <v>Secondary metabolism</v>
      </c>
    </row>
    <row r="170" spans="1:6" x14ac:dyDescent="0.45">
      <c r="A170" t="s">
        <v>70</v>
      </c>
      <c r="B170">
        <v>4</v>
      </c>
      <c r="C170">
        <v>-1</v>
      </c>
      <c r="D170" t="s">
        <v>4</v>
      </c>
      <c r="E170">
        <v>2</v>
      </c>
      <c r="F170" t="str">
        <f t="shared" si="3"/>
        <v>Amino acid metabolism</v>
      </c>
    </row>
    <row r="171" spans="1:6" x14ac:dyDescent="0.45">
      <c r="A171" t="s">
        <v>60</v>
      </c>
      <c r="B171">
        <v>4</v>
      </c>
      <c r="C171">
        <v>-1</v>
      </c>
      <c r="D171" t="s">
        <v>4</v>
      </c>
      <c r="E171">
        <v>2</v>
      </c>
      <c r="F171" t="str">
        <f t="shared" si="3"/>
        <v>Phenylpropanoid biosynthesis</v>
      </c>
    </row>
    <row r="172" spans="1:6" x14ac:dyDescent="0.45">
      <c r="A172" t="s">
        <v>19</v>
      </c>
      <c r="B172">
        <v>3</v>
      </c>
      <c r="C172">
        <v>-1</v>
      </c>
      <c r="D172" t="s">
        <v>97</v>
      </c>
      <c r="E172">
        <v>3</v>
      </c>
      <c r="F172" t="str">
        <f t="shared" si="3"/>
        <v>Phenylpropanoid metabolism</v>
      </c>
    </row>
    <row r="173" spans="1:6" x14ac:dyDescent="0.45">
      <c r="A173" t="s">
        <v>80</v>
      </c>
      <c r="B173">
        <v>3</v>
      </c>
      <c r="C173">
        <v>-1</v>
      </c>
      <c r="D173" t="s">
        <v>97</v>
      </c>
      <c r="E173">
        <v>4</v>
      </c>
      <c r="F173" t="str">
        <f t="shared" si="3"/>
        <v>Phenylpropanoid metabolism</v>
      </c>
    </row>
    <row r="174" spans="1:6" x14ac:dyDescent="0.45">
      <c r="A174" t="s">
        <v>43</v>
      </c>
      <c r="B174">
        <v>4</v>
      </c>
      <c r="C174">
        <v>-1</v>
      </c>
      <c r="D174" t="s">
        <v>4</v>
      </c>
      <c r="E174">
        <v>2</v>
      </c>
      <c r="F174" t="str">
        <f t="shared" si="3"/>
        <v>Stilbenoid; diarylheptanoid and gingerol biosynthesis</v>
      </c>
    </row>
    <row r="175" spans="1:6" x14ac:dyDescent="0.45">
      <c r="A175" t="s">
        <v>30</v>
      </c>
      <c r="B175">
        <v>4</v>
      </c>
      <c r="C175">
        <v>-1</v>
      </c>
      <c r="D175" t="s">
        <v>4</v>
      </c>
      <c r="E175">
        <v>2</v>
      </c>
      <c r="F175" t="str">
        <f t="shared" si="3"/>
        <v>Degradation of aromatic compounds</v>
      </c>
    </row>
    <row r="176" spans="1:6" x14ac:dyDescent="0.45">
      <c r="A176" t="s">
        <v>23</v>
      </c>
      <c r="B176">
        <v>4</v>
      </c>
      <c r="C176">
        <v>-1</v>
      </c>
      <c r="D176" t="s">
        <v>4</v>
      </c>
      <c r="E176">
        <v>2</v>
      </c>
      <c r="F176" t="str">
        <f t="shared" si="3"/>
        <v>Membrane transport</v>
      </c>
    </row>
    <row r="177" spans="1:6" x14ac:dyDescent="0.45">
      <c r="A177" t="s">
        <v>78</v>
      </c>
      <c r="B177">
        <v>4</v>
      </c>
      <c r="C177">
        <v>-1</v>
      </c>
      <c r="D177" t="s">
        <v>4</v>
      </c>
      <c r="E177">
        <v>2</v>
      </c>
      <c r="F177" t="str">
        <f t="shared" si="3"/>
        <v>Alkaloid metabolism</v>
      </c>
    </row>
    <row r="178" spans="1:6" x14ac:dyDescent="0.45">
      <c r="A178" t="s">
        <v>24</v>
      </c>
      <c r="B178">
        <v>4</v>
      </c>
      <c r="C178">
        <v>-1</v>
      </c>
      <c r="D178" t="s">
        <v>4</v>
      </c>
      <c r="E178">
        <v>2</v>
      </c>
      <c r="F178" t="str">
        <f t="shared" si="3"/>
        <v>Phenylpropanoid metabolism</v>
      </c>
    </row>
    <row r="179" spans="1:6" x14ac:dyDescent="0.45">
      <c r="A179" t="s">
        <v>68</v>
      </c>
      <c r="B179">
        <v>4</v>
      </c>
      <c r="C179">
        <v>-1</v>
      </c>
      <c r="D179" t="s">
        <v>4</v>
      </c>
      <c r="E179">
        <v>2</v>
      </c>
      <c r="F179">
        <f t="shared" si="3"/>
        <v>0</v>
      </c>
    </row>
    <row r="180" spans="1:6" x14ac:dyDescent="0.45">
      <c r="A180" t="s">
        <v>73</v>
      </c>
      <c r="B180">
        <v>4</v>
      </c>
      <c r="C180">
        <v>-1</v>
      </c>
      <c r="D180" t="s">
        <v>4</v>
      </c>
      <c r="E180">
        <v>2</v>
      </c>
      <c r="F180" t="str">
        <f t="shared" si="3"/>
        <v>Lipid metabolism</v>
      </c>
    </row>
    <row r="181" spans="1:6" x14ac:dyDescent="0.45">
      <c r="A181" t="s">
        <v>10</v>
      </c>
      <c r="B181">
        <v>4</v>
      </c>
      <c r="C181">
        <v>-1</v>
      </c>
      <c r="D181" t="s">
        <v>4</v>
      </c>
      <c r="E181">
        <v>1</v>
      </c>
      <c r="F181" t="str">
        <f t="shared" si="3"/>
        <v>Carbohydrate metabolism</v>
      </c>
    </row>
    <row r="182" spans="1:6" x14ac:dyDescent="0.45">
      <c r="A182" t="s">
        <v>51</v>
      </c>
      <c r="B182">
        <v>4</v>
      </c>
      <c r="C182">
        <v>-1</v>
      </c>
      <c r="D182" t="s">
        <v>4</v>
      </c>
      <c r="E182">
        <v>1</v>
      </c>
      <c r="F182" t="str">
        <f t="shared" si="3"/>
        <v>Metabolism of cofactors and vitamins</v>
      </c>
    </row>
    <row r="183" spans="1:6" x14ac:dyDescent="0.45">
      <c r="A183" t="s">
        <v>29</v>
      </c>
      <c r="B183">
        <v>4</v>
      </c>
      <c r="C183">
        <v>-1</v>
      </c>
      <c r="D183" t="s">
        <v>4</v>
      </c>
      <c r="E183">
        <v>1</v>
      </c>
      <c r="F183" t="str">
        <f t="shared" si="3"/>
        <v>Nucleotide metabolism</v>
      </c>
    </row>
    <row r="184" spans="1:6" x14ac:dyDescent="0.45">
      <c r="A184" t="s">
        <v>11</v>
      </c>
      <c r="B184">
        <v>4</v>
      </c>
      <c r="C184">
        <v>-1</v>
      </c>
      <c r="D184" t="s">
        <v>4</v>
      </c>
      <c r="E184">
        <v>1</v>
      </c>
      <c r="F184" t="str">
        <f t="shared" si="3"/>
        <v>Nucleotide metabolism</v>
      </c>
    </row>
    <row r="185" spans="1:6" x14ac:dyDescent="0.45">
      <c r="A185" t="s">
        <v>52</v>
      </c>
      <c r="B185">
        <v>4</v>
      </c>
      <c r="C185">
        <v>-1</v>
      </c>
      <c r="D185" t="s">
        <v>4</v>
      </c>
      <c r="E185">
        <v>1</v>
      </c>
      <c r="F185" t="str">
        <f t="shared" si="3"/>
        <v>Amino acid metabolism</v>
      </c>
    </row>
    <row r="186" spans="1:6" x14ac:dyDescent="0.45">
      <c r="A186" t="s">
        <v>33</v>
      </c>
      <c r="B186">
        <v>4</v>
      </c>
      <c r="C186">
        <v>-1</v>
      </c>
      <c r="D186" t="s">
        <v>4</v>
      </c>
      <c r="E186">
        <v>1</v>
      </c>
      <c r="F186" t="str">
        <f t="shared" si="3"/>
        <v>Amino acid metabolism</v>
      </c>
    </row>
    <row r="187" spans="1:6" x14ac:dyDescent="0.45">
      <c r="A187" t="s">
        <v>34</v>
      </c>
      <c r="B187">
        <v>4</v>
      </c>
      <c r="C187">
        <v>-1</v>
      </c>
      <c r="D187" t="s">
        <v>4</v>
      </c>
      <c r="E187">
        <v>1</v>
      </c>
      <c r="F187" t="str">
        <f t="shared" si="3"/>
        <v>Amino acid metabolism</v>
      </c>
    </row>
    <row r="188" spans="1:6" x14ac:dyDescent="0.45">
      <c r="A188" t="s">
        <v>72</v>
      </c>
      <c r="B188">
        <v>4</v>
      </c>
      <c r="C188">
        <v>-1</v>
      </c>
      <c r="D188" t="s">
        <v>4</v>
      </c>
      <c r="E188">
        <v>1</v>
      </c>
      <c r="F188" t="str">
        <f t="shared" si="3"/>
        <v>Lipid metabolism</v>
      </c>
    </row>
    <row r="189" spans="1:6" x14ac:dyDescent="0.45">
      <c r="A189" t="s">
        <v>58</v>
      </c>
      <c r="B189">
        <v>4</v>
      </c>
      <c r="C189">
        <v>-1</v>
      </c>
      <c r="D189" t="s">
        <v>4</v>
      </c>
      <c r="E189">
        <v>1</v>
      </c>
      <c r="F189" t="str">
        <f t="shared" si="3"/>
        <v>Carbohydrate metabolism</v>
      </c>
    </row>
    <row r="190" spans="1:6" x14ac:dyDescent="0.45">
      <c r="A190" t="s">
        <v>16</v>
      </c>
      <c r="B190">
        <v>4</v>
      </c>
      <c r="C190">
        <v>-1</v>
      </c>
      <c r="D190" t="s">
        <v>4</v>
      </c>
      <c r="E190">
        <v>1</v>
      </c>
      <c r="F190" t="str">
        <f t="shared" si="3"/>
        <v>Metabolism of cofactors and vitamin</v>
      </c>
    </row>
    <row r="191" spans="1:6" x14ac:dyDescent="0.45">
      <c r="A191" t="s">
        <v>79</v>
      </c>
      <c r="B191">
        <v>4</v>
      </c>
      <c r="C191">
        <v>-1</v>
      </c>
      <c r="D191" t="s">
        <v>4</v>
      </c>
      <c r="E191">
        <v>1</v>
      </c>
      <c r="F191" t="str">
        <f t="shared" si="3"/>
        <v>Energy metabolism</v>
      </c>
    </row>
    <row r="192" spans="1:6" x14ac:dyDescent="0.45">
      <c r="A192" t="s">
        <v>20</v>
      </c>
      <c r="B192">
        <v>3</v>
      </c>
      <c r="C192">
        <v>-1</v>
      </c>
      <c r="D192" t="s">
        <v>97</v>
      </c>
      <c r="E192">
        <v>3</v>
      </c>
      <c r="F192" t="str">
        <f t="shared" si="3"/>
        <v>Phenylpropanoid metabolism</v>
      </c>
    </row>
    <row r="193" spans="1:6" x14ac:dyDescent="0.45">
      <c r="A193" t="s">
        <v>62</v>
      </c>
      <c r="B193">
        <v>4</v>
      </c>
      <c r="C193">
        <v>-1</v>
      </c>
      <c r="D193" t="s">
        <v>4</v>
      </c>
      <c r="E193">
        <v>1</v>
      </c>
      <c r="F193" t="str">
        <f t="shared" si="3"/>
        <v>Genetic Information Processing</v>
      </c>
    </row>
    <row r="194" spans="1:6" x14ac:dyDescent="0.45">
      <c r="A194" t="s">
        <v>81</v>
      </c>
      <c r="B194">
        <v>4</v>
      </c>
      <c r="C194">
        <v>-1</v>
      </c>
      <c r="D194" t="s">
        <v>4</v>
      </c>
      <c r="E194">
        <v>1</v>
      </c>
      <c r="F194" t="str">
        <f t="shared" si="3"/>
        <v>Lipid metabolism</v>
      </c>
    </row>
    <row r="195" spans="1:6" x14ac:dyDescent="0.45">
      <c r="A195" t="s">
        <v>21</v>
      </c>
      <c r="B195">
        <v>4</v>
      </c>
      <c r="C195">
        <v>-1</v>
      </c>
      <c r="D195" t="s">
        <v>4</v>
      </c>
      <c r="E195">
        <v>1</v>
      </c>
      <c r="F195" t="str">
        <f t="shared" si="3"/>
        <v xml:space="preserve">Carbon metabolism </v>
      </c>
    </row>
    <row r="196" spans="1:6" x14ac:dyDescent="0.45">
      <c r="A196" t="s">
        <v>22</v>
      </c>
      <c r="B196">
        <v>4</v>
      </c>
      <c r="C196">
        <v>-1</v>
      </c>
      <c r="D196" t="s">
        <v>4</v>
      </c>
      <c r="E196">
        <v>1</v>
      </c>
      <c r="F196" t="str">
        <f t="shared" si="3"/>
        <v>Amino acid metabolism</v>
      </c>
    </row>
    <row r="197" spans="1:6" x14ac:dyDescent="0.45">
      <c r="A197" t="s">
        <v>65</v>
      </c>
      <c r="B197">
        <v>4</v>
      </c>
      <c r="C197">
        <v>-1</v>
      </c>
      <c r="D197" t="s">
        <v>4</v>
      </c>
      <c r="E197">
        <v>1</v>
      </c>
      <c r="F197" t="str">
        <f t="shared" si="3"/>
        <v>Amino acid metabolism</v>
      </c>
    </row>
    <row r="198" spans="1:6" x14ac:dyDescent="0.45">
      <c r="A198" t="s">
        <v>33</v>
      </c>
      <c r="B198">
        <v>5</v>
      </c>
      <c r="C198">
        <v>1</v>
      </c>
      <c r="D198" t="s">
        <v>4</v>
      </c>
      <c r="E198">
        <v>1</v>
      </c>
      <c r="F198" t="str">
        <f t="shared" si="3"/>
        <v>Amino acid metabolism</v>
      </c>
    </row>
    <row r="199" spans="1:6" x14ac:dyDescent="0.45">
      <c r="A199" t="s">
        <v>19</v>
      </c>
      <c r="B199">
        <v>4</v>
      </c>
      <c r="C199">
        <v>-1</v>
      </c>
      <c r="D199" t="s">
        <v>4</v>
      </c>
      <c r="E199">
        <v>2</v>
      </c>
      <c r="F199" t="str">
        <f t="shared" si="3"/>
        <v>Phenylpropanoid metabolism</v>
      </c>
    </row>
    <row r="200" spans="1:6" x14ac:dyDescent="0.45">
      <c r="A200" t="s">
        <v>101</v>
      </c>
      <c r="B200">
        <v>3</v>
      </c>
      <c r="C200">
        <v>-1</v>
      </c>
      <c r="D200" t="s">
        <v>97</v>
      </c>
      <c r="E200">
        <v>2</v>
      </c>
      <c r="F200" t="str">
        <f t="shared" si="3"/>
        <v>Phenylpropanoid metabolism</v>
      </c>
    </row>
    <row r="201" spans="1:6" x14ac:dyDescent="0.45">
      <c r="A201" t="s">
        <v>23</v>
      </c>
      <c r="B201">
        <v>5</v>
      </c>
      <c r="C201">
        <v>1</v>
      </c>
      <c r="D201" t="s">
        <v>4</v>
      </c>
      <c r="E201">
        <v>1</v>
      </c>
      <c r="F201" t="str">
        <f t="shared" si="3"/>
        <v>Membrane transport</v>
      </c>
    </row>
    <row r="202" spans="1:6" x14ac:dyDescent="0.45">
      <c r="A202" t="s">
        <v>30</v>
      </c>
      <c r="B202">
        <v>5</v>
      </c>
      <c r="C202">
        <v>-1</v>
      </c>
      <c r="D202" t="s">
        <v>4</v>
      </c>
      <c r="E202">
        <v>12</v>
      </c>
      <c r="F202" t="str">
        <f t="shared" si="3"/>
        <v>Degradation of aromatic compounds</v>
      </c>
    </row>
    <row r="203" spans="1:6" x14ac:dyDescent="0.45">
      <c r="A203" t="s">
        <v>72</v>
      </c>
      <c r="B203">
        <v>5</v>
      </c>
      <c r="C203">
        <v>-1</v>
      </c>
      <c r="D203" t="s">
        <v>4</v>
      </c>
      <c r="E203">
        <v>9</v>
      </c>
      <c r="F203" t="str">
        <f t="shared" si="3"/>
        <v>Lipid metabolism</v>
      </c>
    </row>
    <row r="204" spans="1:6" x14ac:dyDescent="0.45">
      <c r="A204" t="s">
        <v>23</v>
      </c>
      <c r="B204">
        <v>5</v>
      </c>
      <c r="C204">
        <v>-1</v>
      </c>
      <c r="D204" t="s">
        <v>4</v>
      </c>
      <c r="E204">
        <v>8</v>
      </c>
      <c r="F204" t="str">
        <f t="shared" si="3"/>
        <v>Membrane transport</v>
      </c>
    </row>
    <row r="205" spans="1:6" x14ac:dyDescent="0.45">
      <c r="A205" t="s">
        <v>45</v>
      </c>
      <c r="B205">
        <v>5</v>
      </c>
      <c r="C205">
        <v>-1</v>
      </c>
      <c r="D205" t="s">
        <v>4</v>
      </c>
      <c r="E205">
        <v>10</v>
      </c>
      <c r="F205" t="str">
        <f t="shared" si="3"/>
        <v>Amino acid metabolism</v>
      </c>
    </row>
    <row r="206" spans="1:6" x14ac:dyDescent="0.45">
      <c r="A206" t="s">
        <v>22</v>
      </c>
      <c r="B206">
        <v>5</v>
      </c>
      <c r="C206">
        <v>-1</v>
      </c>
      <c r="D206" t="s">
        <v>4</v>
      </c>
      <c r="E206">
        <v>9</v>
      </c>
      <c r="F206" t="str">
        <f t="shared" si="3"/>
        <v>Amino acid metabolism</v>
      </c>
    </row>
    <row r="207" spans="1:6" x14ac:dyDescent="0.45">
      <c r="A207" t="s">
        <v>10</v>
      </c>
      <c r="B207">
        <v>5</v>
      </c>
      <c r="C207">
        <v>-1</v>
      </c>
      <c r="D207" t="s">
        <v>4</v>
      </c>
      <c r="E207">
        <v>6</v>
      </c>
      <c r="F207" t="str">
        <f t="shared" si="3"/>
        <v>Carbohydrate metabolism</v>
      </c>
    </row>
    <row r="208" spans="1:6" x14ac:dyDescent="0.45">
      <c r="A208" t="s">
        <v>32</v>
      </c>
      <c r="B208">
        <v>5</v>
      </c>
      <c r="C208">
        <v>-1</v>
      </c>
      <c r="D208" t="s">
        <v>4</v>
      </c>
      <c r="E208">
        <v>10</v>
      </c>
      <c r="F208" t="str">
        <f t="shared" si="3"/>
        <v>Lipid metabolism</v>
      </c>
    </row>
    <row r="209" spans="1:6" x14ac:dyDescent="0.45">
      <c r="A209" t="s">
        <v>42</v>
      </c>
      <c r="B209">
        <v>5</v>
      </c>
      <c r="C209">
        <v>-1</v>
      </c>
      <c r="D209" t="s">
        <v>4</v>
      </c>
      <c r="E209">
        <v>7</v>
      </c>
      <c r="F209" t="str">
        <f t="shared" ref="F209:F272" si="4">_xlfn.XLOOKUP(A209,$I$2:$I$200,$J$2:$J$200)</f>
        <v>Metabolism of terpenoids and polyketides</v>
      </c>
    </row>
    <row r="210" spans="1:6" x14ac:dyDescent="0.45">
      <c r="A210" t="s">
        <v>60</v>
      </c>
      <c r="B210">
        <v>5</v>
      </c>
      <c r="C210">
        <v>-1</v>
      </c>
      <c r="D210" t="s">
        <v>4</v>
      </c>
      <c r="E210">
        <v>6</v>
      </c>
      <c r="F210" t="str">
        <f t="shared" si="4"/>
        <v>Phenylpropanoid biosynthesis</v>
      </c>
    </row>
    <row r="211" spans="1:6" x14ac:dyDescent="0.45">
      <c r="A211" t="s">
        <v>24</v>
      </c>
      <c r="B211">
        <v>5</v>
      </c>
      <c r="C211">
        <v>-1</v>
      </c>
      <c r="D211" t="s">
        <v>4</v>
      </c>
      <c r="E211">
        <v>7</v>
      </c>
      <c r="F211" t="str">
        <f t="shared" si="4"/>
        <v>Phenylpropanoid metabolism</v>
      </c>
    </row>
    <row r="212" spans="1:6" x14ac:dyDescent="0.45">
      <c r="A212" t="s">
        <v>29</v>
      </c>
      <c r="B212">
        <v>5</v>
      </c>
      <c r="C212">
        <v>-1</v>
      </c>
      <c r="D212" t="s">
        <v>4</v>
      </c>
      <c r="E212">
        <v>6</v>
      </c>
      <c r="F212" t="str">
        <f t="shared" si="4"/>
        <v>Nucleotide metabolism</v>
      </c>
    </row>
    <row r="213" spans="1:6" x14ac:dyDescent="0.45">
      <c r="A213" t="s">
        <v>55</v>
      </c>
      <c r="B213">
        <v>5</v>
      </c>
      <c r="C213">
        <v>-1</v>
      </c>
      <c r="D213" t="s">
        <v>4</v>
      </c>
      <c r="E213">
        <v>6</v>
      </c>
      <c r="F213" t="str">
        <f t="shared" si="4"/>
        <v>Amino acid metabolism</v>
      </c>
    </row>
    <row r="214" spans="1:6" x14ac:dyDescent="0.45">
      <c r="A214" t="s">
        <v>40</v>
      </c>
      <c r="B214">
        <v>5</v>
      </c>
      <c r="C214">
        <v>-1</v>
      </c>
      <c r="D214" t="s">
        <v>4</v>
      </c>
      <c r="E214">
        <v>7</v>
      </c>
      <c r="F214" t="str">
        <f t="shared" si="4"/>
        <v>Carbohydrate metabolism</v>
      </c>
    </row>
    <row r="215" spans="1:6" x14ac:dyDescent="0.45">
      <c r="A215" t="s">
        <v>82</v>
      </c>
      <c r="B215">
        <v>5</v>
      </c>
      <c r="C215">
        <v>-1</v>
      </c>
      <c r="D215" t="s">
        <v>4</v>
      </c>
      <c r="E215">
        <v>6</v>
      </c>
      <c r="F215" t="str">
        <f t="shared" si="4"/>
        <v>Alkaloid metabolism</v>
      </c>
    </row>
    <row r="216" spans="1:6" x14ac:dyDescent="0.45">
      <c r="A216" t="s">
        <v>44</v>
      </c>
      <c r="B216">
        <v>5</v>
      </c>
      <c r="C216">
        <v>-1</v>
      </c>
      <c r="D216" t="s">
        <v>4</v>
      </c>
      <c r="E216">
        <v>6</v>
      </c>
      <c r="F216" t="str">
        <f t="shared" si="4"/>
        <v>Glucosinolate biosynthesis</v>
      </c>
    </row>
    <row r="217" spans="1:6" x14ac:dyDescent="0.45">
      <c r="A217" t="s">
        <v>83</v>
      </c>
      <c r="B217">
        <v>5</v>
      </c>
      <c r="C217">
        <v>-1</v>
      </c>
      <c r="D217" t="s">
        <v>4</v>
      </c>
      <c r="E217">
        <v>5</v>
      </c>
      <c r="F217" t="str">
        <f t="shared" si="4"/>
        <v>Phenylpropanoid metabolism</v>
      </c>
    </row>
    <row r="218" spans="1:6" x14ac:dyDescent="0.45">
      <c r="A218" t="s">
        <v>84</v>
      </c>
      <c r="B218">
        <v>5</v>
      </c>
      <c r="C218">
        <v>-1</v>
      </c>
      <c r="D218" t="s">
        <v>4</v>
      </c>
      <c r="E218">
        <v>5</v>
      </c>
      <c r="F218" t="str">
        <f t="shared" si="4"/>
        <v>Carbohydrate metabolism</v>
      </c>
    </row>
    <row r="219" spans="1:6" x14ac:dyDescent="0.45">
      <c r="A219" t="s">
        <v>73</v>
      </c>
      <c r="B219">
        <v>5</v>
      </c>
      <c r="C219">
        <v>-1</v>
      </c>
      <c r="D219" t="s">
        <v>4</v>
      </c>
      <c r="E219">
        <v>4</v>
      </c>
      <c r="F219" t="str">
        <f t="shared" si="4"/>
        <v>Lipid metabolism</v>
      </c>
    </row>
    <row r="220" spans="1:6" x14ac:dyDescent="0.45">
      <c r="A220" t="s">
        <v>34</v>
      </c>
      <c r="B220">
        <v>5</v>
      </c>
      <c r="C220">
        <v>-1</v>
      </c>
      <c r="D220" t="s">
        <v>4</v>
      </c>
      <c r="E220">
        <v>5</v>
      </c>
      <c r="F220" t="str">
        <f t="shared" si="4"/>
        <v>Amino acid metabolism</v>
      </c>
    </row>
    <row r="221" spans="1:6" x14ac:dyDescent="0.45">
      <c r="A221" t="s">
        <v>35</v>
      </c>
      <c r="B221">
        <v>5</v>
      </c>
      <c r="C221">
        <v>-1</v>
      </c>
      <c r="D221" t="s">
        <v>4</v>
      </c>
      <c r="E221">
        <v>5</v>
      </c>
      <c r="F221" t="str">
        <f t="shared" si="4"/>
        <v>Amino acid metabolism</v>
      </c>
    </row>
    <row r="222" spans="1:6" x14ac:dyDescent="0.45">
      <c r="A222" t="s">
        <v>69</v>
      </c>
      <c r="B222">
        <v>5</v>
      </c>
      <c r="C222">
        <v>-1</v>
      </c>
      <c r="D222" t="s">
        <v>4</v>
      </c>
      <c r="E222">
        <v>6</v>
      </c>
      <c r="F222" t="str">
        <f t="shared" si="4"/>
        <v>Amino acid metabolism</v>
      </c>
    </row>
    <row r="223" spans="1:6" x14ac:dyDescent="0.45">
      <c r="A223" t="s">
        <v>13</v>
      </c>
      <c r="B223">
        <v>5</v>
      </c>
      <c r="C223">
        <v>-1</v>
      </c>
      <c r="D223" t="s">
        <v>4</v>
      </c>
      <c r="E223">
        <v>4</v>
      </c>
      <c r="F223" t="str">
        <f t="shared" si="4"/>
        <v>Glycan biosynthesis and metabolism</v>
      </c>
    </row>
    <row r="224" spans="1:6" x14ac:dyDescent="0.45">
      <c r="A224" t="s">
        <v>74</v>
      </c>
      <c r="B224">
        <v>5</v>
      </c>
      <c r="C224">
        <v>-1</v>
      </c>
      <c r="D224" t="s">
        <v>4</v>
      </c>
      <c r="E224">
        <v>4</v>
      </c>
      <c r="F224" t="str">
        <f t="shared" si="4"/>
        <v>Metabolism of cofactors and vitamins</v>
      </c>
    </row>
    <row r="225" spans="1:6" x14ac:dyDescent="0.45">
      <c r="A225" t="s">
        <v>85</v>
      </c>
      <c r="B225">
        <v>5</v>
      </c>
      <c r="C225">
        <v>-1</v>
      </c>
      <c r="D225" t="s">
        <v>4</v>
      </c>
      <c r="E225">
        <v>7</v>
      </c>
      <c r="F225" t="str">
        <f t="shared" si="4"/>
        <v>Terpenoid metabolism</v>
      </c>
    </row>
    <row r="226" spans="1:6" x14ac:dyDescent="0.45">
      <c r="A226" t="s">
        <v>46</v>
      </c>
      <c r="B226">
        <v>5</v>
      </c>
      <c r="C226">
        <v>-1</v>
      </c>
      <c r="D226" t="s">
        <v>4</v>
      </c>
      <c r="E226">
        <v>4</v>
      </c>
      <c r="F226" t="str">
        <f t="shared" si="4"/>
        <v>Secondary metabolism</v>
      </c>
    </row>
    <row r="227" spans="1:6" x14ac:dyDescent="0.45">
      <c r="A227" t="s">
        <v>9</v>
      </c>
      <c r="B227">
        <v>5</v>
      </c>
      <c r="C227">
        <v>-1</v>
      </c>
      <c r="D227" t="s">
        <v>4</v>
      </c>
      <c r="E227">
        <v>4</v>
      </c>
      <c r="F227" t="str">
        <f t="shared" si="4"/>
        <v>Carbohydrate metabolism</v>
      </c>
    </row>
    <row r="228" spans="1:6" x14ac:dyDescent="0.45">
      <c r="A228" t="s">
        <v>66</v>
      </c>
      <c r="B228">
        <v>5</v>
      </c>
      <c r="C228">
        <v>-1</v>
      </c>
      <c r="D228" t="s">
        <v>4</v>
      </c>
      <c r="E228">
        <v>6</v>
      </c>
      <c r="F228" t="str">
        <f t="shared" si="4"/>
        <v>Amino acid metabolism</v>
      </c>
    </row>
    <row r="229" spans="1:6" x14ac:dyDescent="0.45">
      <c r="A229" t="s">
        <v>31</v>
      </c>
      <c r="B229">
        <v>5</v>
      </c>
      <c r="C229">
        <v>-1</v>
      </c>
      <c r="D229" t="s">
        <v>4</v>
      </c>
      <c r="E229">
        <v>4</v>
      </c>
      <c r="F229" t="str">
        <f t="shared" si="4"/>
        <v>Carbon metabolism</v>
      </c>
    </row>
    <row r="230" spans="1:6" x14ac:dyDescent="0.45">
      <c r="A230" t="s">
        <v>8</v>
      </c>
      <c r="B230">
        <v>5</v>
      </c>
      <c r="C230">
        <v>-1</v>
      </c>
      <c r="D230" t="s">
        <v>4</v>
      </c>
      <c r="E230">
        <v>4</v>
      </c>
      <c r="F230" t="str">
        <f t="shared" si="4"/>
        <v>Carbohydrate metabolism</v>
      </c>
    </row>
    <row r="231" spans="1:6" x14ac:dyDescent="0.45">
      <c r="A231" t="s">
        <v>11</v>
      </c>
      <c r="B231">
        <v>5</v>
      </c>
      <c r="C231">
        <v>-1</v>
      </c>
      <c r="D231" t="s">
        <v>4</v>
      </c>
      <c r="E231">
        <v>4</v>
      </c>
      <c r="F231" t="str">
        <f t="shared" si="4"/>
        <v>Nucleotide metabolism</v>
      </c>
    </row>
    <row r="232" spans="1:6" x14ac:dyDescent="0.45">
      <c r="A232" t="s">
        <v>19</v>
      </c>
      <c r="B232">
        <v>5</v>
      </c>
      <c r="C232">
        <v>-1</v>
      </c>
      <c r="D232" t="s">
        <v>4</v>
      </c>
      <c r="E232">
        <v>3</v>
      </c>
      <c r="F232" t="str">
        <f t="shared" si="4"/>
        <v>Phenylpropanoid metabolism</v>
      </c>
    </row>
    <row r="233" spans="1:6" x14ac:dyDescent="0.45">
      <c r="A233" t="s">
        <v>20</v>
      </c>
      <c r="B233">
        <v>4</v>
      </c>
      <c r="C233">
        <v>-1</v>
      </c>
      <c r="D233" t="s">
        <v>4</v>
      </c>
      <c r="E233">
        <v>2</v>
      </c>
      <c r="F233" t="str">
        <f t="shared" si="4"/>
        <v>Phenylpropanoid metabolism</v>
      </c>
    </row>
    <row r="234" spans="1:6" x14ac:dyDescent="0.45">
      <c r="A234" t="s">
        <v>62</v>
      </c>
      <c r="B234">
        <v>5</v>
      </c>
      <c r="C234">
        <v>-1</v>
      </c>
      <c r="D234" t="s">
        <v>4</v>
      </c>
      <c r="E234">
        <v>3</v>
      </c>
      <c r="F234" t="str">
        <f t="shared" si="4"/>
        <v>Genetic Information Processing</v>
      </c>
    </row>
    <row r="235" spans="1:6" x14ac:dyDescent="0.45">
      <c r="A235" t="s">
        <v>65</v>
      </c>
      <c r="B235">
        <v>5</v>
      </c>
      <c r="C235">
        <v>-1</v>
      </c>
      <c r="D235" t="s">
        <v>4</v>
      </c>
      <c r="E235">
        <v>3</v>
      </c>
      <c r="F235" t="str">
        <f t="shared" si="4"/>
        <v>Amino acid metabolism</v>
      </c>
    </row>
    <row r="236" spans="1:6" x14ac:dyDescent="0.45">
      <c r="A236" t="s">
        <v>78</v>
      </c>
      <c r="B236">
        <v>5</v>
      </c>
      <c r="C236">
        <v>-1</v>
      </c>
      <c r="D236" t="s">
        <v>4</v>
      </c>
      <c r="E236">
        <v>7</v>
      </c>
      <c r="F236" t="str">
        <f t="shared" si="4"/>
        <v>Alkaloid metabolism</v>
      </c>
    </row>
    <row r="237" spans="1:6" x14ac:dyDescent="0.45">
      <c r="A237" t="s">
        <v>25</v>
      </c>
      <c r="B237">
        <v>5</v>
      </c>
      <c r="C237">
        <v>-1</v>
      </c>
      <c r="D237" t="s">
        <v>4</v>
      </c>
      <c r="E237">
        <v>4</v>
      </c>
      <c r="F237" t="str">
        <f t="shared" si="4"/>
        <v>Primary metabolism</v>
      </c>
    </row>
    <row r="238" spans="1:6" x14ac:dyDescent="0.45">
      <c r="A238" t="s">
        <v>7</v>
      </c>
      <c r="B238">
        <v>5</v>
      </c>
      <c r="C238">
        <v>-1</v>
      </c>
      <c r="D238" t="s">
        <v>4</v>
      </c>
      <c r="E238">
        <v>3</v>
      </c>
      <c r="F238" t="str">
        <f t="shared" si="4"/>
        <v>Carbohydrate metabolism</v>
      </c>
    </row>
    <row r="239" spans="1:6" x14ac:dyDescent="0.45">
      <c r="A239" t="s">
        <v>38</v>
      </c>
      <c r="B239">
        <v>5</v>
      </c>
      <c r="C239">
        <v>-1</v>
      </c>
      <c r="D239" t="s">
        <v>4</v>
      </c>
      <c r="E239">
        <v>3</v>
      </c>
      <c r="F239" t="str">
        <f t="shared" si="4"/>
        <v>Amino acid metabolism</v>
      </c>
    </row>
    <row r="240" spans="1:6" x14ac:dyDescent="0.45">
      <c r="A240" t="s">
        <v>39</v>
      </c>
      <c r="B240">
        <v>5</v>
      </c>
      <c r="C240">
        <v>-1</v>
      </c>
      <c r="D240" t="s">
        <v>4</v>
      </c>
      <c r="E240">
        <v>2</v>
      </c>
      <c r="F240" t="str">
        <f t="shared" si="4"/>
        <v>Amino acid metabolism</v>
      </c>
    </row>
    <row r="241" spans="1:6" x14ac:dyDescent="0.45">
      <c r="A241" t="s">
        <v>47</v>
      </c>
      <c r="B241">
        <v>5</v>
      </c>
      <c r="C241">
        <v>-1</v>
      </c>
      <c r="D241" t="s">
        <v>4</v>
      </c>
      <c r="E241">
        <v>2</v>
      </c>
      <c r="F241" t="str">
        <f t="shared" si="4"/>
        <v>Amino acid metabolism</v>
      </c>
    </row>
    <row r="242" spans="1:6" x14ac:dyDescent="0.45">
      <c r="A242" t="s">
        <v>26</v>
      </c>
      <c r="B242">
        <v>5</v>
      </c>
      <c r="C242">
        <v>-1</v>
      </c>
      <c r="D242" t="s">
        <v>4</v>
      </c>
      <c r="E242">
        <v>2</v>
      </c>
      <c r="F242" t="str">
        <f t="shared" si="4"/>
        <v>Amino acid metabolism</v>
      </c>
    </row>
    <row r="243" spans="1:6" x14ac:dyDescent="0.45">
      <c r="A243" t="s">
        <v>56</v>
      </c>
      <c r="B243">
        <v>5</v>
      </c>
      <c r="C243">
        <v>-1</v>
      </c>
      <c r="D243" t="s">
        <v>4</v>
      </c>
      <c r="E243">
        <v>2</v>
      </c>
      <c r="F243" t="str">
        <f t="shared" si="4"/>
        <v>Amino acid metabolism</v>
      </c>
    </row>
    <row r="244" spans="1:6" x14ac:dyDescent="0.45">
      <c r="A244" t="s">
        <v>27</v>
      </c>
      <c r="B244">
        <v>5</v>
      </c>
      <c r="C244">
        <v>-1</v>
      </c>
      <c r="D244" t="s">
        <v>4</v>
      </c>
      <c r="E244">
        <v>2</v>
      </c>
      <c r="F244" t="str">
        <f t="shared" si="4"/>
        <v>Amino acid metabolism</v>
      </c>
    </row>
    <row r="245" spans="1:6" x14ac:dyDescent="0.45">
      <c r="A245" t="s">
        <v>86</v>
      </c>
      <c r="B245">
        <v>5</v>
      </c>
      <c r="C245">
        <v>-1</v>
      </c>
      <c r="D245" t="s">
        <v>4</v>
      </c>
      <c r="E245">
        <v>3</v>
      </c>
      <c r="F245" t="str">
        <f t="shared" si="4"/>
        <v>Lipid metabolism</v>
      </c>
    </row>
    <row r="246" spans="1:6" x14ac:dyDescent="0.45">
      <c r="A246" t="s">
        <v>36</v>
      </c>
      <c r="B246">
        <v>5</v>
      </c>
      <c r="C246">
        <v>-1</v>
      </c>
      <c r="D246" t="s">
        <v>4</v>
      </c>
      <c r="E246">
        <v>3</v>
      </c>
      <c r="F246" t="str">
        <f t="shared" si="4"/>
        <v>Carbohydrate metabolism</v>
      </c>
    </row>
    <row r="247" spans="1:6" x14ac:dyDescent="0.45">
      <c r="A247" t="s">
        <v>58</v>
      </c>
      <c r="B247">
        <v>5</v>
      </c>
      <c r="C247">
        <v>-1</v>
      </c>
      <c r="D247" t="s">
        <v>4</v>
      </c>
      <c r="E247">
        <v>3</v>
      </c>
      <c r="F247" t="str">
        <f t="shared" si="4"/>
        <v>Carbohydrate metabolism</v>
      </c>
    </row>
    <row r="248" spans="1:6" x14ac:dyDescent="0.45">
      <c r="A248" t="s">
        <v>87</v>
      </c>
      <c r="B248">
        <v>5</v>
      </c>
      <c r="C248">
        <v>-1</v>
      </c>
      <c r="D248" t="s">
        <v>4</v>
      </c>
      <c r="E248">
        <v>3</v>
      </c>
      <c r="F248" t="str">
        <f t="shared" si="4"/>
        <v>Carbohydrate metabolism</v>
      </c>
    </row>
    <row r="249" spans="1:6" x14ac:dyDescent="0.45">
      <c r="A249" t="s">
        <v>16</v>
      </c>
      <c r="B249">
        <v>5</v>
      </c>
      <c r="C249">
        <v>-1</v>
      </c>
      <c r="D249" t="s">
        <v>4</v>
      </c>
      <c r="E249">
        <v>2</v>
      </c>
      <c r="F249" t="str">
        <f t="shared" si="4"/>
        <v>Metabolism of cofactors and vitamin</v>
      </c>
    </row>
    <row r="250" spans="1:6" x14ac:dyDescent="0.45">
      <c r="A250" t="s">
        <v>88</v>
      </c>
      <c r="B250">
        <v>5</v>
      </c>
      <c r="C250">
        <v>-1</v>
      </c>
      <c r="D250" t="s">
        <v>4</v>
      </c>
      <c r="E250">
        <v>3</v>
      </c>
      <c r="F250" t="str">
        <f t="shared" si="4"/>
        <v>Metabolism of cofactors and vitamins</v>
      </c>
    </row>
    <row r="251" spans="1:6" x14ac:dyDescent="0.45">
      <c r="A251" t="s">
        <v>5</v>
      </c>
      <c r="B251">
        <v>5</v>
      </c>
      <c r="C251">
        <v>-1</v>
      </c>
      <c r="D251" t="s">
        <v>4</v>
      </c>
      <c r="E251">
        <v>2</v>
      </c>
      <c r="F251" t="str">
        <f t="shared" si="4"/>
        <v>Metabolism of cofactors and vitamins</v>
      </c>
    </row>
    <row r="252" spans="1:6" x14ac:dyDescent="0.45">
      <c r="A252" t="s">
        <v>89</v>
      </c>
      <c r="B252">
        <v>5</v>
      </c>
      <c r="C252">
        <v>-1</v>
      </c>
      <c r="D252" t="s">
        <v>4</v>
      </c>
      <c r="E252">
        <v>2</v>
      </c>
      <c r="F252" t="str">
        <f t="shared" si="4"/>
        <v>Metabolism of terpenoids and polyketides</v>
      </c>
    </row>
    <row r="253" spans="1:6" x14ac:dyDescent="0.45">
      <c r="A253" t="s">
        <v>80</v>
      </c>
      <c r="B253">
        <v>4</v>
      </c>
      <c r="C253">
        <v>-1</v>
      </c>
      <c r="D253" t="s">
        <v>4</v>
      </c>
      <c r="E253">
        <v>1</v>
      </c>
      <c r="F253" t="str">
        <f t="shared" si="4"/>
        <v>Phenylpropanoid metabolism</v>
      </c>
    </row>
    <row r="254" spans="1:6" x14ac:dyDescent="0.45">
      <c r="A254" t="s">
        <v>43</v>
      </c>
      <c r="B254">
        <v>5</v>
      </c>
      <c r="C254">
        <v>-1</v>
      </c>
      <c r="D254" t="s">
        <v>4</v>
      </c>
      <c r="E254">
        <v>6</v>
      </c>
      <c r="F254" t="str">
        <f t="shared" si="4"/>
        <v>Stilbenoid; diarylheptanoid and gingerol biosynthesis</v>
      </c>
    </row>
    <row r="255" spans="1:6" x14ac:dyDescent="0.45">
      <c r="A255" t="s">
        <v>61</v>
      </c>
      <c r="B255">
        <v>5</v>
      </c>
      <c r="C255">
        <v>-1</v>
      </c>
      <c r="D255" t="s">
        <v>4</v>
      </c>
      <c r="E255">
        <v>2</v>
      </c>
      <c r="F255" t="str">
        <f t="shared" si="4"/>
        <v>Alkaloid metabolism</v>
      </c>
    </row>
    <row r="256" spans="1:6" x14ac:dyDescent="0.45">
      <c r="A256" t="s">
        <v>81</v>
      </c>
      <c r="B256">
        <v>5</v>
      </c>
      <c r="C256">
        <v>-1</v>
      </c>
      <c r="D256" t="s">
        <v>4</v>
      </c>
      <c r="E256">
        <v>2</v>
      </c>
      <c r="F256" t="str">
        <f t="shared" si="4"/>
        <v>Lipid metabolism</v>
      </c>
    </row>
    <row r="257" spans="1:6" x14ac:dyDescent="0.45">
      <c r="A257" t="s">
        <v>21</v>
      </c>
      <c r="B257">
        <v>5</v>
      </c>
      <c r="C257">
        <v>-1</v>
      </c>
      <c r="D257" t="s">
        <v>4</v>
      </c>
      <c r="E257">
        <v>3</v>
      </c>
      <c r="F257" t="str">
        <f t="shared" si="4"/>
        <v xml:space="preserve">Carbon metabolism </v>
      </c>
    </row>
    <row r="258" spans="1:6" x14ac:dyDescent="0.45">
      <c r="A258" t="s">
        <v>76</v>
      </c>
      <c r="B258">
        <v>5</v>
      </c>
      <c r="C258">
        <v>-1</v>
      </c>
      <c r="D258" t="s">
        <v>4</v>
      </c>
      <c r="E258">
        <v>3</v>
      </c>
      <c r="F258" t="str">
        <f t="shared" si="4"/>
        <v>Metabolism of terpenoids and polyketides</v>
      </c>
    </row>
    <row r="259" spans="1:6" x14ac:dyDescent="0.45">
      <c r="A259" t="s">
        <v>48</v>
      </c>
      <c r="B259">
        <v>5</v>
      </c>
      <c r="C259">
        <v>-1</v>
      </c>
      <c r="D259" t="s">
        <v>4</v>
      </c>
      <c r="E259">
        <v>1</v>
      </c>
      <c r="F259" t="str">
        <f t="shared" si="4"/>
        <v>Carbohydrate metabolism</v>
      </c>
    </row>
    <row r="260" spans="1:6" x14ac:dyDescent="0.45">
      <c r="A260" t="s">
        <v>37</v>
      </c>
      <c r="B260">
        <v>5</v>
      </c>
      <c r="C260">
        <v>-1</v>
      </c>
      <c r="D260" t="s">
        <v>4</v>
      </c>
      <c r="E260">
        <v>1</v>
      </c>
      <c r="F260" t="str">
        <f t="shared" si="4"/>
        <v>Energy metabolism</v>
      </c>
    </row>
    <row r="261" spans="1:6" x14ac:dyDescent="0.45">
      <c r="A261" t="s">
        <v>90</v>
      </c>
      <c r="B261">
        <v>5</v>
      </c>
      <c r="C261">
        <v>-1</v>
      </c>
      <c r="D261" t="s">
        <v>4</v>
      </c>
      <c r="E261">
        <v>1</v>
      </c>
      <c r="F261" t="str">
        <f t="shared" si="4"/>
        <v>Biosynthesis of other secondary metabolites</v>
      </c>
    </row>
    <row r="262" spans="1:6" x14ac:dyDescent="0.45">
      <c r="A262" t="s">
        <v>33</v>
      </c>
      <c r="B262">
        <v>5</v>
      </c>
      <c r="C262">
        <v>-1</v>
      </c>
      <c r="D262" t="s">
        <v>4</v>
      </c>
      <c r="E262">
        <v>2</v>
      </c>
      <c r="F262" t="str">
        <f t="shared" si="4"/>
        <v>Amino acid metabolism</v>
      </c>
    </row>
    <row r="263" spans="1:6" x14ac:dyDescent="0.45">
      <c r="A263" t="s">
        <v>91</v>
      </c>
      <c r="B263">
        <v>5</v>
      </c>
      <c r="C263">
        <v>-1</v>
      </c>
      <c r="D263" t="s">
        <v>4</v>
      </c>
      <c r="E263">
        <v>2</v>
      </c>
      <c r="F263" t="str">
        <f t="shared" si="4"/>
        <v>Amino acid metabolism</v>
      </c>
    </row>
    <row r="264" spans="1:6" x14ac:dyDescent="0.45">
      <c r="A264" t="s">
        <v>54</v>
      </c>
      <c r="B264">
        <v>5</v>
      </c>
      <c r="C264">
        <v>-1</v>
      </c>
      <c r="D264" t="s">
        <v>4</v>
      </c>
      <c r="E264">
        <v>2</v>
      </c>
      <c r="F264" t="str">
        <f t="shared" si="4"/>
        <v>Amino acid metabolism</v>
      </c>
    </row>
    <row r="265" spans="1:6" x14ac:dyDescent="0.45">
      <c r="A265" t="s">
        <v>70</v>
      </c>
      <c r="B265">
        <v>5</v>
      </c>
      <c r="C265">
        <v>-1</v>
      </c>
      <c r="D265" t="s">
        <v>4</v>
      </c>
      <c r="E265">
        <v>1</v>
      </c>
      <c r="F265" t="str">
        <f t="shared" si="4"/>
        <v>Amino acid metabolism</v>
      </c>
    </row>
    <row r="266" spans="1:6" x14ac:dyDescent="0.45">
      <c r="A266" t="s">
        <v>92</v>
      </c>
      <c r="B266">
        <v>5</v>
      </c>
      <c r="C266">
        <v>-1</v>
      </c>
      <c r="D266" t="s">
        <v>4</v>
      </c>
      <c r="E266">
        <v>2</v>
      </c>
      <c r="F266" t="str">
        <f t="shared" si="4"/>
        <v>Amino acid metabolism</v>
      </c>
    </row>
    <row r="267" spans="1:6" x14ac:dyDescent="0.45">
      <c r="A267" t="s">
        <v>12</v>
      </c>
      <c r="B267">
        <v>5</v>
      </c>
      <c r="C267">
        <v>-1</v>
      </c>
      <c r="D267" t="s">
        <v>4</v>
      </c>
      <c r="E267">
        <v>1</v>
      </c>
      <c r="F267" t="str">
        <f t="shared" si="4"/>
        <v>Carbohydrate metabolism</v>
      </c>
    </row>
    <row r="268" spans="1:6" x14ac:dyDescent="0.45">
      <c r="A268" t="s">
        <v>14</v>
      </c>
      <c r="B268">
        <v>5</v>
      </c>
      <c r="C268">
        <v>-1</v>
      </c>
      <c r="D268" t="s">
        <v>4</v>
      </c>
      <c r="E268">
        <v>2</v>
      </c>
      <c r="F268" t="str">
        <f t="shared" si="4"/>
        <v>Lipid metabolism</v>
      </c>
    </row>
    <row r="269" spans="1:6" x14ac:dyDescent="0.45">
      <c r="A269" t="s">
        <v>41</v>
      </c>
      <c r="B269">
        <v>5</v>
      </c>
      <c r="C269">
        <v>-1</v>
      </c>
      <c r="D269" t="s">
        <v>4</v>
      </c>
      <c r="E269">
        <v>1</v>
      </c>
      <c r="F269" t="str">
        <f t="shared" si="4"/>
        <v>Metabolism of cofactors and vitamins</v>
      </c>
    </row>
    <row r="270" spans="1:6" x14ac:dyDescent="0.45">
      <c r="A270" t="s">
        <v>59</v>
      </c>
      <c r="B270">
        <v>5</v>
      </c>
      <c r="C270">
        <v>-1</v>
      </c>
      <c r="D270" t="s">
        <v>4</v>
      </c>
      <c r="E270">
        <v>1</v>
      </c>
      <c r="F270" t="str">
        <f t="shared" si="4"/>
        <v>Metabolism of cofactors and vitamins</v>
      </c>
    </row>
    <row r="271" spans="1:6" x14ac:dyDescent="0.45">
      <c r="A271" t="s">
        <v>17</v>
      </c>
      <c r="B271">
        <v>5</v>
      </c>
      <c r="C271">
        <v>-1</v>
      </c>
      <c r="D271" t="s">
        <v>4</v>
      </c>
      <c r="E271">
        <v>1</v>
      </c>
      <c r="F271" t="str">
        <f t="shared" si="4"/>
        <v>Metabolism of cofactors and vitamins</v>
      </c>
    </row>
    <row r="272" spans="1:6" x14ac:dyDescent="0.45">
      <c r="A272" t="s">
        <v>18</v>
      </c>
      <c r="B272">
        <v>5</v>
      </c>
      <c r="C272">
        <v>-1</v>
      </c>
      <c r="D272" t="s">
        <v>4</v>
      </c>
      <c r="E272">
        <v>1</v>
      </c>
      <c r="F272" t="str">
        <f t="shared" si="4"/>
        <v>Metabolism of terpenoids and polyketides</v>
      </c>
    </row>
    <row r="273" spans="1:6" x14ac:dyDescent="0.45">
      <c r="A273" t="s">
        <v>6</v>
      </c>
      <c r="B273">
        <v>5</v>
      </c>
      <c r="C273">
        <v>-1</v>
      </c>
      <c r="D273" t="s">
        <v>4</v>
      </c>
      <c r="E273">
        <v>2</v>
      </c>
      <c r="F273" t="str">
        <f t="shared" ref="F273:F336" si="5">_xlfn.XLOOKUP(A273,$I$2:$I$200,$J$2:$J$200)</f>
        <v>Terpenoid metabolism</v>
      </c>
    </row>
    <row r="274" spans="1:6" x14ac:dyDescent="0.45">
      <c r="A274" t="s">
        <v>77</v>
      </c>
      <c r="B274">
        <v>5</v>
      </c>
      <c r="C274">
        <v>-1</v>
      </c>
      <c r="D274" t="s">
        <v>4</v>
      </c>
      <c r="E274">
        <v>4</v>
      </c>
      <c r="F274" t="str">
        <f t="shared" si="5"/>
        <v>Signal transduction</v>
      </c>
    </row>
    <row r="275" spans="1:6" x14ac:dyDescent="0.45">
      <c r="A275" t="s">
        <v>63</v>
      </c>
      <c r="B275">
        <v>5</v>
      </c>
      <c r="C275">
        <v>-1</v>
      </c>
      <c r="D275" t="s">
        <v>4</v>
      </c>
      <c r="E275">
        <v>2</v>
      </c>
      <c r="F275" t="str">
        <f t="shared" si="5"/>
        <v>Energy metabolism</v>
      </c>
    </row>
    <row r="276" spans="1:6" x14ac:dyDescent="0.45">
      <c r="A276" t="s">
        <v>64</v>
      </c>
      <c r="B276">
        <v>5</v>
      </c>
      <c r="C276">
        <v>-1</v>
      </c>
      <c r="D276" t="s">
        <v>4</v>
      </c>
      <c r="E276">
        <v>2</v>
      </c>
      <c r="F276">
        <f t="shared" si="5"/>
        <v>0</v>
      </c>
    </row>
    <row r="277" spans="1:6" x14ac:dyDescent="0.45">
      <c r="A277" t="s">
        <v>67</v>
      </c>
      <c r="B277">
        <v>5</v>
      </c>
      <c r="C277">
        <v>-1</v>
      </c>
      <c r="D277" t="s">
        <v>4</v>
      </c>
      <c r="E277">
        <v>2</v>
      </c>
      <c r="F277" t="str">
        <f t="shared" si="5"/>
        <v>Biosynthesis of phenylpropanoids</v>
      </c>
    </row>
    <row r="278" spans="1:6" x14ac:dyDescent="0.45">
      <c r="A278" t="s">
        <v>11</v>
      </c>
      <c r="B278">
        <v>6</v>
      </c>
      <c r="C278">
        <v>1</v>
      </c>
      <c r="D278" t="s">
        <v>4</v>
      </c>
      <c r="E278">
        <v>3</v>
      </c>
      <c r="F278" t="str">
        <f t="shared" si="5"/>
        <v>Nucleotide metabolism</v>
      </c>
    </row>
    <row r="279" spans="1:6" x14ac:dyDescent="0.45">
      <c r="A279" t="s">
        <v>9</v>
      </c>
      <c r="B279">
        <v>6</v>
      </c>
      <c r="C279">
        <v>1</v>
      </c>
      <c r="D279" t="s">
        <v>4</v>
      </c>
      <c r="E279">
        <v>2</v>
      </c>
      <c r="F279" t="str">
        <f t="shared" si="5"/>
        <v>Carbohydrate metabolism</v>
      </c>
    </row>
    <row r="280" spans="1:6" x14ac:dyDescent="0.45">
      <c r="A280" t="s">
        <v>32</v>
      </c>
      <c r="B280">
        <v>6</v>
      </c>
      <c r="C280">
        <v>1</v>
      </c>
      <c r="D280" t="s">
        <v>4</v>
      </c>
      <c r="E280">
        <v>3</v>
      </c>
      <c r="F280" t="str">
        <f t="shared" si="5"/>
        <v>Lipid metabolism</v>
      </c>
    </row>
    <row r="281" spans="1:6" x14ac:dyDescent="0.45">
      <c r="A281" t="s">
        <v>5</v>
      </c>
      <c r="B281">
        <v>6</v>
      </c>
      <c r="C281">
        <v>1</v>
      </c>
      <c r="D281" t="s">
        <v>4</v>
      </c>
      <c r="E281">
        <v>2</v>
      </c>
      <c r="F281" t="str">
        <f t="shared" si="5"/>
        <v>Metabolism of cofactors and vitamins</v>
      </c>
    </row>
    <row r="282" spans="1:6" x14ac:dyDescent="0.45">
      <c r="A282" t="s">
        <v>42</v>
      </c>
      <c r="B282">
        <v>6</v>
      </c>
      <c r="C282">
        <v>1</v>
      </c>
      <c r="D282" t="s">
        <v>4</v>
      </c>
      <c r="E282">
        <v>2</v>
      </c>
      <c r="F282" t="str">
        <f t="shared" si="5"/>
        <v>Metabolism of terpenoids and polyketides</v>
      </c>
    </row>
    <row r="283" spans="1:6" x14ac:dyDescent="0.45">
      <c r="A283" t="s">
        <v>60</v>
      </c>
      <c r="B283">
        <v>6</v>
      </c>
      <c r="C283">
        <v>1</v>
      </c>
      <c r="D283" t="s">
        <v>4</v>
      </c>
      <c r="E283">
        <v>2</v>
      </c>
      <c r="F283" t="str">
        <f t="shared" si="5"/>
        <v>Phenylpropanoid biosynthesis</v>
      </c>
    </row>
    <row r="284" spans="1:6" x14ac:dyDescent="0.45">
      <c r="A284" t="s">
        <v>43</v>
      </c>
      <c r="B284">
        <v>6</v>
      </c>
      <c r="C284">
        <v>1</v>
      </c>
      <c r="D284" t="s">
        <v>4</v>
      </c>
      <c r="E284">
        <v>2</v>
      </c>
      <c r="F284" t="str">
        <f t="shared" si="5"/>
        <v>Stilbenoid; diarylheptanoid and gingerol biosynthesis</v>
      </c>
    </row>
    <row r="285" spans="1:6" x14ac:dyDescent="0.45">
      <c r="A285" t="s">
        <v>45</v>
      </c>
      <c r="B285">
        <v>6</v>
      </c>
      <c r="C285">
        <v>1</v>
      </c>
      <c r="D285" t="s">
        <v>4</v>
      </c>
      <c r="E285">
        <v>3</v>
      </c>
      <c r="F285" t="str">
        <f t="shared" si="5"/>
        <v>Amino acid metabolism</v>
      </c>
    </row>
    <row r="286" spans="1:6" x14ac:dyDescent="0.45">
      <c r="A286" t="s">
        <v>30</v>
      </c>
      <c r="B286">
        <v>6</v>
      </c>
      <c r="C286">
        <v>1</v>
      </c>
      <c r="D286" t="s">
        <v>4</v>
      </c>
      <c r="E286">
        <v>2</v>
      </c>
      <c r="F286" t="str">
        <f t="shared" si="5"/>
        <v>Degradation of aromatic compounds</v>
      </c>
    </row>
    <row r="287" spans="1:6" x14ac:dyDescent="0.45">
      <c r="A287" t="s">
        <v>83</v>
      </c>
      <c r="B287">
        <v>6</v>
      </c>
      <c r="C287">
        <v>1</v>
      </c>
      <c r="D287" t="s">
        <v>4</v>
      </c>
      <c r="E287">
        <v>2</v>
      </c>
      <c r="F287" t="str">
        <f t="shared" si="5"/>
        <v>Phenylpropanoid metabolism</v>
      </c>
    </row>
    <row r="288" spans="1:6" x14ac:dyDescent="0.45">
      <c r="A288" t="s">
        <v>31</v>
      </c>
      <c r="B288">
        <v>6</v>
      </c>
      <c r="C288">
        <v>1</v>
      </c>
      <c r="D288" t="s">
        <v>4</v>
      </c>
      <c r="E288">
        <v>1</v>
      </c>
      <c r="F288" t="str">
        <f t="shared" si="5"/>
        <v>Carbon metabolism</v>
      </c>
    </row>
    <row r="289" spans="1:6" x14ac:dyDescent="0.45">
      <c r="A289" t="s">
        <v>8</v>
      </c>
      <c r="B289">
        <v>6</v>
      </c>
      <c r="C289">
        <v>1</v>
      </c>
      <c r="D289" t="s">
        <v>4</v>
      </c>
      <c r="E289">
        <v>1</v>
      </c>
      <c r="F289" t="str">
        <f t="shared" si="5"/>
        <v>Carbohydrate metabolism</v>
      </c>
    </row>
    <row r="290" spans="1:6" x14ac:dyDescent="0.45">
      <c r="A290" t="s">
        <v>10</v>
      </c>
      <c r="B290">
        <v>6</v>
      </c>
      <c r="C290">
        <v>1</v>
      </c>
      <c r="D290" t="s">
        <v>4</v>
      </c>
      <c r="E290">
        <v>1</v>
      </c>
      <c r="F290" t="str">
        <f t="shared" si="5"/>
        <v>Carbohydrate metabolism</v>
      </c>
    </row>
    <row r="291" spans="1:6" x14ac:dyDescent="0.45">
      <c r="A291" t="s">
        <v>38</v>
      </c>
      <c r="B291">
        <v>6</v>
      </c>
      <c r="C291">
        <v>1</v>
      </c>
      <c r="D291" t="s">
        <v>4</v>
      </c>
      <c r="E291">
        <v>1</v>
      </c>
      <c r="F291" t="str">
        <f t="shared" si="5"/>
        <v>Amino acid metabolism</v>
      </c>
    </row>
    <row r="292" spans="1:6" x14ac:dyDescent="0.45">
      <c r="A292" t="s">
        <v>91</v>
      </c>
      <c r="B292">
        <v>6</v>
      </c>
      <c r="C292">
        <v>1</v>
      </c>
      <c r="D292" t="s">
        <v>4</v>
      </c>
      <c r="E292">
        <v>1</v>
      </c>
      <c r="F292" t="str">
        <f t="shared" si="5"/>
        <v>Amino acid metabolism</v>
      </c>
    </row>
    <row r="293" spans="1:6" x14ac:dyDescent="0.45">
      <c r="A293" t="s">
        <v>54</v>
      </c>
      <c r="B293">
        <v>6</v>
      </c>
      <c r="C293">
        <v>1</v>
      </c>
      <c r="D293" t="s">
        <v>4</v>
      </c>
      <c r="E293">
        <v>2</v>
      </c>
      <c r="F293" t="str">
        <f t="shared" si="5"/>
        <v>Amino acid metabolism</v>
      </c>
    </row>
    <row r="294" spans="1:6" x14ac:dyDescent="0.45">
      <c r="A294" t="s">
        <v>34</v>
      </c>
      <c r="B294">
        <v>6</v>
      </c>
      <c r="C294">
        <v>1</v>
      </c>
      <c r="D294" t="s">
        <v>4</v>
      </c>
      <c r="E294">
        <v>1</v>
      </c>
      <c r="F294" t="str">
        <f t="shared" si="5"/>
        <v>Amino acid metabolism</v>
      </c>
    </row>
    <row r="295" spans="1:6" x14ac:dyDescent="0.45">
      <c r="A295" t="s">
        <v>35</v>
      </c>
      <c r="B295">
        <v>6</v>
      </c>
      <c r="C295">
        <v>1</v>
      </c>
      <c r="D295" t="s">
        <v>4</v>
      </c>
      <c r="E295">
        <v>1</v>
      </c>
      <c r="F295" t="str">
        <f t="shared" si="5"/>
        <v>Amino acid metabolism</v>
      </c>
    </row>
    <row r="296" spans="1:6" x14ac:dyDescent="0.45">
      <c r="A296" t="s">
        <v>69</v>
      </c>
      <c r="B296">
        <v>6</v>
      </c>
      <c r="C296">
        <v>1</v>
      </c>
      <c r="D296" t="s">
        <v>4</v>
      </c>
      <c r="E296">
        <v>1</v>
      </c>
      <c r="F296" t="str">
        <f t="shared" si="5"/>
        <v>Amino acid metabolism</v>
      </c>
    </row>
    <row r="297" spans="1:6" x14ac:dyDescent="0.45">
      <c r="A297" t="s">
        <v>26</v>
      </c>
      <c r="B297">
        <v>6</v>
      </c>
      <c r="C297">
        <v>1</v>
      </c>
      <c r="D297" t="s">
        <v>4</v>
      </c>
      <c r="E297">
        <v>1</v>
      </c>
      <c r="F297" t="str">
        <f t="shared" si="5"/>
        <v>Amino acid metabolism</v>
      </c>
    </row>
    <row r="298" spans="1:6" x14ac:dyDescent="0.45">
      <c r="A298" t="s">
        <v>92</v>
      </c>
      <c r="B298">
        <v>6</v>
      </c>
      <c r="C298">
        <v>1</v>
      </c>
      <c r="D298" t="s">
        <v>4</v>
      </c>
      <c r="E298">
        <v>1</v>
      </c>
      <c r="F298" t="str">
        <f t="shared" si="5"/>
        <v>Amino acid metabolism</v>
      </c>
    </row>
    <row r="299" spans="1:6" x14ac:dyDescent="0.45">
      <c r="A299" t="s">
        <v>12</v>
      </c>
      <c r="B299">
        <v>6</v>
      </c>
      <c r="C299">
        <v>1</v>
      </c>
      <c r="D299" t="s">
        <v>4</v>
      </c>
      <c r="E299">
        <v>1</v>
      </c>
      <c r="F299" t="str">
        <f t="shared" si="5"/>
        <v>Carbohydrate metabolism</v>
      </c>
    </row>
    <row r="300" spans="1:6" x14ac:dyDescent="0.45">
      <c r="A300" t="s">
        <v>14</v>
      </c>
      <c r="B300">
        <v>6</v>
      </c>
      <c r="C300">
        <v>1</v>
      </c>
      <c r="D300" t="s">
        <v>4</v>
      </c>
      <c r="E300">
        <v>1</v>
      </c>
      <c r="F300" t="str">
        <f t="shared" si="5"/>
        <v>Lipid metabolism</v>
      </c>
    </row>
    <row r="301" spans="1:6" x14ac:dyDescent="0.45">
      <c r="A301" t="s">
        <v>72</v>
      </c>
      <c r="B301">
        <v>6</v>
      </c>
      <c r="C301">
        <v>1</v>
      </c>
      <c r="D301" t="s">
        <v>4</v>
      </c>
      <c r="E301">
        <v>1</v>
      </c>
      <c r="F301" t="str">
        <f t="shared" si="5"/>
        <v>Lipid metabolism</v>
      </c>
    </row>
    <row r="302" spans="1:6" x14ac:dyDescent="0.45">
      <c r="A302" t="s">
        <v>58</v>
      </c>
      <c r="B302">
        <v>6</v>
      </c>
      <c r="C302">
        <v>1</v>
      </c>
      <c r="D302" t="s">
        <v>4</v>
      </c>
      <c r="E302">
        <v>1</v>
      </c>
      <c r="F302" t="str">
        <f t="shared" si="5"/>
        <v>Carbohydrate metabolism</v>
      </c>
    </row>
    <row r="303" spans="1:6" x14ac:dyDescent="0.45">
      <c r="A303" t="s">
        <v>40</v>
      </c>
      <c r="B303">
        <v>6</v>
      </c>
      <c r="C303">
        <v>1</v>
      </c>
      <c r="D303" t="s">
        <v>4</v>
      </c>
      <c r="E303">
        <v>1</v>
      </c>
      <c r="F303" t="str">
        <f t="shared" si="5"/>
        <v>Carbohydrate metabolism</v>
      </c>
    </row>
    <row r="304" spans="1:6" x14ac:dyDescent="0.45">
      <c r="A304" t="s">
        <v>84</v>
      </c>
      <c r="B304">
        <v>6</v>
      </c>
      <c r="C304">
        <v>1</v>
      </c>
      <c r="D304" t="s">
        <v>4</v>
      </c>
      <c r="E304">
        <v>1</v>
      </c>
      <c r="F304" t="str">
        <f t="shared" si="5"/>
        <v>Carbohydrate metabolism</v>
      </c>
    </row>
    <row r="305" spans="1:6" x14ac:dyDescent="0.45">
      <c r="A305" t="s">
        <v>16</v>
      </c>
      <c r="B305">
        <v>6</v>
      </c>
      <c r="C305">
        <v>1</v>
      </c>
      <c r="D305" t="s">
        <v>4</v>
      </c>
      <c r="E305">
        <v>1</v>
      </c>
      <c r="F305" t="str">
        <f t="shared" si="5"/>
        <v>Metabolism of cofactors and vitamin</v>
      </c>
    </row>
    <row r="306" spans="1:6" x14ac:dyDescent="0.45">
      <c r="A306" t="s">
        <v>88</v>
      </c>
      <c r="B306">
        <v>6</v>
      </c>
      <c r="C306">
        <v>1</v>
      </c>
      <c r="D306" t="s">
        <v>4</v>
      </c>
      <c r="E306">
        <v>1</v>
      </c>
      <c r="F306" t="str">
        <f t="shared" si="5"/>
        <v>Metabolism of cofactors and vitamins</v>
      </c>
    </row>
    <row r="307" spans="1:6" x14ac:dyDescent="0.45">
      <c r="A307" t="s">
        <v>59</v>
      </c>
      <c r="B307">
        <v>6</v>
      </c>
      <c r="C307">
        <v>1</v>
      </c>
      <c r="D307" t="s">
        <v>4</v>
      </c>
      <c r="E307">
        <v>1</v>
      </c>
      <c r="F307" t="str">
        <f t="shared" si="5"/>
        <v>Metabolism of cofactors and vitamins</v>
      </c>
    </row>
    <row r="308" spans="1:6" x14ac:dyDescent="0.45">
      <c r="A308" t="s">
        <v>74</v>
      </c>
      <c r="B308">
        <v>6</v>
      </c>
      <c r="C308">
        <v>1</v>
      </c>
      <c r="D308" t="s">
        <v>4</v>
      </c>
      <c r="E308">
        <v>2</v>
      </c>
      <c r="F308" t="str">
        <f t="shared" si="5"/>
        <v>Metabolism of cofactors and vitamins</v>
      </c>
    </row>
    <row r="309" spans="1:6" x14ac:dyDescent="0.45">
      <c r="A309" t="s">
        <v>19</v>
      </c>
      <c r="B309">
        <v>5</v>
      </c>
      <c r="C309">
        <v>1</v>
      </c>
      <c r="D309" t="s">
        <v>4</v>
      </c>
      <c r="E309">
        <v>1</v>
      </c>
      <c r="F309" t="str">
        <f t="shared" si="5"/>
        <v>Phenylpropanoid metabolism</v>
      </c>
    </row>
    <row r="310" spans="1:6" x14ac:dyDescent="0.45">
      <c r="A310" t="s">
        <v>20</v>
      </c>
      <c r="B310">
        <v>5</v>
      </c>
      <c r="C310">
        <v>1</v>
      </c>
      <c r="D310" t="s">
        <v>4</v>
      </c>
      <c r="E310">
        <v>1</v>
      </c>
      <c r="F310" t="str">
        <f t="shared" si="5"/>
        <v>Phenylpropanoid metabolism</v>
      </c>
    </row>
    <row r="311" spans="1:6" x14ac:dyDescent="0.45">
      <c r="A311" t="s">
        <v>81</v>
      </c>
      <c r="B311">
        <v>6</v>
      </c>
      <c r="C311">
        <v>1</v>
      </c>
      <c r="D311" t="s">
        <v>4</v>
      </c>
      <c r="E311">
        <v>1</v>
      </c>
      <c r="F311" t="str">
        <f t="shared" si="5"/>
        <v>Lipid metabolism</v>
      </c>
    </row>
    <row r="312" spans="1:6" x14ac:dyDescent="0.45">
      <c r="A312" t="s">
        <v>21</v>
      </c>
      <c r="B312">
        <v>6</v>
      </c>
      <c r="C312">
        <v>1</v>
      </c>
      <c r="D312" t="s">
        <v>4</v>
      </c>
      <c r="E312">
        <v>1</v>
      </c>
      <c r="F312" t="str">
        <f t="shared" si="5"/>
        <v xml:space="preserve">Carbon metabolism </v>
      </c>
    </row>
    <row r="313" spans="1:6" x14ac:dyDescent="0.45">
      <c r="A313" t="s">
        <v>22</v>
      </c>
      <c r="B313">
        <v>6</v>
      </c>
      <c r="C313">
        <v>1</v>
      </c>
      <c r="D313" t="s">
        <v>4</v>
      </c>
      <c r="E313">
        <v>1</v>
      </c>
      <c r="F313" t="str">
        <f t="shared" si="5"/>
        <v>Amino acid metabolism</v>
      </c>
    </row>
    <row r="314" spans="1:6" x14ac:dyDescent="0.45">
      <c r="A314" t="s">
        <v>66</v>
      </c>
      <c r="B314">
        <v>6</v>
      </c>
      <c r="C314">
        <v>1</v>
      </c>
      <c r="D314" t="s">
        <v>4</v>
      </c>
      <c r="E314">
        <v>1</v>
      </c>
      <c r="F314" t="str">
        <f t="shared" si="5"/>
        <v>Amino acid metabolism</v>
      </c>
    </row>
    <row r="315" spans="1:6" x14ac:dyDescent="0.45">
      <c r="A315" t="s">
        <v>25</v>
      </c>
      <c r="B315">
        <v>6</v>
      </c>
      <c r="C315">
        <v>1</v>
      </c>
      <c r="D315" t="s">
        <v>4</v>
      </c>
      <c r="E315">
        <v>1</v>
      </c>
      <c r="F315" t="str">
        <f t="shared" si="5"/>
        <v>Primary metabolism</v>
      </c>
    </row>
    <row r="316" spans="1:6" x14ac:dyDescent="0.45">
      <c r="A316" t="s">
        <v>46</v>
      </c>
      <c r="B316">
        <v>6</v>
      </c>
      <c r="C316">
        <v>1</v>
      </c>
      <c r="D316" t="s">
        <v>4</v>
      </c>
      <c r="E316">
        <v>1</v>
      </c>
      <c r="F316" t="str">
        <f t="shared" si="5"/>
        <v>Secondary metabolism</v>
      </c>
    </row>
    <row r="317" spans="1:6" x14ac:dyDescent="0.45">
      <c r="A317" t="s">
        <v>6</v>
      </c>
      <c r="B317">
        <v>6</v>
      </c>
      <c r="C317">
        <v>-1</v>
      </c>
      <c r="D317" t="s">
        <v>4</v>
      </c>
      <c r="E317">
        <v>2</v>
      </c>
      <c r="F317" t="str">
        <f t="shared" si="5"/>
        <v>Terpenoid metabolism</v>
      </c>
    </row>
    <row r="318" spans="1:6" x14ac:dyDescent="0.45">
      <c r="A318" t="s">
        <v>8</v>
      </c>
      <c r="B318">
        <v>6</v>
      </c>
      <c r="C318">
        <v>-1</v>
      </c>
      <c r="D318" t="s">
        <v>4</v>
      </c>
      <c r="E318">
        <v>1</v>
      </c>
      <c r="F318" t="str">
        <f t="shared" si="5"/>
        <v>Carbohydrate metabolism</v>
      </c>
    </row>
    <row r="319" spans="1:6" x14ac:dyDescent="0.45">
      <c r="A319" t="s">
        <v>9</v>
      </c>
      <c r="B319">
        <v>6</v>
      </c>
      <c r="C319">
        <v>-1</v>
      </c>
      <c r="D319" t="s">
        <v>4</v>
      </c>
      <c r="E319">
        <v>1</v>
      </c>
      <c r="F319" t="str">
        <f t="shared" si="5"/>
        <v>Carbohydrate metabolism</v>
      </c>
    </row>
    <row r="320" spans="1:6" x14ac:dyDescent="0.45">
      <c r="A320" t="s">
        <v>10</v>
      </c>
      <c r="B320">
        <v>6</v>
      </c>
      <c r="C320">
        <v>-1</v>
      </c>
      <c r="D320" t="s">
        <v>4</v>
      </c>
      <c r="E320">
        <v>1</v>
      </c>
      <c r="F320" t="str">
        <f t="shared" si="5"/>
        <v>Carbohydrate metabolism</v>
      </c>
    </row>
    <row r="321" spans="1:6" x14ac:dyDescent="0.45">
      <c r="A321" t="s">
        <v>11</v>
      </c>
      <c r="B321">
        <v>6</v>
      </c>
      <c r="C321">
        <v>-1</v>
      </c>
      <c r="D321" t="s">
        <v>4</v>
      </c>
      <c r="E321">
        <v>1</v>
      </c>
      <c r="F321" t="str">
        <f t="shared" si="5"/>
        <v>Nucleotide metabolism</v>
      </c>
    </row>
    <row r="322" spans="1:6" x14ac:dyDescent="0.45">
      <c r="A322" t="s">
        <v>55</v>
      </c>
      <c r="B322">
        <v>6</v>
      </c>
      <c r="C322">
        <v>-1</v>
      </c>
      <c r="D322" t="s">
        <v>4</v>
      </c>
      <c r="E322">
        <v>1</v>
      </c>
      <c r="F322" t="str">
        <f t="shared" si="5"/>
        <v>Amino acid metabolism</v>
      </c>
    </row>
    <row r="323" spans="1:6" x14ac:dyDescent="0.45">
      <c r="A323" t="s">
        <v>70</v>
      </c>
      <c r="B323">
        <v>6</v>
      </c>
      <c r="C323">
        <v>-1</v>
      </c>
      <c r="D323" t="s">
        <v>4</v>
      </c>
      <c r="E323">
        <v>1</v>
      </c>
      <c r="F323" t="str">
        <f t="shared" si="5"/>
        <v>Amino acid metabolism</v>
      </c>
    </row>
    <row r="324" spans="1:6" x14ac:dyDescent="0.45">
      <c r="A324" t="s">
        <v>12</v>
      </c>
      <c r="B324">
        <v>6</v>
      </c>
      <c r="C324">
        <v>-1</v>
      </c>
      <c r="D324" t="s">
        <v>4</v>
      </c>
      <c r="E324">
        <v>1</v>
      </c>
      <c r="F324" t="str">
        <f t="shared" si="5"/>
        <v>Carbohydrate metabolism</v>
      </c>
    </row>
    <row r="325" spans="1:6" x14ac:dyDescent="0.45">
      <c r="A325" t="s">
        <v>13</v>
      </c>
      <c r="B325">
        <v>6</v>
      </c>
      <c r="C325">
        <v>-1</v>
      </c>
      <c r="D325" t="s">
        <v>4</v>
      </c>
      <c r="E325">
        <v>1</v>
      </c>
      <c r="F325" t="str">
        <f t="shared" si="5"/>
        <v>Glycan biosynthesis and metabolism</v>
      </c>
    </row>
    <row r="326" spans="1:6" x14ac:dyDescent="0.45">
      <c r="A326" t="s">
        <v>14</v>
      </c>
      <c r="B326">
        <v>6</v>
      </c>
      <c r="C326">
        <v>-1</v>
      </c>
      <c r="D326" t="s">
        <v>4</v>
      </c>
      <c r="E326">
        <v>1</v>
      </c>
      <c r="F326" t="str">
        <f t="shared" si="5"/>
        <v>Lipid metabolism</v>
      </c>
    </row>
    <row r="327" spans="1:6" x14ac:dyDescent="0.45">
      <c r="A327" t="s">
        <v>59</v>
      </c>
      <c r="B327">
        <v>6</v>
      </c>
      <c r="C327">
        <v>-1</v>
      </c>
      <c r="D327" t="s">
        <v>4</v>
      </c>
      <c r="E327">
        <v>1</v>
      </c>
      <c r="F327" t="str">
        <f t="shared" si="5"/>
        <v>Metabolism of cofactors and vitamins</v>
      </c>
    </row>
    <row r="328" spans="1:6" x14ac:dyDescent="0.45">
      <c r="A328" t="s">
        <v>17</v>
      </c>
      <c r="B328">
        <v>6</v>
      </c>
      <c r="C328">
        <v>-1</v>
      </c>
      <c r="D328" t="s">
        <v>4</v>
      </c>
      <c r="E328">
        <v>1</v>
      </c>
      <c r="F328" t="str">
        <f t="shared" si="5"/>
        <v>Metabolism of cofactors and vitamins</v>
      </c>
    </row>
    <row r="329" spans="1:6" x14ac:dyDescent="0.45">
      <c r="A329" t="s">
        <v>60</v>
      </c>
      <c r="B329">
        <v>6</v>
      </c>
      <c r="C329">
        <v>-1</v>
      </c>
      <c r="D329" t="s">
        <v>4</v>
      </c>
      <c r="E329">
        <v>1</v>
      </c>
      <c r="F329" t="str">
        <f t="shared" si="5"/>
        <v>Phenylpropanoid biosynthesis</v>
      </c>
    </row>
    <row r="330" spans="1:6" x14ac:dyDescent="0.45">
      <c r="A330" t="s">
        <v>20</v>
      </c>
      <c r="B330">
        <v>5</v>
      </c>
      <c r="C330">
        <v>-1</v>
      </c>
      <c r="D330" t="s">
        <v>4</v>
      </c>
      <c r="E330">
        <v>3</v>
      </c>
      <c r="F330" t="str">
        <f t="shared" si="5"/>
        <v>Phenylpropanoid metabolism</v>
      </c>
    </row>
    <row r="331" spans="1:6" x14ac:dyDescent="0.45">
      <c r="A331" t="s">
        <v>19</v>
      </c>
      <c r="B331">
        <v>6</v>
      </c>
      <c r="C331">
        <v>-1</v>
      </c>
      <c r="D331" t="s">
        <v>4</v>
      </c>
      <c r="E331">
        <v>1</v>
      </c>
      <c r="F331" t="str">
        <f t="shared" si="5"/>
        <v>Phenylpropanoid metabolism</v>
      </c>
    </row>
    <row r="332" spans="1:6" x14ac:dyDescent="0.45">
      <c r="A332" t="s">
        <v>30</v>
      </c>
      <c r="B332">
        <v>6</v>
      </c>
      <c r="C332">
        <v>-1</v>
      </c>
      <c r="D332" t="s">
        <v>4</v>
      </c>
      <c r="E332">
        <v>1</v>
      </c>
      <c r="F332" t="str">
        <f t="shared" si="5"/>
        <v>Degradation of aromatic compounds</v>
      </c>
    </row>
    <row r="333" spans="1:6" x14ac:dyDescent="0.45">
      <c r="A333" t="s">
        <v>77</v>
      </c>
      <c r="B333">
        <v>6</v>
      </c>
      <c r="C333">
        <v>-1</v>
      </c>
      <c r="D333" t="s">
        <v>4</v>
      </c>
      <c r="E333">
        <v>1</v>
      </c>
      <c r="F333" t="str">
        <f t="shared" si="5"/>
        <v>Signal transduction</v>
      </c>
    </row>
    <row r="334" spans="1:6" x14ac:dyDescent="0.45">
      <c r="A334" t="s">
        <v>83</v>
      </c>
      <c r="B334">
        <v>6</v>
      </c>
      <c r="C334">
        <v>-1</v>
      </c>
      <c r="D334" t="s">
        <v>4</v>
      </c>
      <c r="E334">
        <v>1</v>
      </c>
      <c r="F334" t="str">
        <f t="shared" si="5"/>
        <v>Phenylpropanoid metabolism</v>
      </c>
    </row>
    <row r="335" spans="1:6" x14ac:dyDescent="0.45">
      <c r="A335" t="s">
        <v>7</v>
      </c>
      <c r="B335">
        <v>7</v>
      </c>
      <c r="C335">
        <v>1</v>
      </c>
      <c r="D335" t="s">
        <v>4</v>
      </c>
      <c r="E335">
        <v>1</v>
      </c>
      <c r="F335" t="str">
        <f t="shared" si="5"/>
        <v>Carbohydrate metabolism</v>
      </c>
    </row>
    <row r="336" spans="1:6" x14ac:dyDescent="0.45">
      <c r="A336" t="s">
        <v>31</v>
      </c>
      <c r="B336">
        <v>7</v>
      </c>
      <c r="C336">
        <v>1</v>
      </c>
      <c r="D336" t="s">
        <v>4</v>
      </c>
      <c r="E336">
        <v>1</v>
      </c>
      <c r="F336" t="str">
        <f t="shared" si="5"/>
        <v>Carbon metabolism</v>
      </c>
    </row>
    <row r="337" spans="1:6" x14ac:dyDescent="0.45">
      <c r="A337" t="s">
        <v>51</v>
      </c>
      <c r="B337">
        <v>7</v>
      </c>
      <c r="C337">
        <v>1</v>
      </c>
      <c r="D337" t="s">
        <v>4</v>
      </c>
      <c r="E337">
        <v>1</v>
      </c>
      <c r="F337" t="str">
        <f t="shared" ref="F337:F400" si="6">_xlfn.XLOOKUP(A337,$I$2:$I$200,$J$2:$J$200)</f>
        <v>Metabolism of cofactors and vitamins</v>
      </c>
    </row>
    <row r="338" spans="1:6" x14ac:dyDescent="0.45">
      <c r="A338" t="s">
        <v>29</v>
      </c>
      <c r="B338">
        <v>7</v>
      </c>
      <c r="C338">
        <v>1</v>
      </c>
      <c r="D338" t="s">
        <v>4</v>
      </c>
      <c r="E338">
        <v>1</v>
      </c>
      <c r="F338" t="str">
        <f t="shared" si="6"/>
        <v>Nucleotide metabolism</v>
      </c>
    </row>
    <row r="339" spans="1:6" x14ac:dyDescent="0.45">
      <c r="A339" t="s">
        <v>11</v>
      </c>
      <c r="B339">
        <v>7</v>
      </c>
      <c r="C339">
        <v>1</v>
      </c>
      <c r="D339" t="s">
        <v>4</v>
      </c>
      <c r="E339">
        <v>1</v>
      </c>
      <c r="F339" t="str">
        <f t="shared" si="6"/>
        <v>Nucleotide metabolism</v>
      </c>
    </row>
    <row r="340" spans="1:6" x14ac:dyDescent="0.45">
      <c r="A340" t="s">
        <v>39</v>
      </c>
      <c r="B340">
        <v>7</v>
      </c>
      <c r="C340">
        <v>1</v>
      </c>
      <c r="D340" t="s">
        <v>4</v>
      </c>
      <c r="E340">
        <v>1</v>
      </c>
      <c r="F340" t="str">
        <f t="shared" si="6"/>
        <v>Amino acid metabolism</v>
      </c>
    </row>
    <row r="341" spans="1:6" x14ac:dyDescent="0.45">
      <c r="A341" t="s">
        <v>26</v>
      </c>
      <c r="B341">
        <v>7</v>
      </c>
      <c r="C341">
        <v>1</v>
      </c>
      <c r="D341" t="s">
        <v>4</v>
      </c>
      <c r="E341">
        <v>1</v>
      </c>
      <c r="F341" t="str">
        <f t="shared" si="6"/>
        <v>Amino acid metabolism</v>
      </c>
    </row>
    <row r="342" spans="1:6" x14ac:dyDescent="0.45">
      <c r="A342" t="s">
        <v>36</v>
      </c>
      <c r="B342">
        <v>7</v>
      </c>
      <c r="C342">
        <v>1</v>
      </c>
      <c r="D342" t="s">
        <v>4</v>
      </c>
      <c r="E342">
        <v>1</v>
      </c>
      <c r="F342" t="str">
        <f t="shared" si="6"/>
        <v>Carbohydrate metabolism</v>
      </c>
    </row>
    <row r="343" spans="1:6" x14ac:dyDescent="0.45">
      <c r="A343" t="s">
        <v>40</v>
      </c>
      <c r="B343">
        <v>7</v>
      </c>
      <c r="C343">
        <v>1</v>
      </c>
      <c r="D343" t="s">
        <v>4</v>
      </c>
      <c r="E343">
        <v>1</v>
      </c>
      <c r="F343" t="str">
        <f t="shared" si="6"/>
        <v>Carbohydrate metabolism</v>
      </c>
    </row>
    <row r="344" spans="1:6" x14ac:dyDescent="0.45">
      <c r="A344" t="s">
        <v>41</v>
      </c>
      <c r="B344">
        <v>7</v>
      </c>
      <c r="C344">
        <v>1</v>
      </c>
      <c r="D344" t="s">
        <v>4</v>
      </c>
      <c r="E344">
        <v>1</v>
      </c>
      <c r="F344" t="str">
        <f t="shared" si="6"/>
        <v>Metabolism of cofactors and vitamins</v>
      </c>
    </row>
    <row r="345" spans="1:6" x14ac:dyDescent="0.45">
      <c r="A345" t="s">
        <v>6</v>
      </c>
      <c r="B345">
        <v>7</v>
      </c>
      <c r="C345">
        <v>1</v>
      </c>
      <c r="D345" t="s">
        <v>4</v>
      </c>
      <c r="E345">
        <v>1</v>
      </c>
      <c r="F345" t="str">
        <f t="shared" si="6"/>
        <v>Terpenoid metabolism</v>
      </c>
    </row>
    <row r="346" spans="1:6" x14ac:dyDescent="0.45">
      <c r="A346" t="s">
        <v>22</v>
      </c>
      <c r="B346">
        <v>7</v>
      </c>
      <c r="C346">
        <v>1</v>
      </c>
      <c r="D346" t="s">
        <v>4</v>
      </c>
      <c r="E346">
        <v>1</v>
      </c>
      <c r="F346" t="str">
        <f t="shared" si="6"/>
        <v>Amino acid metabolism</v>
      </c>
    </row>
    <row r="347" spans="1:6" x14ac:dyDescent="0.45">
      <c r="A347" t="s">
        <v>25</v>
      </c>
      <c r="B347">
        <v>7</v>
      </c>
      <c r="C347">
        <v>1</v>
      </c>
      <c r="D347" t="s">
        <v>4</v>
      </c>
      <c r="E347">
        <v>1</v>
      </c>
      <c r="F347" t="str">
        <f t="shared" si="6"/>
        <v>Primary metabolism</v>
      </c>
    </row>
    <row r="348" spans="1:6" x14ac:dyDescent="0.45">
      <c r="A348" t="s">
        <v>19</v>
      </c>
      <c r="B348">
        <v>6</v>
      </c>
      <c r="C348">
        <v>1</v>
      </c>
      <c r="D348" t="s">
        <v>4</v>
      </c>
      <c r="E348">
        <v>1</v>
      </c>
      <c r="F348" t="str">
        <f t="shared" si="6"/>
        <v>Phenylpropanoid metabolism</v>
      </c>
    </row>
    <row r="349" spans="1:6" x14ac:dyDescent="0.45">
      <c r="A349" t="s">
        <v>45</v>
      </c>
      <c r="B349">
        <v>7</v>
      </c>
      <c r="C349">
        <v>-1</v>
      </c>
      <c r="D349" t="s">
        <v>4</v>
      </c>
      <c r="E349">
        <v>9</v>
      </c>
      <c r="F349" t="str">
        <f t="shared" si="6"/>
        <v>Amino acid metabolism</v>
      </c>
    </row>
    <row r="350" spans="1:6" x14ac:dyDescent="0.45">
      <c r="A350" t="s">
        <v>80</v>
      </c>
      <c r="B350">
        <v>5</v>
      </c>
      <c r="C350">
        <v>-1</v>
      </c>
      <c r="D350" t="s">
        <v>4</v>
      </c>
      <c r="E350">
        <v>2</v>
      </c>
      <c r="F350" t="str">
        <f t="shared" si="6"/>
        <v>Phenylpropanoid metabolism</v>
      </c>
    </row>
    <row r="351" spans="1:6" x14ac:dyDescent="0.45">
      <c r="A351" t="s">
        <v>10</v>
      </c>
      <c r="B351">
        <v>7</v>
      </c>
      <c r="C351">
        <v>-1</v>
      </c>
      <c r="D351" t="s">
        <v>4</v>
      </c>
      <c r="E351">
        <v>4</v>
      </c>
      <c r="F351" t="str">
        <f t="shared" si="6"/>
        <v>Carbohydrate metabolism</v>
      </c>
    </row>
    <row r="352" spans="1:6" x14ac:dyDescent="0.45">
      <c r="A352" t="s">
        <v>60</v>
      </c>
      <c r="B352">
        <v>7</v>
      </c>
      <c r="C352">
        <v>-1</v>
      </c>
      <c r="D352" t="s">
        <v>4</v>
      </c>
      <c r="E352">
        <v>6</v>
      </c>
      <c r="F352" t="str">
        <f t="shared" si="6"/>
        <v>Phenylpropanoid biosynthesis</v>
      </c>
    </row>
    <row r="353" spans="1:6" x14ac:dyDescent="0.45">
      <c r="A353" t="s">
        <v>44</v>
      </c>
      <c r="B353">
        <v>7</v>
      </c>
      <c r="C353">
        <v>-1</v>
      </c>
      <c r="D353" t="s">
        <v>4</v>
      </c>
      <c r="E353">
        <v>6</v>
      </c>
      <c r="F353" t="str">
        <f t="shared" si="6"/>
        <v>Glucosinolate biosynthesis</v>
      </c>
    </row>
    <row r="354" spans="1:6" x14ac:dyDescent="0.45">
      <c r="A354" t="s">
        <v>21</v>
      </c>
      <c r="B354">
        <v>7</v>
      </c>
      <c r="C354">
        <v>-1</v>
      </c>
      <c r="D354" t="s">
        <v>4</v>
      </c>
      <c r="E354">
        <v>4</v>
      </c>
      <c r="F354" t="str">
        <f t="shared" si="6"/>
        <v xml:space="preserve">Carbon metabolism </v>
      </c>
    </row>
    <row r="355" spans="1:6" x14ac:dyDescent="0.45">
      <c r="A355" t="s">
        <v>30</v>
      </c>
      <c r="B355">
        <v>7</v>
      </c>
      <c r="C355">
        <v>-1</v>
      </c>
      <c r="D355" t="s">
        <v>4</v>
      </c>
      <c r="E355">
        <v>5</v>
      </c>
      <c r="F355" t="str">
        <f t="shared" si="6"/>
        <v>Degradation of aromatic compounds</v>
      </c>
    </row>
    <row r="356" spans="1:6" x14ac:dyDescent="0.45">
      <c r="A356" t="s">
        <v>22</v>
      </c>
      <c r="B356">
        <v>7</v>
      </c>
      <c r="C356">
        <v>-1</v>
      </c>
      <c r="D356" t="s">
        <v>4</v>
      </c>
      <c r="E356">
        <v>4</v>
      </c>
      <c r="F356" t="str">
        <f t="shared" si="6"/>
        <v>Amino acid metabolism</v>
      </c>
    </row>
    <row r="357" spans="1:6" x14ac:dyDescent="0.45">
      <c r="A357" t="s">
        <v>24</v>
      </c>
      <c r="B357">
        <v>7</v>
      </c>
      <c r="C357">
        <v>-1</v>
      </c>
      <c r="D357" t="s">
        <v>4</v>
      </c>
      <c r="E357">
        <v>5</v>
      </c>
      <c r="F357" t="str">
        <f t="shared" si="6"/>
        <v>Phenylpropanoid metabolism</v>
      </c>
    </row>
    <row r="358" spans="1:6" x14ac:dyDescent="0.45">
      <c r="A358" t="s">
        <v>31</v>
      </c>
      <c r="B358">
        <v>7</v>
      </c>
      <c r="C358">
        <v>-1</v>
      </c>
      <c r="D358" t="s">
        <v>4</v>
      </c>
      <c r="E358">
        <v>3</v>
      </c>
      <c r="F358" t="str">
        <f t="shared" si="6"/>
        <v>Carbon metabolism</v>
      </c>
    </row>
    <row r="359" spans="1:6" x14ac:dyDescent="0.45">
      <c r="A359" t="s">
        <v>34</v>
      </c>
      <c r="B359">
        <v>7</v>
      </c>
      <c r="C359">
        <v>-1</v>
      </c>
      <c r="D359" t="s">
        <v>4</v>
      </c>
      <c r="E359">
        <v>3</v>
      </c>
      <c r="F359" t="str">
        <f t="shared" si="6"/>
        <v>Amino acid metabolism</v>
      </c>
    </row>
    <row r="360" spans="1:6" x14ac:dyDescent="0.45">
      <c r="A360" t="s">
        <v>69</v>
      </c>
      <c r="B360">
        <v>7</v>
      </c>
      <c r="C360">
        <v>-1</v>
      </c>
      <c r="D360" t="s">
        <v>4</v>
      </c>
      <c r="E360">
        <v>4</v>
      </c>
      <c r="F360" t="str">
        <f t="shared" si="6"/>
        <v>Amino acid metabolism</v>
      </c>
    </row>
    <row r="361" spans="1:6" x14ac:dyDescent="0.45">
      <c r="A361" t="s">
        <v>58</v>
      </c>
      <c r="B361">
        <v>7</v>
      </c>
      <c r="C361">
        <v>-1</v>
      </c>
      <c r="D361" t="s">
        <v>4</v>
      </c>
      <c r="E361">
        <v>3</v>
      </c>
      <c r="F361" t="str">
        <f t="shared" si="6"/>
        <v>Carbohydrate metabolism</v>
      </c>
    </row>
    <row r="362" spans="1:6" x14ac:dyDescent="0.45">
      <c r="A362" t="s">
        <v>74</v>
      </c>
      <c r="B362">
        <v>7</v>
      </c>
      <c r="C362">
        <v>-1</v>
      </c>
      <c r="D362" t="s">
        <v>4</v>
      </c>
      <c r="E362">
        <v>3</v>
      </c>
      <c r="F362" t="str">
        <f t="shared" si="6"/>
        <v>Metabolism of cofactors and vitamins</v>
      </c>
    </row>
    <row r="363" spans="1:6" x14ac:dyDescent="0.45">
      <c r="A363" t="s">
        <v>29</v>
      </c>
      <c r="B363">
        <v>7</v>
      </c>
      <c r="C363">
        <v>-1</v>
      </c>
      <c r="D363" t="s">
        <v>4</v>
      </c>
      <c r="E363">
        <v>2</v>
      </c>
      <c r="F363" t="str">
        <f t="shared" si="6"/>
        <v>Nucleotide metabolism</v>
      </c>
    </row>
    <row r="364" spans="1:6" x14ac:dyDescent="0.45">
      <c r="A364" t="s">
        <v>11</v>
      </c>
      <c r="B364">
        <v>7</v>
      </c>
      <c r="C364">
        <v>-1</v>
      </c>
      <c r="D364" t="s">
        <v>4</v>
      </c>
      <c r="E364">
        <v>2</v>
      </c>
      <c r="F364" t="str">
        <f t="shared" si="6"/>
        <v>Nucleotide metabolism</v>
      </c>
    </row>
    <row r="365" spans="1:6" x14ac:dyDescent="0.45">
      <c r="A365" t="s">
        <v>52</v>
      </c>
      <c r="B365">
        <v>7</v>
      </c>
      <c r="C365">
        <v>-1</v>
      </c>
      <c r="D365" t="s">
        <v>4</v>
      </c>
      <c r="E365">
        <v>2</v>
      </c>
      <c r="F365" t="str">
        <f t="shared" si="6"/>
        <v>Amino acid metabolism</v>
      </c>
    </row>
    <row r="366" spans="1:6" x14ac:dyDescent="0.45">
      <c r="A366" t="s">
        <v>40</v>
      </c>
      <c r="B366">
        <v>7</v>
      </c>
      <c r="C366">
        <v>-1</v>
      </c>
      <c r="D366" t="s">
        <v>4</v>
      </c>
      <c r="E366">
        <v>2</v>
      </c>
      <c r="F366" t="str">
        <f t="shared" si="6"/>
        <v>Carbohydrate metabolism</v>
      </c>
    </row>
    <row r="367" spans="1:6" x14ac:dyDescent="0.45">
      <c r="A367" t="s">
        <v>23</v>
      </c>
      <c r="B367">
        <v>7</v>
      </c>
      <c r="C367">
        <v>-1</v>
      </c>
      <c r="D367" t="s">
        <v>4</v>
      </c>
      <c r="E367">
        <v>2</v>
      </c>
      <c r="F367" t="str">
        <f t="shared" si="6"/>
        <v>Membrane transport</v>
      </c>
    </row>
    <row r="368" spans="1:6" x14ac:dyDescent="0.45">
      <c r="A368" t="s">
        <v>68</v>
      </c>
      <c r="B368">
        <v>7</v>
      </c>
      <c r="C368">
        <v>-1</v>
      </c>
      <c r="D368" t="s">
        <v>4</v>
      </c>
      <c r="E368">
        <v>2</v>
      </c>
      <c r="F368">
        <f t="shared" si="6"/>
        <v>0</v>
      </c>
    </row>
    <row r="369" spans="1:6" x14ac:dyDescent="0.45">
      <c r="A369" t="s">
        <v>25</v>
      </c>
      <c r="B369">
        <v>7</v>
      </c>
      <c r="C369">
        <v>-1</v>
      </c>
      <c r="D369" t="s">
        <v>4</v>
      </c>
      <c r="E369">
        <v>2</v>
      </c>
      <c r="F369" t="str">
        <f t="shared" si="6"/>
        <v>Primary metabolism</v>
      </c>
    </row>
    <row r="370" spans="1:6" x14ac:dyDescent="0.45">
      <c r="A370" t="s">
        <v>83</v>
      </c>
      <c r="B370">
        <v>7</v>
      </c>
      <c r="C370">
        <v>-1</v>
      </c>
      <c r="D370" t="s">
        <v>4</v>
      </c>
      <c r="E370">
        <v>2</v>
      </c>
      <c r="F370" t="str">
        <f t="shared" si="6"/>
        <v>Phenylpropanoid metabolism</v>
      </c>
    </row>
    <row r="371" spans="1:6" x14ac:dyDescent="0.45">
      <c r="A371" t="s">
        <v>6</v>
      </c>
      <c r="B371">
        <v>7</v>
      </c>
      <c r="C371">
        <v>-1</v>
      </c>
      <c r="D371" t="s">
        <v>4</v>
      </c>
      <c r="E371">
        <v>2</v>
      </c>
      <c r="F371" t="str">
        <f t="shared" si="6"/>
        <v>Terpenoid metabolism</v>
      </c>
    </row>
    <row r="372" spans="1:6" x14ac:dyDescent="0.45">
      <c r="A372" t="s">
        <v>66</v>
      </c>
      <c r="B372">
        <v>7</v>
      </c>
      <c r="C372">
        <v>-1</v>
      </c>
      <c r="D372" t="s">
        <v>4</v>
      </c>
      <c r="E372">
        <v>5</v>
      </c>
      <c r="F372" t="str">
        <f t="shared" si="6"/>
        <v>Amino acid metabolism</v>
      </c>
    </row>
    <row r="373" spans="1:6" x14ac:dyDescent="0.45">
      <c r="A373" t="s">
        <v>7</v>
      </c>
      <c r="B373">
        <v>7</v>
      </c>
      <c r="C373">
        <v>-1</v>
      </c>
      <c r="D373" t="s">
        <v>4</v>
      </c>
      <c r="E373">
        <v>1</v>
      </c>
      <c r="F373" t="str">
        <f t="shared" si="6"/>
        <v>Carbohydrate metabolism</v>
      </c>
    </row>
    <row r="374" spans="1:6" x14ac:dyDescent="0.45">
      <c r="A374" t="s">
        <v>48</v>
      </c>
      <c r="B374">
        <v>7</v>
      </c>
      <c r="C374">
        <v>-1</v>
      </c>
      <c r="D374" t="s">
        <v>4</v>
      </c>
      <c r="E374">
        <v>1</v>
      </c>
      <c r="F374" t="str">
        <f t="shared" si="6"/>
        <v>Carbohydrate metabolism</v>
      </c>
    </row>
    <row r="375" spans="1:6" x14ac:dyDescent="0.45">
      <c r="A375" t="s">
        <v>8</v>
      </c>
      <c r="B375">
        <v>7</v>
      </c>
      <c r="C375">
        <v>-1</v>
      </c>
      <c r="D375" t="s">
        <v>4</v>
      </c>
      <c r="E375">
        <v>2</v>
      </c>
      <c r="F375" t="str">
        <f t="shared" si="6"/>
        <v>Carbohydrate metabolism</v>
      </c>
    </row>
    <row r="376" spans="1:6" x14ac:dyDescent="0.45">
      <c r="A376" t="s">
        <v>33</v>
      </c>
      <c r="B376">
        <v>7</v>
      </c>
      <c r="C376">
        <v>-1</v>
      </c>
      <c r="D376" t="s">
        <v>4</v>
      </c>
      <c r="E376">
        <v>1</v>
      </c>
      <c r="F376" t="str">
        <f t="shared" si="6"/>
        <v>Amino acid metabolism</v>
      </c>
    </row>
    <row r="377" spans="1:6" x14ac:dyDescent="0.45">
      <c r="A377" t="s">
        <v>39</v>
      </c>
      <c r="B377">
        <v>7</v>
      </c>
      <c r="C377">
        <v>-1</v>
      </c>
      <c r="D377" t="s">
        <v>4</v>
      </c>
      <c r="E377">
        <v>1</v>
      </c>
      <c r="F377" t="str">
        <f t="shared" si="6"/>
        <v>Amino acid metabolism</v>
      </c>
    </row>
    <row r="378" spans="1:6" x14ac:dyDescent="0.45">
      <c r="A378" t="s">
        <v>55</v>
      </c>
      <c r="B378">
        <v>7</v>
      </c>
      <c r="C378">
        <v>-1</v>
      </c>
      <c r="D378" t="s">
        <v>4</v>
      </c>
      <c r="E378">
        <v>1</v>
      </c>
      <c r="F378" t="str">
        <f t="shared" si="6"/>
        <v>Amino acid metabolism</v>
      </c>
    </row>
    <row r="379" spans="1:6" x14ac:dyDescent="0.45">
      <c r="A379" t="s">
        <v>26</v>
      </c>
      <c r="B379">
        <v>7</v>
      </c>
      <c r="C379">
        <v>-1</v>
      </c>
      <c r="D379" t="s">
        <v>4</v>
      </c>
      <c r="E379">
        <v>1</v>
      </c>
      <c r="F379" t="str">
        <f t="shared" si="6"/>
        <v>Amino acid metabolism</v>
      </c>
    </row>
    <row r="380" spans="1:6" x14ac:dyDescent="0.45">
      <c r="A380" t="s">
        <v>70</v>
      </c>
      <c r="B380">
        <v>7</v>
      </c>
      <c r="C380">
        <v>-1</v>
      </c>
      <c r="D380" t="s">
        <v>4</v>
      </c>
      <c r="E380">
        <v>1</v>
      </c>
      <c r="F380" t="str">
        <f t="shared" si="6"/>
        <v>Amino acid metabolism</v>
      </c>
    </row>
    <row r="381" spans="1:6" x14ac:dyDescent="0.45">
      <c r="A381" t="s">
        <v>27</v>
      </c>
      <c r="B381">
        <v>7</v>
      </c>
      <c r="C381">
        <v>-1</v>
      </c>
      <c r="D381" t="s">
        <v>4</v>
      </c>
      <c r="E381">
        <v>3</v>
      </c>
      <c r="F381" t="str">
        <f t="shared" si="6"/>
        <v>Amino acid metabolism</v>
      </c>
    </row>
    <row r="382" spans="1:6" x14ac:dyDescent="0.45">
      <c r="A382" t="s">
        <v>36</v>
      </c>
      <c r="B382">
        <v>7</v>
      </c>
      <c r="C382">
        <v>-1</v>
      </c>
      <c r="D382" t="s">
        <v>4</v>
      </c>
      <c r="E382">
        <v>1</v>
      </c>
      <c r="F382" t="str">
        <f t="shared" si="6"/>
        <v>Carbohydrate metabolism</v>
      </c>
    </row>
    <row r="383" spans="1:6" x14ac:dyDescent="0.45">
      <c r="A383" t="s">
        <v>93</v>
      </c>
      <c r="B383">
        <v>7</v>
      </c>
      <c r="C383">
        <v>-1</v>
      </c>
      <c r="D383" t="s">
        <v>4</v>
      </c>
      <c r="E383">
        <v>1</v>
      </c>
      <c r="F383" t="str">
        <f t="shared" si="6"/>
        <v>Metabolism of cofactors and vitamins</v>
      </c>
    </row>
    <row r="384" spans="1:6" x14ac:dyDescent="0.45">
      <c r="A384" t="s">
        <v>15</v>
      </c>
      <c r="B384">
        <v>7</v>
      </c>
      <c r="C384">
        <v>-1</v>
      </c>
      <c r="D384" t="s">
        <v>4</v>
      </c>
      <c r="E384">
        <v>1</v>
      </c>
      <c r="F384" t="str">
        <f t="shared" si="6"/>
        <v>Carbon metabolism</v>
      </c>
    </row>
    <row r="385" spans="1:6" x14ac:dyDescent="0.45">
      <c r="A385" t="s">
        <v>41</v>
      </c>
      <c r="B385">
        <v>7</v>
      </c>
      <c r="C385">
        <v>-1</v>
      </c>
      <c r="D385" t="s">
        <v>4</v>
      </c>
      <c r="E385">
        <v>1</v>
      </c>
      <c r="F385" t="str">
        <f t="shared" si="6"/>
        <v>Metabolism of cofactors and vitamins</v>
      </c>
    </row>
    <row r="386" spans="1:6" x14ac:dyDescent="0.45">
      <c r="A386" t="s">
        <v>16</v>
      </c>
      <c r="B386">
        <v>7</v>
      </c>
      <c r="C386">
        <v>-1</v>
      </c>
      <c r="D386" t="s">
        <v>4</v>
      </c>
      <c r="E386">
        <v>1</v>
      </c>
      <c r="F386" t="str">
        <f t="shared" si="6"/>
        <v>Metabolism of cofactors and vitamin</v>
      </c>
    </row>
    <row r="387" spans="1:6" x14ac:dyDescent="0.45">
      <c r="A387" t="s">
        <v>18</v>
      </c>
      <c r="B387">
        <v>7</v>
      </c>
      <c r="C387">
        <v>-1</v>
      </c>
      <c r="D387" t="s">
        <v>4</v>
      </c>
      <c r="E387">
        <v>1</v>
      </c>
      <c r="F387" t="str">
        <f t="shared" si="6"/>
        <v>Metabolism of terpenoids and polyketides</v>
      </c>
    </row>
    <row r="388" spans="1:6" x14ac:dyDescent="0.45">
      <c r="A388" t="s">
        <v>20</v>
      </c>
      <c r="B388">
        <v>6</v>
      </c>
      <c r="C388">
        <v>1</v>
      </c>
      <c r="D388" t="s">
        <v>4</v>
      </c>
      <c r="E388">
        <v>1</v>
      </c>
      <c r="F388" t="str">
        <f t="shared" si="6"/>
        <v>Phenylpropanoid metabolism</v>
      </c>
    </row>
    <row r="389" spans="1:6" x14ac:dyDescent="0.45">
      <c r="A389" t="s">
        <v>62</v>
      </c>
      <c r="B389">
        <v>7</v>
      </c>
      <c r="C389">
        <v>-1</v>
      </c>
      <c r="D389" t="s">
        <v>4</v>
      </c>
      <c r="E389">
        <v>1</v>
      </c>
      <c r="F389" t="str">
        <f t="shared" si="6"/>
        <v>Genetic Information Processing</v>
      </c>
    </row>
    <row r="390" spans="1:6" x14ac:dyDescent="0.45">
      <c r="A390" t="s">
        <v>65</v>
      </c>
      <c r="B390">
        <v>7</v>
      </c>
      <c r="C390">
        <v>-1</v>
      </c>
      <c r="D390" t="s">
        <v>4</v>
      </c>
      <c r="E390">
        <v>1</v>
      </c>
      <c r="F390" t="str">
        <f t="shared" si="6"/>
        <v>Amino acid metabolism</v>
      </c>
    </row>
    <row r="391" spans="1:6" x14ac:dyDescent="0.45">
      <c r="A391" t="s">
        <v>7</v>
      </c>
      <c r="B391">
        <v>8</v>
      </c>
      <c r="C391">
        <v>1</v>
      </c>
      <c r="D391" t="s">
        <v>4</v>
      </c>
      <c r="E391">
        <v>1</v>
      </c>
      <c r="F391" t="str">
        <f t="shared" si="6"/>
        <v>Carbohydrate metabolism</v>
      </c>
    </row>
    <row r="392" spans="1:6" x14ac:dyDescent="0.45">
      <c r="A392" t="s">
        <v>31</v>
      </c>
      <c r="B392">
        <v>8</v>
      </c>
      <c r="C392">
        <v>1</v>
      </c>
      <c r="D392" t="s">
        <v>4</v>
      </c>
      <c r="E392">
        <v>1</v>
      </c>
      <c r="F392" t="str">
        <f t="shared" si="6"/>
        <v>Carbon metabolism</v>
      </c>
    </row>
    <row r="393" spans="1:6" x14ac:dyDescent="0.45">
      <c r="A393" t="s">
        <v>39</v>
      </c>
      <c r="B393">
        <v>8</v>
      </c>
      <c r="C393">
        <v>1</v>
      </c>
      <c r="D393" t="s">
        <v>4</v>
      </c>
      <c r="E393">
        <v>1</v>
      </c>
      <c r="F393" t="str">
        <f t="shared" si="6"/>
        <v>Amino acid metabolism</v>
      </c>
    </row>
    <row r="394" spans="1:6" x14ac:dyDescent="0.45">
      <c r="A394" t="s">
        <v>69</v>
      </c>
      <c r="B394">
        <v>8</v>
      </c>
      <c r="C394">
        <v>1</v>
      </c>
      <c r="D394" t="s">
        <v>4</v>
      </c>
      <c r="E394">
        <v>1</v>
      </c>
      <c r="F394" t="str">
        <f t="shared" si="6"/>
        <v>Amino acid metabolism</v>
      </c>
    </row>
    <row r="395" spans="1:6" x14ac:dyDescent="0.45">
      <c r="A395" t="s">
        <v>36</v>
      </c>
      <c r="B395">
        <v>8</v>
      </c>
      <c r="C395">
        <v>1</v>
      </c>
      <c r="D395" t="s">
        <v>4</v>
      </c>
      <c r="E395">
        <v>1</v>
      </c>
      <c r="F395" t="str">
        <f t="shared" si="6"/>
        <v>Carbohydrate metabolism</v>
      </c>
    </row>
    <row r="396" spans="1:6" x14ac:dyDescent="0.45">
      <c r="A396" t="s">
        <v>40</v>
      </c>
      <c r="B396">
        <v>8</v>
      </c>
      <c r="C396">
        <v>1</v>
      </c>
      <c r="D396" t="s">
        <v>4</v>
      </c>
      <c r="E396">
        <v>1</v>
      </c>
      <c r="F396" t="str">
        <f t="shared" si="6"/>
        <v>Carbohydrate metabolism</v>
      </c>
    </row>
    <row r="397" spans="1:6" x14ac:dyDescent="0.45">
      <c r="A397" t="s">
        <v>41</v>
      </c>
      <c r="B397">
        <v>8</v>
      </c>
      <c r="C397">
        <v>1</v>
      </c>
      <c r="D397" t="s">
        <v>4</v>
      </c>
      <c r="E397">
        <v>1</v>
      </c>
      <c r="F397" t="str">
        <f t="shared" si="6"/>
        <v>Metabolism of cofactors and vitamins</v>
      </c>
    </row>
    <row r="398" spans="1:6" x14ac:dyDescent="0.45">
      <c r="A398" t="s">
        <v>60</v>
      </c>
      <c r="B398">
        <v>8</v>
      </c>
      <c r="C398">
        <v>1</v>
      </c>
      <c r="D398" t="s">
        <v>4</v>
      </c>
      <c r="E398">
        <v>1</v>
      </c>
      <c r="F398" t="str">
        <f t="shared" si="6"/>
        <v>Phenylpropanoid biosynthesis</v>
      </c>
    </row>
    <row r="399" spans="1:6" x14ac:dyDescent="0.45">
      <c r="A399" t="s">
        <v>80</v>
      </c>
      <c r="B399">
        <v>6</v>
      </c>
      <c r="C399">
        <v>-1</v>
      </c>
      <c r="D399" t="s">
        <v>4</v>
      </c>
      <c r="E399">
        <v>1</v>
      </c>
      <c r="F399" t="str">
        <f t="shared" si="6"/>
        <v>Phenylpropanoid metabolism</v>
      </c>
    </row>
    <row r="400" spans="1:6" x14ac:dyDescent="0.45">
      <c r="A400" t="s">
        <v>44</v>
      </c>
      <c r="B400">
        <v>8</v>
      </c>
      <c r="C400">
        <v>1</v>
      </c>
      <c r="D400" t="s">
        <v>4</v>
      </c>
      <c r="E400">
        <v>1</v>
      </c>
      <c r="F400" t="str">
        <f t="shared" si="6"/>
        <v>Glucosinolate biosynthesis</v>
      </c>
    </row>
    <row r="401" spans="1:6" x14ac:dyDescent="0.45">
      <c r="A401" t="s">
        <v>28</v>
      </c>
      <c r="B401">
        <v>8</v>
      </c>
      <c r="C401">
        <v>1</v>
      </c>
      <c r="D401" t="s">
        <v>4</v>
      </c>
      <c r="E401">
        <v>1</v>
      </c>
      <c r="F401">
        <f t="shared" ref="F401:F464" si="7">_xlfn.XLOOKUP(A401,$I$2:$I$200,$J$2:$J$200)</f>
        <v>0</v>
      </c>
    </row>
    <row r="402" spans="1:6" x14ac:dyDescent="0.45">
      <c r="A402" t="s">
        <v>45</v>
      </c>
      <c r="B402">
        <v>8</v>
      </c>
      <c r="C402">
        <v>1</v>
      </c>
      <c r="D402" t="s">
        <v>4</v>
      </c>
      <c r="E402">
        <v>1</v>
      </c>
      <c r="F402" t="str">
        <f t="shared" si="7"/>
        <v>Amino acid metabolism</v>
      </c>
    </row>
    <row r="403" spans="1:6" x14ac:dyDescent="0.45">
      <c r="A403" t="s">
        <v>30</v>
      </c>
      <c r="B403">
        <v>8</v>
      </c>
      <c r="C403">
        <v>1</v>
      </c>
      <c r="D403" t="s">
        <v>4</v>
      </c>
      <c r="E403">
        <v>1</v>
      </c>
      <c r="F403" t="str">
        <f t="shared" si="7"/>
        <v>Degradation of aromatic compounds</v>
      </c>
    </row>
    <row r="404" spans="1:6" x14ac:dyDescent="0.45">
      <c r="A404" t="s">
        <v>66</v>
      </c>
      <c r="B404">
        <v>8</v>
      </c>
      <c r="C404">
        <v>1</v>
      </c>
      <c r="D404" t="s">
        <v>4</v>
      </c>
      <c r="E404">
        <v>1</v>
      </c>
      <c r="F404" t="str">
        <f t="shared" si="7"/>
        <v>Amino acid metabolism</v>
      </c>
    </row>
    <row r="405" spans="1:6" x14ac:dyDescent="0.45">
      <c r="A405" t="s">
        <v>72</v>
      </c>
      <c r="B405">
        <v>8</v>
      </c>
      <c r="C405">
        <v>-1</v>
      </c>
      <c r="D405" t="s">
        <v>4</v>
      </c>
      <c r="E405">
        <v>2</v>
      </c>
      <c r="F405" t="str">
        <f t="shared" si="7"/>
        <v>Lipid metabolism</v>
      </c>
    </row>
    <row r="406" spans="1:6" x14ac:dyDescent="0.45">
      <c r="A406" t="s">
        <v>5</v>
      </c>
      <c r="B406">
        <v>8</v>
      </c>
      <c r="C406">
        <v>-1</v>
      </c>
      <c r="D406" t="s">
        <v>4</v>
      </c>
      <c r="E406">
        <v>2</v>
      </c>
      <c r="F406" t="str">
        <f t="shared" si="7"/>
        <v>Metabolism of cofactors and vitamins</v>
      </c>
    </row>
    <row r="407" spans="1:6" x14ac:dyDescent="0.45">
      <c r="A407" t="s">
        <v>60</v>
      </c>
      <c r="B407">
        <v>8</v>
      </c>
      <c r="C407">
        <v>-1</v>
      </c>
      <c r="D407" t="s">
        <v>4</v>
      </c>
      <c r="E407">
        <v>2</v>
      </c>
      <c r="F407" t="str">
        <f t="shared" si="7"/>
        <v>Phenylpropanoid biosynthesis</v>
      </c>
    </row>
    <row r="408" spans="1:6" x14ac:dyDescent="0.45">
      <c r="A408" t="s">
        <v>80</v>
      </c>
      <c r="B408">
        <v>6</v>
      </c>
      <c r="C408">
        <v>-1</v>
      </c>
      <c r="D408" t="s">
        <v>97</v>
      </c>
      <c r="E408">
        <v>1</v>
      </c>
      <c r="F408" t="str">
        <f t="shared" si="7"/>
        <v>Phenylpropanoid metabolism</v>
      </c>
    </row>
    <row r="409" spans="1:6" x14ac:dyDescent="0.45">
      <c r="A409" t="s">
        <v>19</v>
      </c>
      <c r="B409">
        <v>7</v>
      </c>
      <c r="C409">
        <v>-1</v>
      </c>
      <c r="D409" t="s">
        <v>4</v>
      </c>
      <c r="E409">
        <v>11</v>
      </c>
      <c r="F409" t="str">
        <f t="shared" si="7"/>
        <v>Phenylpropanoid metabolism</v>
      </c>
    </row>
    <row r="410" spans="1:6" x14ac:dyDescent="0.45">
      <c r="A410" t="s">
        <v>20</v>
      </c>
      <c r="B410">
        <v>7</v>
      </c>
      <c r="C410">
        <v>-1</v>
      </c>
      <c r="D410" t="s">
        <v>4</v>
      </c>
      <c r="E410">
        <v>8</v>
      </c>
      <c r="F410" t="str">
        <f t="shared" si="7"/>
        <v>Phenylpropanoid metabolism</v>
      </c>
    </row>
    <row r="411" spans="1:6" x14ac:dyDescent="0.45">
      <c r="A411" t="s">
        <v>73</v>
      </c>
      <c r="B411">
        <v>8</v>
      </c>
      <c r="C411">
        <v>-1</v>
      </c>
      <c r="D411" t="s">
        <v>4</v>
      </c>
      <c r="E411">
        <v>2</v>
      </c>
      <c r="F411" t="str">
        <f t="shared" si="7"/>
        <v>Lipid metabolism</v>
      </c>
    </row>
    <row r="412" spans="1:6" x14ac:dyDescent="0.45">
      <c r="A412" t="s">
        <v>9</v>
      </c>
      <c r="B412">
        <v>8</v>
      </c>
      <c r="C412">
        <v>-1</v>
      </c>
      <c r="D412" t="s">
        <v>4</v>
      </c>
      <c r="E412">
        <v>1</v>
      </c>
      <c r="F412" t="str">
        <f t="shared" si="7"/>
        <v>Carbohydrate metabolism</v>
      </c>
    </row>
    <row r="413" spans="1:6" x14ac:dyDescent="0.45">
      <c r="A413" t="s">
        <v>35</v>
      </c>
      <c r="B413">
        <v>8</v>
      </c>
      <c r="C413">
        <v>-1</v>
      </c>
      <c r="D413" t="s">
        <v>4</v>
      </c>
      <c r="E413">
        <v>1</v>
      </c>
      <c r="F413" t="str">
        <f t="shared" si="7"/>
        <v>Amino acid metabolism</v>
      </c>
    </row>
    <row r="414" spans="1:6" x14ac:dyDescent="0.45">
      <c r="A414" t="s">
        <v>55</v>
      </c>
      <c r="B414">
        <v>8</v>
      </c>
      <c r="C414">
        <v>-1</v>
      </c>
      <c r="D414" t="s">
        <v>4</v>
      </c>
      <c r="E414">
        <v>1</v>
      </c>
      <c r="F414" t="str">
        <f t="shared" si="7"/>
        <v>Amino acid metabolism</v>
      </c>
    </row>
    <row r="415" spans="1:6" x14ac:dyDescent="0.45">
      <c r="A415" t="s">
        <v>12</v>
      </c>
      <c r="B415">
        <v>8</v>
      </c>
      <c r="C415">
        <v>-1</v>
      </c>
      <c r="D415" t="s">
        <v>4</v>
      </c>
      <c r="E415">
        <v>1</v>
      </c>
      <c r="F415" t="str">
        <f t="shared" si="7"/>
        <v>Carbohydrate metabolism</v>
      </c>
    </row>
    <row r="416" spans="1:6" x14ac:dyDescent="0.45">
      <c r="A416" t="s">
        <v>40</v>
      </c>
      <c r="B416">
        <v>8</v>
      </c>
      <c r="C416">
        <v>-1</v>
      </c>
      <c r="D416" t="s">
        <v>4</v>
      </c>
      <c r="E416">
        <v>1</v>
      </c>
      <c r="F416" t="str">
        <f t="shared" si="7"/>
        <v>Carbohydrate metabolism</v>
      </c>
    </row>
    <row r="417" spans="1:6" x14ac:dyDescent="0.45">
      <c r="A417" t="s">
        <v>41</v>
      </c>
      <c r="B417">
        <v>8</v>
      </c>
      <c r="C417">
        <v>-1</v>
      </c>
      <c r="D417" t="s">
        <v>4</v>
      </c>
      <c r="E417">
        <v>1</v>
      </c>
      <c r="F417" t="str">
        <f t="shared" si="7"/>
        <v>Metabolism of cofactors and vitamins</v>
      </c>
    </row>
    <row r="418" spans="1:6" x14ac:dyDescent="0.45">
      <c r="A418" t="s">
        <v>16</v>
      </c>
      <c r="B418">
        <v>8</v>
      </c>
      <c r="C418">
        <v>-1</v>
      </c>
      <c r="D418" t="s">
        <v>4</v>
      </c>
      <c r="E418">
        <v>1</v>
      </c>
      <c r="F418" t="str">
        <f t="shared" si="7"/>
        <v>Metabolism of cofactors and vitamin</v>
      </c>
    </row>
    <row r="419" spans="1:6" x14ac:dyDescent="0.45">
      <c r="A419" t="s">
        <v>17</v>
      </c>
      <c r="B419">
        <v>8</v>
      </c>
      <c r="C419">
        <v>-1</v>
      </c>
      <c r="D419" t="s">
        <v>4</v>
      </c>
      <c r="E419">
        <v>1</v>
      </c>
      <c r="F419" t="str">
        <f t="shared" si="7"/>
        <v>Metabolism of cofactors and vitamins</v>
      </c>
    </row>
    <row r="420" spans="1:6" x14ac:dyDescent="0.45">
      <c r="A420" t="s">
        <v>74</v>
      </c>
      <c r="B420">
        <v>8</v>
      </c>
      <c r="C420">
        <v>-1</v>
      </c>
      <c r="D420" t="s">
        <v>4</v>
      </c>
      <c r="E420">
        <v>1</v>
      </c>
      <c r="F420" t="str">
        <f t="shared" si="7"/>
        <v>Metabolism of cofactors and vitamins</v>
      </c>
    </row>
    <row r="421" spans="1:6" x14ac:dyDescent="0.45">
      <c r="A421" t="s">
        <v>61</v>
      </c>
      <c r="B421">
        <v>8</v>
      </c>
      <c r="C421">
        <v>-1</v>
      </c>
      <c r="D421" t="s">
        <v>4</v>
      </c>
      <c r="E421">
        <v>1</v>
      </c>
      <c r="F421" t="str">
        <f t="shared" si="7"/>
        <v>Alkaloid metabolism</v>
      </c>
    </row>
    <row r="422" spans="1:6" x14ac:dyDescent="0.45">
      <c r="A422" t="s">
        <v>81</v>
      </c>
      <c r="B422">
        <v>8</v>
      </c>
      <c r="C422">
        <v>-1</v>
      </c>
      <c r="D422" t="s">
        <v>4</v>
      </c>
      <c r="E422">
        <v>1</v>
      </c>
      <c r="F422" t="str">
        <f t="shared" si="7"/>
        <v>Lipid metabolism</v>
      </c>
    </row>
    <row r="423" spans="1:6" x14ac:dyDescent="0.45">
      <c r="A423" t="s">
        <v>30</v>
      </c>
      <c r="B423">
        <v>8</v>
      </c>
      <c r="C423">
        <v>-1</v>
      </c>
      <c r="D423" t="s">
        <v>4</v>
      </c>
      <c r="E423">
        <v>1</v>
      </c>
      <c r="F423" t="str">
        <f t="shared" si="7"/>
        <v>Degradation of aromatic compounds</v>
      </c>
    </row>
    <row r="424" spans="1:6" x14ac:dyDescent="0.45">
      <c r="A424" t="s">
        <v>24</v>
      </c>
      <c r="B424">
        <v>8</v>
      </c>
      <c r="C424">
        <v>-1</v>
      </c>
      <c r="D424" t="s">
        <v>4</v>
      </c>
      <c r="E424">
        <v>1</v>
      </c>
      <c r="F424" t="str">
        <f t="shared" si="7"/>
        <v>Phenylpropanoid metabolism</v>
      </c>
    </row>
    <row r="425" spans="1:6" x14ac:dyDescent="0.45">
      <c r="A425" t="s">
        <v>83</v>
      </c>
      <c r="B425">
        <v>8</v>
      </c>
      <c r="C425">
        <v>-1</v>
      </c>
      <c r="D425" t="s">
        <v>4</v>
      </c>
      <c r="E425">
        <v>1</v>
      </c>
      <c r="F425" t="str">
        <f t="shared" si="7"/>
        <v>Phenylpropanoid metabolism</v>
      </c>
    </row>
    <row r="426" spans="1:6" x14ac:dyDescent="0.45">
      <c r="A426" t="s">
        <v>45</v>
      </c>
      <c r="B426">
        <v>9</v>
      </c>
      <c r="C426">
        <v>-1</v>
      </c>
      <c r="D426" t="s">
        <v>4</v>
      </c>
      <c r="E426">
        <v>4</v>
      </c>
      <c r="F426" t="str">
        <f t="shared" si="7"/>
        <v>Amino acid metabolism</v>
      </c>
    </row>
    <row r="427" spans="1:6" x14ac:dyDescent="0.45">
      <c r="A427" t="s">
        <v>73</v>
      </c>
      <c r="B427">
        <v>9</v>
      </c>
      <c r="C427">
        <v>-1</v>
      </c>
      <c r="D427" t="s">
        <v>4</v>
      </c>
      <c r="E427">
        <v>2</v>
      </c>
      <c r="F427" t="str">
        <f t="shared" si="7"/>
        <v>Lipid metabolism</v>
      </c>
    </row>
    <row r="428" spans="1:6" x14ac:dyDescent="0.45">
      <c r="A428" t="s">
        <v>44</v>
      </c>
      <c r="B428">
        <v>9</v>
      </c>
      <c r="C428">
        <v>-1</v>
      </c>
      <c r="D428" t="s">
        <v>4</v>
      </c>
      <c r="E428">
        <v>2</v>
      </c>
      <c r="F428" t="str">
        <f t="shared" si="7"/>
        <v>Glucosinolate biosynthesis</v>
      </c>
    </row>
    <row r="429" spans="1:6" x14ac:dyDescent="0.45">
      <c r="A429" t="s">
        <v>66</v>
      </c>
      <c r="B429">
        <v>9</v>
      </c>
      <c r="C429">
        <v>-1</v>
      </c>
      <c r="D429" t="s">
        <v>4</v>
      </c>
      <c r="E429">
        <v>2</v>
      </c>
      <c r="F429" t="str">
        <f t="shared" si="7"/>
        <v>Amino acid metabolism</v>
      </c>
    </row>
    <row r="430" spans="1:6" x14ac:dyDescent="0.45">
      <c r="A430" t="s">
        <v>31</v>
      </c>
      <c r="B430">
        <v>9</v>
      </c>
      <c r="C430">
        <v>-1</v>
      </c>
      <c r="D430" t="s">
        <v>4</v>
      </c>
      <c r="E430">
        <v>1</v>
      </c>
      <c r="F430" t="str">
        <f t="shared" si="7"/>
        <v>Carbon metabolism</v>
      </c>
    </row>
    <row r="431" spans="1:6" x14ac:dyDescent="0.45">
      <c r="A431" t="s">
        <v>48</v>
      </c>
      <c r="B431">
        <v>9</v>
      </c>
      <c r="C431">
        <v>-1</v>
      </c>
      <c r="D431" t="s">
        <v>4</v>
      </c>
      <c r="E431">
        <v>1</v>
      </c>
      <c r="F431" t="str">
        <f t="shared" si="7"/>
        <v>Carbohydrate metabolism</v>
      </c>
    </row>
    <row r="432" spans="1:6" x14ac:dyDescent="0.45">
      <c r="A432" t="s">
        <v>10</v>
      </c>
      <c r="B432">
        <v>9</v>
      </c>
      <c r="C432">
        <v>-1</v>
      </c>
      <c r="D432" t="s">
        <v>4</v>
      </c>
      <c r="E432">
        <v>1</v>
      </c>
      <c r="F432" t="str">
        <f t="shared" si="7"/>
        <v>Carbohydrate metabolism</v>
      </c>
    </row>
    <row r="433" spans="1:6" x14ac:dyDescent="0.45">
      <c r="A433" t="s">
        <v>56</v>
      </c>
      <c r="B433">
        <v>9</v>
      </c>
      <c r="C433">
        <v>-1</v>
      </c>
      <c r="D433" t="s">
        <v>4</v>
      </c>
      <c r="E433">
        <v>1</v>
      </c>
      <c r="F433" t="str">
        <f t="shared" si="7"/>
        <v>Amino acid metabolism</v>
      </c>
    </row>
    <row r="434" spans="1:6" x14ac:dyDescent="0.45">
      <c r="A434" t="s">
        <v>27</v>
      </c>
      <c r="B434">
        <v>9</v>
      </c>
      <c r="C434">
        <v>-1</v>
      </c>
      <c r="D434" t="s">
        <v>4</v>
      </c>
      <c r="E434">
        <v>1</v>
      </c>
      <c r="F434" t="str">
        <f t="shared" si="7"/>
        <v>Amino acid metabolism</v>
      </c>
    </row>
    <row r="435" spans="1:6" x14ac:dyDescent="0.45">
      <c r="A435" t="s">
        <v>58</v>
      </c>
      <c r="B435">
        <v>9</v>
      </c>
      <c r="C435">
        <v>-1</v>
      </c>
      <c r="D435" t="s">
        <v>4</v>
      </c>
      <c r="E435">
        <v>1</v>
      </c>
      <c r="F435" t="str">
        <f t="shared" si="7"/>
        <v>Carbohydrate metabolism</v>
      </c>
    </row>
    <row r="436" spans="1:6" x14ac:dyDescent="0.45">
      <c r="A436" t="s">
        <v>84</v>
      </c>
      <c r="B436">
        <v>9</v>
      </c>
      <c r="C436">
        <v>-1</v>
      </c>
      <c r="D436" t="s">
        <v>4</v>
      </c>
      <c r="E436">
        <v>1</v>
      </c>
      <c r="F436" t="str">
        <f t="shared" si="7"/>
        <v>Carbohydrate metabolism</v>
      </c>
    </row>
    <row r="437" spans="1:6" x14ac:dyDescent="0.45">
      <c r="A437" t="s">
        <v>88</v>
      </c>
      <c r="B437">
        <v>9</v>
      </c>
      <c r="C437">
        <v>-1</v>
      </c>
      <c r="D437" t="s">
        <v>4</v>
      </c>
      <c r="E437">
        <v>1</v>
      </c>
      <c r="F437" t="str">
        <f t="shared" si="7"/>
        <v>Metabolism of cofactors and vitamins</v>
      </c>
    </row>
    <row r="438" spans="1:6" x14ac:dyDescent="0.45">
      <c r="A438" t="s">
        <v>17</v>
      </c>
      <c r="B438">
        <v>9</v>
      </c>
      <c r="C438">
        <v>-1</v>
      </c>
      <c r="D438" t="s">
        <v>4</v>
      </c>
      <c r="E438">
        <v>1</v>
      </c>
      <c r="F438" t="str">
        <f t="shared" si="7"/>
        <v>Metabolism of cofactors and vitamins</v>
      </c>
    </row>
    <row r="439" spans="1:6" x14ac:dyDescent="0.45">
      <c r="A439" t="s">
        <v>74</v>
      </c>
      <c r="B439">
        <v>9</v>
      </c>
      <c r="C439">
        <v>-1</v>
      </c>
      <c r="D439" t="s">
        <v>4</v>
      </c>
      <c r="E439">
        <v>1</v>
      </c>
      <c r="F439" t="str">
        <f t="shared" si="7"/>
        <v>Metabolism of cofactors and vitamins</v>
      </c>
    </row>
    <row r="440" spans="1:6" x14ac:dyDescent="0.45">
      <c r="A440" t="s">
        <v>5</v>
      </c>
      <c r="B440">
        <v>9</v>
      </c>
      <c r="C440">
        <v>-1</v>
      </c>
      <c r="D440" t="s">
        <v>4</v>
      </c>
      <c r="E440">
        <v>1</v>
      </c>
      <c r="F440" t="str">
        <f t="shared" si="7"/>
        <v>Metabolism of cofactors and vitamins</v>
      </c>
    </row>
    <row r="441" spans="1:6" x14ac:dyDescent="0.45">
      <c r="A441" t="s">
        <v>85</v>
      </c>
      <c r="B441">
        <v>9</v>
      </c>
      <c r="C441">
        <v>-1</v>
      </c>
      <c r="D441" t="s">
        <v>4</v>
      </c>
      <c r="E441">
        <v>1</v>
      </c>
      <c r="F441" t="str">
        <f t="shared" si="7"/>
        <v>Terpenoid metabolism</v>
      </c>
    </row>
    <row r="442" spans="1:6" x14ac:dyDescent="0.45">
      <c r="A442" t="s">
        <v>80</v>
      </c>
      <c r="B442">
        <v>7</v>
      </c>
      <c r="C442">
        <v>-1</v>
      </c>
      <c r="D442" t="s">
        <v>4</v>
      </c>
      <c r="E442">
        <v>1</v>
      </c>
      <c r="F442" t="str">
        <f t="shared" si="7"/>
        <v>Phenylpropanoid metabolism</v>
      </c>
    </row>
    <row r="443" spans="1:6" x14ac:dyDescent="0.45">
      <c r="A443" t="s">
        <v>21</v>
      </c>
      <c r="B443">
        <v>9</v>
      </c>
      <c r="C443">
        <v>-1</v>
      </c>
      <c r="D443" t="s">
        <v>4</v>
      </c>
      <c r="E443">
        <v>1</v>
      </c>
      <c r="F443" t="str">
        <f t="shared" si="7"/>
        <v xml:space="preserve">Carbon metabolism </v>
      </c>
    </row>
    <row r="444" spans="1:6" x14ac:dyDescent="0.45">
      <c r="A444" t="s">
        <v>51</v>
      </c>
      <c r="B444">
        <v>10</v>
      </c>
      <c r="C444">
        <v>1</v>
      </c>
      <c r="D444" t="s">
        <v>4</v>
      </c>
      <c r="E444">
        <v>2</v>
      </c>
      <c r="F444" t="str">
        <f t="shared" si="7"/>
        <v>Metabolism of cofactors and vitamins</v>
      </c>
    </row>
    <row r="445" spans="1:6" x14ac:dyDescent="0.45">
      <c r="A445" t="s">
        <v>55</v>
      </c>
      <c r="B445">
        <v>10</v>
      </c>
      <c r="C445">
        <v>1</v>
      </c>
      <c r="D445" t="s">
        <v>4</v>
      </c>
      <c r="E445">
        <v>2</v>
      </c>
      <c r="F445" t="str">
        <f t="shared" si="7"/>
        <v>Amino acid metabolism</v>
      </c>
    </row>
    <row r="446" spans="1:6" x14ac:dyDescent="0.45">
      <c r="A446" t="s">
        <v>26</v>
      </c>
      <c r="B446">
        <v>10</v>
      </c>
      <c r="C446">
        <v>1</v>
      </c>
      <c r="D446" t="s">
        <v>4</v>
      </c>
      <c r="E446">
        <v>2</v>
      </c>
      <c r="F446" t="str">
        <f t="shared" si="7"/>
        <v>Amino acid metabolism</v>
      </c>
    </row>
    <row r="447" spans="1:6" x14ac:dyDescent="0.45">
      <c r="A447" t="s">
        <v>60</v>
      </c>
      <c r="B447">
        <v>10</v>
      </c>
      <c r="C447">
        <v>1</v>
      </c>
      <c r="D447" t="s">
        <v>4</v>
      </c>
      <c r="E447">
        <v>2</v>
      </c>
      <c r="F447" t="str">
        <f t="shared" si="7"/>
        <v>Phenylpropanoid biosynthesis</v>
      </c>
    </row>
    <row r="448" spans="1:6" x14ac:dyDescent="0.45">
      <c r="A448" t="s">
        <v>22</v>
      </c>
      <c r="B448">
        <v>10</v>
      </c>
      <c r="C448">
        <v>1</v>
      </c>
      <c r="D448" t="s">
        <v>4</v>
      </c>
      <c r="E448">
        <v>2</v>
      </c>
      <c r="F448" t="str">
        <f t="shared" si="7"/>
        <v>Amino acid metabolism</v>
      </c>
    </row>
    <row r="449" spans="1:6" x14ac:dyDescent="0.45">
      <c r="A449" t="s">
        <v>23</v>
      </c>
      <c r="B449">
        <v>10</v>
      </c>
      <c r="C449">
        <v>1</v>
      </c>
      <c r="D449" t="s">
        <v>4</v>
      </c>
      <c r="E449">
        <v>2</v>
      </c>
      <c r="F449" t="str">
        <f t="shared" si="7"/>
        <v>Membrane transport</v>
      </c>
    </row>
    <row r="450" spans="1:6" x14ac:dyDescent="0.45">
      <c r="A450" t="s">
        <v>32</v>
      </c>
      <c r="B450">
        <v>10</v>
      </c>
      <c r="C450">
        <v>1</v>
      </c>
      <c r="D450" t="s">
        <v>4</v>
      </c>
      <c r="E450">
        <v>1</v>
      </c>
      <c r="F450" t="str">
        <f t="shared" si="7"/>
        <v>Lipid metabolism</v>
      </c>
    </row>
    <row r="451" spans="1:6" x14ac:dyDescent="0.45">
      <c r="A451" t="s">
        <v>29</v>
      </c>
      <c r="B451">
        <v>10</v>
      </c>
      <c r="C451">
        <v>1</v>
      </c>
      <c r="D451" t="s">
        <v>4</v>
      </c>
      <c r="E451">
        <v>1</v>
      </c>
      <c r="F451" t="str">
        <f t="shared" si="7"/>
        <v>Nucleotide metabolism</v>
      </c>
    </row>
    <row r="452" spans="1:6" x14ac:dyDescent="0.45">
      <c r="A452" t="s">
        <v>33</v>
      </c>
      <c r="B452">
        <v>10</v>
      </c>
      <c r="C452">
        <v>1</v>
      </c>
      <c r="D452" t="s">
        <v>4</v>
      </c>
      <c r="E452">
        <v>1</v>
      </c>
      <c r="F452" t="str">
        <f t="shared" si="7"/>
        <v>Amino acid metabolism</v>
      </c>
    </row>
    <row r="453" spans="1:6" x14ac:dyDescent="0.45">
      <c r="A453" t="s">
        <v>56</v>
      </c>
      <c r="B453">
        <v>10</v>
      </c>
      <c r="C453">
        <v>1</v>
      </c>
      <c r="D453" t="s">
        <v>4</v>
      </c>
      <c r="E453">
        <v>1</v>
      </c>
      <c r="F453" t="str">
        <f t="shared" si="7"/>
        <v>Amino acid metabolism</v>
      </c>
    </row>
    <row r="454" spans="1:6" x14ac:dyDescent="0.45">
      <c r="A454" t="s">
        <v>75</v>
      </c>
      <c r="B454">
        <v>10</v>
      </c>
      <c r="C454">
        <v>1</v>
      </c>
      <c r="D454" t="s">
        <v>4</v>
      </c>
      <c r="E454">
        <v>1</v>
      </c>
      <c r="F454" t="str">
        <f t="shared" si="7"/>
        <v>Metabolism of cofactors and vitamins</v>
      </c>
    </row>
    <row r="455" spans="1:6" x14ac:dyDescent="0.45">
      <c r="A455" t="s">
        <v>79</v>
      </c>
      <c r="B455">
        <v>10</v>
      </c>
      <c r="C455">
        <v>1</v>
      </c>
      <c r="D455" t="s">
        <v>4</v>
      </c>
      <c r="E455">
        <v>1</v>
      </c>
      <c r="F455" t="str">
        <f t="shared" si="7"/>
        <v>Energy metabolism</v>
      </c>
    </row>
    <row r="456" spans="1:6" x14ac:dyDescent="0.45">
      <c r="A456" t="s">
        <v>19</v>
      </c>
      <c r="B456">
        <v>7</v>
      </c>
      <c r="C456">
        <v>-1</v>
      </c>
      <c r="D456" t="s">
        <v>97</v>
      </c>
      <c r="E456">
        <v>1</v>
      </c>
      <c r="F456" t="str">
        <f t="shared" si="7"/>
        <v>Phenylpropanoid metabolism</v>
      </c>
    </row>
    <row r="457" spans="1:6" x14ac:dyDescent="0.45">
      <c r="A457" t="s">
        <v>80</v>
      </c>
      <c r="B457">
        <v>7</v>
      </c>
      <c r="C457">
        <v>-1</v>
      </c>
      <c r="D457" t="s">
        <v>97</v>
      </c>
      <c r="E457">
        <v>1</v>
      </c>
      <c r="F457" t="str">
        <f t="shared" si="7"/>
        <v>Phenylpropanoid metabolism</v>
      </c>
    </row>
    <row r="458" spans="1:6" x14ac:dyDescent="0.45">
      <c r="A458" t="s">
        <v>61</v>
      </c>
      <c r="B458">
        <v>10</v>
      </c>
      <c r="C458">
        <v>1</v>
      </c>
      <c r="D458" t="s">
        <v>4</v>
      </c>
      <c r="E458">
        <v>1</v>
      </c>
      <c r="F458" t="str">
        <f t="shared" si="7"/>
        <v>Alkaloid metabolism</v>
      </c>
    </row>
    <row r="459" spans="1:6" x14ac:dyDescent="0.45">
      <c r="A459" t="s">
        <v>44</v>
      </c>
      <c r="B459">
        <v>10</v>
      </c>
      <c r="C459">
        <v>1</v>
      </c>
      <c r="D459" t="s">
        <v>4</v>
      </c>
      <c r="E459">
        <v>1</v>
      </c>
      <c r="F459" t="str">
        <f t="shared" si="7"/>
        <v>Glucosinolate biosynthesis</v>
      </c>
    </row>
    <row r="460" spans="1:6" x14ac:dyDescent="0.45">
      <c r="A460" t="s">
        <v>62</v>
      </c>
      <c r="B460">
        <v>10</v>
      </c>
      <c r="C460">
        <v>1</v>
      </c>
      <c r="D460" t="s">
        <v>4</v>
      </c>
      <c r="E460">
        <v>1</v>
      </c>
      <c r="F460" t="str">
        <f t="shared" si="7"/>
        <v>Genetic Information Processing</v>
      </c>
    </row>
    <row r="461" spans="1:6" x14ac:dyDescent="0.45">
      <c r="A461" t="s">
        <v>45</v>
      </c>
      <c r="B461">
        <v>10</v>
      </c>
      <c r="C461">
        <v>1</v>
      </c>
      <c r="D461" t="s">
        <v>4</v>
      </c>
      <c r="E461">
        <v>1</v>
      </c>
      <c r="F461" t="str">
        <f t="shared" si="7"/>
        <v>Amino acid metabolism</v>
      </c>
    </row>
    <row r="462" spans="1:6" x14ac:dyDescent="0.45">
      <c r="A462" t="s">
        <v>30</v>
      </c>
      <c r="B462">
        <v>10</v>
      </c>
      <c r="C462">
        <v>1</v>
      </c>
      <c r="D462" t="s">
        <v>4</v>
      </c>
      <c r="E462">
        <v>1</v>
      </c>
      <c r="F462" t="str">
        <f t="shared" si="7"/>
        <v>Degradation of aromatic compounds</v>
      </c>
    </row>
    <row r="463" spans="1:6" x14ac:dyDescent="0.45">
      <c r="A463" t="s">
        <v>65</v>
      </c>
      <c r="B463">
        <v>10</v>
      </c>
      <c r="C463">
        <v>1</v>
      </c>
      <c r="D463" t="s">
        <v>4</v>
      </c>
      <c r="E463">
        <v>1</v>
      </c>
      <c r="F463" t="str">
        <f t="shared" si="7"/>
        <v>Amino acid metabolism</v>
      </c>
    </row>
    <row r="464" spans="1:6" x14ac:dyDescent="0.45">
      <c r="A464" t="s">
        <v>68</v>
      </c>
      <c r="B464">
        <v>10</v>
      </c>
      <c r="C464">
        <v>1</v>
      </c>
      <c r="D464" t="s">
        <v>4</v>
      </c>
      <c r="E464">
        <v>1</v>
      </c>
      <c r="F464">
        <f t="shared" si="7"/>
        <v>0</v>
      </c>
    </row>
    <row r="465" spans="1:6" x14ac:dyDescent="0.45">
      <c r="A465" t="s">
        <v>45</v>
      </c>
      <c r="B465">
        <v>10</v>
      </c>
      <c r="C465">
        <v>-1</v>
      </c>
      <c r="D465" t="s">
        <v>4</v>
      </c>
      <c r="E465">
        <v>12</v>
      </c>
      <c r="F465" t="str">
        <f t="shared" ref="F465:F528" si="8">_xlfn.XLOOKUP(A465,$I$2:$I$200,$J$2:$J$200)</f>
        <v>Amino acid metabolism</v>
      </c>
    </row>
    <row r="466" spans="1:6" x14ac:dyDescent="0.45">
      <c r="A466" t="s">
        <v>10</v>
      </c>
      <c r="B466">
        <v>10</v>
      </c>
      <c r="C466">
        <v>-1</v>
      </c>
      <c r="D466" t="s">
        <v>4</v>
      </c>
      <c r="E466">
        <v>7</v>
      </c>
      <c r="F466" t="str">
        <f t="shared" si="8"/>
        <v>Carbohydrate metabolism</v>
      </c>
    </row>
    <row r="467" spans="1:6" x14ac:dyDescent="0.45">
      <c r="A467" t="s">
        <v>29</v>
      </c>
      <c r="B467">
        <v>10</v>
      </c>
      <c r="C467">
        <v>-1</v>
      </c>
      <c r="D467" t="s">
        <v>4</v>
      </c>
      <c r="E467">
        <v>6</v>
      </c>
      <c r="F467" t="str">
        <f t="shared" si="8"/>
        <v>Nucleotide metabolism</v>
      </c>
    </row>
    <row r="468" spans="1:6" x14ac:dyDescent="0.45">
      <c r="A468" t="s">
        <v>19</v>
      </c>
      <c r="B468">
        <v>8</v>
      </c>
      <c r="C468">
        <v>-1</v>
      </c>
      <c r="D468" t="s">
        <v>4</v>
      </c>
      <c r="E468">
        <v>2</v>
      </c>
      <c r="F468" t="str">
        <f t="shared" si="8"/>
        <v>Phenylpropanoid metabolism</v>
      </c>
    </row>
    <row r="469" spans="1:6" x14ac:dyDescent="0.45">
      <c r="A469" t="s">
        <v>30</v>
      </c>
      <c r="B469">
        <v>10</v>
      </c>
      <c r="C469">
        <v>-1</v>
      </c>
      <c r="D469" t="s">
        <v>4</v>
      </c>
      <c r="E469">
        <v>11</v>
      </c>
      <c r="F469" t="str">
        <f t="shared" si="8"/>
        <v>Degradation of aromatic compounds</v>
      </c>
    </row>
    <row r="470" spans="1:6" x14ac:dyDescent="0.45">
      <c r="A470" t="s">
        <v>22</v>
      </c>
      <c r="B470">
        <v>10</v>
      </c>
      <c r="C470">
        <v>-1</v>
      </c>
      <c r="D470" t="s">
        <v>4</v>
      </c>
      <c r="E470">
        <v>9</v>
      </c>
      <c r="F470" t="str">
        <f t="shared" si="8"/>
        <v>Amino acid metabolism</v>
      </c>
    </row>
    <row r="471" spans="1:6" x14ac:dyDescent="0.45">
      <c r="A471" t="s">
        <v>7</v>
      </c>
      <c r="B471">
        <v>10</v>
      </c>
      <c r="C471">
        <v>-1</v>
      </c>
      <c r="D471" t="s">
        <v>4</v>
      </c>
      <c r="E471">
        <v>8</v>
      </c>
      <c r="F471" t="str">
        <f t="shared" si="8"/>
        <v>Carbohydrate metabolism</v>
      </c>
    </row>
    <row r="472" spans="1:6" x14ac:dyDescent="0.45">
      <c r="A472" t="s">
        <v>13</v>
      </c>
      <c r="B472">
        <v>10</v>
      </c>
      <c r="C472">
        <v>-1</v>
      </c>
      <c r="D472" t="s">
        <v>4</v>
      </c>
      <c r="E472">
        <v>6</v>
      </c>
      <c r="F472" t="str">
        <f t="shared" si="8"/>
        <v>Glycan biosynthesis and metabolism</v>
      </c>
    </row>
    <row r="473" spans="1:6" x14ac:dyDescent="0.45">
      <c r="A473" t="s">
        <v>40</v>
      </c>
      <c r="B473">
        <v>10</v>
      </c>
      <c r="C473">
        <v>-1</v>
      </c>
      <c r="D473" t="s">
        <v>4</v>
      </c>
      <c r="E473">
        <v>7</v>
      </c>
      <c r="F473" t="str">
        <f t="shared" si="8"/>
        <v>Carbohydrate metabolism</v>
      </c>
    </row>
    <row r="474" spans="1:6" x14ac:dyDescent="0.45">
      <c r="A474" t="s">
        <v>44</v>
      </c>
      <c r="B474">
        <v>10</v>
      </c>
      <c r="C474">
        <v>-1</v>
      </c>
      <c r="D474" t="s">
        <v>4</v>
      </c>
      <c r="E474">
        <v>6</v>
      </c>
      <c r="F474" t="str">
        <f t="shared" si="8"/>
        <v>Glucosinolate biosynthesis</v>
      </c>
    </row>
    <row r="475" spans="1:6" x14ac:dyDescent="0.45">
      <c r="A475" t="s">
        <v>21</v>
      </c>
      <c r="B475">
        <v>10</v>
      </c>
      <c r="C475">
        <v>-1</v>
      </c>
      <c r="D475" t="s">
        <v>4</v>
      </c>
      <c r="E475">
        <v>6</v>
      </c>
      <c r="F475" t="str">
        <f t="shared" si="8"/>
        <v xml:space="preserve">Carbon metabolism </v>
      </c>
    </row>
    <row r="476" spans="1:6" x14ac:dyDescent="0.45">
      <c r="A476" t="s">
        <v>31</v>
      </c>
      <c r="B476">
        <v>10</v>
      </c>
      <c r="C476">
        <v>-1</v>
      </c>
      <c r="D476" t="s">
        <v>4</v>
      </c>
      <c r="E476">
        <v>5</v>
      </c>
      <c r="F476" t="str">
        <f t="shared" si="8"/>
        <v>Carbon metabolism</v>
      </c>
    </row>
    <row r="477" spans="1:6" x14ac:dyDescent="0.45">
      <c r="A477" t="s">
        <v>8</v>
      </c>
      <c r="B477">
        <v>10</v>
      </c>
      <c r="C477">
        <v>-1</v>
      </c>
      <c r="D477" t="s">
        <v>4</v>
      </c>
      <c r="E477">
        <v>7</v>
      </c>
      <c r="F477" t="str">
        <f t="shared" si="8"/>
        <v>Carbohydrate metabolism</v>
      </c>
    </row>
    <row r="478" spans="1:6" x14ac:dyDescent="0.45">
      <c r="A478" t="s">
        <v>52</v>
      </c>
      <c r="B478">
        <v>10</v>
      </c>
      <c r="C478">
        <v>-1</v>
      </c>
      <c r="D478" t="s">
        <v>4</v>
      </c>
      <c r="E478">
        <v>5</v>
      </c>
      <c r="F478" t="str">
        <f t="shared" si="8"/>
        <v>Amino acid metabolism</v>
      </c>
    </row>
    <row r="479" spans="1:6" x14ac:dyDescent="0.45">
      <c r="A479" t="s">
        <v>26</v>
      </c>
      <c r="B479">
        <v>10</v>
      </c>
      <c r="C479">
        <v>-1</v>
      </c>
      <c r="D479" t="s">
        <v>4</v>
      </c>
      <c r="E479">
        <v>6</v>
      </c>
      <c r="F479" t="str">
        <f t="shared" si="8"/>
        <v>Amino acid metabolism</v>
      </c>
    </row>
    <row r="480" spans="1:6" x14ac:dyDescent="0.45">
      <c r="A480" t="s">
        <v>20</v>
      </c>
      <c r="B480">
        <v>7</v>
      </c>
      <c r="C480">
        <v>-1</v>
      </c>
      <c r="D480" t="s">
        <v>97</v>
      </c>
      <c r="E480">
        <v>1</v>
      </c>
      <c r="F480" t="str">
        <f t="shared" si="8"/>
        <v>Phenylpropanoid metabolism</v>
      </c>
    </row>
    <row r="481" spans="1:6" x14ac:dyDescent="0.45">
      <c r="A481" t="s">
        <v>48</v>
      </c>
      <c r="B481">
        <v>10</v>
      </c>
      <c r="C481">
        <v>-1</v>
      </c>
      <c r="D481" t="s">
        <v>4</v>
      </c>
      <c r="E481">
        <v>3</v>
      </c>
      <c r="F481" t="str">
        <f t="shared" si="8"/>
        <v>Carbohydrate metabolism</v>
      </c>
    </row>
    <row r="482" spans="1:6" x14ac:dyDescent="0.45">
      <c r="A482" t="s">
        <v>9</v>
      </c>
      <c r="B482">
        <v>10</v>
      </c>
      <c r="C482">
        <v>-1</v>
      </c>
      <c r="D482" t="s">
        <v>4</v>
      </c>
      <c r="E482">
        <v>3</v>
      </c>
      <c r="F482" t="str">
        <f t="shared" si="8"/>
        <v>Carbohydrate metabolism</v>
      </c>
    </row>
    <row r="483" spans="1:6" x14ac:dyDescent="0.45">
      <c r="A483" t="s">
        <v>11</v>
      </c>
      <c r="B483">
        <v>10</v>
      </c>
      <c r="C483">
        <v>-1</v>
      </c>
      <c r="D483" t="s">
        <v>4</v>
      </c>
      <c r="E483">
        <v>4</v>
      </c>
      <c r="F483" t="str">
        <f t="shared" si="8"/>
        <v>Nucleotide metabolism</v>
      </c>
    </row>
    <row r="484" spans="1:6" x14ac:dyDescent="0.45">
      <c r="A484" t="s">
        <v>55</v>
      </c>
      <c r="B484">
        <v>10</v>
      </c>
      <c r="C484">
        <v>-1</v>
      </c>
      <c r="D484" t="s">
        <v>4</v>
      </c>
      <c r="E484">
        <v>6</v>
      </c>
      <c r="F484" t="str">
        <f t="shared" si="8"/>
        <v>Amino acid metabolism</v>
      </c>
    </row>
    <row r="485" spans="1:6" x14ac:dyDescent="0.45">
      <c r="A485" t="s">
        <v>12</v>
      </c>
      <c r="B485">
        <v>10</v>
      </c>
      <c r="C485">
        <v>-1</v>
      </c>
      <c r="D485" t="s">
        <v>4</v>
      </c>
      <c r="E485">
        <v>4</v>
      </c>
      <c r="F485" t="str">
        <f t="shared" si="8"/>
        <v>Carbohydrate metabolism</v>
      </c>
    </row>
    <row r="486" spans="1:6" x14ac:dyDescent="0.45">
      <c r="A486" t="s">
        <v>36</v>
      </c>
      <c r="B486">
        <v>10</v>
      </c>
      <c r="C486">
        <v>-1</v>
      </c>
      <c r="D486" t="s">
        <v>4</v>
      </c>
      <c r="E486">
        <v>6</v>
      </c>
      <c r="F486" t="str">
        <f t="shared" si="8"/>
        <v>Carbohydrate metabolism</v>
      </c>
    </row>
    <row r="487" spans="1:6" x14ac:dyDescent="0.45">
      <c r="A487" t="s">
        <v>58</v>
      </c>
      <c r="B487">
        <v>10</v>
      </c>
      <c r="C487">
        <v>-1</v>
      </c>
      <c r="D487" t="s">
        <v>4</v>
      </c>
      <c r="E487">
        <v>4</v>
      </c>
      <c r="F487" t="str">
        <f t="shared" si="8"/>
        <v>Carbohydrate metabolism</v>
      </c>
    </row>
    <row r="488" spans="1:6" x14ac:dyDescent="0.45">
      <c r="A488" t="s">
        <v>60</v>
      </c>
      <c r="B488">
        <v>10</v>
      </c>
      <c r="C488">
        <v>-1</v>
      </c>
      <c r="D488" t="s">
        <v>4</v>
      </c>
      <c r="E488">
        <v>3</v>
      </c>
      <c r="F488" t="str">
        <f t="shared" si="8"/>
        <v>Phenylpropanoid biosynthesis</v>
      </c>
    </row>
    <row r="489" spans="1:6" x14ac:dyDescent="0.45">
      <c r="A489" t="s">
        <v>83</v>
      </c>
      <c r="B489">
        <v>10</v>
      </c>
      <c r="C489">
        <v>-1</v>
      </c>
      <c r="D489" t="s">
        <v>4</v>
      </c>
      <c r="E489">
        <v>3</v>
      </c>
      <c r="F489" t="str">
        <f t="shared" si="8"/>
        <v>Phenylpropanoid metabolism</v>
      </c>
    </row>
    <row r="490" spans="1:6" x14ac:dyDescent="0.45">
      <c r="A490" t="s">
        <v>51</v>
      </c>
      <c r="B490">
        <v>10</v>
      </c>
      <c r="C490">
        <v>-1</v>
      </c>
      <c r="D490" t="s">
        <v>4</v>
      </c>
      <c r="E490">
        <v>2</v>
      </c>
      <c r="F490" t="str">
        <f t="shared" si="8"/>
        <v>Metabolism of cofactors and vitamins</v>
      </c>
    </row>
    <row r="491" spans="1:6" x14ac:dyDescent="0.45">
      <c r="A491" t="s">
        <v>33</v>
      </c>
      <c r="B491">
        <v>10</v>
      </c>
      <c r="C491">
        <v>-1</v>
      </c>
      <c r="D491" t="s">
        <v>4</v>
      </c>
      <c r="E491">
        <v>3</v>
      </c>
      <c r="F491" t="str">
        <f t="shared" si="8"/>
        <v>Amino acid metabolism</v>
      </c>
    </row>
    <row r="492" spans="1:6" x14ac:dyDescent="0.45">
      <c r="A492" t="s">
        <v>54</v>
      </c>
      <c r="B492">
        <v>10</v>
      </c>
      <c r="C492">
        <v>-1</v>
      </c>
      <c r="D492" t="s">
        <v>4</v>
      </c>
      <c r="E492">
        <v>3</v>
      </c>
      <c r="F492" t="str">
        <f t="shared" si="8"/>
        <v>Amino acid metabolism</v>
      </c>
    </row>
    <row r="493" spans="1:6" x14ac:dyDescent="0.45">
      <c r="A493" t="s">
        <v>69</v>
      </c>
      <c r="B493">
        <v>10</v>
      </c>
      <c r="C493">
        <v>-1</v>
      </c>
      <c r="D493" t="s">
        <v>4</v>
      </c>
      <c r="E493">
        <v>3</v>
      </c>
      <c r="F493" t="str">
        <f t="shared" si="8"/>
        <v>Amino acid metabolism</v>
      </c>
    </row>
    <row r="494" spans="1:6" x14ac:dyDescent="0.45">
      <c r="A494" t="s">
        <v>70</v>
      </c>
      <c r="B494">
        <v>10</v>
      </c>
      <c r="C494">
        <v>-1</v>
      </c>
      <c r="D494" t="s">
        <v>4</v>
      </c>
      <c r="E494">
        <v>2</v>
      </c>
      <c r="F494" t="str">
        <f t="shared" si="8"/>
        <v>Amino acid metabolism</v>
      </c>
    </row>
    <row r="495" spans="1:6" x14ac:dyDescent="0.45">
      <c r="A495" t="s">
        <v>87</v>
      </c>
      <c r="B495">
        <v>10</v>
      </c>
      <c r="C495">
        <v>-1</v>
      </c>
      <c r="D495" t="s">
        <v>4</v>
      </c>
      <c r="E495">
        <v>3</v>
      </c>
      <c r="F495" t="str">
        <f t="shared" si="8"/>
        <v>Carbohydrate metabolism</v>
      </c>
    </row>
    <row r="496" spans="1:6" x14ac:dyDescent="0.45">
      <c r="A496" t="s">
        <v>15</v>
      </c>
      <c r="B496">
        <v>10</v>
      </c>
      <c r="C496">
        <v>-1</v>
      </c>
      <c r="D496" t="s">
        <v>4</v>
      </c>
      <c r="E496">
        <v>2</v>
      </c>
      <c r="F496" t="str">
        <f t="shared" si="8"/>
        <v>Carbon metabolism</v>
      </c>
    </row>
    <row r="497" spans="1:6" x14ac:dyDescent="0.45">
      <c r="A497" t="s">
        <v>41</v>
      </c>
      <c r="B497">
        <v>10</v>
      </c>
      <c r="C497">
        <v>-1</v>
      </c>
      <c r="D497" t="s">
        <v>4</v>
      </c>
      <c r="E497">
        <v>2</v>
      </c>
      <c r="F497" t="str">
        <f t="shared" si="8"/>
        <v>Metabolism of cofactors and vitamins</v>
      </c>
    </row>
    <row r="498" spans="1:6" x14ac:dyDescent="0.45">
      <c r="A498" t="s">
        <v>17</v>
      </c>
      <c r="B498">
        <v>10</v>
      </c>
      <c r="C498">
        <v>-1</v>
      </c>
      <c r="D498" t="s">
        <v>4</v>
      </c>
      <c r="E498">
        <v>2</v>
      </c>
      <c r="F498" t="str">
        <f t="shared" si="8"/>
        <v>Metabolism of cofactors and vitamins</v>
      </c>
    </row>
    <row r="499" spans="1:6" x14ac:dyDescent="0.45">
      <c r="A499" t="s">
        <v>94</v>
      </c>
      <c r="B499">
        <v>10</v>
      </c>
      <c r="C499">
        <v>-1</v>
      </c>
      <c r="D499" t="s">
        <v>4</v>
      </c>
      <c r="E499">
        <v>2</v>
      </c>
      <c r="F499" t="str">
        <f t="shared" si="8"/>
        <v>Metabolism of terpenoids and polyketides</v>
      </c>
    </row>
    <row r="500" spans="1:6" x14ac:dyDescent="0.45">
      <c r="A500" t="s">
        <v>6</v>
      </c>
      <c r="B500">
        <v>10</v>
      </c>
      <c r="C500">
        <v>-1</v>
      </c>
      <c r="D500" t="s">
        <v>4</v>
      </c>
      <c r="E500">
        <v>3</v>
      </c>
      <c r="F500" t="str">
        <f t="shared" si="8"/>
        <v>Terpenoid metabolism</v>
      </c>
    </row>
    <row r="501" spans="1:6" x14ac:dyDescent="0.45">
      <c r="A501" t="s">
        <v>57</v>
      </c>
      <c r="B501">
        <v>10</v>
      </c>
      <c r="C501">
        <v>-1</v>
      </c>
      <c r="D501" t="s">
        <v>4</v>
      </c>
      <c r="E501">
        <v>2</v>
      </c>
      <c r="F501" t="str">
        <f t="shared" si="8"/>
        <v>Carbohydrate metabolism</v>
      </c>
    </row>
    <row r="502" spans="1:6" x14ac:dyDescent="0.45">
      <c r="A502" t="s">
        <v>95</v>
      </c>
      <c r="B502">
        <v>10</v>
      </c>
      <c r="C502">
        <v>-1</v>
      </c>
      <c r="D502" t="s">
        <v>4</v>
      </c>
      <c r="E502">
        <v>1</v>
      </c>
      <c r="F502" t="str">
        <f t="shared" si="8"/>
        <v>Carbohydrate metabolism</v>
      </c>
    </row>
    <row r="503" spans="1:6" x14ac:dyDescent="0.45">
      <c r="A503" t="s">
        <v>32</v>
      </c>
      <c r="B503">
        <v>10</v>
      </c>
      <c r="C503">
        <v>-1</v>
      </c>
      <c r="D503" t="s">
        <v>4</v>
      </c>
      <c r="E503">
        <v>1</v>
      </c>
      <c r="F503" t="str">
        <f t="shared" si="8"/>
        <v>Lipid metabolism</v>
      </c>
    </row>
    <row r="504" spans="1:6" x14ac:dyDescent="0.45">
      <c r="A504" t="s">
        <v>90</v>
      </c>
      <c r="B504">
        <v>10</v>
      </c>
      <c r="C504">
        <v>-1</v>
      </c>
      <c r="D504" t="s">
        <v>4</v>
      </c>
      <c r="E504">
        <v>2</v>
      </c>
      <c r="F504" t="str">
        <f t="shared" si="8"/>
        <v>Biosynthesis of other secondary metabolites</v>
      </c>
    </row>
    <row r="505" spans="1:6" x14ac:dyDescent="0.45">
      <c r="A505" t="s">
        <v>38</v>
      </c>
      <c r="B505">
        <v>10</v>
      </c>
      <c r="C505">
        <v>-1</v>
      </c>
      <c r="D505" t="s">
        <v>4</v>
      </c>
      <c r="E505">
        <v>1</v>
      </c>
      <c r="F505" t="str">
        <f t="shared" si="8"/>
        <v>Amino acid metabolism</v>
      </c>
    </row>
    <row r="506" spans="1:6" x14ac:dyDescent="0.45">
      <c r="A506" t="s">
        <v>39</v>
      </c>
      <c r="B506">
        <v>10</v>
      </c>
      <c r="C506">
        <v>-1</v>
      </c>
      <c r="D506" t="s">
        <v>4</v>
      </c>
      <c r="E506">
        <v>1</v>
      </c>
      <c r="F506" t="str">
        <f t="shared" si="8"/>
        <v>Amino acid metabolism</v>
      </c>
    </row>
    <row r="507" spans="1:6" x14ac:dyDescent="0.45">
      <c r="A507" t="s">
        <v>47</v>
      </c>
      <c r="B507">
        <v>10</v>
      </c>
      <c r="C507">
        <v>-1</v>
      </c>
      <c r="D507" t="s">
        <v>4</v>
      </c>
      <c r="E507">
        <v>1</v>
      </c>
      <c r="F507" t="str">
        <f t="shared" si="8"/>
        <v>Amino acid metabolism</v>
      </c>
    </row>
    <row r="508" spans="1:6" x14ac:dyDescent="0.45">
      <c r="A508" t="s">
        <v>91</v>
      </c>
      <c r="B508">
        <v>10</v>
      </c>
      <c r="C508">
        <v>-1</v>
      </c>
      <c r="D508" t="s">
        <v>4</v>
      </c>
      <c r="E508">
        <v>2</v>
      </c>
      <c r="F508" t="str">
        <f t="shared" si="8"/>
        <v>Amino acid metabolism</v>
      </c>
    </row>
    <row r="509" spans="1:6" x14ac:dyDescent="0.45">
      <c r="A509" t="s">
        <v>35</v>
      </c>
      <c r="B509">
        <v>10</v>
      </c>
      <c r="C509">
        <v>-1</v>
      </c>
      <c r="D509" t="s">
        <v>4</v>
      </c>
      <c r="E509">
        <v>1</v>
      </c>
      <c r="F509" t="str">
        <f t="shared" si="8"/>
        <v>Amino acid metabolism</v>
      </c>
    </row>
    <row r="510" spans="1:6" x14ac:dyDescent="0.45">
      <c r="A510" t="s">
        <v>92</v>
      </c>
      <c r="B510">
        <v>10</v>
      </c>
      <c r="C510">
        <v>-1</v>
      </c>
      <c r="D510" t="s">
        <v>4</v>
      </c>
      <c r="E510">
        <v>1</v>
      </c>
      <c r="F510" t="str">
        <f t="shared" si="8"/>
        <v>Amino acid metabolism</v>
      </c>
    </row>
    <row r="511" spans="1:6" x14ac:dyDescent="0.45">
      <c r="A511" t="s">
        <v>14</v>
      </c>
      <c r="B511">
        <v>10</v>
      </c>
      <c r="C511">
        <v>-1</v>
      </c>
      <c r="D511" t="s">
        <v>4</v>
      </c>
      <c r="E511">
        <v>2</v>
      </c>
      <c r="F511" t="str">
        <f t="shared" si="8"/>
        <v>Lipid metabolism</v>
      </c>
    </row>
    <row r="512" spans="1:6" x14ac:dyDescent="0.45">
      <c r="A512" t="s">
        <v>86</v>
      </c>
      <c r="B512">
        <v>10</v>
      </c>
      <c r="C512">
        <v>-1</v>
      </c>
      <c r="D512" t="s">
        <v>4</v>
      </c>
      <c r="E512">
        <v>4</v>
      </c>
      <c r="F512" t="str">
        <f t="shared" si="8"/>
        <v>Lipid metabolism</v>
      </c>
    </row>
    <row r="513" spans="1:6" x14ac:dyDescent="0.45">
      <c r="A513" t="s">
        <v>72</v>
      </c>
      <c r="B513">
        <v>10</v>
      </c>
      <c r="C513">
        <v>-1</v>
      </c>
      <c r="D513" t="s">
        <v>4</v>
      </c>
      <c r="E513">
        <v>1</v>
      </c>
      <c r="F513" t="str">
        <f t="shared" si="8"/>
        <v>Lipid metabolism</v>
      </c>
    </row>
    <row r="514" spans="1:6" x14ac:dyDescent="0.45">
      <c r="A514" t="s">
        <v>84</v>
      </c>
      <c r="B514">
        <v>10</v>
      </c>
      <c r="C514">
        <v>-1</v>
      </c>
      <c r="D514" t="s">
        <v>4</v>
      </c>
      <c r="E514">
        <v>1</v>
      </c>
      <c r="F514" t="str">
        <f t="shared" si="8"/>
        <v>Carbohydrate metabolism</v>
      </c>
    </row>
    <row r="515" spans="1:6" x14ac:dyDescent="0.45">
      <c r="A515" t="s">
        <v>16</v>
      </c>
      <c r="B515">
        <v>10</v>
      </c>
      <c r="C515">
        <v>-1</v>
      </c>
      <c r="D515" t="s">
        <v>4</v>
      </c>
      <c r="E515">
        <v>2</v>
      </c>
      <c r="F515" t="str">
        <f t="shared" si="8"/>
        <v>Metabolism of cofactors and vitamin</v>
      </c>
    </row>
    <row r="516" spans="1:6" x14ac:dyDescent="0.45">
      <c r="A516" t="s">
        <v>88</v>
      </c>
      <c r="B516">
        <v>10</v>
      </c>
      <c r="C516">
        <v>-1</v>
      </c>
      <c r="D516" t="s">
        <v>4</v>
      </c>
      <c r="E516">
        <v>1</v>
      </c>
      <c r="F516" t="str">
        <f t="shared" si="8"/>
        <v>Metabolism of cofactors and vitamins</v>
      </c>
    </row>
    <row r="517" spans="1:6" x14ac:dyDescent="0.45">
      <c r="A517" t="s">
        <v>59</v>
      </c>
      <c r="B517">
        <v>10</v>
      </c>
      <c r="C517">
        <v>-1</v>
      </c>
      <c r="D517" t="s">
        <v>4</v>
      </c>
      <c r="E517">
        <v>1</v>
      </c>
      <c r="F517" t="str">
        <f t="shared" si="8"/>
        <v>Metabolism of cofactors and vitamins</v>
      </c>
    </row>
    <row r="518" spans="1:6" x14ac:dyDescent="0.45">
      <c r="A518" t="s">
        <v>74</v>
      </c>
      <c r="B518">
        <v>10</v>
      </c>
      <c r="C518">
        <v>-1</v>
      </c>
      <c r="D518" t="s">
        <v>4</v>
      </c>
      <c r="E518">
        <v>1</v>
      </c>
      <c r="F518" t="str">
        <f t="shared" si="8"/>
        <v>Metabolism of cofactors and vitamins</v>
      </c>
    </row>
    <row r="519" spans="1:6" x14ac:dyDescent="0.45">
      <c r="A519" t="s">
        <v>75</v>
      </c>
      <c r="B519">
        <v>10</v>
      </c>
      <c r="C519">
        <v>-1</v>
      </c>
      <c r="D519" t="s">
        <v>4</v>
      </c>
      <c r="E519">
        <v>1</v>
      </c>
      <c r="F519" t="str">
        <f t="shared" si="8"/>
        <v>Metabolism of cofactors and vitamins</v>
      </c>
    </row>
    <row r="520" spans="1:6" x14ac:dyDescent="0.45">
      <c r="A520" t="s">
        <v>5</v>
      </c>
      <c r="B520">
        <v>10</v>
      </c>
      <c r="C520">
        <v>-1</v>
      </c>
      <c r="D520" t="s">
        <v>4</v>
      </c>
      <c r="E520">
        <v>1</v>
      </c>
      <c r="F520" t="str">
        <f t="shared" si="8"/>
        <v>Metabolism of cofactors and vitamins</v>
      </c>
    </row>
    <row r="521" spans="1:6" x14ac:dyDescent="0.45">
      <c r="A521" t="s">
        <v>18</v>
      </c>
      <c r="B521">
        <v>10</v>
      </c>
      <c r="C521">
        <v>-1</v>
      </c>
      <c r="D521" t="s">
        <v>4</v>
      </c>
      <c r="E521">
        <v>1</v>
      </c>
      <c r="F521" t="str">
        <f t="shared" si="8"/>
        <v>Metabolism of terpenoids and polyketides</v>
      </c>
    </row>
    <row r="522" spans="1:6" x14ac:dyDescent="0.45">
      <c r="A522" t="s">
        <v>89</v>
      </c>
      <c r="B522">
        <v>10</v>
      </c>
      <c r="C522">
        <v>-1</v>
      </c>
      <c r="D522" t="s">
        <v>4</v>
      </c>
      <c r="E522">
        <v>1</v>
      </c>
      <c r="F522" t="str">
        <f t="shared" si="8"/>
        <v>Metabolism of terpenoids and polyketides</v>
      </c>
    </row>
    <row r="523" spans="1:6" x14ac:dyDescent="0.45">
      <c r="A523" t="s">
        <v>20</v>
      </c>
      <c r="B523">
        <v>8</v>
      </c>
      <c r="C523">
        <v>1</v>
      </c>
      <c r="D523" t="s">
        <v>4</v>
      </c>
      <c r="E523">
        <v>1</v>
      </c>
      <c r="F523" t="str">
        <f t="shared" si="8"/>
        <v>Phenylpropanoid metabolism</v>
      </c>
    </row>
    <row r="524" spans="1:6" x14ac:dyDescent="0.45">
      <c r="A524" t="s">
        <v>82</v>
      </c>
      <c r="B524">
        <v>10</v>
      </c>
      <c r="C524">
        <v>-1</v>
      </c>
      <c r="D524" t="s">
        <v>4</v>
      </c>
      <c r="E524">
        <v>1</v>
      </c>
      <c r="F524" t="str">
        <f t="shared" si="8"/>
        <v>Alkaloid metabolism</v>
      </c>
    </row>
    <row r="525" spans="1:6" x14ac:dyDescent="0.45">
      <c r="A525" t="s">
        <v>62</v>
      </c>
      <c r="B525">
        <v>10</v>
      </c>
      <c r="C525">
        <v>-1</v>
      </c>
      <c r="D525" t="s">
        <v>4</v>
      </c>
      <c r="E525">
        <v>2</v>
      </c>
      <c r="F525" t="str">
        <f t="shared" si="8"/>
        <v>Genetic Information Processing</v>
      </c>
    </row>
    <row r="526" spans="1:6" x14ac:dyDescent="0.45">
      <c r="A526" t="s">
        <v>23</v>
      </c>
      <c r="B526">
        <v>10</v>
      </c>
      <c r="C526">
        <v>-1</v>
      </c>
      <c r="D526" t="s">
        <v>4</v>
      </c>
      <c r="E526">
        <v>1</v>
      </c>
      <c r="F526" t="str">
        <f t="shared" si="8"/>
        <v>Membrane transport</v>
      </c>
    </row>
    <row r="527" spans="1:6" x14ac:dyDescent="0.45">
      <c r="A527" t="s">
        <v>96</v>
      </c>
      <c r="B527">
        <v>10</v>
      </c>
      <c r="C527">
        <v>-1</v>
      </c>
      <c r="D527" t="s">
        <v>4</v>
      </c>
      <c r="E527">
        <v>1</v>
      </c>
      <c r="F527" t="str">
        <f t="shared" si="8"/>
        <v>Signal transduction</v>
      </c>
    </row>
    <row r="528" spans="1:6" x14ac:dyDescent="0.45">
      <c r="A528" t="s">
        <v>77</v>
      </c>
      <c r="B528">
        <v>10</v>
      </c>
      <c r="C528">
        <v>-1</v>
      </c>
      <c r="D528" t="s">
        <v>4</v>
      </c>
      <c r="E528">
        <v>1</v>
      </c>
      <c r="F528" t="str">
        <f t="shared" si="8"/>
        <v>Signal transduction</v>
      </c>
    </row>
    <row r="529" spans="1:6" x14ac:dyDescent="0.45">
      <c r="A529" t="s">
        <v>65</v>
      </c>
      <c r="B529">
        <v>10</v>
      </c>
      <c r="C529">
        <v>-1</v>
      </c>
      <c r="D529" t="s">
        <v>4</v>
      </c>
      <c r="E529">
        <v>2</v>
      </c>
      <c r="F529" t="str">
        <f t="shared" ref="F529:F592" si="9">_xlfn.XLOOKUP(A529,$I$2:$I$200,$J$2:$J$200)</f>
        <v>Amino acid metabolism</v>
      </c>
    </row>
    <row r="530" spans="1:6" x14ac:dyDescent="0.45">
      <c r="A530" t="s">
        <v>66</v>
      </c>
      <c r="B530">
        <v>10</v>
      </c>
      <c r="C530">
        <v>-1</v>
      </c>
      <c r="D530" t="s">
        <v>4</v>
      </c>
      <c r="E530">
        <v>1</v>
      </c>
      <c r="F530" t="str">
        <f t="shared" si="9"/>
        <v>Amino acid metabolism</v>
      </c>
    </row>
    <row r="531" spans="1:6" x14ac:dyDescent="0.45">
      <c r="A531" t="s">
        <v>25</v>
      </c>
      <c r="B531">
        <v>10</v>
      </c>
      <c r="C531">
        <v>-1</v>
      </c>
      <c r="D531" t="s">
        <v>4</v>
      </c>
      <c r="E531">
        <v>1</v>
      </c>
      <c r="F531" t="str">
        <f t="shared" si="9"/>
        <v>Primary metabolism</v>
      </c>
    </row>
    <row r="532" spans="1:6" x14ac:dyDescent="0.45">
      <c r="A532" t="s">
        <v>26</v>
      </c>
      <c r="B532">
        <v>1</v>
      </c>
      <c r="C532">
        <v>1</v>
      </c>
      <c r="D532" t="s">
        <v>97</v>
      </c>
      <c r="E532">
        <v>1</v>
      </c>
      <c r="F532" t="str">
        <f t="shared" si="9"/>
        <v>Amino acid metabolism</v>
      </c>
    </row>
    <row r="533" spans="1:6" x14ac:dyDescent="0.45">
      <c r="A533" t="s">
        <v>5</v>
      </c>
      <c r="B533">
        <v>1</v>
      </c>
      <c r="C533">
        <v>1</v>
      </c>
      <c r="D533" t="s">
        <v>97</v>
      </c>
      <c r="E533">
        <v>1</v>
      </c>
      <c r="F533" t="str">
        <f t="shared" si="9"/>
        <v>Metabolism of cofactors and vitamins</v>
      </c>
    </row>
    <row r="534" spans="1:6" x14ac:dyDescent="0.45">
      <c r="A534" t="s">
        <v>22</v>
      </c>
      <c r="B534">
        <v>1</v>
      </c>
      <c r="C534">
        <v>1</v>
      </c>
      <c r="D534" t="s">
        <v>97</v>
      </c>
      <c r="E534">
        <v>1</v>
      </c>
      <c r="F534" t="str">
        <f t="shared" si="9"/>
        <v>Amino acid metabolism</v>
      </c>
    </row>
    <row r="535" spans="1:6" x14ac:dyDescent="0.45">
      <c r="A535" t="s">
        <v>52</v>
      </c>
      <c r="B535">
        <v>1</v>
      </c>
      <c r="C535">
        <v>-1</v>
      </c>
      <c r="D535" t="s">
        <v>97</v>
      </c>
      <c r="E535">
        <v>2</v>
      </c>
      <c r="F535" t="str">
        <f t="shared" si="9"/>
        <v>Amino acid metabolism</v>
      </c>
    </row>
    <row r="536" spans="1:6" x14ac:dyDescent="0.45">
      <c r="A536" t="s">
        <v>33</v>
      </c>
      <c r="B536">
        <v>1</v>
      </c>
      <c r="C536">
        <v>-1</v>
      </c>
      <c r="D536" t="s">
        <v>97</v>
      </c>
      <c r="E536">
        <v>2</v>
      </c>
      <c r="F536" t="str">
        <f t="shared" si="9"/>
        <v>Amino acid metabolism</v>
      </c>
    </row>
    <row r="537" spans="1:6" x14ac:dyDescent="0.45">
      <c r="A537" t="s">
        <v>26</v>
      </c>
      <c r="B537">
        <v>1</v>
      </c>
      <c r="C537">
        <v>-1</v>
      </c>
      <c r="D537" t="s">
        <v>97</v>
      </c>
      <c r="E537">
        <v>2</v>
      </c>
      <c r="F537" t="str">
        <f t="shared" si="9"/>
        <v>Amino acid metabolism</v>
      </c>
    </row>
    <row r="538" spans="1:6" x14ac:dyDescent="0.45">
      <c r="A538" t="s">
        <v>45</v>
      </c>
      <c r="B538">
        <v>1</v>
      </c>
      <c r="C538">
        <v>-1</v>
      </c>
      <c r="D538" t="s">
        <v>97</v>
      </c>
      <c r="E538">
        <v>2</v>
      </c>
      <c r="F538" t="str">
        <f t="shared" si="9"/>
        <v>Amino acid metabolism</v>
      </c>
    </row>
    <row r="539" spans="1:6" x14ac:dyDescent="0.45">
      <c r="A539" t="s">
        <v>30</v>
      </c>
      <c r="B539">
        <v>1</v>
      </c>
      <c r="C539">
        <v>-1</v>
      </c>
      <c r="D539" t="s">
        <v>97</v>
      </c>
      <c r="E539">
        <v>2</v>
      </c>
      <c r="F539" t="str">
        <f t="shared" si="9"/>
        <v>Degradation of aromatic compounds</v>
      </c>
    </row>
    <row r="540" spans="1:6" x14ac:dyDescent="0.45">
      <c r="A540" t="s">
        <v>22</v>
      </c>
      <c r="B540">
        <v>1</v>
      </c>
      <c r="C540">
        <v>-1</v>
      </c>
      <c r="D540" t="s">
        <v>97</v>
      </c>
      <c r="E540">
        <v>2</v>
      </c>
      <c r="F540" t="str">
        <f t="shared" si="9"/>
        <v>Amino acid metabolism</v>
      </c>
    </row>
    <row r="541" spans="1:6" x14ac:dyDescent="0.45">
      <c r="A541" t="s">
        <v>7</v>
      </c>
      <c r="B541">
        <v>1</v>
      </c>
      <c r="C541">
        <v>-1</v>
      </c>
      <c r="D541" t="s">
        <v>97</v>
      </c>
      <c r="E541">
        <v>1</v>
      </c>
      <c r="F541" t="str">
        <f t="shared" si="9"/>
        <v>Carbohydrate metabolism</v>
      </c>
    </row>
    <row r="542" spans="1:6" x14ac:dyDescent="0.45">
      <c r="A542" t="s">
        <v>31</v>
      </c>
      <c r="B542">
        <v>1</v>
      </c>
      <c r="C542">
        <v>-1</v>
      </c>
      <c r="D542" t="s">
        <v>97</v>
      </c>
      <c r="E542">
        <v>1</v>
      </c>
      <c r="F542" t="str">
        <f t="shared" si="9"/>
        <v>Carbon metabolism</v>
      </c>
    </row>
    <row r="543" spans="1:6" x14ac:dyDescent="0.45">
      <c r="A543" t="s">
        <v>51</v>
      </c>
      <c r="B543">
        <v>1</v>
      </c>
      <c r="C543">
        <v>-1</v>
      </c>
      <c r="D543" t="s">
        <v>97</v>
      </c>
      <c r="E543">
        <v>1</v>
      </c>
      <c r="F543" t="str">
        <f t="shared" si="9"/>
        <v>Metabolism of cofactors and vitamins</v>
      </c>
    </row>
    <row r="544" spans="1:6" x14ac:dyDescent="0.45">
      <c r="A544" t="s">
        <v>47</v>
      </c>
      <c r="B544">
        <v>1</v>
      </c>
      <c r="C544">
        <v>-1</v>
      </c>
      <c r="D544" t="s">
        <v>97</v>
      </c>
      <c r="E544">
        <v>1</v>
      </c>
      <c r="F544" t="str">
        <f t="shared" si="9"/>
        <v>Amino acid metabolism</v>
      </c>
    </row>
    <row r="545" spans="1:6" x14ac:dyDescent="0.45">
      <c r="A545" t="s">
        <v>54</v>
      </c>
      <c r="B545">
        <v>1</v>
      </c>
      <c r="C545">
        <v>-1</v>
      </c>
      <c r="D545" t="s">
        <v>97</v>
      </c>
      <c r="E545">
        <v>1</v>
      </c>
      <c r="F545" t="str">
        <f t="shared" si="9"/>
        <v>Amino acid metabolism</v>
      </c>
    </row>
    <row r="546" spans="1:6" x14ac:dyDescent="0.45">
      <c r="A546" t="s">
        <v>35</v>
      </c>
      <c r="B546">
        <v>1</v>
      </c>
      <c r="C546">
        <v>-1</v>
      </c>
      <c r="D546" t="s">
        <v>97</v>
      </c>
      <c r="E546">
        <v>1</v>
      </c>
      <c r="F546" t="str">
        <f t="shared" si="9"/>
        <v>Amino acid metabolism</v>
      </c>
    </row>
    <row r="547" spans="1:6" x14ac:dyDescent="0.45">
      <c r="A547" t="s">
        <v>55</v>
      </c>
      <c r="B547">
        <v>1</v>
      </c>
      <c r="C547">
        <v>-1</v>
      </c>
      <c r="D547" t="s">
        <v>97</v>
      </c>
      <c r="E547">
        <v>1</v>
      </c>
      <c r="F547" t="str">
        <f t="shared" si="9"/>
        <v>Amino acid metabolism</v>
      </c>
    </row>
    <row r="548" spans="1:6" x14ac:dyDescent="0.45">
      <c r="A548" t="s">
        <v>27</v>
      </c>
      <c r="B548">
        <v>1</v>
      </c>
      <c r="C548">
        <v>-1</v>
      </c>
      <c r="D548" t="s">
        <v>97</v>
      </c>
      <c r="E548">
        <v>1</v>
      </c>
      <c r="F548" t="str">
        <f t="shared" si="9"/>
        <v>Amino acid metabolism</v>
      </c>
    </row>
    <row r="549" spans="1:6" x14ac:dyDescent="0.45">
      <c r="A549" t="s">
        <v>36</v>
      </c>
      <c r="B549">
        <v>1</v>
      </c>
      <c r="C549">
        <v>-1</v>
      </c>
      <c r="D549" t="s">
        <v>97</v>
      </c>
      <c r="E549">
        <v>1</v>
      </c>
      <c r="F549" t="str">
        <f t="shared" si="9"/>
        <v>Carbohydrate metabolism</v>
      </c>
    </row>
    <row r="550" spans="1:6" x14ac:dyDescent="0.45">
      <c r="A550" t="s">
        <v>84</v>
      </c>
      <c r="B550">
        <v>1</v>
      </c>
      <c r="C550">
        <v>-1</v>
      </c>
      <c r="D550" t="s">
        <v>97</v>
      </c>
      <c r="E550">
        <v>1</v>
      </c>
      <c r="F550" t="str">
        <f t="shared" si="9"/>
        <v>Carbohydrate metabolism</v>
      </c>
    </row>
    <row r="551" spans="1:6" x14ac:dyDescent="0.45">
      <c r="A551" t="s">
        <v>15</v>
      </c>
      <c r="B551">
        <v>1</v>
      </c>
      <c r="C551">
        <v>-1</v>
      </c>
      <c r="D551" t="s">
        <v>97</v>
      </c>
      <c r="E551">
        <v>1</v>
      </c>
      <c r="F551" t="str">
        <f t="shared" si="9"/>
        <v>Carbon metabolism</v>
      </c>
    </row>
    <row r="552" spans="1:6" x14ac:dyDescent="0.45">
      <c r="A552" t="s">
        <v>42</v>
      </c>
      <c r="B552">
        <v>1</v>
      </c>
      <c r="C552">
        <v>-1</v>
      </c>
      <c r="D552" t="s">
        <v>97</v>
      </c>
      <c r="E552">
        <v>1</v>
      </c>
      <c r="F552" t="str">
        <f t="shared" si="9"/>
        <v>Metabolism of terpenoids and polyketides</v>
      </c>
    </row>
    <row r="553" spans="1:6" x14ac:dyDescent="0.45">
      <c r="A553" t="s">
        <v>60</v>
      </c>
      <c r="B553">
        <v>1</v>
      </c>
      <c r="C553">
        <v>-1</v>
      </c>
      <c r="D553" t="s">
        <v>97</v>
      </c>
      <c r="E553">
        <v>1</v>
      </c>
      <c r="F553" t="str">
        <f t="shared" si="9"/>
        <v>Phenylpropanoid biosynthesis</v>
      </c>
    </row>
    <row r="554" spans="1:6" x14ac:dyDescent="0.45">
      <c r="A554" t="s">
        <v>82</v>
      </c>
      <c r="B554">
        <v>1</v>
      </c>
      <c r="C554">
        <v>-1</v>
      </c>
      <c r="D554" t="s">
        <v>97</v>
      </c>
      <c r="E554">
        <v>1</v>
      </c>
      <c r="F554" t="str">
        <f t="shared" si="9"/>
        <v>Alkaloid metabolism</v>
      </c>
    </row>
    <row r="555" spans="1:6" x14ac:dyDescent="0.45">
      <c r="A555" t="s">
        <v>21</v>
      </c>
      <c r="B555">
        <v>1</v>
      </c>
      <c r="C555">
        <v>-1</v>
      </c>
      <c r="D555" t="s">
        <v>97</v>
      </c>
      <c r="E555">
        <v>1</v>
      </c>
      <c r="F555" t="str">
        <f t="shared" si="9"/>
        <v xml:space="preserve">Carbon metabolism </v>
      </c>
    </row>
    <row r="556" spans="1:6" x14ac:dyDescent="0.45">
      <c r="A556" t="s">
        <v>23</v>
      </c>
      <c r="B556">
        <v>1</v>
      </c>
      <c r="C556">
        <v>-1</v>
      </c>
      <c r="D556" t="s">
        <v>97</v>
      </c>
      <c r="E556">
        <v>1</v>
      </c>
      <c r="F556" t="str">
        <f t="shared" si="9"/>
        <v>Membrane transport</v>
      </c>
    </row>
    <row r="557" spans="1:6" x14ac:dyDescent="0.45">
      <c r="A557" t="s">
        <v>24</v>
      </c>
      <c r="B557">
        <v>1</v>
      </c>
      <c r="C557">
        <v>-1</v>
      </c>
      <c r="D557" t="s">
        <v>97</v>
      </c>
      <c r="E557">
        <v>1</v>
      </c>
      <c r="F557" t="str">
        <f t="shared" si="9"/>
        <v>Phenylpropanoid metabolism</v>
      </c>
    </row>
    <row r="558" spans="1:6" x14ac:dyDescent="0.45">
      <c r="A558" t="s">
        <v>83</v>
      </c>
      <c r="B558">
        <v>1</v>
      </c>
      <c r="C558">
        <v>-1</v>
      </c>
      <c r="D558" t="s">
        <v>97</v>
      </c>
      <c r="E558">
        <v>1</v>
      </c>
      <c r="F558" t="str">
        <f t="shared" si="9"/>
        <v>Phenylpropanoid metabolism</v>
      </c>
    </row>
    <row r="559" spans="1:6" x14ac:dyDescent="0.45">
      <c r="A559" t="s">
        <v>85</v>
      </c>
      <c r="B559">
        <v>2</v>
      </c>
      <c r="C559">
        <v>1</v>
      </c>
      <c r="D559" t="s">
        <v>97</v>
      </c>
      <c r="E559">
        <v>1</v>
      </c>
      <c r="F559" t="str">
        <f t="shared" si="9"/>
        <v>Terpenoid metabolism</v>
      </c>
    </row>
    <row r="560" spans="1:6" x14ac:dyDescent="0.45">
      <c r="A560" t="s">
        <v>71</v>
      </c>
      <c r="B560">
        <v>2</v>
      </c>
      <c r="C560">
        <v>-1</v>
      </c>
      <c r="D560" t="s">
        <v>97</v>
      </c>
      <c r="E560">
        <v>2</v>
      </c>
      <c r="F560" t="str">
        <f t="shared" si="9"/>
        <v>Lipid metabolism</v>
      </c>
    </row>
    <row r="561" spans="1:6" x14ac:dyDescent="0.45">
      <c r="A561" t="s">
        <v>45</v>
      </c>
      <c r="B561">
        <v>2</v>
      </c>
      <c r="C561">
        <v>-1</v>
      </c>
      <c r="D561" t="s">
        <v>97</v>
      </c>
      <c r="E561">
        <v>2</v>
      </c>
      <c r="F561" t="str">
        <f t="shared" si="9"/>
        <v>Amino acid metabolism</v>
      </c>
    </row>
    <row r="562" spans="1:6" x14ac:dyDescent="0.45">
      <c r="A562" t="s">
        <v>98</v>
      </c>
      <c r="B562">
        <v>2</v>
      </c>
      <c r="C562">
        <v>-1</v>
      </c>
      <c r="D562" t="s">
        <v>97</v>
      </c>
      <c r="E562">
        <v>1</v>
      </c>
      <c r="F562" t="str">
        <f t="shared" si="9"/>
        <v>Energy metabolism</v>
      </c>
    </row>
    <row r="563" spans="1:6" x14ac:dyDescent="0.45">
      <c r="A563" t="s">
        <v>52</v>
      </c>
      <c r="B563">
        <v>2</v>
      </c>
      <c r="C563">
        <v>-1</v>
      </c>
      <c r="D563" t="s">
        <v>97</v>
      </c>
      <c r="E563">
        <v>1</v>
      </c>
      <c r="F563" t="str">
        <f t="shared" si="9"/>
        <v>Amino acid metabolism</v>
      </c>
    </row>
    <row r="564" spans="1:6" x14ac:dyDescent="0.45">
      <c r="A564" t="s">
        <v>54</v>
      </c>
      <c r="B564">
        <v>2</v>
      </c>
      <c r="C564">
        <v>-1</v>
      </c>
      <c r="D564" t="s">
        <v>97</v>
      </c>
      <c r="E564">
        <v>1</v>
      </c>
      <c r="F564" t="str">
        <f t="shared" si="9"/>
        <v>Amino acid metabolism</v>
      </c>
    </row>
    <row r="565" spans="1:6" x14ac:dyDescent="0.45">
      <c r="A565" t="s">
        <v>69</v>
      </c>
      <c r="B565">
        <v>2</v>
      </c>
      <c r="C565">
        <v>-1</v>
      </c>
      <c r="D565" t="s">
        <v>97</v>
      </c>
      <c r="E565">
        <v>1</v>
      </c>
      <c r="F565" t="str">
        <f t="shared" si="9"/>
        <v>Amino acid metabolism</v>
      </c>
    </row>
    <row r="566" spans="1:6" x14ac:dyDescent="0.45">
      <c r="A566" t="s">
        <v>27</v>
      </c>
      <c r="B566">
        <v>2</v>
      </c>
      <c r="C566">
        <v>-1</v>
      </c>
      <c r="D566" t="s">
        <v>97</v>
      </c>
      <c r="E566">
        <v>1</v>
      </c>
      <c r="F566" t="str">
        <f t="shared" si="9"/>
        <v>Amino acid metabolism</v>
      </c>
    </row>
    <row r="567" spans="1:6" x14ac:dyDescent="0.45">
      <c r="A567" t="s">
        <v>42</v>
      </c>
      <c r="B567">
        <v>2</v>
      </c>
      <c r="C567">
        <v>-1</v>
      </c>
      <c r="D567" t="s">
        <v>97</v>
      </c>
      <c r="E567">
        <v>1</v>
      </c>
      <c r="F567" t="str">
        <f t="shared" si="9"/>
        <v>Metabolism of terpenoids and polyketides</v>
      </c>
    </row>
    <row r="568" spans="1:6" x14ac:dyDescent="0.45">
      <c r="A568" t="s">
        <v>44</v>
      </c>
      <c r="B568">
        <v>2</v>
      </c>
      <c r="C568">
        <v>-1</v>
      </c>
      <c r="D568" t="s">
        <v>97</v>
      </c>
      <c r="E568">
        <v>1</v>
      </c>
      <c r="F568" t="str">
        <f t="shared" si="9"/>
        <v>Glucosinolate biosynthesis</v>
      </c>
    </row>
    <row r="569" spans="1:6" x14ac:dyDescent="0.45">
      <c r="A569" t="s">
        <v>22</v>
      </c>
      <c r="B569">
        <v>2</v>
      </c>
      <c r="C569">
        <v>-1</v>
      </c>
      <c r="D569" t="s">
        <v>97</v>
      </c>
      <c r="E569">
        <v>1</v>
      </c>
      <c r="F569" t="str">
        <f t="shared" si="9"/>
        <v>Amino acid metabolism</v>
      </c>
    </row>
    <row r="570" spans="1:6" x14ac:dyDescent="0.45">
      <c r="A570" t="s">
        <v>23</v>
      </c>
      <c r="B570">
        <v>2</v>
      </c>
      <c r="C570">
        <v>-1</v>
      </c>
      <c r="D570" t="s">
        <v>97</v>
      </c>
      <c r="E570">
        <v>1</v>
      </c>
      <c r="F570" t="str">
        <f t="shared" si="9"/>
        <v>Membrane transport</v>
      </c>
    </row>
    <row r="571" spans="1:6" x14ac:dyDescent="0.45">
      <c r="A571" t="s">
        <v>99</v>
      </c>
      <c r="B571">
        <v>2</v>
      </c>
      <c r="C571">
        <v>-1</v>
      </c>
      <c r="D571" t="s">
        <v>97</v>
      </c>
      <c r="E571">
        <v>1</v>
      </c>
      <c r="F571">
        <f t="shared" si="9"/>
        <v>0</v>
      </c>
    </row>
    <row r="572" spans="1:6" x14ac:dyDescent="0.45">
      <c r="A572" t="s">
        <v>11</v>
      </c>
      <c r="B572">
        <v>3</v>
      </c>
      <c r="C572">
        <v>1</v>
      </c>
      <c r="D572" t="s">
        <v>97</v>
      </c>
      <c r="E572">
        <v>1</v>
      </c>
      <c r="F572" t="str">
        <f t="shared" si="9"/>
        <v>Nucleotide metabolism</v>
      </c>
    </row>
    <row r="573" spans="1:6" x14ac:dyDescent="0.45">
      <c r="A573" t="s">
        <v>13</v>
      </c>
      <c r="B573">
        <v>3</v>
      </c>
      <c r="C573">
        <v>1</v>
      </c>
      <c r="D573" t="s">
        <v>97</v>
      </c>
      <c r="E573">
        <v>1</v>
      </c>
      <c r="F573" t="str">
        <f t="shared" si="9"/>
        <v>Glycan biosynthesis and metabolism</v>
      </c>
    </row>
    <row r="574" spans="1:6" x14ac:dyDescent="0.45">
      <c r="A574" t="s">
        <v>74</v>
      </c>
      <c r="B574">
        <v>3</v>
      </c>
      <c r="C574">
        <v>1</v>
      </c>
      <c r="D574" t="s">
        <v>97</v>
      </c>
      <c r="E574">
        <v>1</v>
      </c>
      <c r="F574" t="str">
        <f t="shared" si="9"/>
        <v>Metabolism of cofactors and vitamins</v>
      </c>
    </row>
    <row r="575" spans="1:6" x14ac:dyDescent="0.45">
      <c r="A575" t="s">
        <v>43</v>
      </c>
      <c r="B575">
        <v>3</v>
      </c>
      <c r="C575">
        <v>1</v>
      </c>
      <c r="D575" t="s">
        <v>97</v>
      </c>
      <c r="E575">
        <v>1</v>
      </c>
      <c r="F575" t="str">
        <f t="shared" si="9"/>
        <v>Stilbenoid; diarylheptanoid and gingerol biosynthesis</v>
      </c>
    </row>
    <row r="576" spans="1:6" x14ac:dyDescent="0.45">
      <c r="A576" t="s">
        <v>23</v>
      </c>
      <c r="B576">
        <v>3</v>
      </c>
      <c r="C576">
        <v>1</v>
      </c>
      <c r="D576" t="s">
        <v>97</v>
      </c>
      <c r="E576">
        <v>1</v>
      </c>
      <c r="F576" t="str">
        <f t="shared" si="9"/>
        <v>Membrane transport</v>
      </c>
    </row>
    <row r="577" spans="1:6" x14ac:dyDescent="0.45">
      <c r="A577" t="s">
        <v>60</v>
      </c>
      <c r="B577">
        <v>3</v>
      </c>
      <c r="C577">
        <v>-1</v>
      </c>
      <c r="D577" t="s">
        <v>97</v>
      </c>
      <c r="E577">
        <v>5</v>
      </c>
      <c r="F577" t="str">
        <f t="shared" si="9"/>
        <v>Phenylpropanoid biosynthesis</v>
      </c>
    </row>
    <row r="578" spans="1:6" x14ac:dyDescent="0.45">
      <c r="A578" t="s">
        <v>80</v>
      </c>
      <c r="B578">
        <v>8</v>
      </c>
      <c r="C578">
        <v>-1</v>
      </c>
      <c r="D578" t="s">
        <v>4</v>
      </c>
      <c r="E578">
        <v>2</v>
      </c>
      <c r="F578" t="str">
        <f t="shared" si="9"/>
        <v>Phenylpropanoid metabolism</v>
      </c>
    </row>
    <row r="579" spans="1:6" x14ac:dyDescent="0.45">
      <c r="A579" t="s">
        <v>30</v>
      </c>
      <c r="B579">
        <v>3</v>
      </c>
      <c r="C579">
        <v>-1</v>
      </c>
      <c r="D579" t="s">
        <v>97</v>
      </c>
      <c r="E579">
        <v>4</v>
      </c>
      <c r="F579" t="str">
        <f t="shared" si="9"/>
        <v>Degradation of aromatic compounds</v>
      </c>
    </row>
    <row r="580" spans="1:6" x14ac:dyDescent="0.45">
      <c r="A580" t="s">
        <v>83</v>
      </c>
      <c r="B580">
        <v>3</v>
      </c>
      <c r="C580">
        <v>-1</v>
      </c>
      <c r="D580" t="s">
        <v>97</v>
      </c>
      <c r="E580">
        <v>5</v>
      </c>
      <c r="F580" t="str">
        <f t="shared" si="9"/>
        <v>Phenylpropanoid metabolism</v>
      </c>
    </row>
    <row r="581" spans="1:6" x14ac:dyDescent="0.45">
      <c r="A581" t="s">
        <v>42</v>
      </c>
      <c r="B581">
        <v>3</v>
      </c>
      <c r="C581">
        <v>-1</v>
      </c>
      <c r="D581" t="s">
        <v>97</v>
      </c>
      <c r="E581">
        <v>3</v>
      </c>
      <c r="F581" t="str">
        <f t="shared" si="9"/>
        <v>Metabolism of terpenoids and polyketides</v>
      </c>
    </row>
    <row r="582" spans="1:6" x14ac:dyDescent="0.45">
      <c r="A582" t="s">
        <v>11</v>
      </c>
      <c r="B582">
        <v>3</v>
      </c>
      <c r="C582">
        <v>-1</v>
      </c>
      <c r="D582" t="s">
        <v>97</v>
      </c>
      <c r="E582">
        <v>4</v>
      </c>
      <c r="F582" t="str">
        <f t="shared" si="9"/>
        <v>Nucleotide metabolism</v>
      </c>
    </row>
    <row r="583" spans="1:6" x14ac:dyDescent="0.45">
      <c r="A583" t="s">
        <v>33</v>
      </c>
      <c r="B583">
        <v>3</v>
      </c>
      <c r="C583">
        <v>-1</v>
      </c>
      <c r="D583" t="s">
        <v>97</v>
      </c>
      <c r="E583">
        <v>5</v>
      </c>
      <c r="F583" t="str">
        <f t="shared" si="9"/>
        <v>Amino acid metabolism</v>
      </c>
    </row>
    <row r="584" spans="1:6" x14ac:dyDescent="0.45">
      <c r="A584" t="s">
        <v>45</v>
      </c>
      <c r="B584">
        <v>3</v>
      </c>
      <c r="C584">
        <v>-1</v>
      </c>
      <c r="D584" t="s">
        <v>97</v>
      </c>
      <c r="E584">
        <v>5</v>
      </c>
      <c r="F584" t="str">
        <f t="shared" si="9"/>
        <v>Amino acid metabolism</v>
      </c>
    </row>
    <row r="585" spans="1:6" x14ac:dyDescent="0.45">
      <c r="A585" t="s">
        <v>22</v>
      </c>
      <c r="B585">
        <v>3</v>
      </c>
      <c r="C585">
        <v>-1</v>
      </c>
      <c r="D585" t="s">
        <v>97</v>
      </c>
      <c r="E585">
        <v>3</v>
      </c>
      <c r="F585" t="str">
        <f t="shared" si="9"/>
        <v>Amino acid metabolism</v>
      </c>
    </row>
    <row r="586" spans="1:6" x14ac:dyDescent="0.45">
      <c r="A586" t="s">
        <v>53</v>
      </c>
      <c r="B586">
        <v>3</v>
      </c>
      <c r="C586">
        <v>-1</v>
      </c>
      <c r="D586" t="s">
        <v>97</v>
      </c>
      <c r="E586">
        <v>2</v>
      </c>
      <c r="F586" t="str">
        <f t="shared" si="9"/>
        <v>Amino acid metabolism</v>
      </c>
    </row>
    <row r="587" spans="1:6" x14ac:dyDescent="0.45">
      <c r="A587" t="s">
        <v>71</v>
      </c>
      <c r="B587">
        <v>3</v>
      </c>
      <c r="C587">
        <v>-1</v>
      </c>
      <c r="D587" t="s">
        <v>97</v>
      </c>
      <c r="E587">
        <v>3</v>
      </c>
      <c r="F587" t="str">
        <f t="shared" si="9"/>
        <v>Lipid metabolism</v>
      </c>
    </row>
    <row r="588" spans="1:6" x14ac:dyDescent="0.45">
      <c r="A588" t="s">
        <v>59</v>
      </c>
      <c r="B588">
        <v>3</v>
      </c>
      <c r="C588">
        <v>-1</v>
      </c>
      <c r="D588" t="s">
        <v>97</v>
      </c>
      <c r="E588">
        <v>2</v>
      </c>
      <c r="F588" t="str">
        <f t="shared" si="9"/>
        <v>Metabolism of cofactors and vitamins</v>
      </c>
    </row>
    <row r="589" spans="1:6" x14ac:dyDescent="0.45">
      <c r="A589" t="s">
        <v>19</v>
      </c>
      <c r="B589">
        <v>8</v>
      </c>
      <c r="C589">
        <v>1</v>
      </c>
      <c r="D589" t="s">
        <v>97</v>
      </c>
      <c r="E589">
        <v>2</v>
      </c>
      <c r="F589" t="str">
        <f t="shared" si="9"/>
        <v>Phenylpropanoid metabolism</v>
      </c>
    </row>
    <row r="590" spans="1:6" x14ac:dyDescent="0.45">
      <c r="A590" t="s">
        <v>20</v>
      </c>
      <c r="B590">
        <v>8</v>
      </c>
      <c r="C590">
        <v>-1</v>
      </c>
      <c r="D590" t="s">
        <v>4</v>
      </c>
      <c r="E590">
        <v>2</v>
      </c>
      <c r="F590" t="str">
        <f t="shared" si="9"/>
        <v>Phenylpropanoid metabolism</v>
      </c>
    </row>
    <row r="591" spans="1:6" x14ac:dyDescent="0.45">
      <c r="A591" t="s">
        <v>7</v>
      </c>
      <c r="B591">
        <v>3</v>
      </c>
      <c r="C591">
        <v>-1</v>
      </c>
      <c r="D591" t="s">
        <v>97</v>
      </c>
      <c r="E591">
        <v>1</v>
      </c>
      <c r="F591" t="str">
        <f t="shared" si="9"/>
        <v>Carbohydrate metabolism</v>
      </c>
    </row>
    <row r="592" spans="1:6" x14ac:dyDescent="0.45">
      <c r="A592" t="s">
        <v>48</v>
      </c>
      <c r="B592">
        <v>3</v>
      </c>
      <c r="C592">
        <v>-1</v>
      </c>
      <c r="D592" t="s">
        <v>97</v>
      </c>
      <c r="E592">
        <v>1</v>
      </c>
      <c r="F592" t="str">
        <f t="shared" si="9"/>
        <v>Carbohydrate metabolism</v>
      </c>
    </row>
    <row r="593" spans="1:6" x14ac:dyDescent="0.45">
      <c r="A593" t="s">
        <v>51</v>
      </c>
      <c r="B593">
        <v>3</v>
      </c>
      <c r="C593">
        <v>-1</v>
      </c>
      <c r="D593" t="s">
        <v>97</v>
      </c>
      <c r="E593">
        <v>1</v>
      </c>
      <c r="F593" t="str">
        <f t="shared" ref="F593:F656" si="10">_xlfn.XLOOKUP(A593,$I$2:$I$200,$J$2:$J$200)</f>
        <v>Metabolism of cofactors and vitamins</v>
      </c>
    </row>
    <row r="594" spans="1:6" x14ac:dyDescent="0.45">
      <c r="A594" t="s">
        <v>29</v>
      </c>
      <c r="B594">
        <v>3</v>
      </c>
      <c r="C594">
        <v>-1</v>
      </c>
      <c r="D594" t="s">
        <v>97</v>
      </c>
      <c r="E594">
        <v>1</v>
      </c>
      <c r="F594" t="str">
        <f t="shared" si="10"/>
        <v>Nucleotide metabolism</v>
      </c>
    </row>
    <row r="595" spans="1:6" x14ac:dyDescent="0.45">
      <c r="A595" t="s">
        <v>52</v>
      </c>
      <c r="B595">
        <v>3</v>
      </c>
      <c r="C595">
        <v>-1</v>
      </c>
      <c r="D595" t="s">
        <v>97</v>
      </c>
      <c r="E595">
        <v>1</v>
      </c>
      <c r="F595" t="str">
        <f t="shared" si="10"/>
        <v>Amino acid metabolism</v>
      </c>
    </row>
    <row r="596" spans="1:6" x14ac:dyDescent="0.45">
      <c r="A596" t="s">
        <v>54</v>
      </c>
      <c r="B596">
        <v>3</v>
      </c>
      <c r="C596">
        <v>-1</v>
      </c>
      <c r="D596" t="s">
        <v>97</v>
      </c>
      <c r="E596">
        <v>1</v>
      </c>
      <c r="F596" t="str">
        <f t="shared" si="10"/>
        <v>Amino acid metabolism</v>
      </c>
    </row>
    <row r="597" spans="1:6" x14ac:dyDescent="0.45">
      <c r="A597" t="s">
        <v>35</v>
      </c>
      <c r="B597">
        <v>3</v>
      </c>
      <c r="C597">
        <v>-1</v>
      </c>
      <c r="D597" t="s">
        <v>97</v>
      </c>
      <c r="E597">
        <v>1</v>
      </c>
      <c r="F597" t="str">
        <f t="shared" si="10"/>
        <v>Amino acid metabolism</v>
      </c>
    </row>
    <row r="598" spans="1:6" x14ac:dyDescent="0.45">
      <c r="A598" t="s">
        <v>55</v>
      </c>
      <c r="B598">
        <v>3</v>
      </c>
      <c r="C598">
        <v>-1</v>
      </c>
      <c r="D598" t="s">
        <v>97</v>
      </c>
      <c r="E598">
        <v>1</v>
      </c>
      <c r="F598" t="str">
        <f t="shared" si="10"/>
        <v>Amino acid metabolism</v>
      </c>
    </row>
    <row r="599" spans="1:6" x14ac:dyDescent="0.45">
      <c r="A599" t="s">
        <v>26</v>
      </c>
      <c r="B599">
        <v>3</v>
      </c>
      <c r="C599">
        <v>-1</v>
      </c>
      <c r="D599" t="s">
        <v>97</v>
      </c>
      <c r="E599">
        <v>1</v>
      </c>
      <c r="F599" t="str">
        <f t="shared" si="10"/>
        <v>Amino acid metabolism</v>
      </c>
    </row>
    <row r="600" spans="1:6" x14ac:dyDescent="0.45">
      <c r="A600" t="s">
        <v>27</v>
      </c>
      <c r="B600">
        <v>3</v>
      </c>
      <c r="C600">
        <v>-1</v>
      </c>
      <c r="D600" t="s">
        <v>97</v>
      </c>
      <c r="E600">
        <v>1</v>
      </c>
      <c r="F600" t="str">
        <f t="shared" si="10"/>
        <v>Amino acid metabolism</v>
      </c>
    </row>
    <row r="601" spans="1:6" x14ac:dyDescent="0.45">
      <c r="A601" t="s">
        <v>14</v>
      </c>
      <c r="B601">
        <v>3</v>
      </c>
      <c r="C601">
        <v>-1</v>
      </c>
      <c r="D601" t="s">
        <v>97</v>
      </c>
      <c r="E601">
        <v>1</v>
      </c>
      <c r="F601" t="str">
        <f t="shared" si="10"/>
        <v>Lipid metabolism</v>
      </c>
    </row>
    <row r="602" spans="1:6" x14ac:dyDescent="0.45">
      <c r="A602" t="s">
        <v>86</v>
      </c>
      <c r="B602">
        <v>3</v>
      </c>
      <c r="C602">
        <v>-1</v>
      </c>
      <c r="D602" t="s">
        <v>97</v>
      </c>
      <c r="E602">
        <v>1</v>
      </c>
      <c r="F602" t="str">
        <f t="shared" si="10"/>
        <v>Lipid metabolism</v>
      </c>
    </row>
    <row r="603" spans="1:6" x14ac:dyDescent="0.45">
      <c r="A603" t="s">
        <v>100</v>
      </c>
      <c r="B603">
        <v>3</v>
      </c>
      <c r="C603">
        <v>-1</v>
      </c>
      <c r="D603" t="s">
        <v>97</v>
      </c>
      <c r="E603">
        <v>1</v>
      </c>
      <c r="F603" t="str">
        <f t="shared" si="10"/>
        <v>Lipid metabolism</v>
      </c>
    </row>
    <row r="604" spans="1:6" x14ac:dyDescent="0.45">
      <c r="A604" t="s">
        <v>58</v>
      </c>
      <c r="B604">
        <v>3</v>
      </c>
      <c r="C604">
        <v>-1</v>
      </c>
      <c r="D604" t="s">
        <v>97</v>
      </c>
      <c r="E604">
        <v>1</v>
      </c>
      <c r="F604" t="str">
        <f t="shared" si="10"/>
        <v>Carbohydrate metabolism</v>
      </c>
    </row>
    <row r="605" spans="1:6" x14ac:dyDescent="0.45">
      <c r="A605" t="s">
        <v>15</v>
      </c>
      <c r="B605">
        <v>3</v>
      </c>
      <c r="C605">
        <v>-1</v>
      </c>
      <c r="D605" t="s">
        <v>97</v>
      </c>
      <c r="E605">
        <v>1</v>
      </c>
      <c r="F605" t="str">
        <f t="shared" si="10"/>
        <v>Carbon metabolism</v>
      </c>
    </row>
    <row r="606" spans="1:6" x14ac:dyDescent="0.45">
      <c r="A606" t="s">
        <v>85</v>
      </c>
      <c r="B606">
        <v>3</v>
      </c>
      <c r="C606">
        <v>-1</v>
      </c>
      <c r="D606" t="s">
        <v>97</v>
      </c>
      <c r="E606">
        <v>1</v>
      </c>
      <c r="F606" t="str">
        <f t="shared" si="10"/>
        <v>Terpenoid metabolism</v>
      </c>
    </row>
    <row r="607" spans="1:6" x14ac:dyDescent="0.45">
      <c r="A607" t="s">
        <v>82</v>
      </c>
      <c r="B607">
        <v>3</v>
      </c>
      <c r="C607">
        <v>-1</v>
      </c>
      <c r="D607" t="s">
        <v>97</v>
      </c>
      <c r="E607">
        <v>1</v>
      </c>
      <c r="F607" t="str">
        <f t="shared" si="10"/>
        <v>Alkaloid metabolism</v>
      </c>
    </row>
    <row r="608" spans="1:6" x14ac:dyDescent="0.45">
      <c r="A608" t="s">
        <v>44</v>
      </c>
      <c r="B608">
        <v>3</v>
      </c>
      <c r="C608">
        <v>-1</v>
      </c>
      <c r="D608" t="s">
        <v>97</v>
      </c>
      <c r="E608">
        <v>3</v>
      </c>
      <c r="F608" t="str">
        <f t="shared" si="10"/>
        <v>Glucosinolate biosynthesis</v>
      </c>
    </row>
    <row r="609" spans="1:6" x14ac:dyDescent="0.45">
      <c r="A609" t="s">
        <v>21</v>
      </c>
      <c r="B609">
        <v>3</v>
      </c>
      <c r="C609">
        <v>-1</v>
      </c>
      <c r="D609" t="s">
        <v>97</v>
      </c>
      <c r="E609">
        <v>1</v>
      </c>
      <c r="F609" t="str">
        <f t="shared" si="10"/>
        <v xml:space="preserve">Carbon metabolism </v>
      </c>
    </row>
    <row r="610" spans="1:6" x14ac:dyDescent="0.45">
      <c r="A610" t="s">
        <v>23</v>
      </c>
      <c r="B610">
        <v>3</v>
      </c>
      <c r="C610">
        <v>-1</v>
      </c>
      <c r="D610" t="s">
        <v>97</v>
      </c>
      <c r="E610">
        <v>1</v>
      </c>
      <c r="F610" t="str">
        <f t="shared" si="10"/>
        <v>Membrane transport</v>
      </c>
    </row>
    <row r="611" spans="1:6" x14ac:dyDescent="0.45">
      <c r="A611" t="s">
        <v>78</v>
      </c>
      <c r="B611">
        <v>3</v>
      </c>
      <c r="C611">
        <v>-1</v>
      </c>
      <c r="D611" t="s">
        <v>97</v>
      </c>
      <c r="E611">
        <v>3</v>
      </c>
      <c r="F611" t="str">
        <f t="shared" si="10"/>
        <v>Alkaloid metabolism</v>
      </c>
    </row>
    <row r="612" spans="1:6" x14ac:dyDescent="0.45">
      <c r="A612" t="s">
        <v>80</v>
      </c>
      <c r="B612">
        <v>8</v>
      </c>
      <c r="C612">
        <v>1</v>
      </c>
      <c r="D612" t="s">
        <v>97</v>
      </c>
      <c r="E612">
        <v>2</v>
      </c>
      <c r="F612" t="str">
        <f t="shared" si="10"/>
        <v>Phenylpropanoid metabolism</v>
      </c>
    </row>
    <row r="613" spans="1:6" x14ac:dyDescent="0.45">
      <c r="A613" t="s">
        <v>99</v>
      </c>
      <c r="B613">
        <v>3</v>
      </c>
      <c r="C613">
        <v>-1</v>
      </c>
      <c r="D613" t="s">
        <v>97</v>
      </c>
      <c r="E613">
        <v>1</v>
      </c>
      <c r="F613">
        <f t="shared" si="10"/>
        <v>0</v>
      </c>
    </row>
    <row r="614" spans="1:6" x14ac:dyDescent="0.45">
      <c r="A614" t="s">
        <v>32</v>
      </c>
      <c r="B614">
        <v>4</v>
      </c>
      <c r="C614">
        <v>1</v>
      </c>
      <c r="D614" t="s">
        <v>97</v>
      </c>
      <c r="E614">
        <v>1</v>
      </c>
      <c r="F614" t="str">
        <f t="shared" si="10"/>
        <v>Lipid metabolism</v>
      </c>
    </row>
    <row r="615" spans="1:6" x14ac:dyDescent="0.45">
      <c r="A615" t="s">
        <v>72</v>
      </c>
      <c r="B615">
        <v>4</v>
      </c>
      <c r="C615">
        <v>1</v>
      </c>
      <c r="D615" t="s">
        <v>97</v>
      </c>
      <c r="E615">
        <v>1</v>
      </c>
      <c r="F615" t="str">
        <f t="shared" si="10"/>
        <v>Lipid metabolism</v>
      </c>
    </row>
    <row r="616" spans="1:6" x14ac:dyDescent="0.45">
      <c r="A616" t="s">
        <v>66</v>
      </c>
      <c r="B616">
        <v>4</v>
      </c>
      <c r="C616">
        <v>1</v>
      </c>
      <c r="D616" t="s">
        <v>97</v>
      </c>
      <c r="E616">
        <v>1</v>
      </c>
      <c r="F616" t="str">
        <f t="shared" si="10"/>
        <v>Amino acid metabolism</v>
      </c>
    </row>
    <row r="617" spans="1:6" x14ac:dyDescent="0.45">
      <c r="A617" t="s">
        <v>55</v>
      </c>
      <c r="B617">
        <v>4</v>
      </c>
      <c r="C617">
        <v>-1</v>
      </c>
      <c r="D617" t="s">
        <v>97</v>
      </c>
      <c r="E617">
        <v>2</v>
      </c>
      <c r="F617" t="str">
        <f t="shared" si="10"/>
        <v>Amino acid metabolism</v>
      </c>
    </row>
    <row r="618" spans="1:6" x14ac:dyDescent="0.45">
      <c r="A618" t="s">
        <v>44</v>
      </c>
      <c r="B618">
        <v>4</v>
      </c>
      <c r="C618">
        <v>-1</v>
      </c>
      <c r="D618" t="s">
        <v>97</v>
      </c>
      <c r="E618">
        <v>2</v>
      </c>
      <c r="F618" t="str">
        <f t="shared" si="10"/>
        <v>Glucosinolate biosynthesis</v>
      </c>
    </row>
    <row r="619" spans="1:6" x14ac:dyDescent="0.45">
      <c r="A619" t="s">
        <v>45</v>
      </c>
      <c r="B619">
        <v>4</v>
      </c>
      <c r="C619">
        <v>-1</v>
      </c>
      <c r="D619" t="s">
        <v>97</v>
      </c>
      <c r="E619">
        <v>2</v>
      </c>
      <c r="F619" t="str">
        <f t="shared" si="10"/>
        <v>Amino acid metabolism</v>
      </c>
    </row>
    <row r="620" spans="1:6" x14ac:dyDescent="0.45">
      <c r="A620" t="s">
        <v>78</v>
      </c>
      <c r="B620">
        <v>4</v>
      </c>
      <c r="C620">
        <v>-1</v>
      </c>
      <c r="D620" t="s">
        <v>97</v>
      </c>
      <c r="E620">
        <v>2</v>
      </c>
      <c r="F620" t="str">
        <f t="shared" si="10"/>
        <v>Alkaloid metabolism</v>
      </c>
    </row>
    <row r="621" spans="1:6" x14ac:dyDescent="0.45">
      <c r="A621" t="s">
        <v>29</v>
      </c>
      <c r="B621">
        <v>4</v>
      </c>
      <c r="C621">
        <v>-1</v>
      </c>
      <c r="D621" t="s">
        <v>97</v>
      </c>
      <c r="E621">
        <v>1</v>
      </c>
      <c r="F621" t="str">
        <f t="shared" si="10"/>
        <v>Nucleotide metabolism</v>
      </c>
    </row>
    <row r="622" spans="1:6" x14ac:dyDescent="0.45">
      <c r="A622" t="s">
        <v>33</v>
      </c>
      <c r="B622">
        <v>4</v>
      </c>
      <c r="C622">
        <v>-1</v>
      </c>
      <c r="D622" t="s">
        <v>97</v>
      </c>
      <c r="E622">
        <v>1</v>
      </c>
      <c r="F622" t="str">
        <f t="shared" si="10"/>
        <v>Amino acid metabolism</v>
      </c>
    </row>
    <row r="623" spans="1:6" x14ac:dyDescent="0.45">
      <c r="A623" t="s">
        <v>69</v>
      </c>
      <c r="B623">
        <v>4</v>
      </c>
      <c r="C623">
        <v>-1</v>
      </c>
      <c r="D623" t="s">
        <v>97</v>
      </c>
      <c r="E623">
        <v>1</v>
      </c>
      <c r="F623" t="str">
        <f t="shared" si="10"/>
        <v>Amino acid metabolism</v>
      </c>
    </row>
    <row r="624" spans="1:6" x14ac:dyDescent="0.45">
      <c r="A624" t="s">
        <v>59</v>
      </c>
      <c r="B624">
        <v>4</v>
      </c>
      <c r="C624">
        <v>-1</v>
      </c>
      <c r="D624" t="s">
        <v>97</v>
      </c>
      <c r="E624">
        <v>1</v>
      </c>
      <c r="F624" t="str">
        <f t="shared" si="10"/>
        <v>Metabolism of cofactors and vitamins</v>
      </c>
    </row>
    <row r="625" spans="1:6" x14ac:dyDescent="0.45">
      <c r="A625" t="s">
        <v>79</v>
      </c>
      <c r="B625">
        <v>4</v>
      </c>
      <c r="C625">
        <v>-1</v>
      </c>
      <c r="D625" t="s">
        <v>97</v>
      </c>
      <c r="E625">
        <v>1</v>
      </c>
      <c r="F625" t="str">
        <f t="shared" si="10"/>
        <v>Energy metabolism</v>
      </c>
    </row>
    <row r="626" spans="1:6" x14ac:dyDescent="0.45">
      <c r="A626" t="s">
        <v>60</v>
      </c>
      <c r="B626">
        <v>4</v>
      </c>
      <c r="C626">
        <v>-1</v>
      </c>
      <c r="D626" t="s">
        <v>97</v>
      </c>
      <c r="E626">
        <v>1</v>
      </c>
      <c r="F626" t="str">
        <f t="shared" si="10"/>
        <v>Phenylpropanoid biosynthesis</v>
      </c>
    </row>
    <row r="627" spans="1:6" x14ac:dyDescent="0.45">
      <c r="A627" t="s">
        <v>30</v>
      </c>
      <c r="B627">
        <v>4</v>
      </c>
      <c r="C627">
        <v>-1</v>
      </c>
      <c r="D627" t="s">
        <v>97</v>
      </c>
      <c r="E627">
        <v>1</v>
      </c>
      <c r="F627" t="str">
        <f t="shared" si="10"/>
        <v>Degradation of aromatic compounds</v>
      </c>
    </row>
    <row r="628" spans="1:6" x14ac:dyDescent="0.45">
      <c r="A628" t="s">
        <v>66</v>
      </c>
      <c r="B628">
        <v>4</v>
      </c>
      <c r="C628">
        <v>-1</v>
      </c>
      <c r="D628" t="s">
        <v>97</v>
      </c>
      <c r="E628">
        <v>1</v>
      </c>
      <c r="F628" t="str">
        <f t="shared" si="10"/>
        <v>Amino acid metabolism</v>
      </c>
    </row>
    <row r="629" spans="1:6" x14ac:dyDescent="0.45">
      <c r="A629" t="s">
        <v>83</v>
      </c>
      <c r="B629">
        <v>4</v>
      </c>
      <c r="C629">
        <v>-1</v>
      </c>
      <c r="D629" t="s">
        <v>97</v>
      </c>
      <c r="E629">
        <v>1</v>
      </c>
      <c r="F629" t="str">
        <f t="shared" si="10"/>
        <v>Phenylpropanoid metabolism</v>
      </c>
    </row>
    <row r="630" spans="1:6" x14ac:dyDescent="0.45">
      <c r="A630" t="s">
        <v>60</v>
      </c>
      <c r="B630">
        <v>5</v>
      </c>
      <c r="C630">
        <v>1</v>
      </c>
      <c r="D630" t="s">
        <v>97</v>
      </c>
      <c r="E630">
        <v>2</v>
      </c>
      <c r="F630" t="str">
        <f t="shared" si="10"/>
        <v>Phenylpropanoid biosynthesis</v>
      </c>
    </row>
    <row r="631" spans="1:6" x14ac:dyDescent="0.45">
      <c r="A631" t="s">
        <v>83</v>
      </c>
      <c r="B631">
        <v>5</v>
      </c>
      <c r="C631">
        <v>1</v>
      </c>
      <c r="D631" t="s">
        <v>97</v>
      </c>
      <c r="E631">
        <v>2</v>
      </c>
      <c r="F631" t="str">
        <f t="shared" si="10"/>
        <v>Phenylpropanoid metabolism</v>
      </c>
    </row>
    <row r="632" spans="1:6" x14ac:dyDescent="0.45">
      <c r="A632" t="s">
        <v>51</v>
      </c>
      <c r="B632">
        <v>5</v>
      </c>
      <c r="C632">
        <v>1</v>
      </c>
      <c r="D632" t="s">
        <v>97</v>
      </c>
      <c r="E632">
        <v>1</v>
      </c>
      <c r="F632" t="str">
        <f t="shared" si="10"/>
        <v>Metabolism of cofactors and vitamins</v>
      </c>
    </row>
    <row r="633" spans="1:6" x14ac:dyDescent="0.45">
      <c r="A633" t="s">
        <v>11</v>
      </c>
      <c r="B633">
        <v>5</v>
      </c>
      <c r="C633">
        <v>1</v>
      </c>
      <c r="D633" t="s">
        <v>97</v>
      </c>
      <c r="E633">
        <v>1</v>
      </c>
      <c r="F633" t="str">
        <f t="shared" si="10"/>
        <v>Nucleotide metabolism</v>
      </c>
    </row>
    <row r="634" spans="1:6" x14ac:dyDescent="0.45">
      <c r="A634" t="s">
        <v>33</v>
      </c>
      <c r="B634">
        <v>5</v>
      </c>
      <c r="C634">
        <v>1</v>
      </c>
      <c r="D634" t="s">
        <v>97</v>
      </c>
      <c r="E634">
        <v>1</v>
      </c>
      <c r="F634" t="str">
        <f t="shared" si="10"/>
        <v>Amino acid metabolism</v>
      </c>
    </row>
    <row r="635" spans="1:6" x14ac:dyDescent="0.45">
      <c r="A635" t="s">
        <v>35</v>
      </c>
      <c r="B635">
        <v>5</v>
      </c>
      <c r="C635">
        <v>1</v>
      </c>
      <c r="D635" t="s">
        <v>97</v>
      </c>
      <c r="E635">
        <v>1</v>
      </c>
      <c r="F635" t="str">
        <f t="shared" si="10"/>
        <v>Amino acid metabolism</v>
      </c>
    </row>
    <row r="636" spans="1:6" x14ac:dyDescent="0.45">
      <c r="A636" t="s">
        <v>55</v>
      </c>
      <c r="B636">
        <v>5</v>
      </c>
      <c r="C636">
        <v>1</v>
      </c>
      <c r="D636" t="s">
        <v>97</v>
      </c>
      <c r="E636">
        <v>1</v>
      </c>
      <c r="F636" t="str">
        <f t="shared" si="10"/>
        <v>Amino acid metabolism</v>
      </c>
    </row>
    <row r="637" spans="1:6" x14ac:dyDescent="0.45">
      <c r="A637" t="s">
        <v>26</v>
      </c>
      <c r="B637">
        <v>5</v>
      </c>
      <c r="C637">
        <v>1</v>
      </c>
      <c r="D637" t="s">
        <v>97</v>
      </c>
      <c r="E637">
        <v>1</v>
      </c>
      <c r="F637" t="str">
        <f t="shared" si="10"/>
        <v>Amino acid metabolism</v>
      </c>
    </row>
    <row r="638" spans="1:6" x14ac:dyDescent="0.45">
      <c r="A638" t="s">
        <v>17</v>
      </c>
      <c r="B638">
        <v>5</v>
      </c>
      <c r="C638">
        <v>1</v>
      </c>
      <c r="D638" t="s">
        <v>97</v>
      </c>
      <c r="E638">
        <v>1</v>
      </c>
      <c r="F638" t="str">
        <f t="shared" si="10"/>
        <v>Metabolism of cofactors and vitamins</v>
      </c>
    </row>
    <row r="639" spans="1:6" x14ac:dyDescent="0.45">
      <c r="A639" t="s">
        <v>82</v>
      </c>
      <c r="B639">
        <v>5</v>
      </c>
      <c r="C639">
        <v>1</v>
      </c>
      <c r="D639" t="s">
        <v>97</v>
      </c>
      <c r="E639">
        <v>1</v>
      </c>
      <c r="F639" t="str">
        <f t="shared" si="10"/>
        <v>Alkaloid metabolism</v>
      </c>
    </row>
    <row r="640" spans="1:6" x14ac:dyDescent="0.45">
      <c r="A640" t="s">
        <v>45</v>
      </c>
      <c r="B640">
        <v>5</v>
      </c>
      <c r="C640">
        <v>1</v>
      </c>
      <c r="D640" t="s">
        <v>97</v>
      </c>
      <c r="E640">
        <v>1</v>
      </c>
      <c r="F640" t="str">
        <f t="shared" si="10"/>
        <v>Amino acid metabolism</v>
      </c>
    </row>
    <row r="641" spans="1:6" x14ac:dyDescent="0.45">
      <c r="A641" t="s">
        <v>30</v>
      </c>
      <c r="B641">
        <v>5</v>
      </c>
      <c r="C641">
        <v>1</v>
      </c>
      <c r="D641" t="s">
        <v>97</v>
      </c>
      <c r="E641">
        <v>1</v>
      </c>
      <c r="F641" t="str">
        <f t="shared" si="10"/>
        <v>Degradation of aromatic compounds</v>
      </c>
    </row>
    <row r="642" spans="1:6" x14ac:dyDescent="0.45">
      <c r="A642" t="s">
        <v>22</v>
      </c>
      <c r="B642">
        <v>5</v>
      </c>
      <c r="C642">
        <v>1</v>
      </c>
      <c r="D642" t="s">
        <v>97</v>
      </c>
      <c r="E642">
        <v>1</v>
      </c>
      <c r="F642" t="str">
        <f t="shared" si="10"/>
        <v>Amino acid metabolism</v>
      </c>
    </row>
    <row r="643" spans="1:6" x14ac:dyDescent="0.45">
      <c r="A643" t="s">
        <v>66</v>
      </c>
      <c r="B643">
        <v>5</v>
      </c>
      <c r="C643">
        <v>1</v>
      </c>
      <c r="D643" t="s">
        <v>97</v>
      </c>
      <c r="E643">
        <v>1</v>
      </c>
      <c r="F643" t="str">
        <f t="shared" si="10"/>
        <v>Amino acid metabolism</v>
      </c>
    </row>
    <row r="644" spans="1:6" x14ac:dyDescent="0.45">
      <c r="A644" t="s">
        <v>60</v>
      </c>
      <c r="B644">
        <v>5</v>
      </c>
      <c r="C644">
        <v>-1</v>
      </c>
      <c r="D644" t="s">
        <v>97</v>
      </c>
      <c r="E644">
        <v>3</v>
      </c>
      <c r="F644" t="str">
        <f t="shared" si="10"/>
        <v>Phenylpropanoid biosynthesis</v>
      </c>
    </row>
    <row r="645" spans="1:6" x14ac:dyDescent="0.45">
      <c r="A645" t="s">
        <v>55</v>
      </c>
      <c r="B645">
        <v>5</v>
      </c>
      <c r="C645">
        <v>-1</v>
      </c>
      <c r="D645" t="s">
        <v>97</v>
      </c>
      <c r="E645">
        <v>2</v>
      </c>
      <c r="F645" t="str">
        <f t="shared" si="10"/>
        <v>Amino acid metabolism</v>
      </c>
    </row>
    <row r="646" spans="1:6" x14ac:dyDescent="0.45">
      <c r="A646" t="s">
        <v>23</v>
      </c>
      <c r="B646">
        <v>5</v>
      </c>
      <c r="C646">
        <v>-1</v>
      </c>
      <c r="D646" t="s">
        <v>97</v>
      </c>
      <c r="E646">
        <v>3</v>
      </c>
      <c r="F646" t="str">
        <f t="shared" si="10"/>
        <v>Membrane transport</v>
      </c>
    </row>
    <row r="647" spans="1:6" x14ac:dyDescent="0.45">
      <c r="A647" t="s">
        <v>78</v>
      </c>
      <c r="B647">
        <v>5</v>
      </c>
      <c r="C647">
        <v>-1</v>
      </c>
      <c r="D647" t="s">
        <v>97</v>
      </c>
      <c r="E647">
        <v>6</v>
      </c>
      <c r="F647" t="str">
        <f t="shared" si="10"/>
        <v>Alkaloid metabolism</v>
      </c>
    </row>
    <row r="648" spans="1:6" x14ac:dyDescent="0.45">
      <c r="A648" t="s">
        <v>30</v>
      </c>
      <c r="B648">
        <v>5</v>
      </c>
      <c r="C648">
        <v>-1</v>
      </c>
      <c r="D648" t="s">
        <v>97</v>
      </c>
      <c r="E648">
        <v>2</v>
      </c>
      <c r="F648" t="str">
        <f t="shared" si="10"/>
        <v>Degradation of aromatic compounds</v>
      </c>
    </row>
    <row r="649" spans="1:6" x14ac:dyDescent="0.45">
      <c r="A649" t="s">
        <v>95</v>
      </c>
      <c r="B649">
        <v>5</v>
      </c>
      <c r="C649">
        <v>-1</v>
      </c>
      <c r="D649" t="s">
        <v>97</v>
      </c>
      <c r="E649">
        <v>1</v>
      </c>
      <c r="F649" t="str">
        <f t="shared" si="10"/>
        <v>Carbohydrate metabolism</v>
      </c>
    </row>
    <row r="650" spans="1:6" x14ac:dyDescent="0.45">
      <c r="A650" t="s">
        <v>29</v>
      </c>
      <c r="B650">
        <v>5</v>
      </c>
      <c r="C650">
        <v>-1</v>
      </c>
      <c r="D650" t="s">
        <v>97</v>
      </c>
      <c r="E650">
        <v>1</v>
      </c>
      <c r="F650" t="str">
        <f t="shared" si="10"/>
        <v>Nucleotide metabolism</v>
      </c>
    </row>
    <row r="651" spans="1:6" x14ac:dyDescent="0.45">
      <c r="A651" t="s">
        <v>91</v>
      </c>
      <c r="B651">
        <v>5</v>
      </c>
      <c r="C651">
        <v>-1</v>
      </c>
      <c r="D651" t="s">
        <v>97</v>
      </c>
      <c r="E651">
        <v>1</v>
      </c>
      <c r="F651" t="str">
        <f t="shared" si="10"/>
        <v>Amino acid metabolism</v>
      </c>
    </row>
    <row r="652" spans="1:6" x14ac:dyDescent="0.45">
      <c r="A652" t="s">
        <v>35</v>
      </c>
      <c r="B652">
        <v>5</v>
      </c>
      <c r="C652">
        <v>-1</v>
      </c>
      <c r="D652" t="s">
        <v>97</v>
      </c>
      <c r="E652">
        <v>1</v>
      </c>
      <c r="F652" t="str">
        <f t="shared" si="10"/>
        <v>Amino acid metabolism</v>
      </c>
    </row>
    <row r="653" spans="1:6" x14ac:dyDescent="0.45">
      <c r="A653" t="s">
        <v>13</v>
      </c>
      <c r="B653">
        <v>5</v>
      </c>
      <c r="C653">
        <v>-1</v>
      </c>
      <c r="D653" t="s">
        <v>97</v>
      </c>
      <c r="E653">
        <v>2</v>
      </c>
      <c r="F653" t="str">
        <f t="shared" si="10"/>
        <v>Glycan biosynthesis and metabolism</v>
      </c>
    </row>
    <row r="654" spans="1:6" x14ac:dyDescent="0.45">
      <c r="A654" t="s">
        <v>36</v>
      </c>
      <c r="B654">
        <v>5</v>
      </c>
      <c r="C654">
        <v>-1</v>
      </c>
      <c r="D654" t="s">
        <v>97</v>
      </c>
      <c r="E654">
        <v>1</v>
      </c>
      <c r="F654" t="str">
        <f t="shared" si="10"/>
        <v>Carbohydrate metabolism</v>
      </c>
    </row>
    <row r="655" spans="1:6" x14ac:dyDescent="0.45">
      <c r="A655" t="s">
        <v>58</v>
      </c>
      <c r="B655">
        <v>5</v>
      </c>
      <c r="C655">
        <v>-1</v>
      </c>
      <c r="D655" t="s">
        <v>97</v>
      </c>
      <c r="E655">
        <v>1</v>
      </c>
      <c r="F655" t="str">
        <f t="shared" si="10"/>
        <v>Carbohydrate metabolism</v>
      </c>
    </row>
    <row r="656" spans="1:6" x14ac:dyDescent="0.45">
      <c r="A656" t="s">
        <v>88</v>
      </c>
      <c r="B656">
        <v>5</v>
      </c>
      <c r="C656">
        <v>-1</v>
      </c>
      <c r="D656" t="s">
        <v>97</v>
      </c>
      <c r="E656">
        <v>1</v>
      </c>
      <c r="F656" t="str">
        <f t="shared" si="10"/>
        <v>Metabolism of cofactors and vitamins</v>
      </c>
    </row>
    <row r="657" spans="1:6" x14ac:dyDescent="0.45">
      <c r="A657" t="s">
        <v>59</v>
      </c>
      <c r="B657">
        <v>5</v>
      </c>
      <c r="C657">
        <v>-1</v>
      </c>
      <c r="D657" t="s">
        <v>97</v>
      </c>
      <c r="E657">
        <v>1</v>
      </c>
      <c r="F657" t="str">
        <f t="shared" ref="F657:F720" si="11">_xlfn.XLOOKUP(A657,$I$2:$I$200,$J$2:$J$200)</f>
        <v>Metabolism of cofactors and vitamins</v>
      </c>
    </row>
    <row r="658" spans="1:6" x14ac:dyDescent="0.45">
      <c r="A658" t="s">
        <v>17</v>
      </c>
      <c r="B658">
        <v>5</v>
      </c>
      <c r="C658">
        <v>-1</v>
      </c>
      <c r="D658" t="s">
        <v>97</v>
      </c>
      <c r="E658">
        <v>1</v>
      </c>
      <c r="F658" t="str">
        <f t="shared" si="11"/>
        <v>Metabolism of cofactors and vitamins</v>
      </c>
    </row>
    <row r="659" spans="1:6" x14ac:dyDescent="0.45">
      <c r="A659" t="s">
        <v>74</v>
      </c>
      <c r="B659">
        <v>5</v>
      </c>
      <c r="C659">
        <v>-1</v>
      </c>
      <c r="D659" t="s">
        <v>97</v>
      </c>
      <c r="E659">
        <v>1</v>
      </c>
      <c r="F659" t="str">
        <f t="shared" si="11"/>
        <v>Metabolism of cofactors and vitamins</v>
      </c>
    </row>
    <row r="660" spans="1:6" x14ac:dyDescent="0.45">
      <c r="A660" t="s">
        <v>5</v>
      </c>
      <c r="B660">
        <v>5</v>
      </c>
      <c r="C660">
        <v>-1</v>
      </c>
      <c r="D660" t="s">
        <v>97</v>
      </c>
      <c r="E660">
        <v>1</v>
      </c>
      <c r="F660" t="str">
        <f t="shared" si="11"/>
        <v>Metabolism of cofactors and vitamins</v>
      </c>
    </row>
    <row r="661" spans="1:6" x14ac:dyDescent="0.45">
      <c r="A661" t="s">
        <v>42</v>
      </c>
      <c r="B661">
        <v>5</v>
      </c>
      <c r="C661">
        <v>-1</v>
      </c>
      <c r="D661" t="s">
        <v>97</v>
      </c>
      <c r="E661">
        <v>1</v>
      </c>
      <c r="F661" t="str">
        <f t="shared" si="11"/>
        <v>Metabolism of terpenoids and polyketides</v>
      </c>
    </row>
    <row r="662" spans="1:6" x14ac:dyDescent="0.45">
      <c r="A662" t="s">
        <v>6</v>
      </c>
      <c r="B662">
        <v>5</v>
      </c>
      <c r="C662">
        <v>-1</v>
      </c>
      <c r="D662" t="s">
        <v>97</v>
      </c>
      <c r="E662">
        <v>1</v>
      </c>
      <c r="F662" t="str">
        <f t="shared" si="11"/>
        <v>Terpenoid metabolism</v>
      </c>
    </row>
    <row r="663" spans="1:6" x14ac:dyDescent="0.45">
      <c r="A663" t="s">
        <v>82</v>
      </c>
      <c r="B663">
        <v>5</v>
      </c>
      <c r="C663">
        <v>-1</v>
      </c>
      <c r="D663" t="s">
        <v>97</v>
      </c>
      <c r="E663">
        <v>1</v>
      </c>
      <c r="F663" t="str">
        <f t="shared" si="11"/>
        <v>Alkaloid metabolism</v>
      </c>
    </row>
    <row r="664" spans="1:6" x14ac:dyDescent="0.45">
      <c r="A664" t="s">
        <v>66</v>
      </c>
      <c r="B664">
        <v>5</v>
      </c>
      <c r="C664">
        <v>-1</v>
      </c>
      <c r="D664" t="s">
        <v>97</v>
      </c>
      <c r="E664">
        <v>2</v>
      </c>
      <c r="F664" t="str">
        <f t="shared" si="11"/>
        <v>Amino acid metabolism</v>
      </c>
    </row>
    <row r="665" spans="1:6" x14ac:dyDescent="0.45">
      <c r="A665" t="s">
        <v>25</v>
      </c>
      <c r="B665">
        <v>5</v>
      </c>
      <c r="C665">
        <v>-1</v>
      </c>
      <c r="D665" t="s">
        <v>97</v>
      </c>
      <c r="E665">
        <v>1</v>
      </c>
      <c r="F665" t="str">
        <f t="shared" si="11"/>
        <v>Primary metabolism</v>
      </c>
    </row>
    <row r="666" spans="1:6" x14ac:dyDescent="0.45">
      <c r="A666" t="s">
        <v>83</v>
      </c>
      <c r="B666">
        <v>5</v>
      </c>
      <c r="C666">
        <v>-1</v>
      </c>
      <c r="D666" t="s">
        <v>97</v>
      </c>
      <c r="E666">
        <v>1</v>
      </c>
      <c r="F666" t="str">
        <f t="shared" si="11"/>
        <v>Phenylpropanoid metabolism</v>
      </c>
    </row>
    <row r="667" spans="1:6" x14ac:dyDescent="0.45">
      <c r="A667" t="s">
        <v>6</v>
      </c>
      <c r="B667">
        <v>6</v>
      </c>
      <c r="C667">
        <v>1</v>
      </c>
      <c r="D667" t="s">
        <v>97</v>
      </c>
      <c r="E667">
        <v>2</v>
      </c>
      <c r="F667" t="str">
        <f t="shared" si="11"/>
        <v>Terpenoid metabolism</v>
      </c>
    </row>
    <row r="668" spans="1:6" x14ac:dyDescent="0.45">
      <c r="A668" t="s">
        <v>29</v>
      </c>
      <c r="B668">
        <v>6</v>
      </c>
      <c r="C668">
        <v>1</v>
      </c>
      <c r="D668" t="s">
        <v>97</v>
      </c>
      <c r="E668">
        <v>1</v>
      </c>
      <c r="F668" t="str">
        <f t="shared" si="11"/>
        <v>Nucleotide metabolism</v>
      </c>
    </row>
    <row r="669" spans="1:6" x14ac:dyDescent="0.45">
      <c r="A669" t="s">
        <v>33</v>
      </c>
      <c r="B669">
        <v>6</v>
      </c>
      <c r="C669">
        <v>1</v>
      </c>
      <c r="D669" t="s">
        <v>97</v>
      </c>
      <c r="E669">
        <v>1</v>
      </c>
      <c r="F669" t="str">
        <f t="shared" si="11"/>
        <v>Amino acid metabolism</v>
      </c>
    </row>
    <row r="670" spans="1:6" x14ac:dyDescent="0.45">
      <c r="A670" t="s">
        <v>54</v>
      </c>
      <c r="B670">
        <v>6</v>
      </c>
      <c r="C670">
        <v>1</v>
      </c>
      <c r="D670" t="s">
        <v>97</v>
      </c>
      <c r="E670">
        <v>2</v>
      </c>
      <c r="F670" t="str">
        <f t="shared" si="11"/>
        <v>Amino acid metabolism</v>
      </c>
    </row>
    <row r="671" spans="1:6" x14ac:dyDescent="0.45">
      <c r="A671" t="s">
        <v>55</v>
      </c>
      <c r="B671">
        <v>6</v>
      </c>
      <c r="C671">
        <v>1</v>
      </c>
      <c r="D671" t="s">
        <v>97</v>
      </c>
      <c r="E671">
        <v>1</v>
      </c>
      <c r="F671" t="str">
        <f t="shared" si="11"/>
        <v>Amino acid metabolism</v>
      </c>
    </row>
    <row r="672" spans="1:6" x14ac:dyDescent="0.45">
      <c r="A672" t="s">
        <v>88</v>
      </c>
      <c r="B672">
        <v>6</v>
      </c>
      <c r="C672">
        <v>1</v>
      </c>
      <c r="D672" t="s">
        <v>97</v>
      </c>
      <c r="E672">
        <v>1</v>
      </c>
      <c r="F672" t="str">
        <f t="shared" si="11"/>
        <v>Metabolism of cofactors and vitamins</v>
      </c>
    </row>
    <row r="673" spans="1:6" x14ac:dyDescent="0.45">
      <c r="A673" t="s">
        <v>76</v>
      </c>
      <c r="B673">
        <v>6</v>
      </c>
      <c r="C673">
        <v>1</v>
      </c>
      <c r="D673" t="s">
        <v>97</v>
      </c>
      <c r="E673">
        <v>1</v>
      </c>
      <c r="F673" t="str">
        <f t="shared" si="11"/>
        <v>Metabolism of terpenoids and polyketides</v>
      </c>
    </row>
    <row r="674" spans="1:6" x14ac:dyDescent="0.45">
      <c r="A674" t="s">
        <v>60</v>
      </c>
      <c r="B674">
        <v>6</v>
      </c>
      <c r="C674">
        <v>1</v>
      </c>
      <c r="D674" t="s">
        <v>97</v>
      </c>
      <c r="E674">
        <v>1</v>
      </c>
      <c r="F674" t="str">
        <f t="shared" si="11"/>
        <v>Phenylpropanoid biosynthesis</v>
      </c>
    </row>
    <row r="675" spans="1:6" x14ac:dyDescent="0.45">
      <c r="A675" t="s">
        <v>30</v>
      </c>
      <c r="B675">
        <v>6</v>
      </c>
      <c r="C675">
        <v>1</v>
      </c>
      <c r="D675" t="s">
        <v>97</v>
      </c>
      <c r="E675">
        <v>1</v>
      </c>
      <c r="F675" t="str">
        <f t="shared" si="11"/>
        <v>Degradation of aromatic compounds</v>
      </c>
    </row>
    <row r="676" spans="1:6" x14ac:dyDescent="0.45">
      <c r="A676" t="s">
        <v>11</v>
      </c>
      <c r="B676">
        <v>6</v>
      </c>
      <c r="C676">
        <v>-1</v>
      </c>
      <c r="D676" t="s">
        <v>97</v>
      </c>
      <c r="E676">
        <v>2</v>
      </c>
      <c r="F676" t="str">
        <f t="shared" si="11"/>
        <v>Nucleotide metabolism</v>
      </c>
    </row>
    <row r="677" spans="1:6" x14ac:dyDescent="0.45">
      <c r="A677" t="s">
        <v>83</v>
      </c>
      <c r="B677">
        <v>6</v>
      </c>
      <c r="C677">
        <v>-1</v>
      </c>
      <c r="D677" t="s">
        <v>97</v>
      </c>
      <c r="E677">
        <v>4</v>
      </c>
      <c r="F677" t="str">
        <f t="shared" si="11"/>
        <v>Phenylpropanoid metabolism</v>
      </c>
    </row>
    <row r="678" spans="1:6" x14ac:dyDescent="0.45">
      <c r="A678" t="s">
        <v>55</v>
      </c>
      <c r="B678">
        <v>6</v>
      </c>
      <c r="C678">
        <v>-1</v>
      </c>
      <c r="D678" t="s">
        <v>97</v>
      </c>
      <c r="E678">
        <v>3</v>
      </c>
      <c r="F678" t="str">
        <f t="shared" si="11"/>
        <v>Amino acid metabolism</v>
      </c>
    </row>
    <row r="679" spans="1:6" x14ac:dyDescent="0.45">
      <c r="A679" t="s">
        <v>60</v>
      </c>
      <c r="B679">
        <v>6</v>
      </c>
      <c r="C679">
        <v>-1</v>
      </c>
      <c r="D679" t="s">
        <v>97</v>
      </c>
      <c r="E679">
        <v>3</v>
      </c>
      <c r="F679" t="str">
        <f t="shared" si="11"/>
        <v>Phenylpropanoid biosynthesis</v>
      </c>
    </row>
    <row r="680" spans="1:6" x14ac:dyDescent="0.45">
      <c r="A680" t="s">
        <v>30</v>
      </c>
      <c r="B680">
        <v>6</v>
      </c>
      <c r="C680">
        <v>-1</v>
      </c>
      <c r="D680" t="s">
        <v>97</v>
      </c>
      <c r="E680">
        <v>4</v>
      </c>
      <c r="F680" t="str">
        <f t="shared" si="11"/>
        <v>Degradation of aromatic compounds</v>
      </c>
    </row>
    <row r="681" spans="1:6" x14ac:dyDescent="0.45">
      <c r="A681" t="s">
        <v>78</v>
      </c>
      <c r="B681">
        <v>6</v>
      </c>
      <c r="C681">
        <v>-1</v>
      </c>
      <c r="D681" t="s">
        <v>97</v>
      </c>
      <c r="E681">
        <v>7</v>
      </c>
      <c r="F681" t="str">
        <f t="shared" si="11"/>
        <v>Alkaloid metabolism</v>
      </c>
    </row>
    <row r="682" spans="1:6" x14ac:dyDescent="0.45">
      <c r="A682" t="s">
        <v>102</v>
      </c>
      <c r="B682">
        <v>6</v>
      </c>
      <c r="C682">
        <v>-1</v>
      </c>
      <c r="D682" t="s">
        <v>97</v>
      </c>
      <c r="E682">
        <v>1</v>
      </c>
      <c r="F682" t="str">
        <f t="shared" si="11"/>
        <v>Lipid metabolism</v>
      </c>
    </row>
    <row r="683" spans="1:6" x14ac:dyDescent="0.45">
      <c r="A683" t="s">
        <v>29</v>
      </c>
      <c r="B683">
        <v>6</v>
      </c>
      <c r="C683">
        <v>-1</v>
      </c>
      <c r="D683" t="s">
        <v>97</v>
      </c>
      <c r="E683">
        <v>2</v>
      </c>
      <c r="F683" t="str">
        <f t="shared" si="11"/>
        <v>Nucleotide metabolism</v>
      </c>
    </row>
    <row r="684" spans="1:6" x14ac:dyDescent="0.45">
      <c r="A684" t="s">
        <v>91</v>
      </c>
      <c r="B684">
        <v>6</v>
      </c>
      <c r="C684">
        <v>-1</v>
      </c>
      <c r="D684" t="s">
        <v>97</v>
      </c>
      <c r="E684">
        <v>1</v>
      </c>
      <c r="F684" t="str">
        <f t="shared" si="11"/>
        <v>Amino acid metabolism</v>
      </c>
    </row>
    <row r="685" spans="1:6" x14ac:dyDescent="0.45">
      <c r="A685" t="s">
        <v>53</v>
      </c>
      <c r="B685">
        <v>6</v>
      </c>
      <c r="C685">
        <v>-1</v>
      </c>
      <c r="D685" t="s">
        <v>97</v>
      </c>
      <c r="E685">
        <v>1</v>
      </c>
      <c r="F685" t="str">
        <f t="shared" si="11"/>
        <v>Amino acid metabolism</v>
      </c>
    </row>
    <row r="686" spans="1:6" x14ac:dyDescent="0.45">
      <c r="A686" t="s">
        <v>74</v>
      </c>
      <c r="B686">
        <v>6</v>
      </c>
      <c r="C686">
        <v>-1</v>
      </c>
      <c r="D686" t="s">
        <v>97</v>
      </c>
      <c r="E686">
        <v>1</v>
      </c>
      <c r="F686" t="str">
        <f t="shared" si="11"/>
        <v>Metabolism of cofactors and vitamins</v>
      </c>
    </row>
    <row r="687" spans="1:6" x14ac:dyDescent="0.45">
      <c r="A687" t="s">
        <v>5</v>
      </c>
      <c r="B687">
        <v>6</v>
      </c>
      <c r="C687">
        <v>-1</v>
      </c>
      <c r="D687" t="s">
        <v>97</v>
      </c>
      <c r="E687">
        <v>1</v>
      </c>
      <c r="F687" t="str">
        <f t="shared" si="11"/>
        <v>Metabolism of cofactors and vitamins</v>
      </c>
    </row>
    <row r="688" spans="1:6" x14ac:dyDescent="0.45">
      <c r="A688" t="s">
        <v>6</v>
      </c>
      <c r="B688">
        <v>6</v>
      </c>
      <c r="C688">
        <v>-1</v>
      </c>
      <c r="D688" t="s">
        <v>97</v>
      </c>
      <c r="E688">
        <v>1</v>
      </c>
      <c r="F688" t="str">
        <f t="shared" si="11"/>
        <v>Terpenoid metabolism</v>
      </c>
    </row>
    <row r="689" spans="1:6" x14ac:dyDescent="0.45">
      <c r="A689" t="s">
        <v>20</v>
      </c>
      <c r="B689">
        <v>8</v>
      </c>
      <c r="C689">
        <v>1</v>
      </c>
      <c r="D689" t="s">
        <v>97</v>
      </c>
      <c r="E689">
        <v>2</v>
      </c>
      <c r="F689" t="str">
        <f t="shared" si="11"/>
        <v>Phenylpropanoid metabolism</v>
      </c>
    </row>
    <row r="690" spans="1:6" x14ac:dyDescent="0.45">
      <c r="A690" t="s">
        <v>61</v>
      </c>
      <c r="B690">
        <v>6</v>
      </c>
      <c r="C690">
        <v>-1</v>
      </c>
      <c r="D690" t="s">
        <v>97</v>
      </c>
      <c r="E690">
        <v>1</v>
      </c>
      <c r="F690" t="str">
        <f t="shared" si="11"/>
        <v>Alkaloid metabolism</v>
      </c>
    </row>
    <row r="691" spans="1:6" x14ac:dyDescent="0.45">
      <c r="A691" t="s">
        <v>45</v>
      </c>
      <c r="B691">
        <v>6</v>
      </c>
      <c r="C691">
        <v>-1</v>
      </c>
      <c r="D691" t="s">
        <v>97</v>
      </c>
      <c r="E691">
        <v>1</v>
      </c>
      <c r="F691" t="str">
        <f t="shared" si="11"/>
        <v>Amino acid metabolism</v>
      </c>
    </row>
    <row r="692" spans="1:6" x14ac:dyDescent="0.45">
      <c r="A692" t="s">
        <v>22</v>
      </c>
      <c r="B692">
        <v>6</v>
      </c>
      <c r="C692">
        <v>-1</v>
      </c>
      <c r="D692" t="s">
        <v>97</v>
      </c>
      <c r="E692">
        <v>1</v>
      </c>
      <c r="F692" t="str">
        <f t="shared" si="11"/>
        <v>Amino acid metabolism</v>
      </c>
    </row>
    <row r="693" spans="1:6" x14ac:dyDescent="0.45">
      <c r="A693" t="s">
        <v>23</v>
      </c>
      <c r="B693">
        <v>6</v>
      </c>
      <c r="C693">
        <v>-1</v>
      </c>
      <c r="D693" t="s">
        <v>97</v>
      </c>
      <c r="E693">
        <v>1</v>
      </c>
      <c r="F693" t="str">
        <f t="shared" si="11"/>
        <v>Membrane transport</v>
      </c>
    </row>
    <row r="694" spans="1:6" x14ac:dyDescent="0.45">
      <c r="A694" t="s">
        <v>54</v>
      </c>
      <c r="B694">
        <v>7</v>
      </c>
      <c r="C694">
        <v>1</v>
      </c>
      <c r="D694" t="s">
        <v>97</v>
      </c>
      <c r="E694">
        <v>1</v>
      </c>
      <c r="F694" t="str">
        <f t="shared" si="11"/>
        <v>Amino acid metabolism</v>
      </c>
    </row>
    <row r="695" spans="1:6" x14ac:dyDescent="0.45">
      <c r="A695" t="s">
        <v>62</v>
      </c>
      <c r="B695">
        <v>7</v>
      </c>
      <c r="C695">
        <v>1</v>
      </c>
      <c r="D695" t="s">
        <v>97</v>
      </c>
      <c r="E695">
        <v>1</v>
      </c>
      <c r="F695" t="str">
        <f t="shared" si="11"/>
        <v>Genetic Information Processing</v>
      </c>
    </row>
    <row r="696" spans="1:6" x14ac:dyDescent="0.45">
      <c r="A696" t="s">
        <v>30</v>
      </c>
      <c r="B696">
        <v>7</v>
      </c>
      <c r="C696">
        <v>1</v>
      </c>
      <c r="D696" t="s">
        <v>97</v>
      </c>
      <c r="E696">
        <v>1</v>
      </c>
      <c r="F696" t="str">
        <f t="shared" si="11"/>
        <v>Degradation of aromatic compounds</v>
      </c>
    </row>
    <row r="697" spans="1:6" x14ac:dyDescent="0.45">
      <c r="A697" t="s">
        <v>22</v>
      </c>
      <c r="B697">
        <v>7</v>
      </c>
      <c r="C697">
        <v>1</v>
      </c>
      <c r="D697" t="s">
        <v>97</v>
      </c>
      <c r="E697">
        <v>1</v>
      </c>
      <c r="F697" t="str">
        <f t="shared" si="11"/>
        <v>Amino acid metabolism</v>
      </c>
    </row>
    <row r="698" spans="1:6" x14ac:dyDescent="0.45">
      <c r="A698" t="s">
        <v>23</v>
      </c>
      <c r="B698">
        <v>7</v>
      </c>
      <c r="C698">
        <v>1</v>
      </c>
      <c r="D698" t="s">
        <v>97</v>
      </c>
      <c r="E698">
        <v>1</v>
      </c>
      <c r="F698" t="str">
        <f t="shared" si="11"/>
        <v>Membrane transport</v>
      </c>
    </row>
    <row r="699" spans="1:6" x14ac:dyDescent="0.45">
      <c r="A699" t="s">
        <v>65</v>
      </c>
      <c r="B699">
        <v>7</v>
      </c>
      <c r="C699">
        <v>1</v>
      </c>
      <c r="D699" t="s">
        <v>97</v>
      </c>
      <c r="E699">
        <v>1</v>
      </c>
      <c r="F699" t="str">
        <f t="shared" si="11"/>
        <v>Amino acid metabolism</v>
      </c>
    </row>
    <row r="700" spans="1:6" x14ac:dyDescent="0.45">
      <c r="A700" t="s">
        <v>78</v>
      </c>
      <c r="B700">
        <v>7</v>
      </c>
      <c r="C700">
        <v>1</v>
      </c>
      <c r="D700" t="s">
        <v>97</v>
      </c>
      <c r="E700">
        <v>1</v>
      </c>
      <c r="F700" t="str">
        <f t="shared" si="11"/>
        <v>Alkaloid metabolism</v>
      </c>
    </row>
    <row r="701" spans="1:6" x14ac:dyDescent="0.45">
      <c r="A701" t="s">
        <v>29</v>
      </c>
      <c r="B701">
        <v>7</v>
      </c>
      <c r="C701">
        <v>-1</v>
      </c>
      <c r="D701" t="s">
        <v>97</v>
      </c>
      <c r="E701">
        <v>4</v>
      </c>
      <c r="F701" t="str">
        <f t="shared" si="11"/>
        <v>Nucleotide metabolism</v>
      </c>
    </row>
    <row r="702" spans="1:6" x14ac:dyDescent="0.45">
      <c r="A702" t="s">
        <v>11</v>
      </c>
      <c r="B702">
        <v>7</v>
      </c>
      <c r="C702">
        <v>-1</v>
      </c>
      <c r="D702" t="s">
        <v>97</v>
      </c>
      <c r="E702">
        <v>2</v>
      </c>
      <c r="F702" t="str">
        <f t="shared" si="11"/>
        <v>Nucleotide metabolism</v>
      </c>
    </row>
    <row r="703" spans="1:6" x14ac:dyDescent="0.45">
      <c r="A703" t="s">
        <v>44</v>
      </c>
      <c r="B703">
        <v>7</v>
      </c>
      <c r="C703">
        <v>-1</v>
      </c>
      <c r="D703" t="s">
        <v>97</v>
      </c>
      <c r="E703">
        <v>2</v>
      </c>
      <c r="F703" t="str">
        <f t="shared" si="11"/>
        <v>Glucosinolate biosynthesis</v>
      </c>
    </row>
    <row r="704" spans="1:6" x14ac:dyDescent="0.45">
      <c r="A704" t="s">
        <v>45</v>
      </c>
      <c r="B704">
        <v>7</v>
      </c>
      <c r="C704">
        <v>-1</v>
      </c>
      <c r="D704" t="s">
        <v>97</v>
      </c>
      <c r="E704">
        <v>2</v>
      </c>
      <c r="F704" t="str">
        <f t="shared" si="11"/>
        <v>Amino acid metabolism</v>
      </c>
    </row>
    <row r="705" spans="1:6" x14ac:dyDescent="0.45">
      <c r="A705" t="s">
        <v>83</v>
      </c>
      <c r="B705">
        <v>7</v>
      </c>
      <c r="C705">
        <v>-1</v>
      </c>
      <c r="D705" t="s">
        <v>97</v>
      </c>
      <c r="E705">
        <v>2</v>
      </c>
      <c r="F705" t="str">
        <f t="shared" si="11"/>
        <v>Phenylpropanoid metabolism</v>
      </c>
    </row>
    <row r="706" spans="1:6" x14ac:dyDescent="0.45">
      <c r="A706" t="s">
        <v>7</v>
      </c>
      <c r="B706">
        <v>7</v>
      </c>
      <c r="C706">
        <v>-1</v>
      </c>
      <c r="D706" t="s">
        <v>97</v>
      </c>
      <c r="E706">
        <v>1</v>
      </c>
      <c r="F706" t="str">
        <f t="shared" si="11"/>
        <v>Carbohydrate metabolism</v>
      </c>
    </row>
    <row r="707" spans="1:6" x14ac:dyDescent="0.45">
      <c r="A707" t="s">
        <v>31</v>
      </c>
      <c r="B707">
        <v>7</v>
      </c>
      <c r="C707">
        <v>-1</v>
      </c>
      <c r="D707" t="s">
        <v>97</v>
      </c>
      <c r="E707">
        <v>1</v>
      </c>
      <c r="F707" t="str">
        <f t="shared" si="11"/>
        <v>Carbon metabolism</v>
      </c>
    </row>
    <row r="708" spans="1:6" x14ac:dyDescent="0.45">
      <c r="A708" t="s">
        <v>38</v>
      </c>
      <c r="B708">
        <v>7</v>
      </c>
      <c r="C708">
        <v>-1</v>
      </c>
      <c r="D708" t="s">
        <v>97</v>
      </c>
      <c r="E708">
        <v>1</v>
      </c>
      <c r="F708" t="str">
        <f t="shared" si="11"/>
        <v>Amino acid metabolism</v>
      </c>
    </row>
    <row r="709" spans="1:6" x14ac:dyDescent="0.45">
      <c r="A709" t="s">
        <v>39</v>
      </c>
      <c r="B709">
        <v>7</v>
      </c>
      <c r="C709">
        <v>-1</v>
      </c>
      <c r="D709" t="s">
        <v>97</v>
      </c>
      <c r="E709">
        <v>1</v>
      </c>
      <c r="F709" t="str">
        <f t="shared" si="11"/>
        <v>Amino acid metabolism</v>
      </c>
    </row>
    <row r="710" spans="1:6" x14ac:dyDescent="0.45">
      <c r="A710" t="s">
        <v>91</v>
      </c>
      <c r="B710">
        <v>7</v>
      </c>
      <c r="C710">
        <v>-1</v>
      </c>
      <c r="D710" t="s">
        <v>97</v>
      </c>
      <c r="E710">
        <v>1</v>
      </c>
      <c r="F710" t="str">
        <f t="shared" si="11"/>
        <v>Amino acid metabolism</v>
      </c>
    </row>
    <row r="711" spans="1:6" x14ac:dyDescent="0.45">
      <c r="A711" t="s">
        <v>69</v>
      </c>
      <c r="B711">
        <v>7</v>
      </c>
      <c r="C711">
        <v>-1</v>
      </c>
      <c r="D711" t="s">
        <v>97</v>
      </c>
      <c r="E711">
        <v>1</v>
      </c>
      <c r="F711" t="str">
        <f t="shared" si="11"/>
        <v>Amino acid metabolism</v>
      </c>
    </row>
    <row r="712" spans="1:6" x14ac:dyDescent="0.45">
      <c r="A712" t="s">
        <v>27</v>
      </c>
      <c r="B712">
        <v>7</v>
      </c>
      <c r="C712">
        <v>-1</v>
      </c>
      <c r="D712" t="s">
        <v>97</v>
      </c>
      <c r="E712">
        <v>1</v>
      </c>
      <c r="F712" t="str">
        <f t="shared" si="11"/>
        <v>Amino acid metabolism</v>
      </c>
    </row>
    <row r="713" spans="1:6" x14ac:dyDescent="0.45">
      <c r="A713" t="s">
        <v>36</v>
      </c>
      <c r="B713">
        <v>7</v>
      </c>
      <c r="C713">
        <v>-1</v>
      </c>
      <c r="D713" t="s">
        <v>97</v>
      </c>
      <c r="E713">
        <v>1</v>
      </c>
      <c r="F713" t="str">
        <f t="shared" si="11"/>
        <v>Carbohydrate metabolism</v>
      </c>
    </row>
    <row r="714" spans="1:6" x14ac:dyDescent="0.45">
      <c r="A714" t="s">
        <v>40</v>
      </c>
      <c r="B714">
        <v>7</v>
      </c>
      <c r="C714">
        <v>-1</v>
      </c>
      <c r="D714" t="s">
        <v>97</v>
      </c>
      <c r="E714">
        <v>1</v>
      </c>
      <c r="F714" t="str">
        <f t="shared" si="11"/>
        <v>Carbohydrate metabolism</v>
      </c>
    </row>
    <row r="715" spans="1:6" x14ac:dyDescent="0.45">
      <c r="A715" t="s">
        <v>41</v>
      </c>
      <c r="B715">
        <v>7</v>
      </c>
      <c r="C715">
        <v>-1</v>
      </c>
      <c r="D715" t="s">
        <v>97</v>
      </c>
      <c r="E715">
        <v>1</v>
      </c>
      <c r="F715" t="str">
        <f t="shared" si="11"/>
        <v>Metabolism of cofactors and vitamins</v>
      </c>
    </row>
    <row r="716" spans="1:6" x14ac:dyDescent="0.45">
      <c r="A716" t="s">
        <v>88</v>
      </c>
      <c r="B716">
        <v>7</v>
      </c>
      <c r="C716">
        <v>-1</v>
      </c>
      <c r="D716" t="s">
        <v>97</v>
      </c>
      <c r="E716">
        <v>2</v>
      </c>
      <c r="F716" t="str">
        <f t="shared" si="11"/>
        <v>Metabolism of cofactors and vitamins</v>
      </c>
    </row>
    <row r="717" spans="1:6" x14ac:dyDescent="0.45">
      <c r="A717" t="s">
        <v>5</v>
      </c>
      <c r="B717">
        <v>7</v>
      </c>
      <c r="C717">
        <v>-1</v>
      </c>
      <c r="D717" t="s">
        <v>97</v>
      </c>
      <c r="E717">
        <v>1</v>
      </c>
      <c r="F717" t="str">
        <f t="shared" si="11"/>
        <v>Metabolism of cofactors and vitamins</v>
      </c>
    </row>
    <row r="718" spans="1:6" x14ac:dyDescent="0.45">
      <c r="A718" t="s">
        <v>85</v>
      </c>
      <c r="B718">
        <v>7</v>
      </c>
      <c r="C718">
        <v>-1</v>
      </c>
      <c r="D718" t="s">
        <v>97</v>
      </c>
      <c r="E718">
        <v>1</v>
      </c>
      <c r="F718" t="str">
        <f t="shared" si="11"/>
        <v>Terpenoid metabolism</v>
      </c>
    </row>
    <row r="719" spans="1:6" x14ac:dyDescent="0.45">
      <c r="A719" t="s">
        <v>6</v>
      </c>
      <c r="B719">
        <v>7</v>
      </c>
      <c r="C719">
        <v>-1</v>
      </c>
      <c r="D719" t="s">
        <v>97</v>
      </c>
      <c r="E719">
        <v>2</v>
      </c>
      <c r="F719" t="str">
        <f t="shared" si="11"/>
        <v>Terpenoid metabolism</v>
      </c>
    </row>
    <row r="720" spans="1:6" x14ac:dyDescent="0.45">
      <c r="A720" t="s">
        <v>60</v>
      </c>
      <c r="B720">
        <v>7</v>
      </c>
      <c r="C720">
        <v>-1</v>
      </c>
      <c r="D720" t="s">
        <v>97</v>
      </c>
      <c r="E720">
        <v>1</v>
      </c>
      <c r="F720" t="str">
        <f t="shared" si="11"/>
        <v>Phenylpropanoid biosynthesis</v>
      </c>
    </row>
    <row r="721" spans="1:6" x14ac:dyDescent="0.45">
      <c r="A721" t="s">
        <v>101</v>
      </c>
      <c r="B721">
        <v>8</v>
      </c>
      <c r="C721">
        <v>1</v>
      </c>
      <c r="D721" t="s">
        <v>97</v>
      </c>
      <c r="E721">
        <v>2</v>
      </c>
      <c r="F721" t="str">
        <f t="shared" ref="F721:F743" si="12">_xlfn.XLOOKUP(A721,$I$2:$I$200,$J$2:$J$200)</f>
        <v>Phenylpropanoid metabolism</v>
      </c>
    </row>
    <row r="722" spans="1:6" x14ac:dyDescent="0.45">
      <c r="A722" t="s">
        <v>19</v>
      </c>
      <c r="B722">
        <v>10</v>
      </c>
      <c r="C722">
        <v>-1</v>
      </c>
      <c r="D722" t="s">
        <v>4</v>
      </c>
      <c r="E722">
        <v>8</v>
      </c>
      <c r="F722" t="str">
        <f t="shared" si="12"/>
        <v>Phenylpropanoid metabolism</v>
      </c>
    </row>
    <row r="723" spans="1:6" x14ac:dyDescent="0.45">
      <c r="A723" t="s">
        <v>20</v>
      </c>
      <c r="B723">
        <v>9</v>
      </c>
      <c r="C723">
        <v>-1</v>
      </c>
      <c r="D723" t="s">
        <v>4</v>
      </c>
      <c r="E723">
        <v>1</v>
      </c>
      <c r="F723" t="str">
        <f t="shared" si="12"/>
        <v>Phenylpropanoid metabolism</v>
      </c>
    </row>
    <row r="724" spans="1:6" x14ac:dyDescent="0.45">
      <c r="A724" t="s">
        <v>61</v>
      </c>
      <c r="B724">
        <v>7</v>
      </c>
      <c r="C724">
        <v>-1</v>
      </c>
      <c r="D724" t="s">
        <v>97</v>
      </c>
      <c r="E724">
        <v>1</v>
      </c>
      <c r="F724" t="str">
        <f t="shared" si="12"/>
        <v>Alkaloid metabolism</v>
      </c>
    </row>
    <row r="725" spans="1:6" x14ac:dyDescent="0.45">
      <c r="A725" t="s">
        <v>66</v>
      </c>
      <c r="B725">
        <v>7</v>
      </c>
      <c r="C725">
        <v>-1</v>
      </c>
      <c r="D725" t="s">
        <v>97</v>
      </c>
      <c r="E725">
        <v>1</v>
      </c>
      <c r="F725" t="str">
        <f t="shared" si="12"/>
        <v>Amino acid metabolism</v>
      </c>
    </row>
    <row r="726" spans="1:6" x14ac:dyDescent="0.45">
      <c r="A726" t="s">
        <v>46</v>
      </c>
      <c r="B726">
        <v>7</v>
      </c>
      <c r="C726">
        <v>-1</v>
      </c>
      <c r="D726" t="s">
        <v>97</v>
      </c>
      <c r="E726">
        <v>1</v>
      </c>
      <c r="F726" t="str">
        <f t="shared" si="12"/>
        <v>Secondary metabolism</v>
      </c>
    </row>
    <row r="727" spans="1:6" x14ac:dyDescent="0.45">
      <c r="A727" t="s">
        <v>78</v>
      </c>
      <c r="B727">
        <v>8</v>
      </c>
      <c r="C727">
        <v>1</v>
      </c>
      <c r="D727" t="s">
        <v>97</v>
      </c>
      <c r="E727">
        <v>4</v>
      </c>
      <c r="F727" t="str">
        <f t="shared" si="12"/>
        <v>Alkaloid metabolism</v>
      </c>
    </row>
    <row r="728" spans="1:6" x14ac:dyDescent="0.45">
      <c r="A728" t="s">
        <v>20</v>
      </c>
      <c r="B728">
        <v>10</v>
      </c>
      <c r="C728">
        <v>1</v>
      </c>
      <c r="D728" t="s">
        <v>4</v>
      </c>
      <c r="E728">
        <v>1</v>
      </c>
      <c r="F728" t="str">
        <f t="shared" si="12"/>
        <v>Phenylpropanoid metabolism</v>
      </c>
    </row>
    <row r="729" spans="1:6" x14ac:dyDescent="0.45">
      <c r="A729" t="s">
        <v>11</v>
      </c>
      <c r="B729">
        <v>8</v>
      </c>
      <c r="C729">
        <v>1</v>
      </c>
      <c r="D729" t="s">
        <v>97</v>
      </c>
      <c r="E729">
        <v>1</v>
      </c>
      <c r="F729" t="str">
        <f t="shared" si="12"/>
        <v>Nucleotide metabolism</v>
      </c>
    </row>
    <row r="730" spans="1:6" x14ac:dyDescent="0.45">
      <c r="A730" t="s">
        <v>91</v>
      </c>
      <c r="B730">
        <v>8</v>
      </c>
      <c r="C730">
        <v>1</v>
      </c>
      <c r="D730" t="s">
        <v>97</v>
      </c>
      <c r="E730">
        <v>1</v>
      </c>
      <c r="F730" t="str">
        <f t="shared" si="12"/>
        <v>Amino acid metabolism</v>
      </c>
    </row>
    <row r="731" spans="1:6" x14ac:dyDescent="0.45">
      <c r="A731" t="s">
        <v>13</v>
      </c>
      <c r="B731">
        <v>8</v>
      </c>
      <c r="C731">
        <v>1</v>
      </c>
      <c r="D731" t="s">
        <v>97</v>
      </c>
      <c r="E731">
        <v>2</v>
      </c>
      <c r="F731" t="str">
        <f t="shared" si="12"/>
        <v>Glycan biosynthesis and metabolism</v>
      </c>
    </row>
    <row r="732" spans="1:6" x14ac:dyDescent="0.45">
      <c r="A732" t="s">
        <v>88</v>
      </c>
      <c r="B732">
        <v>8</v>
      </c>
      <c r="C732">
        <v>1</v>
      </c>
      <c r="D732" t="s">
        <v>97</v>
      </c>
      <c r="E732">
        <v>1</v>
      </c>
      <c r="F732" t="str">
        <f t="shared" si="12"/>
        <v>Metabolism of cofactors and vitamins</v>
      </c>
    </row>
    <row r="733" spans="1:6" x14ac:dyDescent="0.45">
      <c r="A733" t="s">
        <v>5</v>
      </c>
      <c r="B733">
        <v>8</v>
      </c>
      <c r="C733">
        <v>1</v>
      </c>
      <c r="D733" t="s">
        <v>97</v>
      </c>
      <c r="E733">
        <v>1</v>
      </c>
      <c r="F733" t="str">
        <f t="shared" si="12"/>
        <v>Metabolism of cofactors and vitamins</v>
      </c>
    </row>
    <row r="734" spans="1:6" x14ac:dyDescent="0.45">
      <c r="A734" t="s">
        <v>103</v>
      </c>
      <c r="B734">
        <v>8</v>
      </c>
      <c r="C734">
        <v>1</v>
      </c>
      <c r="D734" t="s">
        <v>97</v>
      </c>
      <c r="E734">
        <v>2</v>
      </c>
      <c r="F734" t="str">
        <f t="shared" si="12"/>
        <v>Metabolism of terpenoids and polyketides</v>
      </c>
    </row>
    <row r="735" spans="1:6" x14ac:dyDescent="0.45">
      <c r="A735" t="s">
        <v>19</v>
      </c>
      <c r="B735">
        <v>10</v>
      </c>
      <c r="C735">
        <v>1</v>
      </c>
      <c r="D735" t="s">
        <v>4</v>
      </c>
      <c r="E735">
        <v>1</v>
      </c>
      <c r="F735" t="str">
        <f t="shared" si="12"/>
        <v>Phenylpropanoid metabolism</v>
      </c>
    </row>
    <row r="736" spans="1:6" x14ac:dyDescent="0.45">
      <c r="A736" t="s">
        <v>20</v>
      </c>
      <c r="B736">
        <v>10</v>
      </c>
      <c r="C736">
        <v>-1</v>
      </c>
      <c r="D736" t="s">
        <v>4</v>
      </c>
      <c r="E736">
        <v>4</v>
      </c>
      <c r="F736" t="str">
        <f t="shared" si="12"/>
        <v>Phenylpropanoid metabolism</v>
      </c>
    </row>
    <row r="737" spans="1:6" x14ac:dyDescent="0.45">
      <c r="A737" t="s">
        <v>43</v>
      </c>
      <c r="B737">
        <v>8</v>
      </c>
      <c r="C737">
        <v>1</v>
      </c>
      <c r="D737" t="s">
        <v>97</v>
      </c>
      <c r="E737">
        <v>1</v>
      </c>
      <c r="F737" t="str">
        <f t="shared" si="12"/>
        <v>Stilbenoid; diarylheptanoid and gingerol biosynthesis</v>
      </c>
    </row>
    <row r="738" spans="1:6" x14ac:dyDescent="0.45">
      <c r="A738" t="s">
        <v>82</v>
      </c>
      <c r="B738">
        <v>8</v>
      </c>
      <c r="C738">
        <v>1</v>
      </c>
      <c r="D738" t="s">
        <v>97</v>
      </c>
      <c r="E738">
        <v>1</v>
      </c>
      <c r="F738" t="str">
        <f t="shared" si="12"/>
        <v>Alkaloid metabolism</v>
      </c>
    </row>
    <row r="739" spans="1:6" x14ac:dyDescent="0.45">
      <c r="A739" t="s">
        <v>61</v>
      </c>
      <c r="B739">
        <v>8</v>
      </c>
      <c r="C739">
        <v>1</v>
      </c>
      <c r="D739" t="s">
        <v>97</v>
      </c>
      <c r="E739">
        <v>1</v>
      </c>
      <c r="F739" t="str">
        <f t="shared" si="12"/>
        <v>Alkaloid metabolism</v>
      </c>
    </row>
    <row r="740" spans="1:6" x14ac:dyDescent="0.45">
      <c r="A740" t="s">
        <v>30</v>
      </c>
      <c r="B740">
        <v>8</v>
      </c>
      <c r="C740">
        <v>1</v>
      </c>
      <c r="D740" t="s">
        <v>97</v>
      </c>
      <c r="E740">
        <v>1</v>
      </c>
      <c r="F740" t="str">
        <f t="shared" si="12"/>
        <v>Degradation of aromatic compounds</v>
      </c>
    </row>
    <row r="741" spans="1:6" x14ac:dyDescent="0.45">
      <c r="A741" t="s">
        <v>22</v>
      </c>
      <c r="B741">
        <v>8</v>
      </c>
      <c r="C741">
        <v>1</v>
      </c>
      <c r="D741" t="s">
        <v>97</v>
      </c>
      <c r="E741">
        <v>1</v>
      </c>
      <c r="F741" t="str">
        <f t="shared" si="12"/>
        <v>Amino acid metabolism</v>
      </c>
    </row>
    <row r="742" spans="1:6" x14ac:dyDescent="0.45">
      <c r="A742" t="s">
        <v>23</v>
      </c>
      <c r="B742">
        <v>8</v>
      </c>
      <c r="C742">
        <v>1</v>
      </c>
      <c r="D742" t="s">
        <v>97</v>
      </c>
      <c r="E742">
        <v>2</v>
      </c>
      <c r="F742" t="str">
        <f t="shared" si="12"/>
        <v>Membrane transport</v>
      </c>
    </row>
    <row r="743" spans="1:6" x14ac:dyDescent="0.45">
      <c r="A743" t="s">
        <v>80</v>
      </c>
      <c r="B743">
        <v>10</v>
      </c>
      <c r="C743">
        <v>-1</v>
      </c>
      <c r="D743" t="s">
        <v>4</v>
      </c>
      <c r="E743">
        <v>1</v>
      </c>
      <c r="F743" t="str">
        <f t="shared" si="12"/>
        <v>Phenylpropanoid metabolism</v>
      </c>
    </row>
    <row r="744" spans="1:6" x14ac:dyDescent="0.45">
      <c r="A744" t="s">
        <v>24</v>
      </c>
      <c r="B744">
        <v>8</v>
      </c>
      <c r="C744">
        <v>1</v>
      </c>
      <c r="D744" t="s">
        <v>97</v>
      </c>
      <c r="E744">
        <v>1</v>
      </c>
      <c r="F744" t="str">
        <f t="shared" ref="F744:F771" si="13">_xlfn.XLOOKUP(A744,$I$2:$I$200,$J$2:$J$200)</f>
        <v>Phenylpropanoid metabolism</v>
      </c>
    </row>
    <row r="745" spans="1:6" x14ac:dyDescent="0.45">
      <c r="A745" t="s">
        <v>83</v>
      </c>
      <c r="B745">
        <v>8</v>
      </c>
      <c r="C745">
        <v>1</v>
      </c>
      <c r="D745" t="s">
        <v>97</v>
      </c>
      <c r="E745">
        <v>2</v>
      </c>
      <c r="F745" t="str">
        <f t="shared" si="13"/>
        <v>Phenylpropanoid metabolism</v>
      </c>
    </row>
    <row r="746" spans="1:6" x14ac:dyDescent="0.45">
      <c r="A746" t="s">
        <v>90</v>
      </c>
      <c r="B746">
        <v>8</v>
      </c>
      <c r="C746">
        <v>-1</v>
      </c>
      <c r="D746" t="s">
        <v>97</v>
      </c>
      <c r="E746">
        <v>1</v>
      </c>
      <c r="F746" t="str">
        <f t="shared" si="13"/>
        <v>Biosynthesis of other secondary metabolites</v>
      </c>
    </row>
    <row r="747" spans="1:6" x14ac:dyDescent="0.45">
      <c r="A747" t="s">
        <v>57</v>
      </c>
      <c r="B747">
        <v>8</v>
      </c>
      <c r="C747">
        <v>-1</v>
      </c>
      <c r="D747" t="s">
        <v>97</v>
      </c>
      <c r="E747">
        <v>1</v>
      </c>
      <c r="F747" t="str">
        <f t="shared" si="13"/>
        <v>Carbohydrate metabolism</v>
      </c>
    </row>
    <row r="748" spans="1:6" x14ac:dyDescent="0.45">
      <c r="A748" t="s">
        <v>23</v>
      </c>
      <c r="B748">
        <v>8</v>
      </c>
      <c r="C748">
        <v>-1</v>
      </c>
      <c r="D748" t="s">
        <v>97</v>
      </c>
      <c r="E748">
        <v>1</v>
      </c>
      <c r="F748" t="str">
        <f t="shared" si="13"/>
        <v>Membrane transport</v>
      </c>
    </row>
    <row r="749" spans="1:6" x14ac:dyDescent="0.45">
      <c r="A749" t="s">
        <v>50</v>
      </c>
      <c r="B749">
        <v>9</v>
      </c>
      <c r="C749">
        <v>1</v>
      </c>
      <c r="D749" t="s">
        <v>97</v>
      </c>
      <c r="E749">
        <v>1</v>
      </c>
      <c r="F749" t="str">
        <f t="shared" si="13"/>
        <v>Lipid metabolism</v>
      </c>
    </row>
    <row r="750" spans="1:6" x14ac:dyDescent="0.45">
      <c r="A750" t="s">
        <v>32</v>
      </c>
      <c r="B750">
        <v>9</v>
      </c>
      <c r="C750">
        <v>1</v>
      </c>
      <c r="D750" t="s">
        <v>97</v>
      </c>
      <c r="E750">
        <v>1</v>
      </c>
      <c r="F750" t="str">
        <f t="shared" si="13"/>
        <v>Lipid metabolism</v>
      </c>
    </row>
    <row r="751" spans="1:6" x14ac:dyDescent="0.45">
      <c r="A751" t="s">
        <v>43</v>
      </c>
      <c r="B751">
        <v>9</v>
      </c>
      <c r="C751">
        <v>1</v>
      </c>
      <c r="D751" t="s">
        <v>97</v>
      </c>
      <c r="E751">
        <v>1</v>
      </c>
      <c r="F751" t="str">
        <f t="shared" si="13"/>
        <v>Stilbenoid; diarylheptanoid and gingerol biosynthesis</v>
      </c>
    </row>
    <row r="752" spans="1:6" x14ac:dyDescent="0.45">
      <c r="A752" t="s">
        <v>81</v>
      </c>
      <c r="B752">
        <v>9</v>
      </c>
      <c r="C752">
        <v>1</v>
      </c>
      <c r="D752" t="s">
        <v>97</v>
      </c>
      <c r="E752">
        <v>1</v>
      </c>
      <c r="F752" t="str">
        <f t="shared" si="13"/>
        <v>Lipid metabolism</v>
      </c>
    </row>
    <row r="753" spans="1:6" x14ac:dyDescent="0.45">
      <c r="A753" t="s">
        <v>5</v>
      </c>
      <c r="B753">
        <v>9</v>
      </c>
      <c r="C753">
        <v>-1</v>
      </c>
      <c r="D753" t="s">
        <v>97</v>
      </c>
      <c r="E753">
        <v>2</v>
      </c>
      <c r="F753" t="str">
        <f t="shared" si="13"/>
        <v>Metabolism of cofactors and vitamins</v>
      </c>
    </row>
    <row r="754" spans="1:6" x14ac:dyDescent="0.45">
      <c r="A754" t="s">
        <v>9</v>
      </c>
      <c r="B754">
        <v>9</v>
      </c>
      <c r="C754">
        <v>-1</v>
      </c>
      <c r="D754" t="s">
        <v>97</v>
      </c>
      <c r="E754">
        <v>1</v>
      </c>
      <c r="F754" t="str">
        <f t="shared" si="13"/>
        <v>Carbohydrate metabolism</v>
      </c>
    </row>
    <row r="755" spans="1:6" x14ac:dyDescent="0.45">
      <c r="A755" t="s">
        <v>13</v>
      </c>
      <c r="B755">
        <v>9</v>
      </c>
      <c r="C755">
        <v>-1</v>
      </c>
      <c r="D755" t="s">
        <v>97</v>
      </c>
      <c r="E755">
        <v>1</v>
      </c>
      <c r="F755" t="str">
        <f t="shared" si="13"/>
        <v>Glycan biosynthesis and metabolism</v>
      </c>
    </row>
    <row r="756" spans="1:6" x14ac:dyDescent="0.45">
      <c r="A756" t="s">
        <v>75</v>
      </c>
      <c r="B756">
        <v>9</v>
      </c>
      <c r="C756">
        <v>-1</v>
      </c>
      <c r="D756" t="s">
        <v>97</v>
      </c>
      <c r="E756">
        <v>1</v>
      </c>
      <c r="F756" t="str">
        <f t="shared" si="13"/>
        <v>Metabolism of cofactors and vitamins</v>
      </c>
    </row>
    <row r="757" spans="1:6" x14ac:dyDescent="0.45">
      <c r="A757" t="s">
        <v>85</v>
      </c>
      <c r="B757">
        <v>9</v>
      </c>
      <c r="C757">
        <v>-1</v>
      </c>
      <c r="D757" t="s">
        <v>97</v>
      </c>
      <c r="E757">
        <v>1</v>
      </c>
      <c r="F757" t="str">
        <f t="shared" si="13"/>
        <v>Terpenoid metabolism</v>
      </c>
    </row>
    <row r="758" spans="1:6" x14ac:dyDescent="0.45">
      <c r="A758" t="s">
        <v>6</v>
      </c>
      <c r="B758">
        <v>9</v>
      </c>
      <c r="C758">
        <v>-1</v>
      </c>
      <c r="D758" t="s">
        <v>97</v>
      </c>
      <c r="E758">
        <v>1</v>
      </c>
      <c r="F758" t="str">
        <f t="shared" si="13"/>
        <v>Terpenoid metabolism</v>
      </c>
    </row>
    <row r="759" spans="1:6" x14ac:dyDescent="0.45">
      <c r="A759" t="s">
        <v>53</v>
      </c>
      <c r="B759">
        <v>10</v>
      </c>
      <c r="C759">
        <v>1</v>
      </c>
      <c r="D759" t="s">
        <v>97</v>
      </c>
      <c r="E759">
        <v>2</v>
      </c>
      <c r="F759" t="str">
        <f t="shared" si="13"/>
        <v>Amino acid metabolism</v>
      </c>
    </row>
    <row r="760" spans="1:6" x14ac:dyDescent="0.45">
      <c r="A760" t="s">
        <v>54</v>
      </c>
      <c r="B760">
        <v>10</v>
      </c>
      <c r="C760">
        <v>1</v>
      </c>
      <c r="D760" t="s">
        <v>97</v>
      </c>
      <c r="E760">
        <v>2</v>
      </c>
      <c r="F760" t="str">
        <f t="shared" si="13"/>
        <v>Amino acid metabolism</v>
      </c>
    </row>
    <row r="761" spans="1:6" x14ac:dyDescent="0.45">
      <c r="A761" t="s">
        <v>17</v>
      </c>
      <c r="B761">
        <v>10</v>
      </c>
      <c r="C761">
        <v>1</v>
      </c>
      <c r="D761" t="s">
        <v>97</v>
      </c>
      <c r="E761">
        <v>2</v>
      </c>
      <c r="F761" t="str">
        <f t="shared" si="13"/>
        <v>Metabolism of cofactors and vitamins</v>
      </c>
    </row>
    <row r="762" spans="1:6" x14ac:dyDescent="0.45">
      <c r="A762" t="s">
        <v>95</v>
      </c>
      <c r="B762">
        <v>10</v>
      </c>
      <c r="C762">
        <v>1</v>
      </c>
      <c r="D762" t="s">
        <v>97</v>
      </c>
      <c r="E762">
        <v>1</v>
      </c>
      <c r="F762" t="str">
        <f t="shared" si="13"/>
        <v>Carbohydrate metabolism</v>
      </c>
    </row>
    <row r="763" spans="1:6" x14ac:dyDescent="0.45">
      <c r="A763" t="s">
        <v>104</v>
      </c>
      <c r="B763">
        <v>10</v>
      </c>
      <c r="C763">
        <v>1</v>
      </c>
      <c r="D763" t="s">
        <v>97</v>
      </c>
      <c r="E763">
        <v>1</v>
      </c>
      <c r="F763" t="str">
        <f t="shared" si="13"/>
        <v>Lipid metabolism</v>
      </c>
    </row>
    <row r="764" spans="1:6" x14ac:dyDescent="0.45">
      <c r="A764" t="s">
        <v>98</v>
      </c>
      <c r="B764">
        <v>10</v>
      </c>
      <c r="C764">
        <v>1</v>
      </c>
      <c r="D764" t="s">
        <v>97</v>
      </c>
      <c r="E764">
        <v>1</v>
      </c>
      <c r="F764" t="str">
        <f t="shared" si="13"/>
        <v>Energy metabolism</v>
      </c>
    </row>
    <row r="765" spans="1:6" x14ac:dyDescent="0.45">
      <c r="A765" t="s">
        <v>11</v>
      </c>
      <c r="B765">
        <v>10</v>
      </c>
      <c r="C765">
        <v>1</v>
      </c>
      <c r="D765" t="s">
        <v>97</v>
      </c>
      <c r="E765">
        <v>1</v>
      </c>
      <c r="F765" t="str">
        <f t="shared" si="13"/>
        <v>Nucleotide metabolism</v>
      </c>
    </row>
    <row r="766" spans="1:6" x14ac:dyDescent="0.45">
      <c r="A766" t="s">
        <v>38</v>
      </c>
      <c r="B766">
        <v>10</v>
      </c>
      <c r="C766">
        <v>1</v>
      </c>
      <c r="D766" t="s">
        <v>97</v>
      </c>
      <c r="E766">
        <v>1</v>
      </c>
      <c r="F766" t="str">
        <f t="shared" si="13"/>
        <v>Amino acid metabolism</v>
      </c>
    </row>
    <row r="767" spans="1:6" x14ac:dyDescent="0.45">
      <c r="A767" t="s">
        <v>47</v>
      </c>
      <c r="B767">
        <v>10</v>
      </c>
      <c r="C767">
        <v>1</v>
      </c>
      <c r="D767" t="s">
        <v>97</v>
      </c>
      <c r="E767">
        <v>1</v>
      </c>
      <c r="F767" t="str">
        <f t="shared" si="13"/>
        <v>Amino acid metabolism</v>
      </c>
    </row>
    <row r="768" spans="1:6" x14ac:dyDescent="0.45">
      <c r="A768" t="s">
        <v>34</v>
      </c>
      <c r="B768">
        <v>10</v>
      </c>
      <c r="C768">
        <v>1</v>
      </c>
      <c r="D768" t="s">
        <v>97</v>
      </c>
      <c r="E768">
        <v>1</v>
      </c>
      <c r="F768" t="str">
        <f t="shared" si="13"/>
        <v>Amino acid metabolism</v>
      </c>
    </row>
    <row r="769" spans="1:6" x14ac:dyDescent="0.45">
      <c r="A769" t="s">
        <v>55</v>
      </c>
      <c r="B769">
        <v>10</v>
      </c>
      <c r="C769">
        <v>1</v>
      </c>
      <c r="D769" t="s">
        <v>97</v>
      </c>
      <c r="E769">
        <v>1</v>
      </c>
      <c r="F769" t="str">
        <f t="shared" si="13"/>
        <v>Amino acid metabolism</v>
      </c>
    </row>
    <row r="770" spans="1:6" x14ac:dyDescent="0.45">
      <c r="A770" t="s">
        <v>69</v>
      </c>
      <c r="B770">
        <v>10</v>
      </c>
      <c r="C770">
        <v>1</v>
      </c>
      <c r="D770" t="s">
        <v>97</v>
      </c>
      <c r="E770">
        <v>1</v>
      </c>
      <c r="F770" t="str">
        <f t="shared" si="13"/>
        <v>Amino acid metabolism</v>
      </c>
    </row>
    <row r="771" spans="1:6" x14ac:dyDescent="0.45">
      <c r="A771" t="s">
        <v>70</v>
      </c>
      <c r="B771">
        <v>10</v>
      </c>
      <c r="C771">
        <v>1</v>
      </c>
      <c r="D771" t="s">
        <v>97</v>
      </c>
      <c r="E771">
        <v>1</v>
      </c>
      <c r="F771" t="str">
        <f t="shared" si="13"/>
        <v>Amino acid metabolism</v>
      </c>
    </row>
    <row r="772" spans="1:6" x14ac:dyDescent="0.45">
      <c r="A772" t="s">
        <v>56</v>
      </c>
      <c r="B772">
        <v>10</v>
      </c>
      <c r="C772">
        <v>1</v>
      </c>
      <c r="D772" t="s">
        <v>97</v>
      </c>
      <c r="E772">
        <v>1</v>
      </c>
      <c r="F772" t="str">
        <f t="shared" ref="F772:F793" si="14">_xlfn.XLOOKUP(A772,$I$2:$I$200,$J$2:$J$200)</f>
        <v>Amino acid metabolism</v>
      </c>
    </row>
    <row r="773" spans="1:6" x14ac:dyDescent="0.45">
      <c r="A773" t="s">
        <v>13</v>
      </c>
      <c r="B773">
        <v>10</v>
      </c>
      <c r="C773">
        <v>1</v>
      </c>
      <c r="D773" t="s">
        <v>97</v>
      </c>
      <c r="E773">
        <v>1</v>
      </c>
      <c r="F773" t="str">
        <f t="shared" si="14"/>
        <v>Glycan biosynthesis and metabolism</v>
      </c>
    </row>
    <row r="774" spans="1:6" x14ac:dyDescent="0.45">
      <c r="A774" t="s">
        <v>36</v>
      </c>
      <c r="B774">
        <v>10</v>
      </c>
      <c r="C774">
        <v>1</v>
      </c>
      <c r="D774" t="s">
        <v>97</v>
      </c>
      <c r="E774">
        <v>1</v>
      </c>
      <c r="F774" t="str">
        <f t="shared" si="14"/>
        <v>Carbohydrate metabolism</v>
      </c>
    </row>
    <row r="775" spans="1:6" x14ac:dyDescent="0.45">
      <c r="A775" t="s">
        <v>58</v>
      </c>
      <c r="B775">
        <v>10</v>
      </c>
      <c r="C775">
        <v>1</v>
      </c>
      <c r="D775" t="s">
        <v>97</v>
      </c>
      <c r="E775">
        <v>1</v>
      </c>
      <c r="F775" t="str">
        <f t="shared" si="14"/>
        <v>Carbohydrate metabolism</v>
      </c>
    </row>
    <row r="776" spans="1:6" x14ac:dyDescent="0.45">
      <c r="A776" t="s">
        <v>40</v>
      </c>
      <c r="B776">
        <v>10</v>
      </c>
      <c r="C776">
        <v>1</v>
      </c>
      <c r="D776" t="s">
        <v>97</v>
      </c>
      <c r="E776">
        <v>1</v>
      </c>
      <c r="F776" t="str">
        <f t="shared" si="14"/>
        <v>Carbohydrate metabolism</v>
      </c>
    </row>
    <row r="777" spans="1:6" x14ac:dyDescent="0.45">
      <c r="A777" t="s">
        <v>84</v>
      </c>
      <c r="B777">
        <v>10</v>
      </c>
      <c r="C777">
        <v>1</v>
      </c>
      <c r="D777" t="s">
        <v>97</v>
      </c>
      <c r="E777">
        <v>1</v>
      </c>
      <c r="F777" t="str">
        <f t="shared" si="14"/>
        <v>Carbohydrate metabolism</v>
      </c>
    </row>
    <row r="778" spans="1:6" x14ac:dyDescent="0.45">
      <c r="A778" t="s">
        <v>88</v>
      </c>
      <c r="B778">
        <v>10</v>
      </c>
      <c r="C778">
        <v>1</v>
      </c>
      <c r="D778" t="s">
        <v>97</v>
      </c>
      <c r="E778">
        <v>1</v>
      </c>
      <c r="F778" t="str">
        <f t="shared" si="14"/>
        <v>Metabolism of cofactors and vitamins</v>
      </c>
    </row>
    <row r="779" spans="1:6" x14ac:dyDescent="0.45">
      <c r="A779" t="s">
        <v>59</v>
      </c>
      <c r="B779">
        <v>10</v>
      </c>
      <c r="C779">
        <v>1</v>
      </c>
      <c r="D779" t="s">
        <v>97</v>
      </c>
      <c r="E779">
        <v>1</v>
      </c>
      <c r="F779" t="str">
        <f t="shared" si="14"/>
        <v>Metabolism of cofactors and vitamins</v>
      </c>
    </row>
    <row r="780" spans="1:6" x14ac:dyDescent="0.45">
      <c r="A780" t="s">
        <v>5</v>
      </c>
      <c r="B780">
        <v>10</v>
      </c>
      <c r="C780">
        <v>1</v>
      </c>
      <c r="D780" t="s">
        <v>97</v>
      </c>
      <c r="E780">
        <v>1</v>
      </c>
      <c r="F780" t="str">
        <f t="shared" si="14"/>
        <v>Metabolism of cofactors and vitamins</v>
      </c>
    </row>
    <row r="781" spans="1:6" x14ac:dyDescent="0.45">
      <c r="A781" t="s">
        <v>62</v>
      </c>
      <c r="B781">
        <v>10</v>
      </c>
      <c r="C781">
        <v>1</v>
      </c>
      <c r="D781" t="s">
        <v>97</v>
      </c>
      <c r="E781">
        <v>1</v>
      </c>
      <c r="F781" t="str">
        <f t="shared" si="14"/>
        <v>Genetic Information Processing</v>
      </c>
    </row>
    <row r="782" spans="1:6" x14ac:dyDescent="0.45">
      <c r="A782" t="s">
        <v>45</v>
      </c>
      <c r="B782">
        <v>10</v>
      </c>
      <c r="C782">
        <v>1</v>
      </c>
      <c r="D782" t="s">
        <v>97</v>
      </c>
      <c r="E782">
        <v>1</v>
      </c>
      <c r="F782" t="str">
        <f t="shared" si="14"/>
        <v>Amino acid metabolism</v>
      </c>
    </row>
    <row r="783" spans="1:6" x14ac:dyDescent="0.45">
      <c r="A783" t="s">
        <v>30</v>
      </c>
      <c r="B783">
        <v>10</v>
      </c>
      <c r="C783">
        <v>1</v>
      </c>
      <c r="D783" t="s">
        <v>97</v>
      </c>
      <c r="E783">
        <v>1</v>
      </c>
      <c r="F783" t="str">
        <f t="shared" si="14"/>
        <v>Degradation of aromatic compounds</v>
      </c>
    </row>
    <row r="784" spans="1:6" x14ac:dyDescent="0.45">
      <c r="A784" t="s">
        <v>22</v>
      </c>
      <c r="B784">
        <v>10</v>
      </c>
      <c r="C784">
        <v>1</v>
      </c>
      <c r="D784" t="s">
        <v>97</v>
      </c>
      <c r="E784">
        <v>1</v>
      </c>
      <c r="F784" t="str">
        <f t="shared" si="14"/>
        <v>Amino acid metabolism</v>
      </c>
    </row>
    <row r="785" spans="1:6" x14ac:dyDescent="0.45">
      <c r="A785" t="s">
        <v>23</v>
      </c>
      <c r="B785">
        <v>10</v>
      </c>
      <c r="C785">
        <v>1</v>
      </c>
      <c r="D785" t="s">
        <v>97</v>
      </c>
      <c r="E785">
        <v>1</v>
      </c>
      <c r="F785" t="str">
        <f t="shared" si="14"/>
        <v>Membrane transport</v>
      </c>
    </row>
    <row r="786" spans="1:6" x14ac:dyDescent="0.45">
      <c r="A786" t="s">
        <v>65</v>
      </c>
      <c r="B786">
        <v>10</v>
      </c>
      <c r="C786">
        <v>1</v>
      </c>
      <c r="D786" t="s">
        <v>97</v>
      </c>
      <c r="E786">
        <v>1</v>
      </c>
      <c r="F786" t="str">
        <f t="shared" si="14"/>
        <v>Amino acid metabolism</v>
      </c>
    </row>
    <row r="787" spans="1:6" x14ac:dyDescent="0.45">
      <c r="A787" t="s">
        <v>34</v>
      </c>
      <c r="B787">
        <v>10</v>
      </c>
      <c r="C787">
        <v>-1</v>
      </c>
      <c r="D787" t="s">
        <v>97</v>
      </c>
      <c r="E787">
        <v>1</v>
      </c>
      <c r="F787" t="str">
        <f t="shared" si="14"/>
        <v>Amino acid metabolism</v>
      </c>
    </row>
    <row r="788" spans="1:6" x14ac:dyDescent="0.45">
      <c r="A788" t="s">
        <v>55</v>
      </c>
      <c r="B788">
        <v>10</v>
      </c>
      <c r="C788">
        <v>-1</v>
      </c>
      <c r="D788" t="s">
        <v>97</v>
      </c>
      <c r="E788">
        <v>2</v>
      </c>
      <c r="F788" t="str">
        <f t="shared" si="14"/>
        <v>Amino acid metabolism</v>
      </c>
    </row>
    <row r="789" spans="1:6" x14ac:dyDescent="0.45">
      <c r="A789" t="s">
        <v>69</v>
      </c>
      <c r="B789">
        <v>10</v>
      </c>
      <c r="C789">
        <v>-1</v>
      </c>
      <c r="D789" t="s">
        <v>97</v>
      </c>
      <c r="E789">
        <v>1</v>
      </c>
      <c r="F789" t="str">
        <f t="shared" si="14"/>
        <v>Amino acid metabolism</v>
      </c>
    </row>
    <row r="790" spans="1:6" x14ac:dyDescent="0.45">
      <c r="A790" t="s">
        <v>86</v>
      </c>
      <c r="B790">
        <v>10</v>
      </c>
      <c r="C790">
        <v>-1</v>
      </c>
      <c r="D790" t="s">
        <v>97</v>
      </c>
      <c r="E790">
        <v>1</v>
      </c>
      <c r="F790" t="str">
        <f t="shared" si="14"/>
        <v>Lipid metabolism</v>
      </c>
    </row>
    <row r="791" spans="1:6" x14ac:dyDescent="0.45">
      <c r="A791" t="s">
        <v>58</v>
      </c>
      <c r="B791">
        <v>10</v>
      </c>
      <c r="C791">
        <v>-1</v>
      </c>
      <c r="D791" t="s">
        <v>97</v>
      </c>
      <c r="E791">
        <v>1</v>
      </c>
      <c r="F791" t="str">
        <f t="shared" si="14"/>
        <v>Carbohydrate metabolism</v>
      </c>
    </row>
    <row r="792" spans="1:6" x14ac:dyDescent="0.45">
      <c r="A792" t="s">
        <v>6</v>
      </c>
      <c r="B792">
        <v>10</v>
      </c>
      <c r="C792">
        <v>-1</v>
      </c>
      <c r="D792" t="s">
        <v>97</v>
      </c>
      <c r="E792">
        <v>1</v>
      </c>
      <c r="F792" t="str">
        <f t="shared" si="14"/>
        <v>Terpenoid metabolism</v>
      </c>
    </row>
    <row r="793" spans="1:6" x14ac:dyDescent="0.45">
      <c r="A793" t="s">
        <v>24</v>
      </c>
      <c r="B793">
        <v>10</v>
      </c>
      <c r="C793">
        <v>-1</v>
      </c>
      <c r="D793" t="s">
        <v>97</v>
      </c>
      <c r="E793">
        <v>1</v>
      </c>
      <c r="F793" t="str">
        <f t="shared" si="14"/>
        <v>Phenylpropanoid metabolism</v>
      </c>
    </row>
  </sheetData>
  <autoFilter ref="A2:F793" xr:uid="{575F0284-F0C7-4C24-A06F-A80FF9C8483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E63F-00B6-4041-913C-C0B2CC72E1A7}">
  <dimension ref="A1:AV105"/>
  <sheetViews>
    <sheetView topLeftCell="A43" zoomScale="46" zoomScaleNormal="91" workbookViewId="0">
      <selection activeCell="AM36" sqref="AM36"/>
    </sheetView>
  </sheetViews>
  <sheetFormatPr baseColWidth="10" defaultRowHeight="14.25" x14ac:dyDescent="0.45"/>
  <cols>
    <col min="1" max="1" width="69.59765625" bestFit="1" customWidth="1"/>
    <col min="2" max="2" width="20.06640625" bestFit="1" customWidth="1"/>
    <col min="3" max="3" width="2.73046875" bestFit="1" customWidth="1"/>
    <col min="4" max="4" width="6" bestFit="1" customWidth="1"/>
    <col min="5" max="5" width="3.33203125" bestFit="1" customWidth="1"/>
    <col min="6" max="6" width="2.73046875" bestFit="1" customWidth="1"/>
    <col min="7" max="7" width="6" bestFit="1" customWidth="1"/>
    <col min="8" max="8" width="3.73046875" bestFit="1" customWidth="1"/>
    <col min="9" max="9" width="2.73046875" bestFit="1" customWidth="1"/>
    <col min="10" max="10" width="6" bestFit="1" customWidth="1"/>
    <col min="11" max="11" width="3.33203125" bestFit="1" customWidth="1"/>
    <col min="12" max="12" width="2.73046875" bestFit="1" customWidth="1"/>
    <col min="13" max="13" width="6" bestFit="1" customWidth="1"/>
    <col min="14" max="14" width="3.73046875" bestFit="1" customWidth="1"/>
    <col min="15" max="15" width="2.73046875" bestFit="1" customWidth="1"/>
    <col min="16" max="16" width="6" bestFit="1" customWidth="1"/>
    <col min="17" max="17" width="3.33203125" bestFit="1" customWidth="1"/>
    <col min="18" max="18" width="2.73046875" bestFit="1" customWidth="1"/>
    <col min="19" max="19" width="6" bestFit="1" customWidth="1"/>
    <col min="20" max="20" width="3.73046875" bestFit="1" customWidth="1"/>
    <col min="21" max="21" width="2.73046875" bestFit="1" customWidth="1"/>
    <col min="22" max="22" width="6" bestFit="1" customWidth="1"/>
    <col min="23" max="23" width="3.33203125" bestFit="1" customWidth="1"/>
    <col min="24" max="24" width="2.73046875" bestFit="1" customWidth="1"/>
    <col min="25" max="25" width="6" bestFit="1" customWidth="1"/>
    <col min="26" max="26" width="3.33203125" bestFit="1" customWidth="1"/>
    <col min="27" max="27" width="1.73046875" bestFit="1" customWidth="1"/>
    <col min="28" max="28" width="6" bestFit="1" customWidth="1"/>
    <col min="29" max="29" width="4.33203125" bestFit="1" customWidth="1"/>
    <col min="30" max="30" width="2.73046875" bestFit="1" customWidth="1"/>
    <col min="31" max="31" width="7" bestFit="1" customWidth="1"/>
    <col min="32" max="32" width="11" bestFit="1" customWidth="1"/>
    <col min="38" max="38" width="42.1328125" bestFit="1" customWidth="1"/>
  </cols>
  <sheetData>
    <row r="1" spans="1:48" x14ac:dyDescent="0.45"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3" spans="1:48" x14ac:dyDescent="0.45">
      <c r="A3" s="1" t="s">
        <v>141</v>
      </c>
      <c r="B3" s="1" t="s">
        <v>107</v>
      </c>
      <c r="AG3" t="s">
        <v>153</v>
      </c>
    </row>
    <row r="4" spans="1:48" x14ac:dyDescent="0.45">
      <c r="B4">
        <v>1</v>
      </c>
      <c r="D4" t="s">
        <v>142</v>
      </c>
      <c r="E4">
        <v>2</v>
      </c>
      <c r="G4" t="s">
        <v>143</v>
      </c>
      <c r="H4">
        <v>3</v>
      </c>
      <c r="J4" t="s">
        <v>144</v>
      </c>
      <c r="K4">
        <v>4</v>
      </c>
      <c r="M4" t="s">
        <v>145</v>
      </c>
      <c r="N4">
        <v>5</v>
      </c>
      <c r="P4" t="s">
        <v>146</v>
      </c>
      <c r="Q4">
        <v>6</v>
      </c>
      <c r="S4" t="s">
        <v>147</v>
      </c>
      <c r="T4">
        <v>7</v>
      </c>
      <c r="V4" t="s">
        <v>148</v>
      </c>
      <c r="W4">
        <v>8</v>
      </c>
      <c r="Y4" t="s">
        <v>149</v>
      </c>
      <c r="Z4">
        <v>9</v>
      </c>
      <c r="AB4" t="s">
        <v>150</v>
      </c>
      <c r="AC4">
        <v>10</v>
      </c>
      <c r="AE4" t="s">
        <v>151</v>
      </c>
      <c r="AF4" t="s">
        <v>106</v>
      </c>
    </row>
    <row r="5" spans="1:48" x14ac:dyDescent="0.45">
      <c r="A5" s="1" t="s">
        <v>105</v>
      </c>
      <c r="B5">
        <v>-1</v>
      </c>
      <c r="C5">
        <v>1</v>
      </c>
      <c r="E5">
        <v>-1</v>
      </c>
      <c r="F5">
        <v>1</v>
      </c>
      <c r="H5">
        <v>-1</v>
      </c>
      <c r="I5">
        <v>1</v>
      </c>
      <c r="K5">
        <v>-1</v>
      </c>
      <c r="L5">
        <v>1</v>
      </c>
      <c r="N5">
        <v>-1</v>
      </c>
      <c r="O5">
        <v>1</v>
      </c>
      <c r="Q5">
        <v>-1</v>
      </c>
      <c r="R5">
        <v>1</v>
      </c>
      <c r="T5">
        <v>-1</v>
      </c>
      <c r="U5">
        <v>1</v>
      </c>
      <c r="W5">
        <v>-1</v>
      </c>
      <c r="X5">
        <v>1</v>
      </c>
      <c r="Z5">
        <v>-1</v>
      </c>
      <c r="AA5">
        <v>1</v>
      </c>
      <c r="AC5">
        <v>-1</v>
      </c>
      <c r="AD5">
        <v>1</v>
      </c>
    </row>
    <row r="6" spans="1:48" x14ac:dyDescent="0.45">
      <c r="A6" s="2" t="s">
        <v>45</v>
      </c>
      <c r="B6">
        <v>2</v>
      </c>
      <c r="D6">
        <v>2</v>
      </c>
      <c r="E6">
        <v>3</v>
      </c>
      <c r="G6">
        <v>3</v>
      </c>
      <c r="H6">
        <v>8</v>
      </c>
      <c r="I6">
        <v>4</v>
      </c>
      <c r="J6">
        <v>12</v>
      </c>
      <c r="K6">
        <v>2</v>
      </c>
      <c r="L6">
        <v>3</v>
      </c>
      <c r="M6">
        <v>5</v>
      </c>
      <c r="N6">
        <v>10</v>
      </c>
      <c r="O6">
        <v>1</v>
      </c>
      <c r="P6">
        <v>11</v>
      </c>
      <c r="Q6">
        <v>1</v>
      </c>
      <c r="R6">
        <v>3</v>
      </c>
      <c r="S6">
        <v>4</v>
      </c>
      <c r="T6">
        <v>11</v>
      </c>
      <c r="V6">
        <v>11</v>
      </c>
      <c r="X6">
        <v>1</v>
      </c>
      <c r="Y6">
        <v>1</v>
      </c>
      <c r="Z6">
        <v>4</v>
      </c>
      <c r="AB6">
        <v>4</v>
      </c>
      <c r="AC6">
        <v>12</v>
      </c>
      <c r="AD6">
        <v>2</v>
      </c>
      <c r="AE6">
        <v>14</v>
      </c>
      <c r="AF6">
        <v>67</v>
      </c>
      <c r="AG6" t="s">
        <v>119</v>
      </c>
    </row>
    <row r="7" spans="1:48" x14ac:dyDescent="0.45">
      <c r="A7" s="2" t="s">
        <v>23</v>
      </c>
      <c r="B7">
        <v>1</v>
      </c>
      <c r="C7">
        <v>2</v>
      </c>
      <c r="D7">
        <v>3</v>
      </c>
      <c r="E7">
        <v>1</v>
      </c>
      <c r="G7">
        <v>1</v>
      </c>
      <c r="H7">
        <v>1</v>
      </c>
      <c r="I7">
        <v>2</v>
      </c>
      <c r="J7">
        <v>3</v>
      </c>
      <c r="K7">
        <v>2</v>
      </c>
      <c r="M7">
        <v>2</v>
      </c>
      <c r="N7">
        <v>11</v>
      </c>
      <c r="O7">
        <v>1</v>
      </c>
      <c r="P7">
        <v>12</v>
      </c>
      <c r="Q7">
        <v>1</v>
      </c>
      <c r="S7">
        <v>1</v>
      </c>
      <c r="T7">
        <v>2</v>
      </c>
      <c r="U7">
        <v>1</v>
      </c>
      <c r="V7">
        <v>3</v>
      </c>
      <c r="W7">
        <v>1</v>
      </c>
      <c r="X7">
        <v>2</v>
      </c>
      <c r="Y7">
        <v>3</v>
      </c>
      <c r="AC7">
        <v>1</v>
      </c>
      <c r="AD7">
        <v>3</v>
      </c>
      <c r="AE7">
        <v>4</v>
      </c>
      <c r="AF7">
        <v>32</v>
      </c>
      <c r="AG7" t="s">
        <v>120</v>
      </c>
    </row>
    <row r="8" spans="1:48" x14ac:dyDescent="0.45">
      <c r="A8" s="2" t="s">
        <v>38</v>
      </c>
      <c r="E8">
        <v>1</v>
      </c>
      <c r="G8">
        <v>1</v>
      </c>
      <c r="N8">
        <v>3</v>
      </c>
      <c r="P8">
        <v>3</v>
      </c>
      <c r="R8">
        <v>1</v>
      </c>
      <c r="S8">
        <v>1</v>
      </c>
      <c r="T8">
        <v>1</v>
      </c>
      <c r="V8">
        <v>1</v>
      </c>
      <c r="AC8">
        <v>1</v>
      </c>
      <c r="AD8">
        <v>1</v>
      </c>
      <c r="AE8">
        <v>2</v>
      </c>
      <c r="AF8">
        <v>8</v>
      </c>
      <c r="AG8" t="s">
        <v>121</v>
      </c>
    </row>
    <row r="9" spans="1:48" x14ac:dyDescent="0.45">
      <c r="A9" s="2" t="s">
        <v>78</v>
      </c>
      <c r="H9">
        <v>3</v>
      </c>
      <c r="J9">
        <v>3</v>
      </c>
      <c r="K9">
        <v>4</v>
      </c>
      <c r="M9">
        <v>4</v>
      </c>
      <c r="N9">
        <v>13</v>
      </c>
      <c r="P9">
        <v>13</v>
      </c>
      <c r="Q9">
        <v>7</v>
      </c>
      <c r="S9">
        <v>7</v>
      </c>
      <c r="U9">
        <v>1</v>
      </c>
      <c r="V9">
        <v>1</v>
      </c>
      <c r="X9">
        <v>4</v>
      </c>
      <c r="Y9">
        <v>4</v>
      </c>
      <c r="AF9">
        <v>32</v>
      </c>
      <c r="AG9" t="s">
        <v>137</v>
      </c>
    </row>
    <row r="10" spans="1:48" x14ac:dyDescent="0.45">
      <c r="A10" s="2" t="s">
        <v>73</v>
      </c>
      <c r="H10">
        <v>1</v>
      </c>
      <c r="J10">
        <v>1</v>
      </c>
      <c r="K10">
        <v>2</v>
      </c>
      <c r="M10">
        <v>2</v>
      </c>
      <c r="N10">
        <v>4</v>
      </c>
      <c r="P10">
        <v>4</v>
      </c>
      <c r="W10">
        <v>2</v>
      </c>
      <c r="Y10">
        <v>2</v>
      </c>
      <c r="Z10">
        <v>2</v>
      </c>
      <c r="AB10">
        <v>2</v>
      </c>
      <c r="AF10">
        <v>11</v>
      </c>
      <c r="AG10" t="s">
        <v>122</v>
      </c>
    </row>
    <row r="11" spans="1:48" x14ac:dyDescent="0.45">
      <c r="A11" s="2" t="s">
        <v>65</v>
      </c>
      <c r="I11">
        <v>1</v>
      </c>
      <c r="J11">
        <v>1</v>
      </c>
      <c r="K11">
        <v>1</v>
      </c>
      <c r="L11">
        <v>1</v>
      </c>
      <c r="M11">
        <v>2</v>
      </c>
      <c r="N11">
        <v>3</v>
      </c>
      <c r="P11">
        <v>3</v>
      </c>
      <c r="T11">
        <v>1</v>
      </c>
      <c r="U11">
        <v>1</v>
      </c>
      <c r="V11">
        <v>2</v>
      </c>
      <c r="AC11">
        <v>2</v>
      </c>
      <c r="AD11">
        <v>2</v>
      </c>
      <c r="AE11">
        <v>4</v>
      </c>
      <c r="AF11">
        <v>12</v>
      </c>
      <c r="AG11" t="s">
        <v>119</v>
      </c>
    </row>
    <row r="12" spans="1:48" x14ac:dyDescent="0.45">
      <c r="A12" s="2" t="s">
        <v>13</v>
      </c>
      <c r="C12">
        <v>1</v>
      </c>
      <c r="D12">
        <v>1</v>
      </c>
      <c r="I12">
        <v>2</v>
      </c>
      <c r="J12">
        <v>2</v>
      </c>
      <c r="L12">
        <v>1</v>
      </c>
      <c r="M12">
        <v>1</v>
      </c>
      <c r="N12">
        <v>6</v>
      </c>
      <c r="P12">
        <v>6</v>
      </c>
      <c r="Q12">
        <v>1</v>
      </c>
      <c r="S12">
        <v>1</v>
      </c>
      <c r="X12">
        <v>2</v>
      </c>
      <c r="Y12">
        <v>2</v>
      </c>
      <c r="Z12">
        <v>1</v>
      </c>
      <c r="AB12">
        <v>1</v>
      </c>
      <c r="AC12">
        <v>6</v>
      </c>
      <c r="AD12">
        <v>1</v>
      </c>
      <c r="AE12">
        <v>7</v>
      </c>
      <c r="AF12">
        <v>21</v>
      </c>
      <c r="AG12" t="s">
        <v>123</v>
      </c>
    </row>
    <row r="13" spans="1:48" x14ac:dyDescent="0.45">
      <c r="A13" s="2" t="s">
        <v>62</v>
      </c>
      <c r="I13">
        <v>1</v>
      </c>
      <c r="J13">
        <v>1</v>
      </c>
      <c r="K13">
        <v>1</v>
      </c>
      <c r="L13">
        <v>1</v>
      </c>
      <c r="M13">
        <v>2</v>
      </c>
      <c r="N13">
        <v>3</v>
      </c>
      <c r="P13">
        <v>3</v>
      </c>
      <c r="T13">
        <v>1</v>
      </c>
      <c r="U13">
        <v>1</v>
      </c>
      <c r="V13">
        <v>2</v>
      </c>
      <c r="AC13">
        <v>2</v>
      </c>
      <c r="AD13">
        <v>2</v>
      </c>
      <c r="AE13">
        <v>4</v>
      </c>
      <c r="AF13">
        <v>12</v>
      </c>
      <c r="AG13" t="s">
        <v>124</v>
      </c>
    </row>
    <row r="14" spans="1:48" x14ac:dyDescent="0.45">
      <c r="A14" s="2" t="s">
        <v>19</v>
      </c>
      <c r="C14">
        <v>2</v>
      </c>
      <c r="D14">
        <v>2</v>
      </c>
      <c r="H14">
        <v>11</v>
      </c>
      <c r="J14">
        <v>11</v>
      </c>
      <c r="K14">
        <v>2</v>
      </c>
      <c r="M14">
        <v>2</v>
      </c>
      <c r="N14">
        <v>3</v>
      </c>
      <c r="O14">
        <v>1</v>
      </c>
      <c r="P14">
        <v>4</v>
      </c>
      <c r="Q14">
        <v>1</v>
      </c>
      <c r="R14">
        <v>1</v>
      </c>
      <c r="S14">
        <v>2</v>
      </c>
      <c r="T14">
        <v>12</v>
      </c>
      <c r="V14">
        <v>12</v>
      </c>
      <c r="W14">
        <v>2</v>
      </c>
      <c r="X14">
        <v>2</v>
      </c>
      <c r="Y14">
        <v>4</v>
      </c>
      <c r="AC14">
        <v>8</v>
      </c>
      <c r="AD14">
        <v>1</v>
      </c>
      <c r="AE14">
        <v>9</v>
      </c>
      <c r="AF14">
        <v>46</v>
      </c>
      <c r="AG14" t="s">
        <v>135</v>
      </c>
    </row>
    <row r="15" spans="1:48" x14ac:dyDescent="0.45">
      <c r="A15" s="2" t="s">
        <v>71</v>
      </c>
      <c r="E15">
        <v>2</v>
      </c>
      <c r="G15">
        <v>2</v>
      </c>
      <c r="H15">
        <v>4</v>
      </c>
      <c r="J15">
        <v>4</v>
      </c>
      <c r="AF15">
        <v>6</v>
      </c>
      <c r="AG15" t="s">
        <v>122</v>
      </c>
    </row>
    <row r="16" spans="1:48" x14ac:dyDescent="0.45">
      <c r="A16" s="2" t="s">
        <v>54</v>
      </c>
      <c r="B16">
        <v>1</v>
      </c>
      <c r="D16">
        <v>1</v>
      </c>
      <c r="E16">
        <v>1</v>
      </c>
      <c r="G16">
        <v>1</v>
      </c>
      <c r="H16">
        <v>2</v>
      </c>
      <c r="I16">
        <v>3</v>
      </c>
      <c r="J16">
        <v>5</v>
      </c>
      <c r="N16">
        <v>2</v>
      </c>
      <c r="P16">
        <v>2</v>
      </c>
      <c r="R16">
        <v>4</v>
      </c>
      <c r="S16">
        <v>4</v>
      </c>
      <c r="U16">
        <v>1</v>
      </c>
      <c r="V16">
        <v>1</v>
      </c>
      <c r="AC16">
        <v>3</v>
      </c>
      <c r="AD16">
        <v>2</v>
      </c>
      <c r="AE16">
        <v>5</v>
      </c>
      <c r="AF16">
        <v>19</v>
      </c>
      <c r="AG16" t="s">
        <v>119</v>
      </c>
    </row>
    <row r="17" spans="1:48" x14ac:dyDescent="0.45">
      <c r="A17" s="2" t="s">
        <v>10</v>
      </c>
      <c r="C17">
        <v>1</v>
      </c>
      <c r="D17">
        <v>1</v>
      </c>
      <c r="H17">
        <v>1</v>
      </c>
      <c r="J17">
        <v>1</v>
      </c>
      <c r="K17">
        <v>1</v>
      </c>
      <c r="L17">
        <v>1</v>
      </c>
      <c r="M17">
        <v>2</v>
      </c>
      <c r="N17">
        <v>6</v>
      </c>
      <c r="P17">
        <v>6</v>
      </c>
      <c r="Q17">
        <v>1</v>
      </c>
      <c r="R17">
        <v>1</v>
      </c>
      <c r="S17">
        <v>2</v>
      </c>
      <c r="T17">
        <v>4</v>
      </c>
      <c r="V17">
        <v>4</v>
      </c>
      <c r="Z17">
        <v>1</v>
      </c>
      <c r="AB17">
        <v>1</v>
      </c>
      <c r="AC17">
        <v>7</v>
      </c>
      <c r="AE17">
        <v>7</v>
      </c>
      <c r="AF17">
        <v>24</v>
      </c>
      <c r="AG17" t="s">
        <v>125</v>
      </c>
    </row>
    <row r="18" spans="1:48" x14ac:dyDescent="0.45">
      <c r="A18" s="2" t="s">
        <v>70</v>
      </c>
      <c r="H18">
        <v>1</v>
      </c>
      <c r="J18">
        <v>1</v>
      </c>
      <c r="K18">
        <v>2</v>
      </c>
      <c r="M18">
        <v>2</v>
      </c>
      <c r="N18">
        <v>1</v>
      </c>
      <c r="P18">
        <v>1</v>
      </c>
      <c r="Q18">
        <v>1</v>
      </c>
      <c r="S18">
        <v>1</v>
      </c>
      <c r="T18">
        <v>1</v>
      </c>
      <c r="V18">
        <v>1</v>
      </c>
      <c r="AC18">
        <v>2</v>
      </c>
      <c r="AD18">
        <v>1</v>
      </c>
      <c r="AE18">
        <v>3</v>
      </c>
      <c r="AF18">
        <v>9</v>
      </c>
      <c r="AG18" t="s">
        <v>119</v>
      </c>
    </row>
    <row r="19" spans="1:48" x14ac:dyDescent="0.45">
      <c r="A19" s="2" t="s">
        <v>22</v>
      </c>
      <c r="B19">
        <v>3</v>
      </c>
      <c r="C19">
        <v>2</v>
      </c>
      <c r="D19">
        <v>5</v>
      </c>
      <c r="E19">
        <v>1</v>
      </c>
      <c r="F19">
        <v>2</v>
      </c>
      <c r="G19">
        <v>3</v>
      </c>
      <c r="H19">
        <v>6</v>
      </c>
      <c r="I19">
        <v>9</v>
      </c>
      <c r="J19">
        <v>15</v>
      </c>
      <c r="K19">
        <v>1</v>
      </c>
      <c r="L19">
        <v>2</v>
      </c>
      <c r="M19">
        <v>3</v>
      </c>
      <c r="N19">
        <v>9</v>
      </c>
      <c r="O19">
        <v>1</v>
      </c>
      <c r="P19">
        <v>10</v>
      </c>
      <c r="Q19">
        <v>1</v>
      </c>
      <c r="R19">
        <v>1</v>
      </c>
      <c r="S19">
        <v>2</v>
      </c>
      <c r="T19">
        <v>4</v>
      </c>
      <c r="U19">
        <v>2</v>
      </c>
      <c r="V19">
        <v>6</v>
      </c>
      <c r="X19">
        <v>1</v>
      </c>
      <c r="Y19">
        <v>1</v>
      </c>
      <c r="AC19">
        <v>9</v>
      </c>
      <c r="AD19">
        <v>3</v>
      </c>
      <c r="AE19">
        <v>12</v>
      </c>
      <c r="AF19">
        <v>57</v>
      </c>
      <c r="AG19" t="s">
        <v>119</v>
      </c>
    </row>
    <row r="20" spans="1:48" x14ac:dyDescent="0.45">
      <c r="A20" s="2" t="s">
        <v>81</v>
      </c>
      <c r="K20">
        <v>1</v>
      </c>
      <c r="M20">
        <v>1</v>
      </c>
      <c r="N20">
        <v>2</v>
      </c>
      <c r="P20">
        <v>2</v>
      </c>
      <c r="R20">
        <v>1</v>
      </c>
      <c r="S20">
        <v>1</v>
      </c>
      <c r="W20">
        <v>1</v>
      </c>
      <c r="Y20">
        <v>1</v>
      </c>
      <c r="AA20">
        <v>1</v>
      </c>
      <c r="AB20">
        <v>1</v>
      </c>
      <c r="AF20">
        <v>6</v>
      </c>
      <c r="AG20" t="s">
        <v>122</v>
      </c>
    </row>
    <row r="21" spans="1:48" x14ac:dyDescent="0.45">
      <c r="A21" s="2" t="s">
        <v>74</v>
      </c>
      <c r="H21">
        <v>1</v>
      </c>
      <c r="I21">
        <v>1</v>
      </c>
      <c r="J21">
        <v>2</v>
      </c>
      <c r="N21">
        <v>5</v>
      </c>
      <c r="P21">
        <v>5</v>
      </c>
      <c r="Q21">
        <v>1</v>
      </c>
      <c r="R21">
        <v>2</v>
      </c>
      <c r="S21">
        <v>3</v>
      </c>
      <c r="T21">
        <v>3</v>
      </c>
      <c r="V21">
        <v>3</v>
      </c>
      <c r="W21">
        <v>1</v>
      </c>
      <c r="Y21">
        <v>1</v>
      </c>
      <c r="Z21">
        <v>1</v>
      </c>
      <c r="AB21">
        <v>1</v>
      </c>
      <c r="AC21">
        <v>1</v>
      </c>
      <c r="AE21">
        <v>1</v>
      </c>
      <c r="AF21">
        <v>16</v>
      </c>
      <c r="AG21" t="s">
        <v>126</v>
      </c>
    </row>
    <row r="22" spans="1:48" x14ac:dyDescent="0.45">
      <c r="A22" s="2" t="s">
        <v>103</v>
      </c>
      <c r="X22">
        <v>2</v>
      </c>
      <c r="Y22">
        <v>2</v>
      </c>
      <c r="AF22">
        <v>2</v>
      </c>
      <c r="AG22" t="s">
        <v>128</v>
      </c>
    </row>
    <row r="23" spans="1:48" x14ac:dyDescent="0.45">
      <c r="A23" s="2" t="s">
        <v>40</v>
      </c>
      <c r="E23">
        <v>1</v>
      </c>
      <c r="G23">
        <v>1</v>
      </c>
      <c r="N23">
        <v>7</v>
      </c>
      <c r="P23">
        <v>7</v>
      </c>
      <c r="R23">
        <v>1</v>
      </c>
      <c r="S23">
        <v>1</v>
      </c>
      <c r="T23">
        <v>3</v>
      </c>
      <c r="U23">
        <v>1</v>
      </c>
      <c r="V23">
        <v>4</v>
      </c>
      <c r="W23">
        <v>1</v>
      </c>
      <c r="X23">
        <v>1</v>
      </c>
      <c r="Y23">
        <v>2</v>
      </c>
      <c r="AC23">
        <v>7</v>
      </c>
      <c r="AD23">
        <v>1</v>
      </c>
      <c r="AE23">
        <v>8</v>
      </c>
      <c r="AF23">
        <v>23</v>
      </c>
      <c r="AG23" t="s">
        <v>125</v>
      </c>
    </row>
    <row r="24" spans="1:48" x14ac:dyDescent="0.45">
      <c r="A24" s="2" t="s">
        <v>84</v>
      </c>
      <c r="B24">
        <v>1</v>
      </c>
      <c r="D24">
        <v>1</v>
      </c>
      <c r="N24">
        <v>5</v>
      </c>
      <c r="P24">
        <v>5</v>
      </c>
      <c r="R24">
        <v>1</v>
      </c>
      <c r="S24">
        <v>1</v>
      </c>
      <c r="Z24">
        <v>1</v>
      </c>
      <c r="AB24">
        <v>1</v>
      </c>
      <c r="AC24">
        <v>1</v>
      </c>
      <c r="AD24">
        <v>1</v>
      </c>
      <c r="AE24">
        <v>2</v>
      </c>
      <c r="AF24">
        <v>10</v>
      </c>
      <c r="AG24" t="s">
        <v>125</v>
      </c>
    </row>
    <row r="25" spans="1:48" x14ac:dyDescent="0.45">
      <c r="A25" s="2" t="s">
        <v>90</v>
      </c>
      <c r="N25">
        <v>1</v>
      </c>
      <c r="P25">
        <v>1</v>
      </c>
      <c r="W25">
        <v>1</v>
      </c>
      <c r="Y25">
        <v>1</v>
      </c>
      <c r="AC25">
        <v>2</v>
      </c>
      <c r="AE25">
        <v>2</v>
      </c>
      <c r="AF25">
        <v>4</v>
      </c>
      <c r="AG25" t="s">
        <v>154</v>
      </c>
    </row>
    <row r="26" spans="1:48" x14ac:dyDescent="0.45">
      <c r="A26" s="2" t="s">
        <v>15</v>
      </c>
      <c r="B26">
        <v>1</v>
      </c>
      <c r="C26">
        <v>1</v>
      </c>
      <c r="D26">
        <v>2</v>
      </c>
      <c r="F26">
        <v>1</v>
      </c>
      <c r="G26">
        <v>1</v>
      </c>
      <c r="H26">
        <v>1</v>
      </c>
      <c r="I26">
        <v>1</v>
      </c>
      <c r="J26">
        <v>2</v>
      </c>
      <c r="T26">
        <v>1</v>
      </c>
      <c r="V26">
        <v>1</v>
      </c>
      <c r="AC26">
        <v>2</v>
      </c>
      <c r="AE26">
        <v>2</v>
      </c>
      <c r="AF26">
        <v>8</v>
      </c>
      <c r="AG26" t="s">
        <v>138</v>
      </c>
    </row>
    <row r="27" spans="1:48" x14ac:dyDescent="0.45">
      <c r="A27" s="2" t="s">
        <v>21</v>
      </c>
      <c r="B27">
        <v>1</v>
      </c>
      <c r="C27">
        <v>1</v>
      </c>
      <c r="D27">
        <v>2</v>
      </c>
      <c r="F27">
        <v>1</v>
      </c>
      <c r="G27">
        <v>1</v>
      </c>
      <c r="H27">
        <v>2</v>
      </c>
      <c r="I27">
        <v>2</v>
      </c>
      <c r="J27">
        <v>4</v>
      </c>
      <c r="K27">
        <v>1</v>
      </c>
      <c r="M27">
        <v>1</v>
      </c>
      <c r="N27">
        <v>3</v>
      </c>
      <c r="P27">
        <v>3</v>
      </c>
      <c r="R27">
        <v>1</v>
      </c>
      <c r="S27">
        <v>1</v>
      </c>
      <c r="T27">
        <v>4</v>
      </c>
      <c r="V27">
        <v>4</v>
      </c>
      <c r="Z27">
        <v>1</v>
      </c>
      <c r="AB27">
        <v>1</v>
      </c>
      <c r="AC27">
        <v>6</v>
      </c>
      <c r="AE27">
        <v>6</v>
      </c>
      <c r="AF27">
        <v>23</v>
      </c>
      <c r="AG27" t="s">
        <v>127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 spans="1:48" x14ac:dyDescent="0.45">
      <c r="A28" s="2" t="s">
        <v>85</v>
      </c>
      <c r="F28">
        <v>1</v>
      </c>
      <c r="G28">
        <v>1</v>
      </c>
      <c r="H28">
        <v>1</v>
      </c>
      <c r="J28">
        <v>1</v>
      </c>
      <c r="N28">
        <v>7</v>
      </c>
      <c r="P28">
        <v>7</v>
      </c>
      <c r="T28">
        <v>1</v>
      </c>
      <c r="V28">
        <v>1</v>
      </c>
      <c r="Z28">
        <v>2</v>
      </c>
      <c r="AB28">
        <v>2</v>
      </c>
      <c r="AF28">
        <v>12</v>
      </c>
      <c r="AG28" t="s">
        <v>136</v>
      </c>
    </row>
    <row r="29" spans="1:48" x14ac:dyDescent="0.45">
      <c r="A29" s="2" t="s">
        <v>31</v>
      </c>
      <c r="B29">
        <v>1</v>
      </c>
      <c r="D29">
        <v>1</v>
      </c>
      <c r="E29">
        <v>1</v>
      </c>
      <c r="F29">
        <v>1</v>
      </c>
      <c r="G29">
        <v>2</v>
      </c>
      <c r="H29">
        <v>1</v>
      </c>
      <c r="J29">
        <v>1</v>
      </c>
      <c r="N29">
        <v>4</v>
      </c>
      <c r="P29">
        <v>4</v>
      </c>
      <c r="R29">
        <v>1</v>
      </c>
      <c r="S29">
        <v>1</v>
      </c>
      <c r="T29">
        <v>4</v>
      </c>
      <c r="U29">
        <v>1</v>
      </c>
      <c r="V29">
        <v>5</v>
      </c>
      <c r="X29">
        <v>1</v>
      </c>
      <c r="Y29">
        <v>1</v>
      </c>
      <c r="Z29">
        <v>1</v>
      </c>
      <c r="AB29">
        <v>1</v>
      </c>
      <c r="AC29">
        <v>5</v>
      </c>
      <c r="AE29">
        <v>5</v>
      </c>
      <c r="AF29">
        <v>21</v>
      </c>
      <c r="AG29" t="s">
        <v>138</v>
      </c>
    </row>
    <row r="30" spans="1:48" x14ac:dyDescent="0.45">
      <c r="A30" s="2" t="s">
        <v>32</v>
      </c>
      <c r="F30">
        <v>1</v>
      </c>
      <c r="G30">
        <v>1</v>
      </c>
      <c r="H30">
        <v>1</v>
      </c>
      <c r="J30">
        <v>1</v>
      </c>
      <c r="L30">
        <v>1</v>
      </c>
      <c r="M30">
        <v>1</v>
      </c>
      <c r="N30">
        <v>10</v>
      </c>
      <c r="P30">
        <v>10</v>
      </c>
      <c r="R30">
        <v>3</v>
      </c>
      <c r="S30">
        <v>3</v>
      </c>
      <c r="AA30">
        <v>1</v>
      </c>
      <c r="AB30">
        <v>1</v>
      </c>
      <c r="AC30">
        <v>1</v>
      </c>
      <c r="AD30">
        <v>1</v>
      </c>
      <c r="AE30">
        <v>2</v>
      </c>
      <c r="AF30">
        <v>19</v>
      </c>
      <c r="AG30" t="s">
        <v>122</v>
      </c>
    </row>
    <row r="31" spans="1:48" x14ac:dyDescent="0.45">
      <c r="A31" s="2" t="s">
        <v>56</v>
      </c>
      <c r="I31">
        <v>1</v>
      </c>
      <c r="J31">
        <v>1</v>
      </c>
      <c r="N31">
        <v>2</v>
      </c>
      <c r="P31">
        <v>2</v>
      </c>
      <c r="Z31">
        <v>1</v>
      </c>
      <c r="AB31">
        <v>1</v>
      </c>
      <c r="AD31">
        <v>2</v>
      </c>
      <c r="AE31">
        <v>2</v>
      </c>
      <c r="AF31">
        <v>6</v>
      </c>
      <c r="AG31" t="s">
        <v>119</v>
      </c>
    </row>
    <row r="32" spans="1:48" x14ac:dyDescent="0.45">
      <c r="A32" s="2" t="s">
        <v>33</v>
      </c>
      <c r="B32">
        <v>2</v>
      </c>
      <c r="D32">
        <v>2</v>
      </c>
      <c r="F32">
        <v>1</v>
      </c>
      <c r="G32">
        <v>1</v>
      </c>
      <c r="H32">
        <v>6</v>
      </c>
      <c r="I32">
        <v>3</v>
      </c>
      <c r="J32">
        <v>9</v>
      </c>
      <c r="K32">
        <v>2</v>
      </c>
      <c r="M32">
        <v>2</v>
      </c>
      <c r="N32">
        <v>2</v>
      </c>
      <c r="O32">
        <v>2</v>
      </c>
      <c r="P32">
        <v>4</v>
      </c>
      <c r="R32">
        <v>1</v>
      </c>
      <c r="S32">
        <v>1</v>
      </c>
      <c r="T32">
        <v>1</v>
      </c>
      <c r="V32">
        <v>1</v>
      </c>
      <c r="AC32">
        <v>3</v>
      </c>
      <c r="AD32">
        <v>1</v>
      </c>
      <c r="AE32">
        <v>4</v>
      </c>
      <c r="AF32">
        <v>24</v>
      </c>
      <c r="AG32" t="s">
        <v>119</v>
      </c>
    </row>
    <row r="33" spans="1:33" x14ac:dyDescent="0.45">
      <c r="A33" s="2" t="s">
        <v>64</v>
      </c>
      <c r="H33">
        <v>1</v>
      </c>
      <c r="I33">
        <v>3</v>
      </c>
      <c r="J33">
        <v>4</v>
      </c>
      <c r="N33">
        <v>2</v>
      </c>
      <c r="P33">
        <v>2</v>
      </c>
      <c r="AF33">
        <v>6</v>
      </c>
    </row>
    <row r="34" spans="1:33" x14ac:dyDescent="0.45">
      <c r="A34" s="2" t="s">
        <v>49</v>
      </c>
      <c r="I34">
        <v>2</v>
      </c>
      <c r="J34">
        <v>2</v>
      </c>
      <c r="L34">
        <v>1</v>
      </c>
      <c r="M34">
        <v>1</v>
      </c>
      <c r="AF34">
        <v>3</v>
      </c>
    </row>
    <row r="35" spans="1:33" x14ac:dyDescent="0.45">
      <c r="A35" s="2" t="s">
        <v>30</v>
      </c>
      <c r="B35">
        <v>2</v>
      </c>
      <c r="D35">
        <v>2</v>
      </c>
      <c r="F35">
        <v>2</v>
      </c>
      <c r="G35">
        <v>2</v>
      </c>
      <c r="H35">
        <v>6</v>
      </c>
      <c r="I35">
        <v>5</v>
      </c>
      <c r="J35">
        <v>11</v>
      </c>
      <c r="K35">
        <v>3</v>
      </c>
      <c r="L35">
        <v>2</v>
      </c>
      <c r="M35">
        <v>5</v>
      </c>
      <c r="N35">
        <v>14</v>
      </c>
      <c r="O35">
        <v>1</v>
      </c>
      <c r="P35">
        <v>15</v>
      </c>
      <c r="Q35">
        <v>5</v>
      </c>
      <c r="R35">
        <v>3</v>
      </c>
      <c r="S35">
        <v>8</v>
      </c>
      <c r="T35">
        <v>5</v>
      </c>
      <c r="U35">
        <v>1</v>
      </c>
      <c r="V35">
        <v>6</v>
      </c>
      <c r="W35">
        <v>1</v>
      </c>
      <c r="X35">
        <v>2</v>
      </c>
      <c r="Y35">
        <v>3</v>
      </c>
      <c r="AC35">
        <v>11</v>
      </c>
      <c r="AD35">
        <v>2</v>
      </c>
      <c r="AE35">
        <v>13</v>
      </c>
      <c r="AF35">
        <v>65</v>
      </c>
      <c r="AG35" t="s">
        <v>129</v>
      </c>
    </row>
    <row r="36" spans="1:33" x14ac:dyDescent="0.45">
      <c r="A36" s="2" t="s">
        <v>68</v>
      </c>
      <c r="H36">
        <v>2</v>
      </c>
      <c r="J36">
        <v>2</v>
      </c>
      <c r="K36">
        <v>2</v>
      </c>
      <c r="M36">
        <v>2</v>
      </c>
      <c r="T36">
        <v>2</v>
      </c>
      <c r="V36">
        <v>2</v>
      </c>
      <c r="AD36">
        <v>1</v>
      </c>
      <c r="AE36">
        <v>1</v>
      </c>
      <c r="AF36">
        <v>7</v>
      </c>
    </row>
    <row r="37" spans="1:33" x14ac:dyDescent="0.45">
      <c r="A37" s="2" t="s">
        <v>42</v>
      </c>
      <c r="B37">
        <v>1</v>
      </c>
      <c r="D37">
        <v>1</v>
      </c>
      <c r="E37">
        <v>2</v>
      </c>
      <c r="G37">
        <v>2</v>
      </c>
      <c r="H37">
        <v>4</v>
      </c>
      <c r="J37">
        <v>4</v>
      </c>
      <c r="N37">
        <v>8</v>
      </c>
      <c r="P37">
        <v>8</v>
      </c>
      <c r="R37">
        <v>2</v>
      </c>
      <c r="S37">
        <v>2</v>
      </c>
      <c r="AF37">
        <v>17</v>
      </c>
      <c r="AG37" t="s">
        <v>128</v>
      </c>
    </row>
    <row r="38" spans="1:33" x14ac:dyDescent="0.45">
      <c r="A38" s="2" t="s">
        <v>100</v>
      </c>
      <c r="H38">
        <v>1</v>
      </c>
      <c r="J38">
        <v>1</v>
      </c>
      <c r="AF38">
        <v>1</v>
      </c>
      <c r="AG38" t="s">
        <v>122</v>
      </c>
    </row>
    <row r="39" spans="1:33" x14ac:dyDescent="0.45">
      <c r="A39" s="2" t="s">
        <v>50</v>
      </c>
      <c r="I39">
        <v>1</v>
      </c>
      <c r="J39">
        <v>1</v>
      </c>
      <c r="AA39">
        <v>1</v>
      </c>
      <c r="AB39">
        <v>1</v>
      </c>
      <c r="AF39">
        <v>2</v>
      </c>
      <c r="AG39" t="s">
        <v>122</v>
      </c>
    </row>
    <row r="40" spans="1:33" x14ac:dyDescent="0.45">
      <c r="A40" s="2" t="s">
        <v>104</v>
      </c>
      <c r="AD40">
        <v>1</v>
      </c>
      <c r="AE40">
        <v>1</v>
      </c>
      <c r="AF40">
        <v>1</v>
      </c>
      <c r="AG40" t="s">
        <v>122</v>
      </c>
    </row>
    <row r="41" spans="1:33" x14ac:dyDescent="0.45">
      <c r="A41" s="2" t="s">
        <v>20</v>
      </c>
      <c r="C41">
        <v>2</v>
      </c>
      <c r="D41">
        <v>2</v>
      </c>
      <c r="H41">
        <v>9</v>
      </c>
      <c r="J41">
        <v>9</v>
      </c>
      <c r="K41">
        <v>2</v>
      </c>
      <c r="M41">
        <v>2</v>
      </c>
      <c r="N41">
        <v>3</v>
      </c>
      <c r="O41">
        <v>1</v>
      </c>
      <c r="P41">
        <v>4</v>
      </c>
      <c r="R41">
        <v>1</v>
      </c>
      <c r="S41">
        <v>1</v>
      </c>
      <c r="T41">
        <v>9</v>
      </c>
      <c r="V41">
        <v>9</v>
      </c>
      <c r="W41">
        <v>2</v>
      </c>
      <c r="X41">
        <v>3</v>
      </c>
      <c r="Y41">
        <v>5</v>
      </c>
      <c r="Z41">
        <v>1</v>
      </c>
      <c r="AB41">
        <v>1</v>
      </c>
      <c r="AC41">
        <v>4</v>
      </c>
      <c r="AD41">
        <v>1</v>
      </c>
      <c r="AE41">
        <v>5</v>
      </c>
      <c r="AF41">
        <v>38</v>
      </c>
      <c r="AG41" t="s">
        <v>135</v>
      </c>
    </row>
    <row r="42" spans="1:33" x14ac:dyDescent="0.45">
      <c r="A42" s="2" t="s">
        <v>80</v>
      </c>
      <c r="H42">
        <v>4</v>
      </c>
      <c r="J42">
        <v>4</v>
      </c>
      <c r="K42">
        <v>1</v>
      </c>
      <c r="M42">
        <v>1</v>
      </c>
      <c r="N42">
        <v>2</v>
      </c>
      <c r="P42">
        <v>2</v>
      </c>
      <c r="Q42">
        <v>2</v>
      </c>
      <c r="S42">
        <v>2</v>
      </c>
      <c r="T42">
        <v>2</v>
      </c>
      <c r="V42">
        <v>2</v>
      </c>
      <c r="W42">
        <v>2</v>
      </c>
      <c r="X42">
        <v>2</v>
      </c>
      <c r="Y42">
        <v>4</v>
      </c>
      <c r="AC42">
        <v>1</v>
      </c>
      <c r="AE42">
        <v>1</v>
      </c>
      <c r="AF42">
        <v>16</v>
      </c>
      <c r="AG42" t="s">
        <v>135</v>
      </c>
    </row>
    <row r="43" spans="1:33" x14ac:dyDescent="0.45">
      <c r="A43" s="2" t="s">
        <v>101</v>
      </c>
      <c r="H43">
        <v>2</v>
      </c>
      <c r="J43">
        <v>2</v>
      </c>
      <c r="X43">
        <v>2</v>
      </c>
      <c r="Y43">
        <v>2</v>
      </c>
      <c r="AF43">
        <v>4</v>
      </c>
      <c r="AG43" t="s">
        <v>135</v>
      </c>
    </row>
    <row r="44" spans="1:33" x14ac:dyDescent="0.45">
      <c r="A44" s="2" t="s">
        <v>75</v>
      </c>
      <c r="H44">
        <v>1</v>
      </c>
      <c r="J44">
        <v>1</v>
      </c>
      <c r="Z44">
        <v>1</v>
      </c>
      <c r="AB44">
        <v>1</v>
      </c>
      <c r="AC44">
        <v>1</v>
      </c>
      <c r="AD44">
        <v>1</v>
      </c>
      <c r="AE44">
        <v>2</v>
      </c>
      <c r="AF44">
        <v>4</v>
      </c>
      <c r="AG44" t="s">
        <v>126</v>
      </c>
    </row>
    <row r="45" spans="1:33" x14ac:dyDescent="0.45">
      <c r="A45" s="2" t="s">
        <v>95</v>
      </c>
      <c r="N45">
        <v>1</v>
      </c>
      <c r="P45">
        <v>1</v>
      </c>
      <c r="AC45">
        <v>1</v>
      </c>
      <c r="AD45">
        <v>1</v>
      </c>
      <c r="AE45">
        <v>2</v>
      </c>
      <c r="AF45">
        <v>3</v>
      </c>
      <c r="AG45" t="s">
        <v>125</v>
      </c>
    </row>
    <row r="46" spans="1:33" x14ac:dyDescent="0.45">
      <c r="A46" s="2" t="s">
        <v>9</v>
      </c>
      <c r="C46">
        <v>1</v>
      </c>
      <c r="D46">
        <v>1</v>
      </c>
      <c r="I46">
        <v>3</v>
      </c>
      <c r="J46">
        <v>3</v>
      </c>
      <c r="L46">
        <v>1</v>
      </c>
      <c r="M46">
        <v>1</v>
      </c>
      <c r="N46">
        <v>4</v>
      </c>
      <c r="P46">
        <v>4</v>
      </c>
      <c r="Q46">
        <v>1</v>
      </c>
      <c r="R46">
        <v>2</v>
      </c>
      <c r="S46">
        <v>3</v>
      </c>
      <c r="W46">
        <v>1</v>
      </c>
      <c r="Y46">
        <v>1</v>
      </c>
      <c r="Z46">
        <v>1</v>
      </c>
      <c r="AB46">
        <v>1</v>
      </c>
      <c r="AC46">
        <v>3</v>
      </c>
      <c r="AE46">
        <v>3</v>
      </c>
      <c r="AF46">
        <v>17</v>
      </c>
      <c r="AG46" t="s">
        <v>125</v>
      </c>
    </row>
    <row r="47" spans="1:33" x14ac:dyDescent="0.45">
      <c r="A47" s="2" t="s">
        <v>44</v>
      </c>
      <c r="E47">
        <v>2</v>
      </c>
      <c r="G47">
        <v>2</v>
      </c>
      <c r="H47">
        <v>5</v>
      </c>
      <c r="I47">
        <v>4</v>
      </c>
      <c r="J47">
        <v>9</v>
      </c>
      <c r="K47">
        <v>2</v>
      </c>
      <c r="L47">
        <v>3</v>
      </c>
      <c r="M47">
        <v>5</v>
      </c>
      <c r="N47">
        <v>6</v>
      </c>
      <c r="P47">
        <v>6</v>
      </c>
      <c r="T47">
        <v>8</v>
      </c>
      <c r="V47">
        <v>8</v>
      </c>
      <c r="X47">
        <v>1</v>
      </c>
      <c r="Y47">
        <v>1</v>
      </c>
      <c r="Z47">
        <v>2</v>
      </c>
      <c r="AB47">
        <v>2</v>
      </c>
      <c r="AC47">
        <v>6</v>
      </c>
      <c r="AD47">
        <v>1</v>
      </c>
      <c r="AE47">
        <v>7</v>
      </c>
      <c r="AF47">
        <v>40</v>
      </c>
      <c r="AG47" t="s">
        <v>130</v>
      </c>
    </row>
    <row r="48" spans="1:33" x14ac:dyDescent="0.45">
      <c r="A48" s="2" t="s">
        <v>27</v>
      </c>
      <c r="B48">
        <v>4</v>
      </c>
      <c r="D48">
        <v>4</v>
      </c>
      <c r="E48">
        <v>1</v>
      </c>
      <c r="G48">
        <v>1</v>
      </c>
      <c r="H48">
        <v>2</v>
      </c>
      <c r="J48">
        <v>2</v>
      </c>
      <c r="L48">
        <v>2</v>
      </c>
      <c r="M48">
        <v>2</v>
      </c>
      <c r="N48">
        <v>2</v>
      </c>
      <c r="P48">
        <v>2</v>
      </c>
      <c r="T48">
        <v>4</v>
      </c>
      <c r="V48">
        <v>4</v>
      </c>
      <c r="Z48">
        <v>1</v>
      </c>
      <c r="AB48">
        <v>1</v>
      </c>
      <c r="AF48">
        <v>16</v>
      </c>
      <c r="AG48" t="s">
        <v>119</v>
      </c>
    </row>
    <row r="49" spans="1:33" x14ac:dyDescent="0.45">
      <c r="A49" s="2" t="s">
        <v>14</v>
      </c>
      <c r="C49">
        <v>1</v>
      </c>
      <c r="D49">
        <v>1</v>
      </c>
      <c r="H49">
        <v>1</v>
      </c>
      <c r="I49">
        <v>3</v>
      </c>
      <c r="J49">
        <v>4</v>
      </c>
      <c r="L49">
        <v>1</v>
      </c>
      <c r="M49">
        <v>1</v>
      </c>
      <c r="N49">
        <v>2</v>
      </c>
      <c r="P49">
        <v>2</v>
      </c>
      <c r="Q49">
        <v>1</v>
      </c>
      <c r="R49">
        <v>1</v>
      </c>
      <c r="S49">
        <v>2</v>
      </c>
      <c r="AC49">
        <v>2</v>
      </c>
      <c r="AE49">
        <v>2</v>
      </c>
      <c r="AF49">
        <v>12</v>
      </c>
      <c r="AG49" t="s">
        <v>122</v>
      </c>
    </row>
    <row r="50" spans="1:33" x14ac:dyDescent="0.45">
      <c r="A50" s="2" t="s">
        <v>86</v>
      </c>
      <c r="H50">
        <v>1</v>
      </c>
      <c r="J50">
        <v>1</v>
      </c>
      <c r="N50">
        <v>3</v>
      </c>
      <c r="P50">
        <v>3</v>
      </c>
      <c r="AC50">
        <v>5</v>
      </c>
      <c r="AE50">
        <v>5</v>
      </c>
      <c r="AF50">
        <v>9</v>
      </c>
      <c r="AG50" t="s">
        <v>122</v>
      </c>
    </row>
    <row r="51" spans="1:33" x14ac:dyDescent="0.45">
      <c r="A51" s="2" t="s">
        <v>52</v>
      </c>
      <c r="B51">
        <v>2</v>
      </c>
      <c r="D51">
        <v>2</v>
      </c>
      <c r="E51">
        <v>1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2</v>
      </c>
      <c r="T51">
        <v>2</v>
      </c>
      <c r="V51">
        <v>2</v>
      </c>
      <c r="AC51">
        <v>5</v>
      </c>
      <c r="AE51">
        <v>5</v>
      </c>
      <c r="AF51">
        <v>14</v>
      </c>
      <c r="AG51" t="s">
        <v>119</v>
      </c>
    </row>
    <row r="52" spans="1:33" x14ac:dyDescent="0.45">
      <c r="A52" s="2" t="s">
        <v>7</v>
      </c>
      <c r="B52">
        <v>1</v>
      </c>
      <c r="C52">
        <v>1</v>
      </c>
      <c r="D52">
        <v>2</v>
      </c>
      <c r="E52">
        <v>1</v>
      </c>
      <c r="F52">
        <v>1</v>
      </c>
      <c r="G52">
        <v>2</v>
      </c>
      <c r="H52">
        <v>1</v>
      </c>
      <c r="I52">
        <v>1</v>
      </c>
      <c r="J52">
        <v>2</v>
      </c>
      <c r="N52">
        <v>3</v>
      </c>
      <c r="P52">
        <v>3</v>
      </c>
      <c r="T52">
        <v>2</v>
      </c>
      <c r="U52">
        <v>1</v>
      </c>
      <c r="V52">
        <v>3</v>
      </c>
      <c r="X52">
        <v>1</v>
      </c>
      <c r="Y52">
        <v>1</v>
      </c>
      <c r="AC52">
        <v>8</v>
      </c>
      <c r="AE52">
        <v>8</v>
      </c>
      <c r="AF52">
        <v>21</v>
      </c>
      <c r="AG52" t="s">
        <v>125</v>
      </c>
    </row>
    <row r="53" spans="1:33" x14ac:dyDescent="0.45">
      <c r="A53" s="2" t="s">
        <v>58</v>
      </c>
      <c r="H53">
        <v>2</v>
      </c>
      <c r="I53">
        <v>1</v>
      </c>
      <c r="J53">
        <v>3</v>
      </c>
      <c r="K53">
        <v>1</v>
      </c>
      <c r="M53">
        <v>1</v>
      </c>
      <c r="N53">
        <v>4</v>
      </c>
      <c r="P53">
        <v>4</v>
      </c>
      <c r="R53">
        <v>1</v>
      </c>
      <c r="S53">
        <v>1</v>
      </c>
      <c r="T53">
        <v>3</v>
      </c>
      <c r="V53">
        <v>3</v>
      </c>
      <c r="Z53">
        <v>1</v>
      </c>
      <c r="AB53">
        <v>1</v>
      </c>
      <c r="AC53">
        <v>5</v>
      </c>
      <c r="AD53">
        <v>1</v>
      </c>
      <c r="AE53">
        <v>6</v>
      </c>
      <c r="AF53">
        <v>19</v>
      </c>
      <c r="AG53" t="s">
        <v>125</v>
      </c>
    </row>
    <row r="54" spans="1:33" x14ac:dyDescent="0.45">
      <c r="A54" s="2" t="s">
        <v>34</v>
      </c>
      <c r="F54">
        <v>1</v>
      </c>
      <c r="G54">
        <v>1</v>
      </c>
      <c r="H54">
        <v>1</v>
      </c>
      <c r="I54">
        <v>1</v>
      </c>
      <c r="J54">
        <v>2</v>
      </c>
      <c r="K54">
        <v>1</v>
      </c>
      <c r="M54">
        <v>1</v>
      </c>
      <c r="N54">
        <v>5</v>
      </c>
      <c r="P54">
        <v>5</v>
      </c>
      <c r="R54">
        <v>1</v>
      </c>
      <c r="S54">
        <v>1</v>
      </c>
      <c r="T54">
        <v>3</v>
      </c>
      <c r="V54">
        <v>3</v>
      </c>
      <c r="AC54">
        <v>1</v>
      </c>
      <c r="AD54">
        <v>1</v>
      </c>
      <c r="AE54">
        <v>2</v>
      </c>
      <c r="AF54">
        <v>15</v>
      </c>
      <c r="AG54" t="s">
        <v>119</v>
      </c>
    </row>
    <row r="55" spans="1:33" x14ac:dyDescent="0.45">
      <c r="A55" s="2" t="s">
        <v>66</v>
      </c>
      <c r="H55">
        <v>1</v>
      </c>
      <c r="I55">
        <v>1</v>
      </c>
      <c r="J55">
        <v>2</v>
      </c>
      <c r="K55">
        <v>1</v>
      </c>
      <c r="L55">
        <v>1</v>
      </c>
      <c r="M55">
        <v>2</v>
      </c>
      <c r="N55">
        <v>8</v>
      </c>
      <c r="O55">
        <v>1</v>
      </c>
      <c r="P55">
        <v>9</v>
      </c>
      <c r="R55">
        <v>1</v>
      </c>
      <c r="S55">
        <v>1</v>
      </c>
      <c r="T55">
        <v>6</v>
      </c>
      <c r="V55">
        <v>6</v>
      </c>
      <c r="X55">
        <v>1</v>
      </c>
      <c r="Y55">
        <v>1</v>
      </c>
      <c r="Z55">
        <v>2</v>
      </c>
      <c r="AB55">
        <v>2</v>
      </c>
      <c r="AC55">
        <v>1</v>
      </c>
      <c r="AE55">
        <v>1</v>
      </c>
      <c r="AF55">
        <v>24</v>
      </c>
      <c r="AG55" t="s">
        <v>119</v>
      </c>
    </row>
    <row r="56" spans="1:33" x14ac:dyDescent="0.45">
      <c r="A56" s="2" t="s">
        <v>57</v>
      </c>
      <c r="I56">
        <v>1</v>
      </c>
      <c r="J56">
        <v>1</v>
      </c>
      <c r="W56">
        <v>1</v>
      </c>
      <c r="Y56">
        <v>1</v>
      </c>
      <c r="AC56">
        <v>2</v>
      </c>
      <c r="AE56">
        <v>2</v>
      </c>
      <c r="AF56">
        <v>4</v>
      </c>
      <c r="AG56" t="s">
        <v>125</v>
      </c>
    </row>
    <row r="57" spans="1:33" x14ac:dyDescent="0.45">
      <c r="A57" s="2" t="s">
        <v>82</v>
      </c>
      <c r="B57">
        <v>1</v>
      </c>
      <c r="D57">
        <v>1</v>
      </c>
      <c r="H57">
        <v>1</v>
      </c>
      <c r="J57">
        <v>1</v>
      </c>
      <c r="N57">
        <v>7</v>
      </c>
      <c r="O57">
        <v>1</v>
      </c>
      <c r="P57">
        <v>8</v>
      </c>
      <c r="X57">
        <v>1</v>
      </c>
      <c r="Y57">
        <v>1</v>
      </c>
      <c r="AC57">
        <v>1</v>
      </c>
      <c r="AE57">
        <v>1</v>
      </c>
      <c r="AF57">
        <v>12</v>
      </c>
      <c r="AG57" t="s">
        <v>137</v>
      </c>
    </row>
    <row r="58" spans="1:33" x14ac:dyDescent="0.45">
      <c r="A58" s="2" t="s">
        <v>24</v>
      </c>
      <c r="B58">
        <v>1</v>
      </c>
      <c r="C58">
        <v>1</v>
      </c>
      <c r="D58">
        <v>2</v>
      </c>
      <c r="E58">
        <v>1</v>
      </c>
      <c r="G58">
        <v>1</v>
      </c>
      <c r="H58">
        <v>7</v>
      </c>
      <c r="I58">
        <v>4</v>
      </c>
      <c r="J58">
        <v>11</v>
      </c>
      <c r="K58">
        <v>2</v>
      </c>
      <c r="M58">
        <v>2</v>
      </c>
      <c r="N58">
        <v>7</v>
      </c>
      <c r="P58">
        <v>7</v>
      </c>
      <c r="T58">
        <v>5</v>
      </c>
      <c r="V58">
        <v>5</v>
      </c>
      <c r="W58">
        <v>1</v>
      </c>
      <c r="X58">
        <v>1</v>
      </c>
      <c r="Y58">
        <v>2</v>
      </c>
      <c r="AC58">
        <v>1</v>
      </c>
      <c r="AE58">
        <v>1</v>
      </c>
      <c r="AF58">
        <v>31</v>
      </c>
      <c r="AG58" t="s">
        <v>135</v>
      </c>
    </row>
    <row r="59" spans="1:33" x14ac:dyDescent="0.45">
      <c r="A59" s="2" t="s">
        <v>89</v>
      </c>
      <c r="N59">
        <v>2</v>
      </c>
      <c r="P59">
        <v>2</v>
      </c>
      <c r="AC59">
        <v>1</v>
      </c>
      <c r="AE59">
        <v>1</v>
      </c>
      <c r="AF59">
        <v>3</v>
      </c>
      <c r="AG59" t="s">
        <v>128</v>
      </c>
    </row>
    <row r="60" spans="1:33" x14ac:dyDescent="0.45">
      <c r="A60" s="2" t="s">
        <v>72</v>
      </c>
      <c r="H60">
        <v>1</v>
      </c>
      <c r="J60">
        <v>1</v>
      </c>
      <c r="K60">
        <v>1</v>
      </c>
      <c r="L60">
        <v>1</v>
      </c>
      <c r="M60">
        <v>2</v>
      </c>
      <c r="N60">
        <v>9</v>
      </c>
      <c r="P60">
        <v>9</v>
      </c>
      <c r="R60">
        <v>1</v>
      </c>
      <c r="S60">
        <v>1</v>
      </c>
      <c r="W60">
        <v>2</v>
      </c>
      <c r="Y60">
        <v>2</v>
      </c>
      <c r="AC60">
        <v>1</v>
      </c>
      <c r="AE60">
        <v>1</v>
      </c>
      <c r="AF60">
        <v>16</v>
      </c>
      <c r="AG60" t="s">
        <v>122</v>
      </c>
    </row>
    <row r="61" spans="1:33" x14ac:dyDescent="0.45">
      <c r="A61" s="2" t="s">
        <v>91</v>
      </c>
      <c r="N61">
        <v>3</v>
      </c>
      <c r="P61">
        <v>3</v>
      </c>
      <c r="Q61">
        <v>1</v>
      </c>
      <c r="R61">
        <v>1</v>
      </c>
      <c r="S61">
        <v>2</v>
      </c>
      <c r="T61">
        <v>1</v>
      </c>
      <c r="V61">
        <v>1</v>
      </c>
      <c r="X61">
        <v>1</v>
      </c>
      <c r="Y61">
        <v>1</v>
      </c>
      <c r="AC61">
        <v>2</v>
      </c>
      <c r="AE61">
        <v>2</v>
      </c>
      <c r="AF61">
        <v>9</v>
      </c>
      <c r="AG61" t="s">
        <v>119</v>
      </c>
    </row>
    <row r="62" spans="1:33" x14ac:dyDescent="0.45">
      <c r="A62" s="2" t="s">
        <v>53</v>
      </c>
      <c r="H62">
        <v>2</v>
      </c>
      <c r="I62">
        <v>1</v>
      </c>
      <c r="J62">
        <v>3</v>
      </c>
      <c r="Q62">
        <v>1</v>
      </c>
      <c r="S62">
        <v>1</v>
      </c>
      <c r="AD62">
        <v>2</v>
      </c>
      <c r="AE62">
        <v>2</v>
      </c>
      <c r="AF62">
        <v>6</v>
      </c>
      <c r="AG62" t="s">
        <v>119</v>
      </c>
    </row>
    <row r="63" spans="1:33" x14ac:dyDescent="0.45">
      <c r="A63" s="2" t="s">
        <v>28</v>
      </c>
      <c r="B63">
        <v>1</v>
      </c>
      <c r="D63">
        <v>1</v>
      </c>
      <c r="X63">
        <v>1</v>
      </c>
      <c r="Y63">
        <v>1</v>
      </c>
      <c r="AF63">
        <v>2</v>
      </c>
    </row>
    <row r="64" spans="1:33" x14ac:dyDescent="0.45">
      <c r="A64" s="2" t="s">
        <v>18</v>
      </c>
      <c r="C64">
        <v>1</v>
      </c>
      <c r="D64">
        <v>1</v>
      </c>
      <c r="N64">
        <v>1</v>
      </c>
      <c r="P64">
        <v>1</v>
      </c>
      <c r="T64">
        <v>1</v>
      </c>
      <c r="V64">
        <v>1</v>
      </c>
      <c r="AC64">
        <v>1</v>
      </c>
      <c r="AE64">
        <v>1</v>
      </c>
      <c r="AF64">
        <v>4</v>
      </c>
      <c r="AG64" t="s">
        <v>128</v>
      </c>
    </row>
    <row r="65" spans="1:33" x14ac:dyDescent="0.45">
      <c r="A65" s="2" t="s">
        <v>59</v>
      </c>
      <c r="H65">
        <v>2</v>
      </c>
      <c r="I65">
        <v>2</v>
      </c>
      <c r="J65">
        <v>4</v>
      </c>
      <c r="K65">
        <v>1</v>
      </c>
      <c r="M65">
        <v>1</v>
      </c>
      <c r="N65">
        <v>2</v>
      </c>
      <c r="P65">
        <v>2</v>
      </c>
      <c r="Q65">
        <v>1</v>
      </c>
      <c r="R65">
        <v>1</v>
      </c>
      <c r="S65">
        <v>2</v>
      </c>
      <c r="AC65">
        <v>1</v>
      </c>
      <c r="AD65">
        <v>1</v>
      </c>
      <c r="AE65">
        <v>2</v>
      </c>
      <c r="AF65">
        <v>11</v>
      </c>
      <c r="AG65" t="s">
        <v>126</v>
      </c>
    </row>
    <row r="66" spans="1:33" x14ac:dyDescent="0.45">
      <c r="A66" s="2" t="s">
        <v>93</v>
      </c>
      <c r="T66">
        <v>1</v>
      </c>
      <c r="V66">
        <v>1</v>
      </c>
      <c r="AF66">
        <v>1</v>
      </c>
      <c r="AG66" t="s">
        <v>126</v>
      </c>
    </row>
    <row r="67" spans="1:33" x14ac:dyDescent="0.45">
      <c r="A67" s="2" t="s">
        <v>37</v>
      </c>
      <c r="E67">
        <v>1</v>
      </c>
      <c r="G67">
        <v>1</v>
      </c>
      <c r="N67">
        <v>1</v>
      </c>
      <c r="P67">
        <v>1</v>
      </c>
      <c r="AF67">
        <v>2</v>
      </c>
      <c r="AG67" t="s">
        <v>155</v>
      </c>
    </row>
    <row r="68" spans="1:33" x14ac:dyDescent="0.45">
      <c r="A68" s="2" t="s">
        <v>17</v>
      </c>
      <c r="C68">
        <v>1</v>
      </c>
      <c r="D68">
        <v>1</v>
      </c>
      <c r="H68">
        <v>1</v>
      </c>
      <c r="I68">
        <v>1</v>
      </c>
      <c r="J68">
        <v>2</v>
      </c>
      <c r="N68">
        <v>2</v>
      </c>
      <c r="O68">
        <v>1</v>
      </c>
      <c r="P68">
        <v>3</v>
      </c>
      <c r="Q68">
        <v>1</v>
      </c>
      <c r="S68">
        <v>1</v>
      </c>
      <c r="W68">
        <v>1</v>
      </c>
      <c r="Y68">
        <v>1</v>
      </c>
      <c r="Z68">
        <v>1</v>
      </c>
      <c r="AB68">
        <v>1</v>
      </c>
      <c r="AC68">
        <v>2</v>
      </c>
      <c r="AD68">
        <v>2</v>
      </c>
      <c r="AE68">
        <v>4</v>
      </c>
      <c r="AF68">
        <v>13</v>
      </c>
      <c r="AG68" t="s">
        <v>126</v>
      </c>
    </row>
    <row r="69" spans="1:33" x14ac:dyDescent="0.45">
      <c r="A69" s="2" t="s">
        <v>8</v>
      </c>
      <c r="C69">
        <v>1</v>
      </c>
      <c r="D69">
        <v>1</v>
      </c>
      <c r="H69">
        <v>1</v>
      </c>
      <c r="J69">
        <v>1</v>
      </c>
      <c r="L69">
        <v>1</v>
      </c>
      <c r="M69">
        <v>1</v>
      </c>
      <c r="N69">
        <v>4</v>
      </c>
      <c r="P69">
        <v>4</v>
      </c>
      <c r="Q69">
        <v>1</v>
      </c>
      <c r="R69">
        <v>1</v>
      </c>
      <c r="S69">
        <v>2</v>
      </c>
      <c r="T69">
        <v>2</v>
      </c>
      <c r="V69">
        <v>2</v>
      </c>
      <c r="AC69">
        <v>7</v>
      </c>
      <c r="AE69">
        <v>7</v>
      </c>
      <c r="AF69">
        <v>18</v>
      </c>
      <c r="AG69" t="s">
        <v>125</v>
      </c>
    </row>
    <row r="70" spans="1:33" x14ac:dyDescent="0.45">
      <c r="A70" s="2" t="s">
        <v>48</v>
      </c>
      <c r="H70">
        <v>2</v>
      </c>
      <c r="I70">
        <v>2</v>
      </c>
      <c r="J70">
        <v>4</v>
      </c>
      <c r="N70">
        <v>1</v>
      </c>
      <c r="P70">
        <v>1</v>
      </c>
      <c r="T70">
        <v>1</v>
      </c>
      <c r="V70">
        <v>1</v>
      </c>
      <c r="Z70">
        <v>1</v>
      </c>
      <c r="AB70">
        <v>1</v>
      </c>
      <c r="AC70">
        <v>3</v>
      </c>
      <c r="AE70">
        <v>3</v>
      </c>
      <c r="AF70">
        <v>10</v>
      </c>
      <c r="AG70" t="s">
        <v>125</v>
      </c>
    </row>
    <row r="71" spans="1:33" x14ac:dyDescent="0.45">
      <c r="A71" s="2" t="s">
        <v>55</v>
      </c>
      <c r="B71">
        <v>1</v>
      </c>
      <c r="D71">
        <v>1</v>
      </c>
      <c r="H71">
        <v>1</v>
      </c>
      <c r="I71">
        <v>1</v>
      </c>
      <c r="J71">
        <v>2</v>
      </c>
      <c r="K71">
        <v>2</v>
      </c>
      <c r="M71">
        <v>2</v>
      </c>
      <c r="N71">
        <v>8</v>
      </c>
      <c r="O71">
        <v>1</v>
      </c>
      <c r="P71">
        <v>9</v>
      </c>
      <c r="Q71">
        <v>4</v>
      </c>
      <c r="R71">
        <v>1</v>
      </c>
      <c r="S71">
        <v>5</v>
      </c>
      <c r="T71">
        <v>1</v>
      </c>
      <c r="V71">
        <v>1</v>
      </c>
      <c r="W71">
        <v>1</v>
      </c>
      <c r="Y71">
        <v>1</v>
      </c>
      <c r="AC71">
        <v>8</v>
      </c>
      <c r="AD71">
        <v>3</v>
      </c>
      <c r="AE71">
        <v>11</v>
      </c>
      <c r="AF71">
        <v>32</v>
      </c>
      <c r="AG71" t="s">
        <v>119</v>
      </c>
    </row>
    <row r="72" spans="1:33" x14ac:dyDescent="0.45">
      <c r="A72" s="2" t="s">
        <v>26</v>
      </c>
      <c r="B72">
        <v>3</v>
      </c>
      <c r="C72">
        <v>1</v>
      </c>
      <c r="D72">
        <v>4</v>
      </c>
      <c r="F72">
        <v>1</v>
      </c>
      <c r="G72">
        <v>1</v>
      </c>
      <c r="H72">
        <v>2</v>
      </c>
      <c r="I72">
        <v>1</v>
      </c>
      <c r="J72">
        <v>3</v>
      </c>
      <c r="L72">
        <v>1</v>
      </c>
      <c r="M72">
        <v>1</v>
      </c>
      <c r="N72">
        <v>2</v>
      </c>
      <c r="O72">
        <v>1</v>
      </c>
      <c r="P72">
        <v>3</v>
      </c>
      <c r="R72">
        <v>1</v>
      </c>
      <c r="S72">
        <v>1</v>
      </c>
      <c r="T72">
        <v>1</v>
      </c>
      <c r="U72">
        <v>1</v>
      </c>
      <c r="V72">
        <v>2</v>
      </c>
      <c r="AC72">
        <v>6</v>
      </c>
      <c r="AD72">
        <v>2</v>
      </c>
      <c r="AE72">
        <v>8</v>
      </c>
      <c r="AF72">
        <v>23</v>
      </c>
      <c r="AG72" t="s">
        <v>119</v>
      </c>
    </row>
    <row r="73" spans="1:33" x14ac:dyDescent="0.45">
      <c r="A73" s="2" t="s">
        <v>60</v>
      </c>
      <c r="B73">
        <v>1</v>
      </c>
      <c r="D73">
        <v>1</v>
      </c>
      <c r="H73">
        <v>5</v>
      </c>
      <c r="I73">
        <v>1</v>
      </c>
      <c r="J73">
        <v>6</v>
      </c>
      <c r="K73">
        <v>3</v>
      </c>
      <c r="M73">
        <v>3</v>
      </c>
      <c r="N73">
        <v>9</v>
      </c>
      <c r="O73">
        <v>2</v>
      </c>
      <c r="P73">
        <v>11</v>
      </c>
      <c r="Q73">
        <v>4</v>
      </c>
      <c r="R73">
        <v>3</v>
      </c>
      <c r="S73">
        <v>7</v>
      </c>
      <c r="T73">
        <v>7</v>
      </c>
      <c r="V73">
        <v>7</v>
      </c>
      <c r="W73">
        <v>2</v>
      </c>
      <c r="X73">
        <v>1</v>
      </c>
      <c r="Y73">
        <v>3</v>
      </c>
      <c r="AC73">
        <v>3</v>
      </c>
      <c r="AD73">
        <v>2</v>
      </c>
      <c r="AE73">
        <v>5</v>
      </c>
      <c r="AF73">
        <v>43</v>
      </c>
      <c r="AG73" t="s">
        <v>131</v>
      </c>
    </row>
    <row r="74" spans="1:33" x14ac:dyDescent="0.45">
      <c r="A74" s="2" t="s">
        <v>83</v>
      </c>
      <c r="B74">
        <v>1</v>
      </c>
      <c r="D74">
        <v>1</v>
      </c>
      <c r="H74">
        <v>5</v>
      </c>
      <c r="J74">
        <v>5</v>
      </c>
      <c r="K74">
        <v>1</v>
      </c>
      <c r="M74">
        <v>1</v>
      </c>
      <c r="N74">
        <v>6</v>
      </c>
      <c r="O74">
        <v>2</v>
      </c>
      <c r="P74">
        <v>8</v>
      </c>
      <c r="Q74">
        <v>5</v>
      </c>
      <c r="R74">
        <v>2</v>
      </c>
      <c r="S74">
        <v>7</v>
      </c>
      <c r="T74">
        <v>4</v>
      </c>
      <c r="V74">
        <v>4</v>
      </c>
      <c r="W74">
        <v>1</v>
      </c>
      <c r="X74">
        <v>2</v>
      </c>
      <c r="Y74">
        <v>3</v>
      </c>
      <c r="AC74">
        <v>3</v>
      </c>
      <c r="AE74">
        <v>3</v>
      </c>
      <c r="AF74">
        <v>32</v>
      </c>
      <c r="AG74" t="s">
        <v>135</v>
      </c>
    </row>
    <row r="75" spans="1:33" x14ac:dyDescent="0.45">
      <c r="A75" s="2" t="s">
        <v>96</v>
      </c>
      <c r="AC75">
        <v>1</v>
      </c>
      <c r="AE75">
        <v>1</v>
      </c>
      <c r="AF75">
        <v>1</v>
      </c>
      <c r="AG75" t="s">
        <v>156</v>
      </c>
    </row>
    <row r="76" spans="1:33" x14ac:dyDescent="0.45">
      <c r="A76" s="2" t="s">
        <v>98</v>
      </c>
      <c r="E76">
        <v>1</v>
      </c>
      <c r="G76">
        <v>1</v>
      </c>
      <c r="AD76">
        <v>1</v>
      </c>
      <c r="AE76">
        <v>1</v>
      </c>
      <c r="AF76">
        <v>2</v>
      </c>
      <c r="AG76" t="s">
        <v>155</v>
      </c>
    </row>
    <row r="77" spans="1:33" x14ac:dyDescent="0.45">
      <c r="A77" s="2" t="s">
        <v>77</v>
      </c>
      <c r="H77">
        <v>1</v>
      </c>
      <c r="J77">
        <v>1</v>
      </c>
      <c r="N77">
        <v>4</v>
      </c>
      <c r="P77">
        <v>4</v>
      </c>
      <c r="Q77">
        <v>1</v>
      </c>
      <c r="S77">
        <v>1</v>
      </c>
      <c r="AC77">
        <v>1</v>
      </c>
      <c r="AE77">
        <v>1</v>
      </c>
      <c r="AF77">
        <v>7</v>
      </c>
      <c r="AG77" t="s">
        <v>156</v>
      </c>
    </row>
    <row r="78" spans="1:33" x14ac:dyDescent="0.45">
      <c r="A78" s="2" t="s">
        <v>67</v>
      </c>
      <c r="H78">
        <v>1</v>
      </c>
      <c r="I78">
        <v>3</v>
      </c>
      <c r="J78">
        <v>4</v>
      </c>
      <c r="N78">
        <v>2</v>
      </c>
      <c r="P78">
        <v>2</v>
      </c>
      <c r="AF78">
        <v>6</v>
      </c>
      <c r="AG78" t="s">
        <v>157</v>
      </c>
    </row>
    <row r="79" spans="1:33" x14ac:dyDescent="0.45">
      <c r="A79" s="2" t="s">
        <v>99</v>
      </c>
      <c r="E79">
        <v>1</v>
      </c>
      <c r="G79">
        <v>1</v>
      </c>
      <c r="H79">
        <v>1</v>
      </c>
      <c r="J79">
        <v>1</v>
      </c>
      <c r="AF79">
        <v>2</v>
      </c>
    </row>
    <row r="80" spans="1:33" x14ac:dyDescent="0.45">
      <c r="A80" s="2" t="s">
        <v>5</v>
      </c>
      <c r="C80">
        <v>4</v>
      </c>
      <c r="D80">
        <v>4</v>
      </c>
      <c r="F80">
        <v>1</v>
      </c>
      <c r="G80">
        <v>1</v>
      </c>
      <c r="H80">
        <v>2</v>
      </c>
      <c r="J80">
        <v>2</v>
      </c>
      <c r="N80">
        <v>3</v>
      </c>
      <c r="P80">
        <v>3</v>
      </c>
      <c r="Q80">
        <v>1</v>
      </c>
      <c r="R80">
        <v>2</v>
      </c>
      <c r="S80">
        <v>3</v>
      </c>
      <c r="T80">
        <v>1</v>
      </c>
      <c r="V80">
        <v>1</v>
      </c>
      <c r="W80">
        <v>2</v>
      </c>
      <c r="X80">
        <v>1</v>
      </c>
      <c r="Y80">
        <v>3</v>
      </c>
      <c r="Z80">
        <v>3</v>
      </c>
      <c r="AB80">
        <v>3</v>
      </c>
      <c r="AC80">
        <v>1</v>
      </c>
      <c r="AD80">
        <v>1</v>
      </c>
      <c r="AE80">
        <v>2</v>
      </c>
      <c r="AF80">
        <v>22</v>
      </c>
      <c r="AG80" t="s">
        <v>126</v>
      </c>
    </row>
    <row r="81" spans="1:33" x14ac:dyDescent="0.45">
      <c r="A81" s="2" t="s">
        <v>25</v>
      </c>
      <c r="C81">
        <v>1</v>
      </c>
      <c r="D81">
        <v>1</v>
      </c>
      <c r="F81">
        <v>1</v>
      </c>
      <c r="G81">
        <v>1</v>
      </c>
      <c r="N81">
        <v>5</v>
      </c>
      <c r="P81">
        <v>5</v>
      </c>
      <c r="R81">
        <v>1</v>
      </c>
      <c r="S81">
        <v>1</v>
      </c>
      <c r="T81">
        <v>2</v>
      </c>
      <c r="U81">
        <v>1</v>
      </c>
      <c r="V81">
        <v>3</v>
      </c>
      <c r="AC81">
        <v>1</v>
      </c>
      <c r="AE81">
        <v>1</v>
      </c>
      <c r="AF81">
        <v>12</v>
      </c>
      <c r="AG81" t="s">
        <v>25</v>
      </c>
    </row>
    <row r="82" spans="1:33" x14ac:dyDescent="0.45">
      <c r="A82" s="2" t="s">
        <v>87</v>
      </c>
      <c r="N82">
        <v>3</v>
      </c>
      <c r="P82">
        <v>3</v>
      </c>
      <c r="AC82">
        <v>3</v>
      </c>
      <c r="AE82">
        <v>3</v>
      </c>
      <c r="AF82">
        <v>6</v>
      </c>
      <c r="AG82" t="s">
        <v>125</v>
      </c>
    </row>
    <row r="83" spans="1:33" x14ac:dyDescent="0.45">
      <c r="A83" s="2" t="s">
        <v>29</v>
      </c>
      <c r="E83">
        <v>1</v>
      </c>
      <c r="F83">
        <v>2</v>
      </c>
      <c r="G83">
        <v>3</v>
      </c>
      <c r="H83">
        <v>3</v>
      </c>
      <c r="I83">
        <v>1</v>
      </c>
      <c r="J83">
        <v>4</v>
      </c>
      <c r="K83">
        <v>2</v>
      </c>
      <c r="M83">
        <v>2</v>
      </c>
      <c r="N83">
        <v>7</v>
      </c>
      <c r="P83">
        <v>7</v>
      </c>
      <c r="Q83">
        <v>2</v>
      </c>
      <c r="R83">
        <v>1</v>
      </c>
      <c r="S83">
        <v>3</v>
      </c>
      <c r="T83">
        <v>6</v>
      </c>
      <c r="U83">
        <v>1</v>
      </c>
      <c r="V83">
        <v>7</v>
      </c>
      <c r="AC83">
        <v>6</v>
      </c>
      <c r="AD83">
        <v>1</v>
      </c>
      <c r="AE83">
        <v>7</v>
      </c>
      <c r="AF83">
        <v>33</v>
      </c>
      <c r="AG83" t="s">
        <v>132</v>
      </c>
    </row>
    <row r="84" spans="1:33" x14ac:dyDescent="0.45">
      <c r="A84" s="2" t="s">
        <v>11</v>
      </c>
      <c r="B84">
        <v>1</v>
      </c>
      <c r="C84">
        <v>1</v>
      </c>
      <c r="D84">
        <v>2</v>
      </c>
      <c r="E84">
        <v>1</v>
      </c>
      <c r="G84">
        <v>1</v>
      </c>
      <c r="H84">
        <v>4</v>
      </c>
      <c r="I84">
        <v>2</v>
      </c>
      <c r="J84">
        <v>6</v>
      </c>
      <c r="K84">
        <v>1</v>
      </c>
      <c r="L84">
        <v>2</v>
      </c>
      <c r="M84">
        <v>3</v>
      </c>
      <c r="N84">
        <v>4</v>
      </c>
      <c r="O84">
        <v>1</v>
      </c>
      <c r="P84">
        <v>5</v>
      </c>
      <c r="Q84">
        <v>3</v>
      </c>
      <c r="R84">
        <v>3</v>
      </c>
      <c r="S84">
        <v>6</v>
      </c>
      <c r="T84">
        <v>4</v>
      </c>
      <c r="U84">
        <v>1</v>
      </c>
      <c r="V84">
        <v>5</v>
      </c>
      <c r="X84">
        <v>1</v>
      </c>
      <c r="Y84">
        <v>1</v>
      </c>
      <c r="AC84">
        <v>4</v>
      </c>
      <c r="AD84">
        <v>1</v>
      </c>
      <c r="AE84">
        <v>5</v>
      </c>
      <c r="AF84">
        <v>34</v>
      </c>
      <c r="AG84" t="s">
        <v>132</v>
      </c>
    </row>
    <row r="85" spans="1:33" x14ac:dyDescent="0.45">
      <c r="A85" s="2" t="s">
        <v>36</v>
      </c>
      <c r="B85">
        <v>1</v>
      </c>
      <c r="D85">
        <v>1</v>
      </c>
      <c r="E85">
        <v>1</v>
      </c>
      <c r="F85">
        <v>1</v>
      </c>
      <c r="G85">
        <v>2</v>
      </c>
      <c r="N85">
        <v>4</v>
      </c>
      <c r="P85">
        <v>4</v>
      </c>
      <c r="T85">
        <v>2</v>
      </c>
      <c r="U85">
        <v>1</v>
      </c>
      <c r="V85">
        <v>3</v>
      </c>
      <c r="X85">
        <v>1</v>
      </c>
      <c r="Y85">
        <v>1</v>
      </c>
      <c r="AC85">
        <v>6</v>
      </c>
      <c r="AD85">
        <v>1</v>
      </c>
      <c r="AE85">
        <v>7</v>
      </c>
      <c r="AF85">
        <v>18</v>
      </c>
      <c r="AG85" t="s">
        <v>125</v>
      </c>
    </row>
    <row r="86" spans="1:33" x14ac:dyDescent="0.45">
      <c r="A86" s="2" t="s">
        <v>16</v>
      </c>
      <c r="C86">
        <v>1</v>
      </c>
      <c r="D86">
        <v>1</v>
      </c>
      <c r="K86">
        <v>1</v>
      </c>
      <c r="L86">
        <v>1</v>
      </c>
      <c r="M86">
        <v>2</v>
      </c>
      <c r="N86">
        <v>2</v>
      </c>
      <c r="P86">
        <v>2</v>
      </c>
      <c r="R86">
        <v>1</v>
      </c>
      <c r="S86">
        <v>1</v>
      </c>
      <c r="T86">
        <v>1</v>
      </c>
      <c r="V86">
        <v>1</v>
      </c>
      <c r="W86">
        <v>1</v>
      </c>
      <c r="Y86">
        <v>1</v>
      </c>
      <c r="AC86">
        <v>2</v>
      </c>
      <c r="AE86">
        <v>2</v>
      </c>
      <c r="AF86">
        <v>10</v>
      </c>
      <c r="AG86" t="s">
        <v>133</v>
      </c>
    </row>
    <row r="87" spans="1:33" x14ac:dyDescent="0.45">
      <c r="A87" s="2" t="s">
        <v>46</v>
      </c>
      <c r="E87">
        <v>1</v>
      </c>
      <c r="G87">
        <v>1</v>
      </c>
      <c r="H87">
        <v>1</v>
      </c>
      <c r="I87">
        <v>2</v>
      </c>
      <c r="J87">
        <v>3</v>
      </c>
      <c r="L87">
        <v>1</v>
      </c>
      <c r="M87">
        <v>1</v>
      </c>
      <c r="N87">
        <v>4</v>
      </c>
      <c r="P87">
        <v>4</v>
      </c>
      <c r="R87">
        <v>1</v>
      </c>
      <c r="S87">
        <v>1</v>
      </c>
      <c r="T87">
        <v>1</v>
      </c>
      <c r="V87">
        <v>1</v>
      </c>
      <c r="AF87">
        <v>11</v>
      </c>
      <c r="AG87" t="s">
        <v>46</v>
      </c>
    </row>
    <row r="88" spans="1:33" x14ac:dyDescent="0.45">
      <c r="A88" s="2" t="s">
        <v>76</v>
      </c>
      <c r="H88">
        <v>1</v>
      </c>
      <c r="J88">
        <v>1</v>
      </c>
      <c r="L88">
        <v>1</v>
      </c>
      <c r="M88">
        <v>1</v>
      </c>
      <c r="N88">
        <v>3</v>
      </c>
      <c r="P88">
        <v>3</v>
      </c>
      <c r="R88">
        <v>1</v>
      </c>
      <c r="S88">
        <v>1</v>
      </c>
      <c r="AF88">
        <v>6</v>
      </c>
      <c r="AG88" t="s">
        <v>128</v>
      </c>
    </row>
    <row r="89" spans="1:33" x14ac:dyDescent="0.45">
      <c r="A89" s="2" t="s">
        <v>12</v>
      </c>
      <c r="C89">
        <v>1</v>
      </c>
      <c r="D89">
        <v>1</v>
      </c>
      <c r="L89">
        <v>1</v>
      </c>
      <c r="M89">
        <v>1</v>
      </c>
      <c r="N89">
        <v>1</v>
      </c>
      <c r="P89">
        <v>1</v>
      </c>
      <c r="Q89">
        <v>1</v>
      </c>
      <c r="R89">
        <v>1</v>
      </c>
      <c r="S89">
        <v>2</v>
      </c>
      <c r="W89">
        <v>1</v>
      </c>
      <c r="Y89">
        <v>1</v>
      </c>
      <c r="AC89">
        <v>4</v>
      </c>
      <c r="AE89">
        <v>4</v>
      </c>
      <c r="AF89">
        <v>10</v>
      </c>
      <c r="AG89" t="s">
        <v>125</v>
      </c>
    </row>
    <row r="90" spans="1:33" x14ac:dyDescent="0.45">
      <c r="A90" s="2" t="s">
        <v>102</v>
      </c>
      <c r="Q90">
        <v>1</v>
      </c>
      <c r="S90">
        <v>1</v>
      </c>
      <c r="AF90">
        <v>1</v>
      </c>
      <c r="AG90" t="s">
        <v>122</v>
      </c>
    </row>
    <row r="91" spans="1:33" x14ac:dyDescent="0.45">
      <c r="A91" s="2" t="s">
        <v>43</v>
      </c>
      <c r="E91">
        <v>1</v>
      </c>
      <c r="G91">
        <v>1</v>
      </c>
      <c r="H91">
        <v>2</v>
      </c>
      <c r="I91">
        <v>2</v>
      </c>
      <c r="J91">
        <v>4</v>
      </c>
      <c r="K91">
        <v>2</v>
      </c>
      <c r="M91">
        <v>2</v>
      </c>
      <c r="N91">
        <v>6</v>
      </c>
      <c r="P91">
        <v>6</v>
      </c>
      <c r="R91">
        <v>2</v>
      </c>
      <c r="S91">
        <v>2</v>
      </c>
      <c r="X91">
        <v>1</v>
      </c>
      <c r="Y91">
        <v>1</v>
      </c>
      <c r="AA91">
        <v>1</v>
      </c>
      <c r="AB91">
        <v>1</v>
      </c>
      <c r="AF91">
        <v>17</v>
      </c>
      <c r="AG91" t="s">
        <v>134</v>
      </c>
    </row>
    <row r="92" spans="1:33" x14ac:dyDescent="0.45">
      <c r="A92" s="2" t="s">
        <v>79</v>
      </c>
      <c r="K92">
        <v>2</v>
      </c>
      <c r="M92">
        <v>2</v>
      </c>
      <c r="AD92">
        <v>1</v>
      </c>
      <c r="AE92">
        <v>1</v>
      </c>
      <c r="AF92">
        <v>3</v>
      </c>
      <c r="AG92" t="s">
        <v>155</v>
      </c>
    </row>
    <row r="93" spans="1:33" x14ac:dyDescent="0.45">
      <c r="A93" s="2" t="s">
        <v>63</v>
      </c>
      <c r="H93">
        <v>1</v>
      </c>
      <c r="I93">
        <v>3</v>
      </c>
      <c r="J93">
        <v>4</v>
      </c>
      <c r="N93">
        <v>2</v>
      </c>
      <c r="P93">
        <v>2</v>
      </c>
      <c r="AF93">
        <v>6</v>
      </c>
      <c r="AG93" t="s">
        <v>155</v>
      </c>
    </row>
    <row r="94" spans="1:33" x14ac:dyDescent="0.45">
      <c r="A94" s="2" t="s">
        <v>92</v>
      </c>
      <c r="N94">
        <v>2</v>
      </c>
      <c r="P94">
        <v>2</v>
      </c>
      <c r="R94">
        <v>1</v>
      </c>
      <c r="S94">
        <v>1</v>
      </c>
      <c r="AC94">
        <v>1</v>
      </c>
      <c r="AE94">
        <v>1</v>
      </c>
      <c r="AF94">
        <v>4</v>
      </c>
      <c r="AG94" t="s">
        <v>119</v>
      </c>
    </row>
    <row r="95" spans="1:33" x14ac:dyDescent="0.45">
      <c r="A95" s="2" t="s">
        <v>94</v>
      </c>
      <c r="AC95">
        <v>2</v>
      </c>
      <c r="AE95">
        <v>2</v>
      </c>
      <c r="AF95">
        <v>2</v>
      </c>
      <c r="AG95" t="s">
        <v>128</v>
      </c>
    </row>
    <row r="96" spans="1:33" x14ac:dyDescent="0.45">
      <c r="A96" s="2" t="s">
        <v>41</v>
      </c>
      <c r="E96">
        <v>1</v>
      </c>
      <c r="G96">
        <v>1</v>
      </c>
      <c r="H96">
        <v>1</v>
      </c>
      <c r="J96">
        <v>1</v>
      </c>
      <c r="N96">
        <v>1</v>
      </c>
      <c r="P96">
        <v>1</v>
      </c>
      <c r="T96">
        <v>2</v>
      </c>
      <c r="U96">
        <v>1</v>
      </c>
      <c r="V96">
        <v>3</v>
      </c>
      <c r="W96">
        <v>1</v>
      </c>
      <c r="X96">
        <v>1</v>
      </c>
      <c r="Y96">
        <v>2</v>
      </c>
      <c r="AC96">
        <v>2</v>
      </c>
      <c r="AE96">
        <v>2</v>
      </c>
      <c r="AF96">
        <v>10</v>
      </c>
      <c r="AG96" t="s">
        <v>126</v>
      </c>
    </row>
    <row r="97" spans="1:33" x14ac:dyDescent="0.45">
      <c r="A97" s="2" t="s">
        <v>61</v>
      </c>
      <c r="I97">
        <v>1</v>
      </c>
      <c r="J97">
        <v>1</v>
      </c>
      <c r="N97">
        <v>2</v>
      </c>
      <c r="P97">
        <v>2</v>
      </c>
      <c r="Q97">
        <v>1</v>
      </c>
      <c r="S97">
        <v>1</v>
      </c>
      <c r="T97">
        <v>1</v>
      </c>
      <c r="V97">
        <v>1</v>
      </c>
      <c r="W97">
        <v>1</v>
      </c>
      <c r="X97">
        <v>1</v>
      </c>
      <c r="Y97">
        <v>2</v>
      </c>
      <c r="AD97">
        <v>1</v>
      </c>
      <c r="AE97">
        <v>1</v>
      </c>
      <c r="AF97">
        <v>8</v>
      </c>
      <c r="AG97" t="s">
        <v>137</v>
      </c>
    </row>
    <row r="98" spans="1:33" x14ac:dyDescent="0.45">
      <c r="A98" s="2" t="s">
        <v>69</v>
      </c>
      <c r="E98">
        <v>1</v>
      </c>
      <c r="G98">
        <v>1</v>
      </c>
      <c r="H98">
        <v>2</v>
      </c>
      <c r="J98">
        <v>2</v>
      </c>
      <c r="K98">
        <v>1</v>
      </c>
      <c r="L98">
        <v>2</v>
      </c>
      <c r="M98">
        <v>3</v>
      </c>
      <c r="N98">
        <v>6</v>
      </c>
      <c r="P98">
        <v>6</v>
      </c>
      <c r="R98">
        <v>1</v>
      </c>
      <c r="S98">
        <v>1</v>
      </c>
      <c r="T98">
        <v>5</v>
      </c>
      <c r="V98">
        <v>5</v>
      </c>
      <c r="X98">
        <v>1</v>
      </c>
      <c r="Y98">
        <v>1</v>
      </c>
      <c r="AC98">
        <v>4</v>
      </c>
      <c r="AD98">
        <v>1</v>
      </c>
      <c r="AE98">
        <v>5</v>
      </c>
      <c r="AF98">
        <v>24</v>
      </c>
      <c r="AG98" t="s">
        <v>119</v>
      </c>
    </row>
    <row r="99" spans="1:33" x14ac:dyDescent="0.45">
      <c r="A99" s="2" t="s">
        <v>35</v>
      </c>
      <c r="B99">
        <v>1</v>
      </c>
      <c r="D99">
        <v>1</v>
      </c>
      <c r="F99">
        <v>1</v>
      </c>
      <c r="G99">
        <v>1</v>
      </c>
      <c r="H99">
        <v>1</v>
      </c>
      <c r="J99">
        <v>1</v>
      </c>
      <c r="N99">
        <v>6</v>
      </c>
      <c r="O99">
        <v>1</v>
      </c>
      <c r="P99">
        <v>7</v>
      </c>
      <c r="R99">
        <v>1</v>
      </c>
      <c r="S99">
        <v>1</v>
      </c>
      <c r="W99">
        <v>1</v>
      </c>
      <c r="Y99">
        <v>1</v>
      </c>
      <c r="AC99">
        <v>1</v>
      </c>
      <c r="AE99">
        <v>1</v>
      </c>
      <c r="AF99">
        <v>13</v>
      </c>
      <c r="AG99" t="s">
        <v>119</v>
      </c>
    </row>
    <row r="100" spans="1:33" x14ac:dyDescent="0.45">
      <c r="A100" s="2" t="s">
        <v>51</v>
      </c>
      <c r="B100">
        <v>1</v>
      </c>
      <c r="D100">
        <v>1</v>
      </c>
      <c r="H100">
        <v>2</v>
      </c>
      <c r="I100">
        <v>1</v>
      </c>
      <c r="J100">
        <v>3</v>
      </c>
      <c r="K100">
        <v>1</v>
      </c>
      <c r="M100">
        <v>1</v>
      </c>
      <c r="O100">
        <v>1</v>
      </c>
      <c r="P100">
        <v>1</v>
      </c>
      <c r="U100">
        <v>1</v>
      </c>
      <c r="V100">
        <v>1</v>
      </c>
      <c r="AC100">
        <v>2</v>
      </c>
      <c r="AD100">
        <v>2</v>
      </c>
      <c r="AE100">
        <v>4</v>
      </c>
      <c r="AF100">
        <v>11</v>
      </c>
      <c r="AG100" t="s">
        <v>126</v>
      </c>
    </row>
    <row r="101" spans="1:33" x14ac:dyDescent="0.45">
      <c r="A101" s="2" t="s">
        <v>47</v>
      </c>
      <c r="B101">
        <v>1</v>
      </c>
      <c r="D101">
        <v>1</v>
      </c>
      <c r="I101">
        <v>3</v>
      </c>
      <c r="J101">
        <v>3</v>
      </c>
      <c r="L101">
        <v>1</v>
      </c>
      <c r="M101">
        <v>1</v>
      </c>
      <c r="N101">
        <v>2</v>
      </c>
      <c r="P101">
        <v>2</v>
      </c>
      <c r="AC101">
        <v>1</v>
      </c>
      <c r="AD101">
        <v>1</v>
      </c>
      <c r="AE101">
        <v>2</v>
      </c>
      <c r="AF101">
        <v>9</v>
      </c>
      <c r="AG101" t="s">
        <v>119</v>
      </c>
    </row>
    <row r="102" spans="1:33" x14ac:dyDescent="0.45">
      <c r="A102" s="2" t="s">
        <v>39</v>
      </c>
      <c r="E102">
        <v>1</v>
      </c>
      <c r="G102">
        <v>1</v>
      </c>
      <c r="I102">
        <v>3</v>
      </c>
      <c r="J102">
        <v>3</v>
      </c>
      <c r="L102">
        <v>1</v>
      </c>
      <c r="M102">
        <v>1</v>
      </c>
      <c r="N102">
        <v>2</v>
      </c>
      <c r="P102">
        <v>2</v>
      </c>
      <c r="T102">
        <v>2</v>
      </c>
      <c r="U102">
        <v>1</v>
      </c>
      <c r="V102">
        <v>3</v>
      </c>
      <c r="X102">
        <v>1</v>
      </c>
      <c r="Y102">
        <v>1</v>
      </c>
      <c r="AC102">
        <v>1</v>
      </c>
      <c r="AE102">
        <v>1</v>
      </c>
      <c r="AF102">
        <v>12</v>
      </c>
      <c r="AG102" t="s">
        <v>119</v>
      </c>
    </row>
    <row r="103" spans="1:33" x14ac:dyDescent="0.45">
      <c r="A103" s="2" t="s">
        <v>88</v>
      </c>
      <c r="N103">
        <v>4</v>
      </c>
      <c r="P103">
        <v>4</v>
      </c>
      <c r="R103">
        <v>2</v>
      </c>
      <c r="S103">
        <v>2</v>
      </c>
      <c r="T103">
        <v>2</v>
      </c>
      <c r="V103">
        <v>2</v>
      </c>
      <c r="X103">
        <v>1</v>
      </c>
      <c r="Y103">
        <v>1</v>
      </c>
      <c r="Z103">
        <v>1</v>
      </c>
      <c r="AB103">
        <v>1</v>
      </c>
      <c r="AC103">
        <v>1</v>
      </c>
      <c r="AD103">
        <v>1</v>
      </c>
      <c r="AE103">
        <v>2</v>
      </c>
      <c r="AF103">
        <v>12</v>
      </c>
      <c r="AG103" t="s">
        <v>126</v>
      </c>
    </row>
    <row r="104" spans="1:33" x14ac:dyDescent="0.45">
      <c r="A104" s="2" t="s">
        <v>6</v>
      </c>
      <c r="C104">
        <v>2</v>
      </c>
      <c r="D104">
        <v>2</v>
      </c>
      <c r="F104">
        <v>1</v>
      </c>
      <c r="G104">
        <v>1</v>
      </c>
      <c r="H104">
        <v>2</v>
      </c>
      <c r="I104">
        <v>3</v>
      </c>
      <c r="J104">
        <v>5</v>
      </c>
      <c r="L104">
        <v>3</v>
      </c>
      <c r="M104">
        <v>3</v>
      </c>
      <c r="N104">
        <v>3</v>
      </c>
      <c r="P104">
        <v>3</v>
      </c>
      <c r="Q104">
        <v>3</v>
      </c>
      <c r="R104">
        <v>2</v>
      </c>
      <c r="S104">
        <v>5</v>
      </c>
      <c r="T104">
        <v>4</v>
      </c>
      <c r="U104">
        <v>1</v>
      </c>
      <c r="V104">
        <v>5</v>
      </c>
      <c r="Z104">
        <v>1</v>
      </c>
      <c r="AB104">
        <v>1</v>
      </c>
      <c r="AC104">
        <v>4</v>
      </c>
      <c r="AE104">
        <v>4</v>
      </c>
      <c r="AF104">
        <v>29</v>
      </c>
      <c r="AG104" t="s">
        <v>136</v>
      </c>
    </row>
    <row r="105" spans="1:33" x14ac:dyDescent="0.45">
      <c r="A105" s="2" t="s">
        <v>106</v>
      </c>
      <c r="B105">
        <v>37</v>
      </c>
      <c r="C105">
        <v>30</v>
      </c>
      <c r="D105">
        <v>67</v>
      </c>
      <c r="E105">
        <v>30</v>
      </c>
      <c r="F105">
        <v>20</v>
      </c>
      <c r="G105">
        <v>50</v>
      </c>
      <c r="H105">
        <v>151</v>
      </c>
      <c r="I105">
        <v>94</v>
      </c>
      <c r="J105">
        <v>245</v>
      </c>
      <c r="K105">
        <v>56</v>
      </c>
      <c r="L105">
        <v>38</v>
      </c>
      <c r="M105">
        <v>94</v>
      </c>
      <c r="N105">
        <v>331</v>
      </c>
      <c r="O105">
        <v>20</v>
      </c>
      <c r="P105">
        <v>351</v>
      </c>
      <c r="Q105">
        <v>55</v>
      </c>
      <c r="R105">
        <v>65</v>
      </c>
      <c r="S105">
        <v>120</v>
      </c>
      <c r="T105">
        <v>157</v>
      </c>
      <c r="U105">
        <v>20</v>
      </c>
      <c r="V105">
        <v>177</v>
      </c>
      <c r="W105">
        <v>31</v>
      </c>
      <c r="X105">
        <v>44</v>
      </c>
      <c r="Y105">
        <v>75</v>
      </c>
      <c r="Z105">
        <v>31</v>
      </c>
      <c r="AA105">
        <v>4</v>
      </c>
      <c r="AB105">
        <v>35</v>
      </c>
      <c r="AC105">
        <v>225</v>
      </c>
      <c r="AD105">
        <v>58</v>
      </c>
      <c r="AE105">
        <v>283</v>
      </c>
      <c r="AF105">
        <v>1497</v>
      </c>
    </row>
  </sheetData>
  <mergeCells count="2">
    <mergeCell ref="AM1:AV1"/>
    <mergeCell ref="AM27:AV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B386-8AED-4DF0-923E-2B32F035F89D}">
  <dimension ref="A3:BT66"/>
  <sheetViews>
    <sheetView tabSelected="1" topLeftCell="X1" zoomScale="78" zoomScaleNormal="60" workbookViewId="0">
      <selection activeCell="AP22" sqref="AP22"/>
    </sheetView>
  </sheetViews>
  <sheetFormatPr baseColWidth="10" defaultRowHeight="14.25" x14ac:dyDescent="0.45"/>
  <cols>
    <col min="1" max="1" width="42.1328125" bestFit="1" customWidth="1"/>
    <col min="2" max="2" width="20.06640625" bestFit="1" customWidth="1"/>
    <col min="3" max="3" width="2.73046875" bestFit="1" customWidth="1"/>
    <col min="4" max="4" width="6" bestFit="1" customWidth="1"/>
    <col min="5" max="5" width="3.33203125" bestFit="1" customWidth="1"/>
    <col min="6" max="6" width="2.73046875" bestFit="1" customWidth="1"/>
    <col min="7" max="7" width="6" bestFit="1" customWidth="1"/>
    <col min="8" max="8" width="3.73046875" bestFit="1" customWidth="1"/>
    <col min="9" max="9" width="2.73046875" bestFit="1" customWidth="1"/>
    <col min="10" max="10" width="6" bestFit="1" customWidth="1"/>
    <col min="11" max="11" width="3.33203125" bestFit="1" customWidth="1"/>
    <col min="12" max="12" width="2.73046875" bestFit="1" customWidth="1"/>
    <col min="13" max="13" width="6" bestFit="1" customWidth="1"/>
    <col min="14" max="14" width="3.73046875" bestFit="1" customWidth="1"/>
    <col min="15" max="15" width="2.73046875" bestFit="1" customWidth="1"/>
    <col min="16" max="16" width="6" bestFit="1" customWidth="1"/>
    <col min="17" max="17" width="3.33203125" bestFit="1" customWidth="1"/>
    <col min="18" max="18" width="2.73046875" bestFit="1" customWidth="1"/>
    <col min="19" max="19" width="6" bestFit="1" customWidth="1"/>
    <col min="20" max="20" width="3.73046875" bestFit="1" customWidth="1"/>
    <col min="21" max="21" width="2.73046875" bestFit="1" customWidth="1"/>
    <col min="22" max="22" width="6" bestFit="1" customWidth="1"/>
    <col min="23" max="23" width="3.33203125" bestFit="1" customWidth="1"/>
    <col min="24" max="24" width="2.73046875" bestFit="1" customWidth="1"/>
    <col min="25" max="25" width="6" bestFit="1" customWidth="1"/>
    <col min="26" max="26" width="3.33203125" bestFit="1" customWidth="1"/>
    <col min="27" max="27" width="1.73046875" bestFit="1" customWidth="1"/>
    <col min="28" max="28" width="6" bestFit="1" customWidth="1"/>
    <col min="29" max="29" width="4.33203125" bestFit="1" customWidth="1"/>
    <col min="30" max="30" width="2.73046875" bestFit="1" customWidth="1"/>
    <col min="31" max="31" width="7" bestFit="1" customWidth="1"/>
    <col min="32" max="32" width="11" bestFit="1" customWidth="1"/>
    <col min="36" max="36" width="43.59765625" bestFit="1" customWidth="1"/>
  </cols>
  <sheetData>
    <row r="3" spans="1:56" x14ac:dyDescent="0.45">
      <c r="A3" s="1" t="s">
        <v>141</v>
      </c>
      <c r="B3" s="1" t="s">
        <v>107</v>
      </c>
      <c r="AK3" t="s">
        <v>107</v>
      </c>
    </row>
    <row r="4" spans="1:56" x14ac:dyDescent="0.45">
      <c r="B4">
        <v>1</v>
      </c>
      <c r="D4" t="s">
        <v>142</v>
      </c>
      <c r="E4">
        <v>2</v>
      </c>
      <c r="G4" t="s">
        <v>143</v>
      </c>
      <c r="H4">
        <v>3</v>
      </c>
      <c r="J4" t="s">
        <v>144</v>
      </c>
      <c r="K4">
        <v>4</v>
      </c>
      <c r="M4" t="s">
        <v>145</v>
      </c>
      <c r="N4">
        <v>5</v>
      </c>
      <c r="P4" t="s">
        <v>146</v>
      </c>
      <c r="Q4">
        <v>6</v>
      </c>
      <c r="S4" t="s">
        <v>147</v>
      </c>
      <c r="T4">
        <v>7</v>
      </c>
      <c r="V4" t="s">
        <v>148</v>
      </c>
      <c r="W4">
        <v>8</v>
      </c>
      <c r="Y4" t="s">
        <v>149</v>
      </c>
      <c r="Z4">
        <v>9</v>
      </c>
      <c r="AB4" t="s">
        <v>150</v>
      </c>
      <c r="AC4">
        <v>10</v>
      </c>
      <c r="AE4" t="s">
        <v>151</v>
      </c>
      <c r="AF4" t="s">
        <v>106</v>
      </c>
      <c r="AJ4" s="3"/>
      <c r="AK4" s="21" t="s">
        <v>108</v>
      </c>
      <c r="AL4" s="21"/>
      <c r="AM4" s="21" t="s">
        <v>109</v>
      </c>
      <c r="AN4" s="21"/>
      <c r="AO4" s="21" t="s">
        <v>110</v>
      </c>
      <c r="AP4" s="21"/>
      <c r="AQ4" s="21" t="s">
        <v>111</v>
      </c>
      <c r="AR4" s="21"/>
      <c r="AS4" s="21" t="s">
        <v>112</v>
      </c>
      <c r="AT4" s="21"/>
      <c r="AU4" s="21" t="s">
        <v>113</v>
      </c>
      <c r="AV4" s="21"/>
      <c r="AW4" s="21" t="s">
        <v>114</v>
      </c>
      <c r="AX4" s="21"/>
      <c r="AY4" s="21" t="s">
        <v>115</v>
      </c>
      <c r="AZ4" s="21"/>
      <c r="BA4" s="21" t="s">
        <v>116</v>
      </c>
      <c r="BB4" s="21"/>
      <c r="BC4" s="21" t="s">
        <v>117</v>
      </c>
      <c r="BD4" s="21"/>
    </row>
    <row r="5" spans="1:56" x14ac:dyDescent="0.45">
      <c r="A5" s="1" t="s">
        <v>105</v>
      </c>
      <c r="B5">
        <v>-1</v>
      </c>
      <c r="C5">
        <v>1</v>
      </c>
      <c r="E5">
        <v>-1</v>
      </c>
      <c r="F5">
        <v>1</v>
      </c>
      <c r="H5">
        <v>-1</v>
      </c>
      <c r="I5">
        <v>1</v>
      </c>
      <c r="K5">
        <v>-1</v>
      </c>
      <c r="L5">
        <v>1</v>
      </c>
      <c r="N5">
        <v>-1</v>
      </c>
      <c r="O5">
        <v>1</v>
      </c>
      <c r="Q5">
        <v>-1</v>
      </c>
      <c r="R5">
        <v>1</v>
      </c>
      <c r="T5">
        <v>-1</v>
      </c>
      <c r="U5">
        <v>1</v>
      </c>
      <c r="W5">
        <v>-1</v>
      </c>
      <c r="X5">
        <v>1</v>
      </c>
      <c r="Z5">
        <v>-1</v>
      </c>
      <c r="AA5">
        <v>1</v>
      </c>
      <c r="AC5">
        <v>-1</v>
      </c>
      <c r="AD5">
        <v>1</v>
      </c>
      <c r="AJ5" s="3" t="s">
        <v>105</v>
      </c>
      <c r="AK5" s="3">
        <v>-1</v>
      </c>
      <c r="AL5" s="3">
        <v>1</v>
      </c>
      <c r="AM5" s="3">
        <v>-1</v>
      </c>
      <c r="AN5" s="3">
        <v>1</v>
      </c>
      <c r="AO5" s="3">
        <v>-1</v>
      </c>
      <c r="AP5" s="3">
        <v>1</v>
      </c>
      <c r="AQ5" s="3">
        <v>-1</v>
      </c>
      <c r="AR5" s="3">
        <v>1</v>
      </c>
      <c r="AS5" s="3">
        <v>-1</v>
      </c>
      <c r="AT5" s="3">
        <v>1</v>
      </c>
      <c r="AU5" s="3">
        <v>-1</v>
      </c>
      <c r="AV5" s="3">
        <v>1</v>
      </c>
      <c r="AW5" s="3">
        <v>-1</v>
      </c>
      <c r="AX5" s="3">
        <v>1</v>
      </c>
      <c r="AY5" s="3">
        <v>-1</v>
      </c>
      <c r="AZ5" s="3">
        <v>1</v>
      </c>
      <c r="BA5" s="3">
        <v>-1</v>
      </c>
      <c r="BB5" s="3">
        <v>1</v>
      </c>
      <c r="BC5" s="3">
        <v>-1</v>
      </c>
      <c r="BD5" s="3">
        <v>1</v>
      </c>
    </row>
    <row r="6" spans="1:56" x14ac:dyDescent="0.45">
      <c r="A6" s="2">
        <v>0</v>
      </c>
      <c r="B6">
        <v>1</v>
      </c>
      <c r="D6">
        <v>1</v>
      </c>
      <c r="E6">
        <v>1</v>
      </c>
      <c r="G6">
        <v>1</v>
      </c>
      <c r="H6">
        <v>4</v>
      </c>
      <c r="I6">
        <v>5</v>
      </c>
      <c r="J6">
        <v>9</v>
      </c>
      <c r="K6">
        <v>2</v>
      </c>
      <c r="L6">
        <v>1</v>
      </c>
      <c r="M6">
        <v>3</v>
      </c>
      <c r="N6">
        <v>2</v>
      </c>
      <c r="P6">
        <v>2</v>
      </c>
      <c r="T6">
        <v>2</v>
      </c>
      <c r="V6">
        <v>2</v>
      </c>
      <c r="X6">
        <v>1</v>
      </c>
      <c r="Y6">
        <v>1</v>
      </c>
      <c r="AD6">
        <v>1</v>
      </c>
      <c r="AE6">
        <v>1</v>
      </c>
      <c r="AF6">
        <v>20</v>
      </c>
      <c r="AJ6" s="3" t="s">
        <v>137</v>
      </c>
      <c r="AK6" s="3">
        <v>1</v>
      </c>
      <c r="AL6" s="3"/>
      <c r="AM6" s="3"/>
      <c r="AN6" s="3"/>
      <c r="AO6" s="3">
        <v>4</v>
      </c>
      <c r="AP6" s="3">
        <v>1</v>
      </c>
      <c r="AQ6" s="3">
        <v>4</v>
      </c>
      <c r="AR6" s="3"/>
      <c r="AS6" s="3">
        <v>22</v>
      </c>
      <c r="AT6" s="3">
        <v>1</v>
      </c>
      <c r="AU6" s="3">
        <v>8</v>
      </c>
      <c r="AV6" s="3"/>
      <c r="AW6" s="3">
        <v>1</v>
      </c>
      <c r="AX6" s="3">
        <v>1</v>
      </c>
      <c r="AY6" s="3">
        <v>1</v>
      </c>
      <c r="AZ6" s="3">
        <v>6</v>
      </c>
      <c r="BA6" s="3"/>
      <c r="BB6" s="3"/>
      <c r="BC6" s="3">
        <v>1</v>
      </c>
      <c r="BD6" s="3">
        <v>1</v>
      </c>
    </row>
    <row r="7" spans="1:56" x14ac:dyDescent="0.45">
      <c r="A7" s="2" t="s">
        <v>137</v>
      </c>
      <c r="B7">
        <v>1</v>
      </c>
      <c r="D7">
        <v>1</v>
      </c>
      <c r="H7">
        <v>4</v>
      </c>
      <c r="I7">
        <v>1</v>
      </c>
      <c r="J7">
        <v>5</v>
      </c>
      <c r="K7">
        <v>4</v>
      </c>
      <c r="M7">
        <v>4</v>
      </c>
      <c r="N7">
        <v>22</v>
      </c>
      <c r="O7">
        <v>1</v>
      </c>
      <c r="P7">
        <v>23</v>
      </c>
      <c r="Q7">
        <v>8</v>
      </c>
      <c r="S7">
        <v>8</v>
      </c>
      <c r="T7">
        <v>1</v>
      </c>
      <c r="U7">
        <v>1</v>
      </c>
      <c r="V7">
        <v>2</v>
      </c>
      <c r="W7">
        <v>1</v>
      </c>
      <c r="X7">
        <v>6</v>
      </c>
      <c r="Y7">
        <v>7</v>
      </c>
      <c r="AC7">
        <v>1</v>
      </c>
      <c r="AD7">
        <v>1</v>
      </c>
      <c r="AE7">
        <v>2</v>
      </c>
      <c r="AF7">
        <v>52</v>
      </c>
      <c r="AJ7" s="3" t="s">
        <v>119</v>
      </c>
      <c r="AK7" s="3">
        <v>20</v>
      </c>
      <c r="AL7" s="3">
        <v>3</v>
      </c>
      <c r="AM7" s="3">
        <v>10</v>
      </c>
      <c r="AN7" s="3">
        <v>6</v>
      </c>
      <c r="AO7" s="3">
        <v>36</v>
      </c>
      <c r="AP7" s="3">
        <v>33</v>
      </c>
      <c r="AQ7" s="3">
        <v>14</v>
      </c>
      <c r="AR7" s="3">
        <v>15</v>
      </c>
      <c r="AS7" s="3">
        <v>78</v>
      </c>
      <c r="AT7" s="3">
        <v>8</v>
      </c>
      <c r="AU7" s="3">
        <v>9</v>
      </c>
      <c r="AV7" s="3">
        <v>18</v>
      </c>
      <c r="AW7" s="3">
        <v>44</v>
      </c>
      <c r="AX7" s="3">
        <v>6</v>
      </c>
      <c r="AY7" s="3">
        <v>2</v>
      </c>
      <c r="AZ7" s="3">
        <v>6</v>
      </c>
      <c r="BA7" s="3">
        <v>8</v>
      </c>
      <c r="BB7" s="3"/>
      <c r="BC7" s="3">
        <v>63</v>
      </c>
      <c r="BD7" s="3">
        <v>24</v>
      </c>
    </row>
    <row r="8" spans="1:56" x14ac:dyDescent="0.45">
      <c r="A8" s="2" t="s">
        <v>119</v>
      </c>
      <c r="B8">
        <v>20</v>
      </c>
      <c r="C8">
        <v>3</v>
      </c>
      <c r="D8">
        <v>23</v>
      </c>
      <c r="E8">
        <v>10</v>
      </c>
      <c r="F8">
        <v>6</v>
      </c>
      <c r="G8">
        <v>16</v>
      </c>
      <c r="H8">
        <v>36</v>
      </c>
      <c r="I8">
        <v>33</v>
      </c>
      <c r="J8">
        <v>69</v>
      </c>
      <c r="K8">
        <v>14</v>
      </c>
      <c r="L8">
        <v>15</v>
      </c>
      <c r="M8">
        <v>29</v>
      </c>
      <c r="N8">
        <v>78</v>
      </c>
      <c r="O8">
        <v>8</v>
      </c>
      <c r="P8">
        <v>86</v>
      </c>
      <c r="Q8">
        <v>9</v>
      </c>
      <c r="R8">
        <v>18</v>
      </c>
      <c r="S8">
        <v>27</v>
      </c>
      <c r="T8">
        <v>44</v>
      </c>
      <c r="U8">
        <v>6</v>
      </c>
      <c r="V8">
        <v>50</v>
      </c>
      <c r="W8">
        <v>2</v>
      </c>
      <c r="X8">
        <v>6</v>
      </c>
      <c r="Y8">
        <v>8</v>
      </c>
      <c r="Z8">
        <v>8</v>
      </c>
      <c r="AB8">
        <v>8</v>
      </c>
      <c r="AC8">
        <v>63</v>
      </c>
      <c r="AD8">
        <v>24</v>
      </c>
      <c r="AE8">
        <v>87</v>
      </c>
      <c r="AF8">
        <v>403</v>
      </c>
      <c r="AJ8" s="3" t="s">
        <v>125</v>
      </c>
      <c r="AK8" s="3">
        <v>3</v>
      </c>
      <c r="AL8" s="3">
        <v>5</v>
      </c>
      <c r="AM8" s="3">
        <v>3</v>
      </c>
      <c r="AN8" s="3">
        <v>2</v>
      </c>
      <c r="AO8" s="3">
        <v>7</v>
      </c>
      <c r="AP8" s="3">
        <v>8</v>
      </c>
      <c r="AQ8" s="3">
        <v>2</v>
      </c>
      <c r="AR8" s="3">
        <v>4</v>
      </c>
      <c r="AS8" s="3">
        <v>43</v>
      </c>
      <c r="AT8" s="3"/>
      <c r="AU8" s="3">
        <v>4</v>
      </c>
      <c r="AV8" s="3">
        <v>8</v>
      </c>
      <c r="AW8" s="3">
        <v>17</v>
      </c>
      <c r="AX8" s="3">
        <v>3</v>
      </c>
      <c r="AY8" s="3">
        <v>4</v>
      </c>
      <c r="AZ8" s="3">
        <v>3</v>
      </c>
      <c r="BA8" s="3">
        <v>5</v>
      </c>
      <c r="BB8" s="3"/>
      <c r="BC8" s="3">
        <v>57</v>
      </c>
      <c r="BD8" s="3">
        <v>5</v>
      </c>
    </row>
    <row r="9" spans="1:56" x14ac:dyDescent="0.45">
      <c r="A9" s="2" t="s">
        <v>154</v>
      </c>
      <c r="N9">
        <v>1</v>
      </c>
      <c r="P9">
        <v>1</v>
      </c>
      <c r="W9">
        <v>1</v>
      </c>
      <c r="Y9">
        <v>1</v>
      </c>
      <c r="AC9">
        <v>2</v>
      </c>
      <c r="AE9">
        <v>2</v>
      </c>
      <c r="AF9">
        <v>4</v>
      </c>
      <c r="AJ9" s="3" t="s">
        <v>138</v>
      </c>
      <c r="AK9" s="3">
        <v>3</v>
      </c>
      <c r="AL9" s="3">
        <v>2</v>
      </c>
      <c r="AM9" s="3">
        <v>1</v>
      </c>
      <c r="AN9" s="3">
        <v>3</v>
      </c>
      <c r="AO9" s="3">
        <v>4</v>
      </c>
      <c r="AP9" s="3">
        <v>3</v>
      </c>
      <c r="AQ9" s="3">
        <v>1</v>
      </c>
      <c r="AR9" s="3">
        <v>0</v>
      </c>
      <c r="AS9" s="3">
        <v>7</v>
      </c>
      <c r="AT9" s="3">
        <v>0</v>
      </c>
      <c r="AU9" s="3">
        <v>0</v>
      </c>
      <c r="AV9" s="3">
        <v>2</v>
      </c>
      <c r="AW9" s="3">
        <v>9</v>
      </c>
      <c r="AX9" s="3">
        <v>1</v>
      </c>
      <c r="AY9" s="3">
        <v>0</v>
      </c>
      <c r="AZ9" s="3">
        <v>1</v>
      </c>
      <c r="BA9" s="3">
        <v>2</v>
      </c>
      <c r="BB9" s="3">
        <v>0</v>
      </c>
      <c r="BC9" s="3">
        <v>13</v>
      </c>
      <c r="BD9" s="3">
        <v>0</v>
      </c>
    </row>
    <row r="10" spans="1:56" x14ac:dyDescent="0.45">
      <c r="A10" s="2" t="s">
        <v>157</v>
      </c>
      <c r="H10">
        <v>1</v>
      </c>
      <c r="I10">
        <v>3</v>
      </c>
      <c r="J10">
        <v>4</v>
      </c>
      <c r="N10">
        <v>2</v>
      </c>
      <c r="P10">
        <v>2</v>
      </c>
      <c r="AF10">
        <v>6</v>
      </c>
      <c r="AJ10" s="3" t="s">
        <v>129</v>
      </c>
      <c r="AK10" s="3">
        <v>2</v>
      </c>
      <c r="AL10" s="3"/>
      <c r="AM10" s="3"/>
      <c r="AN10" s="3">
        <v>2</v>
      </c>
      <c r="AO10" s="3">
        <v>6</v>
      </c>
      <c r="AP10" s="3">
        <v>5</v>
      </c>
      <c r="AQ10" s="3">
        <v>3</v>
      </c>
      <c r="AR10" s="3">
        <v>2</v>
      </c>
      <c r="AS10" s="3">
        <v>14</v>
      </c>
      <c r="AT10" s="3">
        <v>1</v>
      </c>
      <c r="AU10" s="3">
        <v>5</v>
      </c>
      <c r="AV10" s="3">
        <v>3</v>
      </c>
      <c r="AW10" s="3">
        <v>5</v>
      </c>
      <c r="AX10" s="3">
        <v>1</v>
      </c>
      <c r="AY10" s="3">
        <v>1</v>
      </c>
      <c r="AZ10" s="3">
        <v>2</v>
      </c>
      <c r="BA10" s="3"/>
      <c r="BB10" s="3"/>
      <c r="BC10" s="3">
        <v>11</v>
      </c>
      <c r="BD10" s="3">
        <v>2</v>
      </c>
    </row>
    <row r="11" spans="1:56" x14ac:dyDescent="0.45">
      <c r="A11" s="2" t="s">
        <v>125</v>
      </c>
      <c r="B11">
        <v>3</v>
      </c>
      <c r="C11">
        <v>5</v>
      </c>
      <c r="D11">
        <v>8</v>
      </c>
      <c r="E11">
        <v>3</v>
      </c>
      <c r="F11">
        <v>2</v>
      </c>
      <c r="G11">
        <v>5</v>
      </c>
      <c r="H11">
        <v>7</v>
      </c>
      <c r="I11">
        <v>8</v>
      </c>
      <c r="J11">
        <v>15</v>
      </c>
      <c r="K11">
        <v>2</v>
      </c>
      <c r="L11">
        <v>4</v>
      </c>
      <c r="M11">
        <v>6</v>
      </c>
      <c r="N11">
        <v>43</v>
      </c>
      <c r="P11">
        <v>43</v>
      </c>
      <c r="Q11">
        <v>4</v>
      </c>
      <c r="R11">
        <v>8</v>
      </c>
      <c r="S11">
        <v>12</v>
      </c>
      <c r="T11">
        <v>17</v>
      </c>
      <c r="U11">
        <v>3</v>
      </c>
      <c r="V11">
        <v>20</v>
      </c>
      <c r="W11">
        <v>4</v>
      </c>
      <c r="X11">
        <v>3</v>
      </c>
      <c r="Y11">
        <v>7</v>
      </c>
      <c r="Z11">
        <v>5</v>
      </c>
      <c r="AB11">
        <v>5</v>
      </c>
      <c r="AC11">
        <v>57</v>
      </c>
      <c r="AD11">
        <v>5</v>
      </c>
      <c r="AE11">
        <v>62</v>
      </c>
      <c r="AF11">
        <v>183</v>
      </c>
      <c r="AJ11" s="3" t="s">
        <v>155</v>
      </c>
      <c r="AK11" s="3"/>
      <c r="AL11" s="3"/>
      <c r="AM11" s="3">
        <v>2</v>
      </c>
      <c r="AN11" s="3"/>
      <c r="AO11" s="3">
        <v>1</v>
      </c>
      <c r="AP11" s="3">
        <v>3</v>
      </c>
      <c r="AQ11" s="3">
        <v>2</v>
      </c>
      <c r="AR11" s="3"/>
      <c r="AS11" s="3">
        <v>3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2</v>
      </c>
    </row>
    <row r="12" spans="1:56" x14ac:dyDescent="0.45">
      <c r="A12" s="2" t="s">
        <v>138</v>
      </c>
      <c r="B12">
        <v>2</v>
      </c>
      <c r="C12">
        <v>1</v>
      </c>
      <c r="D12">
        <v>3</v>
      </c>
      <c r="E12">
        <v>1</v>
      </c>
      <c r="F12">
        <v>2</v>
      </c>
      <c r="G12">
        <v>3</v>
      </c>
      <c r="H12">
        <v>2</v>
      </c>
      <c r="I12">
        <v>1</v>
      </c>
      <c r="J12">
        <v>3</v>
      </c>
      <c r="N12">
        <v>4</v>
      </c>
      <c r="P12">
        <v>4</v>
      </c>
      <c r="R12">
        <v>1</v>
      </c>
      <c r="S12">
        <v>1</v>
      </c>
      <c r="T12">
        <v>5</v>
      </c>
      <c r="U12">
        <v>1</v>
      </c>
      <c r="V12">
        <v>6</v>
      </c>
      <c r="X12">
        <v>1</v>
      </c>
      <c r="Y12">
        <v>1</v>
      </c>
      <c r="Z12">
        <v>1</v>
      </c>
      <c r="AB12">
        <v>1</v>
      </c>
      <c r="AC12">
        <v>7</v>
      </c>
      <c r="AE12">
        <v>7</v>
      </c>
      <c r="AF12">
        <v>29</v>
      </c>
      <c r="AJ12" s="3" t="s">
        <v>124</v>
      </c>
      <c r="AK12" s="3"/>
      <c r="AL12" s="3"/>
      <c r="AM12" s="3"/>
      <c r="AN12" s="3"/>
      <c r="AO12" s="3"/>
      <c r="AP12" s="3">
        <v>1</v>
      </c>
      <c r="AQ12" s="3">
        <v>1</v>
      </c>
      <c r="AR12" s="3">
        <v>1</v>
      </c>
      <c r="AS12" s="3">
        <v>3</v>
      </c>
      <c r="AT12" s="3"/>
      <c r="AU12" s="3"/>
      <c r="AV12" s="3"/>
      <c r="AW12" s="3">
        <v>1</v>
      </c>
      <c r="AX12" s="3">
        <v>1</v>
      </c>
      <c r="AY12" s="3"/>
      <c r="AZ12" s="3"/>
      <c r="BA12" s="3"/>
      <c r="BB12" s="3"/>
      <c r="BC12" s="3">
        <v>2</v>
      </c>
      <c r="BD12" s="3">
        <v>2</v>
      </c>
    </row>
    <row r="13" spans="1:56" x14ac:dyDescent="0.45">
      <c r="A13" s="2" t="s">
        <v>127</v>
      </c>
      <c r="B13">
        <v>1</v>
      </c>
      <c r="C13">
        <v>1</v>
      </c>
      <c r="D13">
        <v>2</v>
      </c>
      <c r="F13">
        <v>1</v>
      </c>
      <c r="G13">
        <v>1</v>
      </c>
      <c r="H13">
        <v>2</v>
      </c>
      <c r="I13">
        <v>2</v>
      </c>
      <c r="J13">
        <v>4</v>
      </c>
      <c r="K13">
        <v>1</v>
      </c>
      <c r="M13">
        <v>1</v>
      </c>
      <c r="N13">
        <v>3</v>
      </c>
      <c r="P13">
        <v>3</v>
      </c>
      <c r="R13">
        <v>1</v>
      </c>
      <c r="S13">
        <v>1</v>
      </c>
      <c r="T13">
        <v>4</v>
      </c>
      <c r="V13">
        <v>4</v>
      </c>
      <c r="Z13">
        <v>1</v>
      </c>
      <c r="AB13">
        <v>1</v>
      </c>
      <c r="AC13">
        <v>6</v>
      </c>
      <c r="AE13">
        <v>6</v>
      </c>
      <c r="AF13">
        <v>23</v>
      </c>
      <c r="AJ13" s="3" t="s">
        <v>123</v>
      </c>
      <c r="AK13" s="3"/>
      <c r="AL13" s="3">
        <v>1</v>
      </c>
      <c r="AM13" s="3"/>
      <c r="AN13" s="3"/>
      <c r="AO13" s="3"/>
      <c r="AP13" s="3">
        <v>2</v>
      </c>
      <c r="AQ13" s="3"/>
      <c r="AR13" s="3">
        <v>1</v>
      </c>
      <c r="AS13" s="3">
        <v>6</v>
      </c>
      <c r="AT13" s="3"/>
      <c r="AU13" s="3">
        <v>1</v>
      </c>
      <c r="AV13" s="3"/>
      <c r="AW13" s="3"/>
      <c r="AX13" s="3"/>
      <c r="AY13" s="3"/>
      <c r="AZ13" s="3">
        <v>2</v>
      </c>
      <c r="BA13" s="3">
        <v>1</v>
      </c>
      <c r="BB13" s="3"/>
      <c r="BC13" s="3">
        <v>6</v>
      </c>
      <c r="BD13" s="3">
        <v>1</v>
      </c>
    </row>
    <row r="14" spans="1:56" x14ac:dyDescent="0.45">
      <c r="A14" s="2" t="s">
        <v>129</v>
      </c>
      <c r="B14">
        <v>2</v>
      </c>
      <c r="D14">
        <v>2</v>
      </c>
      <c r="F14">
        <v>2</v>
      </c>
      <c r="G14">
        <v>2</v>
      </c>
      <c r="H14">
        <v>6</v>
      </c>
      <c r="I14">
        <v>5</v>
      </c>
      <c r="J14">
        <v>11</v>
      </c>
      <c r="K14">
        <v>3</v>
      </c>
      <c r="L14">
        <v>2</v>
      </c>
      <c r="M14">
        <v>5</v>
      </c>
      <c r="N14">
        <v>14</v>
      </c>
      <c r="O14">
        <v>1</v>
      </c>
      <c r="P14">
        <v>15</v>
      </c>
      <c r="Q14">
        <v>5</v>
      </c>
      <c r="R14">
        <v>3</v>
      </c>
      <c r="S14">
        <v>8</v>
      </c>
      <c r="T14">
        <v>5</v>
      </c>
      <c r="U14">
        <v>1</v>
      </c>
      <c r="V14">
        <v>6</v>
      </c>
      <c r="W14">
        <v>1</v>
      </c>
      <c r="X14">
        <v>2</v>
      </c>
      <c r="Y14">
        <v>3</v>
      </c>
      <c r="AC14">
        <v>11</v>
      </c>
      <c r="AD14">
        <v>2</v>
      </c>
      <c r="AE14">
        <v>13</v>
      </c>
      <c r="AF14">
        <v>65</v>
      </c>
      <c r="AJ14" s="3" t="s">
        <v>122</v>
      </c>
      <c r="AK14" s="3"/>
      <c r="AL14" s="3">
        <v>1</v>
      </c>
      <c r="AM14" s="3">
        <v>2</v>
      </c>
      <c r="AN14" s="3">
        <v>1</v>
      </c>
      <c r="AO14" s="3">
        <v>10</v>
      </c>
      <c r="AP14" s="3">
        <v>4</v>
      </c>
      <c r="AQ14" s="3">
        <v>4</v>
      </c>
      <c r="AR14" s="3">
        <v>3</v>
      </c>
      <c r="AS14" s="3">
        <v>30</v>
      </c>
      <c r="AT14" s="3"/>
      <c r="AU14" s="3">
        <v>2</v>
      </c>
      <c r="AV14" s="3">
        <v>6</v>
      </c>
      <c r="AW14" s="3"/>
      <c r="AX14" s="3"/>
      <c r="AY14" s="3">
        <v>5</v>
      </c>
      <c r="AZ14" s="3"/>
      <c r="BA14" s="3">
        <v>2</v>
      </c>
      <c r="BB14" s="3">
        <v>3</v>
      </c>
      <c r="BC14" s="3">
        <v>9</v>
      </c>
      <c r="BD14" s="3">
        <v>2</v>
      </c>
    </row>
    <row r="15" spans="1:56" x14ac:dyDescent="0.45">
      <c r="A15" s="2" t="s">
        <v>155</v>
      </c>
      <c r="E15">
        <v>2</v>
      </c>
      <c r="G15">
        <v>2</v>
      </c>
      <c r="H15">
        <v>1</v>
      </c>
      <c r="I15">
        <v>3</v>
      </c>
      <c r="J15">
        <v>4</v>
      </c>
      <c r="K15">
        <v>2</v>
      </c>
      <c r="M15">
        <v>2</v>
      </c>
      <c r="N15">
        <v>3</v>
      </c>
      <c r="P15">
        <v>3</v>
      </c>
      <c r="AD15">
        <v>2</v>
      </c>
      <c r="AE15">
        <v>2</v>
      </c>
      <c r="AF15">
        <v>13</v>
      </c>
      <c r="AJ15" s="3" t="s">
        <v>120</v>
      </c>
      <c r="AK15" s="3">
        <v>1</v>
      </c>
      <c r="AL15" s="3">
        <v>2</v>
      </c>
      <c r="AM15" s="3">
        <v>1</v>
      </c>
      <c r="AN15" s="3"/>
      <c r="AO15" s="3">
        <v>1</v>
      </c>
      <c r="AP15" s="3">
        <v>2</v>
      </c>
      <c r="AQ15" s="3">
        <v>2</v>
      </c>
      <c r="AR15" s="3"/>
      <c r="AS15" s="3">
        <v>11</v>
      </c>
      <c r="AT15" s="3">
        <v>1</v>
      </c>
      <c r="AU15" s="3">
        <v>1</v>
      </c>
      <c r="AV15" s="3"/>
      <c r="AW15" s="3">
        <v>2</v>
      </c>
      <c r="AX15" s="3">
        <v>1</v>
      </c>
      <c r="AY15" s="3">
        <v>1</v>
      </c>
      <c r="AZ15" s="3">
        <v>2</v>
      </c>
      <c r="BA15" s="3"/>
      <c r="BB15" s="3"/>
      <c r="BC15" s="3">
        <v>1</v>
      </c>
      <c r="BD15" s="3">
        <v>3</v>
      </c>
    </row>
    <row r="16" spans="1:56" x14ac:dyDescent="0.45">
      <c r="A16" s="2" t="s">
        <v>124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P16">
        <v>3</v>
      </c>
      <c r="T16">
        <v>1</v>
      </c>
      <c r="U16">
        <v>1</v>
      </c>
      <c r="V16">
        <v>2</v>
      </c>
      <c r="AC16">
        <v>2</v>
      </c>
      <c r="AD16">
        <v>2</v>
      </c>
      <c r="AE16">
        <v>4</v>
      </c>
      <c r="AF16">
        <v>12</v>
      </c>
      <c r="AJ16" s="3" t="s">
        <v>126</v>
      </c>
      <c r="AK16" s="3">
        <v>1</v>
      </c>
      <c r="AL16" s="3">
        <v>6</v>
      </c>
      <c r="AM16" s="3">
        <v>1</v>
      </c>
      <c r="AN16" s="3">
        <v>1</v>
      </c>
      <c r="AO16" s="3">
        <v>10</v>
      </c>
      <c r="AP16" s="3">
        <v>5</v>
      </c>
      <c r="AQ16" s="3">
        <v>3</v>
      </c>
      <c r="AR16" s="3">
        <v>1</v>
      </c>
      <c r="AS16" s="3">
        <v>19</v>
      </c>
      <c r="AT16" s="3">
        <v>2</v>
      </c>
      <c r="AU16" s="3">
        <v>4</v>
      </c>
      <c r="AV16" s="3">
        <v>8</v>
      </c>
      <c r="AW16" s="3">
        <v>10</v>
      </c>
      <c r="AX16" s="3">
        <v>2</v>
      </c>
      <c r="AY16" s="3">
        <v>6</v>
      </c>
      <c r="AZ16" s="3">
        <v>3</v>
      </c>
      <c r="BA16" s="3">
        <v>7</v>
      </c>
      <c r="BB16" s="3">
        <v>0</v>
      </c>
      <c r="BC16" s="3">
        <v>13</v>
      </c>
      <c r="BD16" s="3">
        <v>8</v>
      </c>
    </row>
    <row r="17" spans="1:72" x14ac:dyDescent="0.45">
      <c r="A17" s="2" t="s">
        <v>130</v>
      </c>
      <c r="E17">
        <v>2</v>
      </c>
      <c r="G17">
        <v>2</v>
      </c>
      <c r="H17">
        <v>5</v>
      </c>
      <c r="I17">
        <v>4</v>
      </c>
      <c r="J17">
        <v>9</v>
      </c>
      <c r="K17">
        <v>2</v>
      </c>
      <c r="L17">
        <v>3</v>
      </c>
      <c r="M17">
        <v>5</v>
      </c>
      <c r="N17">
        <v>6</v>
      </c>
      <c r="P17">
        <v>6</v>
      </c>
      <c r="T17">
        <v>8</v>
      </c>
      <c r="V17">
        <v>8</v>
      </c>
      <c r="X17">
        <v>1</v>
      </c>
      <c r="Y17">
        <v>1</v>
      </c>
      <c r="Z17">
        <v>2</v>
      </c>
      <c r="AB17">
        <v>2</v>
      </c>
      <c r="AC17">
        <v>6</v>
      </c>
      <c r="AD17">
        <v>1</v>
      </c>
      <c r="AE17">
        <v>7</v>
      </c>
      <c r="AF17">
        <v>40</v>
      </c>
      <c r="AJ17" s="3" t="s">
        <v>132</v>
      </c>
      <c r="AK17" s="3">
        <v>1</v>
      </c>
      <c r="AL17" s="3">
        <v>1</v>
      </c>
      <c r="AM17" s="3">
        <v>2</v>
      </c>
      <c r="AN17" s="3">
        <v>2</v>
      </c>
      <c r="AO17" s="3">
        <v>7</v>
      </c>
      <c r="AP17" s="3">
        <v>3</v>
      </c>
      <c r="AQ17" s="3">
        <v>3</v>
      </c>
      <c r="AR17" s="3">
        <v>2</v>
      </c>
      <c r="AS17" s="3">
        <v>11</v>
      </c>
      <c r="AT17" s="3">
        <v>1</v>
      </c>
      <c r="AU17" s="3">
        <v>5</v>
      </c>
      <c r="AV17" s="3">
        <v>4</v>
      </c>
      <c r="AW17" s="3">
        <v>10</v>
      </c>
      <c r="AX17" s="3">
        <v>2</v>
      </c>
      <c r="AY17" s="3"/>
      <c r="AZ17" s="3">
        <v>1</v>
      </c>
      <c r="BA17" s="3"/>
      <c r="BB17" s="3"/>
      <c r="BC17" s="3">
        <v>10</v>
      </c>
      <c r="BD17" s="3">
        <v>2</v>
      </c>
    </row>
    <row r="18" spans="1:72" x14ac:dyDescent="0.45">
      <c r="A18" s="2" t="s">
        <v>123</v>
      </c>
      <c r="C18">
        <v>1</v>
      </c>
      <c r="D18">
        <v>1</v>
      </c>
      <c r="I18">
        <v>2</v>
      </c>
      <c r="J18">
        <v>2</v>
      </c>
      <c r="L18">
        <v>1</v>
      </c>
      <c r="M18">
        <v>1</v>
      </c>
      <c r="N18">
        <v>6</v>
      </c>
      <c r="P18">
        <v>6</v>
      </c>
      <c r="Q18">
        <v>1</v>
      </c>
      <c r="S18">
        <v>1</v>
      </c>
      <c r="X18">
        <v>2</v>
      </c>
      <c r="Y18">
        <v>2</v>
      </c>
      <c r="Z18">
        <v>1</v>
      </c>
      <c r="AB18">
        <v>1</v>
      </c>
      <c r="AC18">
        <v>6</v>
      </c>
      <c r="AD18">
        <v>1</v>
      </c>
      <c r="AE18">
        <v>7</v>
      </c>
      <c r="AF18">
        <v>21</v>
      </c>
      <c r="AJ18" s="3" t="s">
        <v>135</v>
      </c>
      <c r="AK18" s="3">
        <v>3</v>
      </c>
      <c r="AL18" s="3">
        <v>5</v>
      </c>
      <c r="AM18" s="3">
        <v>2</v>
      </c>
      <c r="AN18" s="3">
        <v>0</v>
      </c>
      <c r="AO18" s="3">
        <v>46</v>
      </c>
      <c r="AP18" s="3">
        <v>10</v>
      </c>
      <c r="AQ18" s="3">
        <v>13</v>
      </c>
      <c r="AR18" s="3">
        <v>0</v>
      </c>
      <c r="AS18" s="3">
        <v>38</v>
      </c>
      <c r="AT18" s="3">
        <v>6</v>
      </c>
      <c r="AU18" s="3">
        <v>12</v>
      </c>
      <c r="AV18" s="3">
        <v>9</v>
      </c>
      <c r="AW18" s="3">
        <v>39</v>
      </c>
      <c r="AX18" s="3">
        <v>0</v>
      </c>
      <c r="AY18" s="3">
        <v>10</v>
      </c>
      <c r="AZ18" s="3">
        <v>14</v>
      </c>
      <c r="BA18" s="3">
        <v>1</v>
      </c>
      <c r="BB18" s="3">
        <v>1</v>
      </c>
      <c r="BC18" s="3">
        <v>20</v>
      </c>
      <c r="BD18" s="3">
        <v>4</v>
      </c>
    </row>
    <row r="19" spans="1:72" x14ac:dyDescent="0.45">
      <c r="A19" s="2" t="s">
        <v>122</v>
      </c>
      <c r="C19">
        <v>1</v>
      </c>
      <c r="D19">
        <v>1</v>
      </c>
      <c r="E19">
        <v>2</v>
      </c>
      <c r="F19">
        <v>1</v>
      </c>
      <c r="G19">
        <v>3</v>
      </c>
      <c r="H19">
        <v>10</v>
      </c>
      <c r="I19">
        <v>4</v>
      </c>
      <c r="J19">
        <v>14</v>
      </c>
      <c r="K19">
        <v>4</v>
      </c>
      <c r="L19">
        <v>3</v>
      </c>
      <c r="M19">
        <v>7</v>
      </c>
      <c r="N19">
        <v>30</v>
      </c>
      <c r="P19">
        <v>30</v>
      </c>
      <c r="Q19">
        <v>2</v>
      </c>
      <c r="R19">
        <v>6</v>
      </c>
      <c r="S19">
        <v>8</v>
      </c>
      <c r="W19">
        <v>5</v>
      </c>
      <c r="Y19">
        <v>5</v>
      </c>
      <c r="Z19">
        <v>2</v>
      </c>
      <c r="AA19">
        <v>3</v>
      </c>
      <c r="AB19">
        <v>5</v>
      </c>
      <c r="AC19">
        <v>9</v>
      </c>
      <c r="AD19">
        <v>2</v>
      </c>
      <c r="AE19">
        <v>11</v>
      </c>
      <c r="AF19">
        <v>84</v>
      </c>
      <c r="AJ19" s="3" t="s">
        <v>156</v>
      </c>
      <c r="AK19" s="3"/>
      <c r="AL19" s="3"/>
      <c r="AM19" s="3"/>
      <c r="AN19" s="3"/>
      <c r="AO19" s="3">
        <v>1</v>
      </c>
      <c r="AP19" s="3"/>
      <c r="AQ19" s="3"/>
      <c r="AR19" s="3"/>
      <c r="AS19" s="3">
        <v>4</v>
      </c>
      <c r="AT19" s="3"/>
      <c r="AU19" s="3">
        <v>1</v>
      </c>
      <c r="AV19" s="3"/>
      <c r="AW19" s="3"/>
      <c r="AX19" s="3"/>
      <c r="AY19" s="3"/>
      <c r="AZ19" s="3"/>
      <c r="BA19" s="3"/>
      <c r="BB19" s="3"/>
      <c r="BC19" s="3">
        <v>2</v>
      </c>
      <c r="BD19" s="3"/>
    </row>
    <row r="20" spans="1:72" x14ac:dyDescent="0.45">
      <c r="A20" s="2" t="s">
        <v>120</v>
      </c>
      <c r="B20">
        <v>1</v>
      </c>
      <c r="C20">
        <v>2</v>
      </c>
      <c r="D20">
        <v>3</v>
      </c>
      <c r="E20">
        <v>1</v>
      </c>
      <c r="G20">
        <v>1</v>
      </c>
      <c r="H20">
        <v>1</v>
      </c>
      <c r="I20">
        <v>2</v>
      </c>
      <c r="J20">
        <v>3</v>
      </c>
      <c r="K20">
        <v>2</v>
      </c>
      <c r="M20">
        <v>2</v>
      </c>
      <c r="N20">
        <v>11</v>
      </c>
      <c r="O20">
        <v>1</v>
      </c>
      <c r="P20">
        <v>12</v>
      </c>
      <c r="Q20">
        <v>1</v>
      </c>
      <c r="S20">
        <v>1</v>
      </c>
      <c r="T20">
        <v>2</v>
      </c>
      <c r="U20">
        <v>1</v>
      </c>
      <c r="V20">
        <v>3</v>
      </c>
      <c r="W20">
        <v>1</v>
      </c>
      <c r="X20">
        <v>2</v>
      </c>
      <c r="Y20">
        <v>3</v>
      </c>
      <c r="AC20">
        <v>1</v>
      </c>
      <c r="AD20">
        <v>3</v>
      </c>
      <c r="AE20">
        <v>4</v>
      </c>
      <c r="AF20">
        <v>32</v>
      </c>
      <c r="AJ20" s="3" t="s">
        <v>136</v>
      </c>
      <c r="AK20" s="3">
        <v>1</v>
      </c>
      <c r="AL20" s="3">
        <v>3</v>
      </c>
      <c r="AM20" s="3">
        <v>2</v>
      </c>
      <c r="AN20" s="3">
        <v>2</v>
      </c>
      <c r="AO20" s="3">
        <v>8</v>
      </c>
      <c r="AP20" s="3">
        <v>3</v>
      </c>
      <c r="AQ20" s="3">
        <v>0</v>
      </c>
      <c r="AR20" s="3">
        <v>4</v>
      </c>
      <c r="AS20" s="3">
        <v>24</v>
      </c>
      <c r="AT20" s="3">
        <v>0</v>
      </c>
      <c r="AU20" s="3">
        <v>3</v>
      </c>
      <c r="AV20" s="3">
        <v>5</v>
      </c>
      <c r="AW20" s="3">
        <v>6</v>
      </c>
      <c r="AX20" s="3">
        <v>1</v>
      </c>
      <c r="AY20" s="3">
        <v>0</v>
      </c>
      <c r="AZ20" s="3">
        <v>2</v>
      </c>
      <c r="BA20" s="3">
        <v>3</v>
      </c>
      <c r="BB20" s="3">
        <v>0</v>
      </c>
      <c r="BC20" s="3">
        <v>8</v>
      </c>
      <c r="BD20" s="3">
        <v>0</v>
      </c>
    </row>
    <row r="21" spans="1:72" x14ac:dyDescent="0.45">
      <c r="A21" s="2" t="s">
        <v>133</v>
      </c>
      <c r="C21">
        <v>1</v>
      </c>
      <c r="D21">
        <v>1</v>
      </c>
      <c r="K21">
        <v>1</v>
      </c>
      <c r="L21">
        <v>1</v>
      </c>
      <c r="M21">
        <v>2</v>
      </c>
      <c r="N21">
        <v>2</v>
      </c>
      <c r="P21">
        <v>2</v>
      </c>
      <c r="R21">
        <v>1</v>
      </c>
      <c r="S21">
        <v>1</v>
      </c>
      <c r="T21">
        <v>1</v>
      </c>
      <c r="V21">
        <v>1</v>
      </c>
      <c r="W21">
        <v>1</v>
      </c>
      <c r="Y21">
        <v>1</v>
      </c>
      <c r="AC21">
        <v>2</v>
      </c>
      <c r="AE21">
        <v>2</v>
      </c>
      <c r="AF21">
        <v>10</v>
      </c>
    </row>
    <row r="22" spans="1:72" x14ac:dyDescent="0.45">
      <c r="A22" s="2" t="s">
        <v>126</v>
      </c>
      <c r="B22">
        <v>1</v>
      </c>
      <c r="C22">
        <v>5</v>
      </c>
      <c r="D22">
        <v>6</v>
      </c>
      <c r="E22">
        <v>1</v>
      </c>
      <c r="F22">
        <v>1</v>
      </c>
      <c r="G22">
        <v>2</v>
      </c>
      <c r="H22">
        <v>10</v>
      </c>
      <c r="I22">
        <v>5</v>
      </c>
      <c r="J22">
        <v>15</v>
      </c>
      <c r="K22">
        <v>2</v>
      </c>
      <c r="M22">
        <v>2</v>
      </c>
      <c r="N22">
        <v>17</v>
      </c>
      <c r="O22">
        <v>2</v>
      </c>
      <c r="P22">
        <v>19</v>
      </c>
      <c r="Q22">
        <v>4</v>
      </c>
      <c r="R22">
        <v>7</v>
      </c>
      <c r="S22">
        <v>11</v>
      </c>
      <c r="T22">
        <v>9</v>
      </c>
      <c r="U22">
        <v>2</v>
      </c>
      <c r="V22">
        <v>11</v>
      </c>
      <c r="W22">
        <v>5</v>
      </c>
      <c r="X22">
        <v>3</v>
      </c>
      <c r="Y22">
        <v>8</v>
      </c>
      <c r="Z22">
        <v>7</v>
      </c>
      <c r="AB22">
        <v>7</v>
      </c>
      <c r="AC22">
        <v>11</v>
      </c>
      <c r="AD22">
        <v>8</v>
      </c>
      <c r="AE22">
        <v>19</v>
      </c>
      <c r="AF22">
        <v>100</v>
      </c>
    </row>
    <row r="23" spans="1:72" x14ac:dyDescent="0.45">
      <c r="A23" s="2" t="s">
        <v>128</v>
      </c>
      <c r="B23">
        <v>1</v>
      </c>
      <c r="C23">
        <v>1</v>
      </c>
      <c r="D23">
        <v>2</v>
      </c>
      <c r="E23">
        <v>2</v>
      </c>
      <c r="G23">
        <v>2</v>
      </c>
      <c r="H23">
        <v>5</v>
      </c>
      <c r="J23">
        <v>5</v>
      </c>
      <c r="L23">
        <v>1</v>
      </c>
      <c r="M23">
        <v>1</v>
      </c>
      <c r="N23">
        <v>14</v>
      </c>
      <c r="P23">
        <v>14</v>
      </c>
      <c r="R23">
        <v>3</v>
      </c>
      <c r="S23">
        <v>3</v>
      </c>
      <c r="T23">
        <v>1</v>
      </c>
      <c r="V23">
        <v>1</v>
      </c>
      <c r="X23">
        <v>2</v>
      </c>
      <c r="Y23">
        <v>2</v>
      </c>
      <c r="AC23">
        <v>4</v>
      </c>
      <c r="AE23">
        <v>4</v>
      </c>
      <c r="AF23">
        <v>34</v>
      </c>
    </row>
    <row r="24" spans="1:72" x14ac:dyDescent="0.45">
      <c r="A24" s="2" t="s">
        <v>132</v>
      </c>
      <c r="B24">
        <v>1</v>
      </c>
      <c r="C24">
        <v>1</v>
      </c>
      <c r="D24">
        <v>2</v>
      </c>
      <c r="E24">
        <v>2</v>
      </c>
      <c r="F24">
        <v>2</v>
      </c>
      <c r="G24">
        <v>4</v>
      </c>
      <c r="H24">
        <v>7</v>
      </c>
      <c r="I24">
        <v>3</v>
      </c>
      <c r="J24">
        <v>10</v>
      </c>
      <c r="K24">
        <v>3</v>
      </c>
      <c r="L24">
        <v>2</v>
      </c>
      <c r="M24">
        <v>5</v>
      </c>
      <c r="N24">
        <v>11</v>
      </c>
      <c r="O24">
        <v>1</v>
      </c>
      <c r="P24">
        <v>12</v>
      </c>
      <c r="Q24">
        <v>5</v>
      </c>
      <c r="R24">
        <v>4</v>
      </c>
      <c r="S24">
        <v>9</v>
      </c>
      <c r="T24">
        <v>10</v>
      </c>
      <c r="U24">
        <v>2</v>
      </c>
      <c r="V24">
        <v>12</v>
      </c>
      <c r="X24">
        <v>1</v>
      </c>
      <c r="Y24">
        <v>1</v>
      </c>
      <c r="AC24">
        <v>10</v>
      </c>
      <c r="AD24">
        <v>2</v>
      </c>
      <c r="AE24">
        <v>12</v>
      </c>
      <c r="AF24">
        <v>67</v>
      </c>
    </row>
    <row r="25" spans="1:72" x14ac:dyDescent="0.45">
      <c r="A25" s="2" t="s">
        <v>131</v>
      </c>
      <c r="B25">
        <v>1</v>
      </c>
      <c r="D25">
        <v>1</v>
      </c>
      <c r="H25">
        <v>5</v>
      </c>
      <c r="I25">
        <v>1</v>
      </c>
      <c r="J25">
        <v>6</v>
      </c>
      <c r="K25">
        <v>3</v>
      </c>
      <c r="M25">
        <v>3</v>
      </c>
      <c r="N25">
        <v>9</v>
      </c>
      <c r="O25">
        <v>2</v>
      </c>
      <c r="P25">
        <v>11</v>
      </c>
      <c r="Q25">
        <v>4</v>
      </c>
      <c r="R25">
        <v>3</v>
      </c>
      <c r="S25">
        <v>7</v>
      </c>
      <c r="T25">
        <v>7</v>
      </c>
      <c r="V25">
        <v>7</v>
      </c>
      <c r="W25">
        <v>2</v>
      </c>
      <c r="X25">
        <v>1</v>
      </c>
      <c r="Y25">
        <v>3</v>
      </c>
      <c r="AC25">
        <v>3</v>
      </c>
      <c r="AD25">
        <v>2</v>
      </c>
      <c r="AE25">
        <v>5</v>
      </c>
      <c r="AF25">
        <v>43</v>
      </c>
      <c r="AJ25" t="s">
        <v>178</v>
      </c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X25" t="s">
        <v>137</v>
      </c>
      <c r="BB25" s="3" t="s">
        <v>138</v>
      </c>
      <c r="BF25" s="3" t="s">
        <v>124</v>
      </c>
      <c r="BJ25" s="3" t="s">
        <v>122</v>
      </c>
      <c r="BN25" s="3" t="s">
        <v>132</v>
      </c>
      <c r="BR25" s="24"/>
      <c r="BS25" s="24"/>
      <c r="BT25" s="24"/>
    </row>
    <row r="26" spans="1:72" x14ac:dyDescent="0.45">
      <c r="A26" s="2" t="s">
        <v>135</v>
      </c>
      <c r="B26">
        <v>2</v>
      </c>
      <c r="C26">
        <v>5</v>
      </c>
      <c r="D26">
        <v>7</v>
      </c>
      <c r="E26">
        <v>1</v>
      </c>
      <c r="G26">
        <v>1</v>
      </c>
      <c r="H26">
        <v>38</v>
      </c>
      <c r="I26">
        <v>4</v>
      </c>
      <c r="J26">
        <v>42</v>
      </c>
      <c r="K26">
        <v>8</v>
      </c>
      <c r="M26">
        <v>8</v>
      </c>
      <c r="N26">
        <v>21</v>
      </c>
      <c r="O26">
        <v>4</v>
      </c>
      <c r="P26">
        <v>25</v>
      </c>
      <c r="Q26">
        <v>8</v>
      </c>
      <c r="R26">
        <v>4</v>
      </c>
      <c r="S26">
        <v>12</v>
      </c>
      <c r="T26">
        <v>32</v>
      </c>
      <c r="V26">
        <v>32</v>
      </c>
      <c r="W26">
        <v>8</v>
      </c>
      <c r="X26">
        <v>12</v>
      </c>
      <c r="Y26">
        <v>20</v>
      </c>
      <c r="Z26">
        <v>1</v>
      </c>
      <c r="AB26">
        <v>1</v>
      </c>
      <c r="AC26">
        <v>17</v>
      </c>
      <c r="AD26">
        <v>2</v>
      </c>
      <c r="AE26">
        <v>19</v>
      </c>
      <c r="AF26">
        <v>167</v>
      </c>
      <c r="AJ26" s="3" t="s">
        <v>139</v>
      </c>
      <c r="AK26" s="4" t="s">
        <v>108</v>
      </c>
      <c r="AL26" s="4" t="s">
        <v>109</v>
      </c>
      <c r="AM26" s="4" t="s">
        <v>110</v>
      </c>
      <c r="AN26" s="4" t="s">
        <v>111</v>
      </c>
      <c r="AO26" s="4" t="s">
        <v>112</v>
      </c>
      <c r="AP26" s="4" t="s">
        <v>113</v>
      </c>
      <c r="AQ26" s="4" t="s">
        <v>114</v>
      </c>
      <c r="AR26" s="4" t="s">
        <v>115</v>
      </c>
      <c r="AS26" s="4" t="s">
        <v>116</v>
      </c>
      <c r="AT26" s="4" t="s">
        <v>117</v>
      </c>
      <c r="AX26" t="s">
        <v>159</v>
      </c>
      <c r="AY26" t="s">
        <v>161</v>
      </c>
      <c r="AZ26" t="s">
        <v>160</v>
      </c>
      <c r="BB26" t="s">
        <v>159</v>
      </c>
      <c r="BC26" t="s">
        <v>161</v>
      </c>
      <c r="BD26" t="s">
        <v>160</v>
      </c>
      <c r="BF26" t="s">
        <v>159</v>
      </c>
      <c r="BG26" t="s">
        <v>161</v>
      </c>
      <c r="BH26" t="s">
        <v>160</v>
      </c>
      <c r="BJ26" t="s">
        <v>159</v>
      </c>
      <c r="BK26" t="s">
        <v>161</v>
      </c>
      <c r="BL26" t="s">
        <v>160</v>
      </c>
      <c r="BN26" t="s">
        <v>159</v>
      </c>
      <c r="BO26" t="s">
        <v>161</v>
      </c>
      <c r="BP26" t="s">
        <v>160</v>
      </c>
      <c r="BR26" s="24"/>
      <c r="BS26" s="24"/>
      <c r="BT26" s="24"/>
    </row>
    <row r="27" spans="1:72" x14ac:dyDescent="0.45">
      <c r="A27" s="2" t="s">
        <v>25</v>
      </c>
      <c r="C27">
        <v>1</v>
      </c>
      <c r="D27">
        <v>1</v>
      </c>
      <c r="F27">
        <v>1</v>
      </c>
      <c r="G27">
        <v>1</v>
      </c>
      <c r="N27">
        <v>5</v>
      </c>
      <c r="P27">
        <v>5</v>
      </c>
      <c r="R27">
        <v>1</v>
      </c>
      <c r="S27">
        <v>1</v>
      </c>
      <c r="T27">
        <v>2</v>
      </c>
      <c r="U27">
        <v>1</v>
      </c>
      <c r="V27">
        <v>3</v>
      </c>
      <c r="AC27">
        <v>1</v>
      </c>
      <c r="AE27">
        <v>1</v>
      </c>
      <c r="AF27">
        <v>12</v>
      </c>
      <c r="AJ27" s="3" t="s">
        <v>137</v>
      </c>
      <c r="AK27" s="4">
        <f>AL6-AK6</f>
        <v>-1</v>
      </c>
      <c r="AL27" s="4">
        <v>0</v>
      </c>
      <c r="AM27" s="4">
        <f>AP6-AO6</f>
        <v>-3</v>
      </c>
      <c r="AN27" s="4">
        <f>AR6-AQ6</f>
        <v>-4</v>
      </c>
      <c r="AO27" s="4">
        <f>AT6-AS6</f>
        <v>-21</v>
      </c>
      <c r="AP27" s="4">
        <f>AV6-AU6</f>
        <v>-8</v>
      </c>
      <c r="AQ27" s="4">
        <v>0</v>
      </c>
      <c r="AR27" s="4">
        <f>AZ6-AY6</f>
        <v>5</v>
      </c>
      <c r="AS27" s="4">
        <v>0</v>
      </c>
      <c r="AT27" s="4">
        <v>0</v>
      </c>
      <c r="AX27">
        <v>1</v>
      </c>
      <c r="AY27" s="3">
        <v>1</v>
      </c>
      <c r="AZ27" s="3"/>
      <c r="BB27">
        <v>1</v>
      </c>
      <c r="BC27" s="3">
        <v>3</v>
      </c>
      <c r="BD27" s="3">
        <v>2</v>
      </c>
      <c r="BF27">
        <v>1</v>
      </c>
      <c r="BG27" s="3"/>
      <c r="BH27" s="3"/>
      <c r="BJ27">
        <v>1</v>
      </c>
      <c r="BK27" s="3"/>
      <c r="BL27" s="3">
        <v>1</v>
      </c>
      <c r="BN27">
        <v>1</v>
      </c>
      <c r="BO27" s="3">
        <v>1</v>
      </c>
      <c r="BP27" s="3">
        <v>1</v>
      </c>
      <c r="BR27" s="24"/>
      <c r="BS27" s="24"/>
      <c r="BT27" s="24"/>
    </row>
    <row r="28" spans="1:72" x14ac:dyDescent="0.45">
      <c r="A28" s="2" t="s">
        <v>46</v>
      </c>
      <c r="E28">
        <v>1</v>
      </c>
      <c r="G28">
        <v>1</v>
      </c>
      <c r="H28">
        <v>1</v>
      </c>
      <c r="I28">
        <v>2</v>
      </c>
      <c r="J28">
        <v>3</v>
      </c>
      <c r="L28">
        <v>1</v>
      </c>
      <c r="M28">
        <v>1</v>
      </c>
      <c r="N28">
        <v>4</v>
      </c>
      <c r="P28">
        <v>4</v>
      </c>
      <c r="R28">
        <v>1</v>
      </c>
      <c r="S28">
        <v>1</v>
      </c>
      <c r="T28">
        <v>1</v>
      </c>
      <c r="V28">
        <v>1</v>
      </c>
      <c r="AF28">
        <v>11</v>
      </c>
      <c r="AJ28" s="3" t="s">
        <v>119</v>
      </c>
      <c r="AK28" s="4">
        <f>AL7-AK7</f>
        <v>-17</v>
      </c>
      <c r="AL28" s="4">
        <f t="shared" ref="AL28:AL40" si="0">AN7-AM7</f>
        <v>-4</v>
      </c>
      <c r="AM28" s="4">
        <f t="shared" ref="AM28:AM42" si="1">AP7-AO7</f>
        <v>-3</v>
      </c>
      <c r="AN28" s="4">
        <f t="shared" ref="AN28:AN42" si="2">AR7-AQ7</f>
        <v>1</v>
      </c>
      <c r="AO28" s="4">
        <f>AT7-AS7</f>
        <v>-70</v>
      </c>
      <c r="AP28" s="4">
        <f t="shared" ref="AP28:AP42" si="3">AV7-AU7</f>
        <v>9</v>
      </c>
      <c r="AQ28" s="4">
        <f t="shared" ref="AQ28:AQ42" si="4">AX7-AW7</f>
        <v>-38</v>
      </c>
      <c r="AR28" s="4">
        <f t="shared" ref="AR28:AR42" si="5">AZ7-AY7</f>
        <v>4</v>
      </c>
      <c r="AS28" s="4">
        <f t="shared" ref="AS28:AS42" si="6">BB7-BA7</f>
        <v>-8</v>
      </c>
      <c r="AT28" s="4">
        <f t="shared" ref="AT28:AT42" si="7">BD7-BC7</f>
        <v>-39</v>
      </c>
      <c r="AX28">
        <v>2</v>
      </c>
      <c r="AY28" s="3"/>
      <c r="AZ28" s="3"/>
      <c r="BB28">
        <v>2</v>
      </c>
      <c r="BC28" s="3">
        <v>1</v>
      </c>
      <c r="BD28" s="3">
        <v>3</v>
      </c>
      <c r="BF28">
        <v>2</v>
      </c>
      <c r="BG28" s="3"/>
      <c r="BH28" s="3"/>
      <c r="BJ28">
        <v>2</v>
      </c>
      <c r="BK28" s="3">
        <v>2</v>
      </c>
      <c r="BL28" s="3">
        <v>1</v>
      </c>
      <c r="BN28">
        <v>2</v>
      </c>
      <c r="BO28" s="3">
        <v>2</v>
      </c>
      <c r="BP28" s="3">
        <v>2</v>
      </c>
      <c r="BR28" s="24"/>
      <c r="BS28" s="24"/>
      <c r="BT28" s="24"/>
    </row>
    <row r="29" spans="1:72" x14ac:dyDescent="0.45">
      <c r="A29" s="2" t="s">
        <v>156</v>
      </c>
      <c r="H29">
        <v>1</v>
      </c>
      <c r="J29">
        <v>1</v>
      </c>
      <c r="N29">
        <v>4</v>
      </c>
      <c r="P29">
        <v>4</v>
      </c>
      <c r="Q29">
        <v>1</v>
      </c>
      <c r="S29">
        <v>1</v>
      </c>
      <c r="AC29">
        <v>2</v>
      </c>
      <c r="AE29">
        <v>2</v>
      </c>
      <c r="AF29">
        <v>8</v>
      </c>
      <c r="AJ29" s="3" t="s">
        <v>125</v>
      </c>
      <c r="AK29" s="4">
        <f t="shared" ref="AK29:AK42" si="8">AL8-AK8</f>
        <v>2</v>
      </c>
      <c r="AL29" s="4">
        <f t="shared" si="0"/>
        <v>-1</v>
      </c>
      <c r="AM29" s="4">
        <f t="shared" si="1"/>
        <v>1</v>
      </c>
      <c r="AN29" s="4">
        <f t="shared" si="2"/>
        <v>2</v>
      </c>
      <c r="AO29" s="4">
        <f t="shared" ref="AO29:AO42" si="9">AT8-AS8</f>
        <v>-43</v>
      </c>
      <c r="AP29" s="4">
        <f t="shared" si="3"/>
        <v>4</v>
      </c>
      <c r="AQ29" s="4">
        <f t="shared" si="4"/>
        <v>-14</v>
      </c>
      <c r="AR29" s="4">
        <f t="shared" si="5"/>
        <v>-1</v>
      </c>
      <c r="AS29" s="4">
        <f t="shared" si="6"/>
        <v>-5</v>
      </c>
      <c r="AT29" s="4">
        <f t="shared" si="7"/>
        <v>-52</v>
      </c>
      <c r="AX29">
        <v>3</v>
      </c>
      <c r="AY29" s="3">
        <v>4</v>
      </c>
      <c r="AZ29" s="3">
        <v>1</v>
      </c>
      <c r="BB29">
        <v>3</v>
      </c>
      <c r="BC29" s="3">
        <v>4</v>
      </c>
      <c r="BD29" s="3">
        <v>3</v>
      </c>
      <c r="BF29">
        <v>3</v>
      </c>
      <c r="BG29" s="3"/>
      <c r="BH29" s="3">
        <v>1</v>
      </c>
      <c r="BJ29">
        <v>3</v>
      </c>
      <c r="BK29" s="3">
        <v>10</v>
      </c>
      <c r="BL29" s="3">
        <v>4</v>
      </c>
      <c r="BN29">
        <v>3</v>
      </c>
      <c r="BO29" s="3">
        <v>7</v>
      </c>
      <c r="BP29" s="3">
        <v>3</v>
      </c>
      <c r="BR29" s="24"/>
      <c r="BS29" s="24"/>
      <c r="BT29" s="24"/>
    </row>
    <row r="30" spans="1:72" x14ac:dyDescent="0.45">
      <c r="A30" s="2" t="s">
        <v>134</v>
      </c>
      <c r="E30">
        <v>1</v>
      </c>
      <c r="G30">
        <v>1</v>
      </c>
      <c r="H30">
        <v>2</v>
      </c>
      <c r="I30">
        <v>2</v>
      </c>
      <c r="J30">
        <v>4</v>
      </c>
      <c r="K30">
        <v>2</v>
      </c>
      <c r="M30">
        <v>2</v>
      </c>
      <c r="N30">
        <v>6</v>
      </c>
      <c r="P30">
        <v>6</v>
      </c>
      <c r="R30">
        <v>2</v>
      </c>
      <c r="S30">
        <v>2</v>
      </c>
      <c r="X30">
        <v>1</v>
      </c>
      <c r="Y30">
        <v>1</v>
      </c>
      <c r="AA30">
        <v>1</v>
      </c>
      <c r="AB30">
        <v>1</v>
      </c>
      <c r="AF30">
        <v>17</v>
      </c>
      <c r="AJ30" s="3" t="s">
        <v>138</v>
      </c>
      <c r="AK30" s="4">
        <f t="shared" si="8"/>
        <v>-1</v>
      </c>
      <c r="AL30" s="4">
        <f t="shared" si="0"/>
        <v>2</v>
      </c>
      <c r="AM30" s="4">
        <f t="shared" si="1"/>
        <v>-1</v>
      </c>
      <c r="AN30" s="4">
        <f t="shared" si="2"/>
        <v>-1</v>
      </c>
      <c r="AO30" s="4">
        <f t="shared" si="9"/>
        <v>-7</v>
      </c>
      <c r="AP30" s="4">
        <f t="shared" si="3"/>
        <v>2</v>
      </c>
      <c r="AQ30" s="4">
        <f t="shared" si="4"/>
        <v>-8</v>
      </c>
      <c r="AR30" s="4">
        <f t="shared" si="5"/>
        <v>1</v>
      </c>
      <c r="AS30" s="4">
        <f t="shared" si="6"/>
        <v>-2</v>
      </c>
      <c r="AT30" s="4">
        <f t="shared" si="7"/>
        <v>-13</v>
      </c>
      <c r="AX30">
        <v>4</v>
      </c>
      <c r="AY30" s="3">
        <v>4</v>
      </c>
      <c r="AZ30" s="3"/>
      <c r="BB30">
        <v>4</v>
      </c>
      <c r="BC30" s="3">
        <v>1</v>
      </c>
      <c r="BD30" s="3">
        <v>0</v>
      </c>
      <c r="BF30">
        <v>4</v>
      </c>
      <c r="BG30" s="3">
        <v>1</v>
      </c>
      <c r="BH30" s="3">
        <v>1</v>
      </c>
      <c r="BJ30">
        <v>4</v>
      </c>
      <c r="BK30" s="3">
        <v>4</v>
      </c>
      <c r="BL30" s="3">
        <v>3</v>
      </c>
      <c r="BN30">
        <v>4</v>
      </c>
      <c r="BO30" s="3">
        <v>3</v>
      </c>
      <c r="BP30" s="3">
        <v>2</v>
      </c>
      <c r="BR30" s="24"/>
      <c r="BS30" s="24"/>
      <c r="BT30" s="24"/>
    </row>
    <row r="31" spans="1:72" x14ac:dyDescent="0.45">
      <c r="A31" s="2" t="s">
        <v>136</v>
      </c>
      <c r="C31">
        <v>2</v>
      </c>
      <c r="D31">
        <v>2</v>
      </c>
      <c r="F31">
        <v>2</v>
      </c>
      <c r="G31">
        <v>2</v>
      </c>
      <c r="H31">
        <v>3</v>
      </c>
      <c r="I31">
        <v>3</v>
      </c>
      <c r="J31">
        <v>6</v>
      </c>
      <c r="L31">
        <v>3</v>
      </c>
      <c r="M31">
        <v>3</v>
      </c>
      <c r="N31">
        <v>10</v>
      </c>
      <c r="P31">
        <v>10</v>
      </c>
      <c r="Q31">
        <v>3</v>
      </c>
      <c r="R31">
        <v>2</v>
      </c>
      <c r="S31">
        <v>5</v>
      </c>
      <c r="T31">
        <v>5</v>
      </c>
      <c r="U31">
        <v>1</v>
      </c>
      <c r="V31">
        <v>6</v>
      </c>
      <c r="Z31">
        <v>3</v>
      </c>
      <c r="AB31">
        <v>3</v>
      </c>
      <c r="AC31">
        <v>4</v>
      </c>
      <c r="AE31">
        <v>4</v>
      </c>
      <c r="AF31">
        <v>41</v>
      </c>
      <c r="AJ31" s="3" t="s">
        <v>129</v>
      </c>
      <c r="AK31" s="4">
        <f t="shared" si="8"/>
        <v>-2</v>
      </c>
      <c r="AL31" s="4">
        <f t="shared" si="0"/>
        <v>2</v>
      </c>
      <c r="AM31" s="4">
        <f t="shared" si="1"/>
        <v>-1</v>
      </c>
      <c r="AN31" s="4">
        <f t="shared" si="2"/>
        <v>-1</v>
      </c>
      <c r="AO31" s="4">
        <f t="shared" si="9"/>
        <v>-13</v>
      </c>
      <c r="AP31" s="4">
        <f t="shared" si="3"/>
        <v>-2</v>
      </c>
      <c r="AQ31" s="4">
        <f t="shared" si="4"/>
        <v>-4</v>
      </c>
      <c r="AR31" s="4">
        <f t="shared" si="5"/>
        <v>1</v>
      </c>
      <c r="AS31" s="4">
        <v>0</v>
      </c>
      <c r="AT31" s="4">
        <f t="shared" si="7"/>
        <v>-9</v>
      </c>
      <c r="AX31">
        <v>5</v>
      </c>
      <c r="AY31" s="3">
        <v>22</v>
      </c>
      <c r="AZ31" s="3">
        <v>1</v>
      </c>
      <c r="BB31">
        <v>5</v>
      </c>
      <c r="BC31" s="3">
        <v>7</v>
      </c>
      <c r="BD31" s="3">
        <v>0</v>
      </c>
      <c r="BF31">
        <v>5</v>
      </c>
      <c r="BG31" s="3">
        <v>3</v>
      </c>
      <c r="BH31" s="3"/>
      <c r="BJ31">
        <v>5</v>
      </c>
      <c r="BK31" s="3">
        <v>30</v>
      </c>
      <c r="BL31" s="3"/>
      <c r="BN31">
        <v>5</v>
      </c>
      <c r="BO31" s="3">
        <v>11</v>
      </c>
      <c r="BP31" s="3">
        <v>1</v>
      </c>
      <c r="BR31" s="24"/>
      <c r="BS31" s="24"/>
      <c r="BT31" s="24"/>
    </row>
    <row r="32" spans="1:72" x14ac:dyDescent="0.45">
      <c r="A32" s="2" t="s">
        <v>106</v>
      </c>
      <c r="B32">
        <v>37</v>
      </c>
      <c r="C32">
        <v>30</v>
      </c>
      <c r="D32">
        <v>67</v>
      </c>
      <c r="E32">
        <v>30</v>
      </c>
      <c r="F32">
        <v>20</v>
      </c>
      <c r="G32">
        <v>50</v>
      </c>
      <c r="H32">
        <v>151</v>
      </c>
      <c r="I32">
        <v>94</v>
      </c>
      <c r="J32">
        <v>245</v>
      </c>
      <c r="K32">
        <v>56</v>
      </c>
      <c r="L32">
        <v>38</v>
      </c>
      <c r="M32">
        <v>94</v>
      </c>
      <c r="N32">
        <v>331</v>
      </c>
      <c r="O32">
        <v>20</v>
      </c>
      <c r="P32">
        <v>351</v>
      </c>
      <c r="Q32">
        <v>55</v>
      </c>
      <c r="R32">
        <v>65</v>
      </c>
      <c r="S32">
        <v>120</v>
      </c>
      <c r="T32">
        <v>157</v>
      </c>
      <c r="U32">
        <v>20</v>
      </c>
      <c r="V32">
        <v>177</v>
      </c>
      <c r="W32">
        <v>31</v>
      </c>
      <c r="X32">
        <v>44</v>
      </c>
      <c r="Y32">
        <v>75</v>
      </c>
      <c r="Z32">
        <v>31</v>
      </c>
      <c r="AA32">
        <v>4</v>
      </c>
      <c r="AB32">
        <v>35</v>
      </c>
      <c r="AC32">
        <v>225</v>
      </c>
      <c r="AD32">
        <v>58</v>
      </c>
      <c r="AE32">
        <v>283</v>
      </c>
      <c r="AF32">
        <v>1497</v>
      </c>
      <c r="AJ32" s="3" t="s">
        <v>155</v>
      </c>
      <c r="AK32" s="4">
        <v>0</v>
      </c>
      <c r="AL32" s="4">
        <f t="shared" si="0"/>
        <v>-2</v>
      </c>
      <c r="AM32" s="4">
        <f t="shared" si="1"/>
        <v>2</v>
      </c>
      <c r="AN32" s="4">
        <f t="shared" si="2"/>
        <v>-2</v>
      </c>
      <c r="AO32" s="4">
        <f t="shared" si="9"/>
        <v>-3</v>
      </c>
      <c r="AP32" s="4">
        <v>0</v>
      </c>
      <c r="AQ32" s="4">
        <v>0</v>
      </c>
      <c r="AR32" s="4">
        <v>0</v>
      </c>
      <c r="AS32" s="4">
        <v>0</v>
      </c>
      <c r="AT32" s="4">
        <f t="shared" si="7"/>
        <v>2</v>
      </c>
      <c r="AX32">
        <v>6</v>
      </c>
      <c r="AY32" s="3">
        <v>8</v>
      </c>
      <c r="AZ32" s="3"/>
      <c r="BB32">
        <v>6</v>
      </c>
      <c r="BC32" s="3">
        <v>0</v>
      </c>
      <c r="BD32" s="3">
        <v>2</v>
      </c>
      <c r="BF32">
        <v>6</v>
      </c>
      <c r="BG32" s="3"/>
      <c r="BH32" s="3"/>
      <c r="BJ32">
        <v>6</v>
      </c>
      <c r="BK32" s="3">
        <v>2</v>
      </c>
      <c r="BL32" s="3">
        <v>6</v>
      </c>
      <c r="BN32">
        <v>6</v>
      </c>
      <c r="BO32" s="3">
        <v>5</v>
      </c>
      <c r="BP32" s="3">
        <v>4</v>
      </c>
      <c r="BR32" s="24"/>
      <c r="BS32" s="24"/>
      <c r="BT32" s="24"/>
    </row>
    <row r="33" spans="36:72" x14ac:dyDescent="0.45">
      <c r="AJ33" s="3" t="s">
        <v>124</v>
      </c>
      <c r="AK33" s="4">
        <v>0</v>
      </c>
      <c r="AL33" s="4">
        <v>0</v>
      </c>
      <c r="AM33" s="4">
        <f t="shared" si="1"/>
        <v>1</v>
      </c>
      <c r="AN33" s="4">
        <v>0</v>
      </c>
      <c r="AO33" s="4">
        <f t="shared" si="9"/>
        <v>-3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X33">
        <v>7</v>
      </c>
      <c r="AY33" s="3">
        <v>1</v>
      </c>
      <c r="AZ33" s="3">
        <v>1</v>
      </c>
      <c r="BB33">
        <v>7</v>
      </c>
      <c r="BC33" s="3">
        <v>9</v>
      </c>
      <c r="BD33" s="3">
        <v>1</v>
      </c>
      <c r="BF33">
        <v>7</v>
      </c>
      <c r="BG33" s="3">
        <v>1</v>
      </c>
      <c r="BH33" s="3">
        <v>1</v>
      </c>
      <c r="BJ33">
        <v>7</v>
      </c>
      <c r="BK33" s="3"/>
      <c r="BL33" s="3"/>
      <c r="BN33">
        <v>7</v>
      </c>
      <c r="BO33" s="3">
        <v>10</v>
      </c>
      <c r="BP33" s="3">
        <v>2</v>
      </c>
      <c r="BR33" s="24"/>
      <c r="BS33" s="24"/>
      <c r="BT33" s="24"/>
    </row>
    <row r="34" spans="36:72" x14ac:dyDescent="0.45">
      <c r="AJ34" s="3" t="s">
        <v>123</v>
      </c>
      <c r="AK34" s="4">
        <f>AL13-AK13</f>
        <v>1</v>
      </c>
      <c r="AL34" s="4">
        <v>0</v>
      </c>
      <c r="AM34" s="4">
        <f>AP13-AO13</f>
        <v>2</v>
      </c>
      <c r="AN34" s="4">
        <f>AR13-AQ13</f>
        <v>1</v>
      </c>
      <c r="AO34" s="4">
        <f>AT13-AS13</f>
        <v>-6</v>
      </c>
      <c r="AP34" s="4">
        <f>AV13-AU13</f>
        <v>-1</v>
      </c>
      <c r="AQ34" s="4">
        <v>0</v>
      </c>
      <c r="AR34" s="4">
        <f>AZ13-AY13</f>
        <v>2</v>
      </c>
      <c r="AS34" s="4">
        <f>BB13-BA13</f>
        <v>-1</v>
      </c>
      <c r="AT34" s="4">
        <f>BD13-BC13</f>
        <v>-5</v>
      </c>
      <c r="AX34">
        <v>8</v>
      </c>
      <c r="AY34" s="3">
        <v>1</v>
      </c>
      <c r="AZ34" s="3">
        <v>6</v>
      </c>
      <c r="BB34">
        <v>8</v>
      </c>
      <c r="BC34" s="3">
        <v>0</v>
      </c>
      <c r="BD34" s="3">
        <v>1</v>
      </c>
      <c r="BF34">
        <v>8</v>
      </c>
      <c r="BG34" s="3"/>
      <c r="BH34" s="3"/>
      <c r="BJ34">
        <v>8</v>
      </c>
      <c r="BK34" s="3">
        <v>5</v>
      </c>
      <c r="BL34" s="3"/>
      <c r="BN34">
        <v>8</v>
      </c>
      <c r="BO34" s="3"/>
      <c r="BP34" s="3">
        <v>1</v>
      </c>
      <c r="BR34" s="24"/>
      <c r="BS34" s="24"/>
      <c r="BT34" s="24"/>
    </row>
    <row r="35" spans="36:72" x14ac:dyDescent="0.45">
      <c r="AJ35" s="3" t="s">
        <v>122</v>
      </c>
      <c r="AK35" s="4">
        <f>AL14-AK14</f>
        <v>1</v>
      </c>
      <c r="AL35" s="4">
        <f>AN14-AM14</f>
        <v>-1</v>
      </c>
      <c r="AM35" s="4">
        <f>AP14-AO14</f>
        <v>-6</v>
      </c>
      <c r="AN35" s="4">
        <f>AR14-AQ14</f>
        <v>-1</v>
      </c>
      <c r="AO35" s="4">
        <f>AT14-AS14</f>
        <v>-30</v>
      </c>
      <c r="AP35" s="4">
        <f>AV14-AU14</f>
        <v>4</v>
      </c>
      <c r="AQ35" s="4">
        <v>0</v>
      </c>
      <c r="AR35" s="4">
        <f>AZ14-AY14</f>
        <v>-5</v>
      </c>
      <c r="AS35" s="4">
        <f>BB14-BA14</f>
        <v>1</v>
      </c>
      <c r="AT35" s="4">
        <f>BD14-BC14</f>
        <v>-7</v>
      </c>
      <c r="AX35">
        <v>9</v>
      </c>
      <c r="AY35" s="3"/>
      <c r="AZ35" s="3"/>
      <c r="BB35">
        <v>9</v>
      </c>
      <c r="BC35" s="3">
        <v>2</v>
      </c>
      <c r="BD35" s="3">
        <v>0</v>
      </c>
      <c r="BF35">
        <v>9</v>
      </c>
      <c r="BG35" s="3"/>
      <c r="BH35" s="3"/>
      <c r="BJ35">
        <v>9</v>
      </c>
      <c r="BK35" s="3">
        <v>2</v>
      </c>
      <c r="BL35" s="3">
        <v>3</v>
      </c>
      <c r="BN35">
        <v>9</v>
      </c>
      <c r="BO35" s="3"/>
      <c r="BP35" s="3"/>
      <c r="BR35" s="24"/>
      <c r="BS35" s="24"/>
      <c r="BT35" s="24"/>
    </row>
    <row r="36" spans="36:72" x14ac:dyDescent="0.45">
      <c r="AJ36" s="3" t="s">
        <v>120</v>
      </c>
      <c r="AK36" s="4">
        <f>AL15-AK15</f>
        <v>1</v>
      </c>
      <c r="AL36" s="4">
        <f>AN15-AM15</f>
        <v>-1</v>
      </c>
      <c r="AM36" s="4">
        <f>AP15-AO15</f>
        <v>1</v>
      </c>
      <c r="AN36" s="4">
        <f>AR15-AQ15</f>
        <v>-2</v>
      </c>
      <c r="AO36" s="4">
        <f>AT15-AS15</f>
        <v>-10</v>
      </c>
      <c r="AP36" s="4">
        <f>AV15-AU15</f>
        <v>-1</v>
      </c>
      <c r="AQ36" s="4">
        <f>AX15-AW15</f>
        <v>-1</v>
      </c>
      <c r="AR36" s="4">
        <f>AZ15-AY15</f>
        <v>1</v>
      </c>
      <c r="AS36" s="4">
        <v>0</v>
      </c>
      <c r="AT36" s="4">
        <f>BD15-BC15</f>
        <v>2</v>
      </c>
      <c r="AX36">
        <v>10</v>
      </c>
      <c r="AY36" s="3">
        <v>1</v>
      </c>
      <c r="AZ36" s="3">
        <v>1</v>
      </c>
      <c r="BB36">
        <v>10</v>
      </c>
      <c r="BC36" s="3">
        <v>13</v>
      </c>
      <c r="BD36" s="3">
        <v>0</v>
      </c>
      <c r="BF36">
        <v>10</v>
      </c>
      <c r="BG36" s="3"/>
      <c r="BH36" s="3"/>
      <c r="BJ36">
        <v>10</v>
      </c>
      <c r="BK36" s="3">
        <v>9</v>
      </c>
      <c r="BL36" s="3">
        <v>2</v>
      </c>
      <c r="BN36">
        <v>10</v>
      </c>
      <c r="BO36" s="3">
        <v>10</v>
      </c>
      <c r="BP36" s="3">
        <v>2</v>
      </c>
      <c r="BR36" s="24"/>
      <c r="BS36" s="24"/>
      <c r="BT36" s="24"/>
    </row>
    <row r="37" spans="36:72" x14ac:dyDescent="0.45">
      <c r="AJ37" s="3" t="s">
        <v>126</v>
      </c>
      <c r="AK37" s="4">
        <f>AL16-AK16</f>
        <v>5</v>
      </c>
      <c r="AL37" s="4">
        <v>0</v>
      </c>
      <c r="AM37" s="4">
        <f>AP16-AO16</f>
        <v>-5</v>
      </c>
      <c r="AN37" s="4">
        <f>AR16-AQ16</f>
        <v>-2</v>
      </c>
      <c r="AO37" s="4">
        <f>AT16-AS16</f>
        <v>-17</v>
      </c>
      <c r="AP37" s="4">
        <f>AV16-AU16</f>
        <v>4</v>
      </c>
      <c r="AQ37" s="4">
        <f>AX16-AW16</f>
        <v>-8</v>
      </c>
      <c r="AR37" s="4">
        <f>AZ16-AY16</f>
        <v>-3</v>
      </c>
      <c r="AS37" s="4">
        <f>BB16-BA16</f>
        <v>-7</v>
      </c>
      <c r="AT37" s="4">
        <f>BD16-BC16</f>
        <v>-5</v>
      </c>
    </row>
    <row r="38" spans="36:72" x14ac:dyDescent="0.45">
      <c r="AJ38" s="3" t="s">
        <v>132</v>
      </c>
      <c r="AK38" s="4">
        <v>0</v>
      </c>
      <c r="AL38" s="4">
        <v>0</v>
      </c>
      <c r="AM38" s="4">
        <f>AP17-AO17</f>
        <v>-4</v>
      </c>
      <c r="AN38" s="4">
        <f>AR17-AQ17</f>
        <v>-1</v>
      </c>
      <c r="AO38" s="4">
        <f>AT17-AS17</f>
        <v>-10</v>
      </c>
      <c r="AP38" s="4">
        <f>AV17-AU17</f>
        <v>-1</v>
      </c>
      <c r="AQ38" s="4">
        <f>AX17-AW17</f>
        <v>-8</v>
      </c>
      <c r="AR38" s="4">
        <f>AZ17-AY17</f>
        <v>1</v>
      </c>
      <c r="AS38" s="4">
        <v>0</v>
      </c>
      <c r="AT38" s="4">
        <f>BD17-BC17</f>
        <v>-8</v>
      </c>
    </row>
    <row r="39" spans="36:72" x14ac:dyDescent="0.45">
      <c r="AJ39" s="3" t="s">
        <v>135</v>
      </c>
      <c r="AK39" s="4">
        <f>AL18-AK18</f>
        <v>2</v>
      </c>
      <c r="AL39" s="4">
        <f>AN18-AM18</f>
        <v>-2</v>
      </c>
      <c r="AM39" s="4">
        <f>AP18-AO18</f>
        <v>-36</v>
      </c>
      <c r="AN39" s="4">
        <f>AR18-AQ18</f>
        <v>-13</v>
      </c>
      <c r="AO39" s="4">
        <f>AT18-AS18</f>
        <v>-32</v>
      </c>
      <c r="AP39" s="4">
        <f>AV18-AU18</f>
        <v>-3</v>
      </c>
      <c r="AQ39" s="4">
        <f>AX18-AW18</f>
        <v>-39</v>
      </c>
      <c r="AR39" s="4">
        <f>AZ18-AY18</f>
        <v>4</v>
      </c>
      <c r="AS39" s="4">
        <v>0</v>
      </c>
      <c r="AT39" s="4">
        <f>BD18-BC18</f>
        <v>-16</v>
      </c>
    </row>
    <row r="40" spans="36:72" x14ac:dyDescent="0.45">
      <c r="AJ40" s="3" t="s">
        <v>156</v>
      </c>
      <c r="AK40" s="4">
        <v>0</v>
      </c>
      <c r="AL40" s="4">
        <v>0</v>
      </c>
      <c r="AM40" s="4">
        <f>AP19-AO19</f>
        <v>-1</v>
      </c>
      <c r="AN40" s="4">
        <v>0</v>
      </c>
      <c r="AO40" s="4">
        <f>AT19-AS19</f>
        <v>-4</v>
      </c>
      <c r="AP40" s="4">
        <f>AV19-AU19</f>
        <v>-1</v>
      </c>
      <c r="AQ40" s="4">
        <v>0</v>
      </c>
      <c r="AR40" s="4">
        <v>0</v>
      </c>
      <c r="AS40" s="4">
        <v>0</v>
      </c>
      <c r="AT40" s="4">
        <f>BD19-BC19</f>
        <v>-2</v>
      </c>
      <c r="AX40" s="3" t="s">
        <v>119</v>
      </c>
      <c r="BB40" s="3" t="s">
        <v>129</v>
      </c>
      <c r="BF40" s="3" t="s">
        <v>136</v>
      </c>
      <c r="BJ40" s="3" t="s">
        <v>120</v>
      </c>
      <c r="BN40" s="3" t="s">
        <v>156</v>
      </c>
    </row>
    <row r="41" spans="36:72" x14ac:dyDescent="0.45">
      <c r="AJ41" s="3" t="s">
        <v>136</v>
      </c>
      <c r="AK41" s="4">
        <f>AL20-AK20</f>
        <v>2</v>
      </c>
      <c r="AL41" s="4">
        <v>0</v>
      </c>
      <c r="AM41" s="4">
        <f>AP20-AO20</f>
        <v>-5</v>
      </c>
      <c r="AN41" s="4">
        <f>AR20-AQ20</f>
        <v>4</v>
      </c>
      <c r="AO41" s="4">
        <f>AT20-AS20</f>
        <v>-24</v>
      </c>
      <c r="AP41" s="4">
        <f>AV20-AU20</f>
        <v>2</v>
      </c>
      <c r="AQ41" s="4">
        <f>AX20-AW20</f>
        <v>-5</v>
      </c>
      <c r="AR41" s="4">
        <f>AZ20-AY20</f>
        <v>2</v>
      </c>
      <c r="AS41" s="4">
        <f>BB20-BA20</f>
        <v>-3</v>
      </c>
      <c r="AT41" s="4">
        <f>BD20-BC20</f>
        <v>-8</v>
      </c>
      <c r="AX41" t="s">
        <v>159</v>
      </c>
      <c r="AY41" t="s">
        <v>161</v>
      </c>
      <c r="AZ41" t="s">
        <v>160</v>
      </c>
      <c r="BB41" t="s">
        <v>159</v>
      </c>
      <c r="BC41" t="s">
        <v>161</v>
      </c>
      <c r="BD41" t="s">
        <v>160</v>
      </c>
      <c r="BF41" t="s">
        <v>159</v>
      </c>
      <c r="BG41" t="s">
        <v>161</v>
      </c>
      <c r="BH41" t="s">
        <v>160</v>
      </c>
      <c r="BJ41" t="s">
        <v>159</v>
      </c>
      <c r="BK41" t="s">
        <v>161</v>
      </c>
      <c r="BL41" t="s">
        <v>160</v>
      </c>
      <c r="BN41" t="s">
        <v>159</v>
      </c>
      <c r="BO41" t="s">
        <v>161</v>
      </c>
      <c r="BP41" t="s">
        <v>160</v>
      </c>
    </row>
    <row r="42" spans="36:72" x14ac:dyDescent="0.45">
      <c r="AX42">
        <v>1</v>
      </c>
      <c r="AY42" s="3">
        <v>20</v>
      </c>
      <c r="AZ42" s="3">
        <v>3</v>
      </c>
      <c r="BB42">
        <v>1</v>
      </c>
      <c r="BC42" s="3">
        <v>2</v>
      </c>
      <c r="BD42" s="3"/>
      <c r="BF42">
        <v>1</v>
      </c>
      <c r="BG42" s="3">
        <v>1</v>
      </c>
      <c r="BH42" s="3">
        <v>3</v>
      </c>
      <c r="BJ42">
        <v>1</v>
      </c>
      <c r="BK42" s="3">
        <v>1</v>
      </c>
      <c r="BL42" s="3">
        <v>2</v>
      </c>
      <c r="BN42">
        <v>1</v>
      </c>
      <c r="BO42" s="3">
        <v>3</v>
      </c>
      <c r="BP42" s="3">
        <v>5</v>
      </c>
    </row>
    <row r="43" spans="36:72" x14ac:dyDescent="0.45">
      <c r="AX43">
        <v>2</v>
      </c>
      <c r="AY43" s="3">
        <v>10</v>
      </c>
      <c r="AZ43" s="3">
        <v>6</v>
      </c>
      <c r="BB43">
        <v>2</v>
      </c>
      <c r="BC43" s="3"/>
      <c r="BD43" s="3">
        <v>2</v>
      </c>
      <c r="BF43">
        <v>2</v>
      </c>
      <c r="BG43" s="3">
        <v>2</v>
      </c>
      <c r="BH43" s="3">
        <v>2</v>
      </c>
      <c r="BJ43">
        <v>2</v>
      </c>
      <c r="BK43" s="3">
        <v>1</v>
      </c>
      <c r="BL43" s="3"/>
      <c r="BN43">
        <v>2</v>
      </c>
      <c r="BO43" s="3">
        <v>2</v>
      </c>
      <c r="BP43" s="3">
        <v>0</v>
      </c>
    </row>
    <row r="44" spans="36:72" x14ac:dyDescent="0.45">
      <c r="AX44">
        <v>3</v>
      </c>
      <c r="AY44" s="3">
        <v>36</v>
      </c>
      <c r="AZ44" s="3">
        <v>33</v>
      </c>
      <c r="BB44">
        <v>3</v>
      </c>
      <c r="BC44" s="3">
        <v>6</v>
      </c>
      <c r="BD44" s="3">
        <v>5</v>
      </c>
      <c r="BF44">
        <v>3</v>
      </c>
      <c r="BG44" s="3">
        <v>8</v>
      </c>
      <c r="BH44" s="3">
        <v>3</v>
      </c>
      <c r="BJ44">
        <v>3</v>
      </c>
      <c r="BK44" s="3">
        <v>1</v>
      </c>
      <c r="BL44" s="3">
        <v>2</v>
      </c>
      <c r="BN44">
        <v>3</v>
      </c>
      <c r="BO44" s="3">
        <v>46</v>
      </c>
      <c r="BP44" s="3">
        <v>10</v>
      </c>
    </row>
    <row r="45" spans="36:72" x14ac:dyDescent="0.45">
      <c r="AX45">
        <v>4</v>
      </c>
      <c r="AY45" s="3">
        <v>14</v>
      </c>
      <c r="AZ45" s="3">
        <v>15</v>
      </c>
      <c r="BB45">
        <v>4</v>
      </c>
      <c r="BC45" s="3">
        <v>3</v>
      </c>
      <c r="BD45" s="3">
        <v>2</v>
      </c>
      <c r="BF45">
        <v>4</v>
      </c>
      <c r="BG45" s="3">
        <v>0</v>
      </c>
      <c r="BH45" s="3">
        <v>4</v>
      </c>
      <c r="BJ45">
        <v>4</v>
      </c>
      <c r="BK45" s="3">
        <v>2</v>
      </c>
      <c r="BL45" s="3"/>
      <c r="BN45">
        <v>4</v>
      </c>
      <c r="BO45" s="3">
        <v>13</v>
      </c>
      <c r="BP45" s="3">
        <v>0</v>
      </c>
    </row>
    <row r="46" spans="36:72" x14ac:dyDescent="0.45">
      <c r="AJ46" s="3" t="s">
        <v>139</v>
      </c>
      <c r="AK46" s="4" t="s">
        <v>112</v>
      </c>
      <c r="AX46">
        <v>5</v>
      </c>
      <c r="AY46" s="3">
        <v>78</v>
      </c>
      <c r="AZ46" s="3">
        <v>8</v>
      </c>
      <c r="BB46">
        <v>5</v>
      </c>
      <c r="BC46" s="3">
        <v>14</v>
      </c>
      <c r="BD46" s="3">
        <v>1</v>
      </c>
      <c r="BF46">
        <v>5</v>
      </c>
      <c r="BG46" s="3">
        <v>24</v>
      </c>
      <c r="BH46" s="3">
        <v>0</v>
      </c>
      <c r="BJ46">
        <v>5</v>
      </c>
      <c r="BK46" s="3">
        <v>11</v>
      </c>
      <c r="BL46" s="3">
        <v>1</v>
      </c>
      <c r="BN46">
        <v>5</v>
      </c>
      <c r="BO46" s="3">
        <v>38</v>
      </c>
      <c r="BP46" s="3">
        <v>6</v>
      </c>
    </row>
    <row r="47" spans="36:72" x14ac:dyDescent="0.45">
      <c r="AJ47" s="3" t="s">
        <v>120</v>
      </c>
      <c r="AK47">
        <v>10</v>
      </c>
      <c r="AL47" s="4">
        <v>-10</v>
      </c>
      <c r="AX47">
        <v>6</v>
      </c>
      <c r="AY47" s="3">
        <v>9</v>
      </c>
      <c r="AZ47" s="3">
        <v>18</v>
      </c>
      <c r="BB47">
        <v>6</v>
      </c>
      <c r="BC47" s="3">
        <v>5</v>
      </c>
      <c r="BD47" s="3">
        <v>3</v>
      </c>
      <c r="BF47">
        <v>6</v>
      </c>
      <c r="BG47" s="3">
        <v>3</v>
      </c>
      <c r="BH47" s="3">
        <v>5</v>
      </c>
      <c r="BJ47">
        <v>6</v>
      </c>
      <c r="BK47" s="3">
        <v>1</v>
      </c>
      <c r="BL47" s="3"/>
      <c r="BN47">
        <v>6</v>
      </c>
      <c r="BO47" s="3">
        <v>12</v>
      </c>
      <c r="BP47" s="3">
        <v>9</v>
      </c>
    </row>
    <row r="48" spans="36:72" x14ac:dyDescent="0.45">
      <c r="AJ48" s="3" t="s">
        <v>124</v>
      </c>
      <c r="AK48">
        <v>3</v>
      </c>
      <c r="AL48" s="4">
        <v>-3</v>
      </c>
      <c r="AX48">
        <v>7</v>
      </c>
      <c r="AY48" s="3">
        <v>44</v>
      </c>
      <c r="AZ48" s="3">
        <v>6</v>
      </c>
      <c r="BB48">
        <v>7</v>
      </c>
      <c r="BC48" s="3">
        <v>5</v>
      </c>
      <c r="BD48" s="3">
        <v>1</v>
      </c>
      <c r="BF48">
        <v>7</v>
      </c>
      <c r="BG48" s="3">
        <v>6</v>
      </c>
      <c r="BH48" s="3">
        <v>1</v>
      </c>
      <c r="BJ48">
        <v>7</v>
      </c>
      <c r="BK48" s="3">
        <v>2</v>
      </c>
      <c r="BL48" s="3">
        <v>1</v>
      </c>
      <c r="BN48">
        <v>7</v>
      </c>
      <c r="BO48" s="3">
        <v>39</v>
      </c>
      <c r="BP48" s="3">
        <v>0</v>
      </c>
    </row>
    <row r="49" spans="36:68" x14ac:dyDescent="0.45">
      <c r="AJ49" s="3" t="s">
        <v>137</v>
      </c>
      <c r="AK49">
        <v>21</v>
      </c>
      <c r="AL49" s="4">
        <v>-21</v>
      </c>
      <c r="AX49">
        <v>8</v>
      </c>
      <c r="AY49" s="3">
        <v>2</v>
      </c>
      <c r="AZ49" s="3">
        <v>6</v>
      </c>
      <c r="BB49">
        <v>8</v>
      </c>
      <c r="BC49" s="3">
        <v>1</v>
      </c>
      <c r="BD49" s="3">
        <v>2</v>
      </c>
      <c r="BF49">
        <v>8</v>
      </c>
      <c r="BG49" s="3">
        <v>0</v>
      </c>
      <c r="BH49" s="3">
        <v>2</v>
      </c>
      <c r="BJ49">
        <v>8</v>
      </c>
      <c r="BK49" s="3">
        <v>1</v>
      </c>
      <c r="BL49" s="3">
        <v>2</v>
      </c>
      <c r="BN49">
        <v>8</v>
      </c>
      <c r="BO49" s="3">
        <v>10</v>
      </c>
      <c r="BP49" s="3">
        <v>14</v>
      </c>
    </row>
    <row r="50" spans="36:68" x14ac:dyDescent="0.45">
      <c r="AJ50" s="3" t="s">
        <v>136</v>
      </c>
      <c r="AK50">
        <v>24</v>
      </c>
      <c r="AL50" s="4">
        <v>-24</v>
      </c>
      <c r="AX50">
        <v>9</v>
      </c>
      <c r="AY50" s="3">
        <v>8</v>
      </c>
      <c r="AZ50" s="3"/>
      <c r="BB50">
        <v>9</v>
      </c>
      <c r="BC50" s="3"/>
      <c r="BD50" s="3"/>
      <c r="BF50">
        <v>9</v>
      </c>
      <c r="BG50" s="3">
        <v>3</v>
      </c>
      <c r="BH50" s="3">
        <v>0</v>
      </c>
      <c r="BJ50">
        <v>9</v>
      </c>
      <c r="BK50" s="3"/>
      <c r="BL50" s="3"/>
      <c r="BN50">
        <v>9</v>
      </c>
      <c r="BO50" s="3">
        <v>1</v>
      </c>
      <c r="BP50" s="3">
        <v>1</v>
      </c>
    </row>
    <row r="51" spans="36:68" x14ac:dyDescent="0.45">
      <c r="AJ51" s="3" t="s">
        <v>122</v>
      </c>
      <c r="AK51">
        <v>30</v>
      </c>
      <c r="AL51" s="4">
        <v>-30</v>
      </c>
      <c r="AX51">
        <v>10</v>
      </c>
      <c r="AY51" s="3">
        <v>63</v>
      </c>
      <c r="AZ51" s="3">
        <v>24</v>
      </c>
      <c r="BB51">
        <v>10</v>
      </c>
      <c r="BC51" s="3">
        <v>11</v>
      </c>
      <c r="BD51" s="3">
        <v>2</v>
      </c>
      <c r="BF51">
        <v>10</v>
      </c>
      <c r="BG51" s="3">
        <v>8</v>
      </c>
      <c r="BH51" s="3">
        <v>0</v>
      </c>
      <c r="BJ51">
        <v>10</v>
      </c>
      <c r="BK51" s="3">
        <v>1</v>
      </c>
      <c r="BL51" s="3">
        <v>3</v>
      </c>
      <c r="BN51">
        <v>10</v>
      </c>
      <c r="BO51" s="3">
        <v>20</v>
      </c>
      <c r="BP51" s="3">
        <v>4</v>
      </c>
    </row>
    <row r="52" spans="36:68" x14ac:dyDescent="0.45">
      <c r="AJ52" s="3" t="s">
        <v>156</v>
      </c>
      <c r="AK52">
        <v>4</v>
      </c>
      <c r="AL52" s="4">
        <v>-4</v>
      </c>
    </row>
    <row r="53" spans="36:68" x14ac:dyDescent="0.45">
      <c r="AJ53" s="3" t="s">
        <v>155</v>
      </c>
      <c r="AK53">
        <v>3</v>
      </c>
      <c r="AL53" s="4">
        <v>-3</v>
      </c>
    </row>
    <row r="54" spans="36:68" x14ac:dyDescent="0.45">
      <c r="AJ54" s="3" t="s">
        <v>129</v>
      </c>
      <c r="AK54">
        <v>12</v>
      </c>
      <c r="AL54" s="4">
        <v>-13</v>
      </c>
    </row>
    <row r="55" spans="36:68" x14ac:dyDescent="0.45">
      <c r="AJ55" s="3" t="s">
        <v>119</v>
      </c>
      <c r="AK55">
        <v>70</v>
      </c>
      <c r="AL55" s="4">
        <v>-70</v>
      </c>
      <c r="AX55" s="3" t="s">
        <v>125</v>
      </c>
      <c r="BB55" s="3" t="s">
        <v>155</v>
      </c>
      <c r="BF55" s="3" t="s">
        <v>123</v>
      </c>
      <c r="BJ55" s="3" t="s">
        <v>126</v>
      </c>
      <c r="BN55" s="3" t="s">
        <v>156</v>
      </c>
    </row>
    <row r="56" spans="36:68" x14ac:dyDescent="0.45">
      <c r="AJ56" s="3" t="s">
        <v>132</v>
      </c>
      <c r="AK56">
        <v>10</v>
      </c>
      <c r="AL56" s="4">
        <v>-10</v>
      </c>
      <c r="AX56" t="s">
        <v>159</v>
      </c>
      <c r="AY56" t="s">
        <v>161</v>
      </c>
      <c r="AZ56" t="s">
        <v>160</v>
      </c>
      <c r="BB56" t="s">
        <v>159</v>
      </c>
      <c r="BC56" t="s">
        <v>161</v>
      </c>
      <c r="BD56" t="s">
        <v>160</v>
      </c>
      <c r="BF56" t="s">
        <v>159</v>
      </c>
      <c r="BG56" t="s">
        <v>161</v>
      </c>
      <c r="BH56" t="s">
        <v>160</v>
      </c>
      <c r="BJ56" t="s">
        <v>159</v>
      </c>
      <c r="BK56" t="s">
        <v>161</v>
      </c>
      <c r="BL56" t="s">
        <v>160</v>
      </c>
      <c r="BN56" t="s">
        <v>159</v>
      </c>
      <c r="BO56" t="s">
        <v>161</v>
      </c>
      <c r="BP56" t="s">
        <v>160</v>
      </c>
    </row>
    <row r="57" spans="36:68" x14ac:dyDescent="0.45">
      <c r="AJ57" s="3" t="s">
        <v>123</v>
      </c>
      <c r="AK57">
        <v>6</v>
      </c>
      <c r="AL57" s="4">
        <v>-6</v>
      </c>
      <c r="AT57" t="s">
        <v>162</v>
      </c>
      <c r="AX57">
        <v>1</v>
      </c>
      <c r="AY57" s="3">
        <v>3</v>
      </c>
      <c r="AZ57" s="3">
        <v>5</v>
      </c>
      <c r="BB57">
        <v>1</v>
      </c>
      <c r="BC57" s="3"/>
      <c r="BD57" s="3"/>
      <c r="BF57">
        <v>1</v>
      </c>
      <c r="BG57" s="3"/>
      <c r="BH57" s="3">
        <v>1</v>
      </c>
      <c r="BJ57">
        <v>1</v>
      </c>
      <c r="BK57" s="3">
        <v>1</v>
      </c>
      <c r="BL57" s="3">
        <v>6</v>
      </c>
      <c r="BN57">
        <v>1</v>
      </c>
      <c r="BO57" s="3"/>
      <c r="BP57" s="3"/>
    </row>
    <row r="58" spans="36:68" x14ac:dyDescent="0.45">
      <c r="AJ58" s="3" t="s">
        <v>125</v>
      </c>
      <c r="AK58">
        <v>43</v>
      </c>
      <c r="AL58" s="4">
        <v>-43</v>
      </c>
      <c r="AX58">
        <v>2</v>
      </c>
      <c r="AY58" s="3">
        <v>3</v>
      </c>
      <c r="AZ58" s="3">
        <v>2</v>
      </c>
      <c r="BB58">
        <v>2</v>
      </c>
      <c r="BC58" s="3">
        <v>2</v>
      </c>
      <c r="BD58" s="3"/>
      <c r="BF58">
        <v>2</v>
      </c>
      <c r="BG58" s="3"/>
      <c r="BH58" s="3"/>
      <c r="BJ58">
        <v>2</v>
      </c>
      <c r="BK58" s="3">
        <v>1</v>
      </c>
      <c r="BL58" s="3">
        <v>1</v>
      </c>
      <c r="BN58">
        <v>2</v>
      </c>
      <c r="BO58" s="3"/>
      <c r="BP58" s="3"/>
    </row>
    <row r="59" spans="36:68" x14ac:dyDescent="0.45">
      <c r="AJ59" s="3" t="s">
        <v>138</v>
      </c>
      <c r="AK59">
        <v>7</v>
      </c>
      <c r="AL59" s="4">
        <v>-7</v>
      </c>
      <c r="AX59">
        <v>3</v>
      </c>
      <c r="AY59" s="3">
        <v>7</v>
      </c>
      <c r="AZ59" s="3">
        <v>8</v>
      </c>
      <c r="BB59">
        <v>3</v>
      </c>
      <c r="BC59" s="3">
        <v>1</v>
      </c>
      <c r="BD59" s="3">
        <v>3</v>
      </c>
      <c r="BF59">
        <v>3</v>
      </c>
      <c r="BG59" s="3"/>
      <c r="BH59" s="3">
        <v>2</v>
      </c>
      <c r="BJ59">
        <v>3</v>
      </c>
      <c r="BK59" s="3">
        <v>10</v>
      </c>
      <c r="BL59" s="3">
        <v>5</v>
      </c>
      <c r="BN59">
        <v>3</v>
      </c>
      <c r="BO59" s="3">
        <v>1</v>
      </c>
      <c r="BP59" s="3"/>
    </row>
    <row r="60" spans="36:68" x14ac:dyDescent="0.45">
      <c r="AJ60" s="3" t="s">
        <v>135</v>
      </c>
      <c r="AK60">
        <v>32</v>
      </c>
      <c r="AL60" s="4">
        <v>-32</v>
      </c>
      <c r="AX60">
        <v>4</v>
      </c>
      <c r="AY60" s="3">
        <v>2</v>
      </c>
      <c r="AZ60" s="3">
        <v>4</v>
      </c>
      <c r="BB60">
        <v>4</v>
      </c>
      <c r="BC60" s="3">
        <v>2</v>
      </c>
      <c r="BD60" s="3"/>
      <c r="BF60">
        <v>4</v>
      </c>
      <c r="BG60" s="3"/>
      <c r="BH60" s="3">
        <v>1</v>
      </c>
      <c r="BJ60">
        <v>4</v>
      </c>
      <c r="BK60" s="3">
        <v>3</v>
      </c>
      <c r="BL60" s="3">
        <v>1</v>
      </c>
      <c r="BN60">
        <v>4</v>
      </c>
      <c r="BO60" s="3"/>
      <c r="BP60" s="3"/>
    </row>
    <row r="61" spans="36:68" x14ac:dyDescent="0.45">
      <c r="AJ61" s="3" t="s">
        <v>126</v>
      </c>
      <c r="AK61">
        <v>17</v>
      </c>
      <c r="AL61" s="4">
        <v>-17</v>
      </c>
      <c r="AX61">
        <v>5</v>
      </c>
      <c r="AY61" s="3">
        <v>43</v>
      </c>
      <c r="AZ61" s="3"/>
      <c r="BB61">
        <v>5</v>
      </c>
      <c r="BC61" s="3">
        <v>3</v>
      </c>
      <c r="BD61" s="3"/>
      <c r="BF61">
        <v>5</v>
      </c>
      <c r="BG61" s="3">
        <v>6</v>
      </c>
      <c r="BH61" s="3"/>
      <c r="BJ61">
        <v>5</v>
      </c>
      <c r="BK61" s="3">
        <v>19</v>
      </c>
      <c r="BL61" s="3">
        <v>2</v>
      </c>
      <c r="BN61">
        <v>5</v>
      </c>
      <c r="BO61" s="3">
        <v>4</v>
      </c>
      <c r="BP61" s="3"/>
    </row>
    <row r="62" spans="36:68" x14ac:dyDescent="0.45">
      <c r="AX62">
        <v>6</v>
      </c>
      <c r="AY62" s="3">
        <v>4</v>
      </c>
      <c r="AZ62" s="3">
        <v>8</v>
      </c>
      <c r="BB62">
        <v>6</v>
      </c>
      <c r="BC62" s="3"/>
      <c r="BD62" s="3"/>
      <c r="BF62">
        <v>6</v>
      </c>
      <c r="BG62" s="3">
        <v>1</v>
      </c>
      <c r="BH62" s="3"/>
      <c r="BJ62">
        <v>6</v>
      </c>
      <c r="BK62" s="3">
        <v>4</v>
      </c>
      <c r="BL62" s="3">
        <v>8</v>
      </c>
      <c r="BN62">
        <v>6</v>
      </c>
      <c r="BO62" s="3">
        <v>1</v>
      </c>
      <c r="BP62" s="3"/>
    </row>
    <row r="63" spans="36:68" x14ac:dyDescent="0.45">
      <c r="AX63">
        <v>7</v>
      </c>
      <c r="AY63" s="3">
        <v>17</v>
      </c>
      <c r="AZ63" s="3">
        <v>3</v>
      </c>
      <c r="BB63">
        <v>7</v>
      </c>
      <c r="BC63" s="3"/>
      <c r="BD63" s="3"/>
      <c r="BF63">
        <v>7</v>
      </c>
      <c r="BG63" s="3"/>
      <c r="BH63" s="3"/>
      <c r="BJ63">
        <v>7</v>
      </c>
      <c r="BK63" s="3">
        <v>10</v>
      </c>
      <c r="BL63" s="3">
        <v>2</v>
      </c>
      <c r="BN63">
        <v>7</v>
      </c>
      <c r="BO63" s="3"/>
      <c r="BP63" s="3"/>
    </row>
    <row r="64" spans="36:68" x14ac:dyDescent="0.45">
      <c r="AX64">
        <v>8</v>
      </c>
      <c r="AY64" s="3">
        <v>4</v>
      </c>
      <c r="AZ64" s="3">
        <v>3</v>
      </c>
      <c r="BB64">
        <v>8</v>
      </c>
      <c r="BC64" s="3"/>
      <c r="BD64" s="3"/>
      <c r="BF64">
        <v>8</v>
      </c>
      <c r="BG64" s="3"/>
      <c r="BH64" s="3">
        <v>2</v>
      </c>
      <c r="BJ64">
        <v>8</v>
      </c>
      <c r="BK64" s="3">
        <v>6</v>
      </c>
      <c r="BL64" s="3">
        <v>3</v>
      </c>
      <c r="BN64">
        <v>8</v>
      </c>
      <c r="BO64" s="3"/>
      <c r="BP64" s="3"/>
    </row>
    <row r="65" spans="50:68" x14ac:dyDescent="0.45">
      <c r="AX65">
        <v>9</v>
      </c>
      <c r="AY65" s="3">
        <v>5</v>
      </c>
      <c r="AZ65" s="3"/>
      <c r="BB65">
        <v>9</v>
      </c>
      <c r="BC65" s="3"/>
      <c r="BD65" s="3"/>
      <c r="BF65">
        <v>9</v>
      </c>
      <c r="BG65" s="3">
        <v>1</v>
      </c>
      <c r="BH65" s="3"/>
      <c r="BJ65">
        <v>9</v>
      </c>
      <c r="BK65" s="3">
        <v>7</v>
      </c>
      <c r="BL65" s="3">
        <v>0</v>
      </c>
      <c r="BN65">
        <v>9</v>
      </c>
      <c r="BO65" s="3"/>
      <c r="BP65" s="3"/>
    </row>
    <row r="66" spans="50:68" x14ac:dyDescent="0.45">
      <c r="AX66">
        <v>10</v>
      </c>
      <c r="AY66" s="3">
        <v>57</v>
      </c>
      <c r="AZ66" s="3">
        <v>5</v>
      </c>
      <c r="BB66">
        <v>10</v>
      </c>
      <c r="BC66" s="3"/>
      <c r="BD66" s="3">
        <v>2</v>
      </c>
      <c r="BF66">
        <v>10</v>
      </c>
      <c r="BG66" s="3">
        <v>6</v>
      </c>
      <c r="BH66" s="3">
        <v>1</v>
      </c>
      <c r="BJ66">
        <v>10</v>
      </c>
      <c r="BK66" s="3">
        <v>13</v>
      </c>
      <c r="BL66" s="3">
        <v>8</v>
      </c>
      <c r="BN66">
        <v>10</v>
      </c>
      <c r="BO66" s="3">
        <v>2</v>
      </c>
      <c r="BP66" s="3"/>
    </row>
  </sheetData>
  <mergeCells count="10">
    <mergeCell ref="AW4:AX4"/>
    <mergeCell ref="AY4:AZ4"/>
    <mergeCell ref="BA4:BB4"/>
    <mergeCell ref="BC4:BD4"/>
    <mergeCell ref="AK4:AL4"/>
    <mergeCell ref="AM4:AN4"/>
    <mergeCell ref="AO4:AP4"/>
    <mergeCell ref="AQ4:AR4"/>
    <mergeCell ref="AS4:AT4"/>
    <mergeCell ref="AU4:AV4"/>
  </mergeCells>
  <conditionalFormatting sqref="AJ26:AT41">
    <cfRule type="colorScale" priority="4">
      <colorScale>
        <cfvo type="num" val="&quot;-&quot;"/>
        <cfvo type="num" val="0"/>
        <cfvo type="num" val="&quot;+&quot;"/>
        <color rgb="FFF8696B"/>
        <color rgb="FFFFEB84"/>
        <color rgb="FF63BE7B"/>
      </colorScale>
    </cfRule>
  </conditionalFormatting>
  <conditionalFormatting sqref="AK27:AT41">
    <cfRule type="colorScale" priority="8">
      <colorScale>
        <cfvo type="min"/>
        <cfvo type="percentile" val="50"/>
        <cfvo type="max"/>
        <color theme="3" tint="0.499984740745262"/>
        <color theme="0"/>
        <color rgb="FFFF0000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1D3A-D230-4565-A96B-6EFEC00B9F79}">
  <dimension ref="A1:AU129"/>
  <sheetViews>
    <sheetView topLeftCell="A48" zoomScale="60" zoomScaleNormal="60" workbookViewId="0">
      <selection activeCell="J107" sqref="J107"/>
    </sheetView>
  </sheetViews>
  <sheetFormatPr baseColWidth="10" defaultRowHeight="14.25" x14ac:dyDescent="0.45"/>
  <cols>
    <col min="1" max="1" width="69.59765625" bestFit="1" customWidth="1"/>
    <col min="2" max="2" width="10.6640625" style="13"/>
    <col min="3" max="3" width="10.6640625" style="14"/>
    <col min="4" max="4" width="10.6640625" style="13"/>
    <col min="5" max="5" width="10.6640625" style="14"/>
    <col min="6" max="6" width="10.6640625" style="13"/>
    <col min="7" max="7" width="10.6640625" style="14"/>
    <col min="8" max="8" width="10.6640625" style="13"/>
    <col min="9" max="9" width="10.6640625" style="14"/>
    <col min="10" max="10" width="10.6640625" style="13"/>
    <col min="11" max="11" width="10.6640625" style="14"/>
    <col min="12" max="12" width="10.6640625" style="13"/>
    <col min="13" max="13" width="10.6640625" style="14"/>
    <col min="14" max="14" width="10.6640625" style="13"/>
    <col min="15" max="15" width="10.6640625" style="14"/>
    <col min="16" max="16" width="10.6640625" style="13"/>
    <col min="17" max="17" width="10.6640625" style="14"/>
    <col min="18" max="18" width="10.6640625" style="13"/>
    <col min="19" max="19" width="10.6640625" style="14"/>
    <col min="20" max="20" width="10.6640625" style="13"/>
    <col min="21" max="21" width="10.6640625" style="14"/>
    <col min="22" max="22" width="42.1328125" bestFit="1" customWidth="1"/>
    <col min="26" max="26" width="82.46484375" bestFit="1" customWidth="1"/>
  </cols>
  <sheetData>
    <row r="1" spans="1:47" ht="14.65" thickBot="1" x14ac:dyDescent="0.5">
      <c r="A1" s="9"/>
      <c r="B1" s="22">
        <v>1</v>
      </c>
      <c r="C1" s="23"/>
      <c r="D1" s="22">
        <v>2</v>
      </c>
      <c r="E1" s="23"/>
      <c r="F1" s="22">
        <v>3</v>
      </c>
      <c r="G1" s="23"/>
      <c r="H1" s="22">
        <v>4</v>
      </c>
      <c r="I1" s="23"/>
      <c r="J1" s="22">
        <v>5</v>
      </c>
      <c r="K1" s="23"/>
      <c r="L1" s="22">
        <v>6</v>
      </c>
      <c r="M1" s="23"/>
      <c r="N1" s="22">
        <v>7</v>
      </c>
      <c r="O1" s="23"/>
      <c r="P1" s="22">
        <v>8</v>
      </c>
      <c r="Q1" s="23"/>
      <c r="R1" s="22">
        <v>9</v>
      </c>
      <c r="S1" s="23"/>
      <c r="T1" s="22">
        <v>10</v>
      </c>
      <c r="U1" s="23"/>
      <c r="Z1" s="9" t="s">
        <v>178</v>
      </c>
      <c r="AA1" s="22">
        <v>1</v>
      </c>
      <c r="AB1" s="23"/>
      <c r="AC1" s="22">
        <v>2</v>
      </c>
      <c r="AD1" s="23"/>
      <c r="AE1" s="22">
        <v>3</v>
      </c>
      <c r="AF1" s="23"/>
      <c r="AG1" s="22">
        <v>4</v>
      </c>
      <c r="AH1" s="23"/>
      <c r="AI1" s="22">
        <v>5</v>
      </c>
      <c r="AJ1" s="23"/>
      <c r="AK1" s="22">
        <v>6</v>
      </c>
      <c r="AL1" s="23"/>
      <c r="AM1" s="22">
        <v>7</v>
      </c>
      <c r="AN1" s="23"/>
      <c r="AO1" s="22">
        <v>8</v>
      </c>
      <c r="AP1" s="23"/>
      <c r="AQ1" s="22">
        <v>9</v>
      </c>
      <c r="AR1" s="23"/>
      <c r="AS1" s="22">
        <v>10</v>
      </c>
      <c r="AT1" s="23"/>
    </row>
    <row r="2" spans="1:47" x14ac:dyDescent="0.45">
      <c r="A2" s="7" t="s">
        <v>105</v>
      </c>
      <c r="B2" s="4">
        <v>-1</v>
      </c>
      <c r="C2" s="4">
        <v>1</v>
      </c>
      <c r="D2" s="4">
        <v>-1</v>
      </c>
      <c r="E2" s="4">
        <v>1</v>
      </c>
      <c r="F2" s="4">
        <v>-1</v>
      </c>
      <c r="G2" s="4">
        <v>1</v>
      </c>
      <c r="H2" s="4">
        <v>-1</v>
      </c>
      <c r="I2" s="4">
        <v>1</v>
      </c>
      <c r="J2" s="4">
        <v>-1</v>
      </c>
      <c r="K2" s="4">
        <v>1</v>
      </c>
      <c r="L2" s="4">
        <v>-1</v>
      </c>
      <c r="M2" s="4">
        <v>1</v>
      </c>
      <c r="N2" s="4">
        <v>-1</v>
      </c>
      <c r="O2" s="4">
        <v>1</v>
      </c>
      <c r="P2" s="4">
        <v>-1</v>
      </c>
      <c r="Q2" s="4">
        <v>1</v>
      </c>
      <c r="R2" s="4">
        <v>-1</v>
      </c>
      <c r="S2" s="4">
        <v>1</v>
      </c>
      <c r="T2" s="4">
        <v>-1</v>
      </c>
      <c r="U2" s="4">
        <v>1</v>
      </c>
      <c r="V2" t="s">
        <v>118</v>
      </c>
      <c r="Z2" s="7" t="s">
        <v>139</v>
      </c>
      <c r="AA2" s="4">
        <v>-1</v>
      </c>
      <c r="AB2" s="4">
        <v>1</v>
      </c>
      <c r="AC2" s="4">
        <v>-1</v>
      </c>
      <c r="AD2" s="4">
        <v>1</v>
      </c>
      <c r="AE2" s="4">
        <v>-1</v>
      </c>
      <c r="AF2" s="4">
        <v>1</v>
      </c>
      <c r="AG2" s="4">
        <v>-1</v>
      </c>
      <c r="AH2" s="4">
        <v>1</v>
      </c>
      <c r="AI2" s="4">
        <v>-1</v>
      </c>
      <c r="AJ2" s="4">
        <v>1</v>
      </c>
      <c r="AK2" s="4">
        <v>-1</v>
      </c>
      <c r="AL2" s="4">
        <v>1</v>
      </c>
      <c r="AM2" s="4">
        <v>-1</v>
      </c>
      <c r="AN2" s="4">
        <v>1</v>
      </c>
      <c r="AO2" s="4">
        <v>-1</v>
      </c>
      <c r="AP2" s="4">
        <v>1</v>
      </c>
      <c r="AQ2" s="4">
        <v>-1</v>
      </c>
      <c r="AR2" s="4">
        <v>1</v>
      </c>
      <c r="AS2" s="4">
        <v>-1</v>
      </c>
      <c r="AT2" s="4">
        <v>1</v>
      </c>
    </row>
    <row r="3" spans="1:47" x14ac:dyDescent="0.45">
      <c r="A3" s="10" t="s">
        <v>78</v>
      </c>
      <c r="B3" s="16"/>
      <c r="C3" s="6"/>
      <c r="D3" s="16"/>
      <c r="E3" s="6"/>
      <c r="F3" s="16">
        <v>3</v>
      </c>
      <c r="G3" s="6"/>
      <c r="H3" s="16">
        <v>4</v>
      </c>
      <c r="I3" s="6"/>
      <c r="J3" s="16">
        <v>13</v>
      </c>
      <c r="K3" s="6"/>
      <c r="L3" s="16">
        <v>7</v>
      </c>
      <c r="M3" s="6"/>
      <c r="N3" s="16"/>
      <c r="O3" s="6">
        <v>1</v>
      </c>
      <c r="P3" s="16"/>
      <c r="Q3" s="6">
        <v>4</v>
      </c>
      <c r="R3" s="16"/>
      <c r="S3" s="6"/>
      <c r="T3" s="16"/>
      <c r="V3" s="8" t="s">
        <v>137</v>
      </c>
      <c r="Z3" s="10" t="s">
        <v>179</v>
      </c>
      <c r="AA3" s="17"/>
      <c r="AB3" s="6"/>
      <c r="AC3" s="17">
        <v>1</v>
      </c>
      <c r="AD3" s="6"/>
      <c r="AE3" s="17"/>
      <c r="AF3" s="6"/>
      <c r="AG3" s="17"/>
      <c r="AH3" s="6"/>
      <c r="AI3" s="17">
        <v>3</v>
      </c>
      <c r="AJ3" s="6"/>
      <c r="AK3" s="17"/>
      <c r="AL3" s="6">
        <v>1</v>
      </c>
      <c r="AM3" s="17">
        <v>1</v>
      </c>
      <c r="AN3" s="6"/>
      <c r="AO3" s="17"/>
      <c r="AP3" s="6"/>
      <c r="AQ3" s="17"/>
      <c r="AR3" s="6"/>
      <c r="AS3" s="17">
        <v>1</v>
      </c>
      <c r="AT3" s="14">
        <v>1</v>
      </c>
      <c r="AU3" s="8" t="s">
        <v>119</v>
      </c>
    </row>
    <row r="4" spans="1:47" x14ac:dyDescent="0.45">
      <c r="A4" s="10" t="s">
        <v>82</v>
      </c>
      <c r="B4" s="17">
        <v>1</v>
      </c>
      <c r="C4" s="6"/>
      <c r="D4" s="17"/>
      <c r="E4" s="6"/>
      <c r="F4" s="17">
        <v>1</v>
      </c>
      <c r="G4" s="6"/>
      <c r="H4" s="17"/>
      <c r="I4" s="6"/>
      <c r="J4" s="17">
        <v>7</v>
      </c>
      <c r="K4" s="6">
        <v>1</v>
      </c>
      <c r="L4" s="17"/>
      <c r="M4" s="6"/>
      <c r="N4" s="17"/>
      <c r="O4" s="6"/>
      <c r="P4" s="17"/>
      <c r="Q4" s="6">
        <v>1</v>
      </c>
      <c r="R4" s="17"/>
      <c r="S4" s="6"/>
      <c r="T4" s="17">
        <v>1</v>
      </c>
      <c r="V4" s="8" t="s">
        <v>137</v>
      </c>
      <c r="Z4" s="10" t="s">
        <v>180</v>
      </c>
      <c r="AA4" s="17">
        <v>2</v>
      </c>
      <c r="AB4" s="6"/>
      <c r="AC4" s="17">
        <v>3</v>
      </c>
      <c r="AD4" s="6"/>
      <c r="AE4" s="17">
        <v>8</v>
      </c>
      <c r="AF4" s="6">
        <v>4</v>
      </c>
      <c r="AG4" s="17">
        <v>2</v>
      </c>
      <c r="AH4" s="6">
        <v>3</v>
      </c>
      <c r="AI4" s="17">
        <v>10</v>
      </c>
      <c r="AJ4" s="6">
        <v>1</v>
      </c>
      <c r="AK4" s="17">
        <v>1</v>
      </c>
      <c r="AL4" s="6">
        <v>3</v>
      </c>
      <c r="AM4" s="17">
        <v>11</v>
      </c>
      <c r="AN4" s="6"/>
      <c r="AO4" s="17"/>
      <c r="AP4" s="6">
        <v>1</v>
      </c>
      <c r="AQ4" s="17">
        <v>4</v>
      </c>
      <c r="AR4" s="6"/>
      <c r="AS4" s="17">
        <v>12</v>
      </c>
      <c r="AT4" s="14">
        <v>2</v>
      </c>
      <c r="AU4" s="8" t="s">
        <v>119</v>
      </c>
    </row>
    <row r="5" spans="1:47" x14ac:dyDescent="0.45">
      <c r="A5" s="10" t="s">
        <v>61</v>
      </c>
      <c r="B5" s="17"/>
      <c r="C5" s="6"/>
      <c r="D5" s="17"/>
      <c r="E5" s="6"/>
      <c r="F5" s="17"/>
      <c r="G5" s="6">
        <v>1</v>
      </c>
      <c r="H5" s="17"/>
      <c r="I5" s="6"/>
      <c r="J5" s="17">
        <v>2</v>
      </c>
      <c r="K5" s="6"/>
      <c r="L5" s="17">
        <v>1</v>
      </c>
      <c r="M5" s="6"/>
      <c r="N5" s="17">
        <v>1</v>
      </c>
      <c r="O5" s="6"/>
      <c r="P5" s="17">
        <v>1</v>
      </c>
      <c r="Q5" s="6">
        <v>1</v>
      </c>
      <c r="R5" s="17"/>
      <c r="S5" s="6"/>
      <c r="T5" s="17"/>
      <c r="U5" s="14">
        <v>1</v>
      </c>
      <c r="V5" s="8" t="s">
        <v>137</v>
      </c>
      <c r="Z5" s="10" t="s">
        <v>65</v>
      </c>
      <c r="AA5" s="17"/>
      <c r="AB5" s="6"/>
      <c r="AC5" s="17"/>
      <c r="AD5" s="6"/>
      <c r="AE5" s="17"/>
      <c r="AF5" s="6">
        <v>1</v>
      </c>
      <c r="AG5" s="17">
        <v>1</v>
      </c>
      <c r="AH5" s="6">
        <v>1</v>
      </c>
      <c r="AI5" s="17">
        <v>3</v>
      </c>
      <c r="AJ5" s="6"/>
      <c r="AK5" s="17"/>
      <c r="AL5" s="6"/>
      <c r="AM5" s="17">
        <v>1</v>
      </c>
      <c r="AN5" s="6">
        <v>1</v>
      </c>
      <c r="AO5" s="17"/>
      <c r="AP5" s="6"/>
      <c r="AQ5" s="17"/>
      <c r="AR5" s="6"/>
      <c r="AS5" s="17">
        <v>2</v>
      </c>
      <c r="AT5" s="14">
        <v>2</v>
      </c>
      <c r="AU5" s="8" t="s">
        <v>119</v>
      </c>
    </row>
    <row r="6" spans="1:47" x14ac:dyDescent="0.45">
      <c r="A6" s="10" t="s">
        <v>38</v>
      </c>
      <c r="B6" s="17"/>
      <c r="C6" s="6"/>
      <c r="D6" s="17">
        <v>1</v>
      </c>
      <c r="E6" s="6"/>
      <c r="F6" s="17"/>
      <c r="G6" s="6"/>
      <c r="H6" s="17"/>
      <c r="I6" s="6"/>
      <c r="J6" s="17">
        <v>3</v>
      </c>
      <c r="K6" s="6"/>
      <c r="L6" s="17"/>
      <c r="M6" s="6">
        <v>1</v>
      </c>
      <c r="N6" s="17">
        <v>1</v>
      </c>
      <c r="O6" s="6"/>
      <c r="P6" s="17"/>
      <c r="Q6" s="6"/>
      <c r="R6" s="17"/>
      <c r="S6" s="6"/>
      <c r="T6" s="17">
        <v>1</v>
      </c>
      <c r="U6" s="14">
        <v>1</v>
      </c>
      <c r="V6" s="8" t="s">
        <v>119</v>
      </c>
      <c r="Z6" s="10" t="s">
        <v>181</v>
      </c>
      <c r="AA6" s="17">
        <v>1</v>
      </c>
      <c r="AB6" s="6"/>
      <c r="AC6" s="17">
        <v>1</v>
      </c>
      <c r="AD6" s="6"/>
      <c r="AE6" s="17">
        <v>2</v>
      </c>
      <c r="AF6" s="6">
        <v>3</v>
      </c>
      <c r="AG6" s="17"/>
      <c r="AH6" s="6"/>
      <c r="AI6" s="17">
        <v>2</v>
      </c>
      <c r="AJ6" s="6"/>
      <c r="AK6" s="17"/>
      <c r="AL6" s="6">
        <v>4</v>
      </c>
      <c r="AM6" s="17"/>
      <c r="AN6" s="6">
        <v>1</v>
      </c>
      <c r="AO6" s="17"/>
      <c r="AP6" s="6"/>
      <c r="AQ6" s="17"/>
      <c r="AR6" s="6"/>
      <c r="AS6" s="17">
        <v>3</v>
      </c>
      <c r="AT6" s="14">
        <v>2</v>
      </c>
      <c r="AU6" s="8" t="s">
        <v>119</v>
      </c>
    </row>
    <row r="7" spans="1:47" x14ac:dyDescent="0.45">
      <c r="A7" s="10" t="s">
        <v>45</v>
      </c>
      <c r="B7" s="17">
        <v>2</v>
      </c>
      <c r="C7" s="6"/>
      <c r="D7" s="17">
        <v>3</v>
      </c>
      <c r="E7" s="6"/>
      <c r="F7" s="17">
        <v>8</v>
      </c>
      <c r="G7" s="6">
        <v>4</v>
      </c>
      <c r="H7" s="17">
        <v>2</v>
      </c>
      <c r="I7" s="6">
        <v>3</v>
      </c>
      <c r="J7" s="17">
        <v>10</v>
      </c>
      <c r="K7" s="6">
        <v>1</v>
      </c>
      <c r="L7" s="17">
        <v>1</v>
      </c>
      <c r="M7" s="6">
        <v>3</v>
      </c>
      <c r="N7" s="17">
        <v>11</v>
      </c>
      <c r="O7" s="6"/>
      <c r="P7" s="17"/>
      <c r="Q7" s="6">
        <v>1</v>
      </c>
      <c r="R7" s="17">
        <v>4</v>
      </c>
      <c r="S7" s="6"/>
      <c r="T7" s="17">
        <v>12</v>
      </c>
      <c r="U7" s="14">
        <v>2</v>
      </c>
      <c r="V7" s="8" t="s">
        <v>119</v>
      </c>
      <c r="Z7" s="10" t="s">
        <v>182</v>
      </c>
      <c r="AA7" s="17"/>
      <c r="AB7" s="6"/>
      <c r="AC7" s="17"/>
      <c r="AD7" s="6"/>
      <c r="AE7" s="17">
        <v>1</v>
      </c>
      <c r="AF7" s="6"/>
      <c r="AG7" s="17">
        <v>2</v>
      </c>
      <c r="AH7" s="6"/>
      <c r="AI7" s="17">
        <v>1</v>
      </c>
      <c r="AJ7" s="6"/>
      <c r="AK7" s="17">
        <v>1</v>
      </c>
      <c r="AL7" s="6"/>
      <c r="AM7" s="17">
        <v>1</v>
      </c>
      <c r="AN7" s="6"/>
      <c r="AO7" s="17"/>
      <c r="AP7" s="6"/>
      <c r="AQ7" s="17"/>
      <c r="AR7" s="6"/>
      <c r="AS7" s="17">
        <v>2</v>
      </c>
      <c r="AT7" s="14">
        <v>1</v>
      </c>
      <c r="AU7" s="8" t="s">
        <v>119</v>
      </c>
    </row>
    <row r="8" spans="1:47" x14ac:dyDescent="0.45">
      <c r="A8" s="10" t="s">
        <v>65</v>
      </c>
      <c r="B8" s="17"/>
      <c r="C8" s="6"/>
      <c r="D8" s="17"/>
      <c r="E8" s="6"/>
      <c r="F8" s="17"/>
      <c r="G8" s="6">
        <v>1</v>
      </c>
      <c r="H8" s="17">
        <v>1</v>
      </c>
      <c r="I8" s="6">
        <v>1</v>
      </c>
      <c r="J8" s="17">
        <v>3</v>
      </c>
      <c r="K8" s="6"/>
      <c r="L8" s="17"/>
      <c r="M8" s="6"/>
      <c r="N8" s="17">
        <v>1</v>
      </c>
      <c r="O8" s="6">
        <v>1</v>
      </c>
      <c r="P8" s="17"/>
      <c r="Q8" s="6"/>
      <c r="R8" s="17"/>
      <c r="S8" s="6"/>
      <c r="T8" s="17">
        <v>2</v>
      </c>
      <c r="U8" s="14">
        <v>2</v>
      </c>
      <c r="V8" s="8" t="s">
        <v>119</v>
      </c>
      <c r="Z8" s="10" t="s">
        <v>183</v>
      </c>
      <c r="AA8" s="17">
        <v>3</v>
      </c>
      <c r="AB8" s="6">
        <v>2</v>
      </c>
      <c r="AC8" s="17">
        <v>1</v>
      </c>
      <c r="AD8" s="6">
        <v>2</v>
      </c>
      <c r="AE8" s="17">
        <v>6</v>
      </c>
      <c r="AF8" s="6">
        <v>9</v>
      </c>
      <c r="AG8" s="17">
        <v>1</v>
      </c>
      <c r="AH8" s="6">
        <v>2</v>
      </c>
      <c r="AI8" s="17">
        <v>9</v>
      </c>
      <c r="AJ8" s="6">
        <v>1</v>
      </c>
      <c r="AK8" s="17">
        <v>1</v>
      </c>
      <c r="AL8" s="6">
        <v>1</v>
      </c>
      <c r="AM8" s="17">
        <v>4</v>
      </c>
      <c r="AN8" s="6">
        <v>2</v>
      </c>
      <c r="AO8" s="17"/>
      <c r="AP8" s="6">
        <v>1</v>
      </c>
      <c r="AQ8" s="17"/>
      <c r="AR8" s="6"/>
      <c r="AS8" s="17">
        <v>9</v>
      </c>
      <c r="AT8" s="14">
        <v>3</v>
      </c>
      <c r="AU8" s="8" t="s">
        <v>119</v>
      </c>
    </row>
    <row r="9" spans="1:47" x14ac:dyDescent="0.45">
      <c r="A9" s="10" t="s">
        <v>54</v>
      </c>
      <c r="B9" s="17">
        <v>1</v>
      </c>
      <c r="C9" s="6"/>
      <c r="D9" s="17">
        <v>1</v>
      </c>
      <c r="E9" s="6"/>
      <c r="F9" s="17">
        <v>2</v>
      </c>
      <c r="G9" s="6">
        <v>3</v>
      </c>
      <c r="H9" s="17"/>
      <c r="I9" s="6"/>
      <c r="J9" s="17">
        <v>2</v>
      </c>
      <c r="K9" s="6"/>
      <c r="L9" s="17"/>
      <c r="M9" s="6">
        <v>4</v>
      </c>
      <c r="N9" s="17"/>
      <c r="O9" s="6">
        <v>1</v>
      </c>
      <c r="P9" s="17"/>
      <c r="Q9" s="6"/>
      <c r="R9" s="17"/>
      <c r="S9" s="6"/>
      <c r="T9" s="17">
        <v>3</v>
      </c>
      <c r="U9" s="14">
        <v>2</v>
      </c>
      <c r="V9" s="8" t="s">
        <v>119</v>
      </c>
      <c r="Z9" s="10" t="s">
        <v>184</v>
      </c>
      <c r="AA9" s="17"/>
      <c r="AB9" s="6"/>
      <c r="AC9" s="17"/>
      <c r="AD9" s="6"/>
      <c r="AE9" s="17"/>
      <c r="AF9" s="6">
        <v>1</v>
      </c>
      <c r="AG9" s="17"/>
      <c r="AH9" s="6"/>
      <c r="AI9" s="17">
        <v>2</v>
      </c>
      <c r="AJ9" s="6"/>
      <c r="AK9" s="17"/>
      <c r="AL9" s="6"/>
      <c r="AM9" s="17"/>
      <c r="AN9" s="6"/>
      <c r="AO9" s="17"/>
      <c r="AP9" s="6"/>
      <c r="AQ9" s="17">
        <v>1</v>
      </c>
      <c r="AR9" s="6"/>
      <c r="AS9" s="17"/>
      <c r="AT9" s="14">
        <v>2</v>
      </c>
      <c r="AU9" s="8" t="s">
        <v>119</v>
      </c>
    </row>
    <row r="10" spans="1:47" x14ac:dyDescent="0.45">
      <c r="A10" s="10" t="s">
        <v>70</v>
      </c>
      <c r="B10" s="17"/>
      <c r="C10" s="6"/>
      <c r="D10" s="17"/>
      <c r="E10" s="6"/>
      <c r="F10" s="17">
        <v>1</v>
      </c>
      <c r="G10" s="6"/>
      <c r="H10" s="17">
        <v>2</v>
      </c>
      <c r="I10" s="6"/>
      <c r="J10" s="17">
        <v>1</v>
      </c>
      <c r="K10" s="6"/>
      <c r="L10" s="17">
        <v>1</v>
      </c>
      <c r="M10" s="6"/>
      <c r="N10" s="17">
        <v>1</v>
      </c>
      <c r="O10" s="6"/>
      <c r="P10" s="17"/>
      <c r="Q10" s="6"/>
      <c r="R10" s="17"/>
      <c r="S10" s="6"/>
      <c r="T10" s="17">
        <v>2</v>
      </c>
      <c r="U10" s="14">
        <v>1</v>
      </c>
      <c r="V10" s="8" t="s">
        <v>119</v>
      </c>
      <c r="Z10" s="10" t="s">
        <v>185</v>
      </c>
      <c r="AA10" s="17">
        <v>2</v>
      </c>
      <c r="AB10" s="6"/>
      <c r="AC10" s="17"/>
      <c r="AD10" s="6">
        <v>1</v>
      </c>
      <c r="AE10" s="17">
        <v>6</v>
      </c>
      <c r="AF10" s="6">
        <v>3</v>
      </c>
      <c r="AG10" s="17">
        <v>2</v>
      </c>
      <c r="AH10" s="6"/>
      <c r="AI10" s="17">
        <v>2</v>
      </c>
      <c r="AJ10" s="6">
        <v>2</v>
      </c>
      <c r="AK10" s="17"/>
      <c r="AL10" s="6">
        <v>1</v>
      </c>
      <c r="AM10" s="17">
        <v>1</v>
      </c>
      <c r="AN10" s="6"/>
      <c r="AO10" s="17"/>
      <c r="AP10" s="6"/>
      <c r="AQ10" s="17"/>
      <c r="AR10" s="6"/>
      <c r="AS10" s="17">
        <v>3</v>
      </c>
      <c r="AT10" s="14">
        <v>1</v>
      </c>
      <c r="AU10" s="8" t="s">
        <v>119</v>
      </c>
    </row>
    <row r="11" spans="1:47" x14ac:dyDescent="0.45">
      <c r="A11" s="10" t="s">
        <v>22</v>
      </c>
      <c r="B11" s="17">
        <v>3</v>
      </c>
      <c r="C11" s="6">
        <v>2</v>
      </c>
      <c r="D11" s="17">
        <v>1</v>
      </c>
      <c r="E11" s="6">
        <v>2</v>
      </c>
      <c r="F11" s="17">
        <v>6</v>
      </c>
      <c r="G11" s="6">
        <v>9</v>
      </c>
      <c r="H11" s="17">
        <v>1</v>
      </c>
      <c r="I11" s="6">
        <v>2</v>
      </c>
      <c r="J11" s="17">
        <v>9</v>
      </c>
      <c r="K11" s="6">
        <v>1</v>
      </c>
      <c r="L11" s="17">
        <v>1</v>
      </c>
      <c r="M11" s="6">
        <v>1</v>
      </c>
      <c r="N11" s="17">
        <v>4</v>
      </c>
      <c r="O11" s="6">
        <v>2</v>
      </c>
      <c r="P11" s="17"/>
      <c r="Q11" s="6">
        <v>1</v>
      </c>
      <c r="R11" s="17"/>
      <c r="S11" s="6"/>
      <c r="T11" s="17">
        <v>9</v>
      </c>
      <c r="U11" s="14">
        <v>3</v>
      </c>
      <c r="V11" s="8" t="s">
        <v>119</v>
      </c>
      <c r="Z11" s="10" t="s">
        <v>186</v>
      </c>
      <c r="AA11" s="17">
        <v>4</v>
      </c>
      <c r="AB11" s="6"/>
      <c r="AC11" s="17">
        <v>1</v>
      </c>
      <c r="AD11" s="6"/>
      <c r="AE11" s="17">
        <v>2</v>
      </c>
      <c r="AF11" s="6"/>
      <c r="AG11" s="17"/>
      <c r="AH11" s="6">
        <v>2</v>
      </c>
      <c r="AI11" s="17">
        <v>2</v>
      </c>
      <c r="AJ11" s="6"/>
      <c r="AK11" s="17"/>
      <c r="AL11" s="6"/>
      <c r="AM11" s="17">
        <v>4</v>
      </c>
      <c r="AN11" s="6"/>
      <c r="AO11" s="17"/>
      <c r="AP11" s="6"/>
      <c r="AQ11" s="17">
        <v>1</v>
      </c>
      <c r="AR11" s="6"/>
      <c r="AS11" s="17"/>
      <c r="AT11" s="14"/>
      <c r="AU11" s="8" t="s">
        <v>119</v>
      </c>
    </row>
    <row r="12" spans="1:47" x14ac:dyDescent="0.45">
      <c r="A12" s="10" t="s">
        <v>56</v>
      </c>
      <c r="B12" s="17"/>
      <c r="C12" s="6"/>
      <c r="D12" s="17"/>
      <c r="E12" s="6"/>
      <c r="F12" s="17"/>
      <c r="G12" s="6">
        <v>1</v>
      </c>
      <c r="H12" s="17"/>
      <c r="I12" s="6"/>
      <c r="J12" s="17">
        <v>2</v>
      </c>
      <c r="K12" s="6"/>
      <c r="L12" s="17"/>
      <c r="M12" s="6"/>
      <c r="N12" s="17"/>
      <c r="O12" s="6"/>
      <c r="P12" s="17"/>
      <c r="Q12" s="6"/>
      <c r="R12" s="17">
        <v>1</v>
      </c>
      <c r="S12" s="6"/>
      <c r="T12" s="17"/>
      <c r="U12" s="14">
        <v>2</v>
      </c>
      <c r="V12" s="8" t="s">
        <v>119</v>
      </c>
      <c r="Z12" s="10" t="s">
        <v>187</v>
      </c>
      <c r="AA12" s="17">
        <v>2</v>
      </c>
      <c r="AB12" s="6"/>
      <c r="AC12" s="17">
        <v>1</v>
      </c>
      <c r="AD12" s="6"/>
      <c r="AE12" s="17">
        <v>1</v>
      </c>
      <c r="AF12" s="6">
        <v>1</v>
      </c>
      <c r="AG12" s="17">
        <v>1</v>
      </c>
      <c r="AH12" s="6">
        <v>1</v>
      </c>
      <c r="AI12" s="17"/>
      <c r="AJ12" s="6"/>
      <c r="AK12" s="17"/>
      <c r="AL12" s="6"/>
      <c r="AM12" s="17">
        <v>2</v>
      </c>
      <c r="AN12" s="6"/>
      <c r="AO12" s="17"/>
      <c r="AP12" s="6"/>
      <c r="AQ12" s="17"/>
      <c r="AR12" s="6"/>
      <c r="AS12" s="17">
        <v>5</v>
      </c>
      <c r="AT12" s="14"/>
      <c r="AU12" s="8" t="s">
        <v>119</v>
      </c>
    </row>
    <row r="13" spans="1:47" x14ac:dyDescent="0.45">
      <c r="A13" s="10" t="s">
        <v>33</v>
      </c>
      <c r="B13" s="17">
        <v>2</v>
      </c>
      <c r="C13" s="6"/>
      <c r="D13" s="17"/>
      <c r="E13" s="6">
        <v>1</v>
      </c>
      <c r="F13" s="17">
        <v>6</v>
      </c>
      <c r="G13" s="6">
        <v>3</v>
      </c>
      <c r="H13" s="17">
        <v>2</v>
      </c>
      <c r="I13" s="6"/>
      <c r="J13" s="17">
        <v>2</v>
      </c>
      <c r="K13" s="6">
        <v>2</v>
      </c>
      <c r="L13" s="17"/>
      <c r="M13" s="6">
        <v>1</v>
      </c>
      <c r="N13" s="17">
        <v>1</v>
      </c>
      <c r="O13" s="6"/>
      <c r="P13" s="17"/>
      <c r="Q13" s="6"/>
      <c r="R13" s="17"/>
      <c r="S13" s="6"/>
      <c r="T13" s="17">
        <v>3</v>
      </c>
      <c r="U13" s="14">
        <v>1</v>
      </c>
      <c r="V13" s="8" t="s">
        <v>119</v>
      </c>
      <c r="Z13" s="10" t="s">
        <v>188</v>
      </c>
      <c r="AA13" s="17"/>
      <c r="AB13" s="6"/>
      <c r="AC13" s="17"/>
      <c r="AD13" s="6">
        <v>1</v>
      </c>
      <c r="AE13" s="17">
        <v>1</v>
      </c>
      <c r="AF13" s="6">
        <v>1</v>
      </c>
      <c r="AG13" s="17">
        <v>1</v>
      </c>
      <c r="AH13" s="6"/>
      <c r="AI13" s="17">
        <v>5</v>
      </c>
      <c r="AJ13" s="6"/>
      <c r="AK13" s="17"/>
      <c r="AL13" s="6">
        <v>1</v>
      </c>
      <c r="AM13" s="17">
        <v>3</v>
      </c>
      <c r="AN13" s="6"/>
      <c r="AO13" s="17"/>
      <c r="AP13" s="6"/>
      <c r="AQ13" s="17"/>
      <c r="AR13" s="6"/>
      <c r="AS13" s="17">
        <v>1</v>
      </c>
      <c r="AT13" s="14">
        <v>1</v>
      </c>
      <c r="AU13" s="8" t="s">
        <v>119</v>
      </c>
    </row>
    <row r="14" spans="1:47" x14ac:dyDescent="0.45">
      <c r="A14" s="10" t="s">
        <v>27</v>
      </c>
      <c r="B14" s="17">
        <v>4</v>
      </c>
      <c r="C14" s="6"/>
      <c r="D14" s="17">
        <v>1</v>
      </c>
      <c r="E14" s="6"/>
      <c r="F14" s="17">
        <v>2</v>
      </c>
      <c r="G14" s="6"/>
      <c r="H14" s="17"/>
      <c r="I14" s="6">
        <v>2</v>
      </c>
      <c r="J14" s="17">
        <v>2</v>
      </c>
      <c r="K14" s="6"/>
      <c r="L14" s="17"/>
      <c r="M14" s="6"/>
      <c r="N14" s="17">
        <v>4</v>
      </c>
      <c r="O14" s="6"/>
      <c r="P14" s="17"/>
      <c r="Q14" s="6"/>
      <c r="R14" s="17">
        <v>1</v>
      </c>
      <c r="S14" s="6"/>
      <c r="T14" s="17"/>
      <c r="V14" s="8" t="s">
        <v>119</v>
      </c>
      <c r="Z14" s="10" t="s">
        <v>66</v>
      </c>
      <c r="AA14" s="17"/>
      <c r="AB14" s="6"/>
      <c r="AC14" s="17"/>
      <c r="AD14" s="6"/>
      <c r="AE14" s="17">
        <v>1</v>
      </c>
      <c r="AF14" s="6">
        <v>1</v>
      </c>
      <c r="AG14" s="17">
        <v>1</v>
      </c>
      <c r="AH14" s="6">
        <v>1</v>
      </c>
      <c r="AI14" s="17">
        <v>8</v>
      </c>
      <c r="AJ14" s="6">
        <v>1</v>
      </c>
      <c r="AK14" s="17"/>
      <c r="AL14" s="6">
        <v>1</v>
      </c>
      <c r="AM14" s="17">
        <v>6</v>
      </c>
      <c r="AN14" s="6"/>
      <c r="AO14" s="17"/>
      <c r="AP14" s="6">
        <v>1</v>
      </c>
      <c r="AQ14" s="17">
        <v>2</v>
      </c>
      <c r="AR14" s="6"/>
      <c r="AS14" s="17">
        <v>1</v>
      </c>
      <c r="AT14" s="14"/>
      <c r="AU14" s="8" t="s">
        <v>119</v>
      </c>
    </row>
    <row r="15" spans="1:47" x14ac:dyDescent="0.45">
      <c r="A15" s="10" t="s">
        <v>52</v>
      </c>
      <c r="B15" s="17">
        <v>2</v>
      </c>
      <c r="C15" s="6"/>
      <c r="D15" s="17">
        <v>1</v>
      </c>
      <c r="E15" s="6"/>
      <c r="F15" s="17">
        <v>1</v>
      </c>
      <c r="G15" s="6">
        <v>1</v>
      </c>
      <c r="H15" s="17">
        <v>1</v>
      </c>
      <c r="I15" s="6">
        <v>1</v>
      </c>
      <c r="J15" s="17"/>
      <c r="K15" s="6"/>
      <c r="L15" s="17"/>
      <c r="M15" s="6"/>
      <c r="N15" s="17">
        <v>2</v>
      </c>
      <c r="O15" s="6"/>
      <c r="P15" s="17"/>
      <c r="Q15" s="6"/>
      <c r="R15" s="17"/>
      <c r="S15" s="6"/>
      <c r="T15" s="17">
        <v>5</v>
      </c>
      <c r="V15" s="8" t="s">
        <v>119</v>
      </c>
      <c r="Z15" s="10" t="s">
        <v>189</v>
      </c>
      <c r="AA15" s="17"/>
      <c r="AB15" s="6"/>
      <c r="AC15" s="17"/>
      <c r="AD15" s="6"/>
      <c r="AE15" s="17"/>
      <c r="AF15" s="6"/>
      <c r="AG15" s="17"/>
      <c r="AH15" s="6"/>
      <c r="AI15" s="17">
        <v>3</v>
      </c>
      <c r="AJ15" s="6"/>
      <c r="AK15" s="17">
        <v>1</v>
      </c>
      <c r="AL15" s="6">
        <v>1</v>
      </c>
      <c r="AM15" s="17">
        <v>1</v>
      </c>
      <c r="AN15" s="6"/>
      <c r="AO15" s="17"/>
      <c r="AP15" s="6">
        <v>1</v>
      </c>
      <c r="AQ15" s="17"/>
      <c r="AR15" s="6"/>
      <c r="AS15" s="17">
        <v>2</v>
      </c>
      <c r="AT15" s="14"/>
      <c r="AU15" s="8" t="s">
        <v>119</v>
      </c>
    </row>
    <row r="16" spans="1:47" x14ac:dyDescent="0.45">
      <c r="A16" s="10" t="s">
        <v>34</v>
      </c>
      <c r="B16" s="17"/>
      <c r="C16" s="6"/>
      <c r="D16" s="17"/>
      <c r="E16" s="6">
        <v>1</v>
      </c>
      <c r="F16" s="17">
        <v>1</v>
      </c>
      <c r="G16" s="6">
        <v>1</v>
      </c>
      <c r="H16" s="17">
        <v>1</v>
      </c>
      <c r="I16" s="6"/>
      <c r="J16" s="17">
        <v>5</v>
      </c>
      <c r="K16" s="6"/>
      <c r="L16" s="17"/>
      <c r="M16" s="6">
        <v>1</v>
      </c>
      <c r="N16" s="17">
        <v>3</v>
      </c>
      <c r="O16" s="6"/>
      <c r="P16" s="17"/>
      <c r="Q16" s="6"/>
      <c r="R16" s="17"/>
      <c r="S16" s="6"/>
      <c r="T16" s="17">
        <v>1</v>
      </c>
      <c r="U16" s="14">
        <v>1</v>
      </c>
      <c r="V16" s="8" t="s">
        <v>119</v>
      </c>
      <c r="Z16" s="10" t="s">
        <v>190</v>
      </c>
      <c r="AA16" s="17"/>
      <c r="AB16" s="6"/>
      <c r="AC16" s="17"/>
      <c r="AD16" s="6"/>
      <c r="AE16" s="17">
        <v>2</v>
      </c>
      <c r="AF16" s="6">
        <v>1</v>
      </c>
      <c r="AG16" s="17"/>
      <c r="AH16" s="6"/>
      <c r="AI16" s="17"/>
      <c r="AJ16" s="6"/>
      <c r="AK16" s="17">
        <v>1</v>
      </c>
      <c r="AL16" s="6"/>
      <c r="AM16" s="17"/>
      <c r="AN16" s="6"/>
      <c r="AO16" s="17"/>
      <c r="AP16" s="6"/>
      <c r="AQ16" s="17"/>
      <c r="AR16" s="6"/>
      <c r="AS16" s="17"/>
      <c r="AT16" s="14">
        <v>2</v>
      </c>
      <c r="AU16" s="8" t="s">
        <v>119</v>
      </c>
    </row>
    <row r="17" spans="1:47" x14ac:dyDescent="0.45">
      <c r="A17" s="10" t="s">
        <v>66</v>
      </c>
      <c r="B17" s="17"/>
      <c r="C17" s="6"/>
      <c r="D17" s="17"/>
      <c r="E17" s="6"/>
      <c r="F17" s="17">
        <v>1</v>
      </c>
      <c r="G17" s="6">
        <v>1</v>
      </c>
      <c r="H17" s="17">
        <v>1</v>
      </c>
      <c r="I17" s="6">
        <v>1</v>
      </c>
      <c r="J17" s="17">
        <v>8</v>
      </c>
      <c r="K17" s="6">
        <v>1</v>
      </c>
      <c r="L17" s="17"/>
      <c r="M17" s="6">
        <v>1</v>
      </c>
      <c r="N17" s="17">
        <v>6</v>
      </c>
      <c r="O17" s="6"/>
      <c r="P17" s="17"/>
      <c r="Q17" s="6">
        <v>1</v>
      </c>
      <c r="R17" s="17">
        <v>2</v>
      </c>
      <c r="S17" s="6"/>
      <c r="T17" s="17">
        <v>1</v>
      </c>
      <c r="V17" s="8" t="s">
        <v>119</v>
      </c>
      <c r="Z17" s="10" t="s">
        <v>191</v>
      </c>
      <c r="AA17" s="17">
        <v>1</v>
      </c>
      <c r="AB17" s="6"/>
      <c r="AC17" s="17"/>
      <c r="AD17" s="6"/>
      <c r="AE17" s="17">
        <v>1</v>
      </c>
      <c r="AF17" s="6">
        <v>1</v>
      </c>
      <c r="AG17" s="17">
        <v>2</v>
      </c>
      <c r="AH17" s="6"/>
      <c r="AI17" s="17">
        <v>8</v>
      </c>
      <c r="AJ17" s="6">
        <v>1</v>
      </c>
      <c r="AK17" s="17">
        <v>4</v>
      </c>
      <c r="AL17" s="6">
        <v>1</v>
      </c>
      <c r="AM17" s="17">
        <v>1</v>
      </c>
      <c r="AN17" s="6"/>
      <c r="AO17" s="17">
        <v>1</v>
      </c>
      <c r="AP17" s="6"/>
      <c r="AQ17" s="17"/>
      <c r="AR17" s="6"/>
      <c r="AS17" s="17">
        <v>8</v>
      </c>
      <c r="AT17" s="14">
        <v>3</v>
      </c>
      <c r="AU17" s="8" t="s">
        <v>119</v>
      </c>
    </row>
    <row r="18" spans="1:47" x14ac:dyDescent="0.45">
      <c r="A18" s="10" t="s">
        <v>91</v>
      </c>
      <c r="B18" s="17"/>
      <c r="C18" s="6"/>
      <c r="D18" s="17"/>
      <c r="E18" s="6"/>
      <c r="F18" s="17"/>
      <c r="G18" s="6"/>
      <c r="H18" s="17"/>
      <c r="I18" s="6"/>
      <c r="J18" s="17">
        <v>3</v>
      </c>
      <c r="K18" s="6"/>
      <c r="L18" s="17">
        <v>1</v>
      </c>
      <c r="M18" s="6">
        <v>1</v>
      </c>
      <c r="N18" s="17">
        <v>1</v>
      </c>
      <c r="O18" s="6"/>
      <c r="P18" s="17"/>
      <c r="Q18" s="6">
        <v>1</v>
      </c>
      <c r="R18" s="17"/>
      <c r="S18" s="6"/>
      <c r="T18" s="17">
        <v>2</v>
      </c>
      <c r="V18" s="8" t="s">
        <v>119</v>
      </c>
      <c r="Z18" s="10" t="s">
        <v>192</v>
      </c>
      <c r="AA18" s="17">
        <v>3</v>
      </c>
      <c r="AB18" s="6">
        <v>1</v>
      </c>
      <c r="AC18" s="17"/>
      <c r="AD18" s="6">
        <v>1</v>
      </c>
      <c r="AE18" s="17">
        <v>2</v>
      </c>
      <c r="AF18" s="6">
        <v>1</v>
      </c>
      <c r="AG18" s="17"/>
      <c r="AH18" s="6">
        <v>1</v>
      </c>
      <c r="AI18" s="17">
        <v>2</v>
      </c>
      <c r="AJ18" s="6">
        <v>1</v>
      </c>
      <c r="AK18" s="17"/>
      <c r="AL18" s="6">
        <v>1</v>
      </c>
      <c r="AM18" s="17">
        <v>1</v>
      </c>
      <c r="AN18" s="6">
        <v>1</v>
      </c>
      <c r="AO18" s="17"/>
      <c r="AP18" s="6"/>
      <c r="AQ18" s="17"/>
      <c r="AR18" s="6"/>
      <c r="AS18" s="17">
        <v>6</v>
      </c>
      <c r="AT18" s="14">
        <v>2</v>
      </c>
      <c r="AU18" s="8" t="s">
        <v>119</v>
      </c>
    </row>
    <row r="19" spans="1:47" x14ac:dyDescent="0.45">
      <c r="A19" s="10" t="s">
        <v>53</v>
      </c>
      <c r="B19" s="17"/>
      <c r="C19" s="6"/>
      <c r="D19" s="17"/>
      <c r="E19" s="6"/>
      <c r="F19" s="17">
        <v>2</v>
      </c>
      <c r="G19" s="6">
        <v>1</v>
      </c>
      <c r="H19" s="17"/>
      <c r="I19" s="6"/>
      <c r="J19" s="17"/>
      <c r="K19" s="6"/>
      <c r="L19" s="17">
        <v>1</v>
      </c>
      <c r="M19" s="6"/>
      <c r="N19" s="17"/>
      <c r="O19" s="6"/>
      <c r="P19" s="17"/>
      <c r="Q19" s="6"/>
      <c r="R19" s="17"/>
      <c r="S19" s="6"/>
      <c r="T19" s="17"/>
      <c r="U19" s="14">
        <v>2</v>
      </c>
      <c r="V19" s="8" t="s">
        <v>119</v>
      </c>
      <c r="Z19" s="10" t="s">
        <v>193</v>
      </c>
      <c r="AA19" s="17"/>
      <c r="AB19" s="6"/>
      <c r="AC19" s="17"/>
      <c r="AD19" s="6"/>
      <c r="AE19" s="17"/>
      <c r="AF19" s="6"/>
      <c r="AG19" s="17"/>
      <c r="AH19" s="6"/>
      <c r="AI19" s="17">
        <v>2</v>
      </c>
      <c r="AJ19" s="6"/>
      <c r="AK19" s="17"/>
      <c r="AL19" s="6">
        <v>1</v>
      </c>
      <c r="AM19" s="17"/>
      <c r="AN19" s="6"/>
      <c r="AO19" s="17"/>
      <c r="AP19" s="6"/>
      <c r="AQ19" s="17"/>
      <c r="AR19" s="6"/>
      <c r="AS19" s="17">
        <v>1</v>
      </c>
      <c r="AT19" s="14"/>
      <c r="AU19" s="8" t="s">
        <v>119</v>
      </c>
    </row>
    <row r="20" spans="1:47" x14ac:dyDescent="0.45">
      <c r="A20" s="10" t="s">
        <v>55</v>
      </c>
      <c r="B20" s="17">
        <v>1</v>
      </c>
      <c r="C20" s="6"/>
      <c r="D20" s="17"/>
      <c r="E20" s="6"/>
      <c r="F20" s="17">
        <v>1</v>
      </c>
      <c r="G20" s="6">
        <v>1</v>
      </c>
      <c r="H20" s="17">
        <v>2</v>
      </c>
      <c r="I20" s="6"/>
      <c r="J20" s="17">
        <v>8</v>
      </c>
      <c r="K20" s="6">
        <v>1</v>
      </c>
      <c r="L20" s="17">
        <v>4</v>
      </c>
      <c r="M20" s="6">
        <v>1</v>
      </c>
      <c r="N20" s="17">
        <v>1</v>
      </c>
      <c r="O20" s="6"/>
      <c r="P20" s="17">
        <v>1</v>
      </c>
      <c r="Q20" s="6"/>
      <c r="R20" s="17"/>
      <c r="S20" s="6"/>
      <c r="T20" s="17">
        <v>8</v>
      </c>
      <c r="U20" s="14">
        <v>3</v>
      </c>
      <c r="V20" s="8" t="s">
        <v>119</v>
      </c>
      <c r="Z20" s="10" t="s">
        <v>194</v>
      </c>
      <c r="AA20" s="17"/>
      <c r="AB20" s="6"/>
      <c r="AC20" s="17">
        <v>1</v>
      </c>
      <c r="AD20" s="6"/>
      <c r="AE20" s="17">
        <v>2</v>
      </c>
      <c r="AF20" s="6"/>
      <c r="AG20" s="17">
        <v>1</v>
      </c>
      <c r="AH20" s="6">
        <v>2</v>
      </c>
      <c r="AI20" s="17">
        <v>6</v>
      </c>
      <c r="AJ20" s="6"/>
      <c r="AK20" s="17"/>
      <c r="AL20" s="6">
        <v>1</v>
      </c>
      <c r="AM20" s="17">
        <v>5</v>
      </c>
      <c r="AN20" s="6"/>
      <c r="AO20" s="17"/>
      <c r="AP20" s="6">
        <v>1</v>
      </c>
      <c r="AQ20" s="17"/>
      <c r="AR20" s="6"/>
      <c r="AS20" s="17">
        <v>4</v>
      </c>
      <c r="AT20" s="14">
        <v>1</v>
      </c>
      <c r="AU20" s="8" t="s">
        <v>119</v>
      </c>
    </row>
    <row r="21" spans="1:47" x14ac:dyDescent="0.45">
      <c r="A21" s="10" t="s">
        <v>26</v>
      </c>
      <c r="B21" s="17">
        <v>3</v>
      </c>
      <c r="C21" s="6">
        <v>1</v>
      </c>
      <c r="D21" s="17"/>
      <c r="E21" s="6">
        <v>1</v>
      </c>
      <c r="F21" s="17">
        <v>2</v>
      </c>
      <c r="G21" s="6">
        <v>1</v>
      </c>
      <c r="H21" s="17"/>
      <c r="I21" s="6">
        <v>1</v>
      </c>
      <c r="J21" s="17">
        <v>2</v>
      </c>
      <c r="K21" s="6">
        <v>1</v>
      </c>
      <c r="L21" s="17"/>
      <c r="M21" s="6">
        <v>1</v>
      </c>
      <c r="N21" s="17">
        <v>1</v>
      </c>
      <c r="O21" s="6">
        <v>1</v>
      </c>
      <c r="P21" s="17"/>
      <c r="Q21" s="6"/>
      <c r="R21" s="17"/>
      <c r="S21" s="6"/>
      <c r="T21" s="17">
        <v>6</v>
      </c>
      <c r="U21" s="14">
        <v>2</v>
      </c>
      <c r="V21" s="8" t="s">
        <v>119</v>
      </c>
      <c r="Z21" s="10" t="s">
        <v>195</v>
      </c>
      <c r="AA21" s="17">
        <v>1</v>
      </c>
      <c r="AB21" s="6"/>
      <c r="AC21" s="17"/>
      <c r="AD21" s="6">
        <v>1</v>
      </c>
      <c r="AE21" s="17">
        <v>1</v>
      </c>
      <c r="AF21" s="6"/>
      <c r="AG21" s="17"/>
      <c r="AH21" s="6"/>
      <c r="AI21" s="17">
        <v>6</v>
      </c>
      <c r="AJ21" s="6">
        <v>1</v>
      </c>
      <c r="AK21" s="17"/>
      <c r="AL21" s="6">
        <v>1</v>
      </c>
      <c r="AM21" s="17"/>
      <c r="AN21" s="6"/>
      <c r="AO21" s="17">
        <v>1</v>
      </c>
      <c r="AP21" s="6"/>
      <c r="AQ21" s="17"/>
      <c r="AR21" s="6"/>
      <c r="AS21" s="17">
        <v>1</v>
      </c>
      <c r="AT21" s="14"/>
      <c r="AU21" s="8" t="s">
        <v>119</v>
      </c>
    </row>
    <row r="22" spans="1:47" x14ac:dyDescent="0.45">
      <c r="A22" s="10" t="s">
        <v>92</v>
      </c>
      <c r="B22" s="17"/>
      <c r="C22" s="6"/>
      <c r="D22" s="17"/>
      <c r="E22" s="6"/>
      <c r="F22" s="17"/>
      <c r="G22" s="6"/>
      <c r="H22" s="17"/>
      <c r="I22" s="6"/>
      <c r="J22" s="17">
        <v>2</v>
      </c>
      <c r="K22" s="6"/>
      <c r="L22" s="17"/>
      <c r="M22" s="6">
        <v>1</v>
      </c>
      <c r="N22" s="17"/>
      <c r="O22" s="6"/>
      <c r="P22" s="17"/>
      <c r="Q22" s="6"/>
      <c r="R22" s="17"/>
      <c r="S22" s="6"/>
      <c r="T22" s="17">
        <v>1</v>
      </c>
      <c r="V22" s="8" t="s">
        <v>119</v>
      </c>
      <c r="Z22" s="10" t="s">
        <v>196</v>
      </c>
      <c r="AA22" s="17">
        <v>1</v>
      </c>
      <c r="AB22" s="6"/>
      <c r="AC22" s="17"/>
      <c r="AD22" s="6"/>
      <c r="AE22" s="17"/>
      <c r="AF22" s="6">
        <v>3</v>
      </c>
      <c r="AG22" s="17"/>
      <c r="AH22" s="6">
        <v>1</v>
      </c>
      <c r="AI22" s="17">
        <v>2</v>
      </c>
      <c r="AJ22" s="6"/>
      <c r="AK22" s="17"/>
      <c r="AL22" s="6"/>
      <c r="AM22" s="17"/>
      <c r="AN22" s="6"/>
      <c r="AO22" s="17"/>
      <c r="AP22" s="6"/>
      <c r="AQ22" s="17"/>
      <c r="AR22" s="6"/>
      <c r="AS22" s="17">
        <v>1</v>
      </c>
      <c r="AT22" s="14">
        <v>1</v>
      </c>
      <c r="AU22" s="8" t="s">
        <v>119</v>
      </c>
    </row>
    <row r="23" spans="1:47" x14ac:dyDescent="0.45">
      <c r="A23" s="10" t="s">
        <v>69</v>
      </c>
      <c r="B23" s="17"/>
      <c r="C23" s="6"/>
      <c r="D23" s="17">
        <v>1</v>
      </c>
      <c r="E23" s="6"/>
      <c r="F23" s="17">
        <v>2</v>
      </c>
      <c r="G23" s="6"/>
      <c r="H23" s="17">
        <v>1</v>
      </c>
      <c r="I23" s="6">
        <v>2</v>
      </c>
      <c r="J23" s="17">
        <v>6</v>
      </c>
      <c r="K23" s="6"/>
      <c r="L23" s="17"/>
      <c r="M23" s="6">
        <v>1</v>
      </c>
      <c r="N23" s="17">
        <v>5</v>
      </c>
      <c r="O23" s="6"/>
      <c r="P23" s="17"/>
      <c r="Q23" s="6">
        <v>1</v>
      </c>
      <c r="R23" s="17"/>
      <c r="S23" s="6"/>
      <c r="T23" s="17">
        <v>4</v>
      </c>
      <c r="U23" s="14">
        <v>1</v>
      </c>
      <c r="V23" s="8" t="s">
        <v>119</v>
      </c>
      <c r="Z23" s="10" t="s">
        <v>197</v>
      </c>
      <c r="AA23" s="17"/>
      <c r="AB23" s="6"/>
      <c r="AC23" s="17">
        <v>1</v>
      </c>
      <c r="AD23" s="6"/>
      <c r="AE23" s="17"/>
      <c r="AF23" s="6">
        <v>3</v>
      </c>
      <c r="AG23" s="17"/>
      <c r="AH23" s="6">
        <v>1</v>
      </c>
      <c r="AI23" s="17">
        <v>2</v>
      </c>
      <c r="AJ23" s="6"/>
      <c r="AK23" s="17"/>
      <c r="AL23" s="6"/>
      <c r="AM23" s="17">
        <v>2</v>
      </c>
      <c r="AN23" s="6">
        <v>1</v>
      </c>
      <c r="AO23" s="17"/>
      <c r="AP23" s="6">
        <v>1</v>
      </c>
      <c r="AQ23" s="17"/>
      <c r="AR23" s="6"/>
      <c r="AS23" s="17">
        <v>1</v>
      </c>
      <c r="AT23" s="14"/>
      <c r="AU23" s="8" t="s">
        <v>119</v>
      </c>
    </row>
    <row r="24" spans="1:47" x14ac:dyDescent="0.45">
      <c r="A24" s="10" t="s">
        <v>35</v>
      </c>
      <c r="B24" s="17">
        <v>1</v>
      </c>
      <c r="C24" s="6"/>
      <c r="D24" s="17"/>
      <c r="E24" s="6">
        <v>1</v>
      </c>
      <c r="F24" s="17">
        <v>1</v>
      </c>
      <c r="G24" s="6"/>
      <c r="H24" s="17"/>
      <c r="I24" s="6"/>
      <c r="J24" s="17">
        <v>6</v>
      </c>
      <c r="K24" s="6">
        <v>1</v>
      </c>
      <c r="L24" s="17"/>
      <c r="M24" s="6">
        <v>1</v>
      </c>
      <c r="N24" s="17"/>
      <c r="O24" s="6"/>
      <c r="P24" s="17">
        <v>1</v>
      </c>
      <c r="Q24" s="6"/>
      <c r="R24" s="17"/>
      <c r="S24" s="6"/>
      <c r="T24" s="17">
        <v>1</v>
      </c>
      <c r="V24" s="8" t="s">
        <v>119</v>
      </c>
    </row>
    <row r="25" spans="1:47" x14ac:dyDescent="0.45">
      <c r="A25" s="10" t="s">
        <v>47</v>
      </c>
      <c r="B25" s="17">
        <v>1</v>
      </c>
      <c r="C25" s="6"/>
      <c r="D25" s="17"/>
      <c r="E25" s="6"/>
      <c r="F25" s="17"/>
      <c r="G25" s="6">
        <v>3</v>
      </c>
      <c r="H25" s="17"/>
      <c r="I25" s="6">
        <v>1</v>
      </c>
      <c r="J25" s="17">
        <v>2</v>
      </c>
      <c r="K25" s="6"/>
      <c r="L25" s="17"/>
      <c r="M25" s="6"/>
      <c r="N25" s="17"/>
      <c r="O25" s="6"/>
      <c r="P25" s="17"/>
      <c r="Q25" s="6"/>
      <c r="R25" s="17"/>
      <c r="S25" s="6"/>
      <c r="T25" s="17">
        <v>1</v>
      </c>
      <c r="U25" s="14">
        <v>1</v>
      </c>
      <c r="V25" s="8" t="s">
        <v>119</v>
      </c>
    </row>
    <row r="26" spans="1:47" ht="14.65" thickBot="1" x14ac:dyDescent="0.5">
      <c r="A26" s="10" t="s">
        <v>39</v>
      </c>
      <c r="B26" s="17"/>
      <c r="C26" s="6"/>
      <c r="D26" s="17">
        <v>1</v>
      </c>
      <c r="E26" s="6"/>
      <c r="F26" s="17"/>
      <c r="G26" s="6">
        <v>3</v>
      </c>
      <c r="H26" s="17"/>
      <c r="I26" s="6">
        <v>1</v>
      </c>
      <c r="J26" s="17">
        <v>2</v>
      </c>
      <c r="K26" s="6"/>
      <c r="L26" s="17"/>
      <c r="M26" s="6"/>
      <c r="N26" s="17">
        <v>2</v>
      </c>
      <c r="O26" s="6">
        <v>1</v>
      </c>
      <c r="P26" s="17"/>
      <c r="Q26" s="6">
        <v>1</v>
      </c>
      <c r="R26" s="17"/>
      <c r="S26" s="6"/>
      <c r="T26" s="17">
        <v>1</v>
      </c>
      <c r="V26" s="8" t="s">
        <v>119</v>
      </c>
      <c r="Z26" s="9"/>
      <c r="AA26" s="22">
        <v>1</v>
      </c>
      <c r="AB26" s="23"/>
      <c r="AC26" s="22">
        <v>2</v>
      </c>
      <c r="AD26" s="23"/>
      <c r="AE26" s="22">
        <v>3</v>
      </c>
      <c r="AF26" s="23"/>
      <c r="AG26" s="22">
        <v>4</v>
      </c>
      <c r="AH26" s="23"/>
      <c r="AI26" s="22">
        <v>5</v>
      </c>
      <c r="AJ26" s="23"/>
      <c r="AK26" s="22">
        <v>6</v>
      </c>
      <c r="AL26" s="23"/>
      <c r="AM26" s="22">
        <v>7</v>
      </c>
      <c r="AN26" s="23"/>
      <c r="AO26" s="22">
        <v>8</v>
      </c>
      <c r="AP26" s="23"/>
      <c r="AQ26" s="22">
        <v>9</v>
      </c>
      <c r="AR26" s="23"/>
      <c r="AS26" s="22">
        <v>10</v>
      </c>
      <c r="AT26" s="23"/>
    </row>
    <row r="27" spans="1:47" x14ac:dyDescent="0.45">
      <c r="A27" s="10" t="s">
        <v>10</v>
      </c>
      <c r="B27" s="17"/>
      <c r="C27" s="6">
        <v>1</v>
      </c>
      <c r="D27" s="17"/>
      <c r="E27" s="6"/>
      <c r="F27" s="17">
        <v>1</v>
      </c>
      <c r="G27" s="6"/>
      <c r="H27" s="17">
        <v>1</v>
      </c>
      <c r="I27" s="6">
        <v>1</v>
      </c>
      <c r="J27" s="17">
        <v>6</v>
      </c>
      <c r="K27" s="6"/>
      <c r="L27" s="17">
        <v>1</v>
      </c>
      <c r="M27" s="6">
        <v>1</v>
      </c>
      <c r="N27" s="17">
        <v>4</v>
      </c>
      <c r="O27" s="6"/>
      <c r="P27" s="17"/>
      <c r="Q27" s="6"/>
      <c r="R27" s="17">
        <v>1</v>
      </c>
      <c r="S27" s="6"/>
      <c r="T27" s="17">
        <v>7</v>
      </c>
      <c r="V27" s="8" t="s">
        <v>125</v>
      </c>
      <c r="Z27" s="7" t="s">
        <v>139</v>
      </c>
      <c r="AA27" s="4">
        <v>-1</v>
      </c>
      <c r="AB27" s="4">
        <v>1</v>
      </c>
      <c r="AC27" s="4">
        <v>-1</v>
      </c>
      <c r="AD27" s="4">
        <v>1</v>
      </c>
      <c r="AE27" s="4">
        <v>-1</v>
      </c>
      <c r="AF27" s="4">
        <v>1</v>
      </c>
      <c r="AG27" s="4">
        <v>-1</v>
      </c>
      <c r="AH27" s="4">
        <v>1</v>
      </c>
      <c r="AI27" s="4">
        <v>-1</v>
      </c>
      <c r="AJ27" s="4">
        <v>1</v>
      </c>
      <c r="AK27" s="4">
        <v>-1</v>
      </c>
      <c r="AL27" s="4">
        <v>1</v>
      </c>
      <c r="AM27" s="4">
        <v>-1</v>
      </c>
      <c r="AN27" s="4">
        <v>1</v>
      </c>
      <c r="AO27" s="4">
        <v>-1</v>
      </c>
      <c r="AP27" s="4">
        <v>1</v>
      </c>
      <c r="AQ27" s="4">
        <v>-1</v>
      </c>
      <c r="AR27" s="4">
        <v>1</v>
      </c>
      <c r="AS27" s="4">
        <v>-1</v>
      </c>
      <c r="AT27" s="4">
        <v>1</v>
      </c>
    </row>
    <row r="28" spans="1:47" x14ac:dyDescent="0.45">
      <c r="A28" s="10" t="s">
        <v>40</v>
      </c>
      <c r="B28" s="17"/>
      <c r="C28" s="6"/>
      <c r="D28" s="17">
        <v>1</v>
      </c>
      <c r="E28" s="6"/>
      <c r="F28" s="17"/>
      <c r="G28" s="6"/>
      <c r="H28" s="17"/>
      <c r="I28" s="6"/>
      <c r="J28" s="17">
        <v>7</v>
      </c>
      <c r="K28" s="6"/>
      <c r="L28" s="17"/>
      <c r="M28" s="6">
        <v>1</v>
      </c>
      <c r="N28" s="17">
        <v>3</v>
      </c>
      <c r="O28" s="6">
        <v>1</v>
      </c>
      <c r="P28" s="17">
        <v>1</v>
      </c>
      <c r="Q28" s="6">
        <v>1</v>
      </c>
      <c r="R28" s="17"/>
      <c r="S28" s="6"/>
      <c r="T28" s="17">
        <v>7</v>
      </c>
      <c r="U28" s="14">
        <v>1</v>
      </c>
      <c r="V28" s="8" t="s">
        <v>125</v>
      </c>
      <c r="Z28" s="10" t="s">
        <v>198</v>
      </c>
      <c r="AA28" s="17"/>
      <c r="AB28" s="6"/>
      <c r="AC28" s="17"/>
      <c r="AD28" s="6"/>
      <c r="AE28" s="17">
        <v>1</v>
      </c>
      <c r="AF28" s="6"/>
      <c r="AG28" s="17">
        <v>2</v>
      </c>
      <c r="AH28" s="6"/>
      <c r="AI28" s="17">
        <v>4</v>
      </c>
      <c r="AJ28" s="6"/>
      <c r="AK28" s="17"/>
      <c r="AL28" s="6"/>
      <c r="AM28" s="17"/>
      <c r="AN28" s="6"/>
      <c r="AO28" s="17">
        <v>2</v>
      </c>
      <c r="AP28" s="6"/>
      <c r="AQ28" s="17">
        <v>2</v>
      </c>
      <c r="AR28" s="6"/>
      <c r="AS28" s="17"/>
      <c r="AT28" s="14"/>
      <c r="AU28" s="8" t="s">
        <v>122</v>
      </c>
    </row>
    <row r="29" spans="1:47" x14ac:dyDescent="0.45">
      <c r="A29" s="10" t="s">
        <v>84</v>
      </c>
      <c r="B29" s="17">
        <v>1</v>
      </c>
      <c r="C29" s="6"/>
      <c r="D29" s="17"/>
      <c r="E29" s="6"/>
      <c r="F29" s="17"/>
      <c r="G29" s="6"/>
      <c r="H29" s="17"/>
      <c r="I29" s="6"/>
      <c r="J29" s="17">
        <v>5</v>
      </c>
      <c r="K29" s="6"/>
      <c r="L29" s="17"/>
      <c r="M29" s="6">
        <v>1</v>
      </c>
      <c r="N29" s="17"/>
      <c r="O29" s="6"/>
      <c r="P29" s="17"/>
      <c r="Q29" s="6"/>
      <c r="R29" s="17">
        <v>1</v>
      </c>
      <c r="S29" s="6"/>
      <c r="T29" s="17">
        <v>1</v>
      </c>
      <c r="U29" s="14">
        <v>1</v>
      </c>
      <c r="V29" s="8" t="s">
        <v>125</v>
      </c>
      <c r="Z29" s="10" t="s">
        <v>199</v>
      </c>
      <c r="AA29" s="17"/>
      <c r="AB29" s="6"/>
      <c r="AC29" s="17">
        <v>2</v>
      </c>
      <c r="AD29" s="6"/>
      <c r="AE29" s="17">
        <v>4</v>
      </c>
      <c r="AF29" s="6"/>
      <c r="AG29" s="17"/>
      <c r="AH29" s="6"/>
      <c r="AI29" s="17"/>
      <c r="AJ29" s="6"/>
      <c r="AK29" s="17"/>
      <c r="AL29" s="6"/>
      <c r="AM29" s="17"/>
      <c r="AN29" s="6"/>
      <c r="AO29" s="17"/>
      <c r="AP29" s="6"/>
      <c r="AQ29" s="17"/>
      <c r="AR29" s="6"/>
      <c r="AS29" s="17"/>
      <c r="AT29" s="14"/>
      <c r="AU29" s="8" t="s">
        <v>122</v>
      </c>
    </row>
    <row r="30" spans="1:47" x14ac:dyDescent="0.45">
      <c r="A30" s="10" t="s">
        <v>95</v>
      </c>
      <c r="B30" s="17"/>
      <c r="C30" s="6"/>
      <c r="D30" s="17"/>
      <c r="E30" s="6"/>
      <c r="F30" s="17"/>
      <c r="G30" s="6"/>
      <c r="H30" s="17"/>
      <c r="I30" s="6"/>
      <c r="J30" s="17">
        <v>1</v>
      </c>
      <c r="K30" s="6"/>
      <c r="L30" s="17"/>
      <c r="M30" s="6"/>
      <c r="N30" s="17"/>
      <c r="O30" s="6"/>
      <c r="P30" s="17"/>
      <c r="Q30" s="6"/>
      <c r="R30" s="17"/>
      <c r="S30" s="6"/>
      <c r="T30" s="17">
        <v>1</v>
      </c>
      <c r="U30" s="14">
        <v>1</v>
      </c>
      <c r="V30" s="8" t="s">
        <v>125</v>
      </c>
      <c r="Z30" s="10" t="s">
        <v>200</v>
      </c>
      <c r="AA30" s="17"/>
      <c r="AB30" s="6"/>
      <c r="AC30" s="17"/>
      <c r="AD30" s="6"/>
      <c r="AE30" s="17"/>
      <c r="AF30" s="6"/>
      <c r="AG30" s="17">
        <v>1</v>
      </c>
      <c r="AH30" s="6"/>
      <c r="AI30" s="17">
        <v>2</v>
      </c>
      <c r="AJ30" s="6"/>
      <c r="AK30" s="17"/>
      <c r="AL30" s="6">
        <v>1</v>
      </c>
      <c r="AM30" s="17"/>
      <c r="AN30" s="6"/>
      <c r="AO30" s="17">
        <v>1</v>
      </c>
      <c r="AP30" s="6"/>
      <c r="AQ30" s="17"/>
      <c r="AR30" s="6">
        <v>1</v>
      </c>
      <c r="AS30" s="17"/>
      <c r="AT30" s="14"/>
      <c r="AU30" s="8" t="s">
        <v>122</v>
      </c>
    </row>
    <row r="31" spans="1:47" x14ac:dyDescent="0.45">
      <c r="A31" s="10" t="s">
        <v>9</v>
      </c>
      <c r="B31" s="17"/>
      <c r="C31" s="6">
        <v>1</v>
      </c>
      <c r="D31" s="17"/>
      <c r="E31" s="6"/>
      <c r="F31" s="17"/>
      <c r="G31" s="6">
        <v>3</v>
      </c>
      <c r="H31" s="17"/>
      <c r="I31" s="6">
        <v>1</v>
      </c>
      <c r="J31" s="17">
        <v>4</v>
      </c>
      <c r="K31" s="6"/>
      <c r="L31" s="17">
        <v>1</v>
      </c>
      <c r="M31" s="6">
        <v>2</v>
      </c>
      <c r="N31" s="17"/>
      <c r="O31" s="6"/>
      <c r="P31" s="17">
        <v>1</v>
      </c>
      <c r="Q31" s="6"/>
      <c r="R31" s="17">
        <v>1</v>
      </c>
      <c r="S31" s="6"/>
      <c r="T31" s="17">
        <v>3</v>
      </c>
      <c r="V31" s="8" t="s">
        <v>125</v>
      </c>
      <c r="Z31" s="10" t="s">
        <v>201</v>
      </c>
      <c r="AA31" s="17"/>
      <c r="AB31" s="6"/>
      <c r="AC31" s="17"/>
      <c r="AD31" s="6">
        <v>1</v>
      </c>
      <c r="AE31" s="17">
        <v>1</v>
      </c>
      <c r="AF31" s="6"/>
      <c r="AG31" s="17"/>
      <c r="AH31" s="6">
        <v>1</v>
      </c>
      <c r="AI31" s="17">
        <v>10</v>
      </c>
      <c r="AJ31" s="6"/>
      <c r="AK31" s="17"/>
      <c r="AL31" s="6">
        <v>3</v>
      </c>
      <c r="AM31" s="17"/>
      <c r="AN31" s="6"/>
      <c r="AO31" s="17"/>
      <c r="AP31" s="6"/>
      <c r="AQ31" s="17"/>
      <c r="AR31" s="6">
        <v>1</v>
      </c>
      <c r="AS31" s="17">
        <v>1</v>
      </c>
      <c r="AT31" s="14">
        <v>1</v>
      </c>
      <c r="AU31" s="8" t="s">
        <v>122</v>
      </c>
    </row>
    <row r="32" spans="1:47" x14ac:dyDescent="0.45">
      <c r="A32" s="10" t="s">
        <v>7</v>
      </c>
      <c r="B32" s="17">
        <v>1</v>
      </c>
      <c r="C32" s="6">
        <v>1</v>
      </c>
      <c r="D32" s="17">
        <v>1</v>
      </c>
      <c r="E32" s="6">
        <v>1</v>
      </c>
      <c r="F32" s="17">
        <v>1</v>
      </c>
      <c r="G32" s="6">
        <v>1</v>
      </c>
      <c r="H32" s="17"/>
      <c r="I32" s="6"/>
      <c r="J32" s="17">
        <v>3</v>
      </c>
      <c r="K32" s="6"/>
      <c r="L32" s="17"/>
      <c r="M32" s="6"/>
      <c r="N32" s="17">
        <v>2</v>
      </c>
      <c r="O32" s="6">
        <v>1</v>
      </c>
      <c r="P32" s="17"/>
      <c r="Q32" s="6">
        <v>1</v>
      </c>
      <c r="R32" s="17"/>
      <c r="S32" s="6"/>
      <c r="T32" s="17">
        <v>8</v>
      </c>
      <c r="V32" s="8" t="s">
        <v>125</v>
      </c>
      <c r="Z32" s="10" t="s">
        <v>202</v>
      </c>
      <c r="AA32" s="17"/>
      <c r="AB32" s="6"/>
      <c r="AC32" s="17"/>
      <c r="AD32" s="6"/>
      <c r="AE32" s="17">
        <v>1</v>
      </c>
      <c r="AF32" s="6"/>
      <c r="AG32" s="17"/>
      <c r="AH32" s="6"/>
      <c r="AI32" s="17"/>
      <c r="AJ32" s="6"/>
      <c r="AK32" s="17"/>
      <c r="AL32" s="6"/>
      <c r="AM32" s="17"/>
      <c r="AN32" s="6"/>
      <c r="AO32" s="17"/>
      <c r="AP32" s="6"/>
      <c r="AQ32" s="17"/>
      <c r="AR32" s="6"/>
      <c r="AS32" s="17"/>
      <c r="AT32" s="14"/>
      <c r="AU32" s="8" t="s">
        <v>122</v>
      </c>
    </row>
    <row r="33" spans="1:47" x14ac:dyDescent="0.45">
      <c r="A33" s="10" t="s">
        <v>58</v>
      </c>
      <c r="B33" s="17"/>
      <c r="C33" s="6"/>
      <c r="D33" s="17"/>
      <c r="E33" s="6"/>
      <c r="F33" s="17">
        <v>2</v>
      </c>
      <c r="G33" s="6">
        <v>1</v>
      </c>
      <c r="H33" s="17">
        <v>1</v>
      </c>
      <c r="I33" s="6"/>
      <c r="J33" s="17">
        <v>4</v>
      </c>
      <c r="K33" s="6"/>
      <c r="L33" s="17"/>
      <c r="M33" s="6">
        <v>1</v>
      </c>
      <c r="N33" s="17">
        <v>3</v>
      </c>
      <c r="O33" s="6"/>
      <c r="P33" s="17"/>
      <c r="Q33" s="6"/>
      <c r="R33" s="17">
        <v>1</v>
      </c>
      <c r="S33" s="6"/>
      <c r="T33" s="17">
        <v>5</v>
      </c>
      <c r="U33" s="14">
        <v>1</v>
      </c>
      <c r="V33" s="8" t="s">
        <v>125</v>
      </c>
      <c r="Z33" s="10" t="s">
        <v>203</v>
      </c>
      <c r="AA33" s="17"/>
      <c r="AB33" s="6"/>
      <c r="AC33" s="17"/>
      <c r="AD33" s="6"/>
      <c r="AE33" s="17"/>
      <c r="AF33" s="6">
        <v>1</v>
      </c>
      <c r="AG33" s="17"/>
      <c r="AH33" s="6"/>
      <c r="AI33" s="17"/>
      <c r="AJ33" s="6"/>
      <c r="AK33" s="17"/>
      <c r="AL33" s="6"/>
      <c r="AM33" s="17"/>
      <c r="AN33" s="6"/>
      <c r="AO33" s="17"/>
      <c r="AP33" s="6"/>
      <c r="AQ33" s="17"/>
      <c r="AR33" s="6">
        <v>1</v>
      </c>
      <c r="AS33" s="17"/>
      <c r="AT33" s="14"/>
      <c r="AU33" s="8" t="s">
        <v>122</v>
      </c>
    </row>
    <row r="34" spans="1:47" x14ac:dyDescent="0.45">
      <c r="A34" s="10" t="s">
        <v>57</v>
      </c>
      <c r="B34" s="17"/>
      <c r="C34" s="6"/>
      <c r="D34" s="17"/>
      <c r="E34" s="6"/>
      <c r="F34" s="17"/>
      <c r="G34" s="6">
        <v>1</v>
      </c>
      <c r="H34" s="17"/>
      <c r="I34" s="6"/>
      <c r="J34" s="17"/>
      <c r="K34" s="6"/>
      <c r="L34" s="17"/>
      <c r="M34" s="6"/>
      <c r="N34" s="17"/>
      <c r="O34" s="6"/>
      <c r="P34" s="17">
        <v>1</v>
      </c>
      <c r="Q34" s="6"/>
      <c r="R34" s="17"/>
      <c r="S34" s="6"/>
      <c r="T34" s="17">
        <v>2</v>
      </c>
      <c r="V34" s="8" t="s">
        <v>125</v>
      </c>
      <c r="Z34" s="10" t="s">
        <v>204</v>
      </c>
      <c r="AA34" s="17"/>
      <c r="AB34" s="6"/>
      <c r="AC34" s="17"/>
      <c r="AD34" s="6"/>
      <c r="AE34" s="17"/>
      <c r="AF34" s="6"/>
      <c r="AG34" s="17"/>
      <c r="AH34" s="6"/>
      <c r="AI34" s="17"/>
      <c r="AJ34" s="6"/>
      <c r="AK34" s="17"/>
      <c r="AL34" s="6"/>
      <c r="AM34" s="17"/>
      <c r="AN34" s="6"/>
      <c r="AO34" s="17"/>
      <c r="AP34" s="6"/>
      <c r="AQ34" s="17"/>
      <c r="AR34" s="6"/>
      <c r="AS34" s="17"/>
      <c r="AT34" s="14">
        <v>1</v>
      </c>
      <c r="AU34" s="8" t="s">
        <v>122</v>
      </c>
    </row>
    <row r="35" spans="1:47" x14ac:dyDescent="0.45">
      <c r="A35" s="10" t="s">
        <v>8</v>
      </c>
      <c r="B35" s="17"/>
      <c r="C35" s="6">
        <v>1</v>
      </c>
      <c r="D35" s="17"/>
      <c r="E35" s="6"/>
      <c r="F35" s="17">
        <v>1</v>
      </c>
      <c r="G35" s="6"/>
      <c r="H35" s="17"/>
      <c r="I35" s="6">
        <v>1</v>
      </c>
      <c r="J35" s="17">
        <v>4</v>
      </c>
      <c r="K35" s="6"/>
      <c r="L35" s="17">
        <v>1</v>
      </c>
      <c r="M35" s="6">
        <v>1</v>
      </c>
      <c r="N35" s="17">
        <v>2</v>
      </c>
      <c r="O35" s="6"/>
      <c r="P35" s="17"/>
      <c r="Q35" s="6"/>
      <c r="R35" s="17"/>
      <c r="S35" s="6"/>
      <c r="T35" s="17">
        <v>7</v>
      </c>
      <c r="V35" s="8" t="s">
        <v>125</v>
      </c>
      <c r="Z35" s="10" t="s">
        <v>205</v>
      </c>
      <c r="AA35" s="17"/>
      <c r="AB35" s="6">
        <v>1</v>
      </c>
      <c r="AC35" s="17"/>
      <c r="AD35" s="6"/>
      <c r="AE35" s="17">
        <v>1</v>
      </c>
      <c r="AF35" s="6">
        <v>3</v>
      </c>
      <c r="AG35" s="17"/>
      <c r="AH35" s="6">
        <v>1</v>
      </c>
      <c r="AI35" s="17">
        <v>2</v>
      </c>
      <c r="AJ35" s="6"/>
      <c r="AK35" s="17">
        <v>1</v>
      </c>
      <c r="AL35" s="6">
        <v>1</v>
      </c>
      <c r="AM35" s="17"/>
      <c r="AN35" s="6"/>
      <c r="AO35" s="17"/>
      <c r="AP35" s="6"/>
      <c r="AQ35" s="17"/>
      <c r="AR35" s="6"/>
      <c r="AS35" s="17">
        <v>2</v>
      </c>
      <c r="AT35" s="14"/>
      <c r="AU35" s="8" t="s">
        <v>122</v>
      </c>
    </row>
    <row r="36" spans="1:47" x14ac:dyDescent="0.45">
      <c r="A36" s="10" t="s">
        <v>48</v>
      </c>
      <c r="B36" s="17"/>
      <c r="C36" s="6"/>
      <c r="D36" s="17"/>
      <c r="E36" s="6"/>
      <c r="F36" s="17">
        <v>2</v>
      </c>
      <c r="G36" s="6">
        <v>2</v>
      </c>
      <c r="H36" s="17"/>
      <c r="I36" s="6"/>
      <c r="J36" s="17">
        <v>1</v>
      </c>
      <c r="K36" s="6"/>
      <c r="L36" s="17"/>
      <c r="M36" s="6"/>
      <c r="N36" s="17">
        <v>1</v>
      </c>
      <c r="O36" s="6"/>
      <c r="P36" s="17"/>
      <c r="Q36" s="6"/>
      <c r="R36" s="17">
        <v>1</v>
      </c>
      <c r="S36" s="6"/>
      <c r="T36" s="17">
        <v>3</v>
      </c>
      <c r="V36" s="8" t="s">
        <v>125</v>
      </c>
      <c r="Z36" s="10" t="s">
        <v>206</v>
      </c>
      <c r="AA36" s="17"/>
      <c r="AB36" s="6"/>
      <c r="AC36" s="17"/>
      <c r="AD36" s="6"/>
      <c r="AE36" s="17">
        <v>1</v>
      </c>
      <c r="AF36" s="6"/>
      <c r="AG36" s="17"/>
      <c r="AH36" s="6"/>
      <c r="AI36" s="17">
        <v>3</v>
      </c>
      <c r="AJ36" s="6"/>
      <c r="AK36" s="17"/>
      <c r="AL36" s="6"/>
      <c r="AM36" s="17"/>
      <c r="AN36" s="6"/>
      <c r="AO36" s="17"/>
      <c r="AP36" s="6"/>
      <c r="AQ36" s="17"/>
      <c r="AR36" s="6"/>
      <c r="AS36" s="17">
        <v>5</v>
      </c>
      <c r="AT36" s="14"/>
      <c r="AU36" s="8" t="s">
        <v>122</v>
      </c>
    </row>
    <row r="37" spans="1:47" x14ac:dyDescent="0.45">
      <c r="A37" s="10" t="s">
        <v>87</v>
      </c>
      <c r="B37" s="17"/>
      <c r="C37" s="6"/>
      <c r="D37" s="17"/>
      <c r="E37" s="6"/>
      <c r="F37" s="17"/>
      <c r="G37" s="6"/>
      <c r="H37" s="17"/>
      <c r="I37" s="6"/>
      <c r="J37" s="17">
        <v>3</v>
      </c>
      <c r="K37" s="6"/>
      <c r="L37" s="17"/>
      <c r="M37" s="6"/>
      <c r="N37" s="17"/>
      <c r="O37" s="6"/>
      <c r="P37" s="17"/>
      <c r="Q37" s="6"/>
      <c r="R37" s="17"/>
      <c r="S37" s="6"/>
      <c r="T37" s="17">
        <v>3</v>
      </c>
      <c r="V37" s="8" t="s">
        <v>125</v>
      </c>
      <c r="Z37" s="10" t="s">
        <v>207</v>
      </c>
      <c r="AA37" s="17"/>
      <c r="AB37" s="6"/>
      <c r="AC37" s="17"/>
      <c r="AD37" s="6"/>
      <c r="AE37" s="17">
        <v>1</v>
      </c>
      <c r="AF37" s="6"/>
      <c r="AG37" s="17">
        <v>1</v>
      </c>
      <c r="AH37" s="6">
        <v>1</v>
      </c>
      <c r="AI37" s="17">
        <v>9</v>
      </c>
      <c r="AJ37" s="6"/>
      <c r="AK37" s="17"/>
      <c r="AL37" s="6">
        <v>1</v>
      </c>
      <c r="AM37" s="17"/>
      <c r="AN37" s="6"/>
      <c r="AO37" s="17">
        <v>2</v>
      </c>
      <c r="AP37" s="6"/>
      <c r="AQ37" s="17"/>
      <c r="AR37" s="6"/>
      <c r="AS37" s="17">
        <v>1</v>
      </c>
      <c r="AT37" s="14"/>
      <c r="AU37" s="8" t="s">
        <v>122</v>
      </c>
    </row>
    <row r="38" spans="1:47" x14ac:dyDescent="0.45">
      <c r="A38" s="10" t="s">
        <v>36</v>
      </c>
      <c r="B38" s="17">
        <v>1</v>
      </c>
      <c r="C38" s="6"/>
      <c r="D38" s="17">
        <v>1</v>
      </c>
      <c r="E38" s="6">
        <v>1</v>
      </c>
      <c r="F38" s="17"/>
      <c r="G38" s="6"/>
      <c r="H38" s="17"/>
      <c r="I38" s="6"/>
      <c r="J38" s="17">
        <v>4</v>
      </c>
      <c r="K38" s="6"/>
      <c r="L38" s="17"/>
      <c r="M38" s="6"/>
      <c r="N38" s="17">
        <v>2</v>
      </c>
      <c r="O38" s="6">
        <v>1</v>
      </c>
      <c r="P38" s="17"/>
      <c r="Q38" s="6">
        <v>1</v>
      </c>
      <c r="R38" s="17"/>
      <c r="S38" s="6"/>
      <c r="T38" s="17">
        <v>6</v>
      </c>
      <c r="U38" s="14">
        <v>1</v>
      </c>
      <c r="V38" s="8" t="s">
        <v>125</v>
      </c>
      <c r="Z38" s="10" t="s">
        <v>208</v>
      </c>
      <c r="AA38" s="17"/>
      <c r="AB38" s="6"/>
      <c r="AC38" s="17"/>
      <c r="AD38" s="6"/>
      <c r="AE38" s="17"/>
      <c r="AF38" s="6"/>
      <c r="AG38" s="17"/>
      <c r="AH38" s="6"/>
      <c r="AI38" s="17"/>
      <c r="AJ38" s="6"/>
      <c r="AK38" s="17">
        <v>1</v>
      </c>
      <c r="AL38" s="6"/>
      <c r="AM38" s="17"/>
      <c r="AN38" s="6"/>
      <c r="AO38" s="17"/>
      <c r="AP38" s="6"/>
      <c r="AQ38" s="17"/>
      <c r="AR38" s="6"/>
      <c r="AS38" s="17"/>
      <c r="AT38" s="14"/>
      <c r="AU38" s="8" t="s">
        <v>122</v>
      </c>
    </row>
    <row r="39" spans="1:47" x14ac:dyDescent="0.45">
      <c r="A39" s="10" t="s">
        <v>12</v>
      </c>
      <c r="B39" s="17"/>
      <c r="C39" s="6">
        <v>1</v>
      </c>
      <c r="D39" s="17"/>
      <c r="E39" s="6"/>
      <c r="F39" s="17"/>
      <c r="G39" s="6"/>
      <c r="H39" s="17"/>
      <c r="I39" s="6">
        <v>1</v>
      </c>
      <c r="J39" s="17">
        <v>1</v>
      </c>
      <c r="K39" s="6"/>
      <c r="L39" s="17">
        <v>1</v>
      </c>
      <c r="M39" s="6">
        <v>1</v>
      </c>
      <c r="N39" s="17"/>
      <c r="O39" s="6"/>
      <c r="P39" s="17">
        <v>1</v>
      </c>
      <c r="Q39" s="6"/>
      <c r="R39" s="17"/>
      <c r="S39" s="6"/>
      <c r="T39" s="17">
        <v>4</v>
      </c>
      <c r="V39" s="8" t="s">
        <v>125</v>
      </c>
    </row>
    <row r="40" spans="1:47" ht="14.65" thickBot="1" x14ac:dyDescent="0.5">
      <c r="A40" s="10" t="s">
        <v>15</v>
      </c>
      <c r="B40" s="17">
        <v>1</v>
      </c>
      <c r="C40" s="6">
        <v>1</v>
      </c>
      <c r="D40" s="17"/>
      <c r="E40" s="6">
        <v>1</v>
      </c>
      <c r="F40" s="17">
        <v>1</v>
      </c>
      <c r="G40" s="6">
        <v>1</v>
      </c>
      <c r="H40" s="17"/>
      <c r="I40" s="6"/>
      <c r="J40" s="17"/>
      <c r="K40" s="6"/>
      <c r="L40" s="17"/>
      <c r="M40" s="6"/>
      <c r="N40" s="17">
        <v>1</v>
      </c>
      <c r="O40" s="6"/>
      <c r="P40" s="17"/>
      <c r="Q40" s="6"/>
      <c r="R40" s="17"/>
      <c r="S40" s="6"/>
      <c r="T40" s="17">
        <v>2</v>
      </c>
      <c r="V40" s="8" t="s">
        <v>138</v>
      </c>
      <c r="Z40" s="9"/>
      <c r="AA40" s="22">
        <v>1</v>
      </c>
      <c r="AB40" s="23"/>
      <c r="AC40" s="22">
        <v>2</v>
      </c>
      <c r="AD40" s="23"/>
      <c r="AE40" s="22">
        <v>3</v>
      </c>
      <c r="AF40" s="23"/>
      <c r="AG40" s="22">
        <v>4</v>
      </c>
      <c r="AH40" s="23"/>
      <c r="AI40" s="22">
        <v>5</v>
      </c>
      <c r="AJ40" s="23"/>
      <c r="AK40" s="22">
        <v>6</v>
      </c>
      <c r="AL40" s="23"/>
      <c r="AM40" s="22">
        <v>7</v>
      </c>
      <c r="AN40" s="23"/>
      <c r="AO40" s="22">
        <v>8</v>
      </c>
      <c r="AP40" s="23"/>
      <c r="AQ40" s="22">
        <v>9</v>
      </c>
      <c r="AR40" s="23"/>
      <c r="AS40" s="22">
        <v>10</v>
      </c>
      <c r="AT40" s="23"/>
    </row>
    <row r="41" spans="1:47" x14ac:dyDescent="0.45">
      <c r="A41" s="10" t="s">
        <v>31</v>
      </c>
      <c r="B41" s="17">
        <v>1</v>
      </c>
      <c r="C41" s="6"/>
      <c r="D41" s="17">
        <v>1</v>
      </c>
      <c r="E41" s="6">
        <v>1</v>
      </c>
      <c r="F41" s="17">
        <v>1</v>
      </c>
      <c r="G41" s="6"/>
      <c r="H41" s="17"/>
      <c r="I41" s="6"/>
      <c r="J41" s="17">
        <v>4</v>
      </c>
      <c r="K41" s="6"/>
      <c r="L41" s="17"/>
      <c r="M41" s="6">
        <v>1</v>
      </c>
      <c r="N41" s="17">
        <v>4</v>
      </c>
      <c r="O41" s="6">
        <v>1</v>
      </c>
      <c r="P41" s="17"/>
      <c r="Q41" s="6">
        <v>1</v>
      </c>
      <c r="R41" s="17">
        <v>1</v>
      </c>
      <c r="S41" s="6"/>
      <c r="T41" s="17">
        <v>5</v>
      </c>
      <c r="V41" s="8" t="s">
        <v>138</v>
      </c>
      <c r="Z41" s="7" t="s">
        <v>139</v>
      </c>
      <c r="AA41" s="4">
        <v>-1</v>
      </c>
      <c r="AB41" s="4">
        <v>1</v>
      </c>
      <c r="AC41" s="4">
        <v>-1</v>
      </c>
      <c r="AD41" s="4">
        <v>1</v>
      </c>
      <c r="AE41" s="4">
        <v>-1</v>
      </c>
      <c r="AF41" s="4">
        <v>1</v>
      </c>
      <c r="AG41" s="4">
        <v>-1</v>
      </c>
      <c r="AH41" s="4">
        <v>1</v>
      </c>
      <c r="AI41" s="4">
        <v>-1</v>
      </c>
      <c r="AJ41" s="4">
        <v>1</v>
      </c>
      <c r="AK41" s="4">
        <v>-1</v>
      </c>
      <c r="AL41" s="4">
        <v>1</v>
      </c>
      <c r="AM41" s="4">
        <v>-1</v>
      </c>
      <c r="AN41" s="4">
        <v>1</v>
      </c>
      <c r="AO41" s="4">
        <v>-1</v>
      </c>
      <c r="AP41" s="4">
        <v>1</v>
      </c>
      <c r="AQ41" s="4">
        <v>-1</v>
      </c>
      <c r="AR41" s="4">
        <v>1</v>
      </c>
      <c r="AS41" s="4">
        <v>-1</v>
      </c>
      <c r="AT41" s="4">
        <v>1</v>
      </c>
    </row>
    <row r="42" spans="1:47" x14ac:dyDescent="0.45">
      <c r="A42" s="10" t="s">
        <v>21</v>
      </c>
      <c r="B42" s="17">
        <v>1</v>
      </c>
      <c r="C42" s="6">
        <v>1</v>
      </c>
      <c r="D42" s="17"/>
      <c r="E42" s="6">
        <v>1</v>
      </c>
      <c r="F42" s="17">
        <v>2</v>
      </c>
      <c r="G42" s="6">
        <v>2</v>
      </c>
      <c r="H42" s="17">
        <v>1</v>
      </c>
      <c r="I42" s="6"/>
      <c r="J42" s="17">
        <v>3</v>
      </c>
      <c r="K42" s="6"/>
      <c r="L42" s="17"/>
      <c r="M42" s="6">
        <v>1</v>
      </c>
      <c r="N42" s="17">
        <v>4</v>
      </c>
      <c r="O42" s="6"/>
      <c r="P42" s="17"/>
      <c r="Q42" s="6"/>
      <c r="R42" s="17">
        <v>1</v>
      </c>
      <c r="S42" s="6"/>
      <c r="T42" s="17">
        <v>6</v>
      </c>
      <c r="V42" s="8" t="s">
        <v>127</v>
      </c>
      <c r="Z42" s="10" t="s">
        <v>198</v>
      </c>
      <c r="AA42" s="17"/>
      <c r="AB42" s="6"/>
      <c r="AC42" s="17"/>
      <c r="AD42" s="6"/>
      <c r="AE42" s="17">
        <v>1</v>
      </c>
      <c r="AF42" s="6"/>
      <c r="AG42" s="17">
        <v>2</v>
      </c>
      <c r="AH42" s="6"/>
      <c r="AI42" s="17">
        <v>4</v>
      </c>
      <c r="AJ42" s="6"/>
      <c r="AK42" s="17"/>
      <c r="AL42" s="6"/>
      <c r="AM42" s="17"/>
      <c r="AN42" s="6"/>
      <c r="AO42" s="17">
        <v>2</v>
      </c>
      <c r="AP42" s="6"/>
      <c r="AQ42" s="17">
        <v>2</v>
      </c>
      <c r="AR42" s="6"/>
      <c r="AS42" s="17"/>
      <c r="AT42" s="14"/>
      <c r="AU42" s="8" t="s">
        <v>122</v>
      </c>
    </row>
    <row r="43" spans="1:47" x14ac:dyDescent="0.45">
      <c r="A43" s="10" t="s">
        <v>30</v>
      </c>
      <c r="B43" s="17">
        <v>2</v>
      </c>
      <c r="C43" s="6"/>
      <c r="D43" s="17"/>
      <c r="E43" s="6">
        <v>2</v>
      </c>
      <c r="F43" s="17">
        <v>6</v>
      </c>
      <c r="G43" s="6">
        <v>5</v>
      </c>
      <c r="H43" s="17">
        <v>3</v>
      </c>
      <c r="I43" s="6">
        <v>2</v>
      </c>
      <c r="J43" s="17">
        <v>14</v>
      </c>
      <c r="K43" s="6">
        <v>1</v>
      </c>
      <c r="L43" s="17">
        <v>5</v>
      </c>
      <c r="M43" s="6">
        <v>3</v>
      </c>
      <c r="N43" s="17">
        <v>5</v>
      </c>
      <c r="O43" s="6">
        <v>1</v>
      </c>
      <c r="P43" s="17">
        <v>1</v>
      </c>
      <c r="Q43" s="6">
        <v>2</v>
      </c>
      <c r="R43" s="17"/>
      <c r="S43" s="6"/>
      <c r="T43" s="17">
        <v>11</v>
      </c>
      <c r="U43" s="14">
        <v>2</v>
      </c>
      <c r="V43" s="8" t="s">
        <v>129</v>
      </c>
      <c r="Z43" s="10" t="s">
        <v>199</v>
      </c>
      <c r="AA43" s="17"/>
      <c r="AB43" s="6"/>
      <c r="AC43" s="17">
        <v>2</v>
      </c>
      <c r="AD43" s="6"/>
      <c r="AE43" s="17">
        <v>4</v>
      </c>
      <c r="AF43" s="6"/>
      <c r="AG43" s="17"/>
      <c r="AH43" s="6"/>
      <c r="AI43" s="17"/>
      <c r="AJ43" s="6"/>
      <c r="AK43" s="17"/>
      <c r="AL43" s="6"/>
      <c r="AM43" s="17"/>
      <c r="AN43" s="6"/>
      <c r="AO43" s="17"/>
      <c r="AP43" s="6"/>
      <c r="AQ43" s="17"/>
      <c r="AR43" s="6"/>
      <c r="AS43" s="17"/>
      <c r="AT43" s="14"/>
      <c r="AU43" s="8" t="s">
        <v>122</v>
      </c>
    </row>
    <row r="44" spans="1:47" x14ac:dyDescent="0.45">
      <c r="A44" s="10" t="s">
        <v>37</v>
      </c>
      <c r="B44" s="17"/>
      <c r="C44" s="6"/>
      <c r="D44" s="17">
        <v>1</v>
      </c>
      <c r="E44" s="6"/>
      <c r="F44" s="17"/>
      <c r="G44" s="6"/>
      <c r="H44" s="17"/>
      <c r="I44" s="6"/>
      <c r="J44" s="17">
        <v>1</v>
      </c>
      <c r="K44" s="6"/>
      <c r="L44" s="17"/>
      <c r="M44" s="6"/>
      <c r="N44" s="17"/>
      <c r="O44" s="6"/>
      <c r="P44" s="17"/>
      <c r="Q44" s="6"/>
      <c r="R44" s="17"/>
      <c r="S44" s="6"/>
      <c r="T44" s="17"/>
      <c r="V44" s="8" t="s">
        <v>155</v>
      </c>
      <c r="Z44" s="10" t="s">
        <v>200</v>
      </c>
      <c r="AA44" s="17"/>
      <c r="AB44" s="6"/>
      <c r="AC44" s="17"/>
      <c r="AD44" s="6"/>
      <c r="AE44" s="17"/>
      <c r="AF44" s="6"/>
      <c r="AG44" s="17">
        <v>1</v>
      </c>
      <c r="AH44" s="6"/>
      <c r="AI44" s="17">
        <v>2</v>
      </c>
      <c r="AJ44" s="6"/>
      <c r="AK44" s="17"/>
      <c r="AL44" s="6">
        <v>1</v>
      </c>
      <c r="AM44" s="17"/>
      <c r="AN44" s="6"/>
      <c r="AO44" s="17">
        <v>1</v>
      </c>
      <c r="AP44" s="6"/>
      <c r="AQ44" s="17"/>
      <c r="AR44" s="6">
        <v>1</v>
      </c>
      <c r="AS44" s="17"/>
      <c r="AT44" s="14"/>
      <c r="AU44" s="8" t="s">
        <v>122</v>
      </c>
    </row>
    <row r="45" spans="1:47" x14ac:dyDescent="0.45">
      <c r="A45" s="10" t="s">
        <v>98</v>
      </c>
      <c r="B45" s="17"/>
      <c r="C45" s="6"/>
      <c r="D45" s="17">
        <v>1</v>
      </c>
      <c r="E45" s="6"/>
      <c r="F45" s="17"/>
      <c r="G45" s="6"/>
      <c r="H45" s="17"/>
      <c r="I45" s="6"/>
      <c r="J45" s="17"/>
      <c r="K45" s="6"/>
      <c r="L45" s="17"/>
      <c r="M45" s="6"/>
      <c r="N45" s="17"/>
      <c r="O45" s="6"/>
      <c r="P45" s="17"/>
      <c r="Q45" s="6"/>
      <c r="R45" s="17"/>
      <c r="S45" s="6"/>
      <c r="T45" s="17"/>
      <c r="U45" s="14">
        <v>1</v>
      </c>
      <c r="V45" s="8" t="s">
        <v>155</v>
      </c>
      <c r="Z45" s="10" t="s">
        <v>201</v>
      </c>
      <c r="AA45" s="17"/>
      <c r="AB45" s="6"/>
      <c r="AC45" s="17"/>
      <c r="AD45" s="6">
        <v>1</v>
      </c>
      <c r="AE45" s="17">
        <v>1</v>
      </c>
      <c r="AF45" s="6"/>
      <c r="AG45" s="17"/>
      <c r="AH45" s="6">
        <v>1</v>
      </c>
      <c r="AI45" s="17">
        <v>10</v>
      </c>
      <c r="AJ45" s="6"/>
      <c r="AK45" s="17"/>
      <c r="AL45" s="6">
        <v>3</v>
      </c>
      <c r="AM45" s="17"/>
      <c r="AN45" s="6"/>
      <c r="AO45" s="17"/>
      <c r="AP45" s="6"/>
      <c r="AQ45" s="17"/>
      <c r="AR45" s="6">
        <v>1</v>
      </c>
      <c r="AS45" s="17">
        <v>1</v>
      </c>
      <c r="AT45" s="14">
        <v>1</v>
      </c>
      <c r="AU45" s="8" t="s">
        <v>122</v>
      </c>
    </row>
    <row r="46" spans="1:47" x14ac:dyDescent="0.45">
      <c r="A46" s="10" t="s">
        <v>79</v>
      </c>
      <c r="B46" s="17"/>
      <c r="C46" s="6"/>
      <c r="D46" s="17"/>
      <c r="E46" s="6"/>
      <c r="F46" s="17"/>
      <c r="G46" s="6"/>
      <c r="H46" s="17">
        <v>2</v>
      </c>
      <c r="I46" s="6"/>
      <c r="J46" s="17"/>
      <c r="K46" s="6"/>
      <c r="L46" s="17"/>
      <c r="M46" s="6"/>
      <c r="N46" s="17"/>
      <c r="O46" s="6"/>
      <c r="P46" s="17"/>
      <c r="Q46" s="6"/>
      <c r="R46" s="17"/>
      <c r="S46" s="6"/>
      <c r="T46" s="17"/>
      <c r="U46" s="14">
        <v>1</v>
      </c>
      <c r="V46" s="8" t="s">
        <v>155</v>
      </c>
      <c r="Z46" s="10" t="s">
        <v>202</v>
      </c>
      <c r="AA46" s="17"/>
      <c r="AB46" s="6"/>
      <c r="AC46" s="17"/>
      <c r="AD46" s="6"/>
      <c r="AE46" s="17">
        <v>1</v>
      </c>
      <c r="AF46" s="6"/>
      <c r="AG46" s="17"/>
      <c r="AH46" s="6"/>
      <c r="AI46" s="17"/>
      <c r="AJ46" s="6"/>
      <c r="AK46" s="17"/>
      <c r="AL46" s="6"/>
      <c r="AM46" s="17"/>
      <c r="AN46" s="6"/>
      <c r="AO46" s="17"/>
      <c r="AP46" s="6"/>
      <c r="AQ46" s="17"/>
      <c r="AR46" s="6"/>
      <c r="AS46" s="17"/>
      <c r="AT46" s="14"/>
      <c r="AU46" s="8" t="s">
        <v>122</v>
      </c>
    </row>
    <row r="47" spans="1:47" x14ac:dyDescent="0.45">
      <c r="A47" s="10" t="s">
        <v>63</v>
      </c>
      <c r="B47" s="17"/>
      <c r="C47" s="6"/>
      <c r="D47" s="17"/>
      <c r="E47" s="6"/>
      <c r="F47" s="17">
        <v>1</v>
      </c>
      <c r="G47" s="6">
        <v>3</v>
      </c>
      <c r="H47" s="17"/>
      <c r="I47" s="6"/>
      <c r="J47" s="17">
        <v>2</v>
      </c>
      <c r="K47" s="6"/>
      <c r="L47" s="17"/>
      <c r="M47" s="6"/>
      <c r="N47" s="17"/>
      <c r="O47" s="6"/>
      <c r="P47" s="17"/>
      <c r="Q47" s="6"/>
      <c r="R47" s="17"/>
      <c r="S47" s="6"/>
      <c r="T47" s="17"/>
      <c r="V47" s="8" t="s">
        <v>155</v>
      </c>
      <c r="Z47" s="10" t="s">
        <v>203</v>
      </c>
      <c r="AA47" s="17"/>
      <c r="AB47" s="6"/>
      <c r="AC47" s="17"/>
      <c r="AD47" s="6"/>
      <c r="AE47" s="17"/>
      <c r="AF47" s="6">
        <v>1</v>
      </c>
      <c r="AG47" s="17"/>
      <c r="AH47" s="6"/>
      <c r="AI47" s="17"/>
      <c r="AJ47" s="6"/>
      <c r="AK47" s="17"/>
      <c r="AL47" s="6"/>
      <c r="AM47" s="17"/>
      <c r="AN47" s="6"/>
      <c r="AO47" s="17"/>
      <c r="AP47" s="6"/>
      <c r="AQ47" s="17"/>
      <c r="AR47" s="6">
        <v>1</v>
      </c>
      <c r="AS47" s="17"/>
      <c r="AT47" s="14"/>
      <c r="AU47" s="8" t="s">
        <v>122</v>
      </c>
    </row>
    <row r="48" spans="1:47" x14ac:dyDescent="0.45">
      <c r="A48" s="10" t="s">
        <v>62</v>
      </c>
      <c r="B48" s="17"/>
      <c r="C48" s="6"/>
      <c r="D48" s="17"/>
      <c r="E48" s="6"/>
      <c r="F48" s="17"/>
      <c r="G48" s="6">
        <v>1</v>
      </c>
      <c r="H48" s="17">
        <v>1</v>
      </c>
      <c r="I48" s="6">
        <v>1</v>
      </c>
      <c r="J48" s="17">
        <v>3</v>
      </c>
      <c r="K48" s="6"/>
      <c r="L48" s="17"/>
      <c r="M48" s="6"/>
      <c r="N48" s="17">
        <v>1</v>
      </c>
      <c r="O48" s="6">
        <v>1</v>
      </c>
      <c r="P48" s="17"/>
      <c r="Q48" s="6"/>
      <c r="R48" s="17"/>
      <c r="S48" s="6"/>
      <c r="T48" s="17">
        <v>2</v>
      </c>
      <c r="U48" s="14">
        <v>2</v>
      </c>
      <c r="V48" s="8" t="s">
        <v>124</v>
      </c>
      <c r="Z48" s="10" t="s">
        <v>204</v>
      </c>
      <c r="AA48" s="17"/>
      <c r="AB48" s="6"/>
      <c r="AC48" s="17"/>
      <c r="AD48" s="6"/>
      <c r="AE48" s="17"/>
      <c r="AF48" s="6"/>
      <c r="AG48" s="17"/>
      <c r="AH48" s="6"/>
      <c r="AI48" s="17"/>
      <c r="AJ48" s="6"/>
      <c r="AK48" s="17"/>
      <c r="AL48" s="6"/>
      <c r="AM48" s="17"/>
      <c r="AN48" s="6"/>
      <c r="AO48" s="17"/>
      <c r="AP48" s="6"/>
      <c r="AQ48" s="17"/>
      <c r="AR48" s="6"/>
      <c r="AS48" s="17"/>
      <c r="AT48" s="14">
        <v>1</v>
      </c>
      <c r="AU48" s="8" t="s">
        <v>122</v>
      </c>
    </row>
    <row r="49" spans="1:47" x14ac:dyDescent="0.45">
      <c r="A49" s="10" t="s">
        <v>13</v>
      </c>
      <c r="B49" s="17"/>
      <c r="C49" s="6">
        <v>1</v>
      </c>
      <c r="D49" s="17"/>
      <c r="E49" s="6"/>
      <c r="F49" s="17"/>
      <c r="G49" s="6">
        <v>2</v>
      </c>
      <c r="H49" s="17"/>
      <c r="I49" s="6">
        <v>1</v>
      </c>
      <c r="J49" s="17">
        <v>6</v>
      </c>
      <c r="K49" s="6"/>
      <c r="L49" s="17">
        <v>1</v>
      </c>
      <c r="M49" s="6"/>
      <c r="N49" s="17"/>
      <c r="O49" s="6"/>
      <c r="P49" s="17"/>
      <c r="Q49" s="6">
        <v>2</v>
      </c>
      <c r="R49" s="17">
        <v>1</v>
      </c>
      <c r="S49" s="6"/>
      <c r="T49" s="17">
        <v>6</v>
      </c>
      <c r="U49" s="14">
        <v>1</v>
      </c>
      <c r="V49" s="8" t="s">
        <v>123</v>
      </c>
      <c r="Z49" s="10" t="s">
        <v>205</v>
      </c>
      <c r="AA49" s="17"/>
      <c r="AB49" s="6">
        <v>1</v>
      </c>
      <c r="AC49" s="17"/>
      <c r="AD49" s="6"/>
      <c r="AE49" s="17">
        <v>1</v>
      </c>
      <c r="AF49" s="6">
        <v>3</v>
      </c>
      <c r="AG49" s="17"/>
      <c r="AH49" s="6">
        <v>1</v>
      </c>
      <c r="AI49" s="17">
        <v>2</v>
      </c>
      <c r="AJ49" s="6"/>
      <c r="AK49" s="17">
        <v>1</v>
      </c>
      <c r="AL49" s="6">
        <v>1</v>
      </c>
      <c r="AM49" s="17"/>
      <c r="AN49" s="6"/>
      <c r="AO49" s="17"/>
      <c r="AP49" s="6"/>
      <c r="AQ49" s="17"/>
      <c r="AR49" s="6"/>
      <c r="AS49" s="17">
        <v>2</v>
      </c>
      <c r="AT49" s="14"/>
      <c r="AU49" s="8" t="s">
        <v>122</v>
      </c>
    </row>
    <row r="50" spans="1:47" x14ac:dyDescent="0.45">
      <c r="A50" s="10" t="s">
        <v>73</v>
      </c>
      <c r="B50" s="17"/>
      <c r="C50" s="6"/>
      <c r="D50" s="17"/>
      <c r="E50" s="6"/>
      <c r="F50" s="17">
        <v>1</v>
      </c>
      <c r="G50" s="6"/>
      <c r="H50" s="17">
        <v>2</v>
      </c>
      <c r="I50" s="6"/>
      <c r="J50" s="17">
        <v>4</v>
      </c>
      <c r="K50" s="6"/>
      <c r="L50" s="17"/>
      <c r="M50" s="6"/>
      <c r="N50" s="17"/>
      <c r="O50" s="6"/>
      <c r="P50" s="17">
        <v>2</v>
      </c>
      <c r="Q50" s="6"/>
      <c r="R50" s="17">
        <v>2</v>
      </c>
      <c r="S50" s="6"/>
      <c r="T50" s="17"/>
      <c r="V50" s="8" t="s">
        <v>122</v>
      </c>
      <c r="Z50" s="10" t="s">
        <v>206</v>
      </c>
      <c r="AA50" s="17"/>
      <c r="AB50" s="6"/>
      <c r="AC50" s="17"/>
      <c r="AD50" s="6"/>
      <c r="AE50" s="17">
        <v>1</v>
      </c>
      <c r="AF50" s="6"/>
      <c r="AG50" s="17"/>
      <c r="AH50" s="6"/>
      <c r="AI50" s="17">
        <v>3</v>
      </c>
      <c r="AJ50" s="6"/>
      <c r="AK50" s="17"/>
      <c r="AL50" s="6"/>
      <c r="AM50" s="17"/>
      <c r="AN50" s="6"/>
      <c r="AO50" s="17"/>
      <c r="AP50" s="6"/>
      <c r="AQ50" s="17"/>
      <c r="AR50" s="6"/>
      <c r="AS50" s="17">
        <v>5</v>
      </c>
      <c r="AT50" s="14"/>
      <c r="AU50" s="8" t="s">
        <v>122</v>
      </c>
    </row>
    <row r="51" spans="1:47" x14ac:dyDescent="0.45">
      <c r="A51" s="10" t="s">
        <v>71</v>
      </c>
      <c r="B51" s="17"/>
      <c r="C51" s="6"/>
      <c r="D51" s="17">
        <v>2</v>
      </c>
      <c r="E51" s="6"/>
      <c r="F51" s="17">
        <v>4</v>
      </c>
      <c r="G51" s="6"/>
      <c r="H51" s="17"/>
      <c r="I51" s="6"/>
      <c r="J51" s="17"/>
      <c r="K51" s="6"/>
      <c r="L51" s="17"/>
      <c r="M51" s="6"/>
      <c r="N51" s="17"/>
      <c r="O51" s="6"/>
      <c r="P51" s="17"/>
      <c r="Q51" s="6"/>
      <c r="R51" s="17"/>
      <c r="S51" s="6"/>
      <c r="T51" s="17"/>
      <c r="V51" s="8" t="s">
        <v>122</v>
      </c>
      <c r="Z51" s="10" t="s">
        <v>207</v>
      </c>
      <c r="AA51" s="17"/>
      <c r="AB51" s="6"/>
      <c r="AC51" s="17"/>
      <c r="AD51" s="6"/>
      <c r="AE51" s="17">
        <v>1</v>
      </c>
      <c r="AF51" s="6"/>
      <c r="AG51" s="17">
        <v>1</v>
      </c>
      <c r="AH51" s="6">
        <v>1</v>
      </c>
      <c r="AI51" s="17">
        <v>9</v>
      </c>
      <c r="AJ51" s="6"/>
      <c r="AK51" s="17"/>
      <c r="AL51" s="6">
        <v>1</v>
      </c>
      <c r="AM51" s="17"/>
      <c r="AN51" s="6"/>
      <c r="AO51" s="17">
        <v>2</v>
      </c>
      <c r="AP51" s="6"/>
      <c r="AQ51" s="17"/>
      <c r="AR51" s="6"/>
      <c r="AS51" s="17">
        <v>1</v>
      </c>
      <c r="AT51" s="14"/>
      <c r="AU51" s="8" t="s">
        <v>122</v>
      </c>
    </row>
    <row r="52" spans="1:47" x14ac:dyDescent="0.45">
      <c r="A52" s="10" t="s">
        <v>81</v>
      </c>
      <c r="B52" s="17"/>
      <c r="C52" s="6"/>
      <c r="D52" s="17"/>
      <c r="E52" s="6"/>
      <c r="F52" s="17"/>
      <c r="G52" s="6"/>
      <c r="H52" s="17">
        <v>1</v>
      </c>
      <c r="I52" s="6"/>
      <c r="J52" s="17">
        <v>2</v>
      </c>
      <c r="K52" s="6"/>
      <c r="L52" s="17"/>
      <c r="M52" s="6">
        <v>1</v>
      </c>
      <c r="N52" s="17"/>
      <c r="O52" s="6"/>
      <c r="P52" s="17">
        <v>1</v>
      </c>
      <c r="Q52" s="6"/>
      <c r="R52" s="17"/>
      <c r="S52" s="6">
        <v>1</v>
      </c>
      <c r="T52" s="17"/>
      <c r="V52" s="8" t="s">
        <v>122</v>
      </c>
      <c r="Z52" s="10" t="s">
        <v>208</v>
      </c>
      <c r="AA52" s="17"/>
      <c r="AB52" s="6"/>
      <c r="AC52" s="17"/>
      <c r="AD52" s="6"/>
      <c r="AE52" s="17"/>
      <c r="AF52" s="6"/>
      <c r="AG52" s="17"/>
      <c r="AH52" s="6"/>
      <c r="AI52" s="17"/>
      <c r="AJ52" s="6"/>
      <c r="AK52" s="17">
        <v>1</v>
      </c>
      <c r="AL52" s="6"/>
      <c r="AM52" s="17"/>
      <c r="AN52" s="6"/>
      <c r="AO52" s="17"/>
      <c r="AP52" s="6"/>
      <c r="AQ52" s="17"/>
      <c r="AR52" s="6"/>
      <c r="AS52" s="17"/>
      <c r="AT52" s="14"/>
      <c r="AU52" s="8" t="s">
        <v>122</v>
      </c>
    </row>
    <row r="53" spans="1:47" x14ac:dyDescent="0.45">
      <c r="A53" s="10" t="s">
        <v>32</v>
      </c>
      <c r="B53" s="17"/>
      <c r="C53" s="6"/>
      <c r="D53" s="17"/>
      <c r="E53" s="6">
        <v>1</v>
      </c>
      <c r="F53" s="17">
        <v>1</v>
      </c>
      <c r="G53" s="6"/>
      <c r="H53" s="17"/>
      <c r="I53" s="6">
        <v>1</v>
      </c>
      <c r="J53" s="17">
        <v>10</v>
      </c>
      <c r="K53" s="6"/>
      <c r="L53" s="17"/>
      <c r="M53" s="6">
        <v>3</v>
      </c>
      <c r="N53" s="17"/>
      <c r="O53" s="6"/>
      <c r="P53" s="17"/>
      <c r="Q53" s="6"/>
      <c r="R53" s="17"/>
      <c r="S53" s="6">
        <v>1</v>
      </c>
      <c r="T53" s="17">
        <v>1</v>
      </c>
      <c r="U53" s="14">
        <v>1</v>
      </c>
      <c r="V53" s="8" t="s">
        <v>122</v>
      </c>
    </row>
    <row r="54" spans="1:47" x14ac:dyDescent="0.45">
      <c r="A54" s="10" t="s">
        <v>100</v>
      </c>
      <c r="B54" s="17"/>
      <c r="C54" s="6"/>
      <c r="D54" s="17"/>
      <c r="E54" s="6"/>
      <c r="F54" s="17">
        <v>1</v>
      </c>
      <c r="G54" s="6"/>
      <c r="H54" s="17"/>
      <c r="I54" s="6"/>
      <c r="J54" s="17"/>
      <c r="K54" s="6"/>
      <c r="L54" s="17"/>
      <c r="M54" s="6"/>
      <c r="N54" s="17"/>
      <c r="O54" s="6"/>
      <c r="P54" s="17"/>
      <c r="Q54" s="6"/>
      <c r="R54" s="17"/>
      <c r="S54" s="6"/>
      <c r="T54" s="17"/>
      <c r="V54" s="8" t="s">
        <v>122</v>
      </c>
    </row>
    <row r="55" spans="1:47" ht="14.65" thickBot="1" x14ac:dyDescent="0.5">
      <c r="A55" s="10" t="s">
        <v>50</v>
      </c>
      <c r="B55" s="17"/>
      <c r="C55" s="6"/>
      <c r="D55" s="17"/>
      <c r="E55" s="6"/>
      <c r="F55" s="17"/>
      <c r="G55" s="6">
        <v>1</v>
      </c>
      <c r="H55" s="17"/>
      <c r="I55" s="6"/>
      <c r="J55" s="17"/>
      <c r="K55" s="6"/>
      <c r="L55" s="17"/>
      <c r="M55" s="6"/>
      <c r="N55" s="17"/>
      <c r="O55" s="6"/>
      <c r="P55" s="17"/>
      <c r="Q55" s="6"/>
      <c r="R55" s="17"/>
      <c r="S55" s="6">
        <v>1</v>
      </c>
      <c r="T55" s="17"/>
      <c r="V55" s="8" t="s">
        <v>122</v>
      </c>
      <c r="Z55" s="9"/>
      <c r="AA55" s="22">
        <v>1</v>
      </c>
      <c r="AB55" s="23"/>
      <c r="AC55" s="22">
        <v>2</v>
      </c>
      <c r="AD55" s="23"/>
      <c r="AE55" s="22">
        <v>3</v>
      </c>
      <c r="AF55" s="23"/>
      <c r="AG55" s="22">
        <v>4</v>
      </c>
      <c r="AH55" s="23"/>
      <c r="AI55" s="22">
        <v>5</v>
      </c>
      <c r="AJ55" s="23"/>
      <c r="AK55" s="22">
        <v>6</v>
      </c>
      <c r="AL55" s="23"/>
      <c r="AM55" s="22">
        <v>7</v>
      </c>
      <c r="AN55" s="23"/>
      <c r="AO55" s="22">
        <v>8</v>
      </c>
      <c r="AP55" s="23"/>
      <c r="AQ55" s="22">
        <v>9</v>
      </c>
      <c r="AR55" s="23"/>
      <c r="AS55" s="22">
        <v>10</v>
      </c>
      <c r="AT55" s="23"/>
    </row>
    <row r="56" spans="1:47" x14ac:dyDescent="0.45">
      <c r="A56" s="10" t="s">
        <v>104</v>
      </c>
      <c r="B56" s="17"/>
      <c r="C56" s="6"/>
      <c r="D56" s="17"/>
      <c r="E56" s="6"/>
      <c r="F56" s="17"/>
      <c r="G56" s="6"/>
      <c r="H56" s="17"/>
      <c r="I56" s="6"/>
      <c r="J56" s="17"/>
      <c r="K56" s="6"/>
      <c r="L56" s="17"/>
      <c r="M56" s="6"/>
      <c r="N56" s="17"/>
      <c r="O56" s="6"/>
      <c r="P56" s="17"/>
      <c r="Q56" s="6"/>
      <c r="R56" s="17"/>
      <c r="S56" s="6"/>
      <c r="T56" s="17"/>
      <c r="U56" s="14">
        <v>1</v>
      </c>
      <c r="V56" s="8" t="s">
        <v>122</v>
      </c>
      <c r="Z56" s="7" t="s">
        <v>139</v>
      </c>
      <c r="AA56" s="4">
        <v>-1</v>
      </c>
      <c r="AB56" s="4">
        <v>1</v>
      </c>
      <c r="AC56" s="4">
        <v>-1</v>
      </c>
      <c r="AD56" s="4">
        <v>1</v>
      </c>
      <c r="AE56" s="4">
        <v>-1</v>
      </c>
      <c r="AF56" s="4">
        <v>1</v>
      </c>
      <c r="AG56" s="4">
        <v>-1</v>
      </c>
      <c r="AH56" s="4">
        <v>1</v>
      </c>
      <c r="AI56" s="4">
        <v>-1</v>
      </c>
      <c r="AJ56" s="4">
        <v>1</v>
      </c>
      <c r="AK56" s="4">
        <v>-1</v>
      </c>
      <c r="AL56" s="4">
        <v>1</v>
      </c>
      <c r="AM56" s="4">
        <v>-1</v>
      </c>
      <c r="AN56" s="4">
        <v>1</v>
      </c>
      <c r="AO56" s="4">
        <v>-1</v>
      </c>
      <c r="AP56" s="4">
        <v>1</v>
      </c>
      <c r="AQ56" s="4">
        <v>-1</v>
      </c>
      <c r="AR56" s="4">
        <v>1</v>
      </c>
      <c r="AS56" s="4">
        <v>-1</v>
      </c>
      <c r="AT56" s="4">
        <v>1</v>
      </c>
    </row>
    <row r="57" spans="1:47" x14ac:dyDescent="0.45">
      <c r="A57" s="10" t="s">
        <v>14</v>
      </c>
      <c r="B57" s="17"/>
      <c r="C57" s="6">
        <v>1</v>
      </c>
      <c r="D57" s="17"/>
      <c r="E57" s="6"/>
      <c r="F57" s="17">
        <v>1</v>
      </c>
      <c r="G57" s="6">
        <v>3</v>
      </c>
      <c r="H57" s="17"/>
      <c r="I57" s="6">
        <v>1</v>
      </c>
      <c r="J57" s="17">
        <v>2</v>
      </c>
      <c r="K57" s="6"/>
      <c r="L57" s="17">
        <v>1</v>
      </c>
      <c r="M57" s="6">
        <v>1</v>
      </c>
      <c r="N57" s="17"/>
      <c r="O57" s="6"/>
      <c r="P57" s="17"/>
      <c r="Q57" s="6"/>
      <c r="R57" s="17"/>
      <c r="S57" s="6"/>
      <c r="T57" s="17">
        <v>2</v>
      </c>
      <c r="V57" s="8" t="s">
        <v>122</v>
      </c>
      <c r="Z57" s="10" t="s">
        <v>131</v>
      </c>
      <c r="AA57" s="17">
        <v>1</v>
      </c>
      <c r="AB57" s="6"/>
      <c r="AC57" s="17"/>
      <c r="AD57" s="6"/>
      <c r="AE57" s="17">
        <v>5</v>
      </c>
      <c r="AF57" s="6">
        <v>1</v>
      </c>
      <c r="AG57" s="17">
        <v>3</v>
      </c>
      <c r="AH57" s="6"/>
      <c r="AI57" s="17">
        <v>9</v>
      </c>
      <c r="AJ57" s="6">
        <v>2</v>
      </c>
      <c r="AK57" s="17">
        <v>4</v>
      </c>
      <c r="AL57" s="6">
        <v>3</v>
      </c>
      <c r="AM57" s="17">
        <v>7</v>
      </c>
      <c r="AN57" s="6"/>
      <c r="AO57" s="17">
        <v>2</v>
      </c>
      <c r="AP57" s="6">
        <v>1</v>
      </c>
      <c r="AQ57" s="17"/>
      <c r="AR57" s="6"/>
      <c r="AS57" s="17">
        <v>3</v>
      </c>
      <c r="AT57" s="14">
        <v>2</v>
      </c>
      <c r="AU57" s="8" t="s">
        <v>135</v>
      </c>
    </row>
    <row r="58" spans="1:47" x14ac:dyDescent="0.45">
      <c r="A58" s="10" t="s">
        <v>86</v>
      </c>
      <c r="B58" s="17"/>
      <c r="C58" s="6"/>
      <c r="D58" s="17"/>
      <c r="E58" s="6"/>
      <c r="F58" s="17">
        <v>1</v>
      </c>
      <c r="G58" s="6"/>
      <c r="H58" s="17"/>
      <c r="I58" s="6"/>
      <c r="J58" s="17">
        <v>3</v>
      </c>
      <c r="K58" s="6"/>
      <c r="L58" s="17"/>
      <c r="M58" s="6"/>
      <c r="N58" s="17"/>
      <c r="O58" s="6"/>
      <c r="P58" s="17"/>
      <c r="Q58" s="6"/>
      <c r="R58" s="17"/>
      <c r="S58" s="6"/>
      <c r="T58" s="17">
        <v>5</v>
      </c>
      <c r="V58" s="8" t="s">
        <v>122</v>
      </c>
      <c r="Z58" s="10" t="s">
        <v>209</v>
      </c>
      <c r="AA58" s="17"/>
      <c r="AB58" s="6">
        <v>2</v>
      </c>
      <c r="AC58" s="17"/>
      <c r="AD58" s="6"/>
      <c r="AE58" s="17">
        <v>11</v>
      </c>
      <c r="AF58" s="6"/>
      <c r="AG58" s="17">
        <v>2</v>
      </c>
      <c r="AH58" s="6"/>
      <c r="AI58" s="17">
        <v>3</v>
      </c>
      <c r="AJ58" s="6">
        <v>1</v>
      </c>
      <c r="AK58" s="17">
        <v>1</v>
      </c>
      <c r="AL58" s="6">
        <v>1</v>
      </c>
      <c r="AM58" s="17">
        <v>12</v>
      </c>
      <c r="AN58" s="6"/>
      <c r="AO58" s="17">
        <v>2</v>
      </c>
      <c r="AP58" s="6">
        <v>2</v>
      </c>
      <c r="AQ58" s="17"/>
      <c r="AR58" s="6"/>
      <c r="AS58" s="17">
        <v>8</v>
      </c>
      <c r="AT58" s="14">
        <v>1</v>
      </c>
      <c r="AU58" s="8" t="s">
        <v>135</v>
      </c>
    </row>
    <row r="59" spans="1:47" x14ac:dyDescent="0.45">
      <c r="A59" s="10" t="s">
        <v>72</v>
      </c>
      <c r="B59" s="17"/>
      <c r="C59" s="6"/>
      <c r="D59" s="17"/>
      <c r="E59" s="6"/>
      <c r="F59" s="17">
        <v>1</v>
      </c>
      <c r="G59" s="6"/>
      <c r="H59" s="17">
        <v>1</v>
      </c>
      <c r="I59" s="6">
        <v>1</v>
      </c>
      <c r="J59" s="17">
        <v>9</v>
      </c>
      <c r="K59" s="6"/>
      <c r="L59" s="17"/>
      <c r="M59" s="6">
        <v>1</v>
      </c>
      <c r="N59" s="17"/>
      <c r="O59" s="6"/>
      <c r="P59" s="17">
        <v>2</v>
      </c>
      <c r="Q59" s="6"/>
      <c r="R59" s="17"/>
      <c r="S59" s="6"/>
      <c r="T59" s="17">
        <v>1</v>
      </c>
      <c r="V59" s="8" t="s">
        <v>122</v>
      </c>
      <c r="Z59" s="10" t="s">
        <v>210</v>
      </c>
      <c r="AA59" s="17"/>
      <c r="AB59" s="6">
        <v>2</v>
      </c>
      <c r="AC59" s="17"/>
      <c r="AD59" s="6"/>
      <c r="AE59" s="17">
        <v>9</v>
      </c>
      <c r="AF59" s="6"/>
      <c r="AG59" s="17">
        <v>2</v>
      </c>
      <c r="AH59" s="6"/>
      <c r="AI59" s="17">
        <v>3</v>
      </c>
      <c r="AJ59" s="6">
        <v>1</v>
      </c>
      <c r="AK59" s="17"/>
      <c r="AL59" s="6">
        <v>1</v>
      </c>
      <c r="AM59" s="17">
        <v>9</v>
      </c>
      <c r="AN59" s="6"/>
      <c r="AO59" s="17">
        <v>2</v>
      </c>
      <c r="AP59" s="6">
        <v>3</v>
      </c>
      <c r="AQ59" s="17">
        <v>1</v>
      </c>
      <c r="AR59" s="6"/>
      <c r="AS59" s="17">
        <v>4</v>
      </c>
      <c r="AT59" s="14">
        <v>1</v>
      </c>
      <c r="AU59" s="8" t="s">
        <v>135</v>
      </c>
    </row>
    <row r="60" spans="1:47" x14ac:dyDescent="0.45">
      <c r="A60" s="10" t="s">
        <v>102</v>
      </c>
      <c r="B60" s="17"/>
      <c r="C60" s="6"/>
      <c r="D60" s="17"/>
      <c r="E60" s="6"/>
      <c r="F60" s="17"/>
      <c r="G60" s="6"/>
      <c r="H60" s="17"/>
      <c r="I60" s="6"/>
      <c r="J60" s="17"/>
      <c r="K60" s="6"/>
      <c r="L60" s="17">
        <v>1</v>
      </c>
      <c r="M60" s="6"/>
      <c r="N60" s="17"/>
      <c r="O60" s="6"/>
      <c r="P60" s="17"/>
      <c r="Q60" s="6"/>
      <c r="R60" s="17"/>
      <c r="S60" s="6"/>
      <c r="T60" s="17"/>
      <c r="V60" s="8" t="s">
        <v>122</v>
      </c>
      <c r="Z60" s="10" t="s">
        <v>211</v>
      </c>
      <c r="AA60" s="17"/>
      <c r="AB60" s="6"/>
      <c r="AC60" s="17"/>
      <c r="AD60" s="6"/>
      <c r="AE60" s="17">
        <v>4</v>
      </c>
      <c r="AF60" s="6"/>
      <c r="AG60" s="17">
        <v>1</v>
      </c>
      <c r="AH60" s="6"/>
      <c r="AI60" s="17">
        <v>2</v>
      </c>
      <c r="AJ60" s="6"/>
      <c r="AK60" s="17">
        <v>2</v>
      </c>
      <c r="AL60" s="6"/>
      <c r="AM60" s="17">
        <v>2</v>
      </c>
      <c r="AN60" s="6"/>
      <c r="AO60" s="17">
        <v>2</v>
      </c>
      <c r="AP60" s="6">
        <v>2</v>
      </c>
      <c r="AQ60" s="17"/>
      <c r="AR60" s="6"/>
      <c r="AS60" s="17">
        <v>1</v>
      </c>
      <c r="AT60" s="14"/>
      <c r="AU60" s="8" t="s">
        <v>135</v>
      </c>
    </row>
    <row r="61" spans="1:47" x14ac:dyDescent="0.45">
      <c r="A61" s="10" t="s">
        <v>23</v>
      </c>
      <c r="B61" s="17">
        <v>1</v>
      </c>
      <c r="C61" s="6">
        <v>2</v>
      </c>
      <c r="D61" s="17">
        <v>1</v>
      </c>
      <c r="E61" s="6"/>
      <c r="F61" s="17">
        <v>1</v>
      </c>
      <c r="G61" s="6">
        <v>2</v>
      </c>
      <c r="H61" s="17">
        <v>2</v>
      </c>
      <c r="I61" s="6"/>
      <c r="J61" s="17">
        <v>11</v>
      </c>
      <c r="K61" s="6">
        <v>1</v>
      </c>
      <c r="L61" s="17">
        <v>1</v>
      </c>
      <c r="M61" s="6"/>
      <c r="N61" s="17">
        <v>2</v>
      </c>
      <c r="O61" s="6">
        <v>1</v>
      </c>
      <c r="P61" s="17">
        <v>1</v>
      </c>
      <c r="Q61" s="6">
        <v>2</v>
      </c>
      <c r="R61" s="17"/>
      <c r="S61" s="6"/>
      <c r="T61" s="17">
        <v>1</v>
      </c>
      <c r="U61" s="14">
        <v>3</v>
      </c>
      <c r="V61" s="8" t="s">
        <v>120</v>
      </c>
      <c r="Z61" s="10" t="s">
        <v>101</v>
      </c>
      <c r="AA61" s="17"/>
      <c r="AB61" s="6"/>
      <c r="AC61" s="17"/>
      <c r="AD61" s="6"/>
      <c r="AE61" s="17">
        <v>2</v>
      </c>
      <c r="AF61" s="6"/>
      <c r="AG61" s="17"/>
      <c r="AH61" s="6"/>
      <c r="AI61" s="17"/>
      <c r="AJ61" s="6"/>
      <c r="AK61" s="17"/>
      <c r="AL61" s="6"/>
      <c r="AM61" s="17"/>
      <c r="AN61" s="6"/>
      <c r="AO61" s="17"/>
      <c r="AP61" s="6">
        <v>2</v>
      </c>
      <c r="AQ61" s="17"/>
      <c r="AR61" s="6"/>
      <c r="AS61" s="17"/>
      <c r="AT61" s="14"/>
      <c r="AU61" s="8" t="s">
        <v>135</v>
      </c>
    </row>
    <row r="62" spans="1:47" x14ac:dyDescent="0.45">
      <c r="A62" s="10" t="s">
        <v>16</v>
      </c>
      <c r="B62" s="17"/>
      <c r="C62" s="6">
        <v>1</v>
      </c>
      <c r="D62" s="17"/>
      <c r="E62" s="6"/>
      <c r="F62" s="17"/>
      <c r="G62" s="6"/>
      <c r="H62" s="17">
        <v>1</v>
      </c>
      <c r="I62" s="6">
        <v>1</v>
      </c>
      <c r="J62" s="17">
        <v>2</v>
      </c>
      <c r="K62" s="6"/>
      <c r="L62" s="17"/>
      <c r="M62" s="6">
        <v>1</v>
      </c>
      <c r="N62" s="17">
        <v>1</v>
      </c>
      <c r="O62" s="6"/>
      <c r="P62" s="17">
        <v>1</v>
      </c>
      <c r="Q62" s="6"/>
      <c r="R62" s="17"/>
      <c r="S62" s="6"/>
      <c r="T62" s="17">
        <v>2</v>
      </c>
      <c r="V62" s="8" t="s">
        <v>126</v>
      </c>
      <c r="Z62" s="10" t="s">
        <v>24</v>
      </c>
      <c r="AA62" s="17">
        <v>1</v>
      </c>
      <c r="AB62" s="6">
        <v>1</v>
      </c>
      <c r="AC62" s="17">
        <v>1</v>
      </c>
      <c r="AD62" s="6"/>
      <c r="AE62" s="17">
        <v>7</v>
      </c>
      <c r="AF62" s="6">
        <v>4</v>
      </c>
      <c r="AG62" s="17">
        <v>2</v>
      </c>
      <c r="AH62" s="6"/>
      <c r="AI62" s="17">
        <v>7</v>
      </c>
      <c r="AJ62" s="6"/>
      <c r="AK62" s="17"/>
      <c r="AL62" s="6"/>
      <c r="AM62" s="17">
        <v>5</v>
      </c>
      <c r="AN62" s="6"/>
      <c r="AO62" s="17">
        <v>1</v>
      </c>
      <c r="AP62" s="6">
        <v>1</v>
      </c>
      <c r="AQ62" s="17"/>
      <c r="AR62" s="6"/>
      <c r="AS62" s="17">
        <v>1</v>
      </c>
      <c r="AT62" s="14"/>
      <c r="AU62" s="8" t="s">
        <v>135</v>
      </c>
    </row>
    <row r="63" spans="1:47" x14ac:dyDescent="0.45">
      <c r="A63" s="10" t="s">
        <v>74</v>
      </c>
      <c r="B63" s="17"/>
      <c r="C63" s="6"/>
      <c r="D63" s="17"/>
      <c r="E63" s="6"/>
      <c r="F63" s="17">
        <v>1</v>
      </c>
      <c r="G63" s="6">
        <v>1</v>
      </c>
      <c r="H63" s="17"/>
      <c r="I63" s="6"/>
      <c r="J63" s="17">
        <v>5</v>
      </c>
      <c r="K63" s="6"/>
      <c r="L63" s="17">
        <v>1</v>
      </c>
      <c r="M63" s="6">
        <v>2</v>
      </c>
      <c r="N63" s="17">
        <v>3</v>
      </c>
      <c r="O63" s="6"/>
      <c r="P63" s="17">
        <v>1</v>
      </c>
      <c r="Q63" s="6"/>
      <c r="R63" s="17">
        <v>1</v>
      </c>
      <c r="S63" s="6"/>
      <c r="T63" s="17">
        <v>1</v>
      </c>
      <c r="V63" s="8" t="s">
        <v>126</v>
      </c>
      <c r="Z63" s="10" t="s">
        <v>83</v>
      </c>
      <c r="AA63" s="17">
        <v>1</v>
      </c>
      <c r="AB63" s="6"/>
      <c r="AC63" s="17"/>
      <c r="AD63" s="6"/>
      <c r="AE63" s="17">
        <v>5</v>
      </c>
      <c r="AF63" s="6"/>
      <c r="AG63" s="17">
        <v>1</v>
      </c>
      <c r="AH63" s="6"/>
      <c r="AI63" s="17">
        <v>6</v>
      </c>
      <c r="AJ63" s="6">
        <v>2</v>
      </c>
      <c r="AK63" s="17">
        <v>5</v>
      </c>
      <c r="AL63" s="6">
        <v>2</v>
      </c>
      <c r="AM63" s="17">
        <v>4</v>
      </c>
      <c r="AN63" s="6"/>
      <c r="AO63" s="17">
        <v>1</v>
      </c>
      <c r="AP63" s="6">
        <v>2</v>
      </c>
      <c r="AQ63" s="17"/>
      <c r="AR63" s="6"/>
      <c r="AS63" s="17">
        <v>3</v>
      </c>
      <c r="AT63" s="14"/>
      <c r="AU63" s="8" t="s">
        <v>135</v>
      </c>
    </row>
    <row r="64" spans="1:47" x14ac:dyDescent="0.45">
      <c r="A64" s="10" t="s">
        <v>75</v>
      </c>
      <c r="B64" s="17"/>
      <c r="C64" s="6"/>
      <c r="D64" s="17"/>
      <c r="E64" s="6"/>
      <c r="F64" s="17">
        <v>1</v>
      </c>
      <c r="G64" s="6"/>
      <c r="H64" s="17"/>
      <c r="I64" s="6"/>
      <c r="J64" s="17"/>
      <c r="K64" s="6"/>
      <c r="L64" s="17"/>
      <c r="M64" s="6"/>
      <c r="N64" s="17"/>
      <c r="O64" s="6"/>
      <c r="P64" s="17"/>
      <c r="Q64" s="6"/>
      <c r="R64" s="17">
        <v>1</v>
      </c>
      <c r="S64" s="6"/>
      <c r="T64" s="17">
        <v>1</v>
      </c>
      <c r="U64" s="14">
        <v>1</v>
      </c>
      <c r="V64" s="8" t="s">
        <v>126</v>
      </c>
      <c r="Z64" s="10" t="s">
        <v>134</v>
      </c>
      <c r="AA64" s="17"/>
      <c r="AB64" s="6"/>
      <c r="AC64" s="17">
        <v>1</v>
      </c>
      <c r="AD64" s="6"/>
      <c r="AE64" s="17">
        <v>2</v>
      </c>
      <c r="AF64" s="6">
        <v>2</v>
      </c>
      <c r="AG64" s="17">
        <v>2</v>
      </c>
      <c r="AH64" s="6"/>
      <c r="AI64" s="17">
        <v>6</v>
      </c>
      <c r="AJ64" s="6"/>
      <c r="AK64" s="17"/>
      <c r="AL64" s="6">
        <v>2</v>
      </c>
      <c r="AM64" s="17"/>
      <c r="AN64" s="6"/>
      <c r="AO64" s="17"/>
      <c r="AP64" s="6">
        <v>1</v>
      </c>
      <c r="AQ64" s="17"/>
      <c r="AR64" s="6">
        <v>1</v>
      </c>
      <c r="AS64" s="17"/>
      <c r="AT64" s="14"/>
      <c r="AU64" s="8" t="s">
        <v>135</v>
      </c>
    </row>
    <row r="65" spans="1:47" x14ac:dyDescent="0.45">
      <c r="A65" s="10" t="s">
        <v>59</v>
      </c>
      <c r="B65" s="17"/>
      <c r="C65" s="6"/>
      <c r="D65" s="17"/>
      <c r="E65" s="6"/>
      <c r="F65" s="17">
        <v>2</v>
      </c>
      <c r="G65" s="6">
        <v>2</v>
      </c>
      <c r="H65" s="17">
        <v>1</v>
      </c>
      <c r="I65" s="6"/>
      <c r="J65" s="17">
        <v>2</v>
      </c>
      <c r="K65" s="6"/>
      <c r="L65" s="17">
        <v>1</v>
      </c>
      <c r="M65" s="6">
        <v>1</v>
      </c>
      <c r="N65" s="17"/>
      <c r="O65" s="6"/>
      <c r="P65" s="17"/>
      <c r="Q65" s="6"/>
      <c r="R65" s="17"/>
      <c r="S65" s="6"/>
      <c r="T65" s="17">
        <v>1</v>
      </c>
      <c r="U65" s="14">
        <v>1</v>
      </c>
      <c r="V65" s="8" t="s">
        <v>126</v>
      </c>
    </row>
    <row r="66" spans="1:47" x14ac:dyDescent="0.45">
      <c r="A66" s="10" t="s">
        <v>93</v>
      </c>
      <c r="B66" s="17"/>
      <c r="C66" s="6"/>
      <c r="D66" s="17"/>
      <c r="E66" s="6"/>
      <c r="F66" s="17"/>
      <c r="G66" s="6"/>
      <c r="H66" s="17"/>
      <c r="I66" s="6"/>
      <c r="J66" s="17"/>
      <c r="K66" s="6"/>
      <c r="L66" s="17"/>
      <c r="M66" s="6"/>
      <c r="N66" s="17">
        <v>1</v>
      </c>
      <c r="O66" s="6"/>
      <c r="P66" s="17"/>
      <c r="Q66" s="6"/>
      <c r="R66" s="17"/>
      <c r="S66" s="6"/>
      <c r="T66" s="17"/>
      <c r="V66" s="8" t="s">
        <v>126</v>
      </c>
    </row>
    <row r="67" spans="1:47" x14ac:dyDescent="0.45">
      <c r="A67" s="10" t="s">
        <v>17</v>
      </c>
      <c r="B67" s="17"/>
      <c r="C67" s="6">
        <v>1</v>
      </c>
      <c r="D67" s="17"/>
      <c r="E67" s="6"/>
      <c r="F67" s="17">
        <v>1</v>
      </c>
      <c r="G67" s="6">
        <v>1</v>
      </c>
      <c r="H67" s="17"/>
      <c r="I67" s="6"/>
      <c r="J67" s="17">
        <v>2</v>
      </c>
      <c r="K67" s="6">
        <v>1</v>
      </c>
      <c r="L67" s="17">
        <v>1</v>
      </c>
      <c r="M67" s="6"/>
      <c r="N67" s="17"/>
      <c r="O67" s="6"/>
      <c r="P67" s="17">
        <v>1</v>
      </c>
      <c r="Q67" s="6"/>
      <c r="R67" s="17">
        <v>1</v>
      </c>
      <c r="S67" s="6"/>
      <c r="T67" s="17">
        <v>2</v>
      </c>
      <c r="U67" s="14">
        <v>2</v>
      </c>
      <c r="V67" s="8" t="s">
        <v>126</v>
      </c>
    </row>
    <row r="68" spans="1:47" ht="14.65" thickBot="1" x14ac:dyDescent="0.5">
      <c r="A68" s="10" t="s">
        <v>5</v>
      </c>
      <c r="B68" s="17"/>
      <c r="C68" s="6">
        <v>4</v>
      </c>
      <c r="D68" s="17"/>
      <c r="E68" s="6">
        <v>1</v>
      </c>
      <c r="F68" s="17">
        <v>2</v>
      </c>
      <c r="G68" s="6"/>
      <c r="H68" s="17"/>
      <c r="I68" s="6"/>
      <c r="J68" s="17">
        <v>3</v>
      </c>
      <c r="K68" s="6"/>
      <c r="L68" s="17">
        <v>1</v>
      </c>
      <c r="M68" s="6">
        <v>2</v>
      </c>
      <c r="N68" s="17">
        <v>1</v>
      </c>
      <c r="O68" s="6"/>
      <c r="P68" s="17">
        <v>2</v>
      </c>
      <c r="Q68" s="6">
        <v>1</v>
      </c>
      <c r="R68" s="17">
        <v>3</v>
      </c>
      <c r="S68" s="6"/>
      <c r="T68" s="17">
        <v>1</v>
      </c>
      <c r="U68" s="14">
        <v>1</v>
      </c>
      <c r="V68" s="8" t="s">
        <v>126</v>
      </c>
      <c r="Z68" s="9"/>
      <c r="AA68" s="22">
        <v>1</v>
      </c>
      <c r="AB68" s="23"/>
      <c r="AC68" s="22">
        <v>2</v>
      </c>
      <c r="AD68" s="23"/>
      <c r="AE68" s="22">
        <v>3</v>
      </c>
      <c r="AF68" s="23"/>
      <c r="AG68" s="22">
        <v>4</v>
      </c>
      <c r="AH68" s="23"/>
      <c r="AI68" s="22">
        <v>5</v>
      </c>
      <c r="AJ68" s="23"/>
      <c r="AK68" s="22">
        <v>6</v>
      </c>
      <c r="AL68" s="23"/>
      <c r="AM68" s="22">
        <v>7</v>
      </c>
      <c r="AN68" s="23"/>
      <c r="AO68" s="22">
        <v>8</v>
      </c>
      <c r="AP68" s="23"/>
      <c r="AQ68" s="22">
        <v>9</v>
      </c>
      <c r="AR68" s="23"/>
      <c r="AS68" s="22">
        <v>10</v>
      </c>
      <c r="AT68" s="23"/>
    </row>
    <row r="69" spans="1:47" x14ac:dyDescent="0.45">
      <c r="A69" s="10" t="s">
        <v>41</v>
      </c>
      <c r="B69" s="17"/>
      <c r="C69" s="6"/>
      <c r="D69" s="17">
        <v>1</v>
      </c>
      <c r="E69" s="6"/>
      <c r="F69" s="17">
        <v>1</v>
      </c>
      <c r="G69" s="6"/>
      <c r="H69" s="17"/>
      <c r="I69" s="6"/>
      <c r="J69" s="17">
        <v>1</v>
      </c>
      <c r="K69" s="6"/>
      <c r="L69" s="17"/>
      <c r="M69" s="6"/>
      <c r="N69" s="17">
        <v>2</v>
      </c>
      <c r="O69" s="6">
        <v>1</v>
      </c>
      <c r="P69" s="17">
        <v>1</v>
      </c>
      <c r="Q69" s="6">
        <v>1</v>
      </c>
      <c r="R69" s="17"/>
      <c r="S69" s="6"/>
      <c r="T69" s="17">
        <v>2</v>
      </c>
      <c r="V69" s="8" t="s">
        <v>126</v>
      </c>
      <c r="Z69" s="7" t="s">
        <v>139</v>
      </c>
      <c r="AA69" s="4">
        <v>-1</v>
      </c>
      <c r="AB69" s="4">
        <v>1</v>
      </c>
      <c r="AC69" s="4">
        <v>-1</v>
      </c>
      <c r="AD69" s="4">
        <v>1</v>
      </c>
      <c r="AE69" s="4">
        <v>-1</v>
      </c>
      <c r="AF69" s="4">
        <v>1</v>
      </c>
      <c r="AG69" s="4">
        <v>-1</v>
      </c>
      <c r="AH69" s="4">
        <v>1</v>
      </c>
      <c r="AI69" s="4">
        <v>-1</v>
      </c>
      <c r="AJ69" s="4">
        <v>1</v>
      </c>
      <c r="AK69" s="4">
        <v>-1</v>
      </c>
      <c r="AL69" s="4">
        <v>1</v>
      </c>
      <c r="AM69" s="4">
        <v>-1</v>
      </c>
      <c r="AN69" s="4">
        <v>1</v>
      </c>
      <c r="AO69" s="4">
        <v>-1</v>
      </c>
      <c r="AP69" s="4">
        <v>1</v>
      </c>
      <c r="AQ69" s="4">
        <v>-1</v>
      </c>
      <c r="AR69" s="4">
        <v>1</v>
      </c>
      <c r="AS69" s="4">
        <v>-1</v>
      </c>
      <c r="AT69" s="4">
        <v>1</v>
      </c>
    </row>
    <row r="70" spans="1:47" x14ac:dyDescent="0.45">
      <c r="A70" s="10" t="s">
        <v>51</v>
      </c>
      <c r="B70" s="17">
        <v>1</v>
      </c>
      <c r="C70" s="6"/>
      <c r="D70" s="17"/>
      <c r="E70" s="6"/>
      <c r="F70" s="17">
        <v>2</v>
      </c>
      <c r="G70" s="6">
        <v>1</v>
      </c>
      <c r="H70" s="17">
        <v>1</v>
      </c>
      <c r="I70" s="6"/>
      <c r="J70" s="17"/>
      <c r="K70" s="6">
        <v>1</v>
      </c>
      <c r="L70" s="17"/>
      <c r="M70" s="6"/>
      <c r="N70" s="17"/>
      <c r="O70" s="6">
        <v>1</v>
      </c>
      <c r="P70" s="17"/>
      <c r="Q70" s="6"/>
      <c r="R70" s="17"/>
      <c r="S70" s="6"/>
      <c r="T70" s="17">
        <v>2</v>
      </c>
      <c r="U70" s="14">
        <v>2</v>
      </c>
      <c r="V70" s="8" t="s">
        <v>126</v>
      </c>
      <c r="Z70" t="s">
        <v>212</v>
      </c>
      <c r="AB70">
        <v>1</v>
      </c>
      <c r="AE70">
        <v>1</v>
      </c>
      <c r="AG70">
        <v>1</v>
      </c>
      <c r="AH70">
        <v>1</v>
      </c>
      <c r="AI70">
        <v>6</v>
      </c>
      <c r="AK70">
        <v>1</v>
      </c>
      <c r="AL70">
        <v>1</v>
      </c>
      <c r="AM70">
        <v>4</v>
      </c>
      <c r="AQ70">
        <v>1</v>
      </c>
      <c r="AS70">
        <v>7</v>
      </c>
      <c r="AU70" t="s">
        <v>125</v>
      </c>
    </row>
    <row r="71" spans="1:47" x14ac:dyDescent="0.45">
      <c r="A71" s="10" t="s">
        <v>88</v>
      </c>
      <c r="B71" s="17"/>
      <c r="C71" s="6"/>
      <c r="D71" s="17"/>
      <c r="E71" s="6"/>
      <c r="F71" s="17"/>
      <c r="G71" s="6"/>
      <c r="H71" s="17"/>
      <c r="I71" s="6"/>
      <c r="J71" s="17">
        <v>4</v>
      </c>
      <c r="K71" s="6"/>
      <c r="L71" s="17"/>
      <c r="M71" s="6">
        <v>2</v>
      </c>
      <c r="N71" s="17">
        <v>2</v>
      </c>
      <c r="O71" s="6"/>
      <c r="P71" s="17"/>
      <c r="Q71" s="6">
        <v>1</v>
      </c>
      <c r="R71" s="17">
        <v>1</v>
      </c>
      <c r="S71" s="6"/>
      <c r="T71" s="17">
        <v>1</v>
      </c>
      <c r="U71" s="14">
        <v>1</v>
      </c>
      <c r="V71" s="8" t="s">
        <v>126</v>
      </c>
      <c r="Z71" t="s">
        <v>213</v>
      </c>
      <c r="AC71">
        <v>1</v>
      </c>
      <c r="AI71">
        <v>7</v>
      </c>
      <c r="AL71">
        <v>1</v>
      </c>
      <c r="AM71">
        <v>3</v>
      </c>
      <c r="AN71">
        <v>1</v>
      </c>
      <c r="AO71">
        <v>1</v>
      </c>
      <c r="AP71">
        <v>1</v>
      </c>
      <c r="AS71">
        <v>7</v>
      </c>
      <c r="AT71">
        <v>1</v>
      </c>
      <c r="AU71" t="s">
        <v>125</v>
      </c>
    </row>
    <row r="72" spans="1:47" x14ac:dyDescent="0.45">
      <c r="A72" s="10" t="s">
        <v>29</v>
      </c>
      <c r="B72" s="17"/>
      <c r="C72" s="6"/>
      <c r="D72" s="17">
        <v>1</v>
      </c>
      <c r="E72" s="6">
        <v>2</v>
      </c>
      <c r="F72" s="17">
        <v>3</v>
      </c>
      <c r="G72" s="6">
        <v>1</v>
      </c>
      <c r="H72" s="17">
        <v>2</v>
      </c>
      <c r="I72" s="6"/>
      <c r="J72" s="17">
        <v>7</v>
      </c>
      <c r="K72" s="6"/>
      <c r="L72" s="17">
        <v>2</v>
      </c>
      <c r="M72" s="6">
        <v>1</v>
      </c>
      <c r="N72" s="17">
        <v>6</v>
      </c>
      <c r="O72" s="6">
        <v>1</v>
      </c>
      <c r="P72" s="17"/>
      <c r="Q72" s="6"/>
      <c r="R72" s="17"/>
      <c r="S72" s="6"/>
      <c r="T72" s="17">
        <v>6</v>
      </c>
      <c r="U72" s="14">
        <v>1</v>
      </c>
      <c r="V72" s="8" t="s">
        <v>132</v>
      </c>
      <c r="Z72" t="s">
        <v>214</v>
      </c>
      <c r="AA72">
        <v>1</v>
      </c>
      <c r="AI72">
        <v>5</v>
      </c>
      <c r="AL72">
        <v>1</v>
      </c>
      <c r="AQ72">
        <v>1</v>
      </c>
      <c r="AS72">
        <v>1</v>
      </c>
      <c r="AT72">
        <v>1</v>
      </c>
      <c r="AU72" t="s">
        <v>125</v>
      </c>
    </row>
    <row r="73" spans="1:47" x14ac:dyDescent="0.45">
      <c r="A73" s="10" t="s">
        <v>11</v>
      </c>
      <c r="B73" s="17">
        <v>1</v>
      </c>
      <c r="C73" s="6">
        <v>1</v>
      </c>
      <c r="D73" s="17">
        <v>1</v>
      </c>
      <c r="E73" s="6"/>
      <c r="F73" s="17">
        <v>4</v>
      </c>
      <c r="G73" s="6">
        <v>2</v>
      </c>
      <c r="H73" s="17">
        <v>1</v>
      </c>
      <c r="I73" s="6">
        <v>2</v>
      </c>
      <c r="J73" s="17">
        <v>4</v>
      </c>
      <c r="K73" s="6">
        <v>1</v>
      </c>
      <c r="L73" s="17">
        <v>3</v>
      </c>
      <c r="M73" s="6">
        <v>3</v>
      </c>
      <c r="N73" s="17">
        <v>4</v>
      </c>
      <c r="O73" s="6">
        <v>1</v>
      </c>
      <c r="P73" s="17"/>
      <c r="Q73" s="6">
        <v>1</v>
      </c>
      <c r="R73" s="17"/>
      <c r="S73" s="6"/>
      <c r="T73" s="17">
        <v>4</v>
      </c>
      <c r="U73" s="14">
        <v>1</v>
      </c>
      <c r="V73" s="8" t="s">
        <v>132</v>
      </c>
      <c r="Z73" t="s">
        <v>215</v>
      </c>
      <c r="AI73">
        <v>1</v>
      </c>
      <c r="AS73">
        <v>1</v>
      </c>
      <c r="AT73">
        <v>1</v>
      </c>
      <c r="AU73" t="s">
        <v>125</v>
      </c>
    </row>
    <row r="74" spans="1:47" x14ac:dyDescent="0.45">
      <c r="A74" s="10" t="s">
        <v>60</v>
      </c>
      <c r="B74" s="17">
        <v>1</v>
      </c>
      <c r="C74" s="6"/>
      <c r="D74" s="17"/>
      <c r="E74" s="6"/>
      <c r="F74" s="17">
        <v>5</v>
      </c>
      <c r="G74" s="6">
        <v>1</v>
      </c>
      <c r="H74" s="17">
        <v>3</v>
      </c>
      <c r="I74" s="6"/>
      <c r="J74" s="17">
        <v>9</v>
      </c>
      <c r="K74" s="6">
        <v>2</v>
      </c>
      <c r="L74" s="17">
        <v>4</v>
      </c>
      <c r="M74" s="6">
        <v>3</v>
      </c>
      <c r="N74" s="17">
        <v>7</v>
      </c>
      <c r="O74" s="6"/>
      <c r="P74" s="17">
        <v>2</v>
      </c>
      <c r="Q74" s="6">
        <v>1</v>
      </c>
      <c r="R74" s="17"/>
      <c r="S74" s="6"/>
      <c r="T74" s="17">
        <v>3</v>
      </c>
      <c r="U74" s="14">
        <v>2</v>
      </c>
      <c r="V74" s="8" t="s">
        <v>135</v>
      </c>
      <c r="Z74" t="s">
        <v>216</v>
      </c>
      <c r="AB74">
        <v>1</v>
      </c>
      <c r="AF74">
        <v>3</v>
      </c>
      <c r="AH74">
        <v>1</v>
      </c>
      <c r="AI74">
        <v>4</v>
      </c>
      <c r="AK74">
        <v>1</v>
      </c>
      <c r="AL74">
        <v>2</v>
      </c>
      <c r="AO74">
        <v>1</v>
      </c>
      <c r="AQ74">
        <v>1</v>
      </c>
      <c r="AS74">
        <v>3</v>
      </c>
      <c r="AU74" t="s">
        <v>125</v>
      </c>
    </row>
    <row r="75" spans="1:47" x14ac:dyDescent="0.45">
      <c r="A75" s="10" t="s">
        <v>19</v>
      </c>
      <c r="B75" s="17"/>
      <c r="C75" s="6">
        <v>2</v>
      </c>
      <c r="D75" s="17"/>
      <c r="E75" s="6"/>
      <c r="F75" s="17">
        <v>11</v>
      </c>
      <c r="G75" s="6"/>
      <c r="H75" s="17">
        <v>2</v>
      </c>
      <c r="I75" s="6"/>
      <c r="J75" s="17">
        <v>3</v>
      </c>
      <c r="K75" s="6">
        <v>1</v>
      </c>
      <c r="L75" s="17">
        <v>1</v>
      </c>
      <c r="M75" s="6">
        <v>1</v>
      </c>
      <c r="N75" s="17">
        <v>12</v>
      </c>
      <c r="O75" s="6"/>
      <c r="P75" s="17">
        <v>2</v>
      </c>
      <c r="Q75" s="6">
        <v>2</v>
      </c>
      <c r="R75" s="17"/>
      <c r="S75" s="6"/>
      <c r="T75" s="17">
        <v>8</v>
      </c>
      <c r="U75" s="14">
        <v>1</v>
      </c>
      <c r="V75" s="8" t="s">
        <v>135</v>
      </c>
      <c r="Z75" t="s">
        <v>217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I75">
        <v>3</v>
      </c>
      <c r="AM75">
        <v>2</v>
      </c>
      <c r="AN75">
        <v>1</v>
      </c>
      <c r="AP75">
        <v>1</v>
      </c>
      <c r="AS75">
        <v>8</v>
      </c>
      <c r="AU75" t="s">
        <v>125</v>
      </c>
    </row>
    <row r="76" spans="1:47" x14ac:dyDescent="0.45">
      <c r="A76" s="10" t="s">
        <v>20</v>
      </c>
      <c r="B76" s="17"/>
      <c r="C76" s="6">
        <v>2</v>
      </c>
      <c r="D76" s="17"/>
      <c r="E76" s="6"/>
      <c r="F76" s="17">
        <v>9</v>
      </c>
      <c r="G76" s="6"/>
      <c r="H76" s="17">
        <v>2</v>
      </c>
      <c r="I76" s="6"/>
      <c r="J76" s="17">
        <v>3</v>
      </c>
      <c r="K76" s="6">
        <v>1</v>
      </c>
      <c r="L76" s="17"/>
      <c r="M76" s="6">
        <v>1</v>
      </c>
      <c r="N76" s="17">
        <v>9</v>
      </c>
      <c r="O76" s="6"/>
      <c r="P76" s="17">
        <v>2</v>
      </c>
      <c r="Q76" s="6">
        <v>3</v>
      </c>
      <c r="R76" s="17">
        <v>1</v>
      </c>
      <c r="S76" s="6"/>
      <c r="T76" s="17">
        <v>4</v>
      </c>
      <c r="U76" s="14">
        <v>1</v>
      </c>
      <c r="V76" s="8" t="s">
        <v>135</v>
      </c>
      <c r="Z76" t="s">
        <v>218</v>
      </c>
      <c r="AE76">
        <v>2</v>
      </c>
      <c r="AF76">
        <v>1</v>
      </c>
      <c r="AG76">
        <v>1</v>
      </c>
      <c r="AI76">
        <v>4</v>
      </c>
      <c r="AL76">
        <v>1</v>
      </c>
      <c r="AM76">
        <v>3</v>
      </c>
      <c r="AQ76">
        <v>1</v>
      </c>
      <c r="AS76">
        <v>5</v>
      </c>
      <c r="AT76">
        <v>1</v>
      </c>
      <c r="AU76" t="s">
        <v>125</v>
      </c>
    </row>
    <row r="77" spans="1:47" x14ac:dyDescent="0.45">
      <c r="A77" s="10" t="s">
        <v>80</v>
      </c>
      <c r="B77" s="17"/>
      <c r="C77" s="6"/>
      <c r="D77" s="17"/>
      <c r="E77" s="6"/>
      <c r="F77" s="17">
        <v>4</v>
      </c>
      <c r="G77" s="6"/>
      <c r="H77" s="17">
        <v>1</v>
      </c>
      <c r="I77" s="6"/>
      <c r="J77" s="17">
        <v>2</v>
      </c>
      <c r="K77" s="6"/>
      <c r="L77" s="17">
        <v>2</v>
      </c>
      <c r="M77" s="6"/>
      <c r="N77" s="17">
        <v>2</v>
      </c>
      <c r="O77" s="6"/>
      <c r="P77" s="17">
        <v>2</v>
      </c>
      <c r="Q77" s="6">
        <v>2</v>
      </c>
      <c r="R77" s="17"/>
      <c r="S77" s="6"/>
      <c r="T77" s="17">
        <v>1</v>
      </c>
      <c r="V77" s="8" t="s">
        <v>135</v>
      </c>
      <c r="Z77" t="s">
        <v>219</v>
      </c>
      <c r="AF77">
        <v>1</v>
      </c>
      <c r="AO77">
        <v>1</v>
      </c>
      <c r="AS77">
        <v>2</v>
      </c>
      <c r="AU77" t="s">
        <v>125</v>
      </c>
    </row>
    <row r="78" spans="1:47" x14ac:dyDescent="0.45">
      <c r="A78" s="10" t="s">
        <v>101</v>
      </c>
      <c r="B78" s="17"/>
      <c r="C78" s="6"/>
      <c r="D78" s="17"/>
      <c r="E78" s="6"/>
      <c r="F78" s="17">
        <v>2</v>
      </c>
      <c r="G78" s="6"/>
      <c r="H78" s="17"/>
      <c r="I78" s="6"/>
      <c r="J78" s="17"/>
      <c r="K78" s="6"/>
      <c r="L78" s="17"/>
      <c r="M78" s="6"/>
      <c r="N78" s="17"/>
      <c r="O78" s="6"/>
      <c r="P78" s="17"/>
      <c r="Q78" s="6">
        <v>2</v>
      </c>
      <c r="R78" s="17"/>
      <c r="S78" s="6"/>
      <c r="T78" s="17"/>
      <c r="V78" s="8" t="s">
        <v>135</v>
      </c>
      <c r="Z78" t="s">
        <v>220</v>
      </c>
      <c r="AB78">
        <v>1</v>
      </c>
      <c r="AE78">
        <v>1</v>
      </c>
      <c r="AH78">
        <v>1</v>
      </c>
      <c r="AI78">
        <v>4</v>
      </c>
      <c r="AK78">
        <v>1</v>
      </c>
      <c r="AL78">
        <v>1</v>
      </c>
      <c r="AM78">
        <v>2</v>
      </c>
      <c r="AS78">
        <v>7</v>
      </c>
      <c r="AU78" t="s">
        <v>125</v>
      </c>
    </row>
    <row r="79" spans="1:47" x14ac:dyDescent="0.45">
      <c r="A79" s="10" t="s">
        <v>24</v>
      </c>
      <c r="B79" s="17">
        <v>1</v>
      </c>
      <c r="C79" s="6">
        <v>1</v>
      </c>
      <c r="D79" s="17">
        <v>1</v>
      </c>
      <c r="E79" s="6"/>
      <c r="F79" s="17">
        <v>7</v>
      </c>
      <c r="G79" s="6">
        <v>4</v>
      </c>
      <c r="H79" s="17">
        <v>2</v>
      </c>
      <c r="I79" s="6"/>
      <c r="J79" s="17">
        <v>7</v>
      </c>
      <c r="K79" s="6"/>
      <c r="L79" s="17"/>
      <c r="M79" s="6"/>
      <c r="N79" s="17">
        <v>5</v>
      </c>
      <c r="O79" s="6"/>
      <c r="P79" s="17">
        <v>1</v>
      </c>
      <c r="Q79" s="6">
        <v>1</v>
      </c>
      <c r="R79" s="17"/>
      <c r="S79" s="6"/>
      <c r="T79" s="17">
        <v>1</v>
      </c>
      <c r="V79" s="8" t="s">
        <v>135</v>
      </c>
      <c r="Z79" t="s">
        <v>221</v>
      </c>
      <c r="AE79">
        <v>2</v>
      </c>
      <c r="AF79">
        <v>2</v>
      </c>
      <c r="AI79">
        <v>1</v>
      </c>
      <c r="AM79">
        <v>1</v>
      </c>
      <c r="AQ79">
        <v>1</v>
      </c>
      <c r="AS79">
        <v>3</v>
      </c>
      <c r="AU79" t="s">
        <v>125</v>
      </c>
    </row>
    <row r="80" spans="1:47" x14ac:dyDescent="0.45">
      <c r="A80" s="10" t="s">
        <v>83</v>
      </c>
      <c r="B80" s="17">
        <v>1</v>
      </c>
      <c r="C80" s="6"/>
      <c r="D80" s="17"/>
      <c r="E80" s="6"/>
      <c r="F80" s="17">
        <v>5</v>
      </c>
      <c r="G80" s="6"/>
      <c r="H80" s="17">
        <v>1</v>
      </c>
      <c r="I80" s="6"/>
      <c r="J80" s="17">
        <v>6</v>
      </c>
      <c r="K80" s="6">
        <v>2</v>
      </c>
      <c r="L80" s="17">
        <v>5</v>
      </c>
      <c r="M80" s="6">
        <v>2</v>
      </c>
      <c r="N80" s="17">
        <v>4</v>
      </c>
      <c r="O80" s="6"/>
      <c r="P80" s="17">
        <v>1</v>
      </c>
      <c r="Q80" s="6">
        <v>2</v>
      </c>
      <c r="R80" s="17"/>
      <c r="S80" s="6"/>
      <c r="T80" s="17">
        <v>3</v>
      </c>
      <c r="V80" s="8" t="s">
        <v>135</v>
      </c>
      <c r="Z80" t="s">
        <v>222</v>
      </c>
      <c r="AI80">
        <v>3</v>
      </c>
      <c r="AS80">
        <v>3</v>
      </c>
      <c r="AU80" t="s">
        <v>125</v>
      </c>
    </row>
    <row r="81" spans="1:47" x14ac:dyDescent="0.45">
      <c r="A81" s="10" t="s">
        <v>43</v>
      </c>
      <c r="B81" s="17"/>
      <c r="C81" s="6"/>
      <c r="D81" s="17">
        <v>1</v>
      </c>
      <c r="E81" s="6"/>
      <c r="F81" s="17">
        <v>2</v>
      </c>
      <c r="G81" s="6">
        <v>2</v>
      </c>
      <c r="H81" s="17">
        <v>2</v>
      </c>
      <c r="I81" s="6"/>
      <c r="J81" s="17">
        <v>6</v>
      </c>
      <c r="K81" s="6"/>
      <c r="L81" s="17"/>
      <c r="M81" s="6">
        <v>2</v>
      </c>
      <c r="N81" s="17"/>
      <c r="O81" s="6"/>
      <c r="P81" s="17"/>
      <c r="Q81" s="6">
        <v>1</v>
      </c>
      <c r="R81" s="17"/>
      <c r="S81" s="6">
        <v>1</v>
      </c>
      <c r="T81" s="17"/>
      <c r="V81" s="8" t="s">
        <v>135</v>
      </c>
      <c r="Z81" t="s">
        <v>223</v>
      </c>
      <c r="AA81">
        <v>1</v>
      </c>
      <c r="AC81">
        <v>1</v>
      </c>
      <c r="AD81">
        <v>1</v>
      </c>
      <c r="AI81">
        <v>4</v>
      </c>
      <c r="AM81">
        <v>2</v>
      </c>
      <c r="AN81">
        <v>1</v>
      </c>
      <c r="AP81">
        <v>1</v>
      </c>
      <c r="AS81">
        <v>6</v>
      </c>
      <c r="AT81">
        <v>1</v>
      </c>
      <c r="AU81" t="s">
        <v>125</v>
      </c>
    </row>
    <row r="82" spans="1:47" x14ac:dyDescent="0.45">
      <c r="A82" s="10" t="s">
        <v>96</v>
      </c>
      <c r="B82" s="17"/>
      <c r="C82" s="6"/>
      <c r="D82" s="17"/>
      <c r="E82" s="6"/>
      <c r="F82" s="17"/>
      <c r="G82" s="6"/>
      <c r="H82" s="17"/>
      <c r="I82" s="6"/>
      <c r="J82" s="17"/>
      <c r="K82" s="6"/>
      <c r="L82" s="17"/>
      <c r="M82" s="6"/>
      <c r="N82" s="17"/>
      <c r="O82" s="6"/>
      <c r="P82" s="17"/>
      <c r="Q82" s="6"/>
      <c r="R82" s="17"/>
      <c r="S82" s="6"/>
      <c r="T82" s="17">
        <v>1</v>
      </c>
      <c r="V82" s="8" t="s">
        <v>156</v>
      </c>
    </row>
    <row r="83" spans="1:47" x14ac:dyDescent="0.45">
      <c r="A83" s="10" t="s">
        <v>77</v>
      </c>
      <c r="B83" s="17"/>
      <c r="C83" s="6"/>
      <c r="D83" s="17"/>
      <c r="E83" s="6"/>
      <c r="F83" s="17">
        <v>1</v>
      </c>
      <c r="G83" s="6"/>
      <c r="H83" s="17"/>
      <c r="I83" s="6"/>
      <c r="J83" s="17">
        <v>4</v>
      </c>
      <c r="K83" s="6"/>
      <c r="L83" s="17">
        <v>1</v>
      </c>
      <c r="M83" s="6"/>
      <c r="N83" s="17"/>
      <c r="O83" s="6"/>
      <c r="P83" s="17"/>
      <c r="Q83" s="6"/>
      <c r="R83" s="17"/>
      <c r="S83" s="6"/>
      <c r="T83" s="17">
        <v>1</v>
      </c>
      <c r="V83" s="8" t="s">
        <v>156</v>
      </c>
    </row>
    <row r="84" spans="1:47" ht="14.65" thickBot="1" x14ac:dyDescent="0.5">
      <c r="A84" s="10" t="s">
        <v>103</v>
      </c>
      <c r="B84" s="17"/>
      <c r="C84" s="6"/>
      <c r="D84" s="17"/>
      <c r="E84" s="6"/>
      <c r="F84" s="17"/>
      <c r="G84" s="6"/>
      <c r="H84" s="17"/>
      <c r="I84" s="6"/>
      <c r="J84" s="17"/>
      <c r="K84" s="6"/>
      <c r="L84" s="17"/>
      <c r="M84" s="6"/>
      <c r="N84" s="17"/>
      <c r="O84" s="6"/>
      <c r="P84" s="17"/>
      <c r="Q84" s="6">
        <v>2</v>
      </c>
      <c r="R84" s="17"/>
      <c r="S84" s="6"/>
      <c r="T84" s="17"/>
      <c r="V84" s="8" t="s">
        <v>136</v>
      </c>
      <c r="Z84" s="9"/>
      <c r="AA84" s="22">
        <v>1</v>
      </c>
      <c r="AB84" s="23"/>
      <c r="AC84" s="22">
        <v>2</v>
      </c>
      <c r="AD84" s="23"/>
      <c r="AE84" s="22">
        <v>3</v>
      </c>
      <c r="AF84" s="23"/>
      <c r="AG84" s="22">
        <v>4</v>
      </c>
      <c r="AH84" s="23"/>
      <c r="AI84" s="22">
        <v>5</v>
      </c>
      <c r="AJ84" s="23"/>
      <c r="AK84" s="22">
        <v>6</v>
      </c>
      <c r="AL84" s="23"/>
      <c r="AM84" s="22">
        <v>7</v>
      </c>
      <c r="AN84" s="23"/>
      <c r="AO84" s="22">
        <v>8</v>
      </c>
      <c r="AP84" s="23"/>
      <c r="AQ84" s="22">
        <v>9</v>
      </c>
      <c r="AR84" s="23"/>
      <c r="AS84" s="22">
        <v>10</v>
      </c>
      <c r="AT84" s="23"/>
    </row>
    <row r="85" spans="1:47" x14ac:dyDescent="0.45">
      <c r="A85" s="10" t="s">
        <v>42</v>
      </c>
      <c r="B85" s="17">
        <v>1</v>
      </c>
      <c r="C85" s="6"/>
      <c r="D85" s="17">
        <v>2</v>
      </c>
      <c r="E85" s="6"/>
      <c r="F85" s="17">
        <v>4</v>
      </c>
      <c r="G85" s="6"/>
      <c r="H85" s="17"/>
      <c r="I85" s="6"/>
      <c r="J85" s="17">
        <v>8</v>
      </c>
      <c r="K85" s="6"/>
      <c r="L85" s="17"/>
      <c r="M85" s="6">
        <v>2</v>
      </c>
      <c r="N85" s="17"/>
      <c r="O85" s="6"/>
      <c r="P85" s="17"/>
      <c r="Q85" s="6"/>
      <c r="R85" s="17"/>
      <c r="S85" s="6"/>
      <c r="T85" s="17"/>
      <c r="V85" s="8" t="s">
        <v>136</v>
      </c>
      <c r="Z85" s="7" t="s">
        <v>139</v>
      </c>
      <c r="AA85" s="4">
        <v>-1</v>
      </c>
      <c r="AB85" s="4">
        <v>1</v>
      </c>
      <c r="AC85" s="4">
        <v>-1</v>
      </c>
      <c r="AD85" s="4">
        <v>1</v>
      </c>
      <c r="AE85" s="4">
        <v>-1</v>
      </c>
      <c r="AF85" s="4">
        <v>1</v>
      </c>
      <c r="AG85" s="4">
        <v>-1</v>
      </c>
      <c r="AH85" s="4">
        <v>1</v>
      </c>
      <c r="AI85" s="4">
        <v>-1</v>
      </c>
      <c r="AJ85" s="4">
        <v>1</v>
      </c>
      <c r="AK85" s="4">
        <v>-1</v>
      </c>
      <c r="AL85" s="4">
        <v>1</v>
      </c>
      <c r="AM85" s="4">
        <v>-1</v>
      </c>
      <c r="AN85" s="4">
        <v>1</v>
      </c>
      <c r="AO85" s="4">
        <v>-1</v>
      </c>
      <c r="AP85" s="4">
        <v>1</v>
      </c>
      <c r="AQ85" s="4">
        <v>-1</v>
      </c>
      <c r="AR85" s="4">
        <v>1</v>
      </c>
      <c r="AS85" s="4">
        <v>-1</v>
      </c>
      <c r="AT85" s="4">
        <v>1</v>
      </c>
    </row>
    <row r="86" spans="1:47" x14ac:dyDescent="0.45">
      <c r="A86" s="10" t="s">
        <v>89</v>
      </c>
      <c r="B86" s="17"/>
      <c r="C86" s="6"/>
      <c r="D86" s="17"/>
      <c r="E86" s="6"/>
      <c r="F86" s="17"/>
      <c r="G86" s="6"/>
      <c r="H86" s="17"/>
      <c r="I86" s="6"/>
      <c r="J86" s="17">
        <v>2</v>
      </c>
      <c r="K86" s="6"/>
      <c r="L86" s="17"/>
      <c r="M86" s="6"/>
      <c r="N86" s="17"/>
      <c r="O86" s="6"/>
      <c r="P86" s="17"/>
      <c r="Q86" s="6"/>
      <c r="R86" s="17"/>
      <c r="S86" s="6"/>
      <c r="T86" s="17">
        <v>1</v>
      </c>
      <c r="V86" s="8" t="s">
        <v>136</v>
      </c>
      <c r="Z86" s="10" t="s">
        <v>78</v>
      </c>
      <c r="AA86" s="16"/>
      <c r="AB86" s="6"/>
      <c r="AC86" s="16"/>
      <c r="AD86" s="6"/>
      <c r="AE86" s="16">
        <v>3</v>
      </c>
      <c r="AF86" s="6"/>
      <c r="AG86" s="16">
        <v>4</v>
      </c>
      <c r="AH86" s="6"/>
      <c r="AI86" s="16">
        <v>13</v>
      </c>
      <c r="AJ86" s="6"/>
      <c r="AK86" s="16">
        <v>7</v>
      </c>
      <c r="AL86" s="6"/>
      <c r="AM86" s="16"/>
      <c r="AN86" s="6">
        <v>1</v>
      </c>
      <c r="AO86" s="16"/>
      <c r="AP86" s="6">
        <v>4</v>
      </c>
      <c r="AQ86" s="16"/>
      <c r="AR86" s="6"/>
      <c r="AS86" s="16"/>
      <c r="AT86" s="14"/>
      <c r="AU86" s="8" t="s">
        <v>137</v>
      </c>
    </row>
    <row r="87" spans="1:47" x14ac:dyDescent="0.45">
      <c r="A87" s="10" t="s">
        <v>18</v>
      </c>
      <c r="B87" s="17"/>
      <c r="C87" s="6">
        <v>1</v>
      </c>
      <c r="D87" s="17"/>
      <c r="E87" s="6"/>
      <c r="F87" s="17"/>
      <c r="G87" s="6"/>
      <c r="H87" s="17"/>
      <c r="I87" s="6"/>
      <c r="J87" s="17">
        <v>1</v>
      </c>
      <c r="K87" s="6"/>
      <c r="L87" s="17"/>
      <c r="M87" s="6"/>
      <c r="N87" s="17">
        <v>1</v>
      </c>
      <c r="O87" s="6"/>
      <c r="P87" s="17"/>
      <c r="Q87" s="6"/>
      <c r="R87" s="17"/>
      <c r="S87" s="6"/>
      <c r="T87" s="17">
        <v>1</v>
      </c>
      <c r="V87" s="8" t="s">
        <v>136</v>
      </c>
      <c r="Z87" s="10" t="s">
        <v>82</v>
      </c>
      <c r="AA87" s="17">
        <v>1</v>
      </c>
      <c r="AB87" s="6"/>
      <c r="AC87" s="17"/>
      <c r="AD87" s="6"/>
      <c r="AE87" s="17">
        <v>1</v>
      </c>
      <c r="AF87" s="6"/>
      <c r="AG87" s="17"/>
      <c r="AH87" s="6"/>
      <c r="AI87" s="17">
        <v>7</v>
      </c>
      <c r="AJ87" s="6">
        <v>1</v>
      </c>
      <c r="AK87" s="17"/>
      <c r="AL87" s="6"/>
      <c r="AM87" s="17"/>
      <c r="AN87" s="6"/>
      <c r="AO87" s="17"/>
      <c r="AP87" s="6">
        <v>1</v>
      </c>
      <c r="AQ87" s="17"/>
      <c r="AR87" s="6"/>
      <c r="AS87" s="17">
        <v>1</v>
      </c>
      <c r="AT87" s="14"/>
      <c r="AU87" s="8" t="s">
        <v>137</v>
      </c>
    </row>
    <row r="88" spans="1:47" x14ac:dyDescent="0.45">
      <c r="A88" s="10" t="s">
        <v>76</v>
      </c>
      <c r="B88" s="17"/>
      <c r="C88" s="6"/>
      <c r="D88" s="17"/>
      <c r="E88" s="6"/>
      <c r="F88" s="17">
        <v>1</v>
      </c>
      <c r="G88" s="6"/>
      <c r="H88" s="17"/>
      <c r="I88" s="6">
        <v>1</v>
      </c>
      <c r="J88" s="17">
        <v>3</v>
      </c>
      <c r="K88" s="6"/>
      <c r="L88" s="17"/>
      <c r="M88" s="6">
        <v>1</v>
      </c>
      <c r="N88" s="17"/>
      <c r="O88" s="6"/>
      <c r="P88" s="17"/>
      <c r="Q88" s="6"/>
      <c r="R88" s="17"/>
      <c r="S88" s="6"/>
      <c r="T88" s="17"/>
      <c r="V88" s="8" t="s">
        <v>136</v>
      </c>
      <c r="Z88" s="10" t="s">
        <v>61</v>
      </c>
      <c r="AA88" s="17"/>
      <c r="AB88" s="6"/>
      <c r="AC88" s="17"/>
      <c r="AD88" s="6"/>
      <c r="AE88" s="17"/>
      <c r="AF88" s="6">
        <v>1</v>
      </c>
      <c r="AG88" s="17"/>
      <c r="AH88" s="6"/>
      <c r="AI88" s="17">
        <v>2</v>
      </c>
      <c r="AJ88" s="6"/>
      <c r="AK88" s="17">
        <v>1</v>
      </c>
      <c r="AL88" s="6"/>
      <c r="AM88" s="17">
        <v>1</v>
      </c>
      <c r="AN88" s="6"/>
      <c r="AO88" s="17">
        <v>1</v>
      </c>
      <c r="AP88" s="6">
        <v>1</v>
      </c>
      <c r="AQ88" s="17"/>
      <c r="AR88" s="6"/>
      <c r="AS88" s="17"/>
      <c r="AT88" s="14">
        <v>1</v>
      </c>
      <c r="AU88" s="8" t="s">
        <v>137</v>
      </c>
    </row>
    <row r="89" spans="1:47" x14ac:dyDescent="0.45">
      <c r="A89" s="10" t="s">
        <v>94</v>
      </c>
      <c r="B89" s="17"/>
      <c r="C89" s="6"/>
      <c r="D89" s="17"/>
      <c r="E89" s="6"/>
      <c r="F89" s="17"/>
      <c r="G89" s="6"/>
      <c r="H89" s="17"/>
      <c r="I89" s="6"/>
      <c r="J89" s="17"/>
      <c r="K89" s="6"/>
      <c r="L89" s="17"/>
      <c r="M89" s="6"/>
      <c r="N89" s="17"/>
      <c r="O89" s="6"/>
      <c r="P89" s="17"/>
      <c r="Q89" s="6"/>
      <c r="R89" s="17"/>
      <c r="S89" s="6"/>
      <c r="T89" s="17">
        <v>2</v>
      </c>
      <c r="V89" s="8" t="s">
        <v>136</v>
      </c>
      <c r="Z89" s="10" t="s">
        <v>96</v>
      </c>
      <c r="AA89" s="17"/>
      <c r="AB89" s="6"/>
      <c r="AC89" s="17"/>
      <c r="AD89" s="6"/>
      <c r="AE89" s="17"/>
      <c r="AF89" s="6"/>
      <c r="AG89" s="17"/>
      <c r="AH89" s="6"/>
      <c r="AI89" s="17"/>
      <c r="AJ89" s="6"/>
      <c r="AK89" s="17"/>
      <c r="AL89" s="6"/>
      <c r="AM89" s="17"/>
      <c r="AN89" s="6"/>
      <c r="AO89" s="17"/>
      <c r="AP89" s="6"/>
      <c r="AQ89" s="17"/>
      <c r="AR89" s="6"/>
      <c r="AS89" s="17">
        <v>1</v>
      </c>
      <c r="AT89" s="14"/>
      <c r="AU89" s="8" t="s">
        <v>156</v>
      </c>
    </row>
    <row r="90" spans="1:47" x14ac:dyDescent="0.45">
      <c r="A90" s="10" t="s">
        <v>85</v>
      </c>
      <c r="B90" s="17"/>
      <c r="C90" s="6"/>
      <c r="D90" s="17"/>
      <c r="E90" s="6">
        <v>1</v>
      </c>
      <c r="F90" s="17">
        <v>1</v>
      </c>
      <c r="G90" s="6"/>
      <c r="H90" s="17"/>
      <c r="I90" s="6"/>
      <c r="J90" s="17">
        <v>7</v>
      </c>
      <c r="K90" s="6"/>
      <c r="L90" s="17"/>
      <c r="M90" s="6"/>
      <c r="N90" s="17">
        <v>1</v>
      </c>
      <c r="O90" s="6"/>
      <c r="P90" s="17"/>
      <c r="Q90" s="6"/>
      <c r="R90" s="17">
        <v>2</v>
      </c>
      <c r="S90" s="6"/>
      <c r="T90" s="17"/>
      <c r="V90" s="8" t="s">
        <v>136</v>
      </c>
      <c r="Z90" s="10" t="s">
        <v>77</v>
      </c>
      <c r="AA90" s="17"/>
      <c r="AB90" s="6"/>
      <c r="AC90" s="17"/>
      <c r="AD90" s="6"/>
      <c r="AE90" s="17">
        <v>1</v>
      </c>
      <c r="AF90" s="6"/>
      <c r="AG90" s="17"/>
      <c r="AH90" s="6"/>
      <c r="AI90" s="17">
        <v>4</v>
      </c>
      <c r="AJ90" s="6"/>
      <c r="AK90" s="17">
        <v>1</v>
      </c>
      <c r="AL90" s="6"/>
      <c r="AM90" s="17"/>
      <c r="AN90" s="6"/>
      <c r="AO90" s="17"/>
      <c r="AP90" s="6"/>
      <c r="AQ90" s="17"/>
      <c r="AR90" s="6"/>
      <c r="AS90" s="17">
        <v>1</v>
      </c>
      <c r="AT90" s="14"/>
      <c r="AU90" s="8" t="s">
        <v>156</v>
      </c>
    </row>
    <row r="91" spans="1:47" ht="14.65" thickBot="1" x14ac:dyDescent="0.5">
      <c r="A91" s="11" t="s">
        <v>6</v>
      </c>
      <c r="B91" s="18"/>
      <c r="C91" s="19">
        <v>2</v>
      </c>
      <c r="D91" s="18"/>
      <c r="E91" s="19">
        <v>1</v>
      </c>
      <c r="F91" s="18">
        <v>2</v>
      </c>
      <c r="G91" s="19">
        <v>3</v>
      </c>
      <c r="H91" s="18"/>
      <c r="I91" s="19">
        <v>3</v>
      </c>
      <c r="J91" s="18">
        <v>3</v>
      </c>
      <c r="K91" s="19"/>
      <c r="L91" s="18">
        <v>3</v>
      </c>
      <c r="M91" s="19">
        <v>2</v>
      </c>
      <c r="N91" s="18">
        <v>4</v>
      </c>
      <c r="O91" s="19">
        <v>1</v>
      </c>
      <c r="P91" s="18"/>
      <c r="Q91" s="19"/>
      <c r="R91" s="18">
        <v>1</v>
      </c>
      <c r="S91" s="19"/>
      <c r="T91" s="18">
        <v>4</v>
      </c>
      <c r="U91" s="15"/>
      <c r="V91" s="12" t="s">
        <v>136</v>
      </c>
      <c r="Z91" s="10" t="s">
        <v>29</v>
      </c>
      <c r="AA91" s="17"/>
      <c r="AB91" s="6"/>
      <c r="AC91" s="17">
        <v>1</v>
      </c>
      <c r="AD91" s="6">
        <v>2</v>
      </c>
      <c r="AE91" s="17">
        <v>3</v>
      </c>
      <c r="AF91" s="6">
        <v>1</v>
      </c>
      <c r="AG91" s="17">
        <v>2</v>
      </c>
      <c r="AH91" s="6"/>
      <c r="AI91" s="17">
        <v>7</v>
      </c>
      <c r="AJ91" s="6"/>
      <c r="AK91" s="17">
        <v>2</v>
      </c>
      <c r="AL91" s="6">
        <v>1</v>
      </c>
      <c r="AM91" s="17">
        <v>6</v>
      </c>
      <c r="AN91" s="6">
        <v>1</v>
      </c>
      <c r="AO91" s="17"/>
      <c r="AP91" s="6"/>
      <c r="AQ91" s="17"/>
      <c r="AR91" s="6"/>
      <c r="AS91" s="17">
        <v>6</v>
      </c>
      <c r="AT91" s="14">
        <v>1</v>
      </c>
      <c r="AU91" s="8" t="s">
        <v>132</v>
      </c>
    </row>
    <row r="92" spans="1:47" x14ac:dyDescent="0.45">
      <c r="Z92" s="10" t="s">
        <v>11</v>
      </c>
      <c r="AA92" s="17">
        <v>1</v>
      </c>
      <c r="AB92" s="6">
        <v>1</v>
      </c>
      <c r="AC92" s="17">
        <v>1</v>
      </c>
      <c r="AD92" s="6"/>
      <c r="AE92" s="17">
        <v>4</v>
      </c>
      <c r="AF92" s="6">
        <v>2</v>
      </c>
      <c r="AG92" s="17">
        <v>1</v>
      </c>
      <c r="AH92" s="6">
        <v>2</v>
      </c>
      <c r="AI92" s="17">
        <v>4</v>
      </c>
      <c r="AJ92" s="6">
        <v>1</v>
      </c>
      <c r="AK92" s="17">
        <v>3</v>
      </c>
      <c r="AL92" s="6">
        <v>3</v>
      </c>
      <c r="AM92" s="17">
        <v>4</v>
      </c>
      <c r="AN92" s="6">
        <v>1</v>
      </c>
      <c r="AO92" s="17"/>
      <c r="AP92" s="6">
        <v>1</v>
      </c>
      <c r="AQ92" s="17"/>
      <c r="AR92" s="6"/>
      <c r="AS92" s="17">
        <v>4</v>
      </c>
      <c r="AT92" s="14">
        <v>1</v>
      </c>
      <c r="AU92" s="8" t="s">
        <v>132</v>
      </c>
    </row>
    <row r="93" spans="1:47" x14ac:dyDescent="0.45">
      <c r="Z93" s="10" t="s">
        <v>30</v>
      </c>
      <c r="AA93" s="17">
        <v>2</v>
      </c>
      <c r="AB93" s="6"/>
      <c r="AC93" s="17"/>
      <c r="AD93" s="6">
        <v>2</v>
      </c>
      <c r="AE93" s="17">
        <v>6</v>
      </c>
      <c r="AF93" s="6">
        <v>5</v>
      </c>
      <c r="AG93" s="17">
        <v>3</v>
      </c>
      <c r="AH93" s="6">
        <v>2</v>
      </c>
      <c r="AI93" s="17">
        <v>14</v>
      </c>
      <c r="AJ93" s="6">
        <v>1</v>
      </c>
      <c r="AK93" s="17">
        <v>5</v>
      </c>
      <c r="AL93" s="6">
        <v>3</v>
      </c>
      <c r="AM93" s="17">
        <v>5</v>
      </c>
      <c r="AN93" s="6">
        <v>1</v>
      </c>
      <c r="AO93" s="17">
        <v>1</v>
      </c>
      <c r="AP93" s="6">
        <v>2</v>
      </c>
      <c r="AQ93" s="17"/>
      <c r="AR93" s="6"/>
      <c r="AS93" s="17">
        <v>11</v>
      </c>
      <c r="AT93" s="14">
        <v>2</v>
      </c>
      <c r="AU93" s="8" t="s">
        <v>129</v>
      </c>
    </row>
    <row r="94" spans="1:47" x14ac:dyDescent="0.45">
      <c r="Z94" s="10" t="s">
        <v>37</v>
      </c>
      <c r="AA94" s="17"/>
      <c r="AB94" s="6"/>
      <c r="AC94" s="17">
        <v>1</v>
      </c>
      <c r="AD94" s="6"/>
      <c r="AE94" s="17"/>
      <c r="AF94" s="6"/>
      <c r="AG94" s="17"/>
      <c r="AH94" s="6"/>
      <c r="AI94" s="17">
        <v>1</v>
      </c>
      <c r="AJ94" s="6"/>
      <c r="AK94" s="17"/>
      <c r="AL94" s="6"/>
      <c r="AM94" s="17"/>
      <c r="AN94" s="6"/>
      <c r="AO94" s="17"/>
      <c r="AP94" s="6"/>
      <c r="AQ94" s="17"/>
      <c r="AR94" s="6"/>
      <c r="AS94" s="17"/>
      <c r="AT94" s="14"/>
      <c r="AU94" s="8" t="s">
        <v>155</v>
      </c>
    </row>
    <row r="95" spans="1:47" x14ac:dyDescent="0.45">
      <c r="Z95" s="10" t="s">
        <v>98</v>
      </c>
      <c r="AA95" s="17"/>
      <c r="AB95" s="6"/>
      <c r="AC95" s="17">
        <v>1</v>
      </c>
      <c r="AD95" s="6"/>
      <c r="AE95" s="17"/>
      <c r="AF95" s="6"/>
      <c r="AG95" s="17"/>
      <c r="AH95" s="6"/>
      <c r="AI95" s="17"/>
      <c r="AJ95" s="6"/>
      <c r="AK95" s="17"/>
      <c r="AL95" s="6"/>
      <c r="AM95" s="17"/>
      <c r="AN95" s="6"/>
      <c r="AO95" s="17"/>
      <c r="AP95" s="6"/>
      <c r="AQ95" s="17"/>
      <c r="AR95" s="6"/>
      <c r="AS95" s="17"/>
      <c r="AT95" s="14">
        <v>1</v>
      </c>
      <c r="AU95" s="8" t="s">
        <v>155</v>
      </c>
    </row>
    <row r="96" spans="1:47" x14ac:dyDescent="0.45">
      <c r="Z96" s="10" t="s">
        <v>79</v>
      </c>
      <c r="AA96" s="17"/>
      <c r="AB96" s="6"/>
      <c r="AC96" s="17"/>
      <c r="AD96" s="6"/>
      <c r="AE96" s="17"/>
      <c r="AF96" s="6"/>
      <c r="AG96" s="17">
        <v>2</v>
      </c>
      <c r="AH96" s="6"/>
      <c r="AI96" s="17"/>
      <c r="AJ96" s="6"/>
      <c r="AK96" s="17"/>
      <c r="AL96" s="6"/>
      <c r="AM96" s="17"/>
      <c r="AN96" s="6"/>
      <c r="AO96" s="17"/>
      <c r="AP96" s="6"/>
      <c r="AQ96" s="17"/>
      <c r="AR96" s="6"/>
      <c r="AS96" s="17"/>
      <c r="AT96" s="14">
        <v>1</v>
      </c>
      <c r="AU96" s="8" t="s">
        <v>155</v>
      </c>
    </row>
    <row r="97" spans="26:47" x14ac:dyDescent="0.45">
      <c r="Z97" s="10" t="s">
        <v>63</v>
      </c>
      <c r="AA97" s="17"/>
      <c r="AB97" s="6"/>
      <c r="AC97" s="17"/>
      <c r="AD97" s="6"/>
      <c r="AE97" s="17">
        <v>1</v>
      </c>
      <c r="AF97" s="6">
        <v>3</v>
      </c>
      <c r="AG97" s="17"/>
      <c r="AH97" s="6"/>
      <c r="AI97" s="17">
        <v>2</v>
      </c>
      <c r="AJ97" s="6"/>
      <c r="AK97" s="17"/>
      <c r="AL97" s="6"/>
      <c r="AM97" s="17"/>
      <c r="AN97" s="6"/>
      <c r="AO97" s="17"/>
      <c r="AP97" s="6"/>
      <c r="AQ97" s="17"/>
      <c r="AR97" s="6"/>
      <c r="AS97" s="17"/>
      <c r="AT97" s="14"/>
      <c r="AU97" s="8" t="s">
        <v>155</v>
      </c>
    </row>
    <row r="98" spans="26:47" x14ac:dyDescent="0.45">
      <c r="Z98" s="10" t="s">
        <v>62</v>
      </c>
      <c r="AA98" s="17"/>
      <c r="AB98" s="6"/>
      <c r="AC98" s="17"/>
      <c r="AD98" s="6"/>
      <c r="AE98" s="17"/>
      <c r="AF98" s="6">
        <v>1</v>
      </c>
      <c r="AG98" s="17">
        <v>1</v>
      </c>
      <c r="AH98" s="6">
        <v>1</v>
      </c>
      <c r="AI98" s="17">
        <v>3</v>
      </c>
      <c r="AJ98" s="6"/>
      <c r="AK98" s="17"/>
      <c r="AL98" s="6"/>
      <c r="AM98" s="17">
        <v>1</v>
      </c>
      <c r="AN98" s="6">
        <v>1</v>
      </c>
      <c r="AO98" s="17"/>
      <c r="AP98" s="6"/>
      <c r="AQ98" s="17"/>
      <c r="AR98" s="6"/>
      <c r="AS98" s="17">
        <v>2</v>
      </c>
      <c r="AT98" s="14">
        <v>2</v>
      </c>
      <c r="AU98" s="8" t="s">
        <v>124</v>
      </c>
    </row>
    <row r="99" spans="26:47" x14ac:dyDescent="0.45">
      <c r="Z99" s="10" t="s">
        <v>13</v>
      </c>
      <c r="AA99" s="17"/>
      <c r="AB99" s="6">
        <v>1</v>
      </c>
      <c r="AC99" s="17"/>
      <c r="AD99" s="6"/>
      <c r="AE99" s="17"/>
      <c r="AF99" s="6">
        <v>2</v>
      </c>
      <c r="AG99" s="17"/>
      <c r="AH99" s="6">
        <v>1</v>
      </c>
      <c r="AI99" s="17">
        <v>6</v>
      </c>
      <c r="AJ99" s="6"/>
      <c r="AK99" s="17">
        <v>1</v>
      </c>
      <c r="AL99" s="6"/>
      <c r="AM99" s="17"/>
      <c r="AN99" s="6"/>
      <c r="AO99" s="17"/>
      <c r="AP99" s="6">
        <v>2</v>
      </c>
      <c r="AQ99" s="17">
        <v>1</v>
      </c>
      <c r="AR99" s="6"/>
      <c r="AS99" s="17">
        <v>6</v>
      </c>
      <c r="AT99" s="14">
        <v>1</v>
      </c>
      <c r="AU99" s="8" t="s">
        <v>123</v>
      </c>
    </row>
    <row r="105" spans="26:47" x14ac:dyDescent="0.45">
      <c r="Z105" s="8" t="s">
        <v>136</v>
      </c>
    </row>
    <row r="106" spans="26:47" ht="14.65" thickBot="1" x14ac:dyDescent="0.5">
      <c r="Z106" s="9"/>
      <c r="AA106" s="22">
        <v>1</v>
      </c>
      <c r="AB106" s="23"/>
      <c r="AC106" s="22">
        <v>2</v>
      </c>
      <c r="AD106" s="23"/>
      <c r="AE106" s="22">
        <v>3</v>
      </c>
      <c r="AF106" s="23"/>
      <c r="AG106" s="22">
        <v>4</v>
      </c>
      <c r="AH106" s="23"/>
      <c r="AI106" s="22">
        <v>5</v>
      </c>
      <c r="AJ106" s="23"/>
      <c r="AK106" s="22">
        <v>6</v>
      </c>
      <c r="AL106" s="23"/>
      <c r="AM106" s="22">
        <v>7</v>
      </c>
      <c r="AN106" s="23"/>
      <c r="AO106" s="22">
        <v>8</v>
      </c>
      <c r="AP106" s="23"/>
      <c r="AQ106" s="22">
        <v>9</v>
      </c>
      <c r="AR106" s="23"/>
      <c r="AS106" s="22">
        <v>10</v>
      </c>
      <c r="AT106" s="23"/>
    </row>
    <row r="107" spans="26:47" x14ac:dyDescent="0.45">
      <c r="Z107" s="7" t="s">
        <v>139</v>
      </c>
      <c r="AA107" s="4">
        <v>-1</v>
      </c>
      <c r="AB107" s="4">
        <v>1</v>
      </c>
      <c r="AC107" s="4">
        <v>-1</v>
      </c>
      <c r="AD107" s="4">
        <v>1</v>
      </c>
      <c r="AE107" s="4">
        <v>-1</v>
      </c>
      <c r="AF107" s="4">
        <v>1</v>
      </c>
      <c r="AG107" s="4">
        <v>-1</v>
      </c>
      <c r="AH107" s="4">
        <v>1</v>
      </c>
      <c r="AI107" s="4">
        <v>-1</v>
      </c>
      <c r="AJ107" s="4">
        <v>1</v>
      </c>
      <c r="AK107" s="4">
        <v>-1</v>
      </c>
      <c r="AL107" s="4">
        <v>1</v>
      </c>
      <c r="AM107" s="4">
        <v>-1</v>
      </c>
      <c r="AN107" s="4">
        <v>1</v>
      </c>
      <c r="AO107" s="4">
        <v>-1</v>
      </c>
      <c r="AP107" s="4">
        <v>1</v>
      </c>
      <c r="AQ107" s="4">
        <v>-1</v>
      </c>
      <c r="AR107" s="4">
        <v>1</v>
      </c>
      <c r="AS107" s="4">
        <v>-1</v>
      </c>
      <c r="AT107" s="4">
        <v>1</v>
      </c>
    </row>
    <row r="108" spans="26:47" x14ac:dyDescent="0.45">
      <c r="Z108" s="10" t="s">
        <v>103</v>
      </c>
      <c r="AA108" s="17"/>
      <c r="AB108" s="6"/>
      <c r="AC108" s="17"/>
      <c r="AD108" s="6"/>
      <c r="AE108" s="17"/>
      <c r="AF108" s="6"/>
      <c r="AG108" s="17"/>
      <c r="AH108" s="6"/>
      <c r="AI108" s="17"/>
      <c r="AJ108" s="6"/>
      <c r="AK108" s="17"/>
      <c r="AL108" s="6"/>
      <c r="AM108" s="17"/>
      <c r="AN108" s="6"/>
      <c r="AO108" s="17"/>
      <c r="AP108" s="6">
        <v>2</v>
      </c>
      <c r="AQ108" s="17"/>
      <c r="AR108" s="6"/>
      <c r="AS108" s="17"/>
      <c r="AT108" s="14"/>
    </row>
    <row r="109" spans="26:47" x14ac:dyDescent="0.45">
      <c r="Z109" s="10" t="s">
        <v>42</v>
      </c>
      <c r="AA109" s="17">
        <v>1</v>
      </c>
      <c r="AB109" s="6"/>
      <c r="AC109" s="17">
        <v>2</v>
      </c>
      <c r="AD109" s="6"/>
      <c r="AE109" s="17">
        <v>4</v>
      </c>
      <c r="AF109" s="6"/>
      <c r="AG109" s="17"/>
      <c r="AH109" s="6"/>
      <c r="AI109" s="17">
        <v>8</v>
      </c>
      <c r="AJ109" s="6"/>
      <c r="AK109" s="17"/>
      <c r="AL109" s="6">
        <v>2</v>
      </c>
      <c r="AM109" s="17"/>
      <c r="AN109" s="6"/>
      <c r="AO109" s="17"/>
      <c r="AP109" s="6"/>
      <c r="AQ109" s="17"/>
      <c r="AR109" s="6"/>
      <c r="AS109" s="17"/>
      <c r="AT109" s="14"/>
    </row>
    <row r="110" spans="26:47" x14ac:dyDescent="0.45">
      <c r="Z110" s="10" t="s">
        <v>89</v>
      </c>
      <c r="AA110" s="17"/>
      <c r="AB110" s="6"/>
      <c r="AC110" s="17"/>
      <c r="AD110" s="6"/>
      <c r="AE110" s="17"/>
      <c r="AF110" s="6"/>
      <c r="AG110" s="17"/>
      <c r="AH110" s="6"/>
      <c r="AI110" s="17">
        <v>2</v>
      </c>
      <c r="AJ110" s="6"/>
      <c r="AK110" s="17"/>
      <c r="AL110" s="6"/>
      <c r="AM110" s="17"/>
      <c r="AN110" s="6"/>
      <c r="AO110" s="17"/>
      <c r="AP110" s="6"/>
      <c r="AQ110" s="17"/>
      <c r="AR110" s="6"/>
      <c r="AS110" s="17">
        <v>1</v>
      </c>
      <c r="AT110" s="14"/>
    </row>
    <row r="111" spans="26:47" x14ac:dyDescent="0.45">
      <c r="Z111" s="10" t="s">
        <v>18</v>
      </c>
      <c r="AA111" s="17"/>
      <c r="AB111" s="6">
        <v>1</v>
      </c>
      <c r="AC111" s="17"/>
      <c r="AD111" s="6"/>
      <c r="AE111" s="17"/>
      <c r="AF111" s="6"/>
      <c r="AG111" s="17"/>
      <c r="AH111" s="6"/>
      <c r="AI111" s="17">
        <v>1</v>
      </c>
      <c r="AJ111" s="6"/>
      <c r="AK111" s="17"/>
      <c r="AL111" s="6"/>
      <c r="AM111" s="17">
        <v>1</v>
      </c>
      <c r="AN111" s="6"/>
      <c r="AO111" s="17"/>
      <c r="AP111" s="6"/>
      <c r="AQ111" s="17"/>
      <c r="AR111" s="6"/>
      <c r="AS111" s="17">
        <v>1</v>
      </c>
      <c r="AT111" s="14"/>
    </row>
    <row r="112" spans="26:47" x14ac:dyDescent="0.45">
      <c r="Z112" s="10" t="s">
        <v>76</v>
      </c>
      <c r="AA112" s="17"/>
      <c r="AB112" s="6"/>
      <c r="AC112" s="17"/>
      <c r="AD112" s="6"/>
      <c r="AE112" s="17">
        <v>1</v>
      </c>
      <c r="AF112" s="6"/>
      <c r="AG112" s="17"/>
      <c r="AH112" s="6">
        <v>1</v>
      </c>
      <c r="AI112" s="17">
        <v>3</v>
      </c>
      <c r="AJ112" s="6"/>
      <c r="AK112" s="17"/>
      <c r="AL112" s="6">
        <v>1</v>
      </c>
      <c r="AM112" s="17"/>
      <c r="AN112" s="6"/>
      <c r="AO112" s="17"/>
      <c r="AP112" s="6"/>
      <c r="AQ112" s="17"/>
      <c r="AR112" s="6"/>
      <c r="AS112" s="17"/>
      <c r="AT112" s="14"/>
    </row>
    <row r="113" spans="26:47" x14ac:dyDescent="0.45">
      <c r="Z113" s="10" t="s">
        <v>94</v>
      </c>
      <c r="AA113" s="17"/>
      <c r="AB113" s="6"/>
      <c r="AC113" s="17"/>
      <c r="AD113" s="6"/>
      <c r="AE113" s="17"/>
      <c r="AF113" s="6"/>
      <c r="AG113" s="17"/>
      <c r="AH113" s="6"/>
      <c r="AI113" s="17"/>
      <c r="AJ113" s="6"/>
      <c r="AK113" s="17"/>
      <c r="AL113" s="6"/>
      <c r="AM113" s="17"/>
      <c r="AN113" s="6"/>
      <c r="AO113" s="17"/>
      <c r="AP113" s="6"/>
      <c r="AQ113" s="17"/>
      <c r="AR113" s="6"/>
      <c r="AS113" s="17">
        <v>2</v>
      </c>
      <c r="AT113" s="14"/>
    </row>
    <row r="114" spans="26:47" x14ac:dyDescent="0.45">
      <c r="Z114" s="10" t="s">
        <v>85</v>
      </c>
      <c r="AA114" s="17"/>
      <c r="AB114" s="6"/>
      <c r="AC114" s="17"/>
      <c r="AD114" s="6">
        <v>1</v>
      </c>
      <c r="AE114" s="17">
        <v>1</v>
      </c>
      <c r="AF114" s="6"/>
      <c r="AG114" s="17"/>
      <c r="AH114" s="6"/>
      <c r="AI114" s="17">
        <v>7</v>
      </c>
      <c r="AJ114" s="6"/>
      <c r="AK114" s="17"/>
      <c r="AL114" s="6"/>
      <c r="AM114" s="17">
        <v>1</v>
      </c>
      <c r="AN114" s="6"/>
      <c r="AO114" s="17"/>
      <c r="AP114" s="6"/>
      <c r="AQ114" s="17">
        <v>2</v>
      </c>
      <c r="AR114" s="6"/>
      <c r="AS114" s="17"/>
      <c r="AT114" s="14"/>
    </row>
    <row r="115" spans="26:47" ht="14.65" thickBot="1" x14ac:dyDescent="0.5">
      <c r="Z115" s="11" t="s">
        <v>6</v>
      </c>
      <c r="AA115" s="18"/>
      <c r="AB115" s="19">
        <v>2</v>
      </c>
      <c r="AC115" s="18"/>
      <c r="AD115" s="19">
        <v>1</v>
      </c>
      <c r="AE115" s="18">
        <v>2</v>
      </c>
      <c r="AF115" s="19">
        <v>3</v>
      </c>
      <c r="AG115" s="18"/>
      <c r="AH115" s="19">
        <v>3</v>
      </c>
      <c r="AI115" s="18">
        <v>3</v>
      </c>
      <c r="AJ115" s="19"/>
      <c r="AK115" s="18">
        <v>3</v>
      </c>
      <c r="AL115" s="19">
        <v>2</v>
      </c>
      <c r="AM115" s="18">
        <v>4</v>
      </c>
      <c r="AN115" s="19">
        <v>1</v>
      </c>
      <c r="AO115" s="18"/>
      <c r="AP115" s="19"/>
      <c r="AQ115" s="18">
        <v>1</v>
      </c>
      <c r="AR115" s="19"/>
      <c r="AS115" s="18">
        <v>4</v>
      </c>
      <c r="AT115" s="15"/>
    </row>
    <row r="118" spans="26:47" ht="14.65" thickBot="1" x14ac:dyDescent="0.5">
      <c r="Z118" s="9"/>
      <c r="AA118" s="22">
        <v>1</v>
      </c>
      <c r="AB118" s="23"/>
      <c r="AC118" s="22">
        <v>2</v>
      </c>
      <c r="AD118" s="23"/>
      <c r="AE118" s="22">
        <v>3</v>
      </c>
      <c r="AF118" s="23"/>
      <c r="AG118" s="22">
        <v>4</v>
      </c>
      <c r="AH118" s="23"/>
      <c r="AI118" s="22">
        <v>5</v>
      </c>
      <c r="AJ118" s="23"/>
      <c r="AK118" s="22">
        <v>6</v>
      </c>
      <c r="AL118" s="23"/>
      <c r="AM118" s="22">
        <v>7</v>
      </c>
      <c r="AN118" s="23"/>
      <c r="AO118" s="22">
        <v>8</v>
      </c>
      <c r="AP118" s="23"/>
      <c r="AQ118" s="22">
        <v>9</v>
      </c>
      <c r="AR118" s="23"/>
      <c r="AS118" s="22">
        <v>10</v>
      </c>
      <c r="AT118" s="23"/>
    </row>
    <row r="119" spans="26:47" x14ac:dyDescent="0.45">
      <c r="Z119" s="7" t="s">
        <v>139</v>
      </c>
      <c r="AA119" s="4">
        <v>-1</v>
      </c>
      <c r="AB119" s="4">
        <v>1</v>
      </c>
      <c r="AC119" s="4">
        <v>-1</v>
      </c>
      <c r="AD119" s="4">
        <v>1</v>
      </c>
      <c r="AE119" s="4">
        <v>-1</v>
      </c>
      <c r="AF119" s="4">
        <v>1</v>
      </c>
      <c r="AG119" s="4">
        <v>-1</v>
      </c>
      <c r="AH119" s="4">
        <v>1</v>
      </c>
      <c r="AI119" s="4">
        <v>-1</v>
      </c>
      <c r="AJ119" s="4">
        <v>1</v>
      </c>
      <c r="AK119" s="4">
        <v>-1</v>
      </c>
      <c r="AL119" s="4">
        <v>1</v>
      </c>
      <c r="AM119" s="4">
        <v>-1</v>
      </c>
      <c r="AN119" s="4">
        <v>1</v>
      </c>
      <c r="AO119" s="4">
        <v>-1</v>
      </c>
      <c r="AP119" s="4">
        <v>1</v>
      </c>
      <c r="AQ119" s="4">
        <v>-1</v>
      </c>
      <c r="AR119" s="4">
        <v>1</v>
      </c>
      <c r="AS119" s="4">
        <v>-1</v>
      </c>
      <c r="AT119" s="4">
        <v>1</v>
      </c>
    </row>
    <row r="120" spans="26:47" x14ac:dyDescent="0.45">
      <c r="Z120" s="10" t="s">
        <v>16</v>
      </c>
      <c r="AA120" s="17"/>
      <c r="AB120" s="6">
        <v>1</v>
      </c>
      <c r="AC120" s="17"/>
      <c r="AD120" s="6"/>
      <c r="AE120" s="17"/>
      <c r="AF120" s="6"/>
      <c r="AG120" s="17">
        <v>1</v>
      </c>
      <c r="AH120" s="6">
        <v>1</v>
      </c>
      <c r="AI120" s="17">
        <v>2</v>
      </c>
      <c r="AJ120" s="6"/>
      <c r="AK120" s="17"/>
      <c r="AL120" s="6">
        <v>1</v>
      </c>
      <c r="AM120" s="17">
        <v>1</v>
      </c>
      <c r="AN120" s="6"/>
      <c r="AO120" s="17">
        <v>1</v>
      </c>
      <c r="AP120" s="6"/>
      <c r="AQ120" s="17"/>
      <c r="AR120" s="6"/>
      <c r="AS120" s="17">
        <v>2</v>
      </c>
      <c r="AT120" s="14"/>
      <c r="AU120" s="8" t="s">
        <v>126</v>
      </c>
    </row>
    <row r="121" spans="26:47" x14ac:dyDescent="0.45">
      <c r="Z121" s="10" t="s">
        <v>74</v>
      </c>
      <c r="AA121" s="17"/>
      <c r="AB121" s="6"/>
      <c r="AC121" s="17"/>
      <c r="AD121" s="6"/>
      <c r="AE121" s="17">
        <v>1</v>
      </c>
      <c r="AF121" s="6">
        <v>1</v>
      </c>
      <c r="AG121" s="17"/>
      <c r="AH121" s="6"/>
      <c r="AI121" s="17">
        <v>5</v>
      </c>
      <c r="AJ121" s="6"/>
      <c r="AK121" s="17">
        <v>1</v>
      </c>
      <c r="AL121" s="6">
        <v>2</v>
      </c>
      <c r="AM121" s="17">
        <v>3</v>
      </c>
      <c r="AN121" s="6"/>
      <c r="AO121" s="17">
        <v>1</v>
      </c>
      <c r="AP121" s="6"/>
      <c r="AQ121" s="17">
        <v>1</v>
      </c>
      <c r="AR121" s="6"/>
      <c r="AS121" s="17">
        <v>1</v>
      </c>
      <c r="AT121" s="14"/>
      <c r="AU121" s="8" t="s">
        <v>126</v>
      </c>
    </row>
    <row r="122" spans="26:47" x14ac:dyDescent="0.45">
      <c r="Z122" s="10" t="s">
        <v>75</v>
      </c>
      <c r="AA122" s="17"/>
      <c r="AB122" s="6"/>
      <c r="AC122" s="17"/>
      <c r="AD122" s="6"/>
      <c r="AE122" s="17">
        <v>1</v>
      </c>
      <c r="AF122" s="6"/>
      <c r="AG122" s="17"/>
      <c r="AH122" s="6"/>
      <c r="AI122" s="17"/>
      <c r="AJ122" s="6"/>
      <c r="AK122" s="17"/>
      <c r="AL122" s="6"/>
      <c r="AM122" s="17"/>
      <c r="AN122" s="6"/>
      <c r="AO122" s="17"/>
      <c r="AP122" s="6"/>
      <c r="AQ122" s="17">
        <v>1</v>
      </c>
      <c r="AR122" s="6"/>
      <c r="AS122" s="17">
        <v>1</v>
      </c>
      <c r="AT122" s="14">
        <v>1</v>
      </c>
      <c r="AU122" s="8" t="s">
        <v>126</v>
      </c>
    </row>
    <row r="123" spans="26:47" x14ac:dyDescent="0.45">
      <c r="Z123" s="10" t="s">
        <v>59</v>
      </c>
      <c r="AA123" s="17"/>
      <c r="AB123" s="6"/>
      <c r="AC123" s="17"/>
      <c r="AD123" s="6"/>
      <c r="AE123" s="17">
        <v>2</v>
      </c>
      <c r="AF123" s="6">
        <v>2</v>
      </c>
      <c r="AG123" s="17">
        <v>1</v>
      </c>
      <c r="AH123" s="6"/>
      <c r="AI123" s="17">
        <v>2</v>
      </c>
      <c r="AJ123" s="6"/>
      <c r="AK123" s="17">
        <v>1</v>
      </c>
      <c r="AL123" s="6">
        <v>1</v>
      </c>
      <c r="AM123" s="17"/>
      <c r="AN123" s="6"/>
      <c r="AO123" s="17"/>
      <c r="AP123" s="6"/>
      <c r="AQ123" s="17"/>
      <c r="AR123" s="6"/>
      <c r="AS123" s="17">
        <v>1</v>
      </c>
      <c r="AT123" s="14">
        <v>1</v>
      </c>
      <c r="AU123" s="8" t="s">
        <v>126</v>
      </c>
    </row>
    <row r="124" spans="26:47" x14ac:dyDescent="0.45">
      <c r="Z124" s="10" t="s">
        <v>93</v>
      </c>
      <c r="AA124" s="17"/>
      <c r="AB124" s="6"/>
      <c r="AC124" s="17"/>
      <c r="AD124" s="6"/>
      <c r="AE124" s="17"/>
      <c r="AF124" s="6"/>
      <c r="AG124" s="17"/>
      <c r="AH124" s="6"/>
      <c r="AI124" s="17"/>
      <c r="AJ124" s="6"/>
      <c r="AK124" s="17"/>
      <c r="AL124" s="6"/>
      <c r="AM124" s="17">
        <v>1</v>
      </c>
      <c r="AN124" s="6"/>
      <c r="AO124" s="17"/>
      <c r="AP124" s="6"/>
      <c r="AQ124" s="17"/>
      <c r="AR124" s="6"/>
      <c r="AS124" s="17"/>
      <c r="AT124" s="14"/>
      <c r="AU124" s="8" t="s">
        <v>126</v>
      </c>
    </row>
    <row r="125" spans="26:47" x14ac:dyDescent="0.45">
      <c r="Z125" s="10" t="s">
        <v>17</v>
      </c>
      <c r="AA125" s="17"/>
      <c r="AB125" s="6">
        <v>1</v>
      </c>
      <c r="AC125" s="17"/>
      <c r="AD125" s="6"/>
      <c r="AE125" s="17">
        <v>1</v>
      </c>
      <c r="AF125" s="6">
        <v>1</v>
      </c>
      <c r="AG125" s="17"/>
      <c r="AH125" s="6"/>
      <c r="AI125" s="17">
        <v>2</v>
      </c>
      <c r="AJ125" s="6">
        <v>1</v>
      </c>
      <c r="AK125" s="17">
        <v>1</v>
      </c>
      <c r="AL125" s="6"/>
      <c r="AM125" s="17"/>
      <c r="AN125" s="6"/>
      <c r="AO125" s="17">
        <v>1</v>
      </c>
      <c r="AP125" s="6"/>
      <c r="AQ125" s="17">
        <v>1</v>
      </c>
      <c r="AR125" s="6"/>
      <c r="AS125" s="17">
        <v>2</v>
      </c>
      <c r="AT125" s="14">
        <v>2</v>
      </c>
      <c r="AU125" s="8" t="s">
        <v>126</v>
      </c>
    </row>
    <row r="126" spans="26:47" x14ac:dyDescent="0.45">
      <c r="Z126" s="10" t="s">
        <v>5</v>
      </c>
      <c r="AA126" s="17"/>
      <c r="AB126" s="6">
        <v>4</v>
      </c>
      <c r="AC126" s="17"/>
      <c r="AD126" s="6">
        <v>1</v>
      </c>
      <c r="AE126" s="17">
        <v>2</v>
      </c>
      <c r="AF126" s="6"/>
      <c r="AG126" s="17"/>
      <c r="AH126" s="6"/>
      <c r="AI126" s="17">
        <v>3</v>
      </c>
      <c r="AJ126" s="6"/>
      <c r="AK126" s="17">
        <v>1</v>
      </c>
      <c r="AL126" s="6">
        <v>2</v>
      </c>
      <c r="AM126" s="17">
        <v>1</v>
      </c>
      <c r="AN126" s="6"/>
      <c r="AO126" s="17">
        <v>2</v>
      </c>
      <c r="AP126" s="6">
        <v>1</v>
      </c>
      <c r="AQ126" s="17">
        <v>3</v>
      </c>
      <c r="AR126" s="6"/>
      <c r="AS126" s="17">
        <v>1</v>
      </c>
      <c r="AT126" s="14">
        <v>1</v>
      </c>
      <c r="AU126" s="8" t="s">
        <v>126</v>
      </c>
    </row>
    <row r="127" spans="26:47" x14ac:dyDescent="0.45">
      <c r="Z127" s="10" t="s">
        <v>41</v>
      </c>
      <c r="AA127" s="17"/>
      <c r="AB127" s="6"/>
      <c r="AC127" s="17">
        <v>1</v>
      </c>
      <c r="AD127" s="6"/>
      <c r="AE127" s="17">
        <v>1</v>
      </c>
      <c r="AF127" s="6"/>
      <c r="AG127" s="17"/>
      <c r="AH127" s="6"/>
      <c r="AI127" s="17">
        <v>1</v>
      </c>
      <c r="AJ127" s="6"/>
      <c r="AK127" s="17"/>
      <c r="AL127" s="6"/>
      <c r="AM127" s="17">
        <v>2</v>
      </c>
      <c r="AN127" s="6">
        <v>1</v>
      </c>
      <c r="AO127" s="17">
        <v>1</v>
      </c>
      <c r="AP127" s="6">
        <v>1</v>
      </c>
      <c r="AQ127" s="17"/>
      <c r="AR127" s="6"/>
      <c r="AS127" s="17">
        <v>2</v>
      </c>
      <c r="AT127" s="14"/>
      <c r="AU127" s="8" t="s">
        <v>126</v>
      </c>
    </row>
    <row r="128" spans="26:47" x14ac:dyDescent="0.45">
      <c r="Z128" s="10" t="s">
        <v>51</v>
      </c>
      <c r="AA128" s="17">
        <v>1</v>
      </c>
      <c r="AB128" s="6"/>
      <c r="AC128" s="17"/>
      <c r="AD128" s="6"/>
      <c r="AE128" s="17">
        <v>2</v>
      </c>
      <c r="AF128" s="6">
        <v>1</v>
      </c>
      <c r="AG128" s="17">
        <v>1</v>
      </c>
      <c r="AH128" s="6"/>
      <c r="AI128" s="17"/>
      <c r="AJ128" s="6">
        <v>1</v>
      </c>
      <c r="AK128" s="17"/>
      <c r="AL128" s="6"/>
      <c r="AM128" s="17"/>
      <c r="AN128" s="6">
        <v>1</v>
      </c>
      <c r="AO128" s="17"/>
      <c r="AP128" s="6"/>
      <c r="AQ128" s="17"/>
      <c r="AR128" s="6"/>
      <c r="AS128" s="17">
        <v>2</v>
      </c>
      <c r="AT128" s="14">
        <v>2</v>
      </c>
      <c r="AU128" s="8" t="s">
        <v>126</v>
      </c>
    </row>
    <row r="129" spans="26:47" x14ac:dyDescent="0.45">
      <c r="Z129" s="10" t="s">
        <v>88</v>
      </c>
      <c r="AA129" s="17"/>
      <c r="AB129" s="6"/>
      <c r="AC129" s="17"/>
      <c r="AD129" s="6"/>
      <c r="AE129" s="17"/>
      <c r="AF129" s="6"/>
      <c r="AG129" s="17"/>
      <c r="AH129" s="6"/>
      <c r="AI129" s="17">
        <v>4</v>
      </c>
      <c r="AJ129" s="6"/>
      <c r="AK129" s="17"/>
      <c r="AL129" s="6">
        <v>2</v>
      </c>
      <c r="AM129" s="17">
        <v>2</v>
      </c>
      <c r="AN129" s="6"/>
      <c r="AO129" s="17"/>
      <c r="AP129" s="6">
        <v>1</v>
      </c>
      <c r="AQ129" s="17">
        <v>1</v>
      </c>
      <c r="AR129" s="6"/>
      <c r="AS129" s="17">
        <v>1</v>
      </c>
      <c r="AT129" s="14">
        <v>1</v>
      </c>
      <c r="AU129" s="8" t="s">
        <v>126</v>
      </c>
    </row>
  </sheetData>
  <autoFilter ref="V2:V92" xr:uid="{9C2A1D3A-D230-4565-A96B-6EFEC00B9F79}">
    <sortState xmlns:xlrd2="http://schemas.microsoft.com/office/spreadsheetml/2017/richdata2" ref="A3:V92">
      <sortCondition ref="V2:V92"/>
    </sortState>
  </autoFilter>
  <mergeCells count="90">
    <mergeCell ref="AK118:AL118"/>
    <mergeCell ref="AM118:AN118"/>
    <mergeCell ref="AO118:AP118"/>
    <mergeCell ref="AQ118:AR118"/>
    <mergeCell ref="AS118:AT118"/>
    <mergeCell ref="AA118:AB118"/>
    <mergeCell ref="AC118:AD118"/>
    <mergeCell ref="AE118:AF118"/>
    <mergeCell ref="AG118:AH118"/>
    <mergeCell ref="AI118:AJ118"/>
    <mergeCell ref="AK106:AL106"/>
    <mergeCell ref="AM106:AN106"/>
    <mergeCell ref="AO106:AP106"/>
    <mergeCell ref="AQ106:AR106"/>
    <mergeCell ref="AS106:AT106"/>
    <mergeCell ref="AA106:AB106"/>
    <mergeCell ref="AC106:AD106"/>
    <mergeCell ref="AE106:AF106"/>
    <mergeCell ref="AG106:AH106"/>
    <mergeCell ref="AI106:AJ106"/>
    <mergeCell ref="AK84:AL84"/>
    <mergeCell ref="AM84:AN84"/>
    <mergeCell ref="AO84:AP84"/>
    <mergeCell ref="AQ84:AR84"/>
    <mergeCell ref="AS84:AT84"/>
    <mergeCell ref="AA84:AB84"/>
    <mergeCell ref="AC84:AD84"/>
    <mergeCell ref="AE84:AF84"/>
    <mergeCell ref="AG84:AH84"/>
    <mergeCell ref="AI84:AJ84"/>
    <mergeCell ref="AA68:AB68"/>
    <mergeCell ref="AC68:AD68"/>
    <mergeCell ref="AE68:AF68"/>
    <mergeCell ref="AG68:AH68"/>
    <mergeCell ref="AI68:AJ68"/>
    <mergeCell ref="AK55:AL55"/>
    <mergeCell ref="AM55:AN55"/>
    <mergeCell ref="AO55:AP55"/>
    <mergeCell ref="AQ68:AR68"/>
    <mergeCell ref="AS68:AT68"/>
    <mergeCell ref="AQ55:AR55"/>
    <mergeCell ref="AS55:AT55"/>
    <mergeCell ref="AK68:AL68"/>
    <mergeCell ref="AM68:AN68"/>
    <mergeCell ref="AO68:AP68"/>
    <mergeCell ref="AA55:AB55"/>
    <mergeCell ref="AC55:AD55"/>
    <mergeCell ref="AE55:AF55"/>
    <mergeCell ref="AG55:AH55"/>
    <mergeCell ref="AI55:AJ55"/>
    <mergeCell ref="AQ26:AR26"/>
    <mergeCell ref="AS26:AT26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Q1:AR1"/>
    <mergeCell ref="AS1:AT1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E1:AF1"/>
    <mergeCell ref="AG1:AH1"/>
    <mergeCell ref="AI1:AJ1"/>
    <mergeCell ref="AK1:AL1"/>
    <mergeCell ref="AM1:AN1"/>
    <mergeCell ref="AO1:AP1"/>
    <mergeCell ref="AC1:AD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A1:A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5E626-1CC2-400D-B69A-01A72C8A4E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Raw data</vt:lpstr>
      <vt:lpstr>Dynamic table</vt:lpstr>
      <vt:lpstr>Dynamic table processed</vt:lpstr>
      <vt:lpstr>Subpathways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2026-03-11T17:23:16Z</dcterms:created>
  <dcterms:modified xsi:type="dcterms:W3CDTF">2026-07-08T13:50:25Z</dcterms:modified>
</cp:coreProperties>
</file>