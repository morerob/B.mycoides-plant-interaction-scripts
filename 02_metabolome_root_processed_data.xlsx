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E:\Metaboloma time course colonizacion bacteria\Roots\"/>
    </mc:Choice>
  </mc:AlternateContent>
  <xr:revisionPtr revIDLastSave="0" documentId="13_ncr:1_{9939B5E1-4E95-48BB-B730-6EF395F740C5}" xr6:coauthVersionLast="47" xr6:coauthVersionMax="47" xr10:uidLastSave="{00000000-0000-0000-0000-000000000000}"/>
  <bookViews>
    <workbookView xWindow="43080" yWindow="-120" windowWidth="29040" windowHeight="15720" activeTab="2" xr2:uid="{00000000-000D-0000-FFFF-FFFF00000000}"/>
  </bookViews>
  <sheets>
    <sheet name="raw data" sheetId="1" r:id="rId1"/>
    <sheet name="Tabla dinamica superrutas" sheetId="2" r:id="rId2"/>
    <sheet name="dinamic table" sheetId="5" r:id="rId3"/>
    <sheet name="subpathways" sheetId="6" r:id="rId4"/>
  </sheets>
  <definedNames>
    <definedName name="_xlnm._FilterDatabase" localSheetId="0" hidden="1">'raw data'!$A$2:$F$1419</definedName>
    <definedName name="_xlnm._FilterDatabase" localSheetId="3" hidden="1">subpathways!$R$4:$R$105</definedName>
  </definedNames>
  <calcPr calcId="191029"/>
  <pivotCaches>
    <pivotCache cacheId="0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AG30" i="2"/>
  <c r="AC109" i="5"/>
  <c r="AC110" i="5"/>
  <c r="AC111" i="5"/>
  <c r="AC112" i="5"/>
  <c r="AC113" i="5"/>
  <c r="AC114" i="5"/>
  <c r="AC115" i="5"/>
  <c r="AC116" i="5"/>
  <c r="AC117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6" i="5"/>
  <c r="AG36" i="2" l="1"/>
  <c r="AH36" i="2"/>
  <c r="AI36" i="2"/>
  <c r="AJ36" i="2"/>
  <c r="AK36" i="2"/>
  <c r="AL36" i="2"/>
  <c r="AM36" i="2"/>
  <c r="AN36" i="2"/>
  <c r="AG37" i="2"/>
  <c r="AH39" i="2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AN31" i="2"/>
  <c r="AN32" i="2"/>
  <c r="AN33" i="2"/>
  <c r="AN34" i="2"/>
  <c r="AN35" i="2"/>
  <c r="AN37" i="2"/>
  <c r="AN38" i="2"/>
  <c r="AN39" i="2"/>
  <c r="AN40" i="2"/>
  <c r="AN41" i="2"/>
  <c r="AN42" i="2"/>
  <c r="AN43" i="2"/>
  <c r="AN44" i="2"/>
  <c r="AN45" i="2"/>
  <c r="AN46" i="2"/>
  <c r="AN30" i="2"/>
  <c r="AM31" i="2"/>
  <c r="AM32" i="2"/>
  <c r="AM33" i="2"/>
  <c r="AM34" i="2"/>
  <c r="AM35" i="2"/>
  <c r="AM37" i="2"/>
  <c r="AM38" i="2"/>
  <c r="AM39" i="2"/>
  <c r="AM40" i="2"/>
  <c r="AM41" i="2"/>
  <c r="AM42" i="2"/>
  <c r="AM43" i="2"/>
  <c r="AM44" i="2"/>
  <c r="AM45" i="2"/>
  <c r="AM46" i="2"/>
  <c r="AM30" i="2"/>
  <c r="AL31" i="2"/>
  <c r="AL32" i="2"/>
  <c r="AL33" i="2"/>
  <c r="AL34" i="2"/>
  <c r="AL35" i="2"/>
  <c r="AL37" i="2"/>
  <c r="AL38" i="2"/>
  <c r="AL39" i="2"/>
  <c r="AL40" i="2"/>
  <c r="AL41" i="2"/>
  <c r="AL42" i="2"/>
  <c r="AL43" i="2"/>
  <c r="AL44" i="2"/>
  <c r="AL45" i="2"/>
  <c r="AL46" i="2"/>
  <c r="AL30" i="2"/>
  <c r="AK31" i="2"/>
  <c r="AK32" i="2"/>
  <c r="AK33" i="2"/>
  <c r="AK34" i="2"/>
  <c r="AK35" i="2"/>
  <c r="AK37" i="2"/>
  <c r="AK38" i="2"/>
  <c r="AK39" i="2"/>
  <c r="AK40" i="2"/>
  <c r="AK41" i="2"/>
  <c r="AK42" i="2"/>
  <c r="AK43" i="2"/>
  <c r="AK44" i="2"/>
  <c r="AK45" i="2"/>
  <c r="AK46" i="2"/>
  <c r="AK30" i="2"/>
  <c r="AJ31" i="2"/>
  <c r="AJ32" i="2"/>
  <c r="AJ33" i="2"/>
  <c r="AJ34" i="2"/>
  <c r="AJ35" i="2"/>
  <c r="AJ37" i="2"/>
  <c r="AJ38" i="2"/>
  <c r="AJ39" i="2"/>
  <c r="AJ40" i="2"/>
  <c r="AJ41" i="2"/>
  <c r="AJ42" i="2"/>
  <c r="AJ43" i="2"/>
  <c r="AJ44" i="2"/>
  <c r="AJ45" i="2"/>
  <c r="AJ46" i="2"/>
  <c r="AJ30" i="2"/>
  <c r="AI30" i="2"/>
  <c r="AI31" i="2"/>
  <c r="AI32" i="2"/>
  <c r="AI33" i="2"/>
  <c r="AI34" i="2"/>
  <c r="AI35" i="2"/>
  <c r="AI37" i="2"/>
  <c r="AI38" i="2"/>
  <c r="AI39" i="2"/>
  <c r="AI40" i="2"/>
  <c r="AI41" i="2"/>
  <c r="AI42" i="2"/>
  <c r="AI43" i="2"/>
  <c r="AI44" i="2"/>
  <c r="AI45" i="2"/>
  <c r="AI46" i="2"/>
  <c r="AH31" i="2"/>
  <c r="AH32" i="2"/>
  <c r="AH33" i="2"/>
  <c r="AH34" i="2"/>
  <c r="AH35" i="2"/>
  <c r="AH37" i="2"/>
  <c r="AH38" i="2"/>
  <c r="AH40" i="2"/>
  <c r="AH41" i="2"/>
  <c r="AH42" i="2"/>
  <c r="AH43" i="2"/>
  <c r="AH44" i="2"/>
  <c r="AH45" i="2"/>
  <c r="AH46" i="2"/>
  <c r="AH30" i="2"/>
  <c r="AG31" i="2"/>
  <c r="AG32" i="2"/>
  <c r="AG33" i="2"/>
  <c r="AG34" i="2"/>
  <c r="AG35" i="2"/>
  <c r="AG38" i="2"/>
  <c r="AG39" i="2"/>
  <c r="AG40" i="2"/>
  <c r="AG41" i="2"/>
  <c r="AG42" i="2"/>
  <c r="AG43" i="2"/>
  <c r="AG44" i="2"/>
  <c r="AG45" i="2"/>
  <c r="AG46" i="2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marta orero bayo</author>
  </authors>
  <commentList>
    <comment ref="C2" authorId="0" shapeId="0" xr:uid="{679039DD-4A33-4BE2-B09A-BCE43008807D}">
      <text>
        <r>
          <rPr>
            <b/>
            <sz val="9"/>
            <color indexed="81"/>
            <rFont val="Tahoma"/>
            <family val="2"/>
          </rPr>
          <t>marta orero bayo:</t>
        </r>
        <r>
          <rPr>
            <sz val="9"/>
            <color indexed="81"/>
            <rFont val="Tahoma"/>
            <family val="2"/>
          </rPr>
          <t xml:space="preserve">
Si es ruta de Bm mas acumulado es Bm up y eso equivale a 1, y si en cambio es de ruta de compuestos que estan mas acumulados en C, eso quiere decir que estan más reprimidos en Bm, es decir, Bm down que equivale a -1</t>
        </r>
      </text>
    </comment>
  </commentList>
</comments>
</file>

<file path=xl/sharedStrings.xml><?xml version="1.0" encoding="utf-8"?>
<sst xmlns="http://schemas.openxmlformats.org/spreadsheetml/2006/main" count="3919" uniqueCount="173">
  <si>
    <t>Pathway</t>
  </si>
  <si>
    <t>Day</t>
  </si>
  <si>
    <t>Direction</t>
  </si>
  <si>
    <t>Ion</t>
  </si>
  <si>
    <t>Superpathway</t>
  </si>
  <si>
    <t>Marker hits</t>
  </si>
  <si>
    <t>-</t>
  </si>
  <si>
    <t>Purine metabolism - Solanum lycopersicum (tomato)</t>
  </si>
  <si>
    <t>Amino sugar and nucleotide sugar metabolism - Solanum lycopersicum (tomato)</t>
  </si>
  <si>
    <t>Galactose metabolism - Solanum lycopersicum (tomato)</t>
  </si>
  <si>
    <t>Pyrimidine metabolism - Solanum lycopersicum (tomato)</t>
  </si>
  <si>
    <t>Pentose and glucuronate interconversions - Solanum lycopersicum (tomato)</t>
  </si>
  <si>
    <t>Ascorbate and aldarate metabolism - Solanum lycopersicum (tomato)</t>
  </si>
  <si>
    <t>Zeatin biosynthesis - Solanum lycopersicum (tomato)</t>
  </si>
  <si>
    <t>Isoquinoline alkaloid biosynthesis - Solanum lycopersicum (tomato)</t>
  </si>
  <si>
    <t>Citrate cycle (TCA cycle) - Solanum lycopersicum (tomato)</t>
  </si>
  <si>
    <t>Pentose phosphate pathway - Solanum lycopersicum (tomato)</t>
  </si>
  <si>
    <t>Tyrosine metabolism - Solanum lycopersicum (tomato)</t>
  </si>
  <si>
    <t>Phenylalanine metabolism - Solanum lycopersicum (tomato)</t>
  </si>
  <si>
    <t>Tryptophan metabolism - Solanum lycopersicum (tomato)</t>
  </si>
  <si>
    <t>Starch and sucrose metabolism - Solanum lycopersicum (tomato)</t>
  </si>
  <si>
    <t>Glycerolipid metabolism - Solanum lycopersicum (tomato)</t>
  </si>
  <si>
    <t>C5-Branched dibasic acid metabolism - Solanum lycopersicum (tomato)</t>
  </si>
  <si>
    <t>Carbon fixation in photosynthetic organisms - Solanum lycopersicum (tomato)</t>
  </si>
  <si>
    <t>Riboflavin metabolism - Solanum lycopersicum (tomato)</t>
  </si>
  <si>
    <t>Vitamin B6 metabolism - Solanum lycopersicum (tomato)</t>
  </si>
  <si>
    <t>Nicotinate and nicotinamide metabolism - Solanum lycopersicum (tomato)</t>
  </si>
  <si>
    <t>Biotin metabolism - Solanum lycopersicum (tomato)</t>
  </si>
  <si>
    <t>Monoterpenoid biosynthesis - Solanum lycopersicum (tomato)</t>
  </si>
  <si>
    <t>Nitrogen metabolism - Solanum lycopersicum (tomato)</t>
  </si>
  <si>
    <t>Phenylpropanoid biosynthesis - Solanum lycopersicum (tomato)</t>
  </si>
  <si>
    <t>Glucosinolate biosynthesis - Solanum lycopersicum (tomato)</t>
  </si>
  <si>
    <t>Carbon metabolism - Solanum lycopersicum (tomato)</t>
  </si>
  <si>
    <t>2-Oxocarboxylic acid metabolism - Solanum lycopersicum (tomato)</t>
  </si>
  <si>
    <t>Biosynthesis of amino acids - Solanum lycopersicum (tomato)</t>
  </si>
  <si>
    <t>ABC transporters - Solanum lycopersicum (tomato)</t>
  </si>
  <si>
    <t>Lignans</t>
  </si>
  <si>
    <t>Primary metabolism</t>
  </si>
  <si>
    <t>Degradation of aromatic compounds - Solanum lycopersicum (tomato)</t>
  </si>
  <si>
    <t>Glycolysis / Gluconeogenesis - Solanum lycopersicum (tomato)</t>
  </si>
  <si>
    <t>Cutin; suberine and wax biosynthesis - Solanum lycopersicum (tomato)</t>
  </si>
  <si>
    <t>Oxidative phosphorylation - Solanum lycopersicum (tomato)</t>
  </si>
  <si>
    <t>Alanine; aspartate and glutamate metabolism - Solanum lycopersicum (tomato)</t>
  </si>
  <si>
    <t>Lysine biosynthesis - Solanum lycopersicum (tomato)</t>
  </si>
  <si>
    <t>Histidine metabolism - Solanum lycopersicum (tomato)</t>
  </si>
  <si>
    <t>Taurine and hypotaurine metabolism - Solanum lycopersicum (tomato)</t>
  </si>
  <si>
    <t>Linoleic acid metabolism - Solanum lycopersicum (tomato)</t>
  </si>
  <si>
    <t>Glyoxylate and dicarboxylate metabolism - Solanum lycopersicum (tomato)</t>
  </si>
  <si>
    <t>Butanoate metabolism - Solanum lycopersicum (tomato)</t>
  </si>
  <si>
    <t>Phenylpropanoids biosynthesis</t>
  </si>
  <si>
    <t>alpha-Linolenic acid metabolism - Solanum lycopersicum (tomato)</t>
  </si>
  <si>
    <t>Limonene and pinene degradation - Solanum lycopersicum (tomato)</t>
  </si>
  <si>
    <t>Alkaloids Library</t>
  </si>
  <si>
    <t>Phenylalanine; tyrosine and tryptophan biosynthesis - Solanum lycopersicum (tomato)</t>
  </si>
  <si>
    <t>Cysteine and methionine metabolism - Solanum lycopersicum (tomato)</t>
  </si>
  <si>
    <t>Tropane; piperidine and pyridine alkaloid biosynthesis - Solanum lycopersicum (tomato)</t>
  </si>
  <si>
    <t>Biosynthesis of unsaturated fatty acids - Solanum lycopersicum (tomato)</t>
  </si>
  <si>
    <t>Flavonoid biosynthesis - Solanum lycopersicum (tomato)</t>
  </si>
  <si>
    <t>Glycine; serine and threonine metabolism - Solanum lycopersicum (tomato)</t>
  </si>
  <si>
    <t>Inositol phosphate metabolism - Solanum lycopersicum (tomato)</t>
  </si>
  <si>
    <t>Pantothenate and CoA biosynthesis - Solanum lycopersicum (tomato)</t>
  </si>
  <si>
    <t>Fatty acid biosynthesis - Solanum lycopersicum (tomato)</t>
  </si>
  <si>
    <t>Ubiquinone and other terpenoid-quinone biosynthesis - Solanum lycopersicum (tomato)</t>
  </si>
  <si>
    <t>Arginine and proline metabolism - Solanum lycopersicum (tomato)</t>
  </si>
  <si>
    <t>Porphyrin and chlorophyll metabolism - Solanum lycopersicum (tomato)</t>
  </si>
  <si>
    <t>Secondary metabolism</t>
  </si>
  <si>
    <t>Fructose and mannose metabolism - Solanum lycopersicum (tomato)</t>
  </si>
  <si>
    <t>Pyruvate metabolism - Solanum lycopersicum (tomato)</t>
  </si>
  <si>
    <t>beta-Alanine metabolism - Solanum lycopersicum (tomato)</t>
  </si>
  <si>
    <t>Cyanoamino acid metabolism - Solanum lycopersicum (tomato)</t>
  </si>
  <si>
    <t>Terpenoid backbone biosynthesis - Solanum lycopersicum (tomato)</t>
  </si>
  <si>
    <t>Diterpenoid biosynthesis - Solanum lycopersicum (tomato)</t>
  </si>
  <si>
    <t>Sesquiterpenoid and triterpenoid biosynthesis - Solanum lycopersicum (tomato)</t>
  </si>
  <si>
    <t>Sulfur metabolism - Solanum lycopersicum (tomato)</t>
  </si>
  <si>
    <t>Anthocyanin biosynthesis - Solanum lycopersicum (tomato)</t>
  </si>
  <si>
    <t>Flavone and flavonol biosynthesis - Solanum lycopersicum (tomato)</t>
  </si>
  <si>
    <t>Caffeine metabolism - Solanum lycopersicum (tomato)</t>
  </si>
  <si>
    <t>Glutathione metabolism - Solanum lycopersicum (tomato)</t>
  </si>
  <si>
    <t>Arachidonic acid metabolism - Solanum lycopersicum (tomato)</t>
  </si>
  <si>
    <t>Carotenoid biosynthesis - Solanum lycopersicum (tomato)</t>
  </si>
  <si>
    <t>Plant hormone signal transduction - Solanum lycopersicum (tomato)</t>
  </si>
  <si>
    <t>Indole derivatives</t>
  </si>
  <si>
    <t>Valine; leucine and isoleucine biosynthesis - Solanum lycopersicum (tomato)</t>
  </si>
  <si>
    <t>Propanoate metabolism - Solanum lycopersicum (tomato)</t>
  </si>
  <si>
    <t>Stilbenoid; diarylheptanoid and gingerol biosynthesis - Solanum lycopersicum (tomato)</t>
  </si>
  <si>
    <t>Fatty acid elongation - Solanum lycopersicum (tomato)</t>
  </si>
  <si>
    <t>Fatty acid degradation - Solanum lycopersicum (tomato)</t>
  </si>
  <si>
    <t>Selenocompound metabolism - Solanum lycopersicum (tomato)</t>
  </si>
  <si>
    <t>Glycerophospholipid metabolism - Solanum lycopersicum (tomato)</t>
  </si>
  <si>
    <t>Thiamine metabolism - Solanum lycopersicum (tomato)</t>
  </si>
  <si>
    <t>Folate biosynthesis - Solanum lycopersicum (tomato)</t>
  </si>
  <si>
    <t>Aminoacyl-tRNA biosynthesis - Solanum lycopersicum (tomato)</t>
  </si>
  <si>
    <t>Fatty acid metabolism - Solanum lycopersicum (tomato)</t>
  </si>
  <si>
    <t>Phosphatidylinositol signaling system - Solanum lycopersicum (tomato)</t>
  </si>
  <si>
    <t>Plant-pathogen interaction - Solanum lycopersicum (tomato)</t>
  </si>
  <si>
    <t>Amino acids</t>
  </si>
  <si>
    <t>JA biosynthesis</t>
  </si>
  <si>
    <t>Podophyllotoxin</t>
  </si>
  <si>
    <t>Diconiferyle</t>
  </si>
  <si>
    <t>Valine; leucine and isoleucine degradation - Solanum lycopersicum (tomato)</t>
  </si>
  <si>
    <t>Lysine degradation - Solanum lycopersicum (tomato)</t>
  </si>
  <si>
    <t>Flavonoids</t>
  </si>
  <si>
    <t>put Lignans</t>
  </si>
  <si>
    <t>Brassinosteroid biosynthesis - Solanum lycopersicum (tomato)</t>
  </si>
  <si>
    <t>Abscisic Acid</t>
  </si>
  <si>
    <t>Ether lipid metabolism - Solanum lycopersicum (tomato)</t>
  </si>
  <si>
    <t>Synthesis and degradation of ketone bodies - Solanum lycopersicum (tomato)</t>
  </si>
  <si>
    <t>Lipoic acid metabolism - Solanum lycopersicum (tomato)</t>
  </si>
  <si>
    <t>RNA transport - Solanum lycopersicum (tomato)</t>
  </si>
  <si>
    <t>db/grp/intern/G_Sec0001</t>
  </si>
  <si>
    <t>Sulfur relay system - Solanum lycopersicum (tomato)</t>
  </si>
  <si>
    <t>+</t>
  </si>
  <si>
    <t>One carbon pool by folate - Solanum lycopersicum (tomato)</t>
  </si>
  <si>
    <t>Polyamines</t>
  </si>
  <si>
    <t>Metabolic pathways - Solanum lycopersicum (tomato)</t>
  </si>
  <si>
    <t>Sphingolipid metabolism - Solanum lycopersicum (tomato)</t>
  </si>
  <si>
    <t>Photosynthesis - Solanum lycopersicum (tomato)</t>
  </si>
  <si>
    <t>Steroid biosynthesis - Solanum lycopersicum (tomato)</t>
  </si>
  <si>
    <t>Regulation of autophagy - Solanum lycopersicum (tomato)</t>
  </si>
  <si>
    <t>Pathwar</t>
  </si>
  <si>
    <t>superpathway</t>
  </si>
  <si>
    <t>Amino acid metabolism</t>
  </si>
  <si>
    <t>Membrane transport</t>
  </si>
  <si>
    <t>Alkaloid metabolism</t>
  </si>
  <si>
    <t>Lipid metabolism</t>
  </si>
  <si>
    <t>Glycan biosynthesis and metabolism</t>
  </si>
  <si>
    <t>Genetic Information Processing</t>
  </si>
  <si>
    <t>Phenylpropanoid metabolism</t>
  </si>
  <si>
    <t>Carbohydrate metabolism</t>
  </si>
  <si>
    <t>Metabolism of cofactors and vitamins</t>
  </si>
  <si>
    <t>Metabolism of terpenoids and polyketides</t>
  </si>
  <si>
    <t>Biosynthesis of other secondary metabolites</t>
  </si>
  <si>
    <t>Carbon metabolism</t>
  </si>
  <si>
    <t xml:space="preserve">Carbon metabolism </t>
  </si>
  <si>
    <t>Terpenoid metabolism</t>
  </si>
  <si>
    <t>db/grp/intern/G_Lign0001</t>
  </si>
  <si>
    <t>Degradation of aromatic compounds</t>
  </si>
  <si>
    <t>Glucosinolate biosynthesis</t>
  </si>
  <si>
    <t>Energy metabolism</t>
  </si>
  <si>
    <t>Phenylpropanoid biosynthesis</t>
  </si>
  <si>
    <t>Signal transduction</t>
  </si>
  <si>
    <t>Biosynthesis of phenylpropanoids</t>
  </si>
  <si>
    <t>Nucleotide metabolism</t>
  </si>
  <si>
    <t>Metabolism of cofactors and vitamin</t>
  </si>
  <si>
    <t>Stilbenoid; diarylheptanoid and gingerol biosynthesis</t>
  </si>
  <si>
    <t>Total general</t>
  </si>
  <si>
    <t>Fatty acid metabolism</t>
  </si>
  <si>
    <t>Plant-pathogen interaction</t>
  </si>
  <si>
    <t>Etiquetas de fila</t>
  </si>
  <si>
    <t>(en blanco)</t>
  </si>
  <si>
    <t>Etiquetas de columna</t>
  </si>
  <si>
    <t>Total 3</t>
  </si>
  <si>
    <t>Total 4</t>
  </si>
  <si>
    <t>Total 5</t>
  </si>
  <si>
    <t>Total 6</t>
  </si>
  <si>
    <t>Total 7</t>
  </si>
  <si>
    <t>Total 8</t>
  </si>
  <si>
    <t>Total 9</t>
  </si>
  <si>
    <t>Total 10</t>
  </si>
  <si>
    <t>Total (en blanco)</t>
  </si>
  <si>
    <t>Suma de Marker hits</t>
  </si>
  <si>
    <t>Pathways</t>
  </si>
  <si>
    <t>3d</t>
  </si>
  <si>
    <t>4d</t>
  </si>
  <si>
    <t>5d</t>
  </si>
  <si>
    <t>6d</t>
  </si>
  <si>
    <t>7d</t>
  </si>
  <si>
    <t>8d</t>
  </si>
  <si>
    <t>9d</t>
  </si>
  <si>
    <t>10d</t>
  </si>
  <si>
    <t>Roots</t>
  </si>
  <si>
    <t>SuperPatheay</t>
  </si>
  <si>
    <t>SuperPathway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</si>
</sst>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pivotButton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6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Nº</a:t>
            </a:r>
            <a:r>
              <a:rPr lang="en-US" sz="1600" baseline="0"/>
              <a:t> of marker hits 4 days post inoculation</a:t>
            </a:r>
            <a:endParaRPr lang="en-US" sz="1600"/>
          </a:p>
        </c:rich>
      </c:tx>
      <c:layout>
        <c:manualLayout>
          <c:xMode val="edge"/>
          <c:yMode val="edge"/>
          <c:x val="0.22244321232925501"/>
          <c:y val="1.6300731442607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dinamica superrutas'!$AG$50</c:f>
              <c:strCache>
                <c:ptCount val="1"/>
                <c:pt idx="0">
                  <c:v>4d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 dinamica superrutas'!$AF$51:$AF$67</c:f>
              <c:strCache>
                <c:ptCount val="17"/>
                <c:pt idx="0">
                  <c:v>Carbon metabolism </c:v>
                </c:pt>
                <c:pt idx="1">
                  <c:v>Carbohydrate metabolism</c:v>
                </c:pt>
                <c:pt idx="2">
                  <c:v>Nucleotide metabolism</c:v>
                </c:pt>
                <c:pt idx="3">
                  <c:v>Terpenoid metabolism</c:v>
                </c:pt>
                <c:pt idx="4">
                  <c:v>Phenylpropanoid metabolism</c:v>
                </c:pt>
                <c:pt idx="5">
                  <c:v>Lipid metabolism</c:v>
                </c:pt>
                <c:pt idx="6">
                  <c:v>Plant-pathogen interaction</c:v>
                </c:pt>
                <c:pt idx="7">
                  <c:v>Metabolism of cofactors and vitamins</c:v>
                </c:pt>
                <c:pt idx="8">
                  <c:v>Degradation of aromatic compounds</c:v>
                </c:pt>
                <c:pt idx="9">
                  <c:v>Amino acid metabolism</c:v>
                </c:pt>
                <c:pt idx="10">
                  <c:v>Glucosinolate biosynthesis</c:v>
                </c:pt>
                <c:pt idx="11">
                  <c:v>Glycan biosynthesis and metabolism</c:v>
                </c:pt>
                <c:pt idx="12">
                  <c:v>Energy metabolism</c:v>
                </c:pt>
                <c:pt idx="13">
                  <c:v>Alkaloid metabolism</c:v>
                </c:pt>
                <c:pt idx="14">
                  <c:v>Membrane transport</c:v>
                </c:pt>
                <c:pt idx="15">
                  <c:v>Signal transduction</c:v>
                </c:pt>
                <c:pt idx="16">
                  <c:v>Genetic Information Processing</c:v>
                </c:pt>
              </c:strCache>
            </c:strRef>
          </c:cat>
          <c:val>
            <c:numRef>
              <c:f>'Tabla dinamica superrutas'!$AG$51:$AG$67</c:f>
              <c:numCache>
                <c:formatCode>General</c:formatCode>
                <c:ptCount val="17"/>
                <c:pt idx="0">
                  <c:v>38</c:v>
                </c:pt>
                <c:pt idx="1">
                  <c:v>145</c:v>
                </c:pt>
                <c:pt idx="2">
                  <c:v>41</c:v>
                </c:pt>
                <c:pt idx="3">
                  <c:v>82</c:v>
                </c:pt>
                <c:pt idx="4">
                  <c:v>109</c:v>
                </c:pt>
                <c:pt idx="5">
                  <c:v>128</c:v>
                </c:pt>
                <c:pt idx="6">
                  <c:v>2</c:v>
                </c:pt>
                <c:pt idx="7">
                  <c:v>87</c:v>
                </c:pt>
                <c:pt idx="8">
                  <c:v>68</c:v>
                </c:pt>
                <c:pt idx="9">
                  <c:v>290</c:v>
                </c:pt>
                <c:pt idx="10">
                  <c:v>29</c:v>
                </c:pt>
                <c:pt idx="11">
                  <c:v>16</c:v>
                </c:pt>
                <c:pt idx="12">
                  <c:v>14</c:v>
                </c:pt>
                <c:pt idx="13">
                  <c:v>50</c:v>
                </c:pt>
                <c:pt idx="14">
                  <c:v>13</c:v>
                </c:pt>
                <c:pt idx="15">
                  <c:v>6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8-48D0-87F8-C58D0D72B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9721343"/>
        <c:axId val="2019721823"/>
      </c:barChart>
      <c:catAx>
        <c:axId val="2019721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9721823"/>
        <c:crosses val="autoZero"/>
        <c:auto val="1"/>
        <c:lblAlgn val="ctr"/>
        <c:lblOffset val="100"/>
        <c:noMultiLvlLbl val="0"/>
      </c:catAx>
      <c:valAx>
        <c:axId val="201972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9721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37418</xdr:colOff>
      <xdr:row>49</xdr:row>
      <xdr:rowOff>29934</xdr:rowOff>
    </xdr:from>
    <xdr:to>
      <xdr:col>42</xdr:col>
      <xdr:colOff>122464</xdr:colOff>
      <xdr:row>78</xdr:row>
      <xdr:rowOff>156482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05DD35-E626-6115-433C-A025FD13C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orero bayo" refreshedDate="46104.496125347221" createdVersion="8" refreshedVersion="8" minRefreshableVersion="3" recordCount="1418" xr:uid="{C8A2922B-98E3-4C99-A0FD-AA68A49EC5D3}">
  <cacheSource type="worksheet">
    <worksheetSource ref="A2:F1048576" sheet="raw data"/>
  </cacheSource>
  <cacheFields count="6">
    <cacheField name="Pathway" numFmtId="0">
      <sharedItems containsBlank="1"/>
    </cacheField>
    <cacheField name="Day" numFmtId="0">
      <sharedItems containsString="0" containsBlank="1" containsNumber="1" containsInteger="1" minValue="3" maxValue="10" count="9">
        <n v="3"/>
        <n v="4"/>
        <n v="5"/>
        <n v="6"/>
        <n v="7"/>
        <n v="8"/>
        <n v="9"/>
        <n v="10"/>
        <m/>
      </sharedItems>
    </cacheField>
    <cacheField name="Direction" numFmtId="0">
      <sharedItems containsString="0" containsBlank="1" containsNumber="1" containsInteger="1" minValue="-1" maxValue="1" count="3">
        <n v="1"/>
        <n v="-1"/>
        <m/>
      </sharedItems>
    </cacheField>
    <cacheField name="Ion" numFmtId="0">
      <sharedItems containsBlank="1"/>
    </cacheField>
    <cacheField name="Marker hits" numFmtId="0">
      <sharedItems containsString="0" containsBlank="1" containsNumber="1" containsInteger="1" minValue="1" maxValue="40"/>
    </cacheField>
    <cacheField name="Superpathway" numFmtId="0">
      <sharedItems containsBlank="1" containsMixedTypes="1" containsNumber="1" containsInteger="1" minValue="0" maxValue="0" count="32">
        <s v="Nucleotide metabolism"/>
        <s v="Glycan biosynthesis and metabolism"/>
        <s v="Carbohydrate metabolism"/>
        <s v="Terpenoid metabolism"/>
        <s v="Alkaloid metabolism"/>
        <s v="Carbon metabolism"/>
        <s v="Amino acid metabolism"/>
        <s v="Lipid metabolism"/>
        <s v="Metabolism of cofactors and vitamin"/>
        <s v="Metabolism of cofactors and vitamins"/>
        <s v="Metabolism of terpenoids and polyketides"/>
        <s v="Energy metabolism"/>
        <s v="Phenylpropanoid biosynthesis"/>
        <s v="Glucosinolate biosynthesis"/>
        <s v="Carbon metabolism "/>
        <s v="Membrane transport"/>
        <s v="Phenylpropanoid metabolism"/>
        <s v="Primary metabolism"/>
        <s v="Degradation of aromatic compounds"/>
        <s v="Secondary metabolism"/>
        <s v="Biosynthesis of other secondary metabolites"/>
        <s v="Signal transduction"/>
        <s v="Stilbenoid; diarylheptanoid and gingerol biosynthesis"/>
        <s v="Genetic Information Processing"/>
        <s v="Fatty acid metabolism"/>
        <s v="Plant-pathogen interaction"/>
        <s v="JA biosynthesis"/>
        <s v="Biosynthesis of phenylpropanoids"/>
        <n v="0"/>
        <s v="Lignans"/>
        <s v="Abscisic Aci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orero bayo" refreshedDate="46111.555381828701" createdVersion="8" refreshedVersion="8" minRefreshableVersion="3" recordCount="1418" xr:uid="{CF510E9D-29B3-4F25-8897-B62978A04E1A}">
  <cacheSource type="worksheet">
    <worksheetSource ref="A2:E1048576" sheet="raw data"/>
  </cacheSource>
  <cacheFields count="5">
    <cacheField name="Pathway" numFmtId="0">
      <sharedItems containsBlank="1" count="112">
        <s v="Purine metabolism - Solanum lycopersicum (tomato)"/>
        <s v="Amino sugar and nucleotide sugar metabolism - Solanum lycopersicum (tomato)"/>
        <s v="Galactose metabolism - Solanum lycopersicum (tomato)"/>
        <s v="Pyrimidine metabolism - Solanum lycopersicum (tomato)"/>
        <s v="Pentose and glucuronate interconversions - Solanum lycopersicum (tomato)"/>
        <s v="Ascorbate and aldarate metabolism - Solanum lycopersicum (tomato)"/>
        <s v="Zeatin biosynthesis - Solanum lycopersicum (tomato)"/>
        <s v="Isoquinoline alkaloid biosynthesis - Solanum lycopersicum (tomato)"/>
        <s v="Citrate cycle (TCA cycle) - Solanum lycopersicum (tomato)"/>
        <s v="Pentose phosphate pathway - Solanum lycopersicum (tomato)"/>
        <s v="Tyrosine metabolism - Solanum lycopersicum (tomato)"/>
        <s v="Phenylalanine metabolism - Solanum lycopersicum (tomato)"/>
        <s v="Tryptophan metabolism - Solanum lycopersicum (tomato)"/>
        <s v="Starch and sucrose metabolism - Solanum lycopersicum (tomato)"/>
        <s v="Glycerolipid metabolism - Solanum lycopersicum (tomato)"/>
        <s v="C5-Branched dibasic acid metabolism - Solanum lycopersicum (tomato)"/>
        <s v="Carbon fixation in photosynthetic organisms - Solanum lycopersicum (tomato)"/>
        <s v="Riboflavin metabolism - Solanum lycopersicum (tomato)"/>
        <s v="Vitamin B6 metabolism - Solanum lycopersicum (tomato)"/>
        <s v="Nicotinate and nicotinamide metabolism - Solanum lycopersicum (tomato)"/>
        <s v="Biotin metabolism - Solanum lycopersicum (tomato)"/>
        <s v="Monoterpenoid biosynthesis - Solanum lycopersicum (tomato)"/>
        <s v="Nitrogen metabolism - Solanum lycopersicum (tomato)"/>
        <s v="Phenylpropanoid biosynthesis - Solanum lycopersicum (tomato)"/>
        <s v="Glucosinolate biosynthesis - Solanum lycopersicum (tomato)"/>
        <s v="Carbon metabolism - Solanum lycopersicum (tomato)"/>
        <s v="2-Oxocarboxylic acid metabolism - Solanum lycopersicum (tomato)"/>
        <s v="Biosynthesis of amino acids - Solanum lycopersicum (tomato)"/>
        <s v="ABC transporters - Solanum lycopersicum (tomato)"/>
        <s v="Lignans"/>
        <s v="Primary metabolism"/>
        <s v="Degradation of aromatic compounds - Solanum lycopersicum (tomato)"/>
        <s v="Glycolysis / Gluconeogenesis - Solanum lycopersicum (tomato)"/>
        <s v="Cutin; suberine and wax biosynthesis - Solanum lycopersicum (tomato)"/>
        <s v="Oxidative phosphorylation - Solanum lycopersicum (tomato)"/>
        <s v="Alanine; aspartate and glutamate metabolism - Solanum lycopersicum (tomato)"/>
        <s v="Lysine biosynthesis - Solanum lycopersicum (tomato)"/>
        <s v="Histidine metabolism - Solanum lycopersicum (tomato)"/>
        <s v="Taurine and hypotaurine metabolism - Solanum lycopersicum (tomato)"/>
        <s v="Linoleic acid metabolism - Solanum lycopersicum (tomato)"/>
        <s v="Glyoxylate and dicarboxylate metabolism - Solanum lycopersicum (tomato)"/>
        <s v="Butanoate metabolism - Solanum lycopersicum (tomato)"/>
        <s v="Phenylpropanoids biosynthesis"/>
        <s v="alpha-Linolenic acid metabolism - Solanum lycopersicum (tomato)"/>
        <s v="Limonene and pinene degradation - Solanum lycopersicum (tomato)"/>
        <s v="Alkaloids Library"/>
        <s v="Phenylalanine; tyrosine and tryptophan biosynthesis - Solanum lycopersicum (tomato)"/>
        <s v="Cysteine and methionine metabolism - Solanum lycopersicum (tomato)"/>
        <s v="Tropane; piperidine and pyridine alkaloid biosynthesis - Solanum lycopersicum (tomato)"/>
        <s v="Biosynthesis of unsaturated fatty acids - Solanum lycopersicum (tomato)"/>
        <s v="Flavonoid biosynthesis - Solanum lycopersicum (tomato)"/>
        <s v="Glycine; serine and threonine metabolism - Solanum lycopersicum (tomato)"/>
        <s v="Inositol phosphate metabolism - Solanum lycopersicum (tomato)"/>
        <s v="Pantothenate and CoA biosynthesis - Solanum lycopersicum (tomato)"/>
        <s v="Fatty acid biosynthesis - Solanum lycopersicum (tomato)"/>
        <s v="Ubiquinone and other terpenoid-quinone biosynthesis - Solanum lycopersicum (tomato)"/>
        <s v="Arginine and proline metabolism - Solanum lycopersicum (tomato)"/>
        <s v="Porphyrin and chlorophyll metabolism - Solanum lycopersicum (tomato)"/>
        <s v="Secondary metabolism"/>
        <s v="Fructose and mannose metabolism - Solanum lycopersicum (tomato)"/>
        <s v="Pyruvate metabolism - Solanum lycopersicum (tomato)"/>
        <s v="beta-Alanine metabolism - Solanum lycopersicum (tomato)"/>
        <s v="Cyanoamino acid metabolism - Solanum lycopersicum (tomato)"/>
        <s v="Terpenoid backbone biosynthesis - Solanum lycopersicum (tomato)"/>
        <s v="Diterpenoid biosynthesis - Solanum lycopersicum (tomato)"/>
        <s v="Sesquiterpenoid and triterpenoid biosynthesis - Solanum lycopersicum (tomato)"/>
        <s v="Sulfur metabolism - Solanum lycopersicum (tomato)"/>
        <s v="Anthocyanin biosynthesis - Solanum lycopersicum (tomato)"/>
        <s v="Flavone and flavonol biosynthesis - Solanum lycopersicum (tomato)"/>
        <s v="Caffeine metabolism - Solanum lycopersicum (tomato)"/>
        <s v="Glutathione metabolism - Solanum lycopersicum (tomato)"/>
        <s v="Arachidonic acid metabolism - Solanum lycopersicum (tomato)"/>
        <s v="Carotenoid biosynthesis - Solanum lycopersicum (tomato)"/>
        <s v="Plant hormone signal transduction - Solanum lycopersicum (tomato)"/>
        <s v="Indole derivatives"/>
        <s v="Valine; leucine and isoleucine biosynthesis - Solanum lycopersicum (tomato)"/>
        <s v="Propanoate metabolism - Solanum lycopersicum (tomato)"/>
        <s v="Stilbenoid; diarylheptanoid and gingerol biosynthesis - Solanum lycopersicum (tomato)"/>
        <s v="Fatty acid elongation - Solanum lycopersicum (tomato)"/>
        <s v="Fatty acid degradation - Solanum lycopersicum (tomato)"/>
        <s v="Selenocompound metabolism - Solanum lycopersicum (tomato)"/>
        <s v="Glycerophospholipid metabolism - Solanum lycopersicum (tomato)"/>
        <s v="Thiamine metabolism - Solanum lycopersicum (tomato)"/>
        <s v="Folate biosynthesis - Solanum lycopersicum (tomato)"/>
        <s v="Aminoacyl-tRNA biosynthesis - Solanum lycopersicum (tomato)"/>
        <s v="Fatty acid metabolism - Solanum lycopersicum (tomato)"/>
        <s v="Phosphatidylinositol signaling system - Solanum lycopersicum (tomato)"/>
        <s v="Plant-pathogen interaction - Solanum lycopersicum (tomato)"/>
        <s v="Amino acids"/>
        <s v="JA biosynthesis"/>
        <s v="Podophyllotoxin"/>
        <s v="Diconiferyle"/>
        <s v="Valine; leucine and isoleucine degradation - Solanum lycopersicum (tomato)"/>
        <s v="Lysine degradation - Solanum lycopersicum (tomato)"/>
        <s v="Flavonoids"/>
        <s v="put Lignans"/>
        <s v="Brassinosteroid biosynthesis - Solanum lycopersicum (tomato)"/>
        <s v="Abscisic Acid"/>
        <s v="Ether lipid metabolism - Solanum lycopersicum (tomato)"/>
        <s v="Synthesis and degradation of ketone bodies - Solanum lycopersicum (tomato)"/>
        <s v="Lipoic acid metabolism - Solanum lycopersicum (tomato)"/>
        <s v="RNA transport - Solanum lycopersicum (tomato)"/>
        <s v="db/grp/intern/G_Sec0001"/>
        <s v="Sulfur relay system - Solanum lycopersicum (tomato)"/>
        <s v="One carbon pool by folate - Solanum lycopersicum (tomato)"/>
        <s v="Polyamines"/>
        <s v="Metabolic pathways - Solanum lycopersicum (tomato)"/>
        <s v="Sphingolipid metabolism - Solanum lycopersicum (tomato)"/>
        <s v="Photosynthesis - Solanum lycopersicum (tomato)"/>
        <s v="Steroid biosynthesis - Solanum lycopersicum (tomato)"/>
        <s v="Regulation of autophagy - Solanum lycopersicum (tomato)"/>
        <m/>
      </sharedItems>
    </cacheField>
    <cacheField name="Day" numFmtId="0">
      <sharedItems containsString="0" containsBlank="1" containsNumber="1" containsInteger="1" minValue="3" maxValue="10" count="9">
        <n v="3"/>
        <n v="4"/>
        <n v="5"/>
        <n v="6"/>
        <n v="7"/>
        <n v="8"/>
        <n v="9"/>
        <n v="10"/>
        <m/>
      </sharedItems>
    </cacheField>
    <cacheField name="Direction" numFmtId="0">
      <sharedItems containsString="0" containsBlank="1" containsNumber="1" containsInteger="1" minValue="-1" maxValue="1" count="3">
        <n v="1"/>
        <n v="-1"/>
        <m/>
      </sharedItems>
    </cacheField>
    <cacheField name="Ion" numFmtId="0">
      <sharedItems containsBlank="1" count="3">
        <s v="-"/>
        <s v="+"/>
        <m/>
      </sharedItems>
    </cacheField>
    <cacheField name="Marker hits" numFmtId="0">
      <sharedItems containsString="0" containsBlank="1" containsNumber="1" containsInteger="1" minValue="1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8">
  <r>
    <s v="Purine metabolism - Solanum lycopersicum (tomato)"/>
    <x v="0"/>
    <x v="0"/>
    <s v="-"/>
    <n v="4"/>
    <x v="0"/>
  </r>
  <r>
    <s v="Amino sugar and nucleotide sugar metabolism - Solanum lycopersicum (tomato)"/>
    <x v="0"/>
    <x v="0"/>
    <s v="-"/>
    <n v="3"/>
    <x v="1"/>
  </r>
  <r>
    <s v="Galactose metabolism - Solanum lycopersicum (tomato)"/>
    <x v="0"/>
    <x v="0"/>
    <s v="-"/>
    <n v="2"/>
    <x v="2"/>
  </r>
  <r>
    <s v="Pyrimidine metabolism - Solanum lycopersicum (tomato)"/>
    <x v="0"/>
    <x v="0"/>
    <s v="-"/>
    <n v="2"/>
    <x v="0"/>
  </r>
  <r>
    <s v="Pentose and glucuronate interconversions - Solanum lycopersicum (tomato)"/>
    <x v="0"/>
    <x v="0"/>
    <s v="-"/>
    <n v="2"/>
    <x v="2"/>
  </r>
  <r>
    <s v="Ascorbate and aldarate metabolism - Solanum lycopersicum (tomato)"/>
    <x v="0"/>
    <x v="0"/>
    <s v="-"/>
    <n v="2"/>
    <x v="2"/>
  </r>
  <r>
    <s v="Zeatin biosynthesis - Solanum lycopersicum (tomato)"/>
    <x v="0"/>
    <x v="0"/>
    <s v="-"/>
    <n v="4"/>
    <x v="3"/>
  </r>
  <r>
    <s v="Isoquinoline alkaloid biosynthesis - Solanum lycopersicum (tomato)"/>
    <x v="0"/>
    <x v="0"/>
    <s v="-"/>
    <n v="2"/>
    <x v="4"/>
  </r>
  <r>
    <s v="Citrate cycle (TCA cycle) - Solanum lycopersicum (tomato)"/>
    <x v="0"/>
    <x v="0"/>
    <s v="-"/>
    <n v="1"/>
    <x v="5"/>
  </r>
  <r>
    <s v="Pentose phosphate pathway - Solanum lycopersicum (tomato)"/>
    <x v="0"/>
    <x v="0"/>
    <s v="-"/>
    <n v="1"/>
    <x v="2"/>
  </r>
  <r>
    <s v="Tyrosine metabolism - Solanum lycopersicum (tomato)"/>
    <x v="0"/>
    <x v="0"/>
    <s v="-"/>
    <n v="1"/>
    <x v="6"/>
  </r>
  <r>
    <s v="Phenylalanine metabolism - Solanum lycopersicum (tomato)"/>
    <x v="0"/>
    <x v="0"/>
    <s v="-"/>
    <n v="1"/>
    <x v="6"/>
  </r>
  <r>
    <s v="Tryptophan metabolism - Solanum lycopersicum (tomato)"/>
    <x v="0"/>
    <x v="0"/>
    <s v="-"/>
    <n v="3"/>
    <x v="6"/>
  </r>
  <r>
    <s v="Starch and sucrose metabolism - Solanum lycopersicum (tomato)"/>
    <x v="0"/>
    <x v="0"/>
    <s v="-"/>
    <n v="1"/>
    <x v="2"/>
  </r>
  <r>
    <s v="Glycerolipid metabolism - Solanum lycopersicum (tomato)"/>
    <x v="0"/>
    <x v="0"/>
    <s v="-"/>
    <n v="1"/>
    <x v="7"/>
  </r>
  <r>
    <s v="C5-Branched dibasic acid metabolism - Solanum lycopersicum (tomato)"/>
    <x v="0"/>
    <x v="0"/>
    <s v="-"/>
    <n v="1"/>
    <x v="2"/>
  </r>
  <r>
    <s v="Carbon fixation in photosynthetic organisms - Solanum lycopersicum (tomato)"/>
    <x v="0"/>
    <x v="0"/>
    <s v="-"/>
    <n v="1"/>
    <x v="5"/>
  </r>
  <r>
    <s v="Riboflavin metabolism - Solanum lycopersicum (tomato)"/>
    <x v="0"/>
    <x v="0"/>
    <s v="-"/>
    <n v="1"/>
    <x v="8"/>
  </r>
  <r>
    <s v="Vitamin B6 metabolism - Solanum lycopersicum (tomato)"/>
    <x v="0"/>
    <x v="0"/>
    <s v="-"/>
    <n v="1"/>
    <x v="9"/>
  </r>
  <r>
    <s v="Nicotinate and nicotinamide metabolism - Solanum lycopersicum (tomato)"/>
    <x v="0"/>
    <x v="0"/>
    <s v="-"/>
    <n v="1"/>
    <x v="9"/>
  </r>
  <r>
    <s v="Biotin metabolism - Solanum lycopersicum (tomato)"/>
    <x v="0"/>
    <x v="0"/>
    <s v="-"/>
    <n v="1"/>
    <x v="9"/>
  </r>
  <r>
    <s v="Monoterpenoid biosynthesis - Solanum lycopersicum (tomato)"/>
    <x v="0"/>
    <x v="0"/>
    <s v="-"/>
    <n v="1"/>
    <x v="10"/>
  </r>
  <r>
    <s v="Nitrogen metabolism - Solanum lycopersicum (tomato)"/>
    <x v="0"/>
    <x v="0"/>
    <s v="-"/>
    <n v="1"/>
    <x v="11"/>
  </r>
  <r>
    <s v="Phenylpropanoid biosynthesis - Solanum lycopersicum (tomato)"/>
    <x v="0"/>
    <x v="0"/>
    <s v="-"/>
    <n v="1"/>
    <x v="12"/>
  </r>
  <r>
    <s v="Glucosinolate biosynthesis - Solanum lycopersicum (tomato)"/>
    <x v="0"/>
    <x v="0"/>
    <s v="-"/>
    <n v="3"/>
    <x v="13"/>
  </r>
  <r>
    <s v="Carbon metabolism - Solanum lycopersicum (tomato)"/>
    <x v="0"/>
    <x v="0"/>
    <s v="-"/>
    <n v="1"/>
    <x v="14"/>
  </r>
  <r>
    <s v="2-Oxocarboxylic acid metabolism - Solanum lycopersicum (tomato)"/>
    <x v="0"/>
    <x v="0"/>
    <s v="-"/>
    <n v="3"/>
    <x v="6"/>
  </r>
  <r>
    <s v="Biosynthesis of amino acids - Solanum lycopersicum (tomato)"/>
    <x v="0"/>
    <x v="0"/>
    <s v="-"/>
    <n v="1"/>
    <x v="6"/>
  </r>
  <r>
    <s v="ABC transporters - Solanum lycopersicum (tomato)"/>
    <x v="0"/>
    <x v="0"/>
    <s v="-"/>
    <n v="1"/>
    <x v="15"/>
  </r>
  <r>
    <s v="Lignans"/>
    <x v="0"/>
    <x v="0"/>
    <s v="-"/>
    <n v="1"/>
    <x v="16"/>
  </r>
  <r>
    <s v="Primary metabolism"/>
    <x v="0"/>
    <x v="0"/>
    <s v="-"/>
    <n v="3"/>
    <x v="17"/>
  </r>
  <r>
    <s v="Degradation of aromatic compounds - Solanum lycopersicum (tomato)"/>
    <x v="0"/>
    <x v="1"/>
    <s v="-"/>
    <n v="3"/>
    <x v="18"/>
  </r>
  <r>
    <s v="C5-Branched dibasic acid metabolism - Solanum lycopersicum (tomato)"/>
    <x v="0"/>
    <x v="1"/>
    <s v="-"/>
    <n v="2"/>
    <x v="2"/>
  </r>
  <r>
    <s v="Riboflavin metabolism - Solanum lycopersicum (tomato)"/>
    <x v="0"/>
    <x v="1"/>
    <s v="-"/>
    <n v="2"/>
    <x v="8"/>
  </r>
  <r>
    <s v="Glycolysis / Gluconeogenesis - Solanum lycopersicum (tomato)"/>
    <x v="0"/>
    <x v="1"/>
    <s v="-"/>
    <n v="1"/>
    <x v="2"/>
  </r>
  <r>
    <s v="Citrate cycle (TCA cycle) - Solanum lycopersicum (tomato)"/>
    <x v="0"/>
    <x v="1"/>
    <s v="-"/>
    <n v="1"/>
    <x v="5"/>
  </r>
  <r>
    <s v="Pentose and glucuronate interconversions - Solanum lycopersicum (tomato)"/>
    <x v="0"/>
    <x v="1"/>
    <s v="-"/>
    <n v="1"/>
    <x v="2"/>
  </r>
  <r>
    <s v="Ascorbate and aldarate metabolism - Solanum lycopersicum (tomato)"/>
    <x v="0"/>
    <x v="1"/>
    <s v="-"/>
    <n v="1"/>
    <x v="2"/>
  </r>
  <r>
    <s v="Cutin; suberine and wax biosynthesis - Solanum lycopersicum (tomato)"/>
    <x v="0"/>
    <x v="1"/>
    <s v="-"/>
    <n v="1"/>
    <x v="7"/>
  </r>
  <r>
    <s v="Oxidative phosphorylation - Solanum lycopersicum (tomato)"/>
    <x v="0"/>
    <x v="1"/>
    <s v="-"/>
    <n v="1"/>
    <x v="11"/>
  </r>
  <r>
    <s v="Alanine; aspartate and glutamate metabolism - Solanum lycopersicum (tomato)"/>
    <x v="0"/>
    <x v="1"/>
    <s v="-"/>
    <n v="1"/>
    <x v="6"/>
  </r>
  <r>
    <s v="Lysine biosynthesis - Solanum lycopersicum (tomato)"/>
    <x v="0"/>
    <x v="1"/>
    <s v="-"/>
    <n v="1"/>
    <x v="6"/>
  </r>
  <r>
    <s v="Histidine metabolism - Solanum lycopersicum (tomato)"/>
    <x v="0"/>
    <x v="1"/>
    <s v="-"/>
    <n v="1"/>
    <x v="6"/>
  </r>
  <r>
    <s v="Phenylalanine metabolism - Solanum lycopersicum (tomato)"/>
    <x v="0"/>
    <x v="1"/>
    <s v="-"/>
    <n v="1"/>
    <x v="6"/>
  </r>
  <r>
    <s v="Taurine and hypotaurine metabolism - Solanum lycopersicum (tomato)"/>
    <x v="0"/>
    <x v="1"/>
    <s v="-"/>
    <n v="1"/>
    <x v="6"/>
  </r>
  <r>
    <s v="Linoleic acid metabolism - Solanum lycopersicum (tomato)"/>
    <x v="0"/>
    <x v="1"/>
    <s v="-"/>
    <n v="1"/>
    <x v="7"/>
  </r>
  <r>
    <s v="Glyoxylate and dicarboxylate metabolism - Solanum lycopersicum (tomato)"/>
    <x v="0"/>
    <x v="1"/>
    <s v="-"/>
    <n v="1"/>
    <x v="2"/>
  </r>
  <r>
    <s v="Butanoate metabolism - Solanum lycopersicum (tomato)"/>
    <x v="0"/>
    <x v="1"/>
    <s v="-"/>
    <n v="1"/>
    <x v="2"/>
  </r>
  <r>
    <s v="Vitamin B6 metabolism - Solanum lycopersicum (tomato)"/>
    <x v="0"/>
    <x v="1"/>
    <s v="-"/>
    <n v="1"/>
    <x v="9"/>
  </r>
  <r>
    <s v="Phenylpropanoid biosynthesis - Solanum lycopersicum (tomato)"/>
    <x v="0"/>
    <x v="1"/>
    <s v="-"/>
    <n v="1"/>
    <x v="12"/>
  </r>
  <r>
    <s v="Isoquinoline alkaloid biosynthesis - Solanum lycopersicum (tomato)"/>
    <x v="0"/>
    <x v="1"/>
    <s v="-"/>
    <n v="1"/>
    <x v="4"/>
  </r>
  <r>
    <s v="Carbon metabolism - Solanum lycopersicum (tomato)"/>
    <x v="0"/>
    <x v="1"/>
    <s v="-"/>
    <n v="1"/>
    <x v="14"/>
  </r>
  <r>
    <s v="2-Oxocarboxylic acid metabolism - Solanum lycopersicum (tomato)"/>
    <x v="0"/>
    <x v="1"/>
    <s v="-"/>
    <n v="1"/>
    <x v="6"/>
  </r>
  <r>
    <s v="Biosynthesis of amino acids - Solanum lycopersicum (tomato)"/>
    <x v="0"/>
    <x v="1"/>
    <s v="-"/>
    <n v="1"/>
    <x v="6"/>
  </r>
  <r>
    <s v="ABC transporters - Solanum lycopersicum (tomato)"/>
    <x v="0"/>
    <x v="1"/>
    <s v="-"/>
    <n v="1"/>
    <x v="15"/>
  </r>
  <r>
    <s v="Primary metabolism"/>
    <x v="0"/>
    <x v="1"/>
    <s v="-"/>
    <n v="1"/>
    <x v="17"/>
  </r>
  <r>
    <s v="Phenylpropanoids biosynthesis"/>
    <x v="0"/>
    <x v="1"/>
    <s v="-"/>
    <n v="1"/>
    <x v="16"/>
  </r>
  <r>
    <s v="Degradation of aromatic compounds - Solanum lycopersicum (tomato)"/>
    <x v="1"/>
    <x v="0"/>
    <s v="-"/>
    <n v="31"/>
    <x v="18"/>
  </r>
  <r>
    <s v="2-Oxocarboxylic acid metabolism - Solanum lycopersicum (tomato)"/>
    <x v="1"/>
    <x v="0"/>
    <s v="-"/>
    <n v="31"/>
    <x v="6"/>
  </r>
  <r>
    <s v="Phenylpropanoid biosynthesis - Solanum lycopersicum (tomato)"/>
    <x v="1"/>
    <x v="0"/>
    <s v="-"/>
    <n v="28"/>
    <x v="12"/>
  </r>
  <r>
    <s v="Linoleic acid metabolism - Solanum lycopersicum (tomato)"/>
    <x v="1"/>
    <x v="0"/>
    <s v="-"/>
    <n v="22"/>
    <x v="7"/>
  </r>
  <r>
    <s v="Amino sugar and nucleotide sugar metabolism - Solanum lycopersicum (tomato)"/>
    <x v="1"/>
    <x v="0"/>
    <s v="-"/>
    <n v="14"/>
    <x v="1"/>
  </r>
  <r>
    <s v="alpha-Linolenic acid metabolism - Solanum lycopersicum (tomato)"/>
    <x v="1"/>
    <x v="0"/>
    <s v="-"/>
    <n v="23"/>
    <x v="7"/>
  </r>
  <r>
    <s v="Glucosinolate biosynthesis - Solanum lycopersicum (tomato)"/>
    <x v="1"/>
    <x v="0"/>
    <s v="-"/>
    <n v="18"/>
    <x v="13"/>
  </r>
  <r>
    <s v="Ascorbate and aldarate metabolism - Solanum lycopersicum (tomato)"/>
    <x v="1"/>
    <x v="0"/>
    <s v="-"/>
    <n v="16"/>
    <x v="2"/>
  </r>
  <r>
    <s v="Purine metabolism - Solanum lycopersicum (tomato)"/>
    <x v="1"/>
    <x v="0"/>
    <s v="-"/>
    <n v="13"/>
    <x v="0"/>
  </r>
  <r>
    <s v="Tryptophan metabolism - Solanum lycopersicum (tomato)"/>
    <x v="1"/>
    <x v="0"/>
    <s v="-"/>
    <n v="16"/>
    <x v="6"/>
  </r>
  <r>
    <s v="Limonene and pinene degradation - Solanum lycopersicum (tomato)"/>
    <x v="1"/>
    <x v="0"/>
    <s v="-"/>
    <n v="15"/>
    <x v="10"/>
  </r>
  <r>
    <s v="Carbon metabolism - Solanum lycopersicum (tomato)"/>
    <x v="1"/>
    <x v="0"/>
    <s v="-"/>
    <n v="16"/>
    <x v="14"/>
  </r>
  <r>
    <s v="Biosynthesis of amino acids - Solanum lycopersicum (tomato)"/>
    <x v="1"/>
    <x v="0"/>
    <s v="-"/>
    <n v="17"/>
    <x v="6"/>
  </r>
  <r>
    <s v="Alkaloids Library"/>
    <x v="1"/>
    <x v="0"/>
    <s v="-"/>
    <n v="11"/>
    <x v="4"/>
  </r>
  <r>
    <s v="Pentose phosphate pathway - Solanum lycopersicum (tomato)"/>
    <x v="1"/>
    <x v="0"/>
    <s v="-"/>
    <n v="10"/>
    <x v="2"/>
  </r>
  <r>
    <s v="Galactose metabolism - Solanum lycopersicum (tomato)"/>
    <x v="1"/>
    <x v="0"/>
    <s v="-"/>
    <n v="8"/>
    <x v="2"/>
  </r>
  <r>
    <s v="Phenylalanine; tyrosine and tryptophan biosynthesis - Solanum lycopersicum (tomato)"/>
    <x v="1"/>
    <x v="0"/>
    <s v="-"/>
    <n v="15"/>
    <x v="6"/>
  </r>
  <r>
    <s v="Zeatin biosynthesis - Solanum lycopersicum (tomato)"/>
    <x v="1"/>
    <x v="0"/>
    <s v="-"/>
    <n v="13"/>
    <x v="3"/>
  </r>
  <r>
    <s v="Phenylpropanoids biosynthesis"/>
    <x v="1"/>
    <x v="0"/>
    <s v="-"/>
    <n v="13"/>
    <x v="16"/>
  </r>
  <r>
    <s v="Cysteine and methionine metabolism - Solanum lycopersicum (tomato)"/>
    <x v="1"/>
    <x v="0"/>
    <s v="-"/>
    <n v="12"/>
    <x v="6"/>
  </r>
  <r>
    <s v="Pentose and glucuronate interconversions - Solanum lycopersicum (tomato)"/>
    <x v="1"/>
    <x v="0"/>
    <s v="-"/>
    <n v="14"/>
    <x v="2"/>
  </r>
  <r>
    <s v="Phenylalanine metabolism - Solanum lycopersicum (tomato)"/>
    <x v="1"/>
    <x v="0"/>
    <s v="-"/>
    <n v="10"/>
    <x v="6"/>
  </r>
  <r>
    <s v="Monoterpenoid biosynthesis - Solanum lycopersicum (tomato)"/>
    <x v="1"/>
    <x v="0"/>
    <s v="-"/>
    <n v="10"/>
    <x v="10"/>
  </r>
  <r>
    <s v="Primary metabolism"/>
    <x v="1"/>
    <x v="0"/>
    <s v="-"/>
    <n v="14"/>
    <x v="17"/>
  </r>
  <r>
    <s v="Isoquinoline alkaloid biosynthesis - Solanum lycopersicum (tomato)"/>
    <x v="1"/>
    <x v="0"/>
    <s v="-"/>
    <n v="12"/>
    <x v="4"/>
  </r>
  <r>
    <s v="Tropane; piperidine and pyridine alkaloid biosynthesis - Solanum lycopersicum (tomato)"/>
    <x v="1"/>
    <x v="0"/>
    <s v="-"/>
    <n v="8"/>
    <x v="4"/>
  </r>
  <r>
    <s v="Biosynthesis of unsaturated fatty acids - Solanum lycopersicum (tomato)"/>
    <x v="1"/>
    <x v="0"/>
    <s v="-"/>
    <n v="17"/>
    <x v="7"/>
  </r>
  <r>
    <s v="Histidine metabolism - Solanum lycopersicum (tomato)"/>
    <x v="1"/>
    <x v="0"/>
    <s v="-"/>
    <n v="14"/>
    <x v="6"/>
  </r>
  <r>
    <s v="Flavonoid biosynthesis - Solanum lycopersicum (tomato)"/>
    <x v="1"/>
    <x v="0"/>
    <s v="-"/>
    <n v="13"/>
    <x v="16"/>
  </r>
  <r>
    <s v="Butanoate metabolism - Solanum lycopersicum (tomato)"/>
    <x v="1"/>
    <x v="0"/>
    <s v="-"/>
    <n v="13"/>
    <x v="2"/>
  </r>
  <r>
    <s v="Lignans"/>
    <x v="1"/>
    <x v="0"/>
    <s v="-"/>
    <n v="10"/>
    <x v="16"/>
  </r>
  <r>
    <s v="Nicotinate and nicotinamide metabolism - Solanum lycopersicum (tomato)"/>
    <x v="1"/>
    <x v="0"/>
    <s v="-"/>
    <n v="8"/>
    <x v="9"/>
  </r>
  <r>
    <s v="Starch and sucrose metabolism - Solanum lycopersicum (tomato)"/>
    <x v="1"/>
    <x v="0"/>
    <s v="-"/>
    <n v="7"/>
    <x v="2"/>
  </r>
  <r>
    <s v="Cutin; suberine and wax biosynthesis - Solanum lycopersicum (tomato)"/>
    <x v="1"/>
    <x v="0"/>
    <s v="-"/>
    <n v="15"/>
    <x v="7"/>
  </r>
  <r>
    <s v="Alanine; aspartate and glutamate metabolism - Solanum lycopersicum (tomato)"/>
    <x v="1"/>
    <x v="0"/>
    <s v="-"/>
    <n v="13"/>
    <x v="6"/>
  </r>
  <r>
    <s v="Glycine; serine and threonine metabolism - Solanum lycopersicum (tomato)"/>
    <x v="1"/>
    <x v="0"/>
    <s v="-"/>
    <n v="8"/>
    <x v="6"/>
  </r>
  <r>
    <s v="Inositol phosphate metabolism - Solanum lycopersicum (tomato)"/>
    <x v="1"/>
    <x v="0"/>
    <s v="-"/>
    <n v="7"/>
    <x v="2"/>
  </r>
  <r>
    <s v="Pantothenate and CoA biosynthesis - Solanum lycopersicum (tomato)"/>
    <x v="1"/>
    <x v="0"/>
    <s v="-"/>
    <n v="9"/>
    <x v="9"/>
  </r>
  <r>
    <s v="ABC transporters - Solanum lycopersicum (tomato)"/>
    <x v="1"/>
    <x v="0"/>
    <s v="-"/>
    <n v="7"/>
    <x v="15"/>
  </r>
  <r>
    <s v="Pyrimidine metabolism - Solanum lycopersicum (tomato)"/>
    <x v="1"/>
    <x v="0"/>
    <s v="-"/>
    <n v="10"/>
    <x v="0"/>
  </r>
  <r>
    <s v="Carbon fixation in photosynthetic organisms - Solanum lycopersicum (tomato)"/>
    <x v="1"/>
    <x v="0"/>
    <s v="-"/>
    <n v="6"/>
    <x v="5"/>
  </r>
  <r>
    <s v="Glycolysis / Gluconeogenesis - Solanum lycopersicum (tomato)"/>
    <x v="1"/>
    <x v="0"/>
    <s v="-"/>
    <n v="6"/>
    <x v="2"/>
  </r>
  <r>
    <s v="Citrate cycle (TCA cycle) - Solanum lycopersicum (tomato)"/>
    <x v="1"/>
    <x v="0"/>
    <s v="-"/>
    <n v="10"/>
    <x v="5"/>
  </r>
  <r>
    <s v="Fatty acid biosynthesis - Solanum lycopersicum (tomato)"/>
    <x v="1"/>
    <x v="0"/>
    <s v="-"/>
    <n v="10"/>
    <x v="7"/>
  </r>
  <r>
    <s v="Ubiquinone and other terpenoid-quinone biosynthesis - Solanum lycopersicum (tomato)"/>
    <x v="1"/>
    <x v="0"/>
    <s v="-"/>
    <n v="6"/>
    <x v="9"/>
  </r>
  <r>
    <s v="Arginine and proline metabolism - Solanum lycopersicum (tomato)"/>
    <x v="1"/>
    <x v="0"/>
    <s v="-"/>
    <n v="8"/>
    <x v="6"/>
  </r>
  <r>
    <s v="C5-Branched dibasic acid metabolism - Solanum lycopersicum (tomato)"/>
    <x v="1"/>
    <x v="0"/>
    <s v="-"/>
    <n v="9"/>
    <x v="2"/>
  </r>
  <r>
    <s v="Vitamin B6 metabolism - Solanum lycopersicum (tomato)"/>
    <x v="1"/>
    <x v="0"/>
    <s v="-"/>
    <n v="9"/>
    <x v="9"/>
  </r>
  <r>
    <s v="Porphyrin and chlorophyll metabolism - Solanum lycopersicum (tomato)"/>
    <x v="1"/>
    <x v="0"/>
    <s v="-"/>
    <n v="8"/>
    <x v="9"/>
  </r>
  <r>
    <s v="Secondary metabolism"/>
    <x v="1"/>
    <x v="0"/>
    <s v="-"/>
    <n v="6"/>
    <x v="19"/>
  </r>
  <r>
    <s v="Fructose and mannose metabolism - Solanum lycopersicum (tomato)"/>
    <x v="1"/>
    <x v="0"/>
    <s v="-"/>
    <n v="3"/>
    <x v="2"/>
  </r>
  <r>
    <s v="Pyruvate metabolism - Solanum lycopersicum (tomato)"/>
    <x v="1"/>
    <x v="0"/>
    <s v="-"/>
    <n v="5"/>
    <x v="2"/>
  </r>
  <r>
    <s v="Tyrosine metabolism - Solanum lycopersicum (tomato)"/>
    <x v="1"/>
    <x v="0"/>
    <s v="-"/>
    <n v="6"/>
    <x v="6"/>
  </r>
  <r>
    <s v="beta-Alanine metabolism - Solanum lycopersicum (tomato)"/>
    <x v="1"/>
    <x v="0"/>
    <s v="-"/>
    <n v="5"/>
    <x v="6"/>
  </r>
  <r>
    <s v="Cyanoamino acid metabolism - Solanum lycopersicum (tomato)"/>
    <x v="1"/>
    <x v="0"/>
    <s v="-"/>
    <n v="4"/>
    <x v="6"/>
  </r>
  <r>
    <s v="Glyoxylate and dicarboxylate metabolism - Solanum lycopersicum (tomato)"/>
    <x v="1"/>
    <x v="0"/>
    <s v="-"/>
    <n v="8"/>
    <x v="2"/>
  </r>
  <r>
    <s v="Biotin metabolism - Solanum lycopersicum (tomato)"/>
    <x v="1"/>
    <x v="0"/>
    <s v="-"/>
    <n v="7"/>
    <x v="9"/>
  </r>
  <r>
    <s v="Terpenoid backbone biosynthesis - Solanum lycopersicum (tomato)"/>
    <x v="1"/>
    <x v="0"/>
    <s v="-"/>
    <n v="7"/>
    <x v="10"/>
  </r>
  <r>
    <s v="Diterpenoid biosynthesis - Solanum lycopersicum (tomato)"/>
    <x v="1"/>
    <x v="0"/>
    <s v="-"/>
    <n v="3"/>
    <x v="10"/>
  </r>
  <r>
    <s v="Sesquiterpenoid and triterpenoid biosynthesis - Solanum lycopersicum (tomato)"/>
    <x v="1"/>
    <x v="0"/>
    <s v="-"/>
    <n v="5"/>
    <x v="10"/>
  </r>
  <r>
    <s v="Sulfur metabolism - Solanum lycopersicum (tomato)"/>
    <x v="1"/>
    <x v="0"/>
    <s v="-"/>
    <n v="4"/>
    <x v="11"/>
  </r>
  <r>
    <s v="Anthocyanin biosynthesis - Solanum lycopersicum (tomato)"/>
    <x v="1"/>
    <x v="0"/>
    <s v="-"/>
    <n v="4"/>
    <x v="16"/>
  </r>
  <r>
    <s v="Flavone and flavonol biosynthesis - Solanum lycopersicum (tomato)"/>
    <x v="1"/>
    <x v="0"/>
    <s v="-"/>
    <n v="3"/>
    <x v="16"/>
  </r>
  <r>
    <s v="Oxidative phosphorylation - Solanum lycopersicum (tomato)"/>
    <x v="1"/>
    <x v="0"/>
    <s v="-"/>
    <n v="4"/>
    <x v="11"/>
  </r>
  <r>
    <s v="Caffeine metabolism - Solanum lycopersicum (tomato)"/>
    <x v="1"/>
    <x v="0"/>
    <s v="-"/>
    <n v="2"/>
    <x v="20"/>
  </r>
  <r>
    <s v="Lysine biosynthesis - Solanum lycopersicum (tomato)"/>
    <x v="1"/>
    <x v="0"/>
    <s v="-"/>
    <n v="5"/>
    <x v="6"/>
  </r>
  <r>
    <s v="Glutathione metabolism - Solanum lycopersicum (tomato)"/>
    <x v="1"/>
    <x v="0"/>
    <s v="-"/>
    <n v="2"/>
    <x v="6"/>
  </r>
  <r>
    <s v="Arachidonic acid metabolism - Solanum lycopersicum (tomato)"/>
    <x v="1"/>
    <x v="0"/>
    <s v="-"/>
    <n v="2"/>
    <x v="7"/>
  </r>
  <r>
    <s v="Riboflavin metabolism - Solanum lycopersicum (tomato)"/>
    <x v="1"/>
    <x v="0"/>
    <s v="-"/>
    <n v="3"/>
    <x v="8"/>
  </r>
  <r>
    <s v="Carotenoid biosynthesis - Solanum lycopersicum (tomato)"/>
    <x v="1"/>
    <x v="0"/>
    <s v="-"/>
    <n v="2"/>
    <x v="3"/>
  </r>
  <r>
    <s v="Plant hormone signal transduction - Solanum lycopersicum (tomato)"/>
    <x v="1"/>
    <x v="0"/>
    <s v="-"/>
    <n v="3"/>
    <x v="21"/>
  </r>
  <r>
    <s v="Indole derivatives"/>
    <x v="1"/>
    <x v="0"/>
    <s v="-"/>
    <n v="4"/>
    <x v="6"/>
  </r>
  <r>
    <s v="Valine; leucine and isoleucine biosynthesis - Solanum lycopersicum (tomato)"/>
    <x v="1"/>
    <x v="0"/>
    <s v="-"/>
    <n v="4"/>
    <x v="6"/>
  </r>
  <r>
    <s v="Taurine and hypotaurine metabolism - Solanum lycopersicum (tomato)"/>
    <x v="1"/>
    <x v="0"/>
    <s v="-"/>
    <n v="7"/>
    <x v="6"/>
  </r>
  <r>
    <s v="Propanoate metabolism - Solanum lycopersicum (tomato)"/>
    <x v="1"/>
    <x v="0"/>
    <s v="-"/>
    <n v="4"/>
    <x v="2"/>
  </r>
  <r>
    <s v="Stilbenoid; diarylheptanoid and gingerol biosynthesis - Solanum lycopersicum (tomato)"/>
    <x v="1"/>
    <x v="0"/>
    <s v="-"/>
    <n v="12"/>
    <x v="22"/>
  </r>
  <r>
    <s v="Fatty acid elongation - Solanum lycopersicum (tomato)"/>
    <x v="1"/>
    <x v="0"/>
    <s v="-"/>
    <n v="4"/>
    <x v="7"/>
  </r>
  <r>
    <s v="Fatty acid degradation - Solanum lycopersicum (tomato)"/>
    <x v="1"/>
    <x v="0"/>
    <s v="-"/>
    <n v="4"/>
    <x v="7"/>
  </r>
  <r>
    <s v="Selenocompound metabolism - Solanum lycopersicum (tomato)"/>
    <x v="1"/>
    <x v="0"/>
    <s v="-"/>
    <n v="1"/>
    <x v="6"/>
  </r>
  <r>
    <s v="Glycerolipid metabolism - Solanum lycopersicum (tomato)"/>
    <x v="1"/>
    <x v="0"/>
    <s v="-"/>
    <n v="2"/>
    <x v="7"/>
  </r>
  <r>
    <s v="Glycerophospholipid metabolism - Solanum lycopersicum (tomato)"/>
    <x v="1"/>
    <x v="0"/>
    <s v="-"/>
    <n v="1"/>
    <x v="7"/>
  </r>
  <r>
    <s v="Thiamine metabolism - Solanum lycopersicum (tomato)"/>
    <x v="1"/>
    <x v="0"/>
    <s v="-"/>
    <n v="3"/>
    <x v="9"/>
  </r>
  <r>
    <s v="Folate biosynthesis - Solanum lycopersicum (tomato)"/>
    <x v="1"/>
    <x v="0"/>
    <s v="-"/>
    <n v="1"/>
    <x v="9"/>
  </r>
  <r>
    <s v="Aminoacyl-tRNA biosynthesis - Solanum lycopersicum (tomato)"/>
    <x v="1"/>
    <x v="0"/>
    <s v="-"/>
    <n v="2"/>
    <x v="23"/>
  </r>
  <r>
    <s v="Fatty acid metabolism - Solanum lycopersicum (tomato)"/>
    <x v="1"/>
    <x v="0"/>
    <s v="-"/>
    <n v="4"/>
    <x v="24"/>
  </r>
  <r>
    <s v="Phosphatidylinositol signaling system - Solanum lycopersicum (tomato)"/>
    <x v="1"/>
    <x v="0"/>
    <s v="-"/>
    <n v="1"/>
    <x v="21"/>
  </r>
  <r>
    <s v="Plant-pathogen interaction - Solanum lycopersicum (tomato)"/>
    <x v="1"/>
    <x v="0"/>
    <s v="-"/>
    <n v="2"/>
    <x v="25"/>
  </r>
  <r>
    <s v="Amino acids"/>
    <x v="1"/>
    <x v="0"/>
    <s v="-"/>
    <n v="2"/>
    <x v="6"/>
  </r>
  <r>
    <s v="JA biosynthesis"/>
    <x v="1"/>
    <x v="0"/>
    <s v="-"/>
    <n v="2"/>
    <x v="26"/>
  </r>
  <r>
    <s v="Podophyllotoxin"/>
    <x v="1"/>
    <x v="0"/>
    <s v="-"/>
    <n v="1"/>
    <x v="27"/>
  </r>
  <r>
    <s v="Lignans"/>
    <x v="1"/>
    <x v="1"/>
    <s v="-"/>
    <n v="3"/>
    <x v="16"/>
  </r>
  <r>
    <s v="2-Oxocarboxylic acid metabolism - Solanum lycopersicum (tomato)"/>
    <x v="1"/>
    <x v="1"/>
    <s v="-"/>
    <n v="2"/>
    <x v="6"/>
  </r>
  <r>
    <s v="Biosynthesis of amino acids - Solanum lycopersicum (tomato)"/>
    <x v="1"/>
    <x v="1"/>
    <s v="-"/>
    <n v="2"/>
    <x v="6"/>
  </r>
  <r>
    <s v="Diterpenoid biosynthesis - Solanum lycopersicum (tomato)"/>
    <x v="1"/>
    <x v="1"/>
    <s v="-"/>
    <n v="4"/>
    <x v="10"/>
  </r>
  <r>
    <s v="Purine metabolism - Solanum lycopersicum (tomato)"/>
    <x v="1"/>
    <x v="1"/>
    <s v="-"/>
    <n v="1"/>
    <x v="0"/>
  </r>
  <r>
    <s v="Glycine; serine and threonine metabolism - Solanum lycopersicum (tomato)"/>
    <x v="1"/>
    <x v="1"/>
    <s v="-"/>
    <n v="1"/>
    <x v="6"/>
  </r>
  <r>
    <s v="Valine; leucine and isoleucine biosynthesis - Solanum lycopersicum (tomato)"/>
    <x v="1"/>
    <x v="1"/>
    <s v="-"/>
    <n v="1"/>
    <x v="6"/>
  </r>
  <r>
    <s v="Histidine metabolism - Solanum lycopersicum (tomato)"/>
    <x v="1"/>
    <x v="1"/>
    <s v="-"/>
    <n v="1"/>
    <x v="6"/>
  </r>
  <r>
    <s v="Tryptophan metabolism - Solanum lycopersicum (tomato)"/>
    <x v="1"/>
    <x v="1"/>
    <s v="-"/>
    <n v="1"/>
    <x v="6"/>
  </r>
  <r>
    <s v="Phenylalanine; tyrosine and tryptophan biosynthesis - Solanum lycopersicum (tomato)"/>
    <x v="1"/>
    <x v="1"/>
    <s v="-"/>
    <n v="1"/>
    <x v="6"/>
  </r>
  <r>
    <s v="Pyruvate metabolism - Solanum lycopersicum (tomato)"/>
    <x v="1"/>
    <x v="1"/>
    <s v="-"/>
    <n v="1"/>
    <x v="2"/>
  </r>
  <r>
    <s v="Glyoxylate and dicarboxylate metabolism - Solanum lycopersicum (tomato)"/>
    <x v="1"/>
    <x v="1"/>
    <s v="-"/>
    <n v="1"/>
    <x v="2"/>
  </r>
  <r>
    <s v="Porphyrin and chlorophyll metabolism - Solanum lycopersicum (tomato)"/>
    <x v="1"/>
    <x v="1"/>
    <s v="-"/>
    <n v="1"/>
    <x v="9"/>
  </r>
  <r>
    <s v="Glucosinolate biosynthesis - Solanum lycopersicum (tomato)"/>
    <x v="1"/>
    <x v="1"/>
    <s v="-"/>
    <n v="1"/>
    <x v="13"/>
  </r>
  <r>
    <s v="Aminoacyl-tRNA biosynthesis - Solanum lycopersicum (tomato)"/>
    <x v="1"/>
    <x v="1"/>
    <s v="-"/>
    <n v="1"/>
    <x v="23"/>
  </r>
  <r>
    <s v="Degradation of aromatic compounds - Solanum lycopersicum (tomato)"/>
    <x v="1"/>
    <x v="1"/>
    <s v="-"/>
    <n v="1"/>
    <x v="18"/>
  </r>
  <r>
    <s v="ABC transporters - Solanum lycopersicum (tomato)"/>
    <x v="1"/>
    <x v="1"/>
    <s v="-"/>
    <n v="1"/>
    <x v="15"/>
  </r>
  <r>
    <s v="Plant hormone signal transduction - Solanum lycopersicum (tomato)"/>
    <x v="1"/>
    <x v="1"/>
    <s v="-"/>
    <n v="1"/>
    <x v="21"/>
  </r>
  <r>
    <s v="Amino acids"/>
    <x v="1"/>
    <x v="1"/>
    <s v="-"/>
    <n v="1"/>
    <x v="6"/>
  </r>
  <r>
    <s v="Diconiferyle"/>
    <x v="1"/>
    <x v="1"/>
    <s v="-"/>
    <n v="1"/>
    <x v="28"/>
  </r>
  <r>
    <s v="2-Oxocarboxylic acid metabolism - Solanum lycopersicum (tomato)"/>
    <x v="2"/>
    <x v="0"/>
    <s v="-"/>
    <n v="16"/>
    <x v="6"/>
  </r>
  <r>
    <s v="alpha-Linolenic acid metabolism - Solanum lycopersicum (tomato)"/>
    <x v="2"/>
    <x v="0"/>
    <s v="-"/>
    <n v="14"/>
    <x v="7"/>
  </r>
  <r>
    <s v="Linoleic acid metabolism - Solanum lycopersicum (tomato)"/>
    <x v="2"/>
    <x v="0"/>
    <s v="-"/>
    <n v="12"/>
    <x v="7"/>
  </r>
  <r>
    <s v="Phenylpropanoid biosynthesis - Solanum lycopersicum (tomato)"/>
    <x v="2"/>
    <x v="0"/>
    <s v="-"/>
    <n v="11"/>
    <x v="12"/>
  </r>
  <r>
    <s v="Biosynthesis of amino acids - Solanum lycopersicum (tomato)"/>
    <x v="2"/>
    <x v="0"/>
    <s v="-"/>
    <n v="12"/>
    <x v="6"/>
  </r>
  <r>
    <s v="Purine metabolism - Solanum lycopersicum (tomato)"/>
    <x v="2"/>
    <x v="0"/>
    <s v="-"/>
    <n v="8"/>
    <x v="0"/>
  </r>
  <r>
    <s v="Carbon metabolism - Solanum lycopersicum (tomato)"/>
    <x v="2"/>
    <x v="0"/>
    <s v="-"/>
    <n v="11"/>
    <x v="14"/>
  </r>
  <r>
    <s v="Phenylalanine metabolism - Solanum lycopersicum (tomato)"/>
    <x v="2"/>
    <x v="0"/>
    <s v="-"/>
    <n v="10"/>
    <x v="6"/>
  </r>
  <r>
    <s v="Glucosinolate biosynthesis - Solanum lycopersicum (tomato)"/>
    <x v="2"/>
    <x v="0"/>
    <s v="-"/>
    <n v="10"/>
    <x v="13"/>
  </r>
  <r>
    <s v="Degradation of aromatic compounds - Solanum lycopersicum (tomato)"/>
    <x v="2"/>
    <x v="0"/>
    <s v="-"/>
    <n v="11"/>
    <x v="18"/>
  </r>
  <r>
    <s v="Butanoate metabolism - Solanum lycopersicum (tomato)"/>
    <x v="2"/>
    <x v="0"/>
    <s v="-"/>
    <n v="9"/>
    <x v="2"/>
  </r>
  <r>
    <s v="Ascorbate and aldarate metabolism - Solanum lycopersicum (tomato)"/>
    <x v="2"/>
    <x v="0"/>
    <s v="-"/>
    <n v="8"/>
    <x v="2"/>
  </r>
  <r>
    <s v="Pentose and glucuronate interconversions - Solanum lycopersicum (tomato)"/>
    <x v="2"/>
    <x v="0"/>
    <s v="-"/>
    <n v="7"/>
    <x v="2"/>
  </r>
  <r>
    <s v="Biosynthesis of unsaturated fatty acids - Solanum lycopersicum (tomato)"/>
    <x v="2"/>
    <x v="0"/>
    <s v="-"/>
    <n v="8"/>
    <x v="7"/>
  </r>
  <r>
    <s v="Primary metabolism"/>
    <x v="2"/>
    <x v="0"/>
    <s v="-"/>
    <n v="10"/>
    <x v="17"/>
  </r>
  <r>
    <s v="Phenylpropanoids biosynthesis"/>
    <x v="2"/>
    <x v="0"/>
    <s v="-"/>
    <n v="6"/>
    <x v="16"/>
  </r>
  <r>
    <s v="Glycolysis / Gluconeogenesis - Solanum lycopersicum (tomato)"/>
    <x v="2"/>
    <x v="0"/>
    <s v="-"/>
    <n v="8"/>
    <x v="2"/>
  </r>
  <r>
    <s v="Cutin; suberine and wax biosynthesis - Solanum lycopersicum (tomato)"/>
    <x v="2"/>
    <x v="0"/>
    <s v="-"/>
    <n v="12"/>
    <x v="7"/>
  </r>
  <r>
    <s v="Citrate cycle (TCA cycle) - Solanum lycopersicum (tomato)"/>
    <x v="2"/>
    <x v="0"/>
    <s v="-"/>
    <n v="7"/>
    <x v="5"/>
  </r>
  <r>
    <s v="Pentose phosphate pathway - Solanum lycopersicum (tomato)"/>
    <x v="2"/>
    <x v="0"/>
    <s v="-"/>
    <n v="7"/>
    <x v="2"/>
  </r>
  <r>
    <s v="Valine; leucine and isoleucine biosynthesis - Solanum lycopersicum (tomato)"/>
    <x v="2"/>
    <x v="0"/>
    <s v="-"/>
    <n v="6"/>
    <x v="6"/>
  </r>
  <r>
    <s v="Tyrosine metabolism - Solanum lycopersicum (tomato)"/>
    <x v="2"/>
    <x v="0"/>
    <s v="-"/>
    <n v="6"/>
    <x v="6"/>
  </r>
  <r>
    <s v="Cyanoamino acid metabolism - Solanum lycopersicum (tomato)"/>
    <x v="2"/>
    <x v="0"/>
    <s v="-"/>
    <n v="4"/>
    <x v="6"/>
  </r>
  <r>
    <s v="Tropane; piperidine and pyridine alkaloid biosynthesis - Solanum lycopersicum (tomato)"/>
    <x v="2"/>
    <x v="0"/>
    <s v="-"/>
    <n v="4"/>
    <x v="4"/>
  </r>
  <r>
    <s v="ABC transporters - Solanum lycopersicum (tomato)"/>
    <x v="2"/>
    <x v="0"/>
    <s v="-"/>
    <n v="4"/>
    <x v="15"/>
  </r>
  <r>
    <s v="Valine; leucine and isoleucine degradation - Solanum lycopersicum (tomato)"/>
    <x v="2"/>
    <x v="0"/>
    <s v="-"/>
    <n v="4"/>
    <x v="6"/>
  </r>
  <r>
    <s v="Pyruvate metabolism - Solanum lycopersicum (tomato)"/>
    <x v="2"/>
    <x v="0"/>
    <s v="-"/>
    <n v="6"/>
    <x v="2"/>
  </r>
  <r>
    <s v="Galactose metabolism - Solanum lycopersicum (tomato)"/>
    <x v="2"/>
    <x v="0"/>
    <s v="-"/>
    <n v="4"/>
    <x v="2"/>
  </r>
  <r>
    <s v="Fatty acid biosynthesis - Solanum lycopersicum (tomato)"/>
    <x v="2"/>
    <x v="0"/>
    <s v="-"/>
    <n v="6"/>
    <x v="7"/>
  </r>
  <r>
    <s v="Caffeine metabolism - Solanum lycopersicum (tomato)"/>
    <x v="2"/>
    <x v="0"/>
    <s v="-"/>
    <n v="3"/>
    <x v="20"/>
  </r>
  <r>
    <s v="Pyrimidine metabolism - Solanum lycopersicum (tomato)"/>
    <x v="2"/>
    <x v="0"/>
    <s v="-"/>
    <n v="5"/>
    <x v="0"/>
  </r>
  <r>
    <s v="Alanine; aspartate and glutamate metabolism - Solanum lycopersicum (tomato)"/>
    <x v="2"/>
    <x v="0"/>
    <s v="-"/>
    <n v="5"/>
    <x v="6"/>
  </r>
  <r>
    <s v="Glycine; serine and threonine metabolism - Solanum lycopersicum (tomato)"/>
    <x v="2"/>
    <x v="0"/>
    <s v="-"/>
    <n v="5"/>
    <x v="6"/>
  </r>
  <r>
    <s v="Arginine and proline metabolism - Solanum lycopersicum (tomato)"/>
    <x v="2"/>
    <x v="0"/>
    <s v="-"/>
    <n v="5"/>
    <x v="6"/>
  </r>
  <r>
    <s v="Histidine metabolism - Solanum lycopersicum (tomato)"/>
    <x v="2"/>
    <x v="0"/>
    <s v="-"/>
    <n v="3"/>
    <x v="6"/>
  </r>
  <r>
    <s v="Tryptophan metabolism - Solanum lycopersicum (tomato)"/>
    <x v="2"/>
    <x v="0"/>
    <s v="-"/>
    <n v="6"/>
    <x v="6"/>
  </r>
  <r>
    <s v="Inositol phosphate metabolism - Solanum lycopersicum (tomato)"/>
    <x v="2"/>
    <x v="0"/>
    <s v="-"/>
    <n v="5"/>
    <x v="2"/>
  </r>
  <r>
    <s v="Glyoxylate and dicarboxylate metabolism - Solanum lycopersicum (tomato)"/>
    <x v="2"/>
    <x v="0"/>
    <s v="-"/>
    <n v="5"/>
    <x v="2"/>
  </r>
  <r>
    <s v="C5-Branched dibasic acid metabolism - Solanum lycopersicum (tomato)"/>
    <x v="2"/>
    <x v="0"/>
    <s v="-"/>
    <n v="6"/>
    <x v="2"/>
  </r>
  <r>
    <s v="Nicotinate and nicotinamide metabolism - Solanum lycopersicum (tomato)"/>
    <x v="2"/>
    <x v="0"/>
    <s v="-"/>
    <n v="5"/>
    <x v="9"/>
  </r>
  <r>
    <s v="Pantothenate and CoA biosynthesis - Solanum lycopersicum (tomato)"/>
    <x v="2"/>
    <x v="0"/>
    <s v="-"/>
    <n v="5"/>
    <x v="9"/>
  </r>
  <r>
    <s v="Flavone and flavonol biosynthesis - Solanum lycopersicum (tomato)"/>
    <x v="2"/>
    <x v="0"/>
    <s v="-"/>
    <n v="3"/>
    <x v="16"/>
  </r>
  <r>
    <s v="Isoquinoline alkaloid biosynthesis - Solanum lycopersicum (tomato)"/>
    <x v="2"/>
    <x v="0"/>
    <s v="-"/>
    <n v="3"/>
    <x v="4"/>
  </r>
  <r>
    <s v="Aminoacyl-tRNA biosynthesis - Solanum lycopersicum (tomato)"/>
    <x v="2"/>
    <x v="0"/>
    <s v="-"/>
    <n v="3"/>
    <x v="23"/>
  </r>
  <r>
    <s v="Amino acids"/>
    <x v="2"/>
    <x v="0"/>
    <s v="-"/>
    <n v="3"/>
    <x v="6"/>
  </r>
  <r>
    <s v="Phenylalanine; tyrosine and tryptophan biosynthesis - Solanum lycopersicum (tomato)"/>
    <x v="2"/>
    <x v="0"/>
    <s v="-"/>
    <n v="2"/>
    <x v="6"/>
  </r>
  <r>
    <s v="Taurine and hypotaurine metabolism - Solanum lycopersicum (tomato)"/>
    <x v="2"/>
    <x v="0"/>
    <s v="-"/>
    <n v="4"/>
    <x v="6"/>
  </r>
  <r>
    <s v="Riboflavin metabolism - Solanum lycopersicum (tomato)"/>
    <x v="2"/>
    <x v="0"/>
    <s v="-"/>
    <n v="3"/>
    <x v="8"/>
  </r>
  <r>
    <s v="Vitamin B6 metabolism - Solanum lycopersicum (tomato)"/>
    <x v="2"/>
    <x v="0"/>
    <s v="-"/>
    <n v="4"/>
    <x v="9"/>
  </r>
  <r>
    <s v="Monoterpenoid biosynthesis - Solanum lycopersicum (tomato)"/>
    <x v="2"/>
    <x v="0"/>
    <s v="-"/>
    <n v="3"/>
    <x v="10"/>
  </r>
  <r>
    <s v="Zeatin biosynthesis - Solanum lycopersicum (tomato)"/>
    <x v="2"/>
    <x v="0"/>
    <s v="-"/>
    <n v="4"/>
    <x v="3"/>
  </r>
  <r>
    <s v="Flavonoid biosynthesis - Solanum lycopersicum (tomato)"/>
    <x v="2"/>
    <x v="0"/>
    <s v="-"/>
    <n v="2"/>
    <x v="16"/>
  </r>
  <r>
    <s v="Stilbenoid; diarylheptanoid and gingerol biosynthesis - Solanum lycopersicum (tomato)"/>
    <x v="2"/>
    <x v="0"/>
    <s v="-"/>
    <n v="2"/>
    <x v="22"/>
  </r>
  <r>
    <s v="Plant hormone signal transduction - Solanum lycopersicum (tomato)"/>
    <x v="2"/>
    <x v="0"/>
    <s v="-"/>
    <n v="2"/>
    <x v="21"/>
  </r>
  <r>
    <s v="Lignans"/>
    <x v="2"/>
    <x v="0"/>
    <s v="-"/>
    <n v="2"/>
    <x v="16"/>
  </r>
  <r>
    <s v="Cysteine and methionine metabolism - Solanum lycopersicum (tomato)"/>
    <x v="2"/>
    <x v="0"/>
    <s v="-"/>
    <n v="4"/>
    <x v="6"/>
  </r>
  <r>
    <s v="beta-Alanine metabolism - Solanum lycopersicum (tomato)"/>
    <x v="2"/>
    <x v="0"/>
    <s v="-"/>
    <n v="4"/>
    <x v="6"/>
  </r>
  <r>
    <s v="Amino sugar and nucleotide sugar metabolism - Solanum lycopersicum (tomato)"/>
    <x v="2"/>
    <x v="0"/>
    <s v="-"/>
    <n v="2"/>
    <x v="1"/>
  </r>
  <r>
    <s v="Carbon fixation in photosynthetic organisms - Solanum lycopersicum (tomato)"/>
    <x v="2"/>
    <x v="0"/>
    <s v="-"/>
    <n v="5"/>
    <x v="5"/>
  </r>
  <r>
    <s v="Thiamine metabolism - Solanum lycopersicum (tomato)"/>
    <x v="2"/>
    <x v="0"/>
    <s v="-"/>
    <n v="5"/>
    <x v="9"/>
  </r>
  <r>
    <s v="Terpenoid backbone biosynthesis - Solanum lycopersicum (tomato)"/>
    <x v="2"/>
    <x v="0"/>
    <s v="-"/>
    <n v="4"/>
    <x v="10"/>
  </r>
  <r>
    <s v="Anthocyanin biosynthesis - Solanum lycopersicum (tomato)"/>
    <x v="2"/>
    <x v="0"/>
    <s v="-"/>
    <n v="2"/>
    <x v="16"/>
  </r>
  <r>
    <s v="Fatty acid elongation - Solanum lycopersicum (tomato)"/>
    <x v="2"/>
    <x v="0"/>
    <s v="-"/>
    <n v="4"/>
    <x v="7"/>
  </r>
  <r>
    <s v="Fatty acid degradation - Solanum lycopersicum (tomato)"/>
    <x v="2"/>
    <x v="0"/>
    <s v="-"/>
    <n v="4"/>
    <x v="7"/>
  </r>
  <r>
    <s v="Ubiquinone and other terpenoid-quinone biosynthesis - Solanum lycopersicum (tomato)"/>
    <x v="2"/>
    <x v="0"/>
    <s v="-"/>
    <n v="1"/>
    <x v="9"/>
  </r>
  <r>
    <s v="Oxidative phosphorylation - Solanum lycopersicum (tomato)"/>
    <x v="2"/>
    <x v="0"/>
    <s v="-"/>
    <n v="1"/>
    <x v="11"/>
  </r>
  <r>
    <s v="Lysine biosynthesis - Solanum lycopersicum (tomato)"/>
    <x v="2"/>
    <x v="0"/>
    <s v="-"/>
    <n v="1"/>
    <x v="6"/>
  </r>
  <r>
    <s v="Lysine degradation - Solanum lycopersicum (tomato)"/>
    <x v="2"/>
    <x v="0"/>
    <s v="-"/>
    <n v="1"/>
    <x v="6"/>
  </r>
  <r>
    <s v="Glutathione metabolism - Solanum lycopersicum (tomato)"/>
    <x v="2"/>
    <x v="0"/>
    <s v="-"/>
    <n v="1"/>
    <x v="6"/>
  </r>
  <r>
    <s v="Starch and sucrose metabolism - Solanum lycopersicum (tomato)"/>
    <x v="2"/>
    <x v="0"/>
    <s v="-"/>
    <n v="1"/>
    <x v="2"/>
  </r>
  <r>
    <s v="Arachidonic acid metabolism - Solanum lycopersicum (tomato)"/>
    <x v="2"/>
    <x v="0"/>
    <s v="-"/>
    <n v="1"/>
    <x v="7"/>
  </r>
  <r>
    <s v="Propanoate metabolism - Solanum lycopersicum (tomato)"/>
    <x v="2"/>
    <x v="0"/>
    <s v="-"/>
    <n v="3"/>
    <x v="2"/>
  </r>
  <r>
    <s v="Limonene and pinene degradation - Solanum lycopersicum (tomato)"/>
    <x v="2"/>
    <x v="0"/>
    <s v="-"/>
    <n v="1"/>
    <x v="10"/>
  </r>
  <r>
    <s v="Diterpenoid biosynthesis - Solanum lycopersicum (tomato)"/>
    <x v="2"/>
    <x v="0"/>
    <s v="-"/>
    <n v="1"/>
    <x v="10"/>
  </r>
  <r>
    <s v="Sesquiterpenoid and triterpenoid biosynthesis - Solanum lycopersicum (tomato)"/>
    <x v="2"/>
    <x v="0"/>
    <s v="-"/>
    <n v="1"/>
    <x v="10"/>
  </r>
  <r>
    <s v="Sulfur metabolism - Solanum lycopersicum (tomato)"/>
    <x v="2"/>
    <x v="0"/>
    <s v="-"/>
    <n v="1"/>
    <x v="11"/>
  </r>
  <r>
    <s v="Fatty acid metabolism - Solanum lycopersicum (tomato)"/>
    <x v="2"/>
    <x v="0"/>
    <s v="-"/>
    <n v="4"/>
    <x v="24"/>
  </r>
  <r>
    <s v="Phosphatidylinositol signaling system - Solanum lycopersicum (tomato)"/>
    <x v="2"/>
    <x v="0"/>
    <s v="-"/>
    <n v="1"/>
    <x v="21"/>
  </r>
  <r>
    <s v="Plant-pathogen interaction - Solanum lycopersicum (tomato)"/>
    <x v="2"/>
    <x v="0"/>
    <s v="-"/>
    <n v="1"/>
    <x v="25"/>
  </r>
  <r>
    <s v="Indole derivatives"/>
    <x v="2"/>
    <x v="0"/>
    <s v="-"/>
    <n v="2"/>
    <x v="6"/>
  </r>
  <r>
    <s v="JA biosynthesis"/>
    <x v="2"/>
    <x v="0"/>
    <s v="-"/>
    <n v="1"/>
    <x v="26"/>
  </r>
  <r>
    <s v="Secondary metabolism"/>
    <x v="2"/>
    <x v="0"/>
    <s v="-"/>
    <n v="1"/>
    <x v="19"/>
  </r>
  <r>
    <s v="Fructose and mannose metabolism - Solanum lycopersicum (tomato)"/>
    <x v="2"/>
    <x v="0"/>
    <s v="-"/>
    <n v="1"/>
    <x v="2"/>
  </r>
  <r>
    <s v="Isoquinoline alkaloid biosynthesis - Solanum lycopersicum (tomato)"/>
    <x v="2"/>
    <x v="1"/>
    <s v="-"/>
    <n v="9"/>
    <x v="4"/>
  </r>
  <r>
    <s v="Degradation of aromatic compounds - Solanum lycopersicum (tomato)"/>
    <x v="2"/>
    <x v="1"/>
    <s v="-"/>
    <n v="4"/>
    <x v="18"/>
  </r>
  <r>
    <s v="Pentose phosphate pathway - Solanum lycopersicum (tomato)"/>
    <x v="2"/>
    <x v="1"/>
    <s v="-"/>
    <n v="3"/>
    <x v="2"/>
  </r>
  <r>
    <s v="Phenylalanine; tyrosine and tryptophan biosynthesis - Solanum lycopersicum (tomato)"/>
    <x v="2"/>
    <x v="1"/>
    <s v="-"/>
    <n v="3"/>
    <x v="6"/>
  </r>
  <r>
    <s v="Carbon metabolism - Solanum lycopersicum (tomato)"/>
    <x v="2"/>
    <x v="1"/>
    <s v="-"/>
    <n v="3"/>
    <x v="14"/>
  </r>
  <r>
    <s v="Biosynthesis of amino acids - Solanum lycopersicum (tomato)"/>
    <x v="2"/>
    <x v="1"/>
    <s v="-"/>
    <n v="3"/>
    <x v="6"/>
  </r>
  <r>
    <s v="Lignans"/>
    <x v="2"/>
    <x v="1"/>
    <s v="-"/>
    <n v="3"/>
    <x v="16"/>
  </r>
  <r>
    <s v="Tyrosine metabolism - Solanum lycopersicum (tomato)"/>
    <x v="2"/>
    <x v="1"/>
    <s v="-"/>
    <n v="2"/>
    <x v="6"/>
  </r>
  <r>
    <s v="Carbon fixation in photosynthetic organisms - Solanum lycopersicum (tomato)"/>
    <x v="2"/>
    <x v="1"/>
    <s v="-"/>
    <n v="2"/>
    <x v="5"/>
  </r>
  <r>
    <s v="Phosphatidylinositol signaling system - Solanum lycopersicum (tomato)"/>
    <x v="2"/>
    <x v="1"/>
    <s v="-"/>
    <n v="2"/>
    <x v="21"/>
  </r>
  <r>
    <s v="Phenylpropanoids biosynthesis"/>
    <x v="2"/>
    <x v="1"/>
    <s v="-"/>
    <n v="2"/>
    <x v="16"/>
  </r>
  <r>
    <s v="Glycolysis / Gluconeogenesis - Solanum lycopersicum (tomato)"/>
    <x v="2"/>
    <x v="1"/>
    <s v="-"/>
    <n v="2"/>
    <x v="2"/>
  </r>
  <r>
    <s v="Starch and sucrose metabolism - Solanum lycopersicum (tomato)"/>
    <x v="2"/>
    <x v="1"/>
    <s v="-"/>
    <n v="2"/>
    <x v="2"/>
  </r>
  <r>
    <s v="Inositol phosphate metabolism - Solanum lycopersicum (tomato)"/>
    <x v="2"/>
    <x v="1"/>
    <s v="-"/>
    <n v="2"/>
    <x v="2"/>
  </r>
  <r>
    <s v="ABC transporters - Solanum lycopersicum (tomato)"/>
    <x v="2"/>
    <x v="1"/>
    <s v="-"/>
    <n v="3"/>
    <x v="15"/>
  </r>
  <r>
    <s v="Fructose and mannose metabolism - Solanum lycopersicum (tomato)"/>
    <x v="2"/>
    <x v="1"/>
    <s v="-"/>
    <n v="2"/>
    <x v="2"/>
  </r>
  <r>
    <s v="Galactose metabolism - Solanum lycopersicum (tomato)"/>
    <x v="2"/>
    <x v="1"/>
    <s v="-"/>
    <n v="2"/>
    <x v="2"/>
  </r>
  <r>
    <s v="Ascorbate and aldarate metabolism - Solanum lycopersicum (tomato)"/>
    <x v="2"/>
    <x v="1"/>
    <s v="-"/>
    <n v="1"/>
    <x v="2"/>
  </r>
  <r>
    <s v="Ubiquinone and other terpenoid-quinone biosynthesis - Solanum lycopersicum (tomato)"/>
    <x v="2"/>
    <x v="1"/>
    <s v="-"/>
    <n v="2"/>
    <x v="9"/>
  </r>
  <r>
    <s v="Caffeine metabolism - Solanum lycopersicum (tomato)"/>
    <x v="2"/>
    <x v="1"/>
    <s v="-"/>
    <n v="1"/>
    <x v="20"/>
  </r>
  <r>
    <s v="Valine; leucine and isoleucine biosynthesis - Solanum lycopersicum (tomato)"/>
    <x v="2"/>
    <x v="1"/>
    <s v="-"/>
    <n v="1"/>
    <x v="6"/>
  </r>
  <r>
    <s v="Arginine and proline metabolism - Solanum lycopersicum (tomato)"/>
    <x v="2"/>
    <x v="1"/>
    <s v="-"/>
    <n v="1"/>
    <x v="6"/>
  </r>
  <r>
    <s v="Histidine metabolism - Solanum lycopersicum (tomato)"/>
    <x v="2"/>
    <x v="1"/>
    <s v="-"/>
    <n v="1"/>
    <x v="6"/>
  </r>
  <r>
    <s v="Phenylalanine metabolism - Solanum lycopersicum (tomato)"/>
    <x v="2"/>
    <x v="1"/>
    <s v="-"/>
    <n v="1"/>
    <x v="6"/>
  </r>
  <r>
    <s v="Glutathione metabolism - Solanum lycopersicum (tomato)"/>
    <x v="2"/>
    <x v="1"/>
    <s v="-"/>
    <n v="1"/>
    <x v="6"/>
  </r>
  <r>
    <s v="Amino sugar and nucleotide sugar metabolism - Solanum lycopersicum (tomato)"/>
    <x v="2"/>
    <x v="1"/>
    <s v="-"/>
    <n v="1"/>
    <x v="1"/>
  </r>
  <r>
    <s v="Arachidonic acid metabolism - Solanum lycopersicum (tomato)"/>
    <x v="2"/>
    <x v="1"/>
    <s v="-"/>
    <n v="1"/>
    <x v="7"/>
  </r>
  <r>
    <s v="Riboflavin metabolism - Solanum lycopersicum (tomato)"/>
    <x v="2"/>
    <x v="1"/>
    <s v="-"/>
    <n v="1"/>
    <x v="8"/>
  </r>
  <r>
    <s v="Vitamin B6 metabolism - Solanum lycopersicum (tomato)"/>
    <x v="2"/>
    <x v="1"/>
    <s v="-"/>
    <n v="1"/>
    <x v="9"/>
  </r>
  <r>
    <s v="Nicotinate and nicotinamide metabolism - Solanum lycopersicum (tomato)"/>
    <x v="2"/>
    <x v="1"/>
    <s v="-"/>
    <n v="1"/>
    <x v="9"/>
  </r>
  <r>
    <s v="Pantothenate and CoA biosynthesis - Solanum lycopersicum (tomato)"/>
    <x v="2"/>
    <x v="1"/>
    <s v="-"/>
    <n v="1"/>
    <x v="9"/>
  </r>
  <r>
    <s v="Monoterpenoid biosynthesis - Solanum lycopersicum (tomato)"/>
    <x v="2"/>
    <x v="1"/>
    <s v="-"/>
    <n v="1"/>
    <x v="10"/>
  </r>
  <r>
    <s v="Zeatin biosynthesis - Solanum lycopersicum (tomato)"/>
    <x v="2"/>
    <x v="1"/>
    <s v="-"/>
    <n v="1"/>
    <x v="3"/>
  </r>
  <r>
    <s v="Flavonoid biosynthesis - Solanum lycopersicum (tomato)"/>
    <x v="2"/>
    <x v="1"/>
    <s v="-"/>
    <n v="1"/>
    <x v="16"/>
  </r>
  <r>
    <s v="Anthocyanin biosynthesis - Solanum lycopersicum (tomato)"/>
    <x v="2"/>
    <x v="1"/>
    <s v="-"/>
    <n v="1"/>
    <x v="16"/>
  </r>
  <r>
    <s v="Flavone and flavonol biosynthesis - Solanum lycopersicum (tomato)"/>
    <x v="2"/>
    <x v="1"/>
    <s v="-"/>
    <n v="1"/>
    <x v="16"/>
  </r>
  <r>
    <s v="2-Oxocarboxylic acid metabolism - Solanum lycopersicum (tomato)"/>
    <x v="2"/>
    <x v="1"/>
    <s v="-"/>
    <n v="1"/>
    <x v="6"/>
  </r>
  <r>
    <s v="Flavonoids"/>
    <x v="2"/>
    <x v="1"/>
    <s v="-"/>
    <n v="1"/>
    <x v="16"/>
  </r>
  <r>
    <s v="put Lignans"/>
    <x v="2"/>
    <x v="1"/>
    <s v="-"/>
    <n v="3"/>
    <x v="29"/>
  </r>
  <r>
    <s v="Diconiferyle"/>
    <x v="2"/>
    <x v="1"/>
    <s v="-"/>
    <n v="3"/>
    <x v="28"/>
  </r>
  <r>
    <s v="Primary metabolism"/>
    <x v="2"/>
    <x v="1"/>
    <s v="-"/>
    <n v="1"/>
    <x v="17"/>
  </r>
  <r>
    <s v="Secondary metabolism"/>
    <x v="2"/>
    <x v="1"/>
    <s v="-"/>
    <n v="1"/>
    <x v="19"/>
  </r>
  <r>
    <s v="Linoleic acid metabolism - Solanum lycopersicum (tomato)"/>
    <x v="3"/>
    <x v="0"/>
    <s v="-"/>
    <n v="12"/>
    <x v="7"/>
  </r>
  <r>
    <s v="Degradation of aromatic compounds - Solanum lycopersicum (tomato)"/>
    <x v="3"/>
    <x v="0"/>
    <s v="-"/>
    <n v="14"/>
    <x v="18"/>
  </r>
  <r>
    <s v="Carbon metabolism - Solanum lycopersicum (tomato)"/>
    <x v="3"/>
    <x v="0"/>
    <s v="-"/>
    <n v="10"/>
    <x v="14"/>
  </r>
  <r>
    <s v="alpha-Linolenic acid metabolism - Solanum lycopersicum (tomato)"/>
    <x v="3"/>
    <x v="0"/>
    <s v="-"/>
    <n v="12"/>
    <x v="7"/>
  </r>
  <r>
    <s v="Phenylpropanoid biosynthesis - Solanum lycopersicum (tomato)"/>
    <x v="3"/>
    <x v="0"/>
    <s v="-"/>
    <n v="8"/>
    <x v="12"/>
  </r>
  <r>
    <s v="Pentose phosphate pathway - Solanum lycopersicum (tomato)"/>
    <x v="3"/>
    <x v="0"/>
    <s v="-"/>
    <n v="7"/>
    <x v="2"/>
  </r>
  <r>
    <s v="Ascorbate and aldarate metabolism - Solanum lycopersicum (tomato)"/>
    <x v="3"/>
    <x v="0"/>
    <s v="-"/>
    <n v="6"/>
    <x v="2"/>
  </r>
  <r>
    <s v="Nicotinate and nicotinamide metabolism - Solanum lycopersicum (tomato)"/>
    <x v="3"/>
    <x v="0"/>
    <s v="-"/>
    <n v="8"/>
    <x v="9"/>
  </r>
  <r>
    <s v="2-Oxocarboxylic acid metabolism - Solanum lycopersicum (tomato)"/>
    <x v="3"/>
    <x v="0"/>
    <s v="-"/>
    <n v="6"/>
    <x v="6"/>
  </r>
  <r>
    <s v="Primary metabolism"/>
    <x v="3"/>
    <x v="0"/>
    <s v="-"/>
    <n v="9"/>
    <x v="17"/>
  </r>
  <r>
    <s v="Glycolysis / Gluconeogenesis - Solanum lycopersicum (tomato)"/>
    <x v="3"/>
    <x v="0"/>
    <s v="-"/>
    <n v="6"/>
    <x v="2"/>
  </r>
  <r>
    <s v="Pentose and glucuronate interconversions - Solanum lycopersicum (tomato)"/>
    <x v="3"/>
    <x v="0"/>
    <s v="-"/>
    <n v="5"/>
    <x v="2"/>
  </r>
  <r>
    <s v="Fatty acid biosynthesis - Solanum lycopersicum (tomato)"/>
    <x v="3"/>
    <x v="0"/>
    <s v="-"/>
    <n v="7"/>
    <x v="7"/>
  </r>
  <r>
    <s v="Cutin; suberine and wax biosynthesis - Solanum lycopersicum (tomato)"/>
    <x v="3"/>
    <x v="0"/>
    <s v="-"/>
    <n v="11"/>
    <x v="7"/>
  </r>
  <r>
    <s v="Purine metabolism - Solanum lycopersicum (tomato)"/>
    <x v="3"/>
    <x v="0"/>
    <s v="-"/>
    <n v="4"/>
    <x v="0"/>
  </r>
  <r>
    <s v="Arginine and proline metabolism - Solanum lycopersicum (tomato)"/>
    <x v="3"/>
    <x v="0"/>
    <s v="-"/>
    <n v="5"/>
    <x v="6"/>
  </r>
  <r>
    <s v="Tyrosine metabolism - Solanum lycopersicum (tomato)"/>
    <x v="3"/>
    <x v="0"/>
    <s v="-"/>
    <n v="5"/>
    <x v="6"/>
  </r>
  <r>
    <s v="Phenylalanine metabolism - Solanum lycopersicum (tomato)"/>
    <x v="3"/>
    <x v="0"/>
    <s v="-"/>
    <n v="5"/>
    <x v="6"/>
  </r>
  <r>
    <s v="Inositol phosphate metabolism - Solanum lycopersicum (tomato)"/>
    <x v="3"/>
    <x v="0"/>
    <s v="-"/>
    <n v="5"/>
    <x v="2"/>
  </r>
  <r>
    <s v="Butanoate metabolism - Solanum lycopersicum (tomato)"/>
    <x v="3"/>
    <x v="0"/>
    <s v="-"/>
    <n v="5"/>
    <x v="2"/>
  </r>
  <r>
    <s v="Limonene and pinene degradation - Solanum lycopersicum (tomato)"/>
    <x v="3"/>
    <x v="0"/>
    <s v="-"/>
    <n v="4"/>
    <x v="10"/>
  </r>
  <r>
    <s v="Flavonoid biosynthesis - Solanum lycopersicum (tomato)"/>
    <x v="3"/>
    <x v="0"/>
    <s v="-"/>
    <n v="6"/>
    <x v="16"/>
  </r>
  <r>
    <s v="Anthocyanin biosynthesis - Solanum lycopersicum (tomato)"/>
    <x v="3"/>
    <x v="0"/>
    <s v="-"/>
    <n v="4"/>
    <x v="16"/>
  </r>
  <r>
    <s v="Flavone and flavonol biosynthesis - Solanum lycopersicum (tomato)"/>
    <x v="3"/>
    <x v="0"/>
    <s v="-"/>
    <n v="4"/>
    <x v="16"/>
  </r>
  <r>
    <s v="Biosynthesis of unsaturated fatty acids - Solanum lycopersicum (tomato)"/>
    <x v="3"/>
    <x v="0"/>
    <s v="-"/>
    <n v="9"/>
    <x v="7"/>
  </r>
  <r>
    <s v="Biosynthesis of amino acids - Solanum lycopersicum (tomato)"/>
    <x v="3"/>
    <x v="0"/>
    <s v="-"/>
    <n v="6"/>
    <x v="6"/>
  </r>
  <r>
    <s v="Phenylpropanoids biosynthesis"/>
    <x v="3"/>
    <x v="0"/>
    <s v="-"/>
    <n v="5"/>
    <x v="16"/>
  </r>
  <r>
    <s v="Monoterpenoid biosynthesis - Solanum lycopersicum (tomato)"/>
    <x v="3"/>
    <x v="0"/>
    <s v="-"/>
    <n v="4"/>
    <x v="10"/>
  </r>
  <r>
    <s v="Citrate cycle (TCA cycle) - Solanum lycopersicum (tomato)"/>
    <x v="3"/>
    <x v="0"/>
    <s v="-"/>
    <n v="4"/>
    <x v="5"/>
  </r>
  <r>
    <s v="Fructose and mannose metabolism - Solanum lycopersicum (tomato)"/>
    <x v="3"/>
    <x v="0"/>
    <s v="-"/>
    <n v="3"/>
    <x v="2"/>
  </r>
  <r>
    <s v="Galactose metabolism - Solanum lycopersicum (tomato)"/>
    <x v="3"/>
    <x v="0"/>
    <s v="-"/>
    <n v="4"/>
    <x v="2"/>
  </r>
  <r>
    <s v="Ubiquinone and other terpenoid-quinone biosynthesis - Solanum lycopersicum (tomato)"/>
    <x v="3"/>
    <x v="0"/>
    <s v="-"/>
    <n v="3"/>
    <x v="9"/>
  </r>
  <r>
    <s v="Alanine; aspartate and glutamate metabolism - Solanum lycopersicum (tomato)"/>
    <x v="3"/>
    <x v="0"/>
    <s v="-"/>
    <n v="4"/>
    <x v="6"/>
  </r>
  <r>
    <s v="Propanoate metabolism - Solanum lycopersicum (tomato)"/>
    <x v="3"/>
    <x v="0"/>
    <s v="-"/>
    <n v="4"/>
    <x v="2"/>
  </r>
  <r>
    <s v="C5-Branched dibasic acid metabolism - Solanum lycopersicum (tomato)"/>
    <x v="3"/>
    <x v="0"/>
    <s v="-"/>
    <n v="5"/>
    <x v="2"/>
  </r>
  <r>
    <s v="Carbon fixation in photosynthetic organisms - Solanum lycopersicum (tomato)"/>
    <x v="3"/>
    <x v="0"/>
    <s v="-"/>
    <n v="5"/>
    <x v="5"/>
  </r>
  <r>
    <s v="Vitamin B6 metabolism - Solanum lycopersicum (tomato)"/>
    <x v="3"/>
    <x v="0"/>
    <s v="-"/>
    <n v="4"/>
    <x v="9"/>
  </r>
  <r>
    <s v="Stilbenoid; diarylheptanoid and gingerol biosynthesis - Solanum lycopersicum (tomato)"/>
    <x v="3"/>
    <x v="0"/>
    <s v="-"/>
    <n v="5"/>
    <x v="22"/>
  </r>
  <r>
    <s v="Isoquinoline alkaloid biosynthesis - Solanum lycopersicum (tomato)"/>
    <x v="3"/>
    <x v="0"/>
    <s v="-"/>
    <n v="4"/>
    <x v="4"/>
  </r>
  <r>
    <s v="Pyrimidine metabolism - Solanum lycopersicum (tomato)"/>
    <x v="3"/>
    <x v="0"/>
    <s v="-"/>
    <n v="3"/>
    <x v="0"/>
  </r>
  <r>
    <s v="Glycine; serine and threonine metabolism - Solanum lycopersicum (tomato)"/>
    <x v="3"/>
    <x v="0"/>
    <s v="-"/>
    <n v="3"/>
    <x v="6"/>
  </r>
  <r>
    <s v="Cysteine and methionine metabolism - Solanum lycopersicum (tomato)"/>
    <x v="3"/>
    <x v="0"/>
    <s v="-"/>
    <n v="3"/>
    <x v="6"/>
  </r>
  <r>
    <s v="Valine; leucine and isoleucine biosynthesis - Solanum lycopersicum (tomato)"/>
    <x v="3"/>
    <x v="0"/>
    <s v="-"/>
    <n v="3"/>
    <x v="6"/>
  </r>
  <r>
    <s v="Phenylalanine; tyrosine and tryptophan biosynthesis - Solanum lycopersicum (tomato)"/>
    <x v="3"/>
    <x v="0"/>
    <s v="-"/>
    <n v="3"/>
    <x v="6"/>
  </r>
  <r>
    <s v="beta-Alanine metabolism - Solanum lycopersicum (tomato)"/>
    <x v="3"/>
    <x v="0"/>
    <s v="-"/>
    <n v="3"/>
    <x v="6"/>
  </r>
  <r>
    <s v="Taurine and hypotaurine metabolism - Solanum lycopersicum (tomato)"/>
    <x v="3"/>
    <x v="0"/>
    <s v="-"/>
    <n v="3"/>
    <x v="6"/>
  </r>
  <r>
    <s v="Cyanoamino acid metabolism - Solanum lycopersicum (tomato)"/>
    <x v="3"/>
    <x v="0"/>
    <s v="-"/>
    <n v="2"/>
    <x v="6"/>
  </r>
  <r>
    <s v="Pyruvate metabolism - Solanum lycopersicum (tomato)"/>
    <x v="3"/>
    <x v="0"/>
    <s v="-"/>
    <n v="3"/>
    <x v="2"/>
  </r>
  <r>
    <s v="Glyoxylate and dicarboxylate metabolism - Solanum lycopersicum (tomato)"/>
    <x v="3"/>
    <x v="0"/>
    <s v="-"/>
    <n v="3"/>
    <x v="2"/>
  </r>
  <r>
    <s v="Pantothenate and CoA biosynthesis - Solanum lycopersicum (tomato)"/>
    <x v="3"/>
    <x v="0"/>
    <s v="-"/>
    <n v="3"/>
    <x v="9"/>
  </r>
  <r>
    <s v="Tropane; piperidine and pyridine alkaloid biosynthesis - Solanum lycopersicum (tomato)"/>
    <x v="3"/>
    <x v="0"/>
    <s v="-"/>
    <n v="2"/>
    <x v="4"/>
  </r>
  <r>
    <s v="Glucosinolate biosynthesis - Solanum lycopersicum (tomato)"/>
    <x v="3"/>
    <x v="0"/>
    <s v="-"/>
    <n v="2"/>
    <x v="13"/>
  </r>
  <r>
    <s v="Plant hormone signal transduction - Solanum lycopersicum (tomato)"/>
    <x v="3"/>
    <x v="0"/>
    <s v="-"/>
    <n v="3"/>
    <x v="21"/>
  </r>
  <r>
    <s v="Alkaloids Library"/>
    <x v="3"/>
    <x v="0"/>
    <s v="-"/>
    <n v="3"/>
    <x v="4"/>
  </r>
  <r>
    <s v="Lignans"/>
    <x v="3"/>
    <x v="0"/>
    <s v="-"/>
    <n v="3"/>
    <x v="16"/>
  </r>
  <r>
    <s v="Histidine metabolism - Solanum lycopersicum (tomato)"/>
    <x v="3"/>
    <x v="0"/>
    <s v="-"/>
    <n v="4"/>
    <x v="6"/>
  </r>
  <r>
    <s v="Phosphatidylinositol signaling system - Solanum lycopersicum (tomato)"/>
    <x v="3"/>
    <x v="0"/>
    <s v="-"/>
    <n v="2"/>
    <x v="21"/>
  </r>
  <r>
    <s v="Arachidonic acid metabolism - Solanum lycopersicum (tomato)"/>
    <x v="3"/>
    <x v="0"/>
    <s v="-"/>
    <n v="1"/>
    <x v="7"/>
  </r>
  <r>
    <s v="Fatty acid elongation - Solanum lycopersicum (tomato)"/>
    <x v="3"/>
    <x v="0"/>
    <s v="-"/>
    <n v="4"/>
    <x v="7"/>
  </r>
  <r>
    <s v="Fatty acid degradation - Solanum lycopersicum (tomato)"/>
    <x v="3"/>
    <x v="0"/>
    <s v="-"/>
    <n v="4"/>
    <x v="7"/>
  </r>
  <r>
    <s v="Oxidative phosphorylation - Solanum lycopersicum (tomato)"/>
    <x v="3"/>
    <x v="0"/>
    <s v="-"/>
    <n v="1"/>
    <x v="11"/>
  </r>
  <r>
    <s v="Caffeine metabolism - Solanum lycopersicum (tomato)"/>
    <x v="3"/>
    <x v="0"/>
    <s v="-"/>
    <n v="1"/>
    <x v="20"/>
  </r>
  <r>
    <s v="Valine; leucine and isoleucine degradation - Solanum lycopersicum (tomato)"/>
    <x v="3"/>
    <x v="0"/>
    <s v="-"/>
    <n v="1"/>
    <x v="6"/>
  </r>
  <r>
    <s v="Lysine biosynthesis - Solanum lycopersicum (tomato)"/>
    <x v="3"/>
    <x v="0"/>
    <s v="-"/>
    <n v="1"/>
    <x v="6"/>
  </r>
  <r>
    <s v="Lysine degradation - Solanum lycopersicum (tomato)"/>
    <x v="3"/>
    <x v="0"/>
    <s v="-"/>
    <n v="1"/>
    <x v="6"/>
  </r>
  <r>
    <s v="Tryptophan metabolism - Solanum lycopersicum (tomato)"/>
    <x v="3"/>
    <x v="0"/>
    <s v="-"/>
    <n v="1"/>
    <x v="6"/>
  </r>
  <r>
    <s v="Glutathione metabolism - Solanum lycopersicum (tomato)"/>
    <x v="3"/>
    <x v="0"/>
    <s v="-"/>
    <n v="1"/>
    <x v="6"/>
  </r>
  <r>
    <s v="Starch and sucrose metabolism - Solanum lycopersicum (tomato)"/>
    <x v="3"/>
    <x v="0"/>
    <s v="-"/>
    <n v="2"/>
    <x v="2"/>
  </r>
  <r>
    <s v="Amino sugar and nucleotide sugar metabolism - Solanum lycopersicum (tomato)"/>
    <x v="3"/>
    <x v="0"/>
    <s v="-"/>
    <n v="1"/>
    <x v="1"/>
  </r>
  <r>
    <s v="Glycerolipid metabolism - Solanum lycopersicum (tomato)"/>
    <x v="3"/>
    <x v="0"/>
    <s v="-"/>
    <n v="1"/>
    <x v="7"/>
  </r>
  <r>
    <s v="Thiamine metabolism - Solanum lycopersicum (tomato)"/>
    <x v="3"/>
    <x v="0"/>
    <s v="-"/>
    <n v="2"/>
    <x v="9"/>
  </r>
  <r>
    <s v="Riboflavin metabolism - Solanum lycopersicum (tomato)"/>
    <x v="3"/>
    <x v="0"/>
    <s v="-"/>
    <n v="2"/>
    <x v="8"/>
  </r>
  <r>
    <s v="Biotin metabolism - Solanum lycopersicum (tomato)"/>
    <x v="3"/>
    <x v="0"/>
    <s v="-"/>
    <n v="1"/>
    <x v="9"/>
  </r>
  <r>
    <s v="Folate biosynthesis - Solanum lycopersicum (tomato)"/>
    <x v="3"/>
    <x v="0"/>
    <s v="-"/>
    <n v="1"/>
    <x v="9"/>
  </r>
  <r>
    <s v="Porphyrin and chlorophyll metabolism - Solanum lycopersicum (tomato)"/>
    <x v="3"/>
    <x v="0"/>
    <s v="-"/>
    <n v="1"/>
    <x v="9"/>
  </r>
  <r>
    <s v="Terpenoid backbone biosynthesis - Solanum lycopersicum (tomato)"/>
    <x v="3"/>
    <x v="0"/>
    <s v="-"/>
    <n v="2"/>
    <x v="10"/>
  </r>
  <r>
    <s v="Brassinosteroid biosynthesis - Solanum lycopersicum (tomato)"/>
    <x v="3"/>
    <x v="0"/>
    <s v="-"/>
    <n v="1"/>
    <x v="10"/>
  </r>
  <r>
    <s v="Zeatin biosynthesis - Solanum lycopersicum (tomato)"/>
    <x v="3"/>
    <x v="0"/>
    <s v="-"/>
    <n v="3"/>
    <x v="3"/>
  </r>
  <r>
    <s v="Aminoacyl-tRNA biosynthesis - Solanum lycopersicum (tomato)"/>
    <x v="3"/>
    <x v="0"/>
    <s v="-"/>
    <n v="1"/>
    <x v="23"/>
  </r>
  <r>
    <s v="Fatty acid metabolism - Solanum lycopersicum (tomato)"/>
    <x v="3"/>
    <x v="0"/>
    <s v="-"/>
    <n v="4"/>
    <x v="24"/>
  </r>
  <r>
    <s v="ABC transporters - Solanum lycopersicum (tomato)"/>
    <x v="3"/>
    <x v="0"/>
    <s v="-"/>
    <n v="1"/>
    <x v="15"/>
  </r>
  <r>
    <s v="Plant-pathogen interaction - Solanum lycopersicum (tomato)"/>
    <x v="3"/>
    <x v="0"/>
    <s v="-"/>
    <n v="2"/>
    <x v="25"/>
  </r>
  <r>
    <s v="Amino acids"/>
    <x v="3"/>
    <x v="0"/>
    <s v="-"/>
    <n v="1"/>
    <x v="6"/>
  </r>
  <r>
    <s v="Indole derivatives"/>
    <x v="3"/>
    <x v="0"/>
    <s v="-"/>
    <n v="2"/>
    <x v="6"/>
  </r>
  <r>
    <s v="JA biosynthesis"/>
    <x v="3"/>
    <x v="0"/>
    <s v="-"/>
    <n v="2"/>
    <x v="26"/>
  </r>
  <r>
    <s v="Degradation of aromatic compounds - Solanum lycopersicum (tomato)"/>
    <x v="3"/>
    <x v="1"/>
    <s v="-"/>
    <n v="17"/>
    <x v="18"/>
  </r>
  <r>
    <s v="2-Oxocarboxylic acid metabolism - Solanum lycopersicum (tomato)"/>
    <x v="3"/>
    <x v="1"/>
    <s v="-"/>
    <n v="11"/>
    <x v="6"/>
  </r>
  <r>
    <s v="Lignans"/>
    <x v="3"/>
    <x v="1"/>
    <s v="-"/>
    <n v="10"/>
    <x v="16"/>
  </r>
  <r>
    <s v="Phenylalanine metabolism - Solanum lycopersicum (tomato)"/>
    <x v="3"/>
    <x v="1"/>
    <s v="-"/>
    <n v="11"/>
    <x v="6"/>
  </r>
  <r>
    <s v="Phenylpropanoid biosynthesis - Solanum lycopersicum (tomato)"/>
    <x v="3"/>
    <x v="1"/>
    <s v="-"/>
    <n v="8"/>
    <x v="12"/>
  </r>
  <r>
    <s v="Biosynthesis of amino acids - Solanum lycopersicum (tomato)"/>
    <x v="3"/>
    <x v="1"/>
    <s v="-"/>
    <n v="8"/>
    <x v="6"/>
  </r>
  <r>
    <s v="Isoquinoline alkaloid biosynthesis - Solanum lycopersicum (tomato)"/>
    <x v="3"/>
    <x v="1"/>
    <s v="-"/>
    <n v="8"/>
    <x v="4"/>
  </r>
  <r>
    <s v="Cysteine and methionine metabolism - Solanum lycopersicum (tomato)"/>
    <x v="3"/>
    <x v="1"/>
    <s v="-"/>
    <n v="7"/>
    <x v="6"/>
  </r>
  <r>
    <s v="ABC transporters - Solanum lycopersicum (tomato)"/>
    <x v="3"/>
    <x v="1"/>
    <s v="-"/>
    <n v="5"/>
    <x v="15"/>
  </r>
  <r>
    <s v="Phenylpropanoids biosynthesis"/>
    <x v="3"/>
    <x v="1"/>
    <s v="-"/>
    <n v="6"/>
    <x v="16"/>
  </r>
  <r>
    <s v="Ascorbate and aldarate metabolism - Solanum lycopersicum (tomato)"/>
    <x v="3"/>
    <x v="1"/>
    <s v="-"/>
    <n v="5"/>
    <x v="2"/>
  </r>
  <r>
    <s v="Pentose phosphate pathway - Solanum lycopersicum (tomato)"/>
    <x v="3"/>
    <x v="1"/>
    <s v="-"/>
    <n v="4"/>
    <x v="2"/>
  </r>
  <r>
    <s v="Purine metabolism - Solanum lycopersicum (tomato)"/>
    <x v="3"/>
    <x v="1"/>
    <s v="-"/>
    <n v="4"/>
    <x v="0"/>
  </r>
  <r>
    <s v="Phenylalanine; tyrosine and tryptophan biosynthesis - Solanum lycopersicum (tomato)"/>
    <x v="3"/>
    <x v="1"/>
    <s v="-"/>
    <n v="4"/>
    <x v="6"/>
  </r>
  <r>
    <s v="C5-Branched dibasic acid metabolism - Solanum lycopersicum (tomato)"/>
    <x v="3"/>
    <x v="1"/>
    <s v="-"/>
    <n v="4"/>
    <x v="2"/>
  </r>
  <r>
    <s v="Tropane; piperidine and pyridine alkaloid biosynthesis - Solanum lycopersicum (tomato)"/>
    <x v="3"/>
    <x v="1"/>
    <s v="-"/>
    <n v="4"/>
    <x v="4"/>
  </r>
  <r>
    <s v="Glucosinolate biosynthesis - Solanum lycopersicum (tomato)"/>
    <x v="3"/>
    <x v="1"/>
    <s v="-"/>
    <n v="5"/>
    <x v="13"/>
  </r>
  <r>
    <s v="Carbon metabolism - Solanum lycopersicum (tomato)"/>
    <x v="3"/>
    <x v="1"/>
    <s v="-"/>
    <n v="5"/>
    <x v="14"/>
  </r>
  <r>
    <s v="Diconiferyle"/>
    <x v="3"/>
    <x v="1"/>
    <s v="-"/>
    <n v="5"/>
    <x v="28"/>
  </r>
  <r>
    <s v="Pentose and glucuronate interconversions - Solanum lycopersicum (tomato)"/>
    <x v="3"/>
    <x v="1"/>
    <s v="-"/>
    <n v="4"/>
    <x v="2"/>
  </r>
  <r>
    <s v="Starch and sucrose metabolism - Solanum lycopersicum (tomato)"/>
    <x v="3"/>
    <x v="1"/>
    <s v="-"/>
    <n v="3"/>
    <x v="2"/>
  </r>
  <r>
    <s v="Inositol phosphate metabolism - Solanum lycopersicum (tomato)"/>
    <x v="3"/>
    <x v="1"/>
    <s v="-"/>
    <n v="3"/>
    <x v="2"/>
  </r>
  <r>
    <s v="Glycolysis / Gluconeogenesis - Solanum lycopersicum (tomato)"/>
    <x v="3"/>
    <x v="1"/>
    <s v="-"/>
    <n v="5"/>
    <x v="2"/>
  </r>
  <r>
    <s v="Ubiquinone and other terpenoid-quinone biosynthesis - Solanum lycopersicum (tomato)"/>
    <x v="3"/>
    <x v="1"/>
    <s v="-"/>
    <n v="4"/>
    <x v="9"/>
  </r>
  <r>
    <s v="Arginine and proline metabolism - Solanum lycopersicum (tomato)"/>
    <x v="3"/>
    <x v="1"/>
    <s v="-"/>
    <n v="3"/>
    <x v="6"/>
  </r>
  <r>
    <s v="Tyrosine metabolism - Solanum lycopersicum (tomato)"/>
    <x v="3"/>
    <x v="1"/>
    <s v="-"/>
    <n v="3"/>
    <x v="6"/>
  </r>
  <r>
    <s v="Taurine and hypotaurine metabolism - Solanum lycopersicum (tomato)"/>
    <x v="3"/>
    <x v="1"/>
    <s v="-"/>
    <n v="5"/>
    <x v="6"/>
  </r>
  <r>
    <s v="Butanoate metabolism - Solanum lycopersicum (tomato)"/>
    <x v="3"/>
    <x v="1"/>
    <s v="-"/>
    <n v="5"/>
    <x v="2"/>
  </r>
  <r>
    <s v="Vitamin B6 metabolism - Solanum lycopersicum (tomato)"/>
    <x v="3"/>
    <x v="1"/>
    <s v="-"/>
    <n v="4"/>
    <x v="9"/>
  </r>
  <r>
    <s v="Nicotinate and nicotinamide metabolism - Solanum lycopersicum (tomato)"/>
    <x v="3"/>
    <x v="1"/>
    <s v="-"/>
    <n v="4"/>
    <x v="9"/>
  </r>
  <r>
    <s v="Terpenoid backbone biosynthesis - Solanum lycopersicum (tomato)"/>
    <x v="3"/>
    <x v="1"/>
    <s v="-"/>
    <n v="3"/>
    <x v="10"/>
  </r>
  <r>
    <s v="Diterpenoid biosynthesis - Solanum lycopersicum (tomato)"/>
    <x v="3"/>
    <x v="1"/>
    <s v="-"/>
    <n v="4"/>
    <x v="10"/>
  </r>
  <r>
    <s v="Plant hormone signal transduction - Solanum lycopersicum (tomato)"/>
    <x v="3"/>
    <x v="1"/>
    <s v="-"/>
    <n v="6"/>
    <x v="21"/>
  </r>
  <r>
    <s v="Alkaloids Library"/>
    <x v="3"/>
    <x v="1"/>
    <s v="-"/>
    <n v="3"/>
    <x v="4"/>
  </r>
  <r>
    <s v="Primary metabolism"/>
    <x v="3"/>
    <x v="1"/>
    <s v="-"/>
    <n v="4"/>
    <x v="17"/>
  </r>
  <r>
    <s v="Citrate cycle (TCA cycle) - Solanum lycopersicum (tomato)"/>
    <x v="3"/>
    <x v="1"/>
    <s v="-"/>
    <n v="3"/>
    <x v="5"/>
  </r>
  <r>
    <s v="Pyrimidine metabolism - Solanum lycopersicum (tomato)"/>
    <x v="3"/>
    <x v="1"/>
    <s v="-"/>
    <n v="2"/>
    <x v="0"/>
  </r>
  <r>
    <s v="Alanine; aspartate and glutamate metabolism - Solanum lycopersicum (tomato)"/>
    <x v="3"/>
    <x v="1"/>
    <s v="-"/>
    <n v="3"/>
    <x v="6"/>
  </r>
  <r>
    <s v="Glycine; serine and threonine metabolism - Solanum lycopersicum (tomato)"/>
    <x v="3"/>
    <x v="1"/>
    <s v="-"/>
    <n v="2"/>
    <x v="6"/>
  </r>
  <r>
    <s v="Lysine biosynthesis - Solanum lycopersicum (tomato)"/>
    <x v="3"/>
    <x v="1"/>
    <s v="-"/>
    <n v="3"/>
    <x v="6"/>
  </r>
  <r>
    <s v="Histidine metabolism - Solanum lycopersicum (tomato)"/>
    <x v="3"/>
    <x v="1"/>
    <s v="-"/>
    <n v="3"/>
    <x v="6"/>
  </r>
  <r>
    <s v="Tryptophan metabolism - Solanum lycopersicum (tomato)"/>
    <x v="3"/>
    <x v="1"/>
    <s v="-"/>
    <n v="2"/>
    <x v="6"/>
  </r>
  <r>
    <s v="Cyanoamino acid metabolism - Solanum lycopersicum (tomato)"/>
    <x v="3"/>
    <x v="1"/>
    <s v="-"/>
    <n v="2"/>
    <x v="6"/>
  </r>
  <r>
    <s v="Glycerophospholipid metabolism - Solanum lycopersicum (tomato)"/>
    <x v="3"/>
    <x v="1"/>
    <s v="-"/>
    <n v="4"/>
    <x v="7"/>
  </r>
  <r>
    <s v="alpha-Linolenic acid metabolism - Solanum lycopersicum (tomato)"/>
    <x v="3"/>
    <x v="1"/>
    <s v="-"/>
    <n v="2"/>
    <x v="7"/>
  </r>
  <r>
    <s v="Glyoxylate and dicarboxylate metabolism - Solanum lycopersicum (tomato)"/>
    <x v="3"/>
    <x v="1"/>
    <s v="-"/>
    <n v="3"/>
    <x v="2"/>
  </r>
  <r>
    <s v="Carbon fixation in photosynthetic organisms - Solanum lycopersicum (tomato)"/>
    <x v="3"/>
    <x v="1"/>
    <s v="-"/>
    <n v="2"/>
    <x v="5"/>
  </r>
  <r>
    <s v="Pantothenate and CoA biosynthesis - Solanum lycopersicum (tomato)"/>
    <x v="3"/>
    <x v="1"/>
    <s v="-"/>
    <n v="2"/>
    <x v="9"/>
  </r>
  <r>
    <s v="Porphyrin and chlorophyll metabolism - Solanum lycopersicum (tomato)"/>
    <x v="3"/>
    <x v="1"/>
    <s v="-"/>
    <n v="3"/>
    <x v="9"/>
  </r>
  <r>
    <s v="Carotenoid biosynthesis - Solanum lycopersicum (tomato)"/>
    <x v="3"/>
    <x v="1"/>
    <s v="-"/>
    <n v="3"/>
    <x v="3"/>
  </r>
  <r>
    <s v="Flavonoid biosynthesis - Solanum lycopersicum (tomato)"/>
    <x v="3"/>
    <x v="1"/>
    <s v="-"/>
    <n v="2"/>
    <x v="16"/>
  </r>
  <r>
    <s v="Aminoacyl-tRNA biosynthesis - Solanum lycopersicum (tomato)"/>
    <x v="3"/>
    <x v="1"/>
    <s v="-"/>
    <n v="2"/>
    <x v="23"/>
  </r>
  <r>
    <s v="Amino acids"/>
    <x v="3"/>
    <x v="1"/>
    <s v="-"/>
    <n v="2"/>
    <x v="6"/>
  </r>
  <r>
    <s v="Abscisic Acid"/>
    <x v="3"/>
    <x v="1"/>
    <s v="-"/>
    <n v="3"/>
    <x v="30"/>
  </r>
  <r>
    <s v="Amino sugar and nucleotide sugar metabolism - Solanum lycopersicum (tomato)"/>
    <x v="3"/>
    <x v="1"/>
    <s v="-"/>
    <n v="2"/>
    <x v="1"/>
  </r>
  <r>
    <s v="Pyruvate metabolism - Solanum lycopersicum (tomato)"/>
    <x v="3"/>
    <x v="1"/>
    <s v="-"/>
    <n v="4"/>
    <x v="2"/>
  </r>
  <r>
    <s v="Galactose metabolism - Solanum lycopersicum (tomato)"/>
    <x v="3"/>
    <x v="1"/>
    <s v="-"/>
    <n v="2"/>
    <x v="2"/>
  </r>
  <r>
    <s v="Cutin; suberine and wax biosynthesis - Solanum lycopersicum (tomato)"/>
    <x v="3"/>
    <x v="1"/>
    <s v="-"/>
    <n v="1"/>
    <x v="7"/>
  </r>
  <r>
    <s v="Caffeine metabolism - Solanum lycopersicum (tomato)"/>
    <x v="3"/>
    <x v="1"/>
    <s v="-"/>
    <n v="1"/>
    <x v="20"/>
  </r>
  <r>
    <s v="Valine; leucine and isoleucine biosynthesis - Solanum lycopersicum (tomato)"/>
    <x v="3"/>
    <x v="1"/>
    <s v="-"/>
    <n v="1"/>
    <x v="6"/>
  </r>
  <r>
    <s v="beta-Alanine metabolism - Solanum lycopersicum (tomato)"/>
    <x v="3"/>
    <x v="1"/>
    <s v="-"/>
    <n v="1"/>
    <x v="6"/>
  </r>
  <r>
    <s v="Glutathione metabolism - Solanum lycopersicum (tomato)"/>
    <x v="3"/>
    <x v="1"/>
    <s v="-"/>
    <n v="1"/>
    <x v="6"/>
  </r>
  <r>
    <s v="Ether lipid metabolism - Solanum lycopersicum (tomato)"/>
    <x v="3"/>
    <x v="1"/>
    <s v="-"/>
    <n v="1"/>
    <x v="7"/>
  </r>
  <r>
    <s v="Arachidonic acid metabolism - Solanum lycopersicum (tomato)"/>
    <x v="3"/>
    <x v="1"/>
    <s v="-"/>
    <n v="1"/>
    <x v="7"/>
  </r>
  <r>
    <s v="Propanoate metabolism - Solanum lycopersicum (tomato)"/>
    <x v="3"/>
    <x v="1"/>
    <s v="-"/>
    <n v="1"/>
    <x v="2"/>
  </r>
  <r>
    <s v="Thiamine metabolism - Solanum lycopersicum (tomato)"/>
    <x v="3"/>
    <x v="1"/>
    <s v="-"/>
    <n v="1"/>
    <x v="9"/>
  </r>
  <r>
    <s v="Riboflavin metabolism - Solanum lycopersicum (tomato)"/>
    <x v="3"/>
    <x v="1"/>
    <s v="-"/>
    <n v="1"/>
    <x v="8"/>
  </r>
  <r>
    <s v="Folate biosynthesis - Solanum lycopersicum (tomato)"/>
    <x v="3"/>
    <x v="1"/>
    <s v="-"/>
    <n v="1"/>
    <x v="9"/>
  </r>
  <r>
    <s v="Zeatin biosynthesis - Solanum lycopersicum (tomato)"/>
    <x v="3"/>
    <x v="1"/>
    <s v="-"/>
    <n v="1"/>
    <x v="3"/>
  </r>
  <r>
    <s v="Sesquiterpenoid and triterpenoid biosynthesis - Solanum lycopersicum (tomato)"/>
    <x v="3"/>
    <x v="1"/>
    <s v="-"/>
    <n v="2"/>
    <x v="10"/>
  </r>
  <r>
    <s v="Sulfur metabolism - Solanum lycopersicum (tomato)"/>
    <x v="3"/>
    <x v="1"/>
    <s v="-"/>
    <n v="1"/>
    <x v="11"/>
  </r>
  <r>
    <s v="Phosphatidylinositol signaling system - Solanum lycopersicum (tomato)"/>
    <x v="3"/>
    <x v="1"/>
    <s v="-"/>
    <n v="1"/>
    <x v="21"/>
  </r>
  <r>
    <s v="Plant-pathogen interaction - Solanum lycopersicum (tomato)"/>
    <x v="3"/>
    <x v="1"/>
    <s v="-"/>
    <n v="2"/>
    <x v="25"/>
  </r>
  <r>
    <s v="JA biosynthesis"/>
    <x v="3"/>
    <x v="1"/>
    <s v="-"/>
    <n v="2"/>
    <x v="26"/>
  </r>
  <r>
    <s v="Podophyllotoxin"/>
    <x v="3"/>
    <x v="1"/>
    <s v="-"/>
    <n v="2"/>
    <x v="27"/>
  </r>
  <r>
    <s v="put Lignans"/>
    <x v="3"/>
    <x v="1"/>
    <s v="-"/>
    <n v="2"/>
    <x v="29"/>
  </r>
  <r>
    <s v="Secondary metabolism"/>
    <x v="3"/>
    <x v="1"/>
    <s v="-"/>
    <n v="1"/>
    <x v="19"/>
  </r>
  <r>
    <s v="Fructose and mannose metabolism - Solanum lycopersicum (tomato)"/>
    <x v="3"/>
    <x v="1"/>
    <s v="-"/>
    <n v="1"/>
    <x v="2"/>
  </r>
  <r>
    <s v="2-Oxocarboxylic acid metabolism - Solanum lycopersicum (tomato)"/>
    <x v="4"/>
    <x v="0"/>
    <s v="-"/>
    <n v="9"/>
    <x v="6"/>
  </r>
  <r>
    <s v="Phenylpropanoid biosynthesis - Solanum lycopersicum (tomato)"/>
    <x v="4"/>
    <x v="0"/>
    <s v="-"/>
    <n v="12"/>
    <x v="12"/>
  </r>
  <r>
    <s v="Purine metabolism - Solanum lycopersicum (tomato)"/>
    <x v="4"/>
    <x v="0"/>
    <s v="-"/>
    <n v="6"/>
    <x v="0"/>
  </r>
  <r>
    <s v="Linoleic acid metabolism - Solanum lycopersicum (tomato)"/>
    <x v="4"/>
    <x v="0"/>
    <s v="-"/>
    <n v="9"/>
    <x v="7"/>
  </r>
  <r>
    <s v="Biosynthesis of unsaturated fatty acids - Solanum lycopersicum (tomato)"/>
    <x v="4"/>
    <x v="0"/>
    <s v="-"/>
    <n v="13"/>
    <x v="7"/>
  </r>
  <r>
    <s v="Ascorbate and aldarate metabolism - Solanum lycopersicum (tomato)"/>
    <x v="4"/>
    <x v="0"/>
    <s v="-"/>
    <n v="5"/>
    <x v="2"/>
  </r>
  <r>
    <s v="Tyrosine metabolism - Solanum lycopersicum (tomato)"/>
    <x v="4"/>
    <x v="0"/>
    <s v="-"/>
    <n v="6"/>
    <x v="6"/>
  </r>
  <r>
    <s v="Tryptophan metabolism - Solanum lycopersicum (tomato)"/>
    <x v="4"/>
    <x v="0"/>
    <s v="-"/>
    <n v="5"/>
    <x v="6"/>
  </r>
  <r>
    <s v="Butanoate metabolism - Solanum lycopersicum (tomato)"/>
    <x v="4"/>
    <x v="0"/>
    <s v="-"/>
    <n v="5"/>
    <x v="2"/>
  </r>
  <r>
    <s v="Glucosinolate biosynthesis - Solanum lycopersicum (tomato)"/>
    <x v="4"/>
    <x v="0"/>
    <s v="-"/>
    <n v="5"/>
    <x v="13"/>
  </r>
  <r>
    <s v="Carbon metabolism - Solanum lycopersicum (tomato)"/>
    <x v="4"/>
    <x v="0"/>
    <s v="-"/>
    <n v="6"/>
    <x v="14"/>
  </r>
  <r>
    <s v="Degradation of aromatic compounds - Solanum lycopersicum (tomato)"/>
    <x v="4"/>
    <x v="0"/>
    <s v="-"/>
    <n v="6"/>
    <x v="18"/>
  </r>
  <r>
    <s v="Primary metabolism"/>
    <x v="4"/>
    <x v="0"/>
    <s v="-"/>
    <n v="7"/>
    <x v="17"/>
  </r>
  <r>
    <s v="Pentose phosphate pathway - Solanum lycopersicum (tomato)"/>
    <x v="4"/>
    <x v="0"/>
    <s v="-"/>
    <n v="4"/>
    <x v="2"/>
  </r>
  <r>
    <s v="Pentose and glucuronate interconversions - Solanum lycopersicum (tomato)"/>
    <x v="4"/>
    <x v="0"/>
    <s v="-"/>
    <n v="4"/>
    <x v="2"/>
  </r>
  <r>
    <s v="Galactose metabolism - Solanum lycopersicum (tomato)"/>
    <x v="4"/>
    <x v="0"/>
    <s v="-"/>
    <n v="4"/>
    <x v="2"/>
  </r>
  <r>
    <s v="Nicotinate and nicotinamide metabolism - Solanum lycopersicum (tomato)"/>
    <x v="4"/>
    <x v="0"/>
    <s v="-"/>
    <n v="4"/>
    <x v="9"/>
  </r>
  <r>
    <s v="Anthocyanin biosynthesis - Solanum lycopersicum (tomato)"/>
    <x v="4"/>
    <x v="0"/>
    <s v="-"/>
    <n v="4"/>
    <x v="16"/>
  </r>
  <r>
    <s v="Biosynthesis of amino acids - Solanum lycopersicum (tomato)"/>
    <x v="4"/>
    <x v="0"/>
    <s v="-"/>
    <n v="4"/>
    <x v="6"/>
  </r>
  <r>
    <s v="Lignans"/>
    <x v="4"/>
    <x v="0"/>
    <s v="-"/>
    <n v="5"/>
    <x v="16"/>
  </r>
  <r>
    <s v="Phenylpropanoids biosynthesis"/>
    <x v="4"/>
    <x v="0"/>
    <s v="-"/>
    <n v="5"/>
    <x v="16"/>
  </r>
  <r>
    <s v="Fatty acid biosynthesis - Solanum lycopersicum (tomato)"/>
    <x v="4"/>
    <x v="0"/>
    <s v="-"/>
    <n v="6"/>
    <x v="7"/>
  </r>
  <r>
    <s v="Ubiquinone and other terpenoid-quinone biosynthesis - Solanum lycopersicum (tomato)"/>
    <x v="4"/>
    <x v="0"/>
    <s v="-"/>
    <n v="3"/>
    <x v="9"/>
  </r>
  <r>
    <s v="Pyrimidine metabolism - Solanum lycopersicum (tomato)"/>
    <x v="4"/>
    <x v="0"/>
    <s v="-"/>
    <n v="3"/>
    <x v="0"/>
  </r>
  <r>
    <s v="Alanine; aspartate and glutamate metabolism - Solanum lycopersicum (tomato)"/>
    <x v="4"/>
    <x v="0"/>
    <s v="-"/>
    <n v="4"/>
    <x v="6"/>
  </r>
  <r>
    <s v="Glycine; serine and threonine metabolism - Solanum lycopersicum (tomato)"/>
    <x v="4"/>
    <x v="0"/>
    <s v="-"/>
    <n v="3"/>
    <x v="6"/>
  </r>
  <r>
    <s v="Cysteine and methionine metabolism - Solanum lycopersicum (tomato)"/>
    <x v="4"/>
    <x v="0"/>
    <s v="-"/>
    <n v="3"/>
    <x v="6"/>
  </r>
  <r>
    <s v="Valine; leucine and isoleucine biosynthesis - Solanum lycopersicum (tomato)"/>
    <x v="4"/>
    <x v="0"/>
    <s v="-"/>
    <n v="3"/>
    <x v="6"/>
  </r>
  <r>
    <s v="Phenylalanine metabolism - Solanum lycopersicum (tomato)"/>
    <x v="4"/>
    <x v="0"/>
    <s v="-"/>
    <n v="4"/>
    <x v="6"/>
  </r>
  <r>
    <s v="Phenylalanine; tyrosine and tryptophan biosynthesis - Solanum lycopersicum (tomato)"/>
    <x v="4"/>
    <x v="0"/>
    <s v="-"/>
    <n v="3"/>
    <x v="6"/>
  </r>
  <r>
    <s v="Amino sugar and nucleotide sugar metabolism - Solanum lycopersicum (tomato)"/>
    <x v="4"/>
    <x v="0"/>
    <s v="-"/>
    <n v="3"/>
    <x v="1"/>
  </r>
  <r>
    <s v="C5-Branched dibasic acid metabolism - Solanum lycopersicum (tomato)"/>
    <x v="4"/>
    <x v="0"/>
    <s v="-"/>
    <n v="4"/>
    <x v="2"/>
  </r>
  <r>
    <s v="Flavone and flavonol biosynthesis - Solanum lycopersicum (tomato)"/>
    <x v="4"/>
    <x v="0"/>
    <s v="-"/>
    <n v="3"/>
    <x v="16"/>
  </r>
  <r>
    <s v="Glycolysis / Gluconeogenesis - Solanum lycopersicum (tomato)"/>
    <x v="4"/>
    <x v="0"/>
    <s v="-"/>
    <n v="2"/>
    <x v="2"/>
  </r>
  <r>
    <s v="Citrate cycle (TCA cycle) - Solanum lycopersicum (tomato)"/>
    <x v="4"/>
    <x v="0"/>
    <s v="-"/>
    <n v="3"/>
    <x v="5"/>
  </r>
  <r>
    <s v="Cutin; suberine and wax biosynthesis - Solanum lycopersicum (tomato)"/>
    <x v="4"/>
    <x v="0"/>
    <s v="-"/>
    <n v="6"/>
    <x v="7"/>
  </r>
  <r>
    <s v="Arginine and proline metabolism - Solanum lycopersicum (tomato)"/>
    <x v="4"/>
    <x v="0"/>
    <s v="-"/>
    <n v="3"/>
    <x v="6"/>
  </r>
  <r>
    <s v="Starch and sucrose metabolism - Solanum lycopersicum (tomato)"/>
    <x v="4"/>
    <x v="0"/>
    <s v="-"/>
    <n v="2"/>
    <x v="2"/>
  </r>
  <r>
    <s v="Glycerolipid metabolism - Solanum lycopersicum (tomato)"/>
    <x v="4"/>
    <x v="0"/>
    <s v="-"/>
    <n v="2"/>
    <x v="7"/>
  </r>
  <r>
    <s v="Inositol phosphate metabolism - Solanum lycopersicum (tomato)"/>
    <x v="4"/>
    <x v="0"/>
    <s v="-"/>
    <n v="2"/>
    <x v="2"/>
  </r>
  <r>
    <s v="Carbon fixation in photosynthetic organisms - Solanum lycopersicum (tomato)"/>
    <x v="4"/>
    <x v="0"/>
    <s v="-"/>
    <n v="2"/>
    <x v="5"/>
  </r>
  <r>
    <s v="Riboflavin metabolism - Solanum lycopersicum (tomato)"/>
    <x v="4"/>
    <x v="0"/>
    <s v="-"/>
    <n v="2"/>
    <x v="8"/>
  </r>
  <r>
    <s v="Vitamin B6 metabolism - Solanum lycopersicum (tomato)"/>
    <x v="4"/>
    <x v="0"/>
    <s v="-"/>
    <n v="2"/>
    <x v="9"/>
  </r>
  <r>
    <s v="Pantothenate and CoA biosynthesis - Solanum lycopersicum (tomato)"/>
    <x v="4"/>
    <x v="0"/>
    <s v="-"/>
    <n v="2"/>
    <x v="9"/>
  </r>
  <r>
    <s v="Terpenoid backbone biosynthesis - Solanum lycopersicum (tomato)"/>
    <x v="4"/>
    <x v="0"/>
    <s v="-"/>
    <n v="2"/>
    <x v="10"/>
  </r>
  <r>
    <s v="Monoterpenoid biosynthesis - Solanum lycopersicum (tomato)"/>
    <x v="4"/>
    <x v="0"/>
    <s v="-"/>
    <n v="2"/>
    <x v="10"/>
  </r>
  <r>
    <s v="Sesquiterpenoid and triterpenoid biosynthesis - Solanum lycopersicum (tomato)"/>
    <x v="4"/>
    <x v="0"/>
    <s v="-"/>
    <n v="3"/>
    <x v="10"/>
  </r>
  <r>
    <s v="Stilbenoid; diarylheptanoid and gingerol biosynthesis - Solanum lycopersicum (tomato)"/>
    <x v="4"/>
    <x v="0"/>
    <s v="-"/>
    <n v="3"/>
    <x v="22"/>
  </r>
  <r>
    <s v="Indole derivatives"/>
    <x v="4"/>
    <x v="0"/>
    <s v="-"/>
    <n v="2"/>
    <x v="6"/>
  </r>
  <r>
    <s v="alpha-Linolenic acid metabolism - Solanum lycopersicum (tomato)"/>
    <x v="4"/>
    <x v="0"/>
    <s v="-"/>
    <n v="4"/>
    <x v="7"/>
  </r>
  <r>
    <s v="Propanoate metabolism - Solanum lycopersicum (tomato)"/>
    <x v="4"/>
    <x v="0"/>
    <s v="-"/>
    <n v="2"/>
    <x v="2"/>
  </r>
  <r>
    <s v="Zeatin biosynthesis - Solanum lycopersicum (tomato)"/>
    <x v="4"/>
    <x v="0"/>
    <s v="-"/>
    <n v="4"/>
    <x v="3"/>
  </r>
  <r>
    <s v="Fructose and mannose metabolism - Solanum lycopersicum (tomato)"/>
    <x v="4"/>
    <x v="0"/>
    <s v="-"/>
    <n v="1"/>
    <x v="2"/>
  </r>
  <r>
    <s v="Fatty acid elongation - Solanum lycopersicum (tomato)"/>
    <x v="4"/>
    <x v="0"/>
    <s v="-"/>
    <n v="4"/>
    <x v="7"/>
  </r>
  <r>
    <s v="Fatty acid degradation - Solanum lycopersicum (tomato)"/>
    <x v="4"/>
    <x v="0"/>
    <s v="-"/>
    <n v="4"/>
    <x v="7"/>
  </r>
  <r>
    <s v="Synthesis and degradation of ketone bodies - Solanum lycopersicum (tomato)"/>
    <x v="4"/>
    <x v="0"/>
    <s v="-"/>
    <n v="1"/>
    <x v="28"/>
  </r>
  <r>
    <s v="Oxidative phosphorylation - Solanum lycopersicum (tomato)"/>
    <x v="4"/>
    <x v="0"/>
    <s v="-"/>
    <n v="2"/>
    <x v="11"/>
  </r>
  <r>
    <s v="Caffeine metabolism - Solanum lycopersicum (tomato)"/>
    <x v="4"/>
    <x v="0"/>
    <s v="-"/>
    <n v="1"/>
    <x v="20"/>
  </r>
  <r>
    <s v="Valine; leucine and isoleucine degradation - Solanum lycopersicum (tomato)"/>
    <x v="4"/>
    <x v="0"/>
    <s v="-"/>
    <n v="1"/>
    <x v="6"/>
  </r>
  <r>
    <s v="Lysine biosynthesis - Solanum lycopersicum (tomato)"/>
    <x v="4"/>
    <x v="0"/>
    <s v="-"/>
    <n v="1"/>
    <x v="6"/>
  </r>
  <r>
    <s v="beta-Alanine metabolism - Solanum lycopersicum (tomato)"/>
    <x v="4"/>
    <x v="0"/>
    <s v="-"/>
    <n v="1"/>
    <x v="6"/>
  </r>
  <r>
    <s v="Taurine and hypotaurine metabolism - Solanum lycopersicum (tomato)"/>
    <x v="4"/>
    <x v="0"/>
    <s v="-"/>
    <n v="1"/>
    <x v="6"/>
  </r>
  <r>
    <s v="Pyruvate metabolism - Solanum lycopersicum (tomato)"/>
    <x v="4"/>
    <x v="0"/>
    <s v="-"/>
    <n v="1"/>
    <x v="2"/>
  </r>
  <r>
    <s v="Glyoxylate and dicarboxylate metabolism - Solanum lycopersicum (tomato)"/>
    <x v="4"/>
    <x v="0"/>
    <s v="-"/>
    <n v="1"/>
    <x v="2"/>
  </r>
  <r>
    <s v="Thiamine metabolism - Solanum lycopersicum (tomato)"/>
    <x v="4"/>
    <x v="0"/>
    <s v="-"/>
    <n v="1"/>
    <x v="9"/>
  </r>
  <r>
    <s v="Biotin metabolism - Solanum lycopersicum (tomato)"/>
    <x v="4"/>
    <x v="0"/>
    <s v="-"/>
    <n v="1"/>
    <x v="9"/>
  </r>
  <r>
    <s v="Lipoic acid metabolism - Solanum lycopersicum (tomato)"/>
    <x v="4"/>
    <x v="0"/>
    <s v="-"/>
    <n v="1"/>
    <x v="9"/>
  </r>
  <r>
    <s v="Porphyrin and chlorophyll metabolism - Solanum lycopersicum (tomato)"/>
    <x v="4"/>
    <x v="0"/>
    <s v="-"/>
    <n v="1"/>
    <x v="9"/>
  </r>
  <r>
    <s v="Diterpenoid biosynthesis - Solanum lycopersicum (tomato)"/>
    <x v="4"/>
    <x v="0"/>
    <s v="-"/>
    <n v="1"/>
    <x v="10"/>
  </r>
  <r>
    <s v="Nitrogen metabolism - Solanum lycopersicum (tomato)"/>
    <x v="4"/>
    <x v="0"/>
    <s v="-"/>
    <n v="1"/>
    <x v="11"/>
  </r>
  <r>
    <s v="Flavonoid biosynthesis - Solanum lycopersicum (tomato)"/>
    <x v="4"/>
    <x v="0"/>
    <s v="-"/>
    <n v="2"/>
    <x v="16"/>
  </r>
  <r>
    <s v="Isoquinoline alkaloid biosynthesis - Solanum lycopersicum (tomato)"/>
    <x v="4"/>
    <x v="0"/>
    <s v="-"/>
    <n v="1"/>
    <x v="4"/>
  </r>
  <r>
    <s v="Tropane; piperidine and pyridine alkaloid biosynthesis - Solanum lycopersicum (tomato)"/>
    <x v="4"/>
    <x v="0"/>
    <s v="-"/>
    <n v="1"/>
    <x v="4"/>
  </r>
  <r>
    <s v="Fatty acid metabolism - Solanum lycopersicum (tomato)"/>
    <x v="4"/>
    <x v="0"/>
    <s v="-"/>
    <n v="4"/>
    <x v="24"/>
  </r>
  <r>
    <s v="ABC transporters - Solanum lycopersicum (tomato)"/>
    <x v="4"/>
    <x v="0"/>
    <s v="-"/>
    <n v="1"/>
    <x v="15"/>
  </r>
  <r>
    <s v="Phosphatidylinositol signaling system - Solanum lycopersicum (tomato)"/>
    <x v="4"/>
    <x v="0"/>
    <s v="-"/>
    <n v="1"/>
    <x v="21"/>
  </r>
  <r>
    <s v="Alkaloids Library"/>
    <x v="4"/>
    <x v="0"/>
    <s v="-"/>
    <n v="1"/>
    <x v="4"/>
  </r>
  <r>
    <s v="Diconiferyle"/>
    <x v="4"/>
    <x v="0"/>
    <s v="-"/>
    <n v="1"/>
    <x v="28"/>
  </r>
  <r>
    <s v="Secondary metabolism"/>
    <x v="4"/>
    <x v="0"/>
    <s v="-"/>
    <n v="1"/>
    <x v="19"/>
  </r>
  <r>
    <s v="Glucosinolate biosynthesis - Solanum lycopersicum (tomato)"/>
    <x v="4"/>
    <x v="1"/>
    <s v="-"/>
    <n v="3"/>
    <x v="13"/>
  </r>
  <r>
    <s v="2-Oxocarboxylic acid metabolism - Solanum lycopersicum (tomato)"/>
    <x v="4"/>
    <x v="1"/>
    <s v="-"/>
    <n v="3"/>
    <x v="6"/>
  </r>
  <r>
    <s v="Galactose metabolism - Solanum lycopersicum (tomato)"/>
    <x v="4"/>
    <x v="1"/>
    <s v="-"/>
    <n v="2"/>
    <x v="2"/>
  </r>
  <r>
    <s v="Ubiquinone and other terpenoid-quinone biosynthesis - Solanum lycopersicum (tomato)"/>
    <x v="4"/>
    <x v="1"/>
    <s v="-"/>
    <n v="2"/>
    <x v="9"/>
  </r>
  <r>
    <s v="Starch and sucrose metabolism - Solanum lycopersicum (tomato)"/>
    <x v="4"/>
    <x v="1"/>
    <s v="-"/>
    <n v="2"/>
    <x v="2"/>
  </r>
  <r>
    <s v="ABC transporters - Solanum lycopersicum (tomato)"/>
    <x v="4"/>
    <x v="1"/>
    <s v="-"/>
    <n v="2"/>
    <x v="15"/>
  </r>
  <r>
    <s v="Ascorbate and aldarate metabolism - Solanum lycopersicum (tomato)"/>
    <x v="4"/>
    <x v="1"/>
    <s v="-"/>
    <n v="1"/>
    <x v="2"/>
  </r>
  <r>
    <s v="Cysteine and methionine metabolism - Solanum lycopersicum (tomato)"/>
    <x v="4"/>
    <x v="1"/>
    <s v="-"/>
    <n v="1"/>
    <x v="6"/>
  </r>
  <r>
    <s v="Glycerophospholipid metabolism - Solanum lycopersicum (tomato)"/>
    <x v="4"/>
    <x v="1"/>
    <s v="-"/>
    <n v="1"/>
    <x v="7"/>
  </r>
  <r>
    <s v="Ether lipid metabolism - Solanum lycopersicum (tomato)"/>
    <x v="4"/>
    <x v="1"/>
    <s v="-"/>
    <n v="1"/>
    <x v="7"/>
  </r>
  <r>
    <s v="Porphyrin and chlorophyll metabolism - Solanum lycopersicum (tomato)"/>
    <x v="4"/>
    <x v="1"/>
    <s v="-"/>
    <n v="1"/>
    <x v="9"/>
  </r>
  <r>
    <s v="Diterpenoid biosynthesis - Solanum lycopersicum (tomato)"/>
    <x v="4"/>
    <x v="1"/>
    <s v="-"/>
    <n v="4"/>
    <x v="10"/>
  </r>
  <r>
    <s v="Degradation of aromatic compounds - Solanum lycopersicum (tomato)"/>
    <x v="4"/>
    <x v="1"/>
    <s v="-"/>
    <n v="1"/>
    <x v="18"/>
  </r>
  <r>
    <s v="Lignans"/>
    <x v="4"/>
    <x v="1"/>
    <s v="-"/>
    <n v="1"/>
    <x v="16"/>
  </r>
  <r>
    <s v="Biosynthesis of amino acids - Solanum lycopersicum (tomato)"/>
    <x v="5"/>
    <x v="0"/>
    <s v="-"/>
    <n v="3"/>
    <x v="6"/>
  </r>
  <r>
    <s v="Phenylalanine; tyrosine and tryptophan biosynthesis - Solanum lycopersicum (tomato)"/>
    <x v="5"/>
    <x v="0"/>
    <s v="-"/>
    <n v="2"/>
    <x v="6"/>
  </r>
  <r>
    <s v="2-Oxocarboxylic acid metabolism - Solanum lycopersicum (tomato)"/>
    <x v="5"/>
    <x v="0"/>
    <s v="-"/>
    <n v="2"/>
    <x v="6"/>
  </r>
  <r>
    <s v="Degradation of aromatic compounds - Solanum lycopersicum (tomato)"/>
    <x v="5"/>
    <x v="0"/>
    <s v="-"/>
    <n v="2"/>
    <x v="18"/>
  </r>
  <r>
    <s v="Pentose phosphate pathway - Solanum lycopersicum (tomato)"/>
    <x v="5"/>
    <x v="0"/>
    <s v="-"/>
    <n v="1"/>
    <x v="2"/>
  </r>
  <r>
    <s v="Fatty acid degradation - Solanum lycopersicum (tomato)"/>
    <x v="5"/>
    <x v="0"/>
    <s v="-"/>
    <n v="1"/>
    <x v="7"/>
  </r>
  <r>
    <s v="Purine metabolism - Solanum lycopersicum (tomato)"/>
    <x v="5"/>
    <x v="0"/>
    <s v="-"/>
    <n v="1"/>
    <x v="0"/>
  </r>
  <r>
    <s v="Glycine; serine and threonine metabolism - Solanum lycopersicum (tomato)"/>
    <x v="5"/>
    <x v="0"/>
    <s v="-"/>
    <n v="1"/>
    <x v="6"/>
  </r>
  <r>
    <s v="Valine; leucine and isoleucine biosynthesis - Solanum lycopersicum (tomato)"/>
    <x v="5"/>
    <x v="0"/>
    <s v="-"/>
    <n v="1"/>
    <x v="6"/>
  </r>
  <r>
    <s v="Histidine metabolism - Solanum lycopersicum (tomato)"/>
    <x v="5"/>
    <x v="0"/>
    <s v="-"/>
    <n v="1"/>
    <x v="6"/>
  </r>
  <r>
    <s v="Tyrosine metabolism - Solanum lycopersicum (tomato)"/>
    <x v="5"/>
    <x v="0"/>
    <s v="-"/>
    <n v="1"/>
    <x v="6"/>
  </r>
  <r>
    <s v="Phenylalanine metabolism - Solanum lycopersicum (tomato)"/>
    <x v="5"/>
    <x v="0"/>
    <s v="-"/>
    <n v="1"/>
    <x v="6"/>
  </r>
  <r>
    <s v="Tryptophan metabolism - Solanum lycopersicum (tomato)"/>
    <x v="5"/>
    <x v="0"/>
    <s v="-"/>
    <n v="1"/>
    <x v="6"/>
  </r>
  <r>
    <s v="Pyruvate metabolism - Solanum lycopersicum (tomato)"/>
    <x v="5"/>
    <x v="0"/>
    <s v="-"/>
    <n v="1"/>
    <x v="2"/>
  </r>
  <r>
    <s v="Glyoxylate and dicarboxylate metabolism - Solanum lycopersicum (tomato)"/>
    <x v="5"/>
    <x v="0"/>
    <s v="-"/>
    <n v="1"/>
    <x v="2"/>
  </r>
  <r>
    <s v="Carbon fixation in photosynthetic organisms - Solanum lycopersicum (tomato)"/>
    <x v="5"/>
    <x v="0"/>
    <s v="-"/>
    <n v="1"/>
    <x v="5"/>
  </r>
  <r>
    <s v="Vitamin B6 metabolism - Solanum lycopersicum (tomato)"/>
    <x v="5"/>
    <x v="0"/>
    <s v="-"/>
    <n v="1"/>
    <x v="9"/>
  </r>
  <r>
    <s v="Nicotinate and nicotinamide metabolism - Solanum lycopersicum (tomato)"/>
    <x v="5"/>
    <x v="0"/>
    <s v="-"/>
    <n v="1"/>
    <x v="9"/>
  </r>
  <r>
    <s v="Isoquinoline alkaloid biosynthesis - Solanum lycopersicum (tomato)"/>
    <x v="5"/>
    <x v="0"/>
    <s v="-"/>
    <n v="1"/>
    <x v="4"/>
  </r>
  <r>
    <s v="Glucosinolate biosynthesis - Solanum lycopersicum (tomato)"/>
    <x v="5"/>
    <x v="0"/>
    <s v="-"/>
    <n v="1"/>
    <x v="13"/>
  </r>
  <r>
    <s v="Aminoacyl-tRNA biosynthesis - Solanum lycopersicum (tomato)"/>
    <x v="5"/>
    <x v="0"/>
    <s v="-"/>
    <n v="1"/>
    <x v="23"/>
  </r>
  <r>
    <s v="Carbon metabolism - Solanum lycopersicum (tomato)"/>
    <x v="5"/>
    <x v="0"/>
    <s v="-"/>
    <n v="1"/>
    <x v="14"/>
  </r>
  <r>
    <s v="Amino acids"/>
    <x v="5"/>
    <x v="0"/>
    <s v="-"/>
    <n v="1"/>
    <x v="6"/>
  </r>
  <r>
    <s v="Alkaloids Library"/>
    <x v="5"/>
    <x v="0"/>
    <s v="-"/>
    <n v="1"/>
    <x v="4"/>
  </r>
  <r>
    <s v="Lignans"/>
    <x v="5"/>
    <x v="0"/>
    <s v="-"/>
    <n v="1"/>
    <x v="16"/>
  </r>
  <r>
    <s v="Degradation of aromatic compounds - Solanum lycopersicum (tomato)"/>
    <x v="5"/>
    <x v="1"/>
    <s v="-"/>
    <n v="9"/>
    <x v="18"/>
  </r>
  <r>
    <s v="Limonene and pinene degradation - Solanum lycopersicum (tomato)"/>
    <x v="5"/>
    <x v="1"/>
    <s v="-"/>
    <n v="7"/>
    <x v="10"/>
  </r>
  <r>
    <s v="Tryptophan metabolism - Solanum lycopersicum (tomato)"/>
    <x v="5"/>
    <x v="1"/>
    <s v="-"/>
    <n v="6"/>
    <x v="6"/>
  </r>
  <r>
    <s v="Phenylpropanoid biosynthesis - Solanum lycopersicum (tomato)"/>
    <x v="5"/>
    <x v="1"/>
    <s v="-"/>
    <n v="6"/>
    <x v="12"/>
  </r>
  <r>
    <s v="Flavonoid biosynthesis - Solanum lycopersicum (tomato)"/>
    <x v="5"/>
    <x v="1"/>
    <s v="-"/>
    <n v="6"/>
    <x v="16"/>
  </r>
  <r>
    <s v="alpha-Linolenic acid metabolism - Solanum lycopersicum (tomato)"/>
    <x v="5"/>
    <x v="1"/>
    <s v="-"/>
    <n v="3"/>
    <x v="7"/>
  </r>
  <r>
    <s v="Phenylalanine; tyrosine and tryptophan biosynthesis - Solanum lycopersicum (tomato)"/>
    <x v="5"/>
    <x v="1"/>
    <s v="-"/>
    <n v="5"/>
    <x v="6"/>
  </r>
  <r>
    <s v="Zeatin biosynthesis - Solanum lycopersicum (tomato)"/>
    <x v="5"/>
    <x v="1"/>
    <s v="-"/>
    <n v="3"/>
    <x v="3"/>
  </r>
  <r>
    <s v="2-Oxocarboxylic acid metabolism - Solanum lycopersicum (tomato)"/>
    <x v="5"/>
    <x v="1"/>
    <s v="-"/>
    <n v="5"/>
    <x v="6"/>
  </r>
  <r>
    <s v="Phenylpropanoids biosynthesis"/>
    <x v="5"/>
    <x v="1"/>
    <s v="-"/>
    <n v="4"/>
    <x v="16"/>
  </r>
  <r>
    <s v="Secondary metabolism"/>
    <x v="5"/>
    <x v="1"/>
    <s v="-"/>
    <n v="4"/>
    <x v="19"/>
  </r>
  <r>
    <s v="Cutin; suberine and wax biosynthesis - Solanum lycopersicum (tomato)"/>
    <x v="5"/>
    <x v="1"/>
    <s v="-"/>
    <n v="3"/>
    <x v="7"/>
  </r>
  <r>
    <s v="Ubiquinone and other terpenoid-quinone biosynthesis - Solanum lycopersicum (tomato)"/>
    <x v="5"/>
    <x v="1"/>
    <s v="-"/>
    <n v="3"/>
    <x v="9"/>
  </r>
  <r>
    <s v="Glycine; serine and threonine metabolism - Solanum lycopersicum (tomato)"/>
    <x v="5"/>
    <x v="1"/>
    <s v="-"/>
    <n v="3"/>
    <x v="6"/>
  </r>
  <r>
    <s v="Cysteine and methionine metabolism - Solanum lycopersicum (tomato)"/>
    <x v="5"/>
    <x v="1"/>
    <s v="-"/>
    <n v="3"/>
    <x v="6"/>
  </r>
  <r>
    <s v="Linoleic acid metabolism - Solanum lycopersicum (tomato)"/>
    <x v="5"/>
    <x v="1"/>
    <s v="-"/>
    <n v="2"/>
    <x v="7"/>
  </r>
  <r>
    <s v="Monoterpenoid biosynthesis - Solanum lycopersicum (tomato)"/>
    <x v="5"/>
    <x v="1"/>
    <s v="-"/>
    <n v="2"/>
    <x v="10"/>
  </r>
  <r>
    <s v="Anthocyanin biosynthesis - Solanum lycopersicum (tomato)"/>
    <x v="5"/>
    <x v="1"/>
    <s v="-"/>
    <n v="2"/>
    <x v="16"/>
  </r>
  <r>
    <s v="Flavone and flavonol biosynthesis - Solanum lycopersicum (tomato)"/>
    <x v="5"/>
    <x v="1"/>
    <s v="-"/>
    <n v="2"/>
    <x v="16"/>
  </r>
  <r>
    <s v="Glucosinolate biosynthesis - Solanum lycopersicum (tomato)"/>
    <x v="5"/>
    <x v="1"/>
    <s v="-"/>
    <n v="3"/>
    <x v="13"/>
  </r>
  <r>
    <s v="Biosynthesis of amino acids - Solanum lycopersicum (tomato)"/>
    <x v="5"/>
    <x v="1"/>
    <s v="-"/>
    <n v="4"/>
    <x v="6"/>
  </r>
  <r>
    <s v="Stilbenoid; diarylheptanoid and gingerol biosynthesis - Solanum lycopersicum (tomato)"/>
    <x v="5"/>
    <x v="1"/>
    <s v="-"/>
    <n v="4"/>
    <x v="22"/>
  </r>
  <r>
    <s v="Galactose metabolism - Solanum lycopersicum (tomato)"/>
    <x v="5"/>
    <x v="1"/>
    <s v="-"/>
    <n v="1"/>
    <x v="2"/>
  </r>
  <r>
    <s v="Fatty acid degradation - Solanum lycopersicum (tomato)"/>
    <x v="5"/>
    <x v="1"/>
    <s v="-"/>
    <n v="1"/>
    <x v="7"/>
  </r>
  <r>
    <s v="Oxidative phosphorylation - Solanum lycopersicum (tomato)"/>
    <x v="5"/>
    <x v="1"/>
    <s v="-"/>
    <n v="1"/>
    <x v="11"/>
  </r>
  <r>
    <s v="Purine metabolism - Solanum lycopersicum (tomato)"/>
    <x v="5"/>
    <x v="1"/>
    <s v="-"/>
    <n v="1"/>
    <x v="0"/>
  </r>
  <r>
    <s v="Histidine metabolism - Solanum lycopersicum (tomato)"/>
    <x v="5"/>
    <x v="1"/>
    <s v="-"/>
    <n v="2"/>
    <x v="6"/>
  </r>
  <r>
    <s v="Phenylalanine metabolism - Solanum lycopersicum (tomato)"/>
    <x v="5"/>
    <x v="1"/>
    <s v="-"/>
    <n v="1"/>
    <x v="6"/>
  </r>
  <r>
    <s v="Amino sugar and nucleotide sugar metabolism - Solanum lycopersicum (tomato)"/>
    <x v="5"/>
    <x v="1"/>
    <s v="-"/>
    <n v="1"/>
    <x v="1"/>
  </r>
  <r>
    <s v="Glycerophospholipid metabolism - Solanum lycopersicum (tomato)"/>
    <x v="5"/>
    <x v="1"/>
    <s v="-"/>
    <n v="1"/>
    <x v="7"/>
  </r>
  <r>
    <s v="Arachidonic acid metabolism - Solanum lycopersicum (tomato)"/>
    <x v="5"/>
    <x v="1"/>
    <s v="-"/>
    <n v="1"/>
    <x v="7"/>
  </r>
  <r>
    <s v="Glyoxylate and dicarboxylate metabolism - Solanum lycopersicum (tomato)"/>
    <x v="5"/>
    <x v="1"/>
    <s v="-"/>
    <n v="1"/>
    <x v="2"/>
  </r>
  <r>
    <s v="Thiamine metabolism - Solanum lycopersicum (tomato)"/>
    <x v="5"/>
    <x v="1"/>
    <s v="-"/>
    <n v="1"/>
    <x v="9"/>
  </r>
  <r>
    <s v="Riboflavin metabolism - Solanum lycopersicum (tomato)"/>
    <x v="5"/>
    <x v="1"/>
    <s v="-"/>
    <n v="1"/>
    <x v="8"/>
  </r>
  <r>
    <s v="Biotin metabolism - Solanum lycopersicum (tomato)"/>
    <x v="5"/>
    <x v="1"/>
    <s v="-"/>
    <n v="1"/>
    <x v="9"/>
  </r>
  <r>
    <s v="Sesquiterpenoid and triterpenoid biosynthesis - Solanum lycopersicum (tomato)"/>
    <x v="5"/>
    <x v="1"/>
    <s v="-"/>
    <n v="2"/>
    <x v="10"/>
  </r>
  <r>
    <s v="Isoquinoline alkaloid biosynthesis - Solanum lycopersicum (tomato)"/>
    <x v="5"/>
    <x v="1"/>
    <s v="-"/>
    <n v="1"/>
    <x v="4"/>
  </r>
  <r>
    <s v="Tropane; piperidine and pyridine alkaloid biosynthesis - Solanum lycopersicum (tomato)"/>
    <x v="5"/>
    <x v="1"/>
    <s v="-"/>
    <n v="1"/>
    <x v="4"/>
  </r>
  <r>
    <s v="Aminoacyl-tRNA biosynthesis - Solanum lycopersicum (tomato)"/>
    <x v="5"/>
    <x v="1"/>
    <s v="-"/>
    <n v="2"/>
    <x v="23"/>
  </r>
  <r>
    <s v="Amino acids"/>
    <x v="5"/>
    <x v="1"/>
    <s v="-"/>
    <n v="2"/>
    <x v="6"/>
  </r>
  <r>
    <s v="Alkaloids Library"/>
    <x v="5"/>
    <x v="1"/>
    <s v="-"/>
    <n v="1"/>
    <x v="4"/>
  </r>
  <r>
    <s v="Lignans"/>
    <x v="5"/>
    <x v="1"/>
    <s v="-"/>
    <n v="1"/>
    <x v="16"/>
  </r>
  <r>
    <s v="Primary metabolism"/>
    <x v="5"/>
    <x v="1"/>
    <s v="-"/>
    <n v="1"/>
    <x v="17"/>
  </r>
  <r>
    <s v="2-Oxocarboxylic acid metabolism - Solanum lycopersicum (tomato)"/>
    <x v="6"/>
    <x v="0"/>
    <s v="-"/>
    <n v="6"/>
    <x v="6"/>
  </r>
  <r>
    <s v="Degradation of aromatic compounds - Solanum lycopersicum (tomato)"/>
    <x v="6"/>
    <x v="0"/>
    <s v="-"/>
    <n v="5"/>
    <x v="18"/>
  </r>
  <r>
    <s v="Tyrosine metabolism - Solanum lycopersicum (tomato)"/>
    <x v="6"/>
    <x v="0"/>
    <s v="-"/>
    <n v="3"/>
    <x v="6"/>
  </r>
  <r>
    <s v="Biosynthesis of unsaturated fatty acids - Solanum lycopersicum (tomato)"/>
    <x v="6"/>
    <x v="0"/>
    <s v="-"/>
    <n v="4"/>
    <x v="7"/>
  </r>
  <r>
    <s v="Glycolysis / Gluconeogenesis - Solanum lycopersicum (tomato)"/>
    <x v="6"/>
    <x v="0"/>
    <s v="-"/>
    <n v="2"/>
    <x v="2"/>
  </r>
  <r>
    <s v="Citrate cycle (TCA cycle) - Solanum lycopersicum (tomato)"/>
    <x v="6"/>
    <x v="0"/>
    <s v="-"/>
    <n v="2"/>
    <x v="5"/>
  </r>
  <r>
    <s v="Fatty acid biosynthesis - Solanum lycopersicum (tomato)"/>
    <x v="6"/>
    <x v="0"/>
    <s v="-"/>
    <n v="3"/>
    <x v="7"/>
  </r>
  <r>
    <s v="Cutin; suberine and wax biosynthesis - Solanum lycopersicum (tomato)"/>
    <x v="6"/>
    <x v="0"/>
    <s v="-"/>
    <n v="2"/>
    <x v="7"/>
  </r>
  <r>
    <s v="Glycine; serine and threonine metabolism - Solanum lycopersicum (tomato)"/>
    <x v="6"/>
    <x v="0"/>
    <s v="-"/>
    <n v="2"/>
    <x v="6"/>
  </r>
  <r>
    <s v="Valine; leucine and isoleucine biosynthesis - Solanum lycopersicum (tomato)"/>
    <x v="6"/>
    <x v="0"/>
    <s v="-"/>
    <n v="2"/>
    <x v="6"/>
  </r>
  <r>
    <s v="Arginine and proline metabolism - Solanum lycopersicum (tomato)"/>
    <x v="6"/>
    <x v="0"/>
    <s v="-"/>
    <n v="2"/>
    <x v="6"/>
  </r>
  <r>
    <s v="Phenylalanine metabolism - Solanum lycopersicum (tomato)"/>
    <x v="6"/>
    <x v="0"/>
    <s v="-"/>
    <n v="2"/>
    <x v="6"/>
  </r>
  <r>
    <s v="Glycerophospholipid metabolism - Solanum lycopersicum (tomato)"/>
    <x v="6"/>
    <x v="0"/>
    <s v="-"/>
    <n v="2"/>
    <x v="7"/>
  </r>
  <r>
    <s v="Pyruvate metabolism - Solanum lycopersicum (tomato)"/>
    <x v="6"/>
    <x v="0"/>
    <s v="-"/>
    <n v="2"/>
    <x v="2"/>
  </r>
  <r>
    <s v="Butanoate metabolism - Solanum lycopersicum (tomato)"/>
    <x v="6"/>
    <x v="0"/>
    <s v="-"/>
    <n v="2"/>
    <x v="2"/>
  </r>
  <r>
    <s v="Thiamine metabolism - Solanum lycopersicum (tomato)"/>
    <x v="6"/>
    <x v="0"/>
    <s v="-"/>
    <n v="2"/>
    <x v="9"/>
  </r>
  <r>
    <s v="Nicotinate and nicotinamide metabolism - Solanum lycopersicum (tomato)"/>
    <x v="6"/>
    <x v="0"/>
    <s v="-"/>
    <n v="2"/>
    <x v="9"/>
  </r>
  <r>
    <s v="Pantothenate and CoA biosynthesis - Solanum lycopersicum (tomato)"/>
    <x v="6"/>
    <x v="0"/>
    <s v="-"/>
    <n v="2"/>
    <x v="9"/>
  </r>
  <r>
    <s v="Phenylpropanoid biosynthesis - Solanum lycopersicum (tomato)"/>
    <x v="6"/>
    <x v="0"/>
    <s v="-"/>
    <n v="2"/>
    <x v="12"/>
  </r>
  <r>
    <s v="Isoquinoline alkaloid biosynthesis - Solanum lycopersicum (tomato)"/>
    <x v="6"/>
    <x v="0"/>
    <s v="-"/>
    <n v="2"/>
    <x v="4"/>
  </r>
  <r>
    <s v="Glucosinolate biosynthesis - Solanum lycopersicum (tomato)"/>
    <x v="6"/>
    <x v="0"/>
    <s v="-"/>
    <n v="2"/>
    <x v="13"/>
  </r>
  <r>
    <s v="Biosynthesis of amino acids - Solanum lycopersicum (tomato)"/>
    <x v="6"/>
    <x v="0"/>
    <s v="-"/>
    <n v="2"/>
    <x v="6"/>
  </r>
  <r>
    <s v="Primary metabolism"/>
    <x v="6"/>
    <x v="0"/>
    <s v="-"/>
    <n v="2"/>
    <x v="17"/>
  </r>
  <r>
    <s v="Pentose phosphate pathway - Solanum lycopersicum (tomato)"/>
    <x v="6"/>
    <x v="0"/>
    <s v="-"/>
    <n v="1"/>
    <x v="2"/>
  </r>
  <r>
    <s v="Pentose and glucuronate interconversions - Solanum lycopersicum (tomato)"/>
    <x v="6"/>
    <x v="0"/>
    <s v="-"/>
    <n v="1"/>
    <x v="2"/>
  </r>
  <r>
    <s v="Ascorbate and aldarate metabolism - Solanum lycopersicum (tomato)"/>
    <x v="6"/>
    <x v="0"/>
    <s v="-"/>
    <n v="1"/>
    <x v="2"/>
  </r>
  <r>
    <s v="Fatty acid elongation - Solanum lycopersicum (tomato)"/>
    <x v="6"/>
    <x v="0"/>
    <s v="-"/>
    <n v="1"/>
    <x v="7"/>
  </r>
  <r>
    <s v="Fatty acid degradation - Solanum lycopersicum (tomato)"/>
    <x v="6"/>
    <x v="0"/>
    <s v="-"/>
    <n v="1"/>
    <x v="7"/>
  </r>
  <r>
    <s v="Purine metabolism - Solanum lycopersicum (tomato)"/>
    <x v="6"/>
    <x v="0"/>
    <s v="-"/>
    <n v="1"/>
    <x v="0"/>
  </r>
  <r>
    <s v="Pyrimidine metabolism - Solanum lycopersicum (tomato)"/>
    <x v="6"/>
    <x v="0"/>
    <s v="-"/>
    <n v="1"/>
    <x v="0"/>
  </r>
  <r>
    <s v="Alanine; aspartate and glutamate metabolism - Solanum lycopersicum (tomato)"/>
    <x v="6"/>
    <x v="0"/>
    <s v="-"/>
    <n v="1"/>
    <x v="6"/>
  </r>
  <r>
    <s v="Cysteine and methionine metabolism - Solanum lycopersicum (tomato)"/>
    <x v="6"/>
    <x v="0"/>
    <s v="-"/>
    <n v="1"/>
    <x v="6"/>
  </r>
  <r>
    <s v="Valine; leucine and isoleucine degradation - Solanum lycopersicum (tomato)"/>
    <x v="6"/>
    <x v="0"/>
    <s v="-"/>
    <n v="1"/>
    <x v="6"/>
  </r>
  <r>
    <s v="Tryptophan metabolism - Solanum lycopersicum (tomato)"/>
    <x v="6"/>
    <x v="0"/>
    <s v="-"/>
    <n v="1"/>
    <x v="6"/>
  </r>
  <r>
    <s v="beta-Alanine metabolism - Solanum lycopersicum (tomato)"/>
    <x v="6"/>
    <x v="0"/>
    <s v="-"/>
    <n v="1"/>
    <x v="6"/>
  </r>
  <r>
    <s v="Taurine and hypotaurine metabolism - Solanum lycopersicum (tomato)"/>
    <x v="6"/>
    <x v="0"/>
    <s v="-"/>
    <n v="1"/>
    <x v="6"/>
  </r>
  <r>
    <s v="Cyanoamino acid metabolism - Solanum lycopersicum (tomato)"/>
    <x v="6"/>
    <x v="0"/>
    <s v="-"/>
    <n v="1"/>
    <x v="6"/>
  </r>
  <r>
    <s v="Glutathione metabolism - Solanum lycopersicum (tomato)"/>
    <x v="6"/>
    <x v="0"/>
    <s v="-"/>
    <n v="1"/>
    <x v="6"/>
  </r>
  <r>
    <s v="Inositol phosphate metabolism - Solanum lycopersicum (tomato)"/>
    <x v="6"/>
    <x v="0"/>
    <s v="-"/>
    <n v="1"/>
    <x v="2"/>
  </r>
  <r>
    <s v="Linoleic acid metabolism - Solanum lycopersicum (tomato)"/>
    <x v="6"/>
    <x v="0"/>
    <s v="-"/>
    <n v="1"/>
    <x v="7"/>
  </r>
  <r>
    <s v="alpha-Linolenic acid metabolism - Solanum lycopersicum (tomato)"/>
    <x v="6"/>
    <x v="0"/>
    <s v="-"/>
    <n v="1"/>
    <x v="7"/>
  </r>
  <r>
    <s v="Glyoxylate and dicarboxylate metabolism - Solanum lycopersicum (tomato)"/>
    <x v="6"/>
    <x v="0"/>
    <s v="-"/>
    <n v="1"/>
    <x v="2"/>
  </r>
  <r>
    <s v="Propanoate metabolism - Solanum lycopersicum (tomato)"/>
    <x v="6"/>
    <x v="0"/>
    <s v="-"/>
    <n v="1"/>
    <x v="2"/>
  </r>
  <r>
    <s v="C5-Branched dibasic acid metabolism - Solanum lycopersicum (tomato)"/>
    <x v="6"/>
    <x v="0"/>
    <s v="-"/>
    <n v="1"/>
    <x v="2"/>
  </r>
  <r>
    <s v="Carbon fixation in photosynthetic organisms - Solanum lycopersicum (tomato)"/>
    <x v="6"/>
    <x v="0"/>
    <s v="-"/>
    <n v="1"/>
    <x v="5"/>
  </r>
  <r>
    <s v="Riboflavin metabolism - Solanum lycopersicum (tomato)"/>
    <x v="6"/>
    <x v="0"/>
    <s v="-"/>
    <n v="1"/>
    <x v="8"/>
  </r>
  <r>
    <s v="Vitamin B6 metabolism - Solanum lycopersicum (tomato)"/>
    <x v="6"/>
    <x v="0"/>
    <s v="-"/>
    <n v="1"/>
    <x v="9"/>
  </r>
  <r>
    <s v="Biotin metabolism - Solanum lycopersicum (tomato)"/>
    <x v="6"/>
    <x v="0"/>
    <s v="-"/>
    <n v="2"/>
    <x v="9"/>
  </r>
  <r>
    <s v="Terpenoid backbone biosynthesis - Solanum lycopersicum (tomato)"/>
    <x v="6"/>
    <x v="0"/>
    <s v="-"/>
    <n v="1"/>
    <x v="10"/>
  </r>
  <r>
    <s v="Monoterpenoid biosynthesis - Solanum lycopersicum (tomato)"/>
    <x v="6"/>
    <x v="0"/>
    <s v="-"/>
    <n v="1"/>
    <x v="10"/>
  </r>
  <r>
    <s v="Diterpenoid biosynthesis - Solanum lycopersicum (tomato)"/>
    <x v="6"/>
    <x v="0"/>
    <s v="-"/>
    <n v="1"/>
    <x v="10"/>
  </r>
  <r>
    <s v="Carotenoid biosynthesis - Solanum lycopersicum (tomato)"/>
    <x v="6"/>
    <x v="0"/>
    <s v="-"/>
    <n v="1"/>
    <x v="3"/>
  </r>
  <r>
    <s v="Flavonoid biosynthesis - Solanum lycopersicum (tomato)"/>
    <x v="6"/>
    <x v="0"/>
    <s v="-"/>
    <n v="1"/>
    <x v="16"/>
  </r>
  <r>
    <s v="Stilbenoid; diarylheptanoid and gingerol biosynthesis - Solanum lycopersicum (tomato)"/>
    <x v="6"/>
    <x v="0"/>
    <s v="-"/>
    <n v="2"/>
    <x v="22"/>
  </r>
  <r>
    <s v="Carbon metabolism - Solanum lycopersicum (tomato)"/>
    <x v="6"/>
    <x v="0"/>
    <s v="-"/>
    <n v="1"/>
    <x v="14"/>
  </r>
  <r>
    <s v="Fatty acid metabolism - Solanum lycopersicum (tomato)"/>
    <x v="6"/>
    <x v="0"/>
    <s v="-"/>
    <n v="1"/>
    <x v="24"/>
  </r>
  <r>
    <s v="RNA transport - Solanum lycopersicum (tomato)"/>
    <x v="6"/>
    <x v="0"/>
    <s v="-"/>
    <n v="1"/>
    <x v="28"/>
  </r>
  <r>
    <s v="Alkaloids Library"/>
    <x v="6"/>
    <x v="0"/>
    <s v="-"/>
    <n v="2"/>
    <x v="4"/>
  </r>
  <r>
    <s v="Secondary metabolism"/>
    <x v="6"/>
    <x v="0"/>
    <s v="-"/>
    <n v="1"/>
    <x v="19"/>
  </r>
  <r>
    <s v="Isoquinoline alkaloid biosynthesis - Solanum lycopersicum (tomato)"/>
    <x v="6"/>
    <x v="1"/>
    <s v="-"/>
    <n v="9"/>
    <x v="4"/>
  </r>
  <r>
    <s v="Linoleic acid metabolism - Solanum lycopersicum (tomato)"/>
    <x v="6"/>
    <x v="1"/>
    <s v="-"/>
    <n v="6"/>
    <x v="7"/>
  </r>
  <r>
    <s v="Lignans"/>
    <x v="6"/>
    <x v="1"/>
    <s v="-"/>
    <n v="7"/>
    <x v="16"/>
  </r>
  <r>
    <s v="Phenylpropanoid biosynthesis - Solanum lycopersicum (tomato)"/>
    <x v="6"/>
    <x v="1"/>
    <s v="-"/>
    <n v="4"/>
    <x v="12"/>
  </r>
  <r>
    <s v="Stilbenoid; diarylheptanoid and gingerol biosynthesis - Solanum lycopersicum (tomato)"/>
    <x v="6"/>
    <x v="1"/>
    <s v="-"/>
    <n v="4"/>
    <x v="22"/>
  </r>
  <r>
    <s v="Diconiferyle"/>
    <x v="6"/>
    <x v="1"/>
    <s v="-"/>
    <n v="6"/>
    <x v="28"/>
  </r>
  <r>
    <s v="Cutin; suberine and wax biosynthesis - Solanum lycopersicum (tomato)"/>
    <x v="6"/>
    <x v="1"/>
    <s v="-"/>
    <n v="5"/>
    <x v="7"/>
  </r>
  <r>
    <s v="Arginine and proline metabolism - Solanum lycopersicum (tomato)"/>
    <x v="6"/>
    <x v="1"/>
    <s v="-"/>
    <n v="3"/>
    <x v="6"/>
  </r>
  <r>
    <s v="Flavonoid biosynthesis - Solanum lycopersicum (tomato)"/>
    <x v="6"/>
    <x v="1"/>
    <s v="-"/>
    <n v="3"/>
    <x v="16"/>
  </r>
  <r>
    <s v="Plant hormone signal transduction - Solanum lycopersicum (tomato)"/>
    <x v="6"/>
    <x v="1"/>
    <s v="-"/>
    <n v="3"/>
    <x v="21"/>
  </r>
  <r>
    <s v="put Lignans"/>
    <x v="6"/>
    <x v="1"/>
    <s v="-"/>
    <n v="4"/>
    <x v="29"/>
  </r>
  <r>
    <s v="Phenylpropanoids biosynthesis"/>
    <x v="6"/>
    <x v="1"/>
    <s v="-"/>
    <n v="2"/>
    <x v="16"/>
  </r>
  <r>
    <s v="Diterpenoid biosynthesis - Solanum lycopersicum (tomato)"/>
    <x v="6"/>
    <x v="1"/>
    <s v="-"/>
    <n v="2"/>
    <x v="10"/>
  </r>
  <r>
    <s v="Galactose metabolism - Solanum lycopersicum (tomato)"/>
    <x v="6"/>
    <x v="1"/>
    <s v="-"/>
    <n v="1"/>
    <x v="2"/>
  </r>
  <r>
    <s v="Ubiquinone and other terpenoid-quinone biosynthesis - Solanum lycopersicum (tomato)"/>
    <x v="6"/>
    <x v="1"/>
    <s v="-"/>
    <n v="1"/>
    <x v="9"/>
  </r>
  <r>
    <s v="Cysteine and methionine metabolism - Solanum lycopersicum (tomato)"/>
    <x v="6"/>
    <x v="1"/>
    <s v="-"/>
    <n v="3"/>
    <x v="6"/>
  </r>
  <r>
    <s v="Histidine metabolism - Solanum lycopersicum (tomato)"/>
    <x v="6"/>
    <x v="1"/>
    <s v="-"/>
    <n v="1"/>
    <x v="6"/>
  </r>
  <r>
    <s v="Amino sugar and nucleotide sugar metabolism - Solanum lycopersicum (tomato)"/>
    <x v="6"/>
    <x v="1"/>
    <s v="-"/>
    <n v="1"/>
    <x v="1"/>
  </r>
  <r>
    <s v="Glycerophospholipid metabolism - Solanum lycopersicum (tomato)"/>
    <x v="6"/>
    <x v="1"/>
    <s v="-"/>
    <n v="1"/>
    <x v="7"/>
  </r>
  <r>
    <s v="Ether lipid metabolism - Solanum lycopersicum (tomato)"/>
    <x v="6"/>
    <x v="1"/>
    <s v="-"/>
    <n v="1"/>
    <x v="7"/>
  </r>
  <r>
    <s v="Arachidonic acid metabolism - Solanum lycopersicum (tomato)"/>
    <x v="6"/>
    <x v="1"/>
    <s v="-"/>
    <n v="1"/>
    <x v="7"/>
  </r>
  <r>
    <s v="alpha-Linolenic acid metabolism - Solanum lycopersicum (tomato)"/>
    <x v="6"/>
    <x v="1"/>
    <s v="-"/>
    <n v="1"/>
    <x v="7"/>
  </r>
  <r>
    <s v="Monoterpenoid biosynthesis - Solanum lycopersicum (tomato)"/>
    <x v="6"/>
    <x v="1"/>
    <s v="-"/>
    <n v="1"/>
    <x v="10"/>
  </r>
  <r>
    <s v="Carotenoid biosynthesis - Solanum lycopersicum (tomato)"/>
    <x v="6"/>
    <x v="1"/>
    <s v="-"/>
    <n v="1"/>
    <x v="3"/>
  </r>
  <r>
    <s v="Sesquiterpenoid and triterpenoid biosynthesis - Solanum lycopersicum (tomato)"/>
    <x v="6"/>
    <x v="1"/>
    <s v="-"/>
    <n v="1"/>
    <x v="10"/>
  </r>
  <r>
    <s v="Tropane; piperidine and pyridine alkaloid biosynthesis - Solanum lycopersicum (tomato)"/>
    <x v="6"/>
    <x v="1"/>
    <s v="-"/>
    <n v="1"/>
    <x v="4"/>
  </r>
  <r>
    <s v="Biosynthesis of unsaturated fatty acids - Solanum lycopersicum (tomato)"/>
    <x v="6"/>
    <x v="1"/>
    <s v="-"/>
    <n v="1"/>
    <x v="7"/>
  </r>
  <r>
    <s v="Degradation of aromatic compounds - Solanum lycopersicum (tomato)"/>
    <x v="6"/>
    <x v="1"/>
    <s v="-"/>
    <n v="2"/>
    <x v="18"/>
  </r>
  <r>
    <s v="Biosynthesis of amino acids - Solanum lycopersicum (tomato)"/>
    <x v="6"/>
    <x v="1"/>
    <s v="-"/>
    <n v="3"/>
    <x v="6"/>
  </r>
  <r>
    <s v="ABC transporters - Solanum lycopersicum (tomato)"/>
    <x v="6"/>
    <x v="1"/>
    <s v="-"/>
    <n v="1"/>
    <x v="15"/>
  </r>
  <r>
    <s v="Abscisic Acid"/>
    <x v="6"/>
    <x v="1"/>
    <s v="-"/>
    <n v="1"/>
    <x v="30"/>
  </r>
  <r>
    <s v="Alkaloids Library"/>
    <x v="6"/>
    <x v="1"/>
    <s v="-"/>
    <n v="1"/>
    <x v="4"/>
  </r>
  <r>
    <s v="Degradation of aromatic compounds - Solanum lycopersicum (tomato)"/>
    <x v="7"/>
    <x v="0"/>
    <s v="-"/>
    <n v="11"/>
    <x v="18"/>
  </r>
  <r>
    <s v="Tryptophan metabolism - Solanum lycopersicum (tomato)"/>
    <x v="7"/>
    <x v="0"/>
    <s v="-"/>
    <n v="6"/>
    <x v="6"/>
  </r>
  <r>
    <s v="Carbon metabolism - Solanum lycopersicum (tomato)"/>
    <x v="7"/>
    <x v="0"/>
    <s v="-"/>
    <n v="5"/>
    <x v="14"/>
  </r>
  <r>
    <s v="2-Oxocarboxylic acid metabolism - Solanum lycopersicum (tomato)"/>
    <x v="7"/>
    <x v="0"/>
    <s v="-"/>
    <n v="6"/>
    <x v="6"/>
  </r>
  <r>
    <s v="Biosynthesis of amino acids - Solanum lycopersicum (tomato)"/>
    <x v="7"/>
    <x v="0"/>
    <s v="-"/>
    <n v="5"/>
    <x v="6"/>
  </r>
  <r>
    <s v="Pyrimidine metabolism - Solanum lycopersicum (tomato)"/>
    <x v="7"/>
    <x v="0"/>
    <s v="-"/>
    <n v="4"/>
    <x v="0"/>
  </r>
  <r>
    <s v="Isoquinoline alkaloid biosynthesis - Solanum lycopersicum (tomato)"/>
    <x v="7"/>
    <x v="0"/>
    <s v="-"/>
    <n v="4"/>
    <x v="4"/>
  </r>
  <r>
    <s v="Glucosinolate biosynthesis - Solanum lycopersicum (tomato)"/>
    <x v="7"/>
    <x v="0"/>
    <s v="-"/>
    <n v="5"/>
    <x v="13"/>
  </r>
  <r>
    <s v="Zeatin biosynthesis - Solanum lycopersicum (tomato)"/>
    <x v="7"/>
    <x v="0"/>
    <s v="-"/>
    <n v="3"/>
    <x v="3"/>
  </r>
  <r>
    <s v="Pentose and glucuronate interconversions - Solanum lycopersicum (tomato)"/>
    <x v="7"/>
    <x v="0"/>
    <s v="-"/>
    <n v="3"/>
    <x v="2"/>
  </r>
  <r>
    <s v="Galactose metabolism - Solanum lycopersicum (tomato)"/>
    <x v="7"/>
    <x v="0"/>
    <s v="-"/>
    <n v="3"/>
    <x v="2"/>
  </r>
  <r>
    <s v="Ascorbate and aldarate metabolism - Solanum lycopersicum (tomato)"/>
    <x v="7"/>
    <x v="0"/>
    <s v="-"/>
    <n v="3"/>
    <x v="2"/>
  </r>
  <r>
    <s v="Fatty acid biosynthesis - Solanum lycopersicum (tomato)"/>
    <x v="7"/>
    <x v="0"/>
    <s v="-"/>
    <n v="5"/>
    <x v="7"/>
  </r>
  <r>
    <s v="Cutin; suberine and wax biosynthesis - Solanum lycopersicum (tomato)"/>
    <x v="7"/>
    <x v="0"/>
    <s v="-"/>
    <n v="3"/>
    <x v="7"/>
  </r>
  <r>
    <s v="Alanine; aspartate and glutamate metabolism - Solanum lycopersicum (tomato)"/>
    <x v="7"/>
    <x v="0"/>
    <s v="-"/>
    <n v="3"/>
    <x v="6"/>
  </r>
  <r>
    <s v="Phenylalanine metabolism - Solanum lycopersicum (tomato)"/>
    <x v="7"/>
    <x v="0"/>
    <s v="-"/>
    <n v="4"/>
    <x v="6"/>
  </r>
  <r>
    <s v="Carbon fixation in photosynthetic organisms - Solanum lycopersicum (tomato)"/>
    <x v="7"/>
    <x v="0"/>
    <s v="-"/>
    <n v="3"/>
    <x v="5"/>
  </r>
  <r>
    <s v="Pantothenate and CoA biosynthesis - Solanum lycopersicum (tomato)"/>
    <x v="7"/>
    <x v="0"/>
    <s v="-"/>
    <n v="3"/>
    <x v="9"/>
  </r>
  <r>
    <s v="Biosynthesis of unsaturated fatty acids - Solanum lycopersicum (tomato)"/>
    <x v="7"/>
    <x v="0"/>
    <s v="-"/>
    <n v="8"/>
    <x v="7"/>
  </r>
  <r>
    <s v="Secondary metabolism"/>
    <x v="7"/>
    <x v="0"/>
    <s v="-"/>
    <n v="3"/>
    <x v="19"/>
  </r>
  <r>
    <s v="Glycolysis / Gluconeogenesis - Solanum lycopersicum (tomato)"/>
    <x v="7"/>
    <x v="0"/>
    <s v="-"/>
    <n v="2"/>
    <x v="2"/>
  </r>
  <r>
    <s v="Citrate cycle (TCA cycle) - Solanum lycopersicum (tomato)"/>
    <x v="7"/>
    <x v="0"/>
    <s v="-"/>
    <n v="2"/>
    <x v="5"/>
  </r>
  <r>
    <s v="Pentose phosphate pathway - Solanum lycopersicum (tomato)"/>
    <x v="7"/>
    <x v="0"/>
    <s v="-"/>
    <n v="2"/>
    <x v="2"/>
  </r>
  <r>
    <s v="Ubiquinone and other terpenoid-quinone biosynthesis - Solanum lycopersicum (tomato)"/>
    <x v="7"/>
    <x v="0"/>
    <s v="-"/>
    <n v="2"/>
    <x v="9"/>
  </r>
  <r>
    <s v="Purine metabolism - Solanum lycopersicum (tomato)"/>
    <x v="7"/>
    <x v="0"/>
    <s v="-"/>
    <n v="2"/>
    <x v="0"/>
  </r>
  <r>
    <s v="Cysteine and methionine metabolism - Solanum lycopersicum (tomato)"/>
    <x v="7"/>
    <x v="0"/>
    <s v="-"/>
    <n v="2"/>
    <x v="6"/>
  </r>
  <r>
    <s v="Valine; leucine and isoleucine biosynthesis - Solanum lycopersicum (tomato)"/>
    <x v="7"/>
    <x v="0"/>
    <s v="-"/>
    <n v="2"/>
    <x v="6"/>
  </r>
  <r>
    <s v="Arginine and proline metabolism - Solanum lycopersicum (tomato)"/>
    <x v="7"/>
    <x v="0"/>
    <s v="-"/>
    <n v="2"/>
    <x v="6"/>
  </r>
  <r>
    <s v="Tyrosine metabolism - Solanum lycopersicum (tomato)"/>
    <x v="7"/>
    <x v="0"/>
    <s v="-"/>
    <n v="2"/>
    <x v="6"/>
  </r>
  <r>
    <s v="beta-Alanine metabolism - Solanum lycopersicum (tomato)"/>
    <x v="7"/>
    <x v="0"/>
    <s v="-"/>
    <n v="2"/>
    <x v="6"/>
  </r>
  <r>
    <s v="Taurine and hypotaurine metabolism - Solanum lycopersicum (tomato)"/>
    <x v="7"/>
    <x v="0"/>
    <s v="-"/>
    <n v="2"/>
    <x v="6"/>
  </r>
  <r>
    <s v="Linoleic acid metabolism - Solanum lycopersicum (tomato)"/>
    <x v="7"/>
    <x v="0"/>
    <s v="-"/>
    <n v="4"/>
    <x v="7"/>
  </r>
  <r>
    <s v="Propanoate metabolism - Solanum lycopersicum (tomato)"/>
    <x v="7"/>
    <x v="0"/>
    <s v="-"/>
    <n v="2"/>
    <x v="2"/>
  </r>
  <r>
    <s v="Vitamin B6 metabolism - Solanum lycopersicum (tomato)"/>
    <x v="7"/>
    <x v="0"/>
    <s v="-"/>
    <n v="3"/>
    <x v="9"/>
  </r>
  <r>
    <s v="Plant hormone signal transduction - Solanum lycopersicum (tomato)"/>
    <x v="7"/>
    <x v="0"/>
    <s v="-"/>
    <n v="2"/>
    <x v="21"/>
  </r>
  <r>
    <s v="Lignans"/>
    <x v="7"/>
    <x v="0"/>
    <s v="-"/>
    <n v="2"/>
    <x v="16"/>
  </r>
  <r>
    <s v="Valine; leucine and isoleucine degradation - Solanum lycopersicum (tomato)"/>
    <x v="7"/>
    <x v="0"/>
    <s v="-"/>
    <n v="2"/>
    <x v="6"/>
  </r>
  <r>
    <s v="db/grp/intern/G_Sec0001"/>
    <x v="7"/>
    <x v="0"/>
    <s v="-"/>
    <n v="1"/>
    <x v="28"/>
  </r>
  <r>
    <s v="Fatty acid elongation - Solanum lycopersicum (tomato)"/>
    <x v="7"/>
    <x v="0"/>
    <s v="-"/>
    <n v="1"/>
    <x v="7"/>
  </r>
  <r>
    <s v="Fatty acid degradation - Solanum lycopersicum (tomato)"/>
    <x v="7"/>
    <x v="0"/>
    <s v="-"/>
    <n v="1"/>
    <x v="7"/>
  </r>
  <r>
    <s v="Oxidative phosphorylation - Solanum lycopersicum (tomato)"/>
    <x v="7"/>
    <x v="0"/>
    <s v="-"/>
    <n v="1"/>
    <x v="11"/>
  </r>
  <r>
    <s v="Caffeine metabolism - Solanum lycopersicum (tomato)"/>
    <x v="7"/>
    <x v="0"/>
    <s v="-"/>
    <n v="1"/>
    <x v="20"/>
  </r>
  <r>
    <s v="Glycine; serine and threonine metabolism - Solanum lycopersicum (tomato)"/>
    <x v="7"/>
    <x v="0"/>
    <s v="-"/>
    <n v="1"/>
    <x v="6"/>
  </r>
  <r>
    <s v="Histidine metabolism - Solanum lycopersicum (tomato)"/>
    <x v="7"/>
    <x v="0"/>
    <s v="-"/>
    <n v="2"/>
    <x v="6"/>
  </r>
  <r>
    <s v="Phenylalanine; tyrosine and tryptophan biosynthesis - Solanum lycopersicum (tomato)"/>
    <x v="7"/>
    <x v="0"/>
    <s v="-"/>
    <n v="1"/>
    <x v="6"/>
  </r>
  <r>
    <s v="Selenocompound metabolism - Solanum lycopersicum (tomato)"/>
    <x v="7"/>
    <x v="0"/>
    <s v="-"/>
    <n v="1"/>
    <x v="6"/>
  </r>
  <r>
    <s v="Cyanoamino acid metabolism - Solanum lycopersicum (tomato)"/>
    <x v="7"/>
    <x v="0"/>
    <s v="-"/>
    <n v="1"/>
    <x v="6"/>
  </r>
  <r>
    <s v="Glutathione metabolism - Solanum lycopersicum (tomato)"/>
    <x v="7"/>
    <x v="0"/>
    <s v="-"/>
    <n v="1"/>
    <x v="6"/>
  </r>
  <r>
    <s v="Starch and sucrose metabolism - Solanum lycopersicum (tomato)"/>
    <x v="7"/>
    <x v="0"/>
    <s v="-"/>
    <n v="1"/>
    <x v="2"/>
  </r>
  <r>
    <s v="Amino sugar and nucleotide sugar metabolism - Solanum lycopersicum (tomato)"/>
    <x v="7"/>
    <x v="0"/>
    <s v="-"/>
    <n v="1"/>
    <x v="1"/>
  </r>
  <r>
    <s v="Glycerolipid metabolism - Solanum lycopersicum (tomato)"/>
    <x v="7"/>
    <x v="0"/>
    <s v="-"/>
    <n v="1"/>
    <x v="7"/>
  </r>
  <r>
    <s v="Inositol phosphate metabolism - Solanum lycopersicum (tomato)"/>
    <x v="7"/>
    <x v="0"/>
    <s v="-"/>
    <n v="1"/>
    <x v="2"/>
  </r>
  <r>
    <s v="Pyruvate metabolism - Solanum lycopersicum (tomato)"/>
    <x v="7"/>
    <x v="0"/>
    <s v="-"/>
    <n v="1"/>
    <x v="2"/>
  </r>
  <r>
    <s v="Glyoxylate and dicarboxylate metabolism - Solanum lycopersicum (tomato)"/>
    <x v="7"/>
    <x v="0"/>
    <s v="-"/>
    <n v="1"/>
    <x v="2"/>
  </r>
  <r>
    <s v="Butanoate metabolism - Solanum lycopersicum (tomato)"/>
    <x v="7"/>
    <x v="0"/>
    <s v="-"/>
    <n v="1"/>
    <x v="2"/>
  </r>
  <r>
    <s v="C5-Branched dibasic acid metabolism - Solanum lycopersicum (tomato)"/>
    <x v="7"/>
    <x v="0"/>
    <s v="-"/>
    <n v="2"/>
    <x v="2"/>
  </r>
  <r>
    <s v="Riboflavin metabolism - Solanum lycopersicum (tomato)"/>
    <x v="7"/>
    <x v="0"/>
    <s v="-"/>
    <n v="1"/>
    <x v="8"/>
  </r>
  <r>
    <s v="Nicotinate and nicotinamide metabolism - Solanum lycopersicum (tomato)"/>
    <x v="7"/>
    <x v="0"/>
    <s v="-"/>
    <n v="1"/>
    <x v="9"/>
  </r>
  <r>
    <s v="Biotin metabolism - Solanum lycopersicum (tomato)"/>
    <x v="7"/>
    <x v="0"/>
    <s v="-"/>
    <n v="1"/>
    <x v="9"/>
  </r>
  <r>
    <s v="Monoterpenoid biosynthesis - Solanum lycopersicum (tomato)"/>
    <x v="7"/>
    <x v="0"/>
    <s v="-"/>
    <n v="1"/>
    <x v="10"/>
  </r>
  <r>
    <s v="Sesquiterpenoid and triterpenoid biosynthesis - Solanum lycopersicum (tomato)"/>
    <x v="7"/>
    <x v="0"/>
    <s v="-"/>
    <n v="1"/>
    <x v="10"/>
  </r>
  <r>
    <s v="Sulfur metabolism - Solanum lycopersicum (tomato)"/>
    <x v="7"/>
    <x v="0"/>
    <s v="-"/>
    <n v="1"/>
    <x v="11"/>
  </r>
  <r>
    <s v="Tropane; piperidine and pyridine alkaloid biosynthesis - Solanum lycopersicum (tomato)"/>
    <x v="7"/>
    <x v="0"/>
    <s v="-"/>
    <n v="1"/>
    <x v="4"/>
  </r>
  <r>
    <s v="Aminoacyl-tRNA biosynthesis - Solanum lycopersicum (tomato)"/>
    <x v="7"/>
    <x v="0"/>
    <s v="-"/>
    <n v="1"/>
    <x v="23"/>
  </r>
  <r>
    <s v="Fatty acid metabolism - Solanum lycopersicum (tomato)"/>
    <x v="7"/>
    <x v="0"/>
    <s v="-"/>
    <n v="1"/>
    <x v="24"/>
  </r>
  <r>
    <s v="ABC transporters - Solanum lycopersicum (tomato)"/>
    <x v="7"/>
    <x v="0"/>
    <s v="-"/>
    <n v="1"/>
    <x v="15"/>
  </r>
  <r>
    <s v="RNA transport - Solanum lycopersicum (tomato)"/>
    <x v="7"/>
    <x v="0"/>
    <s v="-"/>
    <n v="1"/>
    <x v="28"/>
  </r>
  <r>
    <s v="Sulfur relay system - Solanum lycopersicum (tomato)"/>
    <x v="7"/>
    <x v="0"/>
    <s v="-"/>
    <n v="1"/>
    <x v="11"/>
  </r>
  <r>
    <s v="Amino acids"/>
    <x v="7"/>
    <x v="0"/>
    <s v="-"/>
    <n v="1"/>
    <x v="6"/>
  </r>
  <r>
    <s v="Alkaloids Library"/>
    <x v="7"/>
    <x v="0"/>
    <s v="-"/>
    <n v="1"/>
    <x v="4"/>
  </r>
  <r>
    <s v="Primary metabolism"/>
    <x v="7"/>
    <x v="0"/>
    <s v="-"/>
    <n v="1"/>
    <x v="17"/>
  </r>
  <r>
    <s v="Phenylpropanoids biosynthesis"/>
    <x v="7"/>
    <x v="0"/>
    <s v="-"/>
    <n v="1"/>
    <x v="16"/>
  </r>
  <r>
    <s v="Phenylpropanoid biosynthesis - Solanum lycopersicum (tomato)"/>
    <x v="7"/>
    <x v="1"/>
    <s v="-"/>
    <n v="5"/>
    <x v="12"/>
  </r>
  <r>
    <s v="Phenylpropanoids biosynthesis"/>
    <x v="7"/>
    <x v="1"/>
    <s v="-"/>
    <n v="4"/>
    <x v="16"/>
  </r>
  <r>
    <s v="2-Oxocarboxylic acid metabolism - Solanum lycopersicum (tomato)"/>
    <x v="7"/>
    <x v="1"/>
    <s v="-"/>
    <n v="3"/>
    <x v="6"/>
  </r>
  <r>
    <s v="Purine metabolism - Solanum lycopersicum (tomato)"/>
    <x v="7"/>
    <x v="1"/>
    <s v="-"/>
    <n v="2"/>
    <x v="0"/>
  </r>
  <r>
    <s v="Cysteine and methionine metabolism - Solanum lycopersicum (tomato)"/>
    <x v="7"/>
    <x v="1"/>
    <s v="-"/>
    <n v="2"/>
    <x v="6"/>
  </r>
  <r>
    <s v="Butanoate metabolism - Solanum lycopersicum (tomato)"/>
    <x v="7"/>
    <x v="1"/>
    <s v="-"/>
    <n v="2"/>
    <x v="2"/>
  </r>
  <r>
    <s v="C5-Branched dibasic acid metabolism - Solanum lycopersicum (tomato)"/>
    <x v="7"/>
    <x v="1"/>
    <s v="-"/>
    <n v="2"/>
    <x v="2"/>
  </r>
  <r>
    <s v="Sulfur metabolism - Solanum lycopersicum (tomato)"/>
    <x v="7"/>
    <x v="1"/>
    <s v="-"/>
    <n v="3"/>
    <x v="11"/>
  </r>
  <r>
    <s v="Glucosinolate biosynthesis - Solanum lycopersicum (tomato)"/>
    <x v="7"/>
    <x v="1"/>
    <s v="-"/>
    <n v="2"/>
    <x v="13"/>
  </r>
  <r>
    <s v="Carbon metabolism - Solanum lycopersicum (tomato)"/>
    <x v="7"/>
    <x v="1"/>
    <s v="-"/>
    <n v="2"/>
    <x v="14"/>
  </r>
  <r>
    <s v="Biosynthesis of amino acids - Solanum lycopersicum (tomato)"/>
    <x v="7"/>
    <x v="1"/>
    <s v="-"/>
    <n v="2"/>
    <x v="6"/>
  </r>
  <r>
    <s v="Glycolysis / Gluconeogenesis - Solanum lycopersicum (tomato)"/>
    <x v="7"/>
    <x v="1"/>
    <s v="-"/>
    <n v="1"/>
    <x v="2"/>
  </r>
  <r>
    <s v="Citrate cycle (TCA cycle) - Solanum lycopersicum (tomato)"/>
    <x v="7"/>
    <x v="1"/>
    <s v="-"/>
    <n v="1"/>
    <x v="5"/>
  </r>
  <r>
    <s v="Pentose phosphate pathway - Solanum lycopersicum (tomato)"/>
    <x v="7"/>
    <x v="1"/>
    <s v="-"/>
    <n v="1"/>
    <x v="2"/>
  </r>
  <r>
    <s v="Pentose and glucuronate interconversions - Solanum lycopersicum (tomato)"/>
    <x v="7"/>
    <x v="1"/>
    <s v="-"/>
    <n v="1"/>
    <x v="2"/>
  </r>
  <r>
    <s v="Fructose and mannose metabolism - Solanum lycopersicum (tomato)"/>
    <x v="7"/>
    <x v="1"/>
    <s v="-"/>
    <n v="1"/>
    <x v="2"/>
  </r>
  <r>
    <s v="Galactose metabolism - Solanum lycopersicum (tomato)"/>
    <x v="7"/>
    <x v="1"/>
    <s v="-"/>
    <n v="1"/>
    <x v="2"/>
  </r>
  <r>
    <s v="Ascorbate and aldarate metabolism - Solanum lycopersicum (tomato)"/>
    <x v="7"/>
    <x v="1"/>
    <s v="-"/>
    <n v="1"/>
    <x v="2"/>
  </r>
  <r>
    <s v="Pyrimidine metabolism - Solanum lycopersicum (tomato)"/>
    <x v="7"/>
    <x v="1"/>
    <s v="-"/>
    <n v="1"/>
    <x v="0"/>
  </r>
  <r>
    <s v="Alanine; aspartate and glutamate metabolism - Solanum lycopersicum (tomato)"/>
    <x v="7"/>
    <x v="1"/>
    <s v="-"/>
    <n v="1"/>
    <x v="6"/>
  </r>
  <r>
    <s v="Lysine biosynthesis - Solanum lycopersicum (tomato)"/>
    <x v="7"/>
    <x v="1"/>
    <s v="-"/>
    <n v="1"/>
    <x v="6"/>
  </r>
  <r>
    <s v="Histidine metabolism - Solanum lycopersicum (tomato)"/>
    <x v="7"/>
    <x v="1"/>
    <s v="-"/>
    <n v="1"/>
    <x v="6"/>
  </r>
  <r>
    <s v="Tyrosine metabolism - Solanum lycopersicum (tomato)"/>
    <x v="7"/>
    <x v="1"/>
    <s v="-"/>
    <n v="1"/>
    <x v="6"/>
  </r>
  <r>
    <s v="Phenylalanine metabolism - Solanum lycopersicum (tomato)"/>
    <x v="7"/>
    <x v="1"/>
    <s v="-"/>
    <n v="1"/>
    <x v="6"/>
  </r>
  <r>
    <s v="Phenylalanine; tyrosine and tryptophan biosynthesis - Solanum lycopersicum (tomato)"/>
    <x v="7"/>
    <x v="1"/>
    <s v="-"/>
    <n v="1"/>
    <x v="6"/>
  </r>
  <r>
    <s v="Taurine and hypotaurine metabolism - Solanum lycopersicum (tomato)"/>
    <x v="7"/>
    <x v="1"/>
    <s v="-"/>
    <n v="1"/>
    <x v="6"/>
  </r>
  <r>
    <s v="Starch and sucrose metabolism - Solanum lycopersicum (tomato)"/>
    <x v="7"/>
    <x v="1"/>
    <s v="-"/>
    <n v="1"/>
    <x v="2"/>
  </r>
  <r>
    <s v="Inositol phosphate metabolism - Solanum lycopersicum (tomato)"/>
    <x v="7"/>
    <x v="1"/>
    <s v="-"/>
    <n v="1"/>
    <x v="2"/>
  </r>
  <r>
    <s v="Glyoxylate and dicarboxylate metabolism - Solanum lycopersicum (tomato)"/>
    <x v="7"/>
    <x v="1"/>
    <s v="-"/>
    <n v="1"/>
    <x v="2"/>
  </r>
  <r>
    <s v="Carbon fixation in photosynthetic organisms - Solanum lycopersicum (tomato)"/>
    <x v="7"/>
    <x v="1"/>
    <s v="-"/>
    <n v="1"/>
    <x v="5"/>
  </r>
  <r>
    <s v="Vitamin B6 metabolism - Solanum lycopersicum (tomato)"/>
    <x v="7"/>
    <x v="1"/>
    <s v="-"/>
    <n v="1"/>
    <x v="9"/>
  </r>
  <r>
    <s v="Pantothenate and CoA biosynthesis - Solanum lycopersicum (tomato)"/>
    <x v="7"/>
    <x v="1"/>
    <s v="-"/>
    <n v="1"/>
    <x v="9"/>
  </r>
  <r>
    <s v="Porphyrin and chlorophyll metabolism - Solanum lycopersicum (tomato)"/>
    <x v="7"/>
    <x v="1"/>
    <s v="-"/>
    <n v="1"/>
    <x v="9"/>
  </r>
  <r>
    <s v="Isoquinoline alkaloid biosynthesis - Solanum lycopersicum (tomato)"/>
    <x v="7"/>
    <x v="1"/>
    <s v="-"/>
    <n v="1"/>
    <x v="4"/>
  </r>
  <r>
    <s v="Degradation of aromatic compounds - Solanum lycopersicum (tomato)"/>
    <x v="7"/>
    <x v="1"/>
    <s v="-"/>
    <n v="1"/>
    <x v="18"/>
  </r>
  <r>
    <s v="ABC transporters - Solanum lycopersicum (tomato)"/>
    <x v="7"/>
    <x v="1"/>
    <s v="-"/>
    <n v="1"/>
    <x v="15"/>
  </r>
  <r>
    <s v="Phosphatidylinositol signaling system - Solanum lycopersicum (tomato)"/>
    <x v="7"/>
    <x v="1"/>
    <s v="-"/>
    <n v="1"/>
    <x v="21"/>
  </r>
  <r>
    <s v="Plant-pathogen interaction - Solanum lycopersicum (tomato)"/>
    <x v="7"/>
    <x v="1"/>
    <s v="-"/>
    <n v="1"/>
    <x v="25"/>
  </r>
  <r>
    <s v="Primary metabolism"/>
    <x v="7"/>
    <x v="1"/>
    <s v="-"/>
    <n v="1"/>
    <x v="17"/>
  </r>
  <r>
    <s v="Secondary metabolism"/>
    <x v="7"/>
    <x v="1"/>
    <s v="-"/>
    <n v="1"/>
    <x v="19"/>
  </r>
  <r>
    <s v="Aminoacyl-tRNA biosynthesis - Solanum lycopersicum (tomato)"/>
    <x v="0"/>
    <x v="0"/>
    <s v="+"/>
    <n v="5"/>
    <x v="23"/>
  </r>
  <r>
    <s v="ABC transporters - Solanum lycopersicum (tomato)"/>
    <x v="0"/>
    <x v="0"/>
    <s v="+"/>
    <n v="5"/>
    <x v="15"/>
  </r>
  <r>
    <s v="Arginine and proline metabolism - Solanum lycopersicum (tomato)"/>
    <x v="0"/>
    <x v="0"/>
    <s v="+"/>
    <n v="5"/>
    <x v="6"/>
  </r>
  <r>
    <s v="Biosynthesis of amino acids - Solanum lycopersicum (tomato)"/>
    <x v="0"/>
    <x v="0"/>
    <s v="+"/>
    <n v="4"/>
    <x v="6"/>
  </r>
  <r>
    <s v="Amino acids"/>
    <x v="0"/>
    <x v="0"/>
    <s v="+"/>
    <n v="4"/>
    <x v="6"/>
  </r>
  <r>
    <s v="Cysteine and methionine metabolism - Solanum lycopersicum (tomato)"/>
    <x v="0"/>
    <x v="0"/>
    <s v="+"/>
    <n v="3"/>
    <x v="6"/>
  </r>
  <r>
    <s v="Glycine; serine and threonine metabolism - Solanum lycopersicum (tomato)"/>
    <x v="0"/>
    <x v="0"/>
    <s v="+"/>
    <n v="2"/>
    <x v="6"/>
  </r>
  <r>
    <s v="Tyrosine metabolism - Solanum lycopersicum (tomato)"/>
    <x v="0"/>
    <x v="0"/>
    <s v="+"/>
    <n v="2"/>
    <x v="6"/>
  </r>
  <r>
    <s v="Cyanoamino acid metabolism - Solanum lycopersicum (tomato)"/>
    <x v="0"/>
    <x v="0"/>
    <s v="+"/>
    <n v="2"/>
    <x v="6"/>
  </r>
  <r>
    <s v="Tropane; piperidine and pyridine alkaloid biosynthesis - Solanum lycopersicum (tomato)"/>
    <x v="0"/>
    <x v="0"/>
    <s v="+"/>
    <n v="2"/>
    <x v="4"/>
  </r>
  <r>
    <s v="2-Oxocarboxylic acid metabolism - Solanum lycopersicum (tomato)"/>
    <x v="0"/>
    <x v="0"/>
    <s v="+"/>
    <n v="2"/>
    <x v="6"/>
  </r>
  <r>
    <s v="Pyrimidine metabolism - Solanum lycopersicum (tomato)"/>
    <x v="0"/>
    <x v="0"/>
    <s v="+"/>
    <n v="1"/>
    <x v="0"/>
  </r>
  <r>
    <s v="Alanine; aspartate and glutamate metabolism - Solanum lycopersicum (tomato)"/>
    <x v="0"/>
    <x v="0"/>
    <s v="+"/>
    <n v="1"/>
    <x v="6"/>
  </r>
  <r>
    <s v="Valine; leucine and isoleucine biosynthesis - Solanum lycopersicum (tomato)"/>
    <x v="0"/>
    <x v="0"/>
    <s v="+"/>
    <n v="1"/>
    <x v="6"/>
  </r>
  <r>
    <s v="Lysine biosynthesis - Solanum lycopersicum (tomato)"/>
    <x v="0"/>
    <x v="0"/>
    <s v="+"/>
    <n v="1"/>
    <x v="6"/>
  </r>
  <r>
    <s v="Phenylalanine metabolism - Solanum lycopersicum (tomato)"/>
    <x v="0"/>
    <x v="0"/>
    <s v="+"/>
    <n v="1"/>
    <x v="6"/>
  </r>
  <r>
    <s v="Tryptophan metabolism - Solanum lycopersicum (tomato)"/>
    <x v="0"/>
    <x v="0"/>
    <s v="+"/>
    <n v="1"/>
    <x v="6"/>
  </r>
  <r>
    <s v="beta-Alanine metabolism - Solanum lycopersicum (tomato)"/>
    <x v="0"/>
    <x v="0"/>
    <s v="+"/>
    <n v="1"/>
    <x v="6"/>
  </r>
  <r>
    <s v="Taurine and hypotaurine metabolism - Solanum lycopersicum (tomato)"/>
    <x v="0"/>
    <x v="0"/>
    <s v="+"/>
    <n v="1"/>
    <x v="6"/>
  </r>
  <r>
    <s v="Selenocompound metabolism - Solanum lycopersicum (tomato)"/>
    <x v="0"/>
    <x v="0"/>
    <s v="+"/>
    <n v="1"/>
    <x v="6"/>
  </r>
  <r>
    <s v="Glutathione metabolism - Solanum lycopersicum (tomato)"/>
    <x v="0"/>
    <x v="0"/>
    <s v="+"/>
    <n v="1"/>
    <x v="6"/>
  </r>
  <r>
    <s v="Propanoate metabolism - Solanum lycopersicum (tomato)"/>
    <x v="0"/>
    <x v="0"/>
    <s v="+"/>
    <n v="1"/>
    <x v="2"/>
  </r>
  <r>
    <s v="One carbon pool by folate - Solanum lycopersicum (tomato)"/>
    <x v="0"/>
    <x v="0"/>
    <s v="+"/>
    <n v="1"/>
    <x v="9"/>
  </r>
  <r>
    <s v="Carbon fixation in photosynthetic organisms - Solanum lycopersicum (tomato)"/>
    <x v="0"/>
    <x v="0"/>
    <s v="+"/>
    <n v="1"/>
    <x v="5"/>
  </r>
  <r>
    <s v="Vitamin B6 metabolism - Solanum lycopersicum (tomato)"/>
    <x v="0"/>
    <x v="0"/>
    <s v="+"/>
    <n v="1"/>
    <x v="9"/>
  </r>
  <r>
    <s v="Nicotinate and nicotinamide metabolism - Solanum lycopersicum (tomato)"/>
    <x v="0"/>
    <x v="0"/>
    <s v="+"/>
    <n v="1"/>
    <x v="9"/>
  </r>
  <r>
    <s v="Pantothenate and CoA biosynthesis - Solanum lycopersicum (tomato)"/>
    <x v="0"/>
    <x v="0"/>
    <s v="+"/>
    <n v="1"/>
    <x v="9"/>
  </r>
  <r>
    <s v="Porphyrin and chlorophyll metabolism - Solanum lycopersicum (tomato)"/>
    <x v="0"/>
    <x v="0"/>
    <s v="+"/>
    <n v="1"/>
    <x v="9"/>
  </r>
  <r>
    <s v="Sulfur metabolism - Solanum lycopersicum (tomato)"/>
    <x v="0"/>
    <x v="0"/>
    <s v="+"/>
    <n v="1"/>
    <x v="11"/>
  </r>
  <r>
    <s v="Glucosinolate biosynthesis - Solanum lycopersicum (tomato)"/>
    <x v="0"/>
    <x v="0"/>
    <s v="+"/>
    <n v="1"/>
    <x v="13"/>
  </r>
  <r>
    <s v="Carbon metabolism - Solanum lycopersicum (tomato)"/>
    <x v="0"/>
    <x v="0"/>
    <s v="+"/>
    <n v="1"/>
    <x v="14"/>
  </r>
  <r>
    <s v="Degradation of aromatic compounds - Solanum lycopersicum (tomato)"/>
    <x v="0"/>
    <x v="0"/>
    <s v="+"/>
    <n v="1"/>
    <x v="18"/>
  </r>
  <r>
    <s v="Sulfur relay system - Solanum lycopersicum (tomato)"/>
    <x v="0"/>
    <x v="0"/>
    <s v="+"/>
    <n v="1"/>
    <x v="11"/>
  </r>
  <r>
    <s v="Primary metabolism"/>
    <x v="0"/>
    <x v="0"/>
    <s v="+"/>
    <n v="1"/>
    <x v="17"/>
  </r>
  <r>
    <s v="Polyamines"/>
    <x v="0"/>
    <x v="0"/>
    <s v="+"/>
    <n v="1"/>
    <x v="28"/>
  </r>
  <r>
    <s v="2-Oxocarboxylic acid metabolism - Solanum lycopersicum (tomato)"/>
    <x v="0"/>
    <x v="1"/>
    <s v="+"/>
    <n v="1"/>
    <x v="6"/>
  </r>
  <r>
    <s v="ABC transporters - Solanum lycopersicum (tomato)"/>
    <x v="0"/>
    <x v="1"/>
    <s v="+"/>
    <n v="1"/>
    <x v="15"/>
  </r>
  <r>
    <s v="Metabolic pathways - Solanum lycopersicum (tomato)"/>
    <x v="0"/>
    <x v="1"/>
    <s v="+"/>
    <n v="1"/>
    <x v="28"/>
  </r>
  <r>
    <s v="Cysteine and methionine metabolism - Solanum lycopersicum (tomato)"/>
    <x v="0"/>
    <x v="1"/>
    <s v="+"/>
    <n v="1"/>
    <x v="6"/>
  </r>
  <r>
    <s v="Valine; leucine and isoleucine degradation - Solanum lycopersicum (tomato)"/>
    <x v="0"/>
    <x v="1"/>
    <s v="+"/>
    <n v="1"/>
    <x v="6"/>
  </r>
  <r>
    <s v="Valine; leucine and isoleucine biosynthesis - Solanum lycopersicum (tomato)"/>
    <x v="0"/>
    <x v="1"/>
    <s v="+"/>
    <n v="1"/>
    <x v="6"/>
  </r>
  <r>
    <s v="Arginine and proline metabolism - Solanum lycopersicum (tomato)"/>
    <x v="0"/>
    <x v="1"/>
    <s v="+"/>
    <n v="1"/>
    <x v="6"/>
  </r>
  <r>
    <s v="Cyanoamino acid metabolism - Solanum lycopersicum (tomato)"/>
    <x v="0"/>
    <x v="1"/>
    <s v="+"/>
    <n v="1"/>
    <x v="6"/>
  </r>
  <r>
    <s v="Glutathione metabolism - Solanum lycopersicum (tomato)"/>
    <x v="0"/>
    <x v="1"/>
    <s v="+"/>
    <n v="1"/>
    <x v="6"/>
  </r>
  <r>
    <s v="alpha-Linolenic acid metabolism - Solanum lycopersicum (tomato)"/>
    <x v="0"/>
    <x v="1"/>
    <s v="+"/>
    <n v="1"/>
    <x v="7"/>
  </r>
  <r>
    <s v="Nicotinate and nicotinamide metabolism - Solanum lycopersicum (tomato)"/>
    <x v="0"/>
    <x v="1"/>
    <s v="+"/>
    <n v="1"/>
    <x v="9"/>
  </r>
  <r>
    <s v="Isoquinoline alkaloid biosynthesis - Solanum lycopersicum (tomato)"/>
    <x v="0"/>
    <x v="1"/>
    <s v="+"/>
    <n v="1"/>
    <x v="4"/>
  </r>
  <r>
    <s v="Tropane; piperidine and pyridine alkaloid biosynthesis - Solanum lycopersicum (tomato)"/>
    <x v="0"/>
    <x v="1"/>
    <s v="+"/>
    <n v="1"/>
    <x v="4"/>
  </r>
  <r>
    <s v="Aminoacyl-tRNA biosynthesis - Solanum lycopersicum (tomato)"/>
    <x v="0"/>
    <x v="1"/>
    <s v="+"/>
    <n v="1"/>
    <x v="23"/>
  </r>
  <r>
    <s v="Biosynthesis of amino acids - Solanum lycopersicum (tomato)"/>
    <x v="0"/>
    <x v="1"/>
    <s v="+"/>
    <n v="1"/>
    <x v="6"/>
  </r>
  <r>
    <s v="Amino acids"/>
    <x v="0"/>
    <x v="1"/>
    <s v="+"/>
    <n v="1"/>
    <x v="6"/>
  </r>
  <r>
    <s v="Alkaloids Library"/>
    <x v="0"/>
    <x v="1"/>
    <s v="+"/>
    <n v="1"/>
    <x v="4"/>
  </r>
  <r>
    <s v="Degradation of aromatic compounds - Solanum lycopersicum (tomato)"/>
    <x v="1"/>
    <x v="0"/>
    <s v="+"/>
    <n v="40"/>
    <x v="18"/>
  </r>
  <r>
    <s v="2-Oxocarboxylic acid metabolism - Solanum lycopersicum (tomato)"/>
    <x v="1"/>
    <x v="0"/>
    <s v="+"/>
    <n v="22"/>
    <x v="6"/>
  </r>
  <r>
    <s v="Biosynthesis of amino acids - Solanum lycopersicum (tomato)"/>
    <x v="1"/>
    <x v="0"/>
    <s v="+"/>
    <n v="12"/>
    <x v="6"/>
  </r>
  <r>
    <s v="Phenylpropanoid biosynthesis - Solanum lycopersicum (tomato)"/>
    <x v="1"/>
    <x v="0"/>
    <s v="+"/>
    <n v="14"/>
    <x v="12"/>
  </r>
  <r>
    <s v="Phenylalanine metabolism - Solanum lycopersicum (tomato)"/>
    <x v="1"/>
    <x v="0"/>
    <s v="+"/>
    <n v="12"/>
    <x v="6"/>
  </r>
  <r>
    <s v="Diterpenoid biosynthesis - Solanum lycopersicum (tomato)"/>
    <x v="1"/>
    <x v="0"/>
    <s v="+"/>
    <n v="10"/>
    <x v="10"/>
  </r>
  <r>
    <s v="Glucosinolate biosynthesis - Solanum lycopersicum (tomato)"/>
    <x v="1"/>
    <x v="0"/>
    <s v="+"/>
    <n v="12"/>
    <x v="13"/>
  </r>
  <r>
    <s v="Purine metabolism - Solanum lycopersicum (tomato)"/>
    <x v="1"/>
    <x v="0"/>
    <s v="+"/>
    <n v="11"/>
    <x v="0"/>
  </r>
  <r>
    <s v="Tyrosine metabolism - Solanum lycopersicum (tomato)"/>
    <x v="1"/>
    <x v="0"/>
    <s v="+"/>
    <n v="8"/>
    <x v="6"/>
  </r>
  <r>
    <s v="Pyrimidine metabolism - Solanum lycopersicum (tomato)"/>
    <x v="1"/>
    <x v="0"/>
    <s v="+"/>
    <n v="9"/>
    <x v="0"/>
  </r>
  <r>
    <s v="Tropane; piperidine and pyridine alkaloid biosynthesis - Solanum lycopersicum (tomato)"/>
    <x v="1"/>
    <x v="0"/>
    <s v="+"/>
    <n v="7"/>
    <x v="4"/>
  </r>
  <r>
    <s v="Cysteine and methionine metabolism - Solanum lycopersicum (tomato)"/>
    <x v="1"/>
    <x v="0"/>
    <s v="+"/>
    <n v="11"/>
    <x v="6"/>
  </r>
  <r>
    <s v="Pantothenate and CoA biosynthesis - Solanum lycopersicum (tomato)"/>
    <x v="1"/>
    <x v="0"/>
    <s v="+"/>
    <n v="9"/>
    <x v="9"/>
  </r>
  <r>
    <s v="Valine; leucine and isoleucine biosynthesis - Solanum lycopersicum (tomato)"/>
    <x v="1"/>
    <x v="0"/>
    <s v="+"/>
    <n v="6"/>
    <x v="6"/>
  </r>
  <r>
    <s v="Lysine degradation - Solanum lycopersicum (tomato)"/>
    <x v="1"/>
    <x v="0"/>
    <s v="+"/>
    <n v="5"/>
    <x v="6"/>
  </r>
  <r>
    <s v="Tryptophan metabolism - Solanum lycopersicum (tomato)"/>
    <x v="1"/>
    <x v="0"/>
    <s v="+"/>
    <n v="6"/>
    <x v="6"/>
  </r>
  <r>
    <s v="Vitamin B6 metabolism - Solanum lycopersicum (tomato)"/>
    <x v="1"/>
    <x v="0"/>
    <s v="+"/>
    <n v="7"/>
    <x v="9"/>
  </r>
  <r>
    <s v="Nicotinate and nicotinamide metabolism - Solanum lycopersicum (tomato)"/>
    <x v="1"/>
    <x v="0"/>
    <s v="+"/>
    <n v="5"/>
    <x v="9"/>
  </r>
  <r>
    <s v="Zeatin biosynthesis - Solanum lycopersicum (tomato)"/>
    <x v="1"/>
    <x v="0"/>
    <s v="+"/>
    <n v="6"/>
    <x v="3"/>
  </r>
  <r>
    <s v="Isoquinoline alkaloid biosynthesis - Solanum lycopersicum (tomato)"/>
    <x v="1"/>
    <x v="0"/>
    <s v="+"/>
    <n v="9"/>
    <x v="4"/>
  </r>
  <r>
    <s v="ABC transporters - Solanum lycopersicum (tomato)"/>
    <x v="1"/>
    <x v="0"/>
    <s v="+"/>
    <n v="7"/>
    <x v="15"/>
  </r>
  <r>
    <s v="Fructose and mannose metabolism - Solanum lycopersicum (tomato)"/>
    <x v="1"/>
    <x v="0"/>
    <s v="+"/>
    <n v="6"/>
    <x v="2"/>
  </r>
  <r>
    <s v="Galactose metabolism - Solanum lycopersicum (tomato)"/>
    <x v="1"/>
    <x v="0"/>
    <s v="+"/>
    <n v="6"/>
    <x v="2"/>
  </r>
  <r>
    <s v="Ascorbate and aldarate metabolism - Solanum lycopersicum (tomato)"/>
    <x v="1"/>
    <x v="0"/>
    <s v="+"/>
    <n v="4"/>
    <x v="2"/>
  </r>
  <r>
    <s v="Ubiquinone and other terpenoid-quinone biosynthesis - Solanum lycopersicum (tomato)"/>
    <x v="1"/>
    <x v="0"/>
    <s v="+"/>
    <n v="7"/>
    <x v="9"/>
  </r>
  <r>
    <s v="Histidine metabolism - Solanum lycopersicum (tomato)"/>
    <x v="1"/>
    <x v="0"/>
    <s v="+"/>
    <n v="6"/>
    <x v="6"/>
  </r>
  <r>
    <s v="Phenylalanine; tyrosine and tryptophan biosynthesis - Solanum lycopersicum (tomato)"/>
    <x v="1"/>
    <x v="0"/>
    <s v="+"/>
    <n v="5"/>
    <x v="6"/>
  </r>
  <r>
    <s v="Cyanoamino acid metabolism - Solanum lycopersicum (tomato)"/>
    <x v="1"/>
    <x v="0"/>
    <s v="+"/>
    <n v="5"/>
    <x v="6"/>
  </r>
  <r>
    <s v="Arachidonic acid metabolism - Solanum lycopersicum (tomato)"/>
    <x v="1"/>
    <x v="0"/>
    <s v="+"/>
    <n v="4"/>
    <x v="7"/>
  </r>
  <r>
    <s v="Linoleic acid metabolism - Solanum lycopersicum (tomato)"/>
    <x v="1"/>
    <x v="0"/>
    <s v="+"/>
    <n v="4"/>
    <x v="7"/>
  </r>
  <r>
    <s v="alpha-Linolenic acid metabolism - Solanum lycopersicum (tomato)"/>
    <x v="1"/>
    <x v="0"/>
    <s v="+"/>
    <n v="4"/>
    <x v="7"/>
  </r>
  <r>
    <s v="Glyoxylate and dicarboxylate metabolism - Solanum lycopersicum (tomato)"/>
    <x v="1"/>
    <x v="0"/>
    <s v="+"/>
    <n v="5"/>
    <x v="2"/>
  </r>
  <r>
    <s v="Carotenoid biosynthesis - Solanum lycopersicum (tomato)"/>
    <x v="1"/>
    <x v="0"/>
    <s v="+"/>
    <n v="4"/>
    <x v="3"/>
  </r>
  <r>
    <s v="Sulfur metabolism - Solanum lycopersicum (tomato)"/>
    <x v="1"/>
    <x v="0"/>
    <s v="+"/>
    <n v="4"/>
    <x v="11"/>
  </r>
  <r>
    <s v="Secondary metabolism"/>
    <x v="1"/>
    <x v="0"/>
    <s v="+"/>
    <n v="4"/>
    <x v="19"/>
  </r>
  <r>
    <s v="Stilbenoid; diarylheptanoid and gingerol biosynthesis - Solanum lycopersicum (tomato)"/>
    <x v="1"/>
    <x v="0"/>
    <s v="+"/>
    <n v="5"/>
    <x v="22"/>
  </r>
  <r>
    <s v="Glycine; serine and threonine metabolism - Solanum lycopersicum (tomato)"/>
    <x v="1"/>
    <x v="0"/>
    <s v="+"/>
    <n v="4"/>
    <x v="6"/>
  </r>
  <r>
    <s v="Lysine biosynthesis - Solanum lycopersicum (tomato)"/>
    <x v="1"/>
    <x v="0"/>
    <s v="+"/>
    <n v="3"/>
    <x v="6"/>
  </r>
  <r>
    <s v="Arginine and proline metabolism - Solanum lycopersicum (tomato)"/>
    <x v="1"/>
    <x v="0"/>
    <s v="+"/>
    <n v="3"/>
    <x v="6"/>
  </r>
  <r>
    <s v="beta-Alanine metabolism - Solanum lycopersicum (tomato)"/>
    <x v="1"/>
    <x v="0"/>
    <s v="+"/>
    <n v="5"/>
    <x v="6"/>
  </r>
  <r>
    <s v="Sphingolipid metabolism - Solanum lycopersicum (tomato)"/>
    <x v="1"/>
    <x v="0"/>
    <s v="+"/>
    <n v="6"/>
    <x v="7"/>
  </r>
  <r>
    <s v="Pyruvate metabolism - Solanum lycopersicum (tomato)"/>
    <x v="1"/>
    <x v="0"/>
    <s v="+"/>
    <n v="4"/>
    <x v="2"/>
  </r>
  <r>
    <s v="Propanoate metabolism - Solanum lycopersicum (tomato)"/>
    <x v="1"/>
    <x v="0"/>
    <s v="+"/>
    <n v="3"/>
    <x v="2"/>
  </r>
  <r>
    <s v="Butanoate metabolism - Solanum lycopersicum (tomato)"/>
    <x v="1"/>
    <x v="0"/>
    <s v="+"/>
    <n v="3"/>
    <x v="2"/>
  </r>
  <r>
    <s v="Terpenoid backbone biosynthesis - Solanum lycopersicum (tomato)"/>
    <x v="1"/>
    <x v="0"/>
    <s v="+"/>
    <n v="3"/>
    <x v="10"/>
  </r>
  <r>
    <s v="Monoterpenoid biosynthesis - Solanum lycopersicum (tomato)"/>
    <x v="1"/>
    <x v="0"/>
    <s v="+"/>
    <n v="3"/>
    <x v="10"/>
  </r>
  <r>
    <s v="Carbon metabolism - Solanum lycopersicum (tomato)"/>
    <x v="1"/>
    <x v="0"/>
    <s v="+"/>
    <n v="3"/>
    <x v="14"/>
  </r>
  <r>
    <s v="Alkaloids Library"/>
    <x v="1"/>
    <x v="0"/>
    <s v="+"/>
    <n v="4"/>
    <x v="4"/>
  </r>
  <r>
    <s v="Indole derivatives"/>
    <x v="1"/>
    <x v="0"/>
    <s v="+"/>
    <n v="4"/>
    <x v="6"/>
  </r>
  <r>
    <s v="Primary metabolism"/>
    <x v="1"/>
    <x v="0"/>
    <s v="+"/>
    <n v="4"/>
    <x v="17"/>
  </r>
  <r>
    <s v="Phenylpropanoids biosynthesis"/>
    <x v="1"/>
    <x v="0"/>
    <s v="+"/>
    <n v="5"/>
    <x v="16"/>
  </r>
  <r>
    <s v="Citrate cycle (TCA cycle) - Solanum lycopersicum (tomato)"/>
    <x v="1"/>
    <x v="0"/>
    <s v="+"/>
    <n v="2"/>
    <x v="5"/>
  </r>
  <r>
    <s v="Pentose phosphate pathway - Solanum lycopersicum (tomato)"/>
    <x v="1"/>
    <x v="0"/>
    <s v="+"/>
    <n v="2"/>
    <x v="2"/>
  </r>
  <r>
    <s v="Pentose and glucuronate interconversions - Solanum lycopersicum (tomato)"/>
    <x v="1"/>
    <x v="0"/>
    <s v="+"/>
    <n v="2"/>
    <x v="2"/>
  </r>
  <r>
    <s v="Amino sugar and nucleotide sugar metabolism - Solanum lycopersicum (tomato)"/>
    <x v="1"/>
    <x v="0"/>
    <s v="+"/>
    <n v="2"/>
    <x v="1"/>
  </r>
  <r>
    <s v="C5-Branched dibasic acid metabolism - Solanum lycopersicum (tomato)"/>
    <x v="1"/>
    <x v="0"/>
    <s v="+"/>
    <n v="2"/>
    <x v="2"/>
  </r>
  <r>
    <s v="Thiamine metabolism - Solanum lycopersicum (tomato)"/>
    <x v="1"/>
    <x v="0"/>
    <s v="+"/>
    <n v="3"/>
    <x v="9"/>
  </r>
  <r>
    <s v="Porphyrin and chlorophyll metabolism - Solanum lycopersicum (tomato)"/>
    <x v="1"/>
    <x v="0"/>
    <s v="+"/>
    <n v="2"/>
    <x v="9"/>
  </r>
  <r>
    <s v="Limonene and pinene degradation - Solanum lycopersicum (tomato)"/>
    <x v="1"/>
    <x v="0"/>
    <s v="+"/>
    <n v="2"/>
    <x v="10"/>
  </r>
  <r>
    <s v="Biosynthesis of unsaturated fatty acids - Solanum lycopersicum (tomato)"/>
    <x v="1"/>
    <x v="0"/>
    <s v="+"/>
    <n v="2"/>
    <x v="7"/>
  </r>
  <r>
    <s v="Plant hormone signal transduction - Solanum lycopersicum (tomato)"/>
    <x v="1"/>
    <x v="0"/>
    <s v="+"/>
    <n v="3"/>
    <x v="21"/>
  </r>
  <r>
    <s v="Lignans"/>
    <x v="1"/>
    <x v="0"/>
    <s v="+"/>
    <n v="3"/>
    <x v="16"/>
  </r>
  <r>
    <s v="Fatty acid degradation - Solanum lycopersicum (tomato)"/>
    <x v="1"/>
    <x v="0"/>
    <s v="+"/>
    <n v="1"/>
    <x v="7"/>
  </r>
  <r>
    <s v="Cutin; suberine and wax biosynthesis - Solanum lycopersicum (tomato)"/>
    <x v="1"/>
    <x v="0"/>
    <s v="+"/>
    <n v="1"/>
    <x v="7"/>
  </r>
  <r>
    <s v="Oxidative phosphorylation - Solanum lycopersicum (tomato)"/>
    <x v="1"/>
    <x v="0"/>
    <s v="+"/>
    <n v="1"/>
    <x v="11"/>
  </r>
  <r>
    <s v="Photosynthesis - Solanum lycopersicum (tomato)"/>
    <x v="1"/>
    <x v="0"/>
    <s v="+"/>
    <n v="1"/>
    <x v="11"/>
  </r>
  <r>
    <s v="Alanine; aspartate and glutamate metabolism - Solanum lycopersicum (tomato)"/>
    <x v="1"/>
    <x v="0"/>
    <s v="+"/>
    <n v="1"/>
    <x v="6"/>
  </r>
  <r>
    <s v="Valine; leucine and isoleucine degradation - Solanum lycopersicum (tomato)"/>
    <x v="1"/>
    <x v="0"/>
    <s v="+"/>
    <n v="1"/>
    <x v="6"/>
  </r>
  <r>
    <s v="Taurine and hypotaurine metabolism - Solanum lycopersicum (tomato)"/>
    <x v="1"/>
    <x v="0"/>
    <s v="+"/>
    <n v="1"/>
    <x v="6"/>
  </r>
  <r>
    <s v="Glycerophospholipid metabolism - Solanum lycopersicum (tomato)"/>
    <x v="1"/>
    <x v="0"/>
    <s v="+"/>
    <n v="1"/>
    <x v="7"/>
  </r>
  <r>
    <s v="Carbon fixation in photosynthetic organisms - Solanum lycopersicum (tomato)"/>
    <x v="1"/>
    <x v="0"/>
    <s v="+"/>
    <n v="1"/>
    <x v="5"/>
  </r>
  <r>
    <s v="Riboflavin metabolism - Solanum lycopersicum (tomato)"/>
    <x v="1"/>
    <x v="0"/>
    <s v="+"/>
    <n v="1"/>
    <x v="8"/>
  </r>
  <r>
    <s v="Lipoic acid metabolism - Solanum lycopersicum (tomato)"/>
    <x v="1"/>
    <x v="0"/>
    <s v="+"/>
    <n v="1"/>
    <x v="9"/>
  </r>
  <r>
    <s v="Folate biosynthesis - Solanum lycopersicum (tomato)"/>
    <x v="1"/>
    <x v="0"/>
    <s v="+"/>
    <n v="1"/>
    <x v="9"/>
  </r>
  <r>
    <s v="Brassinosteroid biosynthesis - Solanum lycopersicum (tomato)"/>
    <x v="1"/>
    <x v="0"/>
    <s v="+"/>
    <n v="1"/>
    <x v="10"/>
  </r>
  <r>
    <s v="Sesquiterpenoid and triterpenoid biosynthesis - Solanum lycopersicum (tomato)"/>
    <x v="1"/>
    <x v="0"/>
    <s v="+"/>
    <n v="2"/>
    <x v="10"/>
  </r>
  <r>
    <s v="Flavonoid biosynthesis - Solanum lycopersicum (tomato)"/>
    <x v="1"/>
    <x v="0"/>
    <s v="+"/>
    <n v="1"/>
    <x v="16"/>
  </r>
  <r>
    <s v="Aminoacyl-tRNA biosynthesis - Solanum lycopersicum (tomato)"/>
    <x v="1"/>
    <x v="0"/>
    <s v="+"/>
    <n v="1"/>
    <x v="23"/>
  </r>
  <r>
    <s v="Amino acids"/>
    <x v="1"/>
    <x v="0"/>
    <s v="+"/>
    <n v="1"/>
    <x v="6"/>
  </r>
  <r>
    <s v="Flavonoids"/>
    <x v="1"/>
    <x v="0"/>
    <s v="+"/>
    <n v="1"/>
    <x v="16"/>
  </r>
  <r>
    <s v="JA biosynthesis"/>
    <x v="1"/>
    <x v="0"/>
    <s v="+"/>
    <n v="1"/>
    <x v="26"/>
  </r>
  <r>
    <s v="Diconiferyle"/>
    <x v="1"/>
    <x v="0"/>
    <s v="+"/>
    <n v="1"/>
    <x v="28"/>
  </r>
  <r>
    <s v="Ubiquinone and other terpenoid-quinone biosynthesis - Solanum lycopersicum (tomato)"/>
    <x v="1"/>
    <x v="1"/>
    <s v="+"/>
    <n v="2"/>
    <x v="9"/>
  </r>
  <r>
    <s v="Degradation of aromatic compounds - Solanum lycopersicum (tomato)"/>
    <x v="1"/>
    <x v="1"/>
    <s v="+"/>
    <n v="2"/>
    <x v="18"/>
  </r>
  <r>
    <s v="Metabolic pathways - Solanum lycopersicum (tomato)"/>
    <x v="1"/>
    <x v="1"/>
    <s v="+"/>
    <n v="2"/>
    <x v="28"/>
  </r>
  <r>
    <s v="Steroid biosynthesis - Solanum lycopersicum (tomato)"/>
    <x v="1"/>
    <x v="1"/>
    <s v="+"/>
    <n v="1"/>
    <x v="7"/>
  </r>
  <r>
    <s v="Pyrimidine metabolism - Solanum lycopersicum (tomato)"/>
    <x v="1"/>
    <x v="1"/>
    <s v="+"/>
    <n v="1"/>
    <x v="0"/>
  </r>
  <r>
    <s v="Arginine and proline metabolism - Solanum lycopersicum (tomato)"/>
    <x v="1"/>
    <x v="1"/>
    <s v="+"/>
    <n v="1"/>
    <x v="6"/>
  </r>
  <r>
    <s v="Tyrosine metabolism - Solanum lycopersicum (tomato)"/>
    <x v="1"/>
    <x v="1"/>
    <s v="+"/>
    <n v="1"/>
    <x v="6"/>
  </r>
  <r>
    <s v="Phenylalanine metabolism - Solanum lycopersicum (tomato)"/>
    <x v="1"/>
    <x v="1"/>
    <s v="+"/>
    <n v="1"/>
    <x v="6"/>
  </r>
  <r>
    <s v="Glycerophospholipid metabolism - Solanum lycopersicum (tomato)"/>
    <x v="1"/>
    <x v="1"/>
    <s v="+"/>
    <n v="1"/>
    <x v="7"/>
  </r>
  <r>
    <s v="Isoquinoline alkaloid biosynthesis - Solanum lycopersicum (tomato)"/>
    <x v="1"/>
    <x v="1"/>
    <s v="+"/>
    <n v="1"/>
    <x v="4"/>
  </r>
  <r>
    <s v="Indole derivatives"/>
    <x v="1"/>
    <x v="1"/>
    <s v="+"/>
    <n v="2"/>
    <x v="6"/>
  </r>
  <r>
    <s v="Degradation of aromatic compounds - Solanum lycopersicum (tomato)"/>
    <x v="2"/>
    <x v="0"/>
    <s v="+"/>
    <n v="9"/>
    <x v="18"/>
  </r>
  <r>
    <s v="2-Oxocarboxylic acid metabolism - Solanum lycopersicum (tomato)"/>
    <x v="2"/>
    <x v="0"/>
    <s v="+"/>
    <n v="9"/>
    <x v="6"/>
  </r>
  <r>
    <s v="Phenylpropanoid biosynthesis - Solanum lycopersicum (tomato)"/>
    <x v="2"/>
    <x v="0"/>
    <s v="+"/>
    <n v="6"/>
    <x v="12"/>
  </r>
  <r>
    <s v="Biosynthesis of amino acids - Solanum lycopersicum (tomato)"/>
    <x v="2"/>
    <x v="0"/>
    <s v="+"/>
    <n v="8"/>
    <x v="6"/>
  </r>
  <r>
    <s v="Tryptophan metabolism - Solanum lycopersicum (tomato)"/>
    <x v="2"/>
    <x v="0"/>
    <s v="+"/>
    <n v="5"/>
    <x v="6"/>
  </r>
  <r>
    <s v="Purine metabolism - Solanum lycopersicum (tomato)"/>
    <x v="2"/>
    <x v="0"/>
    <s v="+"/>
    <n v="6"/>
    <x v="0"/>
  </r>
  <r>
    <s v="Valine; leucine and isoleucine biosynthesis - Solanum lycopersicum (tomato)"/>
    <x v="2"/>
    <x v="0"/>
    <s v="+"/>
    <n v="4"/>
    <x v="6"/>
  </r>
  <r>
    <s v="C5-Branched dibasic acid metabolism - Solanum lycopersicum (tomato)"/>
    <x v="2"/>
    <x v="0"/>
    <s v="+"/>
    <n v="4"/>
    <x v="2"/>
  </r>
  <r>
    <s v="Tropane; piperidine and pyridine alkaloid biosynthesis - Solanum lycopersicum (tomato)"/>
    <x v="2"/>
    <x v="0"/>
    <s v="+"/>
    <n v="5"/>
    <x v="4"/>
  </r>
  <r>
    <s v="Aminoacyl-tRNA biosynthesis - Solanum lycopersicum (tomato)"/>
    <x v="2"/>
    <x v="0"/>
    <s v="+"/>
    <n v="4"/>
    <x v="23"/>
  </r>
  <r>
    <s v="Phenylalanine metabolism - Solanum lycopersicum (tomato)"/>
    <x v="2"/>
    <x v="0"/>
    <s v="+"/>
    <n v="3"/>
    <x v="6"/>
  </r>
  <r>
    <s v="Pentose and glucuronate interconversions - Solanum lycopersicum (tomato)"/>
    <x v="2"/>
    <x v="0"/>
    <s v="+"/>
    <n v="4"/>
    <x v="2"/>
  </r>
  <r>
    <s v="Ascorbate and aldarate metabolism - Solanum lycopersicum (tomato)"/>
    <x v="2"/>
    <x v="0"/>
    <s v="+"/>
    <n v="3"/>
    <x v="2"/>
  </r>
  <r>
    <s v="Cyanoamino acid metabolism - Solanum lycopersicum (tomato)"/>
    <x v="2"/>
    <x v="0"/>
    <s v="+"/>
    <n v="3"/>
    <x v="6"/>
  </r>
  <r>
    <s v="Butanoate metabolism - Solanum lycopersicum (tomato)"/>
    <x v="2"/>
    <x v="0"/>
    <s v="+"/>
    <n v="4"/>
    <x v="2"/>
  </r>
  <r>
    <s v="Vitamin B6 metabolism - Solanum lycopersicum (tomato)"/>
    <x v="2"/>
    <x v="0"/>
    <s v="+"/>
    <n v="4"/>
    <x v="9"/>
  </r>
  <r>
    <s v="Isoquinoline alkaloid biosynthesis - Solanum lycopersicum (tomato)"/>
    <x v="2"/>
    <x v="0"/>
    <s v="+"/>
    <n v="3"/>
    <x v="4"/>
  </r>
  <r>
    <s v="Glucosinolate biosynthesis - Solanum lycopersicum (tomato)"/>
    <x v="2"/>
    <x v="0"/>
    <s v="+"/>
    <n v="3"/>
    <x v="13"/>
  </r>
  <r>
    <s v="Amino acids"/>
    <x v="2"/>
    <x v="0"/>
    <s v="+"/>
    <n v="3"/>
    <x v="6"/>
  </r>
  <r>
    <s v="Pyrimidine metabolism - Solanum lycopersicum (tomato)"/>
    <x v="2"/>
    <x v="0"/>
    <s v="+"/>
    <n v="2"/>
    <x v="0"/>
  </r>
  <r>
    <s v="Alanine; aspartate and glutamate metabolism - Solanum lycopersicum (tomato)"/>
    <x v="2"/>
    <x v="0"/>
    <s v="+"/>
    <n v="3"/>
    <x v="6"/>
  </r>
  <r>
    <s v="Cysteine and methionine metabolism - Solanum lycopersicum (tomato)"/>
    <x v="2"/>
    <x v="0"/>
    <s v="+"/>
    <n v="4"/>
    <x v="6"/>
  </r>
  <r>
    <s v="Lysine biosynthesis - Solanum lycopersicum (tomato)"/>
    <x v="2"/>
    <x v="0"/>
    <s v="+"/>
    <n v="3"/>
    <x v="6"/>
  </r>
  <r>
    <s v="Arginine and proline metabolism - Solanum lycopersicum (tomato)"/>
    <x v="2"/>
    <x v="0"/>
    <s v="+"/>
    <n v="2"/>
    <x v="6"/>
  </r>
  <r>
    <s v="Histidine metabolism - Solanum lycopersicum (tomato)"/>
    <x v="2"/>
    <x v="0"/>
    <s v="+"/>
    <n v="3"/>
    <x v="6"/>
  </r>
  <r>
    <s v="Nicotinate and nicotinamide metabolism - Solanum lycopersicum (tomato)"/>
    <x v="2"/>
    <x v="0"/>
    <s v="+"/>
    <n v="2"/>
    <x v="9"/>
  </r>
  <r>
    <s v="Folate biosynthesis - Solanum lycopersicum (tomato)"/>
    <x v="2"/>
    <x v="0"/>
    <s v="+"/>
    <n v="2"/>
    <x v="9"/>
  </r>
  <r>
    <s v="Diterpenoid biosynthesis - Solanum lycopersicum (tomato)"/>
    <x v="2"/>
    <x v="0"/>
    <s v="+"/>
    <n v="2"/>
    <x v="10"/>
  </r>
  <r>
    <s v="Zeatin biosynthesis - Solanum lycopersicum (tomato)"/>
    <x v="2"/>
    <x v="0"/>
    <s v="+"/>
    <n v="4"/>
    <x v="3"/>
  </r>
  <r>
    <s v="Flavonoid biosynthesis - Solanum lycopersicum (tomato)"/>
    <x v="2"/>
    <x v="0"/>
    <s v="+"/>
    <n v="2"/>
    <x v="16"/>
  </r>
  <r>
    <s v="Carbon metabolism - Solanum lycopersicum (tomato)"/>
    <x v="2"/>
    <x v="0"/>
    <s v="+"/>
    <n v="3"/>
    <x v="14"/>
  </r>
  <r>
    <s v="ABC transporters - Solanum lycopersicum (tomato)"/>
    <x v="2"/>
    <x v="0"/>
    <s v="+"/>
    <n v="2"/>
    <x v="15"/>
  </r>
  <r>
    <s v="Alkaloids Library"/>
    <x v="2"/>
    <x v="0"/>
    <s v="+"/>
    <n v="2"/>
    <x v="4"/>
  </r>
  <r>
    <s v="Flavonoids"/>
    <x v="2"/>
    <x v="0"/>
    <s v="+"/>
    <n v="2"/>
    <x v="16"/>
  </r>
  <r>
    <s v="Primary metabolism"/>
    <x v="2"/>
    <x v="0"/>
    <s v="+"/>
    <n v="4"/>
    <x v="17"/>
  </r>
  <r>
    <s v="Ubiquinone and other terpenoid-quinone biosynthesis - Solanum lycopersicum (tomato)"/>
    <x v="2"/>
    <x v="0"/>
    <s v="+"/>
    <n v="3"/>
    <x v="9"/>
  </r>
  <r>
    <s v="Citrate cycle (TCA cycle) - Solanum lycopersicum (tomato)"/>
    <x v="2"/>
    <x v="0"/>
    <s v="+"/>
    <n v="2"/>
    <x v="5"/>
  </r>
  <r>
    <s v="Galactose metabolism - Solanum lycopersicum (tomato)"/>
    <x v="2"/>
    <x v="0"/>
    <s v="+"/>
    <n v="1"/>
    <x v="2"/>
  </r>
  <r>
    <s v="Fatty acid degradation - Solanum lycopersicum (tomato)"/>
    <x v="2"/>
    <x v="0"/>
    <s v="+"/>
    <n v="1"/>
    <x v="7"/>
  </r>
  <r>
    <s v="Glycine; serine and threonine metabolism - Solanum lycopersicum (tomato)"/>
    <x v="2"/>
    <x v="0"/>
    <s v="+"/>
    <n v="1"/>
    <x v="6"/>
  </r>
  <r>
    <s v="Valine; leucine and isoleucine degradation - Solanum lycopersicum (tomato)"/>
    <x v="2"/>
    <x v="0"/>
    <s v="+"/>
    <n v="1"/>
    <x v="6"/>
  </r>
  <r>
    <s v="Lysine degradation - Solanum lycopersicum (tomato)"/>
    <x v="2"/>
    <x v="0"/>
    <s v="+"/>
    <n v="1"/>
    <x v="6"/>
  </r>
  <r>
    <s v="Tyrosine metabolism - Solanum lycopersicum (tomato)"/>
    <x v="2"/>
    <x v="0"/>
    <s v="+"/>
    <n v="1"/>
    <x v="6"/>
  </r>
  <r>
    <s v="Phenylalanine; tyrosine and tryptophan biosynthesis - Solanum lycopersicum (tomato)"/>
    <x v="2"/>
    <x v="0"/>
    <s v="+"/>
    <n v="2"/>
    <x v="6"/>
  </r>
  <r>
    <s v="beta-Alanine metabolism - Solanum lycopersicum (tomato)"/>
    <x v="2"/>
    <x v="0"/>
    <s v="+"/>
    <n v="1"/>
    <x v="6"/>
  </r>
  <r>
    <s v="Taurine and hypotaurine metabolism - Solanum lycopersicum (tomato)"/>
    <x v="2"/>
    <x v="0"/>
    <s v="+"/>
    <n v="2"/>
    <x v="6"/>
  </r>
  <r>
    <s v="Amino sugar and nucleotide sugar metabolism - Solanum lycopersicum (tomato)"/>
    <x v="2"/>
    <x v="0"/>
    <s v="+"/>
    <n v="1"/>
    <x v="1"/>
  </r>
  <r>
    <s v="Arachidonic acid metabolism - Solanum lycopersicum (tomato)"/>
    <x v="2"/>
    <x v="0"/>
    <s v="+"/>
    <n v="1"/>
    <x v="7"/>
  </r>
  <r>
    <s v="Glyoxylate and dicarboxylate metabolism - Solanum lycopersicum (tomato)"/>
    <x v="2"/>
    <x v="0"/>
    <s v="+"/>
    <n v="2"/>
    <x v="2"/>
  </r>
  <r>
    <s v="Propanoate metabolism - Solanum lycopersicum (tomato)"/>
    <x v="2"/>
    <x v="0"/>
    <s v="+"/>
    <n v="1"/>
    <x v="2"/>
  </r>
  <r>
    <s v="One carbon pool by folate - Solanum lycopersicum (tomato)"/>
    <x v="2"/>
    <x v="0"/>
    <s v="+"/>
    <n v="1"/>
    <x v="9"/>
  </r>
  <r>
    <s v="Thiamine metabolism - Solanum lycopersicum (tomato)"/>
    <x v="2"/>
    <x v="0"/>
    <s v="+"/>
    <n v="1"/>
    <x v="9"/>
  </r>
  <r>
    <s v="Pantothenate and CoA biosynthesis - Solanum lycopersicum (tomato)"/>
    <x v="2"/>
    <x v="0"/>
    <s v="+"/>
    <n v="1"/>
    <x v="9"/>
  </r>
  <r>
    <s v="Porphyrin and chlorophyll metabolism - Solanum lycopersicum (tomato)"/>
    <x v="2"/>
    <x v="0"/>
    <s v="+"/>
    <n v="1"/>
    <x v="9"/>
  </r>
  <r>
    <s v="Carotenoid biosynthesis - Solanum lycopersicum (tomato)"/>
    <x v="2"/>
    <x v="0"/>
    <s v="+"/>
    <n v="1"/>
    <x v="3"/>
  </r>
  <r>
    <s v="Sulfur metabolism - Solanum lycopersicum (tomato)"/>
    <x v="2"/>
    <x v="0"/>
    <s v="+"/>
    <n v="1"/>
    <x v="11"/>
  </r>
  <r>
    <s v="Anthocyanin biosynthesis - Solanum lycopersicum (tomato)"/>
    <x v="2"/>
    <x v="0"/>
    <s v="+"/>
    <n v="1"/>
    <x v="16"/>
  </r>
  <r>
    <s v="Flavone and flavonol biosynthesis - Solanum lycopersicum (tomato)"/>
    <x v="2"/>
    <x v="0"/>
    <s v="+"/>
    <n v="1"/>
    <x v="16"/>
  </r>
  <r>
    <s v="Plant hormone signal transduction - Solanum lycopersicum (tomato)"/>
    <x v="2"/>
    <x v="0"/>
    <s v="+"/>
    <n v="1"/>
    <x v="21"/>
  </r>
  <r>
    <s v="Regulation of autophagy - Solanum lycopersicum (tomato)"/>
    <x v="2"/>
    <x v="0"/>
    <s v="+"/>
    <n v="1"/>
    <x v="28"/>
  </r>
  <r>
    <s v="Abscisic Acid"/>
    <x v="2"/>
    <x v="0"/>
    <s v="+"/>
    <n v="1"/>
    <x v="30"/>
  </r>
  <r>
    <s v="JA biosynthesis"/>
    <x v="2"/>
    <x v="0"/>
    <s v="+"/>
    <n v="1"/>
    <x v="26"/>
  </r>
  <r>
    <s v="Lignans"/>
    <x v="2"/>
    <x v="0"/>
    <s v="+"/>
    <n v="1"/>
    <x v="16"/>
  </r>
  <r>
    <s v="Phenylpropanoids biosynthesis"/>
    <x v="2"/>
    <x v="0"/>
    <s v="+"/>
    <n v="1"/>
    <x v="16"/>
  </r>
  <r>
    <s v="Secondary metabolism"/>
    <x v="2"/>
    <x v="0"/>
    <s v="+"/>
    <n v="1"/>
    <x v="19"/>
  </r>
  <r>
    <s v="2-Oxocarboxylic acid metabolism - Solanum lycopersicum (tomato)"/>
    <x v="2"/>
    <x v="1"/>
    <s v="+"/>
    <n v="1"/>
    <x v="6"/>
  </r>
  <r>
    <s v="Glucosinolate biosynthesis - Solanum lycopersicum (tomato)"/>
    <x v="2"/>
    <x v="1"/>
    <s v="+"/>
    <n v="1"/>
    <x v="13"/>
  </r>
  <r>
    <s v="Biosynthesis of amino acids - Solanum lycopersicum (tomato)"/>
    <x v="2"/>
    <x v="1"/>
    <s v="+"/>
    <n v="1"/>
    <x v="6"/>
  </r>
  <r>
    <s v="Cysteine and methionine metabolism - Solanum lycopersicum (tomato)"/>
    <x v="2"/>
    <x v="1"/>
    <s v="+"/>
    <n v="1"/>
    <x v="6"/>
  </r>
  <r>
    <s v="Tyrosine metabolism - Solanum lycopersicum (tomato)"/>
    <x v="2"/>
    <x v="1"/>
    <s v="+"/>
    <n v="1"/>
    <x v="6"/>
  </r>
  <r>
    <s v="Valine; leucine and isoleucine biosynthesis - Solanum lycopersicum (tomato)"/>
    <x v="2"/>
    <x v="1"/>
    <s v="+"/>
    <n v="1"/>
    <x v="6"/>
  </r>
  <r>
    <s v="Histidine metabolism - Solanum lycopersicum (tomato)"/>
    <x v="2"/>
    <x v="1"/>
    <s v="+"/>
    <n v="1"/>
    <x v="6"/>
  </r>
  <r>
    <s v="Isoquinoline alkaloid biosynthesis - Solanum lycopersicum (tomato)"/>
    <x v="2"/>
    <x v="1"/>
    <s v="+"/>
    <n v="1"/>
    <x v="4"/>
  </r>
  <r>
    <s v="Degradation of aromatic compounds - Solanum lycopersicum (tomato)"/>
    <x v="2"/>
    <x v="1"/>
    <s v="+"/>
    <n v="1"/>
    <x v="18"/>
  </r>
  <r>
    <s v="ABC transporters - Solanum lycopersicum (tomato)"/>
    <x v="2"/>
    <x v="1"/>
    <s v="+"/>
    <n v="1"/>
    <x v="15"/>
  </r>
  <r>
    <s v="db/grp/intern/G_Sec0001"/>
    <x v="2"/>
    <x v="1"/>
    <s v="+"/>
    <n v="1"/>
    <x v="28"/>
  </r>
  <r>
    <s v="Photosynthesis - Solanum lycopersicum (tomato)"/>
    <x v="2"/>
    <x v="1"/>
    <s v="+"/>
    <n v="1"/>
    <x v="11"/>
  </r>
  <r>
    <s v="Glycine; serine and threonine metabolism - Solanum lycopersicum (tomato)"/>
    <x v="2"/>
    <x v="1"/>
    <s v="+"/>
    <n v="1"/>
    <x v="6"/>
  </r>
  <r>
    <s v="Valine; leucine and isoleucine degradation - Solanum lycopersicum (tomato)"/>
    <x v="2"/>
    <x v="1"/>
    <s v="+"/>
    <n v="1"/>
    <x v="6"/>
  </r>
  <r>
    <s v="Lysine degradation - Solanum lycopersicum (tomato)"/>
    <x v="2"/>
    <x v="1"/>
    <s v="+"/>
    <n v="1"/>
    <x v="6"/>
  </r>
  <r>
    <s v="Arginine and proline metabolism - Solanum lycopersicum (tomato)"/>
    <x v="2"/>
    <x v="1"/>
    <s v="+"/>
    <n v="1"/>
    <x v="6"/>
  </r>
  <r>
    <s v="Tryptophan metabolism - Solanum lycopersicum (tomato)"/>
    <x v="2"/>
    <x v="1"/>
    <s v="+"/>
    <n v="1"/>
    <x v="6"/>
  </r>
  <r>
    <s v="Cyanoamino acid metabolism - Solanum lycopersicum (tomato)"/>
    <x v="2"/>
    <x v="1"/>
    <s v="+"/>
    <n v="1"/>
    <x v="6"/>
  </r>
  <r>
    <s v="Glutathione metabolism - Solanum lycopersicum (tomato)"/>
    <x v="2"/>
    <x v="1"/>
    <s v="+"/>
    <n v="1"/>
    <x v="6"/>
  </r>
  <r>
    <s v="Glycerophospholipid metabolism - Solanum lycopersicum (tomato)"/>
    <x v="2"/>
    <x v="1"/>
    <s v="+"/>
    <n v="1"/>
    <x v="7"/>
  </r>
  <r>
    <s v="Arachidonic acid metabolism - Solanum lycopersicum (tomato)"/>
    <x v="2"/>
    <x v="1"/>
    <s v="+"/>
    <n v="1"/>
    <x v="7"/>
  </r>
  <r>
    <s v="Pantothenate and CoA biosynthesis - Solanum lycopersicum (tomato)"/>
    <x v="2"/>
    <x v="1"/>
    <s v="+"/>
    <n v="1"/>
    <x v="9"/>
  </r>
  <r>
    <s v="Diterpenoid biosynthesis - Solanum lycopersicum (tomato)"/>
    <x v="2"/>
    <x v="1"/>
    <s v="+"/>
    <n v="1"/>
    <x v="10"/>
  </r>
  <r>
    <s v="Tropane; piperidine and pyridine alkaloid biosynthesis - Solanum lycopersicum (tomato)"/>
    <x v="2"/>
    <x v="1"/>
    <s v="+"/>
    <n v="1"/>
    <x v="4"/>
  </r>
  <r>
    <s v="Alkaloids Library"/>
    <x v="2"/>
    <x v="1"/>
    <s v="+"/>
    <n v="1"/>
    <x v="4"/>
  </r>
  <r>
    <s v="Secondary metabolism"/>
    <x v="2"/>
    <x v="1"/>
    <s v="+"/>
    <n v="1"/>
    <x v="19"/>
  </r>
  <r>
    <s v="Degradation of aromatic compounds - Solanum lycopersicum (tomato)"/>
    <x v="3"/>
    <x v="0"/>
    <s v="+"/>
    <n v="6"/>
    <x v="18"/>
  </r>
  <r>
    <s v="Purine metabolism - Solanum lycopersicum (tomato)"/>
    <x v="3"/>
    <x v="0"/>
    <s v="+"/>
    <n v="5"/>
    <x v="0"/>
  </r>
  <r>
    <s v="Pyrimidine metabolism - Solanum lycopersicum (tomato)"/>
    <x v="3"/>
    <x v="0"/>
    <s v="+"/>
    <n v="4"/>
    <x v="0"/>
  </r>
  <r>
    <s v="Zeatin biosynthesis - Solanum lycopersicum (tomato)"/>
    <x v="3"/>
    <x v="0"/>
    <s v="+"/>
    <n v="5"/>
    <x v="3"/>
  </r>
  <r>
    <s v="Cysteine and methionine metabolism - Solanum lycopersicum (tomato)"/>
    <x v="3"/>
    <x v="0"/>
    <s v="+"/>
    <n v="2"/>
    <x v="6"/>
  </r>
  <r>
    <s v="Arginine and proline metabolism - Solanum lycopersicum (tomato)"/>
    <x v="3"/>
    <x v="0"/>
    <s v="+"/>
    <n v="3"/>
    <x v="6"/>
  </r>
  <r>
    <s v="Phenylalanine metabolism - Solanum lycopersicum (tomato)"/>
    <x v="3"/>
    <x v="0"/>
    <s v="+"/>
    <n v="2"/>
    <x v="6"/>
  </r>
  <r>
    <s v="Tryptophan metabolism - Solanum lycopersicum (tomato)"/>
    <x v="3"/>
    <x v="0"/>
    <s v="+"/>
    <n v="2"/>
    <x v="6"/>
  </r>
  <r>
    <s v="One carbon pool by folate - Solanum lycopersicum (tomato)"/>
    <x v="3"/>
    <x v="0"/>
    <s v="+"/>
    <n v="3"/>
    <x v="9"/>
  </r>
  <r>
    <s v="Vitamin B6 metabolism - Solanum lycopersicum (tomato)"/>
    <x v="3"/>
    <x v="0"/>
    <s v="+"/>
    <n v="3"/>
    <x v="9"/>
  </r>
  <r>
    <s v="Phenylpropanoid biosynthesis - Solanum lycopersicum (tomato)"/>
    <x v="3"/>
    <x v="0"/>
    <s v="+"/>
    <n v="2"/>
    <x v="12"/>
  </r>
  <r>
    <s v="Flavone and flavonol biosynthesis - Solanum lycopersicum (tomato)"/>
    <x v="3"/>
    <x v="0"/>
    <s v="+"/>
    <n v="2"/>
    <x v="16"/>
  </r>
  <r>
    <s v="Tropane; piperidine and pyridine alkaloid biosynthesis - Solanum lycopersicum (tomato)"/>
    <x v="3"/>
    <x v="0"/>
    <s v="+"/>
    <n v="2"/>
    <x v="4"/>
  </r>
  <r>
    <s v="Carbon metabolism - Solanum lycopersicum (tomato)"/>
    <x v="3"/>
    <x v="0"/>
    <s v="+"/>
    <n v="3"/>
    <x v="14"/>
  </r>
  <r>
    <s v="2-Oxocarboxylic acid metabolism - Solanum lycopersicum (tomato)"/>
    <x v="3"/>
    <x v="0"/>
    <s v="+"/>
    <n v="2"/>
    <x v="6"/>
  </r>
  <r>
    <s v="Lignans"/>
    <x v="3"/>
    <x v="0"/>
    <s v="+"/>
    <n v="2"/>
    <x v="16"/>
  </r>
  <r>
    <s v="Phenylpropanoids biosynthesis"/>
    <x v="3"/>
    <x v="0"/>
    <s v="+"/>
    <n v="2"/>
    <x v="16"/>
  </r>
  <r>
    <s v="Galactose metabolism - Solanum lycopersicum (tomato)"/>
    <x v="3"/>
    <x v="0"/>
    <s v="+"/>
    <n v="1"/>
    <x v="2"/>
  </r>
  <r>
    <s v="Ubiquinone and other terpenoid-quinone biosynthesis - Solanum lycopersicum (tomato)"/>
    <x v="3"/>
    <x v="0"/>
    <s v="+"/>
    <n v="1"/>
    <x v="9"/>
  </r>
  <r>
    <s v="Alanine; aspartate and glutamate metabolism - Solanum lycopersicum (tomato)"/>
    <x v="3"/>
    <x v="0"/>
    <s v="+"/>
    <n v="1"/>
    <x v="6"/>
  </r>
  <r>
    <s v="Glycine; serine and threonine metabolism - Solanum lycopersicum (tomato)"/>
    <x v="3"/>
    <x v="0"/>
    <s v="+"/>
    <n v="1"/>
    <x v="6"/>
  </r>
  <r>
    <s v="Lysine biosynthesis - Solanum lycopersicum (tomato)"/>
    <x v="3"/>
    <x v="0"/>
    <s v="+"/>
    <n v="1"/>
    <x v="6"/>
  </r>
  <r>
    <s v="Tyrosine metabolism - Solanum lycopersicum (tomato)"/>
    <x v="3"/>
    <x v="0"/>
    <s v="+"/>
    <n v="1"/>
    <x v="6"/>
  </r>
  <r>
    <s v="Phenylalanine; tyrosine and tryptophan biosynthesis - Solanum lycopersicum (tomato)"/>
    <x v="3"/>
    <x v="0"/>
    <s v="+"/>
    <n v="1"/>
    <x v="6"/>
  </r>
  <r>
    <s v="Glutathione metabolism - Solanum lycopersicum (tomato)"/>
    <x v="3"/>
    <x v="0"/>
    <s v="+"/>
    <n v="1"/>
    <x v="6"/>
  </r>
  <r>
    <s v="Starch and sucrose metabolism - Solanum lycopersicum (tomato)"/>
    <x v="3"/>
    <x v="0"/>
    <s v="+"/>
    <n v="1"/>
    <x v="2"/>
  </r>
  <r>
    <s v="Pantothenate and CoA biosynthesis - Solanum lycopersicum (tomato)"/>
    <x v="3"/>
    <x v="0"/>
    <s v="+"/>
    <n v="1"/>
    <x v="9"/>
  </r>
  <r>
    <s v="Porphyrin and chlorophyll metabolism - Solanum lycopersicum (tomato)"/>
    <x v="3"/>
    <x v="0"/>
    <s v="+"/>
    <n v="1"/>
    <x v="9"/>
  </r>
  <r>
    <s v="Terpenoid backbone biosynthesis - Solanum lycopersicum (tomato)"/>
    <x v="3"/>
    <x v="0"/>
    <s v="+"/>
    <n v="1"/>
    <x v="10"/>
  </r>
  <r>
    <s v="Monoterpenoid biosynthesis - Solanum lycopersicum (tomato)"/>
    <x v="3"/>
    <x v="0"/>
    <s v="+"/>
    <n v="1"/>
    <x v="10"/>
  </r>
  <r>
    <s v="Flavonoid biosynthesis - Solanum lycopersicum (tomato)"/>
    <x v="3"/>
    <x v="0"/>
    <s v="+"/>
    <n v="1"/>
    <x v="16"/>
  </r>
  <r>
    <s v="Anthocyanin biosynthesis - Solanum lycopersicum (tomato)"/>
    <x v="3"/>
    <x v="0"/>
    <s v="+"/>
    <n v="1"/>
    <x v="16"/>
  </r>
  <r>
    <s v="Isoquinoline alkaloid biosynthesis - Solanum lycopersicum (tomato)"/>
    <x v="3"/>
    <x v="0"/>
    <s v="+"/>
    <n v="2"/>
    <x v="4"/>
  </r>
  <r>
    <s v="Glucosinolate biosynthesis - Solanum lycopersicum (tomato)"/>
    <x v="3"/>
    <x v="0"/>
    <s v="+"/>
    <n v="1"/>
    <x v="13"/>
  </r>
  <r>
    <s v="Aminoacyl-tRNA biosynthesis - Solanum lycopersicum (tomato)"/>
    <x v="3"/>
    <x v="0"/>
    <s v="+"/>
    <n v="1"/>
    <x v="23"/>
  </r>
  <r>
    <s v="Biosynthesis of amino acids - Solanum lycopersicum (tomato)"/>
    <x v="3"/>
    <x v="0"/>
    <s v="+"/>
    <n v="1"/>
    <x v="6"/>
  </r>
  <r>
    <s v="Alkaloids Library"/>
    <x v="3"/>
    <x v="0"/>
    <s v="+"/>
    <n v="1"/>
    <x v="4"/>
  </r>
  <r>
    <s v="JA biosynthesis"/>
    <x v="3"/>
    <x v="0"/>
    <s v="+"/>
    <n v="1"/>
    <x v="26"/>
  </r>
  <r>
    <s v="Primary metabolism"/>
    <x v="3"/>
    <x v="0"/>
    <s v="+"/>
    <n v="1"/>
    <x v="17"/>
  </r>
  <r>
    <s v="Secondary metabolism"/>
    <x v="3"/>
    <x v="0"/>
    <s v="+"/>
    <n v="1"/>
    <x v="19"/>
  </r>
  <r>
    <s v="alpha-Linolenic acid metabolism - Solanum lycopersicum (tomato)"/>
    <x v="3"/>
    <x v="0"/>
    <s v="+"/>
    <n v="1"/>
    <x v="7"/>
  </r>
  <r>
    <s v="Degradation of aromatic compounds - Solanum lycopersicum (tomato)"/>
    <x v="3"/>
    <x v="1"/>
    <s v="+"/>
    <n v="8"/>
    <x v="18"/>
  </r>
  <r>
    <s v="2-Oxocarboxylic acid metabolism - Solanum lycopersicum (tomato)"/>
    <x v="3"/>
    <x v="1"/>
    <s v="+"/>
    <n v="10"/>
    <x v="6"/>
  </r>
  <r>
    <s v="Phenylalanine metabolism - Solanum lycopersicum (tomato)"/>
    <x v="3"/>
    <x v="1"/>
    <s v="+"/>
    <n v="5"/>
    <x v="6"/>
  </r>
  <r>
    <s v="Isoquinoline alkaloid biosynthesis - Solanum lycopersicum (tomato)"/>
    <x v="3"/>
    <x v="1"/>
    <s v="+"/>
    <n v="6"/>
    <x v="4"/>
  </r>
  <r>
    <s v="Phenylpropanoid biosynthesis - Solanum lycopersicum (tomato)"/>
    <x v="3"/>
    <x v="1"/>
    <s v="+"/>
    <n v="4"/>
    <x v="12"/>
  </r>
  <r>
    <s v="Glucosinolate biosynthesis - Solanum lycopersicum (tomato)"/>
    <x v="3"/>
    <x v="1"/>
    <s v="+"/>
    <n v="6"/>
    <x v="13"/>
  </r>
  <r>
    <s v="Tyrosine metabolism - Solanum lycopersicum (tomato)"/>
    <x v="3"/>
    <x v="1"/>
    <s v="+"/>
    <n v="3"/>
    <x v="6"/>
  </r>
  <r>
    <s v="Biosynthesis of amino acids - Solanum lycopersicum (tomato)"/>
    <x v="3"/>
    <x v="1"/>
    <s v="+"/>
    <n v="4"/>
    <x v="6"/>
  </r>
  <r>
    <s v="Alkaloids Library"/>
    <x v="3"/>
    <x v="1"/>
    <s v="+"/>
    <n v="7"/>
    <x v="4"/>
  </r>
  <r>
    <s v="Primary metabolism"/>
    <x v="3"/>
    <x v="1"/>
    <s v="+"/>
    <n v="4"/>
    <x v="17"/>
  </r>
  <r>
    <s v="Secondary metabolism"/>
    <x v="3"/>
    <x v="1"/>
    <s v="+"/>
    <n v="3"/>
    <x v="19"/>
  </r>
  <r>
    <s v="Diterpenoid biosynthesis - Solanum lycopersicum (tomato)"/>
    <x v="3"/>
    <x v="1"/>
    <s v="+"/>
    <n v="2"/>
    <x v="10"/>
  </r>
  <r>
    <s v="Pyrimidine metabolism - Solanum lycopersicum (tomato)"/>
    <x v="3"/>
    <x v="1"/>
    <s v="+"/>
    <n v="2"/>
    <x v="0"/>
  </r>
  <r>
    <s v="Valine; leucine and isoleucine biosynthesis - Solanum lycopersicum (tomato)"/>
    <x v="3"/>
    <x v="1"/>
    <s v="+"/>
    <n v="4"/>
    <x v="6"/>
  </r>
  <r>
    <s v="Histidine metabolism - Solanum lycopersicum (tomato)"/>
    <x v="3"/>
    <x v="1"/>
    <s v="+"/>
    <n v="2"/>
    <x v="6"/>
  </r>
  <r>
    <s v="Tryptophan metabolism - Solanum lycopersicum (tomato)"/>
    <x v="3"/>
    <x v="1"/>
    <s v="+"/>
    <n v="2"/>
    <x v="6"/>
  </r>
  <r>
    <s v="Monoterpenoid biosynthesis - Solanum lycopersicum (tomato)"/>
    <x v="3"/>
    <x v="1"/>
    <s v="+"/>
    <n v="2"/>
    <x v="10"/>
  </r>
  <r>
    <s v="Limonene and pinene degradation - Solanum lycopersicum (tomato)"/>
    <x v="3"/>
    <x v="1"/>
    <s v="+"/>
    <n v="2"/>
    <x v="10"/>
  </r>
  <r>
    <s v="Carotenoid biosynthesis - Solanum lycopersicum (tomato)"/>
    <x v="3"/>
    <x v="1"/>
    <s v="+"/>
    <n v="2"/>
    <x v="3"/>
  </r>
  <r>
    <s v="ABC transporters - Solanum lycopersicum (tomato)"/>
    <x v="3"/>
    <x v="1"/>
    <s v="+"/>
    <n v="2"/>
    <x v="15"/>
  </r>
  <r>
    <s v="Phenylpropanoids biosynthesis"/>
    <x v="3"/>
    <x v="1"/>
    <s v="+"/>
    <n v="2"/>
    <x v="16"/>
  </r>
  <r>
    <s v="alpha-Linolenic acid metabolism - Solanum lycopersicum (tomato)"/>
    <x v="3"/>
    <x v="1"/>
    <s v="+"/>
    <n v="2"/>
    <x v="7"/>
  </r>
  <r>
    <s v="Tropane; piperidine and pyridine alkaloid biosynthesis - Solanum lycopersicum (tomato)"/>
    <x v="3"/>
    <x v="1"/>
    <s v="+"/>
    <n v="4"/>
    <x v="4"/>
  </r>
  <r>
    <s v="Citrate cycle (TCA cycle) - Solanum lycopersicum (tomato)"/>
    <x v="3"/>
    <x v="1"/>
    <s v="+"/>
    <n v="1"/>
    <x v="5"/>
  </r>
  <r>
    <s v="Pentose and glucuronate interconversions - Solanum lycopersicum (tomato)"/>
    <x v="3"/>
    <x v="1"/>
    <s v="+"/>
    <n v="1"/>
    <x v="2"/>
  </r>
  <r>
    <s v="Ascorbate and aldarate metabolism - Solanum lycopersicum (tomato)"/>
    <x v="3"/>
    <x v="1"/>
    <s v="+"/>
    <n v="1"/>
    <x v="2"/>
  </r>
  <r>
    <s v="Fatty acid biosynthesis - Solanum lycopersicum (tomato)"/>
    <x v="3"/>
    <x v="1"/>
    <s v="+"/>
    <n v="1"/>
    <x v="7"/>
  </r>
  <r>
    <s v="Cutin; suberine and wax biosynthesis - Solanum lycopersicum (tomato)"/>
    <x v="3"/>
    <x v="1"/>
    <s v="+"/>
    <n v="1"/>
    <x v="7"/>
  </r>
  <r>
    <s v="Steroid biosynthesis - Solanum lycopersicum (tomato)"/>
    <x v="3"/>
    <x v="1"/>
    <s v="+"/>
    <n v="1"/>
    <x v="7"/>
  </r>
  <r>
    <s v="Ubiquinone and other terpenoid-quinone biosynthesis - Solanum lycopersicum (tomato)"/>
    <x v="3"/>
    <x v="1"/>
    <s v="+"/>
    <n v="1"/>
    <x v="9"/>
  </r>
  <r>
    <s v="Purine metabolism - Solanum lycopersicum (tomato)"/>
    <x v="3"/>
    <x v="1"/>
    <s v="+"/>
    <n v="1"/>
    <x v="0"/>
  </r>
  <r>
    <s v="Caffeine metabolism - Solanum lycopersicum (tomato)"/>
    <x v="3"/>
    <x v="1"/>
    <s v="+"/>
    <n v="1"/>
    <x v="20"/>
  </r>
  <r>
    <s v="Alanine; aspartate and glutamate metabolism - Solanum lycopersicum (tomato)"/>
    <x v="3"/>
    <x v="1"/>
    <s v="+"/>
    <n v="1"/>
    <x v="6"/>
  </r>
  <r>
    <s v="Valine; leucine and isoleucine degradation - Solanum lycopersicum (tomato)"/>
    <x v="3"/>
    <x v="1"/>
    <s v="+"/>
    <n v="2"/>
    <x v="6"/>
  </r>
  <r>
    <s v="Lysine biosynthesis - Solanum lycopersicum (tomato)"/>
    <x v="3"/>
    <x v="1"/>
    <s v="+"/>
    <n v="1"/>
    <x v="6"/>
  </r>
  <r>
    <s v="Lysine degradation - Solanum lycopersicum (tomato)"/>
    <x v="3"/>
    <x v="1"/>
    <s v="+"/>
    <n v="2"/>
    <x v="6"/>
  </r>
  <r>
    <s v="Arginine and proline metabolism - Solanum lycopersicum (tomato)"/>
    <x v="3"/>
    <x v="1"/>
    <s v="+"/>
    <n v="1"/>
    <x v="6"/>
  </r>
  <r>
    <s v="Phenylalanine; tyrosine and tryptophan biosynthesis - Solanum lycopersicum (tomato)"/>
    <x v="3"/>
    <x v="1"/>
    <s v="+"/>
    <n v="1"/>
    <x v="6"/>
  </r>
  <r>
    <s v="Taurine and hypotaurine metabolism - Solanum lycopersicum (tomato)"/>
    <x v="3"/>
    <x v="1"/>
    <s v="+"/>
    <n v="1"/>
    <x v="6"/>
  </r>
  <r>
    <s v="Arachidonic acid metabolism - Solanum lycopersicum (tomato)"/>
    <x v="3"/>
    <x v="1"/>
    <s v="+"/>
    <n v="1"/>
    <x v="7"/>
  </r>
  <r>
    <s v="Linoleic acid metabolism - Solanum lycopersicum (tomato)"/>
    <x v="3"/>
    <x v="1"/>
    <s v="+"/>
    <n v="1"/>
    <x v="7"/>
  </r>
  <r>
    <s v="Sphingolipid metabolism - Solanum lycopersicum (tomato)"/>
    <x v="3"/>
    <x v="1"/>
    <s v="+"/>
    <n v="3"/>
    <x v="7"/>
  </r>
  <r>
    <s v="Glyoxylate and dicarboxylate metabolism - Solanum lycopersicum (tomato)"/>
    <x v="3"/>
    <x v="1"/>
    <s v="+"/>
    <n v="1"/>
    <x v="2"/>
  </r>
  <r>
    <s v="Propanoate metabolism - Solanum lycopersicum (tomato)"/>
    <x v="3"/>
    <x v="1"/>
    <s v="+"/>
    <n v="1"/>
    <x v="2"/>
  </r>
  <r>
    <s v="Butanoate metabolism - Solanum lycopersicum (tomato)"/>
    <x v="3"/>
    <x v="1"/>
    <s v="+"/>
    <n v="1"/>
    <x v="2"/>
  </r>
  <r>
    <s v="C5-Branched dibasic acid metabolism - Solanum lycopersicum (tomato)"/>
    <x v="3"/>
    <x v="1"/>
    <s v="+"/>
    <n v="1"/>
    <x v="2"/>
  </r>
  <r>
    <s v="Carbon fixation in photosynthetic organisms - Solanum lycopersicum (tomato)"/>
    <x v="3"/>
    <x v="1"/>
    <s v="+"/>
    <n v="1"/>
    <x v="5"/>
  </r>
  <r>
    <s v="Riboflavin metabolism - Solanum lycopersicum (tomato)"/>
    <x v="3"/>
    <x v="1"/>
    <s v="+"/>
    <n v="1"/>
    <x v="8"/>
  </r>
  <r>
    <s v="Vitamin B6 metabolism - Solanum lycopersicum (tomato)"/>
    <x v="3"/>
    <x v="1"/>
    <s v="+"/>
    <n v="1"/>
    <x v="9"/>
  </r>
  <r>
    <s v="Nicotinate and nicotinamide metabolism - Solanum lycopersicum (tomato)"/>
    <x v="3"/>
    <x v="1"/>
    <s v="+"/>
    <n v="1"/>
    <x v="9"/>
  </r>
  <r>
    <s v="Pantothenate and CoA biosynthesis - Solanum lycopersicum (tomato)"/>
    <x v="3"/>
    <x v="1"/>
    <s v="+"/>
    <n v="2"/>
    <x v="9"/>
  </r>
  <r>
    <s v="Brassinosteroid biosynthesis - Solanum lycopersicum (tomato)"/>
    <x v="3"/>
    <x v="1"/>
    <s v="+"/>
    <n v="1"/>
    <x v="10"/>
  </r>
  <r>
    <s v="Zeatin biosynthesis - Solanum lycopersicum (tomato)"/>
    <x v="3"/>
    <x v="1"/>
    <s v="+"/>
    <n v="1"/>
    <x v="3"/>
  </r>
  <r>
    <s v="Sesquiterpenoid and triterpenoid biosynthesis - Solanum lycopersicum (tomato)"/>
    <x v="3"/>
    <x v="1"/>
    <s v="+"/>
    <n v="1"/>
    <x v="10"/>
  </r>
  <r>
    <s v="Biosynthesis of unsaturated fatty acids - Solanum lycopersicum (tomato)"/>
    <x v="3"/>
    <x v="1"/>
    <s v="+"/>
    <n v="1"/>
    <x v="7"/>
  </r>
  <r>
    <s v="Carbon metabolism - Solanum lycopersicum (tomato)"/>
    <x v="3"/>
    <x v="1"/>
    <s v="+"/>
    <n v="1"/>
    <x v="14"/>
  </r>
  <r>
    <s v="Indole derivatives"/>
    <x v="3"/>
    <x v="1"/>
    <s v="+"/>
    <n v="1"/>
    <x v="6"/>
  </r>
  <r>
    <s v="JA biosynthesis"/>
    <x v="3"/>
    <x v="1"/>
    <s v="+"/>
    <n v="1"/>
    <x v="26"/>
  </r>
  <r>
    <s v="Degradation of aromatic compounds - Solanum lycopersicum (tomato)"/>
    <x v="4"/>
    <x v="0"/>
    <s v="+"/>
    <n v="6"/>
    <x v="18"/>
  </r>
  <r>
    <s v="Purine metabolism - Solanum lycopersicum (tomato)"/>
    <x v="4"/>
    <x v="0"/>
    <s v="+"/>
    <n v="8"/>
    <x v="0"/>
  </r>
  <r>
    <s v="Tryptophan metabolism - Solanum lycopersicum (tomato)"/>
    <x v="4"/>
    <x v="0"/>
    <s v="+"/>
    <n v="5"/>
    <x v="6"/>
  </r>
  <r>
    <s v="Primary metabolism"/>
    <x v="4"/>
    <x v="0"/>
    <s v="+"/>
    <n v="6"/>
    <x v="17"/>
  </r>
  <r>
    <s v="Pyrimidine metabolism - Solanum lycopersicum (tomato)"/>
    <x v="4"/>
    <x v="0"/>
    <s v="+"/>
    <n v="3"/>
    <x v="0"/>
  </r>
  <r>
    <s v="Tyrosine metabolism - Solanum lycopersicum (tomato)"/>
    <x v="4"/>
    <x v="0"/>
    <s v="+"/>
    <n v="4"/>
    <x v="6"/>
  </r>
  <r>
    <s v="Terpenoid backbone biosynthesis - Solanum lycopersicum (tomato)"/>
    <x v="4"/>
    <x v="0"/>
    <s v="+"/>
    <n v="3"/>
    <x v="10"/>
  </r>
  <r>
    <s v="Phenylpropanoid biosynthesis - Solanum lycopersicum (tomato)"/>
    <x v="4"/>
    <x v="0"/>
    <s v="+"/>
    <n v="4"/>
    <x v="12"/>
  </r>
  <r>
    <s v="2-Oxocarboxylic acid metabolism - Solanum lycopersicum (tomato)"/>
    <x v="4"/>
    <x v="0"/>
    <s v="+"/>
    <n v="3"/>
    <x v="6"/>
  </r>
  <r>
    <s v="Carotenoid biosynthesis - Solanum lycopersicum (tomato)"/>
    <x v="4"/>
    <x v="0"/>
    <s v="+"/>
    <n v="3"/>
    <x v="3"/>
  </r>
  <r>
    <s v="Ascorbate and aldarate metabolism - Solanum lycopersicum (tomato)"/>
    <x v="4"/>
    <x v="0"/>
    <s v="+"/>
    <n v="3"/>
    <x v="2"/>
  </r>
  <r>
    <s v="Glycerophospholipid metabolism - Solanum lycopersicum (tomato)"/>
    <x v="4"/>
    <x v="0"/>
    <s v="+"/>
    <n v="2"/>
    <x v="7"/>
  </r>
  <r>
    <s v="Riboflavin metabolism - Solanum lycopersicum (tomato)"/>
    <x v="4"/>
    <x v="0"/>
    <s v="+"/>
    <n v="3"/>
    <x v="8"/>
  </r>
  <r>
    <s v="Vitamin B6 metabolism - Solanum lycopersicum (tomato)"/>
    <x v="4"/>
    <x v="0"/>
    <s v="+"/>
    <n v="3"/>
    <x v="9"/>
  </r>
  <r>
    <s v="Biotin metabolism - Solanum lycopersicum (tomato)"/>
    <x v="4"/>
    <x v="0"/>
    <s v="+"/>
    <n v="2"/>
    <x v="9"/>
  </r>
  <r>
    <s v="Monoterpenoid biosynthesis - Solanum lycopersicum (tomato)"/>
    <x v="4"/>
    <x v="0"/>
    <s v="+"/>
    <n v="3"/>
    <x v="10"/>
  </r>
  <r>
    <s v="Zeatin biosynthesis - Solanum lycopersicum (tomato)"/>
    <x v="4"/>
    <x v="0"/>
    <s v="+"/>
    <n v="3"/>
    <x v="3"/>
  </r>
  <r>
    <s v="Glucosinolate biosynthesis - Solanum lycopersicum (tomato)"/>
    <x v="4"/>
    <x v="0"/>
    <s v="+"/>
    <n v="2"/>
    <x v="13"/>
  </r>
  <r>
    <s v="ABC transporters - Solanum lycopersicum (tomato)"/>
    <x v="4"/>
    <x v="0"/>
    <s v="+"/>
    <n v="2"/>
    <x v="15"/>
  </r>
  <r>
    <s v="Alkaloids Library"/>
    <x v="4"/>
    <x v="0"/>
    <s v="+"/>
    <n v="3"/>
    <x v="4"/>
  </r>
  <r>
    <s v="Lysine degradation - Solanum lycopersicum (tomato)"/>
    <x v="4"/>
    <x v="0"/>
    <s v="+"/>
    <n v="2"/>
    <x v="6"/>
  </r>
  <r>
    <s v="Citrate cycle (TCA cycle) - Solanum lycopersicum (tomato)"/>
    <x v="4"/>
    <x v="0"/>
    <s v="+"/>
    <n v="2"/>
    <x v="5"/>
  </r>
  <r>
    <s v="Pentose phosphate pathway - Solanum lycopersicum (tomato)"/>
    <x v="4"/>
    <x v="0"/>
    <s v="+"/>
    <n v="1"/>
    <x v="2"/>
  </r>
  <r>
    <s v="Fructose and mannose metabolism - Solanum lycopersicum (tomato)"/>
    <x v="4"/>
    <x v="0"/>
    <s v="+"/>
    <n v="1"/>
    <x v="2"/>
  </r>
  <r>
    <s v="Galactose metabolism - Solanum lycopersicum (tomato)"/>
    <x v="4"/>
    <x v="0"/>
    <s v="+"/>
    <n v="1"/>
    <x v="2"/>
  </r>
  <r>
    <s v="Cysteine and methionine metabolism - Solanum lycopersicum (tomato)"/>
    <x v="4"/>
    <x v="0"/>
    <s v="+"/>
    <n v="1"/>
    <x v="6"/>
  </r>
  <r>
    <s v="Lysine biosynthesis - Solanum lycopersicum (tomato)"/>
    <x v="4"/>
    <x v="0"/>
    <s v="+"/>
    <n v="1"/>
    <x v="6"/>
  </r>
  <r>
    <s v="Arginine and proline metabolism - Solanum lycopersicum (tomato)"/>
    <x v="4"/>
    <x v="0"/>
    <s v="+"/>
    <n v="4"/>
    <x v="6"/>
  </r>
  <r>
    <s v="Histidine metabolism - Solanum lycopersicum (tomato)"/>
    <x v="4"/>
    <x v="0"/>
    <s v="+"/>
    <n v="1"/>
    <x v="6"/>
  </r>
  <r>
    <s v="Phenylalanine metabolism - Solanum lycopersicum (tomato)"/>
    <x v="4"/>
    <x v="0"/>
    <s v="+"/>
    <n v="2"/>
    <x v="6"/>
  </r>
  <r>
    <s v="Glycerolipid metabolism - Solanum lycopersicum (tomato)"/>
    <x v="4"/>
    <x v="0"/>
    <s v="+"/>
    <n v="1"/>
    <x v="7"/>
  </r>
  <r>
    <s v="alpha-Linolenic acid metabolism - Solanum lycopersicum (tomato)"/>
    <x v="4"/>
    <x v="0"/>
    <s v="+"/>
    <n v="1"/>
    <x v="7"/>
  </r>
  <r>
    <s v="Pyruvate metabolism - Solanum lycopersicum (tomato)"/>
    <x v="4"/>
    <x v="0"/>
    <s v="+"/>
    <n v="2"/>
    <x v="2"/>
  </r>
  <r>
    <s v="Glyoxylate and dicarboxylate metabolism - Solanum lycopersicum (tomato)"/>
    <x v="4"/>
    <x v="0"/>
    <s v="+"/>
    <n v="2"/>
    <x v="2"/>
  </r>
  <r>
    <s v="Butanoate metabolism - Solanum lycopersicum (tomato)"/>
    <x v="4"/>
    <x v="0"/>
    <s v="+"/>
    <n v="2"/>
    <x v="2"/>
  </r>
  <r>
    <s v="Carbon fixation in photosynthetic organisms - Solanum lycopersicum (tomato)"/>
    <x v="4"/>
    <x v="0"/>
    <s v="+"/>
    <n v="2"/>
    <x v="5"/>
  </r>
  <r>
    <s v="Thiamine metabolism - Solanum lycopersicum (tomato)"/>
    <x v="4"/>
    <x v="0"/>
    <s v="+"/>
    <n v="1"/>
    <x v="9"/>
  </r>
  <r>
    <s v="Folate biosynthesis - Solanum lycopersicum (tomato)"/>
    <x v="4"/>
    <x v="0"/>
    <s v="+"/>
    <n v="1"/>
    <x v="9"/>
  </r>
  <r>
    <s v="Porphyrin and chlorophyll metabolism - Solanum lycopersicum (tomato)"/>
    <x v="4"/>
    <x v="0"/>
    <s v="+"/>
    <n v="1"/>
    <x v="9"/>
  </r>
  <r>
    <s v="Diterpenoid biosynthesis - Solanum lycopersicum (tomato)"/>
    <x v="4"/>
    <x v="0"/>
    <s v="+"/>
    <n v="1"/>
    <x v="10"/>
  </r>
  <r>
    <s v="Isoquinoline alkaloid biosynthesis - Solanum lycopersicum (tomato)"/>
    <x v="4"/>
    <x v="0"/>
    <s v="+"/>
    <n v="2"/>
    <x v="4"/>
  </r>
  <r>
    <s v="Tropane; piperidine and pyridine alkaloid biosynthesis - Solanum lycopersicum (tomato)"/>
    <x v="4"/>
    <x v="0"/>
    <s v="+"/>
    <n v="1"/>
    <x v="4"/>
  </r>
  <r>
    <s v="Aminoacyl-tRNA biosynthesis - Solanum lycopersicum (tomato)"/>
    <x v="4"/>
    <x v="0"/>
    <s v="+"/>
    <n v="1"/>
    <x v="23"/>
  </r>
  <r>
    <s v="Biosynthesis of unsaturated fatty acids - Solanum lycopersicum (tomato)"/>
    <x v="4"/>
    <x v="0"/>
    <s v="+"/>
    <n v="1"/>
    <x v="7"/>
  </r>
  <r>
    <s v="Carbon metabolism - Solanum lycopersicum (tomato)"/>
    <x v="4"/>
    <x v="0"/>
    <s v="+"/>
    <n v="2"/>
    <x v="14"/>
  </r>
  <r>
    <s v="Biosynthesis of amino acids - Solanum lycopersicum (tomato)"/>
    <x v="4"/>
    <x v="0"/>
    <s v="+"/>
    <n v="1"/>
    <x v="6"/>
  </r>
  <r>
    <s v="Amino acids"/>
    <x v="4"/>
    <x v="0"/>
    <s v="+"/>
    <n v="1"/>
    <x v="6"/>
  </r>
  <r>
    <s v="Lignans"/>
    <x v="4"/>
    <x v="0"/>
    <s v="+"/>
    <n v="1"/>
    <x v="16"/>
  </r>
  <r>
    <s v="Phenylpropanoids biosynthesis"/>
    <x v="4"/>
    <x v="0"/>
    <s v="+"/>
    <n v="1"/>
    <x v="16"/>
  </r>
  <r>
    <s v="Pyrimidine metabolism - Solanum lycopersicum (tomato)"/>
    <x v="4"/>
    <x v="1"/>
    <s v="+"/>
    <n v="2"/>
    <x v="0"/>
  </r>
  <r>
    <s v="Glucosinolate biosynthesis - Solanum lycopersicum (tomato)"/>
    <x v="4"/>
    <x v="1"/>
    <s v="+"/>
    <n v="2"/>
    <x v="13"/>
  </r>
  <r>
    <s v="Carbon metabolism - Solanum lycopersicum (tomato)"/>
    <x v="4"/>
    <x v="1"/>
    <s v="+"/>
    <n v="2"/>
    <x v="14"/>
  </r>
  <r>
    <s v="2-Oxocarboxylic acid metabolism - Solanum lycopersicum (tomato)"/>
    <x v="4"/>
    <x v="1"/>
    <s v="+"/>
    <n v="2"/>
    <x v="6"/>
  </r>
  <r>
    <s v="Purine metabolism - Solanum lycopersicum (tomato)"/>
    <x v="4"/>
    <x v="1"/>
    <s v="+"/>
    <n v="1"/>
    <x v="0"/>
  </r>
  <r>
    <s v="Caffeine metabolism - Solanum lycopersicum (tomato)"/>
    <x v="4"/>
    <x v="1"/>
    <s v="+"/>
    <n v="1"/>
    <x v="20"/>
  </r>
  <r>
    <s v="Alanine; aspartate and glutamate metabolism - Solanum lycopersicum (tomato)"/>
    <x v="4"/>
    <x v="1"/>
    <s v="+"/>
    <n v="1"/>
    <x v="6"/>
  </r>
  <r>
    <s v="Lysine degradation - Solanum lycopersicum (tomato)"/>
    <x v="4"/>
    <x v="1"/>
    <s v="+"/>
    <n v="1"/>
    <x v="6"/>
  </r>
  <r>
    <s v="Arginine and proline metabolism - Solanum lycopersicum (tomato)"/>
    <x v="4"/>
    <x v="1"/>
    <s v="+"/>
    <n v="1"/>
    <x v="6"/>
  </r>
  <r>
    <s v="alpha-Linolenic acid metabolism - Solanum lycopersicum (tomato)"/>
    <x v="4"/>
    <x v="1"/>
    <s v="+"/>
    <n v="1"/>
    <x v="7"/>
  </r>
  <r>
    <s v="Carbon fixation in photosynthetic organisms - Solanum lycopersicum (tomato)"/>
    <x v="4"/>
    <x v="1"/>
    <s v="+"/>
    <n v="1"/>
    <x v="5"/>
  </r>
  <r>
    <s v="Porphyrin and chlorophyll metabolism - Solanum lycopersicum (tomato)"/>
    <x v="4"/>
    <x v="1"/>
    <s v="+"/>
    <n v="1"/>
    <x v="9"/>
  </r>
  <r>
    <s v="Isoquinoline alkaloid biosynthesis - Solanum lycopersicum (tomato)"/>
    <x v="4"/>
    <x v="1"/>
    <s v="+"/>
    <n v="1"/>
    <x v="4"/>
  </r>
  <r>
    <s v="Tropane; piperidine and pyridine alkaloid biosynthesis - Solanum lycopersicum (tomato)"/>
    <x v="4"/>
    <x v="1"/>
    <s v="+"/>
    <n v="1"/>
    <x v="4"/>
  </r>
  <r>
    <s v="Secondary metabolism"/>
    <x v="4"/>
    <x v="1"/>
    <s v="+"/>
    <n v="1"/>
    <x v="19"/>
  </r>
  <r>
    <s v="Purine metabolism - Solanum lycopersicum (tomato)"/>
    <x v="5"/>
    <x v="0"/>
    <s v="+"/>
    <n v="1"/>
    <x v="0"/>
  </r>
  <r>
    <s v="Pyrimidine metabolism - Solanum lycopersicum (tomato)"/>
    <x v="5"/>
    <x v="0"/>
    <s v="+"/>
    <n v="1"/>
    <x v="0"/>
  </r>
  <r>
    <s v="Arginine and proline metabolism - Solanum lycopersicum (tomato)"/>
    <x v="5"/>
    <x v="0"/>
    <s v="+"/>
    <n v="2"/>
    <x v="6"/>
  </r>
  <r>
    <s v="Tropane; piperidine and pyridine alkaloid biosynthesis - Solanum lycopersicum (tomato)"/>
    <x v="5"/>
    <x v="0"/>
    <s v="+"/>
    <n v="1"/>
    <x v="4"/>
  </r>
  <r>
    <s v="Glucosinolate biosynthesis - Solanum lycopersicum (tomato)"/>
    <x v="5"/>
    <x v="0"/>
    <s v="+"/>
    <n v="2"/>
    <x v="13"/>
  </r>
  <r>
    <s v="2-Oxocarboxylic acid metabolism - Solanum lycopersicum (tomato)"/>
    <x v="5"/>
    <x v="0"/>
    <s v="+"/>
    <n v="2"/>
    <x v="6"/>
  </r>
  <r>
    <s v="Degradation of aromatic compounds - Solanum lycopersicum (tomato)"/>
    <x v="5"/>
    <x v="0"/>
    <s v="+"/>
    <n v="1"/>
    <x v="18"/>
  </r>
  <r>
    <s v="Biosynthesis of amino acids - Solanum lycopersicum (tomato)"/>
    <x v="5"/>
    <x v="0"/>
    <s v="+"/>
    <n v="2"/>
    <x v="6"/>
  </r>
  <r>
    <s v="Indole derivatives"/>
    <x v="5"/>
    <x v="0"/>
    <s v="+"/>
    <n v="1"/>
    <x v="6"/>
  </r>
  <r>
    <s v="Degradation of aromatic compounds - Solanum lycopersicum (tomato)"/>
    <x v="5"/>
    <x v="1"/>
    <s v="+"/>
    <n v="9"/>
    <x v="18"/>
  </r>
  <r>
    <s v="Biosynthesis of amino acids - Solanum lycopersicum (tomato)"/>
    <x v="5"/>
    <x v="1"/>
    <s v="+"/>
    <n v="5"/>
    <x v="6"/>
  </r>
  <r>
    <s v="Purine metabolism - Solanum lycopersicum (tomato)"/>
    <x v="5"/>
    <x v="1"/>
    <s v="+"/>
    <n v="4"/>
    <x v="0"/>
  </r>
  <r>
    <s v="Lysine biosynthesis - Solanum lycopersicum (tomato)"/>
    <x v="5"/>
    <x v="1"/>
    <s v="+"/>
    <n v="4"/>
    <x v="6"/>
  </r>
  <r>
    <s v="Monoterpenoid biosynthesis - Solanum lycopersicum (tomato)"/>
    <x v="5"/>
    <x v="1"/>
    <s v="+"/>
    <n v="5"/>
    <x v="10"/>
  </r>
  <r>
    <s v="2-Oxocarboxylic acid metabolism - Solanum lycopersicum (tomato)"/>
    <x v="5"/>
    <x v="1"/>
    <s v="+"/>
    <n v="5"/>
    <x v="6"/>
  </r>
  <r>
    <s v="Phenylalanine; tyrosine and tryptophan biosynthesis - Solanum lycopersicum (tomato)"/>
    <x v="5"/>
    <x v="1"/>
    <s v="+"/>
    <n v="3"/>
    <x v="6"/>
  </r>
  <r>
    <s v="Limonene and pinene degradation - Solanum lycopersicum (tomato)"/>
    <x v="5"/>
    <x v="1"/>
    <s v="+"/>
    <n v="3"/>
    <x v="10"/>
  </r>
  <r>
    <s v="Cysteine and methionine metabolism - Solanum lycopersicum (tomato)"/>
    <x v="5"/>
    <x v="1"/>
    <s v="+"/>
    <n v="3"/>
    <x v="6"/>
  </r>
  <r>
    <s v="Arginine and proline metabolism - Solanum lycopersicum (tomato)"/>
    <x v="5"/>
    <x v="1"/>
    <s v="+"/>
    <n v="2"/>
    <x v="6"/>
  </r>
  <r>
    <s v="Histidine metabolism - Solanum lycopersicum (tomato)"/>
    <x v="5"/>
    <x v="1"/>
    <s v="+"/>
    <n v="2"/>
    <x v="6"/>
  </r>
  <r>
    <s v="Tyrosine metabolism - Solanum lycopersicum (tomato)"/>
    <x v="5"/>
    <x v="1"/>
    <s v="+"/>
    <n v="2"/>
    <x v="6"/>
  </r>
  <r>
    <s v="Pantothenate and CoA biosynthesis - Solanum lycopersicum (tomato)"/>
    <x v="5"/>
    <x v="1"/>
    <s v="+"/>
    <n v="2"/>
    <x v="9"/>
  </r>
  <r>
    <s v="ABC transporters - Solanum lycopersicum (tomato)"/>
    <x v="5"/>
    <x v="1"/>
    <s v="+"/>
    <n v="2"/>
    <x v="15"/>
  </r>
  <r>
    <s v="JA biosynthesis"/>
    <x v="5"/>
    <x v="1"/>
    <s v="+"/>
    <n v="2"/>
    <x v="26"/>
  </r>
  <r>
    <s v="Phenylpropanoids biosynthesis"/>
    <x v="5"/>
    <x v="1"/>
    <s v="+"/>
    <n v="2"/>
    <x v="16"/>
  </r>
  <r>
    <s v="Starch and sucrose metabolism - Solanum lycopersicum (tomato)"/>
    <x v="5"/>
    <x v="1"/>
    <s v="+"/>
    <n v="2"/>
    <x v="2"/>
  </r>
  <r>
    <s v="Lignans"/>
    <x v="5"/>
    <x v="1"/>
    <s v="+"/>
    <n v="2"/>
    <x v="16"/>
  </r>
  <r>
    <s v="Fructose and mannose metabolism - Solanum lycopersicum (tomato)"/>
    <x v="5"/>
    <x v="1"/>
    <s v="+"/>
    <n v="1"/>
    <x v="2"/>
  </r>
  <r>
    <s v="Galactose metabolism - Solanum lycopersicum (tomato)"/>
    <x v="5"/>
    <x v="1"/>
    <s v="+"/>
    <n v="2"/>
    <x v="2"/>
  </r>
  <r>
    <s v="Photosynthesis - Solanum lycopersicum (tomato)"/>
    <x v="5"/>
    <x v="1"/>
    <s v="+"/>
    <n v="1"/>
    <x v="11"/>
  </r>
  <r>
    <s v="Pyrimidine metabolism - Solanum lycopersicum (tomato)"/>
    <x v="5"/>
    <x v="1"/>
    <s v="+"/>
    <n v="1"/>
    <x v="0"/>
  </r>
  <r>
    <s v="Glycine; serine and threonine metabolism - Solanum lycopersicum (tomato)"/>
    <x v="5"/>
    <x v="1"/>
    <s v="+"/>
    <n v="1"/>
    <x v="6"/>
  </r>
  <r>
    <s v="Valine; leucine and isoleucine biosynthesis - Solanum lycopersicum (tomato)"/>
    <x v="5"/>
    <x v="1"/>
    <s v="+"/>
    <n v="1"/>
    <x v="6"/>
  </r>
  <r>
    <s v="Lysine degradation - Solanum lycopersicum (tomato)"/>
    <x v="5"/>
    <x v="1"/>
    <s v="+"/>
    <n v="1"/>
    <x v="6"/>
  </r>
  <r>
    <s v="Phenylalanine metabolism - Solanum lycopersicum (tomato)"/>
    <x v="5"/>
    <x v="1"/>
    <s v="+"/>
    <n v="1"/>
    <x v="6"/>
  </r>
  <r>
    <s v="Pyruvate metabolism - Solanum lycopersicum (tomato)"/>
    <x v="5"/>
    <x v="1"/>
    <s v="+"/>
    <n v="1"/>
    <x v="2"/>
  </r>
  <r>
    <s v="Glyoxylate and dicarboxylate metabolism - Solanum lycopersicum (tomato)"/>
    <x v="5"/>
    <x v="1"/>
    <s v="+"/>
    <n v="1"/>
    <x v="2"/>
  </r>
  <r>
    <s v="One carbon pool by folate - Solanum lycopersicum (tomato)"/>
    <x v="5"/>
    <x v="1"/>
    <s v="+"/>
    <n v="1"/>
    <x v="9"/>
  </r>
  <r>
    <s v="Riboflavin metabolism - Solanum lycopersicum (tomato)"/>
    <x v="5"/>
    <x v="1"/>
    <s v="+"/>
    <n v="1"/>
    <x v="8"/>
  </r>
  <r>
    <s v="Nicotinate and nicotinamide metabolism - Solanum lycopersicum (tomato)"/>
    <x v="5"/>
    <x v="1"/>
    <s v="+"/>
    <n v="1"/>
    <x v="9"/>
  </r>
  <r>
    <s v="Biotin metabolism - Solanum lycopersicum (tomato)"/>
    <x v="5"/>
    <x v="1"/>
    <s v="+"/>
    <n v="1"/>
    <x v="9"/>
  </r>
  <r>
    <s v="Terpenoid backbone biosynthesis - Solanum lycopersicum (tomato)"/>
    <x v="5"/>
    <x v="1"/>
    <s v="+"/>
    <n v="1"/>
    <x v="10"/>
  </r>
  <r>
    <s v="Diterpenoid biosynthesis - Solanum lycopersicum (tomato)"/>
    <x v="5"/>
    <x v="1"/>
    <s v="+"/>
    <n v="1"/>
    <x v="10"/>
  </r>
  <r>
    <s v="Carotenoid biosynthesis - Solanum lycopersicum (tomato)"/>
    <x v="5"/>
    <x v="1"/>
    <s v="+"/>
    <n v="1"/>
    <x v="3"/>
  </r>
  <r>
    <s v="Zeatin biosynthesis - Solanum lycopersicum (tomato)"/>
    <x v="5"/>
    <x v="1"/>
    <s v="+"/>
    <n v="2"/>
    <x v="3"/>
  </r>
  <r>
    <s v="Sesquiterpenoid and triterpenoid biosynthesis - Solanum lycopersicum (tomato)"/>
    <x v="5"/>
    <x v="1"/>
    <s v="+"/>
    <n v="1"/>
    <x v="10"/>
  </r>
  <r>
    <s v="Flavonoid biosynthesis - Solanum lycopersicum (tomato)"/>
    <x v="5"/>
    <x v="1"/>
    <s v="+"/>
    <n v="1"/>
    <x v="16"/>
  </r>
  <r>
    <s v="Stilbenoid; diarylheptanoid and gingerol biosynthesis - Solanum lycopersicum (tomato)"/>
    <x v="5"/>
    <x v="1"/>
    <s v="+"/>
    <n v="1"/>
    <x v="22"/>
  </r>
  <r>
    <s v="Isoquinoline alkaloid biosynthesis - Solanum lycopersicum (tomato)"/>
    <x v="5"/>
    <x v="1"/>
    <s v="+"/>
    <n v="1"/>
    <x v="4"/>
  </r>
  <r>
    <s v="Tropane; piperidine and pyridine alkaloid biosynthesis - Solanum lycopersicum (tomato)"/>
    <x v="5"/>
    <x v="1"/>
    <s v="+"/>
    <n v="1"/>
    <x v="4"/>
  </r>
  <r>
    <s v="Glucosinolate biosynthesis - Solanum lycopersicum (tomato)"/>
    <x v="5"/>
    <x v="1"/>
    <s v="+"/>
    <n v="2"/>
    <x v="13"/>
  </r>
  <r>
    <s v="Aminoacyl-tRNA biosynthesis - Solanum lycopersicum (tomato)"/>
    <x v="5"/>
    <x v="1"/>
    <s v="+"/>
    <n v="1"/>
    <x v="23"/>
  </r>
  <r>
    <s v="Amino acids"/>
    <x v="5"/>
    <x v="1"/>
    <s v="+"/>
    <n v="1"/>
    <x v="6"/>
  </r>
  <r>
    <s v="Alkaloids Library"/>
    <x v="5"/>
    <x v="1"/>
    <s v="+"/>
    <n v="4"/>
    <x v="4"/>
  </r>
  <r>
    <s v="Diconiferyle"/>
    <x v="5"/>
    <x v="1"/>
    <s v="+"/>
    <n v="1"/>
    <x v="28"/>
  </r>
  <r>
    <s v="Primary metabolism"/>
    <x v="5"/>
    <x v="1"/>
    <s v="+"/>
    <n v="2"/>
    <x v="17"/>
  </r>
  <r>
    <s v="Secondary metabolism"/>
    <x v="5"/>
    <x v="1"/>
    <s v="+"/>
    <n v="1"/>
    <x v="19"/>
  </r>
  <r>
    <s v="alpha-Linolenic acid metabolism - Solanum lycopersicum (tomato)"/>
    <x v="5"/>
    <x v="1"/>
    <s v="+"/>
    <n v="1"/>
    <x v="7"/>
  </r>
  <r>
    <s v="Degradation of aromatic compounds - Solanum lycopersicum (tomato)"/>
    <x v="6"/>
    <x v="0"/>
    <s v="+"/>
    <n v="7"/>
    <x v="18"/>
  </r>
  <r>
    <s v="2-Oxocarboxylic acid metabolism - Solanum lycopersicum (tomato)"/>
    <x v="6"/>
    <x v="0"/>
    <s v="+"/>
    <n v="12"/>
    <x v="6"/>
  </r>
  <r>
    <s v="Glycine; serine and threonine metabolism - Solanum lycopersicum (tomato)"/>
    <x v="6"/>
    <x v="0"/>
    <s v="+"/>
    <n v="5"/>
    <x v="6"/>
  </r>
  <r>
    <s v="Biosynthesis of amino acids - Solanum lycopersicum (tomato)"/>
    <x v="6"/>
    <x v="0"/>
    <s v="+"/>
    <n v="5"/>
    <x v="6"/>
  </r>
  <r>
    <s v="Cysteine and methionine metabolism - Solanum lycopersicum (tomato)"/>
    <x v="6"/>
    <x v="0"/>
    <s v="+"/>
    <n v="4"/>
    <x v="6"/>
  </r>
  <r>
    <s v="Glyoxylate and dicarboxylate metabolism - Solanum lycopersicum (tomato)"/>
    <x v="6"/>
    <x v="0"/>
    <s v="+"/>
    <n v="3"/>
    <x v="2"/>
  </r>
  <r>
    <s v="Pantothenate and CoA biosynthesis - Solanum lycopersicum (tomato)"/>
    <x v="6"/>
    <x v="0"/>
    <s v="+"/>
    <n v="4"/>
    <x v="9"/>
  </r>
  <r>
    <s v="Glucosinolate biosynthesis - Solanum lycopersicum (tomato)"/>
    <x v="6"/>
    <x v="0"/>
    <s v="+"/>
    <n v="5"/>
    <x v="13"/>
  </r>
  <r>
    <s v="Citrate cycle (TCA cycle) - Solanum lycopersicum (tomato)"/>
    <x v="6"/>
    <x v="0"/>
    <s v="+"/>
    <n v="2"/>
    <x v="5"/>
  </r>
  <r>
    <s v="Pyrimidine metabolism - Solanum lycopersicum (tomato)"/>
    <x v="6"/>
    <x v="0"/>
    <s v="+"/>
    <n v="2"/>
    <x v="0"/>
  </r>
  <r>
    <s v="Lysine biosynthesis - Solanum lycopersicum (tomato)"/>
    <x v="6"/>
    <x v="0"/>
    <s v="+"/>
    <n v="2"/>
    <x v="6"/>
  </r>
  <r>
    <s v="Arginine and proline metabolism - Solanum lycopersicum (tomato)"/>
    <x v="6"/>
    <x v="0"/>
    <s v="+"/>
    <n v="2"/>
    <x v="6"/>
  </r>
  <r>
    <s v="Pyruvate metabolism - Solanum lycopersicum (tomato)"/>
    <x v="6"/>
    <x v="0"/>
    <s v="+"/>
    <n v="2"/>
    <x v="2"/>
  </r>
  <r>
    <s v="Phenylpropanoid biosynthesis - Solanum lycopersicum (tomato)"/>
    <x v="6"/>
    <x v="0"/>
    <s v="+"/>
    <n v="3"/>
    <x v="12"/>
  </r>
  <r>
    <s v="Isoquinoline alkaloid biosynthesis - Solanum lycopersicum (tomato)"/>
    <x v="6"/>
    <x v="0"/>
    <s v="+"/>
    <n v="2"/>
    <x v="4"/>
  </r>
  <r>
    <s v="Carbon metabolism - Solanum lycopersicum (tomato)"/>
    <x v="6"/>
    <x v="0"/>
    <s v="+"/>
    <n v="2"/>
    <x v="14"/>
  </r>
  <r>
    <s v="Lignans"/>
    <x v="6"/>
    <x v="0"/>
    <s v="+"/>
    <n v="3"/>
    <x v="16"/>
  </r>
  <r>
    <s v="Secondary metabolism"/>
    <x v="6"/>
    <x v="0"/>
    <s v="+"/>
    <n v="2"/>
    <x v="19"/>
  </r>
  <r>
    <s v="Ascorbate and aldarate metabolism - Solanum lycopersicum (tomato)"/>
    <x v="6"/>
    <x v="0"/>
    <s v="+"/>
    <n v="2"/>
    <x v="2"/>
  </r>
  <r>
    <s v="Valine; leucine and isoleucine biosynthesis - Solanum lycopersicum (tomato)"/>
    <x v="6"/>
    <x v="0"/>
    <s v="+"/>
    <n v="7"/>
    <x v="6"/>
  </r>
  <r>
    <s v="Tyrosine metabolism - Solanum lycopersicum (tomato)"/>
    <x v="6"/>
    <x v="0"/>
    <s v="+"/>
    <n v="2"/>
    <x v="6"/>
  </r>
  <r>
    <s v="Pentose and glucuronate interconversions - Solanum lycopersicum (tomato)"/>
    <x v="6"/>
    <x v="0"/>
    <s v="+"/>
    <n v="2"/>
    <x v="2"/>
  </r>
  <r>
    <s v="Fructose and mannose metabolism - Solanum lycopersicum (tomato)"/>
    <x v="6"/>
    <x v="0"/>
    <s v="+"/>
    <n v="1"/>
    <x v="2"/>
  </r>
  <r>
    <s v="Purine metabolism - Solanum lycopersicum (tomato)"/>
    <x v="6"/>
    <x v="0"/>
    <s v="+"/>
    <n v="1"/>
    <x v="0"/>
  </r>
  <r>
    <s v="Alanine; aspartate and glutamate metabolism - Solanum lycopersicum (tomato)"/>
    <x v="6"/>
    <x v="0"/>
    <s v="+"/>
    <n v="1"/>
    <x v="6"/>
  </r>
  <r>
    <s v="Valine; leucine and isoleucine degradation - Solanum lycopersicum (tomato)"/>
    <x v="6"/>
    <x v="0"/>
    <s v="+"/>
    <n v="2"/>
    <x v="6"/>
  </r>
  <r>
    <s v="Lysine degradation - Solanum lycopersicum (tomato)"/>
    <x v="6"/>
    <x v="0"/>
    <s v="+"/>
    <n v="2"/>
    <x v="6"/>
  </r>
  <r>
    <s v="Phenylalanine metabolism - Solanum lycopersicum (tomato)"/>
    <x v="6"/>
    <x v="0"/>
    <s v="+"/>
    <n v="1"/>
    <x v="6"/>
  </r>
  <r>
    <s v="Tryptophan metabolism - Solanum lycopersicum (tomato)"/>
    <x v="6"/>
    <x v="0"/>
    <s v="+"/>
    <n v="1"/>
    <x v="6"/>
  </r>
  <r>
    <s v="Taurine and hypotaurine metabolism - Solanum lycopersicum (tomato)"/>
    <x v="6"/>
    <x v="0"/>
    <s v="+"/>
    <n v="1"/>
    <x v="6"/>
  </r>
  <r>
    <s v="Glycerophospholipid metabolism - Solanum lycopersicum (tomato)"/>
    <x v="6"/>
    <x v="0"/>
    <s v="+"/>
    <n v="1"/>
    <x v="7"/>
  </r>
  <r>
    <s v="Arachidonic acid metabolism - Solanum lycopersicum (tomato)"/>
    <x v="6"/>
    <x v="0"/>
    <s v="+"/>
    <n v="1"/>
    <x v="7"/>
  </r>
  <r>
    <s v="Propanoate metabolism - Solanum lycopersicum (tomato)"/>
    <x v="6"/>
    <x v="0"/>
    <s v="+"/>
    <n v="1"/>
    <x v="2"/>
  </r>
  <r>
    <s v="C5-Branched dibasic acid metabolism - Solanum lycopersicum (tomato)"/>
    <x v="6"/>
    <x v="0"/>
    <s v="+"/>
    <n v="1"/>
    <x v="2"/>
  </r>
  <r>
    <s v="Thiamine metabolism - Solanum lycopersicum (tomato)"/>
    <x v="6"/>
    <x v="0"/>
    <s v="+"/>
    <n v="1"/>
    <x v="9"/>
  </r>
  <r>
    <s v="Nicotinate and nicotinamide metabolism - Solanum lycopersicum (tomato)"/>
    <x v="6"/>
    <x v="0"/>
    <s v="+"/>
    <n v="1"/>
    <x v="9"/>
  </r>
  <r>
    <s v="Folate biosynthesis - Solanum lycopersicum (tomato)"/>
    <x v="6"/>
    <x v="0"/>
    <s v="+"/>
    <n v="1"/>
    <x v="9"/>
  </r>
  <r>
    <s v="Terpenoid backbone biosynthesis - Solanum lycopersicum (tomato)"/>
    <x v="6"/>
    <x v="0"/>
    <s v="+"/>
    <n v="1"/>
    <x v="10"/>
  </r>
  <r>
    <s v="Sesquiterpenoid and triterpenoid biosynthesis - Solanum lycopersicum (tomato)"/>
    <x v="6"/>
    <x v="0"/>
    <s v="+"/>
    <n v="1"/>
    <x v="10"/>
  </r>
  <r>
    <s v="Tropane; piperidine and pyridine alkaloid biosynthesis - Solanum lycopersicum (tomato)"/>
    <x v="6"/>
    <x v="0"/>
    <s v="+"/>
    <n v="1"/>
    <x v="4"/>
  </r>
  <r>
    <s v="Flavonoids"/>
    <x v="6"/>
    <x v="0"/>
    <s v="+"/>
    <n v="2"/>
    <x v="16"/>
  </r>
  <r>
    <s v="Primary metabolism"/>
    <x v="6"/>
    <x v="0"/>
    <s v="+"/>
    <n v="1"/>
    <x v="17"/>
  </r>
  <r>
    <s v="Arachidonic acid metabolism - Solanum lycopersicum (tomato)"/>
    <x v="6"/>
    <x v="1"/>
    <s v="+"/>
    <n v="3"/>
    <x v="7"/>
  </r>
  <r>
    <s v="Cutin; suberine and wax biosynthesis - Solanum lycopersicum (tomato)"/>
    <x v="6"/>
    <x v="1"/>
    <s v="+"/>
    <n v="2"/>
    <x v="7"/>
  </r>
  <r>
    <s v="alpha-Linolenic acid metabolism - Solanum lycopersicum (tomato)"/>
    <x v="6"/>
    <x v="1"/>
    <s v="+"/>
    <n v="2"/>
    <x v="7"/>
  </r>
  <r>
    <s v="2-Oxocarboxylic acid metabolism - Solanum lycopersicum (tomato)"/>
    <x v="6"/>
    <x v="1"/>
    <s v="+"/>
    <n v="2"/>
    <x v="6"/>
  </r>
  <r>
    <s v="Degradation of aromatic compounds - Solanum lycopersicum (tomato)"/>
    <x v="6"/>
    <x v="1"/>
    <s v="+"/>
    <n v="2"/>
    <x v="18"/>
  </r>
  <r>
    <s v="Fatty acid biosynthesis - Solanum lycopersicum (tomato)"/>
    <x v="6"/>
    <x v="1"/>
    <s v="+"/>
    <n v="1"/>
    <x v="7"/>
  </r>
  <r>
    <s v="Photosynthesis - Solanum lycopersicum (tomato)"/>
    <x v="6"/>
    <x v="1"/>
    <s v="+"/>
    <n v="1"/>
    <x v="11"/>
  </r>
  <r>
    <s v="Valine; leucine and isoleucine degradation - Solanum lycopersicum (tomato)"/>
    <x v="6"/>
    <x v="1"/>
    <s v="+"/>
    <n v="1"/>
    <x v="6"/>
  </r>
  <r>
    <s v="Arginine and proline metabolism - Solanum lycopersicum (tomato)"/>
    <x v="6"/>
    <x v="1"/>
    <s v="+"/>
    <n v="1"/>
    <x v="6"/>
  </r>
  <r>
    <s v="Phenylalanine metabolism - Solanum lycopersicum (tomato)"/>
    <x v="6"/>
    <x v="1"/>
    <s v="+"/>
    <n v="1"/>
    <x v="6"/>
  </r>
  <r>
    <s v="Nicotinate and nicotinamide metabolism - Solanum lycopersicum (tomato)"/>
    <x v="6"/>
    <x v="1"/>
    <s v="+"/>
    <n v="1"/>
    <x v="9"/>
  </r>
  <r>
    <s v="Porphyrin and chlorophyll metabolism - Solanum lycopersicum (tomato)"/>
    <x v="6"/>
    <x v="1"/>
    <s v="+"/>
    <n v="1"/>
    <x v="9"/>
  </r>
  <r>
    <s v="Limonene and pinene degradation - Solanum lycopersicum (tomato)"/>
    <x v="6"/>
    <x v="1"/>
    <s v="+"/>
    <n v="1"/>
    <x v="10"/>
  </r>
  <r>
    <s v="Diterpenoid biosynthesis - Solanum lycopersicum (tomato)"/>
    <x v="6"/>
    <x v="1"/>
    <s v="+"/>
    <n v="1"/>
    <x v="10"/>
  </r>
  <r>
    <s v="Carotenoid biosynthesis - Solanum lycopersicum (tomato)"/>
    <x v="6"/>
    <x v="1"/>
    <s v="+"/>
    <n v="1"/>
    <x v="3"/>
  </r>
  <r>
    <s v="Flavonoid biosynthesis - Solanum lycopersicum (tomato)"/>
    <x v="6"/>
    <x v="1"/>
    <s v="+"/>
    <n v="1"/>
    <x v="16"/>
  </r>
  <r>
    <s v="ABC transporters - Solanum lycopersicum (tomato)"/>
    <x v="6"/>
    <x v="1"/>
    <s v="+"/>
    <n v="1"/>
    <x v="15"/>
  </r>
  <r>
    <s v="Plant hormone signal transduction - Solanum lycopersicum (tomato)"/>
    <x v="6"/>
    <x v="1"/>
    <s v="+"/>
    <n v="1"/>
    <x v="21"/>
  </r>
  <r>
    <s v="Abscisic Acid"/>
    <x v="6"/>
    <x v="1"/>
    <s v="+"/>
    <n v="1"/>
    <x v="30"/>
  </r>
  <r>
    <s v="Alkaloids Library"/>
    <x v="6"/>
    <x v="1"/>
    <s v="+"/>
    <n v="1"/>
    <x v="4"/>
  </r>
  <r>
    <s v="Diconiferyle"/>
    <x v="6"/>
    <x v="1"/>
    <s v="+"/>
    <n v="1"/>
    <x v="28"/>
  </r>
  <r>
    <s v="Monoterpenoid biosynthesis - Solanum lycopersicum (tomato)"/>
    <x v="6"/>
    <x v="1"/>
    <s v="+"/>
    <n v="1"/>
    <x v="10"/>
  </r>
  <r>
    <s v="2-Oxocarboxylic acid metabolism - Solanum lycopersicum (tomato)"/>
    <x v="7"/>
    <x v="0"/>
    <s v="+"/>
    <n v="6"/>
    <x v="6"/>
  </r>
  <r>
    <s v="Tyrosine metabolism - Solanum lycopersicum (tomato)"/>
    <x v="7"/>
    <x v="0"/>
    <s v="+"/>
    <n v="3"/>
    <x v="6"/>
  </r>
  <r>
    <s v="Valine; leucine and isoleucine biosynthesis - Solanum lycopersicum (tomato)"/>
    <x v="7"/>
    <x v="0"/>
    <s v="+"/>
    <n v="5"/>
    <x v="6"/>
  </r>
  <r>
    <s v="Phenylalanine metabolism - Solanum lycopersicum (tomato)"/>
    <x v="7"/>
    <x v="0"/>
    <s v="+"/>
    <n v="3"/>
    <x v="6"/>
  </r>
  <r>
    <s v="Glucosinolate biosynthesis - Solanum lycopersicum (tomato)"/>
    <x v="7"/>
    <x v="0"/>
    <s v="+"/>
    <n v="3"/>
    <x v="13"/>
  </r>
  <r>
    <s v="Degradation of aromatic compounds - Solanum lycopersicum (tomato)"/>
    <x v="7"/>
    <x v="0"/>
    <s v="+"/>
    <n v="3"/>
    <x v="18"/>
  </r>
  <r>
    <s v="Secondary metabolism"/>
    <x v="7"/>
    <x v="0"/>
    <s v="+"/>
    <n v="3"/>
    <x v="19"/>
  </r>
  <r>
    <s v="Galactose metabolism - Solanum lycopersicum (tomato)"/>
    <x v="7"/>
    <x v="0"/>
    <s v="+"/>
    <n v="2"/>
    <x v="2"/>
  </r>
  <r>
    <s v="Ubiquinone and other terpenoid-quinone biosynthesis - Solanum lycopersicum (tomato)"/>
    <x v="7"/>
    <x v="0"/>
    <s v="+"/>
    <n v="2"/>
    <x v="9"/>
  </r>
  <r>
    <s v="Tryptophan metabolism - Solanum lycopersicum (tomato)"/>
    <x v="7"/>
    <x v="0"/>
    <s v="+"/>
    <n v="2"/>
    <x v="6"/>
  </r>
  <r>
    <s v="Glycerophospholipid metabolism - Solanum lycopersicum (tomato)"/>
    <x v="7"/>
    <x v="0"/>
    <s v="+"/>
    <n v="2"/>
    <x v="7"/>
  </r>
  <r>
    <s v="Folate biosynthesis - Solanum lycopersicum (tomato)"/>
    <x v="7"/>
    <x v="0"/>
    <s v="+"/>
    <n v="3"/>
    <x v="9"/>
  </r>
  <r>
    <s v="Terpenoid backbone biosynthesis - Solanum lycopersicum (tomato)"/>
    <x v="7"/>
    <x v="0"/>
    <s v="+"/>
    <n v="2"/>
    <x v="10"/>
  </r>
  <r>
    <s v="Biosynthesis of amino acids - Solanum lycopersicum (tomato)"/>
    <x v="7"/>
    <x v="0"/>
    <s v="+"/>
    <n v="2"/>
    <x v="6"/>
  </r>
  <r>
    <s v="Glycine; serine and threonine metabolism - Solanum lycopersicum (tomato)"/>
    <x v="7"/>
    <x v="0"/>
    <s v="+"/>
    <n v="2"/>
    <x v="6"/>
  </r>
  <r>
    <s v="Steroid biosynthesis - Solanum lycopersicum (tomato)"/>
    <x v="7"/>
    <x v="0"/>
    <s v="+"/>
    <n v="1"/>
    <x v="7"/>
  </r>
  <r>
    <s v="Purine metabolism - Solanum lycopersicum (tomato)"/>
    <x v="7"/>
    <x v="0"/>
    <s v="+"/>
    <n v="1"/>
    <x v="0"/>
  </r>
  <r>
    <s v="Pyrimidine metabolism - Solanum lycopersicum (tomato)"/>
    <x v="7"/>
    <x v="0"/>
    <s v="+"/>
    <n v="1"/>
    <x v="0"/>
  </r>
  <r>
    <s v="Alanine; aspartate and glutamate metabolism - Solanum lycopersicum (tomato)"/>
    <x v="7"/>
    <x v="0"/>
    <s v="+"/>
    <n v="1"/>
    <x v="6"/>
  </r>
  <r>
    <s v="Cysteine and methionine metabolism - Solanum lycopersicum (tomato)"/>
    <x v="7"/>
    <x v="0"/>
    <s v="+"/>
    <n v="1"/>
    <x v="6"/>
  </r>
  <r>
    <s v="Valine; leucine and isoleucine degradation - Solanum lycopersicum (tomato)"/>
    <x v="7"/>
    <x v="0"/>
    <s v="+"/>
    <n v="1"/>
    <x v="6"/>
  </r>
  <r>
    <s v="Lysine biosynthesis - Solanum lycopersicum (tomato)"/>
    <x v="7"/>
    <x v="0"/>
    <s v="+"/>
    <n v="1"/>
    <x v="6"/>
  </r>
  <r>
    <s v="Lysine degradation - Solanum lycopersicum (tomato)"/>
    <x v="7"/>
    <x v="0"/>
    <s v="+"/>
    <n v="1"/>
    <x v="6"/>
  </r>
  <r>
    <s v="Histidine metabolism - Solanum lycopersicum (tomato)"/>
    <x v="7"/>
    <x v="0"/>
    <s v="+"/>
    <n v="1"/>
    <x v="6"/>
  </r>
  <r>
    <s v="Glutathione metabolism - Solanum lycopersicum (tomato)"/>
    <x v="7"/>
    <x v="0"/>
    <s v="+"/>
    <n v="1"/>
    <x v="6"/>
  </r>
  <r>
    <s v="Starch and sucrose metabolism - Solanum lycopersicum (tomato)"/>
    <x v="7"/>
    <x v="0"/>
    <s v="+"/>
    <n v="1"/>
    <x v="2"/>
  </r>
  <r>
    <s v="Amino sugar and nucleotide sugar metabolism - Solanum lycopersicum (tomato)"/>
    <x v="7"/>
    <x v="0"/>
    <s v="+"/>
    <n v="1"/>
    <x v="1"/>
  </r>
  <r>
    <s v="Ether lipid metabolism - Solanum lycopersicum (tomato)"/>
    <x v="7"/>
    <x v="0"/>
    <s v="+"/>
    <n v="1"/>
    <x v="7"/>
  </r>
  <r>
    <s v="Pantothenate and CoA biosynthesis - Solanum lycopersicum (tomato)"/>
    <x v="7"/>
    <x v="0"/>
    <s v="+"/>
    <n v="1"/>
    <x v="9"/>
  </r>
  <r>
    <s v="Porphyrin and chlorophyll metabolism - Solanum lycopersicum (tomato)"/>
    <x v="7"/>
    <x v="0"/>
    <s v="+"/>
    <n v="1"/>
    <x v="9"/>
  </r>
  <r>
    <s v="Carotenoid biosynthesis - Solanum lycopersicum (tomato)"/>
    <x v="7"/>
    <x v="0"/>
    <s v="+"/>
    <n v="1"/>
    <x v="3"/>
  </r>
  <r>
    <s v="Sesquiterpenoid and triterpenoid biosynthesis - Solanum lycopersicum (tomato)"/>
    <x v="7"/>
    <x v="0"/>
    <s v="+"/>
    <n v="1"/>
    <x v="10"/>
  </r>
  <r>
    <s v="Sulfur metabolism - Solanum lycopersicum (tomato)"/>
    <x v="7"/>
    <x v="0"/>
    <s v="+"/>
    <n v="1"/>
    <x v="11"/>
  </r>
  <r>
    <s v="Phenylpropanoid biosynthesis - Solanum lycopersicum (tomato)"/>
    <x v="7"/>
    <x v="0"/>
    <s v="+"/>
    <n v="1"/>
    <x v="12"/>
  </r>
  <r>
    <s v="Isoquinoline alkaloid biosynthesis - Solanum lycopersicum (tomato)"/>
    <x v="7"/>
    <x v="0"/>
    <s v="+"/>
    <n v="1"/>
    <x v="4"/>
  </r>
  <r>
    <s v="Aminoacyl-tRNA biosynthesis - Solanum lycopersicum (tomato)"/>
    <x v="7"/>
    <x v="0"/>
    <s v="+"/>
    <n v="1"/>
    <x v="23"/>
  </r>
  <r>
    <s v="ABC transporters - Solanum lycopersicum (tomato)"/>
    <x v="7"/>
    <x v="0"/>
    <s v="+"/>
    <n v="1"/>
    <x v="15"/>
  </r>
  <r>
    <s v="Amino acids"/>
    <x v="7"/>
    <x v="0"/>
    <s v="+"/>
    <n v="1"/>
    <x v="6"/>
  </r>
  <r>
    <s v="Lignans"/>
    <x v="7"/>
    <x v="0"/>
    <s v="+"/>
    <n v="1"/>
    <x v="16"/>
  </r>
  <r>
    <s v="Phenylpropanoids biosynthesis"/>
    <x v="7"/>
    <x v="0"/>
    <s v="+"/>
    <n v="1"/>
    <x v="16"/>
  </r>
  <r>
    <s v="Purine metabolism - Solanum lycopersicum (tomato)"/>
    <x v="7"/>
    <x v="1"/>
    <s v="+"/>
    <n v="5"/>
    <x v="0"/>
  </r>
  <r>
    <s v="2-Oxocarboxylic acid metabolism - Solanum lycopersicum (tomato)"/>
    <x v="7"/>
    <x v="1"/>
    <s v="+"/>
    <n v="6"/>
    <x v="6"/>
  </r>
  <r>
    <s v="Glucosinolate biosynthesis - Solanum lycopersicum (tomato)"/>
    <x v="7"/>
    <x v="1"/>
    <s v="+"/>
    <n v="5"/>
    <x v="13"/>
  </r>
  <r>
    <s v="Degradation of aromatic compounds - Solanum lycopersicum (tomato)"/>
    <x v="7"/>
    <x v="1"/>
    <s v="+"/>
    <n v="3"/>
    <x v="18"/>
  </r>
  <r>
    <s v="Alkaloids Library"/>
    <x v="7"/>
    <x v="1"/>
    <s v="+"/>
    <n v="3"/>
    <x v="4"/>
  </r>
  <r>
    <s v="Pyrimidine metabolism - Solanum lycopersicum (tomato)"/>
    <x v="7"/>
    <x v="1"/>
    <s v="+"/>
    <n v="2"/>
    <x v="0"/>
  </r>
  <r>
    <s v="Lysine degradation - Solanum lycopersicum (tomato)"/>
    <x v="7"/>
    <x v="1"/>
    <s v="+"/>
    <n v="2"/>
    <x v="6"/>
  </r>
  <r>
    <s v="Arginine and proline metabolism - Solanum lycopersicum (tomato)"/>
    <x v="7"/>
    <x v="1"/>
    <s v="+"/>
    <n v="3"/>
    <x v="6"/>
  </r>
  <r>
    <s v="Phenylalanine metabolism - Solanum lycopersicum (tomato)"/>
    <x v="7"/>
    <x v="1"/>
    <s v="+"/>
    <n v="2"/>
    <x v="6"/>
  </r>
  <r>
    <s v="Vitamin B6 metabolism - Solanum lycopersicum (tomato)"/>
    <x v="7"/>
    <x v="1"/>
    <s v="+"/>
    <n v="2"/>
    <x v="9"/>
  </r>
  <r>
    <s v="Folate biosynthesis - Solanum lycopersicum (tomato)"/>
    <x v="7"/>
    <x v="1"/>
    <s v="+"/>
    <n v="2"/>
    <x v="9"/>
  </r>
  <r>
    <s v="Tropane; piperidine and pyridine alkaloid biosynthesis - Solanum lycopersicum (tomato)"/>
    <x v="7"/>
    <x v="1"/>
    <s v="+"/>
    <n v="3"/>
    <x v="4"/>
  </r>
  <r>
    <s v="Secondary metabolism"/>
    <x v="7"/>
    <x v="1"/>
    <s v="+"/>
    <n v="2"/>
    <x v="19"/>
  </r>
  <r>
    <s v="Ubiquinone and other terpenoid-quinone biosynthesis - Solanum lycopersicum (tomato)"/>
    <x v="7"/>
    <x v="1"/>
    <s v="+"/>
    <n v="1"/>
    <x v="9"/>
  </r>
  <r>
    <s v="Alanine; aspartate and glutamate metabolism - Solanum lycopersicum (tomato)"/>
    <x v="7"/>
    <x v="1"/>
    <s v="+"/>
    <n v="1"/>
    <x v="6"/>
  </r>
  <r>
    <s v="Cysteine and methionine metabolism - Solanum lycopersicum (tomato)"/>
    <x v="7"/>
    <x v="1"/>
    <s v="+"/>
    <n v="1"/>
    <x v="6"/>
  </r>
  <r>
    <s v="Lysine biosynthesis - Solanum lycopersicum (tomato)"/>
    <x v="7"/>
    <x v="1"/>
    <s v="+"/>
    <n v="1"/>
    <x v="6"/>
  </r>
  <r>
    <s v="Histidine metabolism - Solanum lycopersicum (tomato)"/>
    <x v="7"/>
    <x v="1"/>
    <s v="+"/>
    <n v="1"/>
    <x v="6"/>
  </r>
  <r>
    <s v="Tyrosine metabolism - Solanum lycopersicum (tomato)"/>
    <x v="7"/>
    <x v="1"/>
    <s v="+"/>
    <n v="1"/>
    <x v="6"/>
  </r>
  <r>
    <s v="Tryptophan metabolism - Solanum lycopersicum (tomato)"/>
    <x v="7"/>
    <x v="1"/>
    <s v="+"/>
    <n v="3"/>
    <x v="6"/>
  </r>
  <r>
    <s v="Taurine and hypotaurine metabolism - Solanum lycopersicum (tomato)"/>
    <x v="7"/>
    <x v="1"/>
    <s v="+"/>
    <n v="1"/>
    <x v="6"/>
  </r>
  <r>
    <s v="Cyanoamino acid metabolism - Solanum lycopersicum (tomato)"/>
    <x v="7"/>
    <x v="1"/>
    <s v="+"/>
    <n v="1"/>
    <x v="6"/>
  </r>
  <r>
    <s v="Glutathione metabolism - Solanum lycopersicum (tomato)"/>
    <x v="7"/>
    <x v="1"/>
    <s v="+"/>
    <n v="1"/>
    <x v="6"/>
  </r>
  <r>
    <s v="Nicotinate and nicotinamide metabolism - Solanum lycopersicum (tomato)"/>
    <x v="7"/>
    <x v="1"/>
    <s v="+"/>
    <n v="1"/>
    <x v="9"/>
  </r>
  <r>
    <s v="Biotin metabolism - Solanum lycopersicum (tomato)"/>
    <x v="7"/>
    <x v="1"/>
    <s v="+"/>
    <n v="1"/>
    <x v="9"/>
  </r>
  <r>
    <s v="Diterpenoid biosynthesis - Solanum lycopersicum (tomato)"/>
    <x v="7"/>
    <x v="1"/>
    <s v="+"/>
    <n v="1"/>
    <x v="10"/>
  </r>
  <r>
    <s v="Zeatin biosynthesis - Solanum lycopersicum (tomato)"/>
    <x v="7"/>
    <x v="1"/>
    <s v="+"/>
    <n v="1"/>
    <x v="3"/>
  </r>
  <r>
    <s v="Phenylpropanoid biosynthesis - Solanum lycopersicum (tomato)"/>
    <x v="7"/>
    <x v="1"/>
    <s v="+"/>
    <n v="1"/>
    <x v="12"/>
  </r>
  <r>
    <s v="Flavonoid biosynthesis - Solanum lycopersicum (tomato)"/>
    <x v="7"/>
    <x v="1"/>
    <s v="+"/>
    <n v="1"/>
    <x v="16"/>
  </r>
  <r>
    <s v="Stilbenoid; diarylheptanoid and gingerol biosynthesis - Solanum lycopersicum (tomato)"/>
    <x v="7"/>
    <x v="1"/>
    <s v="+"/>
    <n v="1"/>
    <x v="22"/>
  </r>
  <r>
    <s v="Aminoacyl-tRNA biosynthesis - Solanum lycopersicum (tomato)"/>
    <x v="7"/>
    <x v="1"/>
    <s v="+"/>
    <n v="1"/>
    <x v="23"/>
  </r>
  <r>
    <s v="Biosynthesis of unsaturated fatty acids - Solanum lycopersicum (tomato)"/>
    <x v="7"/>
    <x v="1"/>
    <s v="+"/>
    <n v="1"/>
    <x v="7"/>
  </r>
  <r>
    <s v="Carbon metabolism - Solanum lycopersicum (tomato)"/>
    <x v="7"/>
    <x v="1"/>
    <s v="+"/>
    <n v="1"/>
    <x v="14"/>
  </r>
  <r>
    <s v="Biosynthesis of amino acids - Solanum lycopersicum (tomato)"/>
    <x v="7"/>
    <x v="1"/>
    <s v="+"/>
    <n v="1"/>
    <x v="6"/>
  </r>
  <r>
    <s v="ABC transporters - Solanum lycopersicum (tomato)"/>
    <x v="7"/>
    <x v="1"/>
    <s v="+"/>
    <n v="1"/>
    <x v="15"/>
  </r>
  <r>
    <s v="Amino acids"/>
    <x v="7"/>
    <x v="1"/>
    <s v="+"/>
    <n v="1"/>
    <x v="6"/>
  </r>
  <r>
    <s v="Carotenoid biosynthesis - Solanum lycopersicum (tomato)"/>
    <x v="7"/>
    <x v="1"/>
    <s v="+"/>
    <n v="1"/>
    <x v="3"/>
  </r>
  <r>
    <m/>
    <x v="8"/>
    <x v="2"/>
    <m/>
    <m/>
    <x v="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8">
  <r>
    <x v="0"/>
    <x v="0"/>
    <x v="0"/>
    <x v="0"/>
    <n v="4"/>
  </r>
  <r>
    <x v="1"/>
    <x v="0"/>
    <x v="0"/>
    <x v="0"/>
    <n v="3"/>
  </r>
  <r>
    <x v="2"/>
    <x v="0"/>
    <x v="0"/>
    <x v="0"/>
    <n v="2"/>
  </r>
  <r>
    <x v="3"/>
    <x v="0"/>
    <x v="0"/>
    <x v="0"/>
    <n v="2"/>
  </r>
  <r>
    <x v="4"/>
    <x v="0"/>
    <x v="0"/>
    <x v="0"/>
    <n v="2"/>
  </r>
  <r>
    <x v="5"/>
    <x v="0"/>
    <x v="0"/>
    <x v="0"/>
    <n v="2"/>
  </r>
  <r>
    <x v="6"/>
    <x v="0"/>
    <x v="0"/>
    <x v="0"/>
    <n v="4"/>
  </r>
  <r>
    <x v="7"/>
    <x v="0"/>
    <x v="0"/>
    <x v="0"/>
    <n v="2"/>
  </r>
  <r>
    <x v="8"/>
    <x v="0"/>
    <x v="0"/>
    <x v="0"/>
    <n v="1"/>
  </r>
  <r>
    <x v="9"/>
    <x v="0"/>
    <x v="0"/>
    <x v="0"/>
    <n v="1"/>
  </r>
  <r>
    <x v="10"/>
    <x v="0"/>
    <x v="0"/>
    <x v="0"/>
    <n v="1"/>
  </r>
  <r>
    <x v="11"/>
    <x v="0"/>
    <x v="0"/>
    <x v="0"/>
    <n v="1"/>
  </r>
  <r>
    <x v="12"/>
    <x v="0"/>
    <x v="0"/>
    <x v="0"/>
    <n v="3"/>
  </r>
  <r>
    <x v="13"/>
    <x v="0"/>
    <x v="0"/>
    <x v="0"/>
    <n v="1"/>
  </r>
  <r>
    <x v="14"/>
    <x v="0"/>
    <x v="0"/>
    <x v="0"/>
    <n v="1"/>
  </r>
  <r>
    <x v="15"/>
    <x v="0"/>
    <x v="0"/>
    <x v="0"/>
    <n v="1"/>
  </r>
  <r>
    <x v="16"/>
    <x v="0"/>
    <x v="0"/>
    <x v="0"/>
    <n v="1"/>
  </r>
  <r>
    <x v="17"/>
    <x v="0"/>
    <x v="0"/>
    <x v="0"/>
    <n v="1"/>
  </r>
  <r>
    <x v="18"/>
    <x v="0"/>
    <x v="0"/>
    <x v="0"/>
    <n v="1"/>
  </r>
  <r>
    <x v="19"/>
    <x v="0"/>
    <x v="0"/>
    <x v="0"/>
    <n v="1"/>
  </r>
  <r>
    <x v="20"/>
    <x v="0"/>
    <x v="0"/>
    <x v="0"/>
    <n v="1"/>
  </r>
  <r>
    <x v="21"/>
    <x v="0"/>
    <x v="0"/>
    <x v="0"/>
    <n v="1"/>
  </r>
  <r>
    <x v="22"/>
    <x v="0"/>
    <x v="0"/>
    <x v="0"/>
    <n v="1"/>
  </r>
  <r>
    <x v="23"/>
    <x v="0"/>
    <x v="0"/>
    <x v="0"/>
    <n v="1"/>
  </r>
  <r>
    <x v="24"/>
    <x v="0"/>
    <x v="0"/>
    <x v="0"/>
    <n v="3"/>
  </r>
  <r>
    <x v="25"/>
    <x v="0"/>
    <x v="0"/>
    <x v="0"/>
    <n v="1"/>
  </r>
  <r>
    <x v="26"/>
    <x v="0"/>
    <x v="0"/>
    <x v="0"/>
    <n v="3"/>
  </r>
  <r>
    <x v="27"/>
    <x v="0"/>
    <x v="0"/>
    <x v="0"/>
    <n v="1"/>
  </r>
  <r>
    <x v="28"/>
    <x v="0"/>
    <x v="0"/>
    <x v="0"/>
    <n v="1"/>
  </r>
  <r>
    <x v="29"/>
    <x v="0"/>
    <x v="0"/>
    <x v="0"/>
    <n v="1"/>
  </r>
  <r>
    <x v="30"/>
    <x v="0"/>
    <x v="0"/>
    <x v="0"/>
    <n v="3"/>
  </r>
  <r>
    <x v="31"/>
    <x v="0"/>
    <x v="1"/>
    <x v="0"/>
    <n v="3"/>
  </r>
  <r>
    <x v="15"/>
    <x v="0"/>
    <x v="1"/>
    <x v="0"/>
    <n v="2"/>
  </r>
  <r>
    <x v="17"/>
    <x v="0"/>
    <x v="1"/>
    <x v="0"/>
    <n v="2"/>
  </r>
  <r>
    <x v="32"/>
    <x v="0"/>
    <x v="1"/>
    <x v="0"/>
    <n v="1"/>
  </r>
  <r>
    <x v="8"/>
    <x v="0"/>
    <x v="1"/>
    <x v="0"/>
    <n v="1"/>
  </r>
  <r>
    <x v="4"/>
    <x v="0"/>
    <x v="1"/>
    <x v="0"/>
    <n v="1"/>
  </r>
  <r>
    <x v="5"/>
    <x v="0"/>
    <x v="1"/>
    <x v="0"/>
    <n v="1"/>
  </r>
  <r>
    <x v="33"/>
    <x v="0"/>
    <x v="1"/>
    <x v="0"/>
    <n v="1"/>
  </r>
  <r>
    <x v="34"/>
    <x v="0"/>
    <x v="1"/>
    <x v="0"/>
    <n v="1"/>
  </r>
  <r>
    <x v="35"/>
    <x v="0"/>
    <x v="1"/>
    <x v="0"/>
    <n v="1"/>
  </r>
  <r>
    <x v="36"/>
    <x v="0"/>
    <x v="1"/>
    <x v="0"/>
    <n v="1"/>
  </r>
  <r>
    <x v="37"/>
    <x v="0"/>
    <x v="1"/>
    <x v="0"/>
    <n v="1"/>
  </r>
  <r>
    <x v="11"/>
    <x v="0"/>
    <x v="1"/>
    <x v="0"/>
    <n v="1"/>
  </r>
  <r>
    <x v="38"/>
    <x v="0"/>
    <x v="1"/>
    <x v="0"/>
    <n v="1"/>
  </r>
  <r>
    <x v="39"/>
    <x v="0"/>
    <x v="1"/>
    <x v="0"/>
    <n v="1"/>
  </r>
  <r>
    <x v="40"/>
    <x v="0"/>
    <x v="1"/>
    <x v="0"/>
    <n v="1"/>
  </r>
  <r>
    <x v="41"/>
    <x v="0"/>
    <x v="1"/>
    <x v="0"/>
    <n v="1"/>
  </r>
  <r>
    <x v="18"/>
    <x v="0"/>
    <x v="1"/>
    <x v="0"/>
    <n v="1"/>
  </r>
  <r>
    <x v="23"/>
    <x v="0"/>
    <x v="1"/>
    <x v="0"/>
    <n v="1"/>
  </r>
  <r>
    <x v="7"/>
    <x v="0"/>
    <x v="1"/>
    <x v="0"/>
    <n v="1"/>
  </r>
  <r>
    <x v="25"/>
    <x v="0"/>
    <x v="1"/>
    <x v="0"/>
    <n v="1"/>
  </r>
  <r>
    <x v="26"/>
    <x v="0"/>
    <x v="1"/>
    <x v="0"/>
    <n v="1"/>
  </r>
  <r>
    <x v="27"/>
    <x v="0"/>
    <x v="1"/>
    <x v="0"/>
    <n v="1"/>
  </r>
  <r>
    <x v="28"/>
    <x v="0"/>
    <x v="1"/>
    <x v="0"/>
    <n v="1"/>
  </r>
  <r>
    <x v="30"/>
    <x v="0"/>
    <x v="1"/>
    <x v="0"/>
    <n v="1"/>
  </r>
  <r>
    <x v="42"/>
    <x v="0"/>
    <x v="1"/>
    <x v="0"/>
    <n v="1"/>
  </r>
  <r>
    <x v="31"/>
    <x v="1"/>
    <x v="0"/>
    <x v="0"/>
    <n v="31"/>
  </r>
  <r>
    <x v="26"/>
    <x v="1"/>
    <x v="0"/>
    <x v="0"/>
    <n v="31"/>
  </r>
  <r>
    <x v="23"/>
    <x v="1"/>
    <x v="0"/>
    <x v="0"/>
    <n v="28"/>
  </r>
  <r>
    <x v="39"/>
    <x v="1"/>
    <x v="0"/>
    <x v="0"/>
    <n v="22"/>
  </r>
  <r>
    <x v="1"/>
    <x v="1"/>
    <x v="0"/>
    <x v="0"/>
    <n v="14"/>
  </r>
  <r>
    <x v="43"/>
    <x v="1"/>
    <x v="0"/>
    <x v="0"/>
    <n v="23"/>
  </r>
  <r>
    <x v="24"/>
    <x v="1"/>
    <x v="0"/>
    <x v="0"/>
    <n v="18"/>
  </r>
  <r>
    <x v="5"/>
    <x v="1"/>
    <x v="0"/>
    <x v="0"/>
    <n v="16"/>
  </r>
  <r>
    <x v="0"/>
    <x v="1"/>
    <x v="0"/>
    <x v="0"/>
    <n v="13"/>
  </r>
  <r>
    <x v="12"/>
    <x v="1"/>
    <x v="0"/>
    <x v="0"/>
    <n v="16"/>
  </r>
  <r>
    <x v="44"/>
    <x v="1"/>
    <x v="0"/>
    <x v="0"/>
    <n v="15"/>
  </r>
  <r>
    <x v="25"/>
    <x v="1"/>
    <x v="0"/>
    <x v="0"/>
    <n v="16"/>
  </r>
  <r>
    <x v="27"/>
    <x v="1"/>
    <x v="0"/>
    <x v="0"/>
    <n v="17"/>
  </r>
  <r>
    <x v="45"/>
    <x v="1"/>
    <x v="0"/>
    <x v="0"/>
    <n v="11"/>
  </r>
  <r>
    <x v="9"/>
    <x v="1"/>
    <x v="0"/>
    <x v="0"/>
    <n v="10"/>
  </r>
  <r>
    <x v="2"/>
    <x v="1"/>
    <x v="0"/>
    <x v="0"/>
    <n v="8"/>
  </r>
  <r>
    <x v="46"/>
    <x v="1"/>
    <x v="0"/>
    <x v="0"/>
    <n v="15"/>
  </r>
  <r>
    <x v="6"/>
    <x v="1"/>
    <x v="0"/>
    <x v="0"/>
    <n v="13"/>
  </r>
  <r>
    <x v="42"/>
    <x v="1"/>
    <x v="0"/>
    <x v="0"/>
    <n v="13"/>
  </r>
  <r>
    <x v="47"/>
    <x v="1"/>
    <x v="0"/>
    <x v="0"/>
    <n v="12"/>
  </r>
  <r>
    <x v="4"/>
    <x v="1"/>
    <x v="0"/>
    <x v="0"/>
    <n v="14"/>
  </r>
  <r>
    <x v="11"/>
    <x v="1"/>
    <x v="0"/>
    <x v="0"/>
    <n v="10"/>
  </r>
  <r>
    <x v="21"/>
    <x v="1"/>
    <x v="0"/>
    <x v="0"/>
    <n v="10"/>
  </r>
  <r>
    <x v="30"/>
    <x v="1"/>
    <x v="0"/>
    <x v="0"/>
    <n v="14"/>
  </r>
  <r>
    <x v="7"/>
    <x v="1"/>
    <x v="0"/>
    <x v="0"/>
    <n v="12"/>
  </r>
  <r>
    <x v="48"/>
    <x v="1"/>
    <x v="0"/>
    <x v="0"/>
    <n v="8"/>
  </r>
  <r>
    <x v="49"/>
    <x v="1"/>
    <x v="0"/>
    <x v="0"/>
    <n v="17"/>
  </r>
  <r>
    <x v="37"/>
    <x v="1"/>
    <x v="0"/>
    <x v="0"/>
    <n v="14"/>
  </r>
  <r>
    <x v="50"/>
    <x v="1"/>
    <x v="0"/>
    <x v="0"/>
    <n v="13"/>
  </r>
  <r>
    <x v="41"/>
    <x v="1"/>
    <x v="0"/>
    <x v="0"/>
    <n v="13"/>
  </r>
  <r>
    <x v="29"/>
    <x v="1"/>
    <x v="0"/>
    <x v="0"/>
    <n v="10"/>
  </r>
  <r>
    <x v="19"/>
    <x v="1"/>
    <x v="0"/>
    <x v="0"/>
    <n v="8"/>
  </r>
  <r>
    <x v="13"/>
    <x v="1"/>
    <x v="0"/>
    <x v="0"/>
    <n v="7"/>
  </r>
  <r>
    <x v="33"/>
    <x v="1"/>
    <x v="0"/>
    <x v="0"/>
    <n v="15"/>
  </r>
  <r>
    <x v="35"/>
    <x v="1"/>
    <x v="0"/>
    <x v="0"/>
    <n v="13"/>
  </r>
  <r>
    <x v="51"/>
    <x v="1"/>
    <x v="0"/>
    <x v="0"/>
    <n v="8"/>
  </r>
  <r>
    <x v="52"/>
    <x v="1"/>
    <x v="0"/>
    <x v="0"/>
    <n v="7"/>
  </r>
  <r>
    <x v="53"/>
    <x v="1"/>
    <x v="0"/>
    <x v="0"/>
    <n v="9"/>
  </r>
  <r>
    <x v="28"/>
    <x v="1"/>
    <x v="0"/>
    <x v="0"/>
    <n v="7"/>
  </r>
  <r>
    <x v="3"/>
    <x v="1"/>
    <x v="0"/>
    <x v="0"/>
    <n v="10"/>
  </r>
  <r>
    <x v="16"/>
    <x v="1"/>
    <x v="0"/>
    <x v="0"/>
    <n v="6"/>
  </r>
  <r>
    <x v="32"/>
    <x v="1"/>
    <x v="0"/>
    <x v="0"/>
    <n v="6"/>
  </r>
  <r>
    <x v="8"/>
    <x v="1"/>
    <x v="0"/>
    <x v="0"/>
    <n v="10"/>
  </r>
  <r>
    <x v="54"/>
    <x v="1"/>
    <x v="0"/>
    <x v="0"/>
    <n v="10"/>
  </r>
  <r>
    <x v="55"/>
    <x v="1"/>
    <x v="0"/>
    <x v="0"/>
    <n v="6"/>
  </r>
  <r>
    <x v="56"/>
    <x v="1"/>
    <x v="0"/>
    <x v="0"/>
    <n v="8"/>
  </r>
  <r>
    <x v="15"/>
    <x v="1"/>
    <x v="0"/>
    <x v="0"/>
    <n v="9"/>
  </r>
  <r>
    <x v="18"/>
    <x v="1"/>
    <x v="0"/>
    <x v="0"/>
    <n v="9"/>
  </r>
  <r>
    <x v="57"/>
    <x v="1"/>
    <x v="0"/>
    <x v="0"/>
    <n v="8"/>
  </r>
  <r>
    <x v="58"/>
    <x v="1"/>
    <x v="0"/>
    <x v="0"/>
    <n v="6"/>
  </r>
  <r>
    <x v="59"/>
    <x v="1"/>
    <x v="0"/>
    <x v="0"/>
    <n v="3"/>
  </r>
  <r>
    <x v="60"/>
    <x v="1"/>
    <x v="0"/>
    <x v="0"/>
    <n v="5"/>
  </r>
  <r>
    <x v="10"/>
    <x v="1"/>
    <x v="0"/>
    <x v="0"/>
    <n v="6"/>
  </r>
  <r>
    <x v="61"/>
    <x v="1"/>
    <x v="0"/>
    <x v="0"/>
    <n v="5"/>
  </r>
  <r>
    <x v="62"/>
    <x v="1"/>
    <x v="0"/>
    <x v="0"/>
    <n v="4"/>
  </r>
  <r>
    <x v="40"/>
    <x v="1"/>
    <x v="0"/>
    <x v="0"/>
    <n v="8"/>
  </r>
  <r>
    <x v="20"/>
    <x v="1"/>
    <x v="0"/>
    <x v="0"/>
    <n v="7"/>
  </r>
  <r>
    <x v="63"/>
    <x v="1"/>
    <x v="0"/>
    <x v="0"/>
    <n v="7"/>
  </r>
  <r>
    <x v="64"/>
    <x v="1"/>
    <x v="0"/>
    <x v="0"/>
    <n v="3"/>
  </r>
  <r>
    <x v="65"/>
    <x v="1"/>
    <x v="0"/>
    <x v="0"/>
    <n v="5"/>
  </r>
  <r>
    <x v="66"/>
    <x v="1"/>
    <x v="0"/>
    <x v="0"/>
    <n v="4"/>
  </r>
  <r>
    <x v="67"/>
    <x v="1"/>
    <x v="0"/>
    <x v="0"/>
    <n v="4"/>
  </r>
  <r>
    <x v="68"/>
    <x v="1"/>
    <x v="0"/>
    <x v="0"/>
    <n v="3"/>
  </r>
  <r>
    <x v="34"/>
    <x v="1"/>
    <x v="0"/>
    <x v="0"/>
    <n v="4"/>
  </r>
  <r>
    <x v="69"/>
    <x v="1"/>
    <x v="0"/>
    <x v="0"/>
    <n v="2"/>
  </r>
  <r>
    <x v="36"/>
    <x v="1"/>
    <x v="0"/>
    <x v="0"/>
    <n v="5"/>
  </r>
  <r>
    <x v="70"/>
    <x v="1"/>
    <x v="0"/>
    <x v="0"/>
    <n v="2"/>
  </r>
  <r>
    <x v="71"/>
    <x v="1"/>
    <x v="0"/>
    <x v="0"/>
    <n v="2"/>
  </r>
  <r>
    <x v="17"/>
    <x v="1"/>
    <x v="0"/>
    <x v="0"/>
    <n v="3"/>
  </r>
  <r>
    <x v="72"/>
    <x v="1"/>
    <x v="0"/>
    <x v="0"/>
    <n v="2"/>
  </r>
  <r>
    <x v="73"/>
    <x v="1"/>
    <x v="0"/>
    <x v="0"/>
    <n v="3"/>
  </r>
  <r>
    <x v="74"/>
    <x v="1"/>
    <x v="0"/>
    <x v="0"/>
    <n v="4"/>
  </r>
  <r>
    <x v="75"/>
    <x v="1"/>
    <x v="0"/>
    <x v="0"/>
    <n v="4"/>
  </r>
  <r>
    <x v="38"/>
    <x v="1"/>
    <x v="0"/>
    <x v="0"/>
    <n v="7"/>
  </r>
  <r>
    <x v="76"/>
    <x v="1"/>
    <x v="0"/>
    <x v="0"/>
    <n v="4"/>
  </r>
  <r>
    <x v="77"/>
    <x v="1"/>
    <x v="0"/>
    <x v="0"/>
    <n v="12"/>
  </r>
  <r>
    <x v="78"/>
    <x v="1"/>
    <x v="0"/>
    <x v="0"/>
    <n v="4"/>
  </r>
  <r>
    <x v="79"/>
    <x v="1"/>
    <x v="0"/>
    <x v="0"/>
    <n v="4"/>
  </r>
  <r>
    <x v="80"/>
    <x v="1"/>
    <x v="0"/>
    <x v="0"/>
    <n v="1"/>
  </r>
  <r>
    <x v="14"/>
    <x v="1"/>
    <x v="0"/>
    <x v="0"/>
    <n v="2"/>
  </r>
  <r>
    <x v="81"/>
    <x v="1"/>
    <x v="0"/>
    <x v="0"/>
    <n v="1"/>
  </r>
  <r>
    <x v="82"/>
    <x v="1"/>
    <x v="0"/>
    <x v="0"/>
    <n v="3"/>
  </r>
  <r>
    <x v="83"/>
    <x v="1"/>
    <x v="0"/>
    <x v="0"/>
    <n v="1"/>
  </r>
  <r>
    <x v="84"/>
    <x v="1"/>
    <x v="0"/>
    <x v="0"/>
    <n v="2"/>
  </r>
  <r>
    <x v="85"/>
    <x v="1"/>
    <x v="0"/>
    <x v="0"/>
    <n v="4"/>
  </r>
  <r>
    <x v="86"/>
    <x v="1"/>
    <x v="0"/>
    <x v="0"/>
    <n v="1"/>
  </r>
  <r>
    <x v="87"/>
    <x v="1"/>
    <x v="0"/>
    <x v="0"/>
    <n v="2"/>
  </r>
  <r>
    <x v="88"/>
    <x v="1"/>
    <x v="0"/>
    <x v="0"/>
    <n v="2"/>
  </r>
  <r>
    <x v="89"/>
    <x v="1"/>
    <x v="0"/>
    <x v="0"/>
    <n v="2"/>
  </r>
  <r>
    <x v="90"/>
    <x v="1"/>
    <x v="0"/>
    <x v="0"/>
    <n v="1"/>
  </r>
  <r>
    <x v="29"/>
    <x v="1"/>
    <x v="1"/>
    <x v="0"/>
    <n v="3"/>
  </r>
  <r>
    <x v="26"/>
    <x v="1"/>
    <x v="1"/>
    <x v="0"/>
    <n v="2"/>
  </r>
  <r>
    <x v="27"/>
    <x v="1"/>
    <x v="1"/>
    <x v="0"/>
    <n v="2"/>
  </r>
  <r>
    <x v="64"/>
    <x v="1"/>
    <x v="1"/>
    <x v="0"/>
    <n v="4"/>
  </r>
  <r>
    <x v="0"/>
    <x v="1"/>
    <x v="1"/>
    <x v="0"/>
    <n v="1"/>
  </r>
  <r>
    <x v="51"/>
    <x v="1"/>
    <x v="1"/>
    <x v="0"/>
    <n v="1"/>
  </r>
  <r>
    <x v="75"/>
    <x v="1"/>
    <x v="1"/>
    <x v="0"/>
    <n v="1"/>
  </r>
  <r>
    <x v="37"/>
    <x v="1"/>
    <x v="1"/>
    <x v="0"/>
    <n v="1"/>
  </r>
  <r>
    <x v="12"/>
    <x v="1"/>
    <x v="1"/>
    <x v="0"/>
    <n v="1"/>
  </r>
  <r>
    <x v="46"/>
    <x v="1"/>
    <x v="1"/>
    <x v="0"/>
    <n v="1"/>
  </r>
  <r>
    <x v="60"/>
    <x v="1"/>
    <x v="1"/>
    <x v="0"/>
    <n v="1"/>
  </r>
  <r>
    <x v="40"/>
    <x v="1"/>
    <x v="1"/>
    <x v="0"/>
    <n v="1"/>
  </r>
  <r>
    <x v="57"/>
    <x v="1"/>
    <x v="1"/>
    <x v="0"/>
    <n v="1"/>
  </r>
  <r>
    <x v="24"/>
    <x v="1"/>
    <x v="1"/>
    <x v="0"/>
    <n v="1"/>
  </r>
  <r>
    <x v="84"/>
    <x v="1"/>
    <x v="1"/>
    <x v="0"/>
    <n v="1"/>
  </r>
  <r>
    <x v="31"/>
    <x v="1"/>
    <x v="1"/>
    <x v="0"/>
    <n v="1"/>
  </r>
  <r>
    <x v="28"/>
    <x v="1"/>
    <x v="1"/>
    <x v="0"/>
    <n v="1"/>
  </r>
  <r>
    <x v="73"/>
    <x v="1"/>
    <x v="1"/>
    <x v="0"/>
    <n v="1"/>
  </r>
  <r>
    <x v="88"/>
    <x v="1"/>
    <x v="1"/>
    <x v="0"/>
    <n v="1"/>
  </r>
  <r>
    <x v="91"/>
    <x v="1"/>
    <x v="1"/>
    <x v="0"/>
    <n v="1"/>
  </r>
  <r>
    <x v="26"/>
    <x v="2"/>
    <x v="0"/>
    <x v="0"/>
    <n v="16"/>
  </r>
  <r>
    <x v="43"/>
    <x v="2"/>
    <x v="0"/>
    <x v="0"/>
    <n v="14"/>
  </r>
  <r>
    <x v="39"/>
    <x v="2"/>
    <x v="0"/>
    <x v="0"/>
    <n v="12"/>
  </r>
  <r>
    <x v="23"/>
    <x v="2"/>
    <x v="0"/>
    <x v="0"/>
    <n v="11"/>
  </r>
  <r>
    <x v="27"/>
    <x v="2"/>
    <x v="0"/>
    <x v="0"/>
    <n v="12"/>
  </r>
  <r>
    <x v="0"/>
    <x v="2"/>
    <x v="0"/>
    <x v="0"/>
    <n v="8"/>
  </r>
  <r>
    <x v="25"/>
    <x v="2"/>
    <x v="0"/>
    <x v="0"/>
    <n v="11"/>
  </r>
  <r>
    <x v="11"/>
    <x v="2"/>
    <x v="0"/>
    <x v="0"/>
    <n v="10"/>
  </r>
  <r>
    <x v="24"/>
    <x v="2"/>
    <x v="0"/>
    <x v="0"/>
    <n v="10"/>
  </r>
  <r>
    <x v="31"/>
    <x v="2"/>
    <x v="0"/>
    <x v="0"/>
    <n v="11"/>
  </r>
  <r>
    <x v="41"/>
    <x v="2"/>
    <x v="0"/>
    <x v="0"/>
    <n v="9"/>
  </r>
  <r>
    <x v="5"/>
    <x v="2"/>
    <x v="0"/>
    <x v="0"/>
    <n v="8"/>
  </r>
  <r>
    <x v="4"/>
    <x v="2"/>
    <x v="0"/>
    <x v="0"/>
    <n v="7"/>
  </r>
  <r>
    <x v="49"/>
    <x v="2"/>
    <x v="0"/>
    <x v="0"/>
    <n v="8"/>
  </r>
  <r>
    <x v="30"/>
    <x v="2"/>
    <x v="0"/>
    <x v="0"/>
    <n v="10"/>
  </r>
  <r>
    <x v="42"/>
    <x v="2"/>
    <x v="0"/>
    <x v="0"/>
    <n v="6"/>
  </r>
  <r>
    <x v="32"/>
    <x v="2"/>
    <x v="0"/>
    <x v="0"/>
    <n v="8"/>
  </r>
  <r>
    <x v="33"/>
    <x v="2"/>
    <x v="0"/>
    <x v="0"/>
    <n v="12"/>
  </r>
  <r>
    <x v="8"/>
    <x v="2"/>
    <x v="0"/>
    <x v="0"/>
    <n v="7"/>
  </r>
  <r>
    <x v="9"/>
    <x v="2"/>
    <x v="0"/>
    <x v="0"/>
    <n v="7"/>
  </r>
  <r>
    <x v="75"/>
    <x v="2"/>
    <x v="0"/>
    <x v="0"/>
    <n v="6"/>
  </r>
  <r>
    <x v="10"/>
    <x v="2"/>
    <x v="0"/>
    <x v="0"/>
    <n v="6"/>
  </r>
  <r>
    <x v="62"/>
    <x v="2"/>
    <x v="0"/>
    <x v="0"/>
    <n v="4"/>
  </r>
  <r>
    <x v="48"/>
    <x v="2"/>
    <x v="0"/>
    <x v="0"/>
    <n v="4"/>
  </r>
  <r>
    <x v="28"/>
    <x v="2"/>
    <x v="0"/>
    <x v="0"/>
    <n v="4"/>
  </r>
  <r>
    <x v="92"/>
    <x v="2"/>
    <x v="0"/>
    <x v="0"/>
    <n v="4"/>
  </r>
  <r>
    <x v="60"/>
    <x v="2"/>
    <x v="0"/>
    <x v="0"/>
    <n v="6"/>
  </r>
  <r>
    <x v="2"/>
    <x v="2"/>
    <x v="0"/>
    <x v="0"/>
    <n v="4"/>
  </r>
  <r>
    <x v="54"/>
    <x v="2"/>
    <x v="0"/>
    <x v="0"/>
    <n v="6"/>
  </r>
  <r>
    <x v="69"/>
    <x v="2"/>
    <x v="0"/>
    <x v="0"/>
    <n v="3"/>
  </r>
  <r>
    <x v="3"/>
    <x v="2"/>
    <x v="0"/>
    <x v="0"/>
    <n v="5"/>
  </r>
  <r>
    <x v="35"/>
    <x v="2"/>
    <x v="0"/>
    <x v="0"/>
    <n v="5"/>
  </r>
  <r>
    <x v="51"/>
    <x v="2"/>
    <x v="0"/>
    <x v="0"/>
    <n v="5"/>
  </r>
  <r>
    <x v="56"/>
    <x v="2"/>
    <x v="0"/>
    <x v="0"/>
    <n v="5"/>
  </r>
  <r>
    <x v="37"/>
    <x v="2"/>
    <x v="0"/>
    <x v="0"/>
    <n v="3"/>
  </r>
  <r>
    <x v="12"/>
    <x v="2"/>
    <x v="0"/>
    <x v="0"/>
    <n v="6"/>
  </r>
  <r>
    <x v="52"/>
    <x v="2"/>
    <x v="0"/>
    <x v="0"/>
    <n v="5"/>
  </r>
  <r>
    <x v="40"/>
    <x v="2"/>
    <x v="0"/>
    <x v="0"/>
    <n v="5"/>
  </r>
  <r>
    <x v="15"/>
    <x v="2"/>
    <x v="0"/>
    <x v="0"/>
    <n v="6"/>
  </r>
  <r>
    <x v="19"/>
    <x v="2"/>
    <x v="0"/>
    <x v="0"/>
    <n v="5"/>
  </r>
  <r>
    <x v="53"/>
    <x v="2"/>
    <x v="0"/>
    <x v="0"/>
    <n v="5"/>
  </r>
  <r>
    <x v="68"/>
    <x v="2"/>
    <x v="0"/>
    <x v="0"/>
    <n v="3"/>
  </r>
  <r>
    <x v="7"/>
    <x v="2"/>
    <x v="0"/>
    <x v="0"/>
    <n v="3"/>
  </r>
  <r>
    <x v="84"/>
    <x v="2"/>
    <x v="0"/>
    <x v="0"/>
    <n v="3"/>
  </r>
  <r>
    <x v="88"/>
    <x v="2"/>
    <x v="0"/>
    <x v="0"/>
    <n v="3"/>
  </r>
  <r>
    <x v="46"/>
    <x v="2"/>
    <x v="0"/>
    <x v="0"/>
    <n v="2"/>
  </r>
  <r>
    <x v="38"/>
    <x v="2"/>
    <x v="0"/>
    <x v="0"/>
    <n v="4"/>
  </r>
  <r>
    <x v="17"/>
    <x v="2"/>
    <x v="0"/>
    <x v="0"/>
    <n v="3"/>
  </r>
  <r>
    <x v="18"/>
    <x v="2"/>
    <x v="0"/>
    <x v="0"/>
    <n v="4"/>
  </r>
  <r>
    <x v="21"/>
    <x v="2"/>
    <x v="0"/>
    <x v="0"/>
    <n v="3"/>
  </r>
  <r>
    <x v="6"/>
    <x v="2"/>
    <x v="0"/>
    <x v="0"/>
    <n v="4"/>
  </r>
  <r>
    <x v="50"/>
    <x v="2"/>
    <x v="0"/>
    <x v="0"/>
    <n v="2"/>
  </r>
  <r>
    <x v="77"/>
    <x v="2"/>
    <x v="0"/>
    <x v="0"/>
    <n v="2"/>
  </r>
  <r>
    <x v="73"/>
    <x v="2"/>
    <x v="0"/>
    <x v="0"/>
    <n v="2"/>
  </r>
  <r>
    <x v="29"/>
    <x v="2"/>
    <x v="0"/>
    <x v="0"/>
    <n v="2"/>
  </r>
  <r>
    <x v="47"/>
    <x v="2"/>
    <x v="0"/>
    <x v="0"/>
    <n v="4"/>
  </r>
  <r>
    <x v="61"/>
    <x v="2"/>
    <x v="0"/>
    <x v="0"/>
    <n v="4"/>
  </r>
  <r>
    <x v="1"/>
    <x v="2"/>
    <x v="0"/>
    <x v="0"/>
    <n v="2"/>
  </r>
  <r>
    <x v="16"/>
    <x v="2"/>
    <x v="0"/>
    <x v="0"/>
    <n v="5"/>
  </r>
  <r>
    <x v="82"/>
    <x v="2"/>
    <x v="0"/>
    <x v="0"/>
    <n v="5"/>
  </r>
  <r>
    <x v="63"/>
    <x v="2"/>
    <x v="0"/>
    <x v="0"/>
    <n v="4"/>
  </r>
  <r>
    <x v="67"/>
    <x v="2"/>
    <x v="0"/>
    <x v="0"/>
    <n v="2"/>
  </r>
  <r>
    <x v="78"/>
    <x v="2"/>
    <x v="0"/>
    <x v="0"/>
    <n v="4"/>
  </r>
  <r>
    <x v="79"/>
    <x v="2"/>
    <x v="0"/>
    <x v="0"/>
    <n v="4"/>
  </r>
  <r>
    <x v="55"/>
    <x v="2"/>
    <x v="0"/>
    <x v="0"/>
    <n v="1"/>
  </r>
  <r>
    <x v="34"/>
    <x v="2"/>
    <x v="0"/>
    <x v="0"/>
    <n v="1"/>
  </r>
  <r>
    <x v="36"/>
    <x v="2"/>
    <x v="0"/>
    <x v="0"/>
    <n v="1"/>
  </r>
  <r>
    <x v="93"/>
    <x v="2"/>
    <x v="0"/>
    <x v="0"/>
    <n v="1"/>
  </r>
  <r>
    <x v="70"/>
    <x v="2"/>
    <x v="0"/>
    <x v="0"/>
    <n v="1"/>
  </r>
  <r>
    <x v="13"/>
    <x v="2"/>
    <x v="0"/>
    <x v="0"/>
    <n v="1"/>
  </r>
  <r>
    <x v="71"/>
    <x v="2"/>
    <x v="0"/>
    <x v="0"/>
    <n v="1"/>
  </r>
  <r>
    <x v="76"/>
    <x v="2"/>
    <x v="0"/>
    <x v="0"/>
    <n v="3"/>
  </r>
  <r>
    <x v="44"/>
    <x v="2"/>
    <x v="0"/>
    <x v="0"/>
    <n v="1"/>
  </r>
  <r>
    <x v="64"/>
    <x v="2"/>
    <x v="0"/>
    <x v="0"/>
    <n v="1"/>
  </r>
  <r>
    <x v="65"/>
    <x v="2"/>
    <x v="0"/>
    <x v="0"/>
    <n v="1"/>
  </r>
  <r>
    <x v="66"/>
    <x v="2"/>
    <x v="0"/>
    <x v="0"/>
    <n v="1"/>
  </r>
  <r>
    <x v="85"/>
    <x v="2"/>
    <x v="0"/>
    <x v="0"/>
    <n v="4"/>
  </r>
  <r>
    <x v="86"/>
    <x v="2"/>
    <x v="0"/>
    <x v="0"/>
    <n v="1"/>
  </r>
  <r>
    <x v="87"/>
    <x v="2"/>
    <x v="0"/>
    <x v="0"/>
    <n v="1"/>
  </r>
  <r>
    <x v="74"/>
    <x v="2"/>
    <x v="0"/>
    <x v="0"/>
    <n v="2"/>
  </r>
  <r>
    <x v="89"/>
    <x v="2"/>
    <x v="0"/>
    <x v="0"/>
    <n v="1"/>
  </r>
  <r>
    <x v="58"/>
    <x v="2"/>
    <x v="0"/>
    <x v="0"/>
    <n v="1"/>
  </r>
  <r>
    <x v="59"/>
    <x v="2"/>
    <x v="0"/>
    <x v="0"/>
    <n v="1"/>
  </r>
  <r>
    <x v="7"/>
    <x v="2"/>
    <x v="1"/>
    <x v="0"/>
    <n v="9"/>
  </r>
  <r>
    <x v="31"/>
    <x v="2"/>
    <x v="1"/>
    <x v="0"/>
    <n v="4"/>
  </r>
  <r>
    <x v="9"/>
    <x v="2"/>
    <x v="1"/>
    <x v="0"/>
    <n v="3"/>
  </r>
  <r>
    <x v="46"/>
    <x v="2"/>
    <x v="1"/>
    <x v="0"/>
    <n v="3"/>
  </r>
  <r>
    <x v="25"/>
    <x v="2"/>
    <x v="1"/>
    <x v="0"/>
    <n v="3"/>
  </r>
  <r>
    <x v="27"/>
    <x v="2"/>
    <x v="1"/>
    <x v="0"/>
    <n v="3"/>
  </r>
  <r>
    <x v="29"/>
    <x v="2"/>
    <x v="1"/>
    <x v="0"/>
    <n v="3"/>
  </r>
  <r>
    <x v="10"/>
    <x v="2"/>
    <x v="1"/>
    <x v="0"/>
    <n v="2"/>
  </r>
  <r>
    <x v="16"/>
    <x v="2"/>
    <x v="1"/>
    <x v="0"/>
    <n v="2"/>
  </r>
  <r>
    <x v="86"/>
    <x v="2"/>
    <x v="1"/>
    <x v="0"/>
    <n v="2"/>
  </r>
  <r>
    <x v="42"/>
    <x v="2"/>
    <x v="1"/>
    <x v="0"/>
    <n v="2"/>
  </r>
  <r>
    <x v="32"/>
    <x v="2"/>
    <x v="1"/>
    <x v="0"/>
    <n v="2"/>
  </r>
  <r>
    <x v="13"/>
    <x v="2"/>
    <x v="1"/>
    <x v="0"/>
    <n v="2"/>
  </r>
  <r>
    <x v="52"/>
    <x v="2"/>
    <x v="1"/>
    <x v="0"/>
    <n v="2"/>
  </r>
  <r>
    <x v="28"/>
    <x v="2"/>
    <x v="1"/>
    <x v="0"/>
    <n v="3"/>
  </r>
  <r>
    <x v="59"/>
    <x v="2"/>
    <x v="1"/>
    <x v="0"/>
    <n v="2"/>
  </r>
  <r>
    <x v="2"/>
    <x v="2"/>
    <x v="1"/>
    <x v="0"/>
    <n v="2"/>
  </r>
  <r>
    <x v="5"/>
    <x v="2"/>
    <x v="1"/>
    <x v="0"/>
    <n v="1"/>
  </r>
  <r>
    <x v="55"/>
    <x v="2"/>
    <x v="1"/>
    <x v="0"/>
    <n v="2"/>
  </r>
  <r>
    <x v="69"/>
    <x v="2"/>
    <x v="1"/>
    <x v="0"/>
    <n v="1"/>
  </r>
  <r>
    <x v="75"/>
    <x v="2"/>
    <x v="1"/>
    <x v="0"/>
    <n v="1"/>
  </r>
  <r>
    <x v="56"/>
    <x v="2"/>
    <x v="1"/>
    <x v="0"/>
    <n v="1"/>
  </r>
  <r>
    <x v="37"/>
    <x v="2"/>
    <x v="1"/>
    <x v="0"/>
    <n v="1"/>
  </r>
  <r>
    <x v="11"/>
    <x v="2"/>
    <x v="1"/>
    <x v="0"/>
    <n v="1"/>
  </r>
  <r>
    <x v="70"/>
    <x v="2"/>
    <x v="1"/>
    <x v="0"/>
    <n v="1"/>
  </r>
  <r>
    <x v="1"/>
    <x v="2"/>
    <x v="1"/>
    <x v="0"/>
    <n v="1"/>
  </r>
  <r>
    <x v="71"/>
    <x v="2"/>
    <x v="1"/>
    <x v="0"/>
    <n v="1"/>
  </r>
  <r>
    <x v="17"/>
    <x v="2"/>
    <x v="1"/>
    <x v="0"/>
    <n v="1"/>
  </r>
  <r>
    <x v="18"/>
    <x v="2"/>
    <x v="1"/>
    <x v="0"/>
    <n v="1"/>
  </r>
  <r>
    <x v="19"/>
    <x v="2"/>
    <x v="1"/>
    <x v="0"/>
    <n v="1"/>
  </r>
  <r>
    <x v="53"/>
    <x v="2"/>
    <x v="1"/>
    <x v="0"/>
    <n v="1"/>
  </r>
  <r>
    <x v="21"/>
    <x v="2"/>
    <x v="1"/>
    <x v="0"/>
    <n v="1"/>
  </r>
  <r>
    <x v="6"/>
    <x v="2"/>
    <x v="1"/>
    <x v="0"/>
    <n v="1"/>
  </r>
  <r>
    <x v="50"/>
    <x v="2"/>
    <x v="1"/>
    <x v="0"/>
    <n v="1"/>
  </r>
  <r>
    <x v="67"/>
    <x v="2"/>
    <x v="1"/>
    <x v="0"/>
    <n v="1"/>
  </r>
  <r>
    <x v="68"/>
    <x v="2"/>
    <x v="1"/>
    <x v="0"/>
    <n v="1"/>
  </r>
  <r>
    <x v="26"/>
    <x v="2"/>
    <x v="1"/>
    <x v="0"/>
    <n v="1"/>
  </r>
  <r>
    <x v="94"/>
    <x v="2"/>
    <x v="1"/>
    <x v="0"/>
    <n v="1"/>
  </r>
  <r>
    <x v="95"/>
    <x v="2"/>
    <x v="1"/>
    <x v="0"/>
    <n v="3"/>
  </r>
  <r>
    <x v="91"/>
    <x v="2"/>
    <x v="1"/>
    <x v="0"/>
    <n v="3"/>
  </r>
  <r>
    <x v="30"/>
    <x v="2"/>
    <x v="1"/>
    <x v="0"/>
    <n v="1"/>
  </r>
  <r>
    <x v="58"/>
    <x v="2"/>
    <x v="1"/>
    <x v="0"/>
    <n v="1"/>
  </r>
  <r>
    <x v="39"/>
    <x v="3"/>
    <x v="0"/>
    <x v="0"/>
    <n v="12"/>
  </r>
  <r>
    <x v="31"/>
    <x v="3"/>
    <x v="0"/>
    <x v="0"/>
    <n v="14"/>
  </r>
  <r>
    <x v="25"/>
    <x v="3"/>
    <x v="0"/>
    <x v="0"/>
    <n v="10"/>
  </r>
  <r>
    <x v="43"/>
    <x v="3"/>
    <x v="0"/>
    <x v="0"/>
    <n v="12"/>
  </r>
  <r>
    <x v="23"/>
    <x v="3"/>
    <x v="0"/>
    <x v="0"/>
    <n v="8"/>
  </r>
  <r>
    <x v="9"/>
    <x v="3"/>
    <x v="0"/>
    <x v="0"/>
    <n v="7"/>
  </r>
  <r>
    <x v="5"/>
    <x v="3"/>
    <x v="0"/>
    <x v="0"/>
    <n v="6"/>
  </r>
  <r>
    <x v="19"/>
    <x v="3"/>
    <x v="0"/>
    <x v="0"/>
    <n v="8"/>
  </r>
  <r>
    <x v="26"/>
    <x v="3"/>
    <x v="0"/>
    <x v="0"/>
    <n v="6"/>
  </r>
  <r>
    <x v="30"/>
    <x v="3"/>
    <x v="0"/>
    <x v="0"/>
    <n v="9"/>
  </r>
  <r>
    <x v="32"/>
    <x v="3"/>
    <x v="0"/>
    <x v="0"/>
    <n v="6"/>
  </r>
  <r>
    <x v="4"/>
    <x v="3"/>
    <x v="0"/>
    <x v="0"/>
    <n v="5"/>
  </r>
  <r>
    <x v="54"/>
    <x v="3"/>
    <x v="0"/>
    <x v="0"/>
    <n v="7"/>
  </r>
  <r>
    <x v="33"/>
    <x v="3"/>
    <x v="0"/>
    <x v="0"/>
    <n v="11"/>
  </r>
  <r>
    <x v="0"/>
    <x v="3"/>
    <x v="0"/>
    <x v="0"/>
    <n v="4"/>
  </r>
  <r>
    <x v="56"/>
    <x v="3"/>
    <x v="0"/>
    <x v="0"/>
    <n v="5"/>
  </r>
  <r>
    <x v="10"/>
    <x v="3"/>
    <x v="0"/>
    <x v="0"/>
    <n v="5"/>
  </r>
  <r>
    <x v="11"/>
    <x v="3"/>
    <x v="0"/>
    <x v="0"/>
    <n v="5"/>
  </r>
  <r>
    <x v="52"/>
    <x v="3"/>
    <x v="0"/>
    <x v="0"/>
    <n v="5"/>
  </r>
  <r>
    <x v="41"/>
    <x v="3"/>
    <x v="0"/>
    <x v="0"/>
    <n v="5"/>
  </r>
  <r>
    <x v="44"/>
    <x v="3"/>
    <x v="0"/>
    <x v="0"/>
    <n v="4"/>
  </r>
  <r>
    <x v="50"/>
    <x v="3"/>
    <x v="0"/>
    <x v="0"/>
    <n v="6"/>
  </r>
  <r>
    <x v="67"/>
    <x v="3"/>
    <x v="0"/>
    <x v="0"/>
    <n v="4"/>
  </r>
  <r>
    <x v="68"/>
    <x v="3"/>
    <x v="0"/>
    <x v="0"/>
    <n v="4"/>
  </r>
  <r>
    <x v="49"/>
    <x v="3"/>
    <x v="0"/>
    <x v="0"/>
    <n v="9"/>
  </r>
  <r>
    <x v="27"/>
    <x v="3"/>
    <x v="0"/>
    <x v="0"/>
    <n v="6"/>
  </r>
  <r>
    <x v="42"/>
    <x v="3"/>
    <x v="0"/>
    <x v="0"/>
    <n v="5"/>
  </r>
  <r>
    <x v="21"/>
    <x v="3"/>
    <x v="0"/>
    <x v="0"/>
    <n v="4"/>
  </r>
  <r>
    <x v="8"/>
    <x v="3"/>
    <x v="0"/>
    <x v="0"/>
    <n v="4"/>
  </r>
  <r>
    <x v="59"/>
    <x v="3"/>
    <x v="0"/>
    <x v="0"/>
    <n v="3"/>
  </r>
  <r>
    <x v="2"/>
    <x v="3"/>
    <x v="0"/>
    <x v="0"/>
    <n v="4"/>
  </r>
  <r>
    <x v="55"/>
    <x v="3"/>
    <x v="0"/>
    <x v="0"/>
    <n v="3"/>
  </r>
  <r>
    <x v="35"/>
    <x v="3"/>
    <x v="0"/>
    <x v="0"/>
    <n v="4"/>
  </r>
  <r>
    <x v="76"/>
    <x v="3"/>
    <x v="0"/>
    <x v="0"/>
    <n v="4"/>
  </r>
  <r>
    <x v="15"/>
    <x v="3"/>
    <x v="0"/>
    <x v="0"/>
    <n v="5"/>
  </r>
  <r>
    <x v="16"/>
    <x v="3"/>
    <x v="0"/>
    <x v="0"/>
    <n v="5"/>
  </r>
  <r>
    <x v="18"/>
    <x v="3"/>
    <x v="0"/>
    <x v="0"/>
    <n v="4"/>
  </r>
  <r>
    <x v="77"/>
    <x v="3"/>
    <x v="0"/>
    <x v="0"/>
    <n v="5"/>
  </r>
  <r>
    <x v="7"/>
    <x v="3"/>
    <x v="0"/>
    <x v="0"/>
    <n v="4"/>
  </r>
  <r>
    <x v="3"/>
    <x v="3"/>
    <x v="0"/>
    <x v="0"/>
    <n v="3"/>
  </r>
  <r>
    <x v="51"/>
    <x v="3"/>
    <x v="0"/>
    <x v="0"/>
    <n v="3"/>
  </r>
  <r>
    <x v="47"/>
    <x v="3"/>
    <x v="0"/>
    <x v="0"/>
    <n v="3"/>
  </r>
  <r>
    <x v="75"/>
    <x v="3"/>
    <x v="0"/>
    <x v="0"/>
    <n v="3"/>
  </r>
  <r>
    <x v="46"/>
    <x v="3"/>
    <x v="0"/>
    <x v="0"/>
    <n v="3"/>
  </r>
  <r>
    <x v="61"/>
    <x v="3"/>
    <x v="0"/>
    <x v="0"/>
    <n v="3"/>
  </r>
  <r>
    <x v="38"/>
    <x v="3"/>
    <x v="0"/>
    <x v="0"/>
    <n v="3"/>
  </r>
  <r>
    <x v="62"/>
    <x v="3"/>
    <x v="0"/>
    <x v="0"/>
    <n v="2"/>
  </r>
  <r>
    <x v="60"/>
    <x v="3"/>
    <x v="0"/>
    <x v="0"/>
    <n v="3"/>
  </r>
  <r>
    <x v="40"/>
    <x v="3"/>
    <x v="0"/>
    <x v="0"/>
    <n v="3"/>
  </r>
  <r>
    <x v="53"/>
    <x v="3"/>
    <x v="0"/>
    <x v="0"/>
    <n v="3"/>
  </r>
  <r>
    <x v="48"/>
    <x v="3"/>
    <x v="0"/>
    <x v="0"/>
    <n v="2"/>
  </r>
  <r>
    <x v="24"/>
    <x v="3"/>
    <x v="0"/>
    <x v="0"/>
    <n v="2"/>
  </r>
  <r>
    <x v="73"/>
    <x v="3"/>
    <x v="0"/>
    <x v="0"/>
    <n v="3"/>
  </r>
  <r>
    <x v="45"/>
    <x v="3"/>
    <x v="0"/>
    <x v="0"/>
    <n v="3"/>
  </r>
  <r>
    <x v="29"/>
    <x v="3"/>
    <x v="0"/>
    <x v="0"/>
    <n v="3"/>
  </r>
  <r>
    <x v="37"/>
    <x v="3"/>
    <x v="0"/>
    <x v="0"/>
    <n v="4"/>
  </r>
  <r>
    <x v="86"/>
    <x v="3"/>
    <x v="0"/>
    <x v="0"/>
    <n v="2"/>
  </r>
  <r>
    <x v="71"/>
    <x v="3"/>
    <x v="0"/>
    <x v="0"/>
    <n v="1"/>
  </r>
  <r>
    <x v="78"/>
    <x v="3"/>
    <x v="0"/>
    <x v="0"/>
    <n v="4"/>
  </r>
  <r>
    <x v="79"/>
    <x v="3"/>
    <x v="0"/>
    <x v="0"/>
    <n v="4"/>
  </r>
  <r>
    <x v="34"/>
    <x v="3"/>
    <x v="0"/>
    <x v="0"/>
    <n v="1"/>
  </r>
  <r>
    <x v="69"/>
    <x v="3"/>
    <x v="0"/>
    <x v="0"/>
    <n v="1"/>
  </r>
  <r>
    <x v="92"/>
    <x v="3"/>
    <x v="0"/>
    <x v="0"/>
    <n v="1"/>
  </r>
  <r>
    <x v="36"/>
    <x v="3"/>
    <x v="0"/>
    <x v="0"/>
    <n v="1"/>
  </r>
  <r>
    <x v="93"/>
    <x v="3"/>
    <x v="0"/>
    <x v="0"/>
    <n v="1"/>
  </r>
  <r>
    <x v="12"/>
    <x v="3"/>
    <x v="0"/>
    <x v="0"/>
    <n v="1"/>
  </r>
  <r>
    <x v="70"/>
    <x v="3"/>
    <x v="0"/>
    <x v="0"/>
    <n v="1"/>
  </r>
  <r>
    <x v="13"/>
    <x v="3"/>
    <x v="0"/>
    <x v="0"/>
    <n v="2"/>
  </r>
  <r>
    <x v="1"/>
    <x v="3"/>
    <x v="0"/>
    <x v="0"/>
    <n v="1"/>
  </r>
  <r>
    <x v="14"/>
    <x v="3"/>
    <x v="0"/>
    <x v="0"/>
    <n v="1"/>
  </r>
  <r>
    <x v="82"/>
    <x v="3"/>
    <x v="0"/>
    <x v="0"/>
    <n v="2"/>
  </r>
  <r>
    <x v="17"/>
    <x v="3"/>
    <x v="0"/>
    <x v="0"/>
    <n v="2"/>
  </r>
  <r>
    <x v="20"/>
    <x v="3"/>
    <x v="0"/>
    <x v="0"/>
    <n v="1"/>
  </r>
  <r>
    <x v="83"/>
    <x v="3"/>
    <x v="0"/>
    <x v="0"/>
    <n v="1"/>
  </r>
  <r>
    <x v="57"/>
    <x v="3"/>
    <x v="0"/>
    <x v="0"/>
    <n v="1"/>
  </r>
  <r>
    <x v="63"/>
    <x v="3"/>
    <x v="0"/>
    <x v="0"/>
    <n v="2"/>
  </r>
  <r>
    <x v="96"/>
    <x v="3"/>
    <x v="0"/>
    <x v="0"/>
    <n v="1"/>
  </r>
  <r>
    <x v="6"/>
    <x v="3"/>
    <x v="0"/>
    <x v="0"/>
    <n v="3"/>
  </r>
  <r>
    <x v="84"/>
    <x v="3"/>
    <x v="0"/>
    <x v="0"/>
    <n v="1"/>
  </r>
  <r>
    <x v="85"/>
    <x v="3"/>
    <x v="0"/>
    <x v="0"/>
    <n v="4"/>
  </r>
  <r>
    <x v="28"/>
    <x v="3"/>
    <x v="0"/>
    <x v="0"/>
    <n v="1"/>
  </r>
  <r>
    <x v="87"/>
    <x v="3"/>
    <x v="0"/>
    <x v="0"/>
    <n v="2"/>
  </r>
  <r>
    <x v="88"/>
    <x v="3"/>
    <x v="0"/>
    <x v="0"/>
    <n v="1"/>
  </r>
  <r>
    <x v="74"/>
    <x v="3"/>
    <x v="0"/>
    <x v="0"/>
    <n v="2"/>
  </r>
  <r>
    <x v="89"/>
    <x v="3"/>
    <x v="0"/>
    <x v="0"/>
    <n v="2"/>
  </r>
  <r>
    <x v="31"/>
    <x v="3"/>
    <x v="1"/>
    <x v="0"/>
    <n v="17"/>
  </r>
  <r>
    <x v="26"/>
    <x v="3"/>
    <x v="1"/>
    <x v="0"/>
    <n v="11"/>
  </r>
  <r>
    <x v="29"/>
    <x v="3"/>
    <x v="1"/>
    <x v="0"/>
    <n v="10"/>
  </r>
  <r>
    <x v="11"/>
    <x v="3"/>
    <x v="1"/>
    <x v="0"/>
    <n v="11"/>
  </r>
  <r>
    <x v="23"/>
    <x v="3"/>
    <x v="1"/>
    <x v="0"/>
    <n v="8"/>
  </r>
  <r>
    <x v="27"/>
    <x v="3"/>
    <x v="1"/>
    <x v="0"/>
    <n v="8"/>
  </r>
  <r>
    <x v="7"/>
    <x v="3"/>
    <x v="1"/>
    <x v="0"/>
    <n v="8"/>
  </r>
  <r>
    <x v="47"/>
    <x v="3"/>
    <x v="1"/>
    <x v="0"/>
    <n v="7"/>
  </r>
  <r>
    <x v="28"/>
    <x v="3"/>
    <x v="1"/>
    <x v="0"/>
    <n v="5"/>
  </r>
  <r>
    <x v="42"/>
    <x v="3"/>
    <x v="1"/>
    <x v="0"/>
    <n v="6"/>
  </r>
  <r>
    <x v="5"/>
    <x v="3"/>
    <x v="1"/>
    <x v="0"/>
    <n v="5"/>
  </r>
  <r>
    <x v="9"/>
    <x v="3"/>
    <x v="1"/>
    <x v="0"/>
    <n v="4"/>
  </r>
  <r>
    <x v="0"/>
    <x v="3"/>
    <x v="1"/>
    <x v="0"/>
    <n v="4"/>
  </r>
  <r>
    <x v="46"/>
    <x v="3"/>
    <x v="1"/>
    <x v="0"/>
    <n v="4"/>
  </r>
  <r>
    <x v="15"/>
    <x v="3"/>
    <x v="1"/>
    <x v="0"/>
    <n v="4"/>
  </r>
  <r>
    <x v="48"/>
    <x v="3"/>
    <x v="1"/>
    <x v="0"/>
    <n v="4"/>
  </r>
  <r>
    <x v="24"/>
    <x v="3"/>
    <x v="1"/>
    <x v="0"/>
    <n v="5"/>
  </r>
  <r>
    <x v="25"/>
    <x v="3"/>
    <x v="1"/>
    <x v="0"/>
    <n v="5"/>
  </r>
  <r>
    <x v="91"/>
    <x v="3"/>
    <x v="1"/>
    <x v="0"/>
    <n v="5"/>
  </r>
  <r>
    <x v="4"/>
    <x v="3"/>
    <x v="1"/>
    <x v="0"/>
    <n v="4"/>
  </r>
  <r>
    <x v="13"/>
    <x v="3"/>
    <x v="1"/>
    <x v="0"/>
    <n v="3"/>
  </r>
  <r>
    <x v="52"/>
    <x v="3"/>
    <x v="1"/>
    <x v="0"/>
    <n v="3"/>
  </r>
  <r>
    <x v="32"/>
    <x v="3"/>
    <x v="1"/>
    <x v="0"/>
    <n v="5"/>
  </r>
  <r>
    <x v="55"/>
    <x v="3"/>
    <x v="1"/>
    <x v="0"/>
    <n v="4"/>
  </r>
  <r>
    <x v="56"/>
    <x v="3"/>
    <x v="1"/>
    <x v="0"/>
    <n v="3"/>
  </r>
  <r>
    <x v="10"/>
    <x v="3"/>
    <x v="1"/>
    <x v="0"/>
    <n v="3"/>
  </r>
  <r>
    <x v="38"/>
    <x v="3"/>
    <x v="1"/>
    <x v="0"/>
    <n v="5"/>
  </r>
  <r>
    <x v="41"/>
    <x v="3"/>
    <x v="1"/>
    <x v="0"/>
    <n v="5"/>
  </r>
  <r>
    <x v="18"/>
    <x v="3"/>
    <x v="1"/>
    <x v="0"/>
    <n v="4"/>
  </r>
  <r>
    <x v="19"/>
    <x v="3"/>
    <x v="1"/>
    <x v="0"/>
    <n v="4"/>
  </r>
  <r>
    <x v="63"/>
    <x v="3"/>
    <x v="1"/>
    <x v="0"/>
    <n v="3"/>
  </r>
  <r>
    <x v="64"/>
    <x v="3"/>
    <x v="1"/>
    <x v="0"/>
    <n v="4"/>
  </r>
  <r>
    <x v="73"/>
    <x v="3"/>
    <x v="1"/>
    <x v="0"/>
    <n v="6"/>
  </r>
  <r>
    <x v="45"/>
    <x v="3"/>
    <x v="1"/>
    <x v="0"/>
    <n v="3"/>
  </r>
  <r>
    <x v="30"/>
    <x v="3"/>
    <x v="1"/>
    <x v="0"/>
    <n v="4"/>
  </r>
  <r>
    <x v="8"/>
    <x v="3"/>
    <x v="1"/>
    <x v="0"/>
    <n v="3"/>
  </r>
  <r>
    <x v="3"/>
    <x v="3"/>
    <x v="1"/>
    <x v="0"/>
    <n v="2"/>
  </r>
  <r>
    <x v="35"/>
    <x v="3"/>
    <x v="1"/>
    <x v="0"/>
    <n v="3"/>
  </r>
  <r>
    <x v="51"/>
    <x v="3"/>
    <x v="1"/>
    <x v="0"/>
    <n v="2"/>
  </r>
  <r>
    <x v="36"/>
    <x v="3"/>
    <x v="1"/>
    <x v="0"/>
    <n v="3"/>
  </r>
  <r>
    <x v="37"/>
    <x v="3"/>
    <x v="1"/>
    <x v="0"/>
    <n v="3"/>
  </r>
  <r>
    <x v="12"/>
    <x v="3"/>
    <x v="1"/>
    <x v="0"/>
    <n v="2"/>
  </r>
  <r>
    <x v="62"/>
    <x v="3"/>
    <x v="1"/>
    <x v="0"/>
    <n v="2"/>
  </r>
  <r>
    <x v="81"/>
    <x v="3"/>
    <x v="1"/>
    <x v="0"/>
    <n v="4"/>
  </r>
  <r>
    <x v="43"/>
    <x v="3"/>
    <x v="1"/>
    <x v="0"/>
    <n v="2"/>
  </r>
  <r>
    <x v="40"/>
    <x v="3"/>
    <x v="1"/>
    <x v="0"/>
    <n v="3"/>
  </r>
  <r>
    <x v="16"/>
    <x v="3"/>
    <x v="1"/>
    <x v="0"/>
    <n v="2"/>
  </r>
  <r>
    <x v="53"/>
    <x v="3"/>
    <x v="1"/>
    <x v="0"/>
    <n v="2"/>
  </r>
  <r>
    <x v="57"/>
    <x v="3"/>
    <x v="1"/>
    <x v="0"/>
    <n v="3"/>
  </r>
  <r>
    <x v="72"/>
    <x v="3"/>
    <x v="1"/>
    <x v="0"/>
    <n v="3"/>
  </r>
  <r>
    <x v="50"/>
    <x v="3"/>
    <x v="1"/>
    <x v="0"/>
    <n v="2"/>
  </r>
  <r>
    <x v="84"/>
    <x v="3"/>
    <x v="1"/>
    <x v="0"/>
    <n v="2"/>
  </r>
  <r>
    <x v="88"/>
    <x v="3"/>
    <x v="1"/>
    <x v="0"/>
    <n v="2"/>
  </r>
  <r>
    <x v="97"/>
    <x v="3"/>
    <x v="1"/>
    <x v="0"/>
    <n v="3"/>
  </r>
  <r>
    <x v="1"/>
    <x v="3"/>
    <x v="1"/>
    <x v="0"/>
    <n v="2"/>
  </r>
  <r>
    <x v="60"/>
    <x v="3"/>
    <x v="1"/>
    <x v="0"/>
    <n v="4"/>
  </r>
  <r>
    <x v="2"/>
    <x v="3"/>
    <x v="1"/>
    <x v="0"/>
    <n v="2"/>
  </r>
  <r>
    <x v="33"/>
    <x v="3"/>
    <x v="1"/>
    <x v="0"/>
    <n v="1"/>
  </r>
  <r>
    <x v="69"/>
    <x v="3"/>
    <x v="1"/>
    <x v="0"/>
    <n v="1"/>
  </r>
  <r>
    <x v="75"/>
    <x v="3"/>
    <x v="1"/>
    <x v="0"/>
    <n v="1"/>
  </r>
  <r>
    <x v="61"/>
    <x v="3"/>
    <x v="1"/>
    <x v="0"/>
    <n v="1"/>
  </r>
  <r>
    <x v="70"/>
    <x v="3"/>
    <x v="1"/>
    <x v="0"/>
    <n v="1"/>
  </r>
  <r>
    <x v="98"/>
    <x v="3"/>
    <x v="1"/>
    <x v="0"/>
    <n v="1"/>
  </r>
  <r>
    <x v="71"/>
    <x v="3"/>
    <x v="1"/>
    <x v="0"/>
    <n v="1"/>
  </r>
  <r>
    <x v="76"/>
    <x v="3"/>
    <x v="1"/>
    <x v="0"/>
    <n v="1"/>
  </r>
  <r>
    <x v="82"/>
    <x v="3"/>
    <x v="1"/>
    <x v="0"/>
    <n v="1"/>
  </r>
  <r>
    <x v="17"/>
    <x v="3"/>
    <x v="1"/>
    <x v="0"/>
    <n v="1"/>
  </r>
  <r>
    <x v="83"/>
    <x v="3"/>
    <x v="1"/>
    <x v="0"/>
    <n v="1"/>
  </r>
  <r>
    <x v="6"/>
    <x v="3"/>
    <x v="1"/>
    <x v="0"/>
    <n v="1"/>
  </r>
  <r>
    <x v="65"/>
    <x v="3"/>
    <x v="1"/>
    <x v="0"/>
    <n v="2"/>
  </r>
  <r>
    <x v="66"/>
    <x v="3"/>
    <x v="1"/>
    <x v="0"/>
    <n v="1"/>
  </r>
  <r>
    <x v="86"/>
    <x v="3"/>
    <x v="1"/>
    <x v="0"/>
    <n v="1"/>
  </r>
  <r>
    <x v="87"/>
    <x v="3"/>
    <x v="1"/>
    <x v="0"/>
    <n v="2"/>
  </r>
  <r>
    <x v="89"/>
    <x v="3"/>
    <x v="1"/>
    <x v="0"/>
    <n v="2"/>
  </r>
  <r>
    <x v="90"/>
    <x v="3"/>
    <x v="1"/>
    <x v="0"/>
    <n v="2"/>
  </r>
  <r>
    <x v="95"/>
    <x v="3"/>
    <x v="1"/>
    <x v="0"/>
    <n v="2"/>
  </r>
  <r>
    <x v="58"/>
    <x v="3"/>
    <x v="1"/>
    <x v="0"/>
    <n v="1"/>
  </r>
  <r>
    <x v="59"/>
    <x v="3"/>
    <x v="1"/>
    <x v="0"/>
    <n v="1"/>
  </r>
  <r>
    <x v="26"/>
    <x v="4"/>
    <x v="0"/>
    <x v="0"/>
    <n v="9"/>
  </r>
  <r>
    <x v="23"/>
    <x v="4"/>
    <x v="0"/>
    <x v="0"/>
    <n v="12"/>
  </r>
  <r>
    <x v="0"/>
    <x v="4"/>
    <x v="0"/>
    <x v="0"/>
    <n v="6"/>
  </r>
  <r>
    <x v="39"/>
    <x v="4"/>
    <x v="0"/>
    <x v="0"/>
    <n v="9"/>
  </r>
  <r>
    <x v="49"/>
    <x v="4"/>
    <x v="0"/>
    <x v="0"/>
    <n v="13"/>
  </r>
  <r>
    <x v="5"/>
    <x v="4"/>
    <x v="0"/>
    <x v="0"/>
    <n v="5"/>
  </r>
  <r>
    <x v="10"/>
    <x v="4"/>
    <x v="0"/>
    <x v="0"/>
    <n v="6"/>
  </r>
  <r>
    <x v="12"/>
    <x v="4"/>
    <x v="0"/>
    <x v="0"/>
    <n v="5"/>
  </r>
  <r>
    <x v="41"/>
    <x v="4"/>
    <x v="0"/>
    <x v="0"/>
    <n v="5"/>
  </r>
  <r>
    <x v="24"/>
    <x v="4"/>
    <x v="0"/>
    <x v="0"/>
    <n v="5"/>
  </r>
  <r>
    <x v="25"/>
    <x v="4"/>
    <x v="0"/>
    <x v="0"/>
    <n v="6"/>
  </r>
  <r>
    <x v="31"/>
    <x v="4"/>
    <x v="0"/>
    <x v="0"/>
    <n v="6"/>
  </r>
  <r>
    <x v="30"/>
    <x v="4"/>
    <x v="0"/>
    <x v="0"/>
    <n v="7"/>
  </r>
  <r>
    <x v="9"/>
    <x v="4"/>
    <x v="0"/>
    <x v="0"/>
    <n v="4"/>
  </r>
  <r>
    <x v="4"/>
    <x v="4"/>
    <x v="0"/>
    <x v="0"/>
    <n v="4"/>
  </r>
  <r>
    <x v="2"/>
    <x v="4"/>
    <x v="0"/>
    <x v="0"/>
    <n v="4"/>
  </r>
  <r>
    <x v="19"/>
    <x v="4"/>
    <x v="0"/>
    <x v="0"/>
    <n v="4"/>
  </r>
  <r>
    <x v="67"/>
    <x v="4"/>
    <x v="0"/>
    <x v="0"/>
    <n v="4"/>
  </r>
  <r>
    <x v="27"/>
    <x v="4"/>
    <x v="0"/>
    <x v="0"/>
    <n v="4"/>
  </r>
  <r>
    <x v="29"/>
    <x v="4"/>
    <x v="0"/>
    <x v="0"/>
    <n v="5"/>
  </r>
  <r>
    <x v="42"/>
    <x v="4"/>
    <x v="0"/>
    <x v="0"/>
    <n v="5"/>
  </r>
  <r>
    <x v="54"/>
    <x v="4"/>
    <x v="0"/>
    <x v="0"/>
    <n v="6"/>
  </r>
  <r>
    <x v="55"/>
    <x v="4"/>
    <x v="0"/>
    <x v="0"/>
    <n v="3"/>
  </r>
  <r>
    <x v="3"/>
    <x v="4"/>
    <x v="0"/>
    <x v="0"/>
    <n v="3"/>
  </r>
  <r>
    <x v="35"/>
    <x v="4"/>
    <x v="0"/>
    <x v="0"/>
    <n v="4"/>
  </r>
  <r>
    <x v="51"/>
    <x v="4"/>
    <x v="0"/>
    <x v="0"/>
    <n v="3"/>
  </r>
  <r>
    <x v="47"/>
    <x v="4"/>
    <x v="0"/>
    <x v="0"/>
    <n v="3"/>
  </r>
  <r>
    <x v="75"/>
    <x v="4"/>
    <x v="0"/>
    <x v="0"/>
    <n v="3"/>
  </r>
  <r>
    <x v="11"/>
    <x v="4"/>
    <x v="0"/>
    <x v="0"/>
    <n v="4"/>
  </r>
  <r>
    <x v="46"/>
    <x v="4"/>
    <x v="0"/>
    <x v="0"/>
    <n v="3"/>
  </r>
  <r>
    <x v="1"/>
    <x v="4"/>
    <x v="0"/>
    <x v="0"/>
    <n v="3"/>
  </r>
  <r>
    <x v="15"/>
    <x v="4"/>
    <x v="0"/>
    <x v="0"/>
    <n v="4"/>
  </r>
  <r>
    <x v="68"/>
    <x v="4"/>
    <x v="0"/>
    <x v="0"/>
    <n v="3"/>
  </r>
  <r>
    <x v="32"/>
    <x v="4"/>
    <x v="0"/>
    <x v="0"/>
    <n v="2"/>
  </r>
  <r>
    <x v="8"/>
    <x v="4"/>
    <x v="0"/>
    <x v="0"/>
    <n v="3"/>
  </r>
  <r>
    <x v="33"/>
    <x v="4"/>
    <x v="0"/>
    <x v="0"/>
    <n v="6"/>
  </r>
  <r>
    <x v="56"/>
    <x v="4"/>
    <x v="0"/>
    <x v="0"/>
    <n v="3"/>
  </r>
  <r>
    <x v="13"/>
    <x v="4"/>
    <x v="0"/>
    <x v="0"/>
    <n v="2"/>
  </r>
  <r>
    <x v="14"/>
    <x v="4"/>
    <x v="0"/>
    <x v="0"/>
    <n v="2"/>
  </r>
  <r>
    <x v="52"/>
    <x v="4"/>
    <x v="0"/>
    <x v="0"/>
    <n v="2"/>
  </r>
  <r>
    <x v="16"/>
    <x v="4"/>
    <x v="0"/>
    <x v="0"/>
    <n v="2"/>
  </r>
  <r>
    <x v="17"/>
    <x v="4"/>
    <x v="0"/>
    <x v="0"/>
    <n v="2"/>
  </r>
  <r>
    <x v="18"/>
    <x v="4"/>
    <x v="0"/>
    <x v="0"/>
    <n v="2"/>
  </r>
  <r>
    <x v="53"/>
    <x v="4"/>
    <x v="0"/>
    <x v="0"/>
    <n v="2"/>
  </r>
  <r>
    <x v="63"/>
    <x v="4"/>
    <x v="0"/>
    <x v="0"/>
    <n v="2"/>
  </r>
  <r>
    <x v="21"/>
    <x v="4"/>
    <x v="0"/>
    <x v="0"/>
    <n v="2"/>
  </r>
  <r>
    <x v="65"/>
    <x v="4"/>
    <x v="0"/>
    <x v="0"/>
    <n v="3"/>
  </r>
  <r>
    <x v="77"/>
    <x v="4"/>
    <x v="0"/>
    <x v="0"/>
    <n v="3"/>
  </r>
  <r>
    <x v="74"/>
    <x v="4"/>
    <x v="0"/>
    <x v="0"/>
    <n v="2"/>
  </r>
  <r>
    <x v="43"/>
    <x v="4"/>
    <x v="0"/>
    <x v="0"/>
    <n v="4"/>
  </r>
  <r>
    <x v="76"/>
    <x v="4"/>
    <x v="0"/>
    <x v="0"/>
    <n v="2"/>
  </r>
  <r>
    <x v="6"/>
    <x v="4"/>
    <x v="0"/>
    <x v="0"/>
    <n v="4"/>
  </r>
  <r>
    <x v="59"/>
    <x v="4"/>
    <x v="0"/>
    <x v="0"/>
    <n v="1"/>
  </r>
  <r>
    <x v="78"/>
    <x v="4"/>
    <x v="0"/>
    <x v="0"/>
    <n v="4"/>
  </r>
  <r>
    <x v="79"/>
    <x v="4"/>
    <x v="0"/>
    <x v="0"/>
    <n v="4"/>
  </r>
  <r>
    <x v="99"/>
    <x v="4"/>
    <x v="0"/>
    <x v="0"/>
    <n v="1"/>
  </r>
  <r>
    <x v="34"/>
    <x v="4"/>
    <x v="0"/>
    <x v="0"/>
    <n v="2"/>
  </r>
  <r>
    <x v="69"/>
    <x v="4"/>
    <x v="0"/>
    <x v="0"/>
    <n v="1"/>
  </r>
  <r>
    <x v="92"/>
    <x v="4"/>
    <x v="0"/>
    <x v="0"/>
    <n v="1"/>
  </r>
  <r>
    <x v="36"/>
    <x v="4"/>
    <x v="0"/>
    <x v="0"/>
    <n v="1"/>
  </r>
  <r>
    <x v="61"/>
    <x v="4"/>
    <x v="0"/>
    <x v="0"/>
    <n v="1"/>
  </r>
  <r>
    <x v="38"/>
    <x v="4"/>
    <x v="0"/>
    <x v="0"/>
    <n v="1"/>
  </r>
  <r>
    <x v="60"/>
    <x v="4"/>
    <x v="0"/>
    <x v="0"/>
    <n v="1"/>
  </r>
  <r>
    <x v="40"/>
    <x v="4"/>
    <x v="0"/>
    <x v="0"/>
    <n v="1"/>
  </r>
  <r>
    <x v="82"/>
    <x v="4"/>
    <x v="0"/>
    <x v="0"/>
    <n v="1"/>
  </r>
  <r>
    <x v="20"/>
    <x v="4"/>
    <x v="0"/>
    <x v="0"/>
    <n v="1"/>
  </r>
  <r>
    <x v="100"/>
    <x v="4"/>
    <x v="0"/>
    <x v="0"/>
    <n v="1"/>
  </r>
  <r>
    <x v="57"/>
    <x v="4"/>
    <x v="0"/>
    <x v="0"/>
    <n v="1"/>
  </r>
  <r>
    <x v="64"/>
    <x v="4"/>
    <x v="0"/>
    <x v="0"/>
    <n v="1"/>
  </r>
  <r>
    <x v="22"/>
    <x v="4"/>
    <x v="0"/>
    <x v="0"/>
    <n v="1"/>
  </r>
  <r>
    <x v="50"/>
    <x v="4"/>
    <x v="0"/>
    <x v="0"/>
    <n v="2"/>
  </r>
  <r>
    <x v="7"/>
    <x v="4"/>
    <x v="0"/>
    <x v="0"/>
    <n v="1"/>
  </r>
  <r>
    <x v="48"/>
    <x v="4"/>
    <x v="0"/>
    <x v="0"/>
    <n v="1"/>
  </r>
  <r>
    <x v="85"/>
    <x v="4"/>
    <x v="0"/>
    <x v="0"/>
    <n v="4"/>
  </r>
  <r>
    <x v="28"/>
    <x v="4"/>
    <x v="0"/>
    <x v="0"/>
    <n v="1"/>
  </r>
  <r>
    <x v="86"/>
    <x v="4"/>
    <x v="0"/>
    <x v="0"/>
    <n v="1"/>
  </r>
  <r>
    <x v="45"/>
    <x v="4"/>
    <x v="0"/>
    <x v="0"/>
    <n v="1"/>
  </r>
  <r>
    <x v="91"/>
    <x v="4"/>
    <x v="0"/>
    <x v="0"/>
    <n v="1"/>
  </r>
  <r>
    <x v="58"/>
    <x v="4"/>
    <x v="0"/>
    <x v="0"/>
    <n v="1"/>
  </r>
  <r>
    <x v="24"/>
    <x v="4"/>
    <x v="1"/>
    <x v="0"/>
    <n v="3"/>
  </r>
  <r>
    <x v="26"/>
    <x v="4"/>
    <x v="1"/>
    <x v="0"/>
    <n v="3"/>
  </r>
  <r>
    <x v="2"/>
    <x v="4"/>
    <x v="1"/>
    <x v="0"/>
    <n v="2"/>
  </r>
  <r>
    <x v="55"/>
    <x v="4"/>
    <x v="1"/>
    <x v="0"/>
    <n v="2"/>
  </r>
  <r>
    <x v="13"/>
    <x v="4"/>
    <x v="1"/>
    <x v="0"/>
    <n v="2"/>
  </r>
  <r>
    <x v="28"/>
    <x v="4"/>
    <x v="1"/>
    <x v="0"/>
    <n v="2"/>
  </r>
  <r>
    <x v="5"/>
    <x v="4"/>
    <x v="1"/>
    <x v="0"/>
    <n v="1"/>
  </r>
  <r>
    <x v="47"/>
    <x v="4"/>
    <x v="1"/>
    <x v="0"/>
    <n v="1"/>
  </r>
  <r>
    <x v="81"/>
    <x v="4"/>
    <x v="1"/>
    <x v="0"/>
    <n v="1"/>
  </r>
  <r>
    <x v="98"/>
    <x v="4"/>
    <x v="1"/>
    <x v="0"/>
    <n v="1"/>
  </r>
  <r>
    <x v="57"/>
    <x v="4"/>
    <x v="1"/>
    <x v="0"/>
    <n v="1"/>
  </r>
  <r>
    <x v="64"/>
    <x v="4"/>
    <x v="1"/>
    <x v="0"/>
    <n v="4"/>
  </r>
  <r>
    <x v="31"/>
    <x v="4"/>
    <x v="1"/>
    <x v="0"/>
    <n v="1"/>
  </r>
  <r>
    <x v="29"/>
    <x v="4"/>
    <x v="1"/>
    <x v="0"/>
    <n v="1"/>
  </r>
  <r>
    <x v="27"/>
    <x v="5"/>
    <x v="0"/>
    <x v="0"/>
    <n v="3"/>
  </r>
  <r>
    <x v="46"/>
    <x v="5"/>
    <x v="0"/>
    <x v="0"/>
    <n v="2"/>
  </r>
  <r>
    <x v="26"/>
    <x v="5"/>
    <x v="0"/>
    <x v="0"/>
    <n v="2"/>
  </r>
  <r>
    <x v="31"/>
    <x v="5"/>
    <x v="0"/>
    <x v="0"/>
    <n v="2"/>
  </r>
  <r>
    <x v="9"/>
    <x v="5"/>
    <x v="0"/>
    <x v="0"/>
    <n v="1"/>
  </r>
  <r>
    <x v="79"/>
    <x v="5"/>
    <x v="0"/>
    <x v="0"/>
    <n v="1"/>
  </r>
  <r>
    <x v="0"/>
    <x v="5"/>
    <x v="0"/>
    <x v="0"/>
    <n v="1"/>
  </r>
  <r>
    <x v="51"/>
    <x v="5"/>
    <x v="0"/>
    <x v="0"/>
    <n v="1"/>
  </r>
  <r>
    <x v="75"/>
    <x v="5"/>
    <x v="0"/>
    <x v="0"/>
    <n v="1"/>
  </r>
  <r>
    <x v="37"/>
    <x v="5"/>
    <x v="0"/>
    <x v="0"/>
    <n v="1"/>
  </r>
  <r>
    <x v="10"/>
    <x v="5"/>
    <x v="0"/>
    <x v="0"/>
    <n v="1"/>
  </r>
  <r>
    <x v="11"/>
    <x v="5"/>
    <x v="0"/>
    <x v="0"/>
    <n v="1"/>
  </r>
  <r>
    <x v="12"/>
    <x v="5"/>
    <x v="0"/>
    <x v="0"/>
    <n v="1"/>
  </r>
  <r>
    <x v="60"/>
    <x v="5"/>
    <x v="0"/>
    <x v="0"/>
    <n v="1"/>
  </r>
  <r>
    <x v="40"/>
    <x v="5"/>
    <x v="0"/>
    <x v="0"/>
    <n v="1"/>
  </r>
  <r>
    <x v="16"/>
    <x v="5"/>
    <x v="0"/>
    <x v="0"/>
    <n v="1"/>
  </r>
  <r>
    <x v="18"/>
    <x v="5"/>
    <x v="0"/>
    <x v="0"/>
    <n v="1"/>
  </r>
  <r>
    <x v="19"/>
    <x v="5"/>
    <x v="0"/>
    <x v="0"/>
    <n v="1"/>
  </r>
  <r>
    <x v="7"/>
    <x v="5"/>
    <x v="0"/>
    <x v="0"/>
    <n v="1"/>
  </r>
  <r>
    <x v="24"/>
    <x v="5"/>
    <x v="0"/>
    <x v="0"/>
    <n v="1"/>
  </r>
  <r>
    <x v="84"/>
    <x v="5"/>
    <x v="0"/>
    <x v="0"/>
    <n v="1"/>
  </r>
  <r>
    <x v="25"/>
    <x v="5"/>
    <x v="0"/>
    <x v="0"/>
    <n v="1"/>
  </r>
  <r>
    <x v="88"/>
    <x v="5"/>
    <x v="0"/>
    <x v="0"/>
    <n v="1"/>
  </r>
  <r>
    <x v="45"/>
    <x v="5"/>
    <x v="0"/>
    <x v="0"/>
    <n v="1"/>
  </r>
  <r>
    <x v="29"/>
    <x v="5"/>
    <x v="0"/>
    <x v="0"/>
    <n v="1"/>
  </r>
  <r>
    <x v="31"/>
    <x v="5"/>
    <x v="1"/>
    <x v="0"/>
    <n v="9"/>
  </r>
  <r>
    <x v="44"/>
    <x v="5"/>
    <x v="1"/>
    <x v="0"/>
    <n v="7"/>
  </r>
  <r>
    <x v="12"/>
    <x v="5"/>
    <x v="1"/>
    <x v="0"/>
    <n v="6"/>
  </r>
  <r>
    <x v="23"/>
    <x v="5"/>
    <x v="1"/>
    <x v="0"/>
    <n v="6"/>
  </r>
  <r>
    <x v="50"/>
    <x v="5"/>
    <x v="1"/>
    <x v="0"/>
    <n v="6"/>
  </r>
  <r>
    <x v="43"/>
    <x v="5"/>
    <x v="1"/>
    <x v="0"/>
    <n v="3"/>
  </r>
  <r>
    <x v="46"/>
    <x v="5"/>
    <x v="1"/>
    <x v="0"/>
    <n v="5"/>
  </r>
  <r>
    <x v="6"/>
    <x v="5"/>
    <x v="1"/>
    <x v="0"/>
    <n v="3"/>
  </r>
  <r>
    <x v="26"/>
    <x v="5"/>
    <x v="1"/>
    <x v="0"/>
    <n v="5"/>
  </r>
  <r>
    <x v="42"/>
    <x v="5"/>
    <x v="1"/>
    <x v="0"/>
    <n v="4"/>
  </r>
  <r>
    <x v="58"/>
    <x v="5"/>
    <x v="1"/>
    <x v="0"/>
    <n v="4"/>
  </r>
  <r>
    <x v="33"/>
    <x v="5"/>
    <x v="1"/>
    <x v="0"/>
    <n v="3"/>
  </r>
  <r>
    <x v="55"/>
    <x v="5"/>
    <x v="1"/>
    <x v="0"/>
    <n v="3"/>
  </r>
  <r>
    <x v="51"/>
    <x v="5"/>
    <x v="1"/>
    <x v="0"/>
    <n v="3"/>
  </r>
  <r>
    <x v="47"/>
    <x v="5"/>
    <x v="1"/>
    <x v="0"/>
    <n v="3"/>
  </r>
  <r>
    <x v="39"/>
    <x v="5"/>
    <x v="1"/>
    <x v="0"/>
    <n v="2"/>
  </r>
  <r>
    <x v="21"/>
    <x v="5"/>
    <x v="1"/>
    <x v="0"/>
    <n v="2"/>
  </r>
  <r>
    <x v="67"/>
    <x v="5"/>
    <x v="1"/>
    <x v="0"/>
    <n v="2"/>
  </r>
  <r>
    <x v="68"/>
    <x v="5"/>
    <x v="1"/>
    <x v="0"/>
    <n v="2"/>
  </r>
  <r>
    <x v="24"/>
    <x v="5"/>
    <x v="1"/>
    <x v="0"/>
    <n v="3"/>
  </r>
  <r>
    <x v="27"/>
    <x v="5"/>
    <x v="1"/>
    <x v="0"/>
    <n v="4"/>
  </r>
  <r>
    <x v="77"/>
    <x v="5"/>
    <x v="1"/>
    <x v="0"/>
    <n v="4"/>
  </r>
  <r>
    <x v="2"/>
    <x v="5"/>
    <x v="1"/>
    <x v="0"/>
    <n v="1"/>
  </r>
  <r>
    <x v="79"/>
    <x v="5"/>
    <x v="1"/>
    <x v="0"/>
    <n v="1"/>
  </r>
  <r>
    <x v="34"/>
    <x v="5"/>
    <x v="1"/>
    <x v="0"/>
    <n v="1"/>
  </r>
  <r>
    <x v="0"/>
    <x v="5"/>
    <x v="1"/>
    <x v="0"/>
    <n v="1"/>
  </r>
  <r>
    <x v="37"/>
    <x v="5"/>
    <x v="1"/>
    <x v="0"/>
    <n v="2"/>
  </r>
  <r>
    <x v="11"/>
    <x v="5"/>
    <x v="1"/>
    <x v="0"/>
    <n v="1"/>
  </r>
  <r>
    <x v="1"/>
    <x v="5"/>
    <x v="1"/>
    <x v="0"/>
    <n v="1"/>
  </r>
  <r>
    <x v="81"/>
    <x v="5"/>
    <x v="1"/>
    <x v="0"/>
    <n v="1"/>
  </r>
  <r>
    <x v="71"/>
    <x v="5"/>
    <x v="1"/>
    <x v="0"/>
    <n v="1"/>
  </r>
  <r>
    <x v="40"/>
    <x v="5"/>
    <x v="1"/>
    <x v="0"/>
    <n v="1"/>
  </r>
  <r>
    <x v="82"/>
    <x v="5"/>
    <x v="1"/>
    <x v="0"/>
    <n v="1"/>
  </r>
  <r>
    <x v="17"/>
    <x v="5"/>
    <x v="1"/>
    <x v="0"/>
    <n v="1"/>
  </r>
  <r>
    <x v="20"/>
    <x v="5"/>
    <x v="1"/>
    <x v="0"/>
    <n v="1"/>
  </r>
  <r>
    <x v="65"/>
    <x v="5"/>
    <x v="1"/>
    <x v="0"/>
    <n v="2"/>
  </r>
  <r>
    <x v="7"/>
    <x v="5"/>
    <x v="1"/>
    <x v="0"/>
    <n v="1"/>
  </r>
  <r>
    <x v="48"/>
    <x v="5"/>
    <x v="1"/>
    <x v="0"/>
    <n v="1"/>
  </r>
  <r>
    <x v="84"/>
    <x v="5"/>
    <x v="1"/>
    <x v="0"/>
    <n v="2"/>
  </r>
  <r>
    <x v="88"/>
    <x v="5"/>
    <x v="1"/>
    <x v="0"/>
    <n v="2"/>
  </r>
  <r>
    <x v="45"/>
    <x v="5"/>
    <x v="1"/>
    <x v="0"/>
    <n v="1"/>
  </r>
  <r>
    <x v="29"/>
    <x v="5"/>
    <x v="1"/>
    <x v="0"/>
    <n v="1"/>
  </r>
  <r>
    <x v="30"/>
    <x v="5"/>
    <x v="1"/>
    <x v="0"/>
    <n v="1"/>
  </r>
  <r>
    <x v="26"/>
    <x v="6"/>
    <x v="0"/>
    <x v="0"/>
    <n v="6"/>
  </r>
  <r>
    <x v="31"/>
    <x v="6"/>
    <x v="0"/>
    <x v="0"/>
    <n v="5"/>
  </r>
  <r>
    <x v="10"/>
    <x v="6"/>
    <x v="0"/>
    <x v="0"/>
    <n v="3"/>
  </r>
  <r>
    <x v="49"/>
    <x v="6"/>
    <x v="0"/>
    <x v="0"/>
    <n v="4"/>
  </r>
  <r>
    <x v="32"/>
    <x v="6"/>
    <x v="0"/>
    <x v="0"/>
    <n v="2"/>
  </r>
  <r>
    <x v="8"/>
    <x v="6"/>
    <x v="0"/>
    <x v="0"/>
    <n v="2"/>
  </r>
  <r>
    <x v="54"/>
    <x v="6"/>
    <x v="0"/>
    <x v="0"/>
    <n v="3"/>
  </r>
  <r>
    <x v="33"/>
    <x v="6"/>
    <x v="0"/>
    <x v="0"/>
    <n v="2"/>
  </r>
  <r>
    <x v="51"/>
    <x v="6"/>
    <x v="0"/>
    <x v="0"/>
    <n v="2"/>
  </r>
  <r>
    <x v="75"/>
    <x v="6"/>
    <x v="0"/>
    <x v="0"/>
    <n v="2"/>
  </r>
  <r>
    <x v="56"/>
    <x v="6"/>
    <x v="0"/>
    <x v="0"/>
    <n v="2"/>
  </r>
  <r>
    <x v="11"/>
    <x v="6"/>
    <x v="0"/>
    <x v="0"/>
    <n v="2"/>
  </r>
  <r>
    <x v="81"/>
    <x v="6"/>
    <x v="0"/>
    <x v="0"/>
    <n v="2"/>
  </r>
  <r>
    <x v="60"/>
    <x v="6"/>
    <x v="0"/>
    <x v="0"/>
    <n v="2"/>
  </r>
  <r>
    <x v="41"/>
    <x v="6"/>
    <x v="0"/>
    <x v="0"/>
    <n v="2"/>
  </r>
  <r>
    <x v="82"/>
    <x v="6"/>
    <x v="0"/>
    <x v="0"/>
    <n v="2"/>
  </r>
  <r>
    <x v="19"/>
    <x v="6"/>
    <x v="0"/>
    <x v="0"/>
    <n v="2"/>
  </r>
  <r>
    <x v="53"/>
    <x v="6"/>
    <x v="0"/>
    <x v="0"/>
    <n v="2"/>
  </r>
  <r>
    <x v="23"/>
    <x v="6"/>
    <x v="0"/>
    <x v="0"/>
    <n v="2"/>
  </r>
  <r>
    <x v="7"/>
    <x v="6"/>
    <x v="0"/>
    <x v="0"/>
    <n v="2"/>
  </r>
  <r>
    <x v="24"/>
    <x v="6"/>
    <x v="0"/>
    <x v="0"/>
    <n v="2"/>
  </r>
  <r>
    <x v="27"/>
    <x v="6"/>
    <x v="0"/>
    <x v="0"/>
    <n v="2"/>
  </r>
  <r>
    <x v="30"/>
    <x v="6"/>
    <x v="0"/>
    <x v="0"/>
    <n v="2"/>
  </r>
  <r>
    <x v="9"/>
    <x v="6"/>
    <x v="0"/>
    <x v="0"/>
    <n v="1"/>
  </r>
  <r>
    <x v="4"/>
    <x v="6"/>
    <x v="0"/>
    <x v="0"/>
    <n v="1"/>
  </r>
  <r>
    <x v="5"/>
    <x v="6"/>
    <x v="0"/>
    <x v="0"/>
    <n v="1"/>
  </r>
  <r>
    <x v="78"/>
    <x v="6"/>
    <x v="0"/>
    <x v="0"/>
    <n v="1"/>
  </r>
  <r>
    <x v="79"/>
    <x v="6"/>
    <x v="0"/>
    <x v="0"/>
    <n v="1"/>
  </r>
  <r>
    <x v="0"/>
    <x v="6"/>
    <x v="0"/>
    <x v="0"/>
    <n v="1"/>
  </r>
  <r>
    <x v="3"/>
    <x v="6"/>
    <x v="0"/>
    <x v="0"/>
    <n v="1"/>
  </r>
  <r>
    <x v="35"/>
    <x v="6"/>
    <x v="0"/>
    <x v="0"/>
    <n v="1"/>
  </r>
  <r>
    <x v="47"/>
    <x v="6"/>
    <x v="0"/>
    <x v="0"/>
    <n v="1"/>
  </r>
  <r>
    <x v="92"/>
    <x v="6"/>
    <x v="0"/>
    <x v="0"/>
    <n v="1"/>
  </r>
  <r>
    <x v="12"/>
    <x v="6"/>
    <x v="0"/>
    <x v="0"/>
    <n v="1"/>
  </r>
  <r>
    <x v="61"/>
    <x v="6"/>
    <x v="0"/>
    <x v="0"/>
    <n v="1"/>
  </r>
  <r>
    <x v="38"/>
    <x v="6"/>
    <x v="0"/>
    <x v="0"/>
    <n v="1"/>
  </r>
  <r>
    <x v="62"/>
    <x v="6"/>
    <x v="0"/>
    <x v="0"/>
    <n v="1"/>
  </r>
  <r>
    <x v="70"/>
    <x v="6"/>
    <x v="0"/>
    <x v="0"/>
    <n v="1"/>
  </r>
  <r>
    <x v="52"/>
    <x v="6"/>
    <x v="0"/>
    <x v="0"/>
    <n v="1"/>
  </r>
  <r>
    <x v="39"/>
    <x v="6"/>
    <x v="0"/>
    <x v="0"/>
    <n v="1"/>
  </r>
  <r>
    <x v="43"/>
    <x v="6"/>
    <x v="0"/>
    <x v="0"/>
    <n v="1"/>
  </r>
  <r>
    <x v="40"/>
    <x v="6"/>
    <x v="0"/>
    <x v="0"/>
    <n v="1"/>
  </r>
  <r>
    <x v="76"/>
    <x v="6"/>
    <x v="0"/>
    <x v="0"/>
    <n v="1"/>
  </r>
  <r>
    <x v="15"/>
    <x v="6"/>
    <x v="0"/>
    <x v="0"/>
    <n v="1"/>
  </r>
  <r>
    <x v="16"/>
    <x v="6"/>
    <x v="0"/>
    <x v="0"/>
    <n v="1"/>
  </r>
  <r>
    <x v="17"/>
    <x v="6"/>
    <x v="0"/>
    <x v="0"/>
    <n v="1"/>
  </r>
  <r>
    <x v="18"/>
    <x v="6"/>
    <x v="0"/>
    <x v="0"/>
    <n v="1"/>
  </r>
  <r>
    <x v="20"/>
    <x v="6"/>
    <x v="0"/>
    <x v="0"/>
    <n v="2"/>
  </r>
  <r>
    <x v="63"/>
    <x v="6"/>
    <x v="0"/>
    <x v="0"/>
    <n v="1"/>
  </r>
  <r>
    <x v="21"/>
    <x v="6"/>
    <x v="0"/>
    <x v="0"/>
    <n v="1"/>
  </r>
  <r>
    <x v="64"/>
    <x v="6"/>
    <x v="0"/>
    <x v="0"/>
    <n v="1"/>
  </r>
  <r>
    <x v="72"/>
    <x v="6"/>
    <x v="0"/>
    <x v="0"/>
    <n v="1"/>
  </r>
  <r>
    <x v="50"/>
    <x v="6"/>
    <x v="0"/>
    <x v="0"/>
    <n v="1"/>
  </r>
  <r>
    <x v="77"/>
    <x v="6"/>
    <x v="0"/>
    <x v="0"/>
    <n v="2"/>
  </r>
  <r>
    <x v="25"/>
    <x v="6"/>
    <x v="0"/>
    <x v="0"/>
    <n v="1"/>
  </r>
  <r>
    <x v="85"/>
    <x v="6"/>
    <x v="0"/>
    <x v="0"/>
    <n v="1"/>
  </r>
  <r>
    <x v="101"/>
    <x v="6"/>
    <x v="0"/>
    <x v="0"/>
    <n v="1"/>
  </r>
  <r>
    <x v="45"/>
    <x v="6"/>
    <x v="0"/>
    <x v="0"/>
    <n v="2"/>
  </r>
  <r>
    <x v="58"/>
    <x v="6"/>
    <x v="0"/>
    <x v="0"/>
    <n v="1"/>
  </r>
  <r>
    <x v="7"/>
    <x v="6"/>
    <x v="1"/>
    <x v="0"/>
    <n v="9"/>
  </r>
  <r>
    <x v="39"/>
    <x v="6"/>
    <x v="1"/>
    <x v="0"/>
    <n v="6"/>
  </r>
  <r>
    <x v="29"/>
    <x v="6"/>
    <x v="1"/>
    <x v="0"/>
    <n v="7"/>
  </r>
  <r>
    <x v="23"/>
    <x v="6"/>
    <x v="1"/>
    <x v="0"/>
    <n v="4"/>
  </r>
  <r>
    <x v="77"/>
    <x v="6"/>
    <x v="1"/>
    <x v="0"/>
    <n v="4"/>
  </r>
  <r>
    <x v="91"/>
    <x v="6"/>
    <x v="1"/>
    <x v="0"/>
    <n v="6"/>
  </r>
  <r>
    <x v="33"/>
    <x v="6"/>
    <x v="1"/>
    <x v="0"/>
    <n v="5"/>
  </r>
  <r>
    <x v="56"/>
    <x v="6"/>
    <x v="1"/>
    <x v="0"/>
    <n v="3"/>
  </r>
  <r>
    <x v="50"/>
    <x v="6"/>
    <x v="1"/>
    <x v="0"/>
    <n v="3"/>
  </r>
  <r>
    <x v="73"/>
    <x v="6"/>
    <x v="1"/>
    <x v="0"/>
    <n v="3"/>
  </r>
  <r>
    <x v="95"/>
    <x v="6"/>
    <x v="1"/>
    <x v="0"/>
    <n v="4"/>
  </r>
  <r>
    <x v="42"/>
    <x v="6"/>
    <x v="1"/>
    <x v="0"/>
    <n v="2"/>
  </r>
  <r>
    <x v="64"/>
    <x v="6"/>
    <x v="1"/>
    <x v="0"/>
    <n v="2"/>
  </r>
  <r>
    <x v="2"/>
    <x v="6"/>
    <x v="1"/>
    <x v="0"/>
    <n v="1"/>
  </r>
  <r>
    <x v="55"/>
    <x v="6"/>
    <x v="1"/>
    <x v="0"/>
    <n v="1"/>
  </r>
  <r>
    <x v="47"/>
    <x v="6"/>
    <x v="1"/>
    <x v="0"/>
    <n v="3"/>
  </r>
  <r>
    <x v="37"/>
    <x v="6"/>
    <x v="1"/>
    <x v="0"/>
    <n v="1"/>
  </r>
  <r>
    <x v="1"/>
    <x v="6"/>
    <x v="1"/>
    <x v="0"/>
    <n v="1"/>
  </r>
  <r>
    <x v="81"/>
    <x v="6"/>
    <x v="1"/>
    <x v="0"/>
    <n v="1"/>
  </r>
  <r>
    <x v="98"/>
    <x v="6"/>
    <x v="1"/>
    <x v="0"/>
    <n v="1"/>
  </r>
  <r>
    <x v="71"/>
    <x v="6"/>
    <x v="1"/>
    <x v="0"/>
    <n v="1"/>
  </r>
  <r>
    <x v="43"/>
    <x v="6"/>
    <x v="1"/>
    <x v="0"/>
    <n v="1"/>
  </r>
  <r>
    <x v="21"/>
    <x v="6"/>
    <x v="1"/>
    <x v="0"/>
    <n v="1"/>
  </r>
  <r>
    <x v="72"/>
    <x v="6"/>
    <x v="1"/>
    <x v="0"/>
    <n v="1"/>
  </r>
  <r>
    <x v="65"/>
    <x v="6"/>
    <x v="1"/>
    <x v="0"/>
    <n v="1"/>
  </r>
  <r>
    <x v="48"/>
    <x v="6"/>
    <x v="1"/>
    <x v="0"/>
    <n v="1"/>
  </r>
  <r>
    <x v="49"/>
    <x v="6"/>
    <x v="1"/>
    <x v="0"/>
    <n v="1"/>
  </r>
  <r>
    <x v="31"/>
    <x v="6"/>
    <x v="1"/>
    <x v="0"/>
    <n v="2"/>
  </r>
  <r>
    <x v="27"/>
    <x v="6"/>
    <x v="1"/>
    <x v="0"/>
    <n v="3"/>
  </r>
  <r>
    <x v="28"/>
    <x v="6"/>
    <x v="1"/>
    <x v="0"/>
    <n v="1"/>
  </r>
  <r>
    <x v="97"/>
    <x v="6"/>
    <x v="1"/>
    <x v="0"/>
    <n v="1"/>
  </r>
  <r>
    <x v="45"/>
    <x v="6"/>
    <x v="1"/>
    <x v="0"/>
    <n v="1"/>
  </r>
  <r>
    <x v="31"/>
    <x v="7"/>
    <x v="0"/>
    <x v="0"/>
    <n v="11"/>
  </r>
  <r>
    <x v="12"/>
    <x v="7"/>
    <x v="0"/>
    <x v="0"/>
    <n v="6"/>
  </r>
  <r>
    <x v="25"/>
    <x v="7"/>
    <x v="0"/>
    <x v="0"/>
    <n v="5"/>
  </r>
  <r>
    <x v="26"/>
    <x v="7"/>
    <x v="0"/>
    <x v="0"/>
    <n v="6"/>
  </r>
  <r>
    <x v="27"/>
    <x v="7"/>
    <x v="0"/>
    <x v="0"/>
    <n v="5"/>
  </r>
  <r>
    <x v="3"/>
    <x v="7"/>
    <x v="0"/>
    <x v="0"/>
    <n v="4"/>
  </r>
  <r>
    <x v="7"/>
    <x v="7"/>
    <x v="0"/>
    <x v="0"/>
    <n v="4"/>
  </r>
  <r>
    <x v="24"/>
    <x v="7"/>
    <x v="0"/>
    <x v="0"/>
    <n v="5"/>
  </r>
  <r>
    <x v="6"/>
    <x v="7"/>
    <x v="0"/>
    <x v="0"/>
    <n v="3"/>
  </r>
  <r>
    <x v="4"/>
    <x v="7"/>
    <x v="0"/>
    <x v="0"/>
    <n v="3"/>
  </r>
  <r>
    <x v="2"/>
    <x v="7"/>
    <x v="0"/>
    <x v="0"/>
    <n v="3"/>
  </r>
  <r>
    <x v="5"/>
    <x v="7"/>
    <x v="0"/>
    <x v="0"/>
    <n v="3"/>
  </r>
  <r>
    <x v="54"/>
    <x v="7"/>
    <x v="0"/>
    <x v="0"/>
    <n v="5"/>
  </r>
  <r>
    <x v="33"/>
    <x v="7"/>
    <x v="0"/>
    <x v="0"/>
    <n v="3"/>
  </r>
  <r>
    <x v="35"/>
    <x v="7"/>
    <x v="0"/>
    <x v="0"/>
    <n v="3"/>
  </r>
  <r>
    <x v="11"/>
    <x v="7"/>
    <x v="0"/>
    <x v="0"/>
    <n v="4"/>
  </r>
  <r>
    <x v="16"/>
    <x v="7"/>
    <x v="0"/>
    <x v="0"/>
    <n v="3"/>
  </r>
  <r>
    <x v="53"/>
    <x v="7"/>
    <x v="0"/>
    <x v="0"/>
    <n v="3"/>
  </r>
  <r>
    <x v="49"/>
    <x v="7"/>
    <x v="0"/>
    <x v="0"/>
    <n v="8"/>
  </r>
  <r>
    <x v="58"/>
    <x v="7"/>
    <x v="0"/>
    <x v="0"/>
    <n v="3"/>
  </r>
  <r>
    <x v="32"/>
    <x v="7"/>
    <x v="0"/>
    <x v="0"/>
    <n v="2"/>
  </r>
  <r>
    <x v="8"/>
    <x v="7"/>
    <x v="0"/>
    <x v="0"/>
    <n v="2"/>
  </r>
  <r>
    <x v="9"/>
    <x v="7"/>
    <x v="0"/>
    <x v="0"/>
    <n v="2"/>
  </r>
  <r>
    <x v="55"/>
    <x v="7"/>
    <x v="0"/>
    <x v="0"/>
    <n v="2"/>
  </r>
  <r>
    <x v="0"/>
    <x v="7"/>
    <x v="0"/>
    <x v="0"/>
    <n v="2"/>
  </r>
  <r>
    <x v="47"/>
    <x v="7"/>
    <x v="0"/>
    <x v="0"/>
    <n v="2"/>
  </r>
  <r>
    <x v="75"/>
    <x v="7"/>
    <x v="0"/>
    <x v="0"/>
    <n v="2"/>
  </r>
  <r>
    <x v="56"/>
    <x v="7"/>
    <x v="0"/>
    <x v="0"/>
    <n v="2"/>
  </r>
  <r>
    <x v="10"/>
    <x v="7"/>
    <x v="0"/>
    <x v="0"/>
    <n v="2"/>
  </r>
  <r>
    <x v="61"/>
    <x v="7"/>
    <x v="0"/>
    <x v="0"/>
    <n v="2"/>
  </r>
  <r>
    <x v="38"/>
    <x v="7"/>
    <x v="0"/>
    <x v="0"/>
    <n v="2"/>
  </r>
  <r>
    <x v="39"/>
    <x v="7"/>
    <x v="0"/>
    <x v="0"/>
    <n v="4"/>
  </r>
  <r>
    <x v="76"/>
    <x v="7"/>
    <x v="0"/>
    <x v="0"/>
    <n v="2"/>
  </r>
  <r>
    <x v="18"/>
    <x v="7"/>
    <x v="0"/>
    <x v="0"/>
    <n v="3"/>
  </r>
  <r>
    <x v="73"/>
    <x v="7"/>
    <x v="0"/>
    <x v="0"/>
    <n v="2"/>
  </r>
  <r>
    <x v="29"/>
    <x v="7"/>
    <x v="0"/>
    <x v="0"/>
    <n v="2"/>
  </r>
  <r>
    <x v="92"/>
    <x v="7"/>
    <x v="0"/>
    <x v="0"/>
    <n v="2"/>
  </r>
  <r>
    <x v="102"/>
    <x v="7"/>
    <x v="0"/>
    <x v="0"/>
    <n v="1"/>
  </r>
  <r>
    <x v="78"/>
    <x v="7"/>
    <x v="0"/>
    <x v="0"/>
    <n v="1"/>
  </r>
  <r>
    <x v="79"/>
    <x v="7"/>
    <x v="0"/>
    <x v="0"/>
    <n v="1"/>
  </r>
  <r>
    <x v="34"/>
    <x v="7"/>
    <x v="0"/>
    <x v="0"/>
    <n v="1"/>
  </r>
  <r>
    <x v="69"/>
    <x v="7"/>
    <x v="0"/>
    <x v="0"/>
    <n v="1"/>
  </r>
  <r>
    <x v="51"/>
    <x v="7"/>
    <x v="0"/>
    <x v="0"/>
    <n v="1"/>
  </r>
  <r>
    <x v="37"/>
    <x v="7"/>
    <x v="0"/>
    <x v="0"/>
    <n v="2"/>
  </r>
  <r>
    <x v="46"/>
    <x v="7"/>
    <x v="0"/>
    <x v="0"/>
    <n v="1"/>
  </r>
  <r>
    <x v="80"/>
    <x v="7"/>
    <x v="0"/>
    <x v="0"/>
    <n v="1"/>
  </r>
  <r>
    <x v="62"/>
    <x v="7"/>
    <x v="0"/>
    <x v="0"/>
    <n v="1"/>
  </r>
  <r>
    <x v="70"/>
    <x v="7"/>
    <x v="0"/>
    <x v="0"/>
    <n v="1"/>
  </r>
  <r>
    <x v="13"/>
    <x v="7"/>
    <x v="0"/>
    <x v="0"/>
    <n v="1"/>
  </r>
  <r>
    <x v="1"/>
    <x v="7"/>
    <x v="0"/>
    <x v="0"/>
    <n v="1"/>
  </r>
  <r>
    <x v="14"/>
    <x v="7"/>
    <x v="0"/>
    <x v="0"/>
    <n v="1"/>
  </r>
  <r>
    <x v="52"/>
    <x v="7"/>
    <x v="0"/>
    <x v="0"/>
    <n v="1"/>
  </r>
  <r>
    <x v="60"/>
    <x v="7"/>
    <x v="0"/>
    <x v="0"/>
    <n v="1"/>
  </r>
  <r>
    <x v="40"/>
    <x v="7"/>
    <x v="0"/>
    <x v="0"/>
    <n v="1"/>
  </r>
  <r>
    <x v="41"/>
    <x v="7"/>
    <x v="0"/>
    <x v="0"/>
    <n v="1"/>
  </r>
  <r>
    <x v="15"/>
    <x v="7"/>
    <x v="0"/>
    <x v="0"/>
    <n v="2"/>
  </r>
  <r>
    <x v="17"/>
    <x v="7"/>
    <x v="0"/>
    <x v="0"/>
    <n v="1"/>
  </r>
  <r>
    <x v="19"/>
    <x v="7"/>
    <x v="0"/>
    <x v="0"/>
    <n v="1"/>
  </r>
  <r>
    <x v="20"/>
    <x v="7"/>
    <x v="0"/>
    <x v="0"/>
    <n v="1"/>
  </r>
  <r>
    <x v="21"/>
    <x v="7"/>
    <x v="0"/>
    <x v="0"/>
    <n v="1"/>
  </r>
  <r>
    <x v="65"/>
    <x v="7"/>
    <x v="0"/>
    <x v="0"/>
    <n v="1"/>
  </r>
  <r>
    <x v="66"/>
    <x v="7"/>
    <x v="0"/>
    <x v="0"/>
    <n v="1"/>
  </r>
  <r>
    <x v="48"/>
    <x v="7"/>
    <x v="0"/>
    <x v="0"/>
    <n v="1"/>
  </r>
  <r>
    <x v="84"/>
    <x v="7"/>
    <x v="0"/>
    <x v="0"/>
    <n v="1"/>
  </r>
  <r>
    <x v="85"/>
    <x v="7"/>
    <x v="0"/>
    <x v="0"/>
    <n v="1"/>
  </r>
  <r>
    <x v="28"/>
    <x v="7"/>
    <x v="0"/>
    <x v="0"/>
    <n v="1"/>
  </r>
  <r>
    <x v="101"/>
    <x v="7"/>
    <x v="0"/>
    <x v="0"/>
    <n v="1"/>
  </r>
  <r>
    <x v="103"/>
    <x v="7"/>
    <x v="0"/>
    <x v="0"/>
    <n v="1"/>
  </r>
  <r>
    <x v="88"/>
    <x v="7"/>
    <x v="0"/>
    <x v="0"/>
    <n v="1"/>
  </r>
  <r>
    <x v="45"/>
    <x v="7"/>
    <x v="0"/>
    <x v="0"/>
    <n v="1"/>
  </r>
  <r>
    <x v="30"/>
    <x v="7"/>
    <x v="0"/>
    <x v="0"/>
    <n v="1"/>
  </r>
  <r>
    <x v="42"/>
    <x v="7"/>
    <x v="0"/>
    <x v="0"/>
    <n v="1"/>
  </r>
  <r>
    <x v="23"/>
    <x v="7"/>
    <x v="1"/>
    <x v="0"/>
    <n v="5"/>
  </r>
  <r>
    <x v="42"/>
    <x v="7"/>
    <x v="1"/>
    <x v="0"/>
    <n v="4"/>
  </r>
  <r>
    <x v="26"/>
    <x v="7"/>
    <x v="1"/>
    <x v="0"/>
    <n v="3"/>
  </r>
  <r>
    <x v="0"/>
    <x v="7"/>
    <x v="1"/>
    <x v="0"/>
    <n v="2"/>
  </r>
  <r>
    <x v="47"/>
    <x v="7"/>
    <x v="1"/>
    <x v="0"/>
    <n v="2"/>
  </r>
  <r>
    <x v="41"/>
    <x v="7"/>
    <x v="1"/>
    <x v="0"/>
    <n v="2"/>
  </r>
  <r>
    <x v="15"/>
    <x v="7"/>
    <x v="1"/>
    <x v="0"/>
    <n v="2"/>
  </r>
  <r>
    <x v="66"/>
    <x v="7"/>
    <x v="1"/>
    <x v="0"/>
    <n v="3"/>
  </r>
  <r>
    <x v="24"/>
    <x v="7"/>
    <x v="1"/>
    <x v="0"/>
    <n v="2"/>
  </r>
  <r>
    <x v="25"/>
    <x v="7"/>
    <x v="1"/>
    <x v="0"/>
    <n v="2"/>
  </r>
  <r>
    <x v="27"/>
    <x v="7"/>
    <x v="1"/>
    <x v="0"/>
    <n v="2"/>
  </r>
  <r>
    <x v="32"/>
    <x v="7"/>
    <x v="1"/>
    <x v="0"/>
    <n v="1"/>
  </r>
  <r>
    <x v="8"/>
    <x v="7"/>
    <x v="1"/>
    <x v="0"/>
    <n v="1"/>
  </r>
  <r>
    <x v="9"/>
    <x v="7"/>
    <x v="1"/>
    <x v="0"/>
    <n v="1"/>
  </r>
  <r>
    <x v="4"/>
    <x v="7"/>
    <x v="1"/>
    <x v="0"/>
    <n v="1"/>
  </r>
  <r>
    <x v="59"/>
    <x v="7"/>
    <x v="1"/>
    <x v="0"/>
    <n v="1"/>
  </r>
  <r>
    <x v="2"/>
    <x v="7"/>
    <x v="1"/>
    <x v="0"/>
    <n v="1"/>
  </r>
  <r>
    <x v="5"/>
    <x v="7"/>
    <x v="1"/>
    <x v="0"/>
    <n v="1"/>
  </r>
  <r>
    <x v="3"/>
    <x v="7"/>
    <x v="1"/>
    <x v="0"/>
    <n v="1"/>
  </r>
  <r>
    <x v="35"/>
    <x v="7"/>
    <x v="1"/>
    <x v="0"/>
    <n v="1"/>
  </r>
  <r>
    <x v="36"/>
    <x v="7"/>
    <x v="1"/>
    <x v="0"/>
    <n v="1"/>
  </r>
  <r>
    <x v="37"/>
    <x v="7"/>
    <x v="1"/>
    <x v="0"/>
    <n v="1"/>
  </r>
  <r>
    <x v="10"/>
    <x v="7"/>
    <x v="1"/>
    <x v="0"/>
    <n v="1"/>
  </r>
  <r>
    <x v="11"/>
    <x v="7"/>
    <x v="1"/>
    <x v="0"/>
    <n v="1"/>
  </r>
  <r>
    <x v="46"/>
    <x v="7"/>
    <x v="1"/>
    <x v="0"/>
    <n v="1"/>
  </r>
  <r>
    <x v="38"/>
    <x v="7"/>
    <x v="1"/>
    <x v="0"/>
    <n v="1"/>
  </r>
  <r>
    <x v="13"/>
    <x v="7"/>
    <x v="1"/>
    <x v="0"/>
    <n v="1"/>
  </r>
  <r>
    <x v="52"/>
    <x v="7"/>
    <x v="1"/>
    <x v="0"/>
    <n v="1"/>
  </r>
  <r>
    <x v="40"/>
    <x v="7"/>
    <x v="1"/>
    <x v="0"/>
    <n v="1"/>
  </r>
  <r>
    <x v="16"/>
    <x v="7"/>
    <x v="1"/>
    <x v="0"/>
    <n v="1"/>
  </r>
  <r>
    <x v="18"/>
    <x v="7"/>
    <x v="1"/>
    <x v="0"/>
    <n v="1"/>
  </r>
  <r>
    <x v="53"/>
    <x v="7"/>
    <x v="1"/>
    <x v="0"/>
    <n v="1"/>
  </r>
  <r>
    <x v="57"/>
    <x v="7"/>
    <x v="1"/>
    <x v="0"/>
    <n v="1"/>
  </r>
  <r>
    <x v="7"/>
    <x v="7"/>
    <x v="1"/>
    <x v="0"/>
    <n v="1"/>
  </r>
  <r>
    <x v="31"/>
    <x v="7"/>
    <x v="1"/>
    <x v="0"/>
    <n v="1"/>
  </r>
  <r>
    <x v="28"/>
    <x v="7"/>
    <x v="1"/>
    <x v="0"/>
    <n v="1"/>
  </r>
  <r>
    <x v="86"/>
    <x v="7"/>
    <x v="1"/>
    <x v="0"/>
    <n v="1"/>
  </r>
  <r>
    <x v="87"/>
    <x v="7"/>
    <x v="1"/>
    <x v="0"/>
    <n v="1"/>
  </r>
  <r>
    <x v="30"/>
    <x v="7"/>
    <x v="1"/>
    <x v="0"/>
    <n v="1"/>
  </r>
  <r>
    <x v="58"/>
    <x v="7"/>
    <x v="1"/>
    <x v="0"/>
    <n v="1"/>
  </r>
  <r>
    <x v="84"/>
    <x v="0"/>
    <x v="0"/>
    <x v="1"/>
    <n v="5"/>
  </r>
  <r>
    <x v="28"/>
    <x v="0"/>
    <x v="0"/>
    <x v="1"/>
    <n v="5"/>
  </r>
  <r>
    <x v="56"/>
    <x v="0"/>
    <x v="0"/>
    <x v="1"/>
    <n v="5"/>
  </r>
  <r>
    <x v="27"/>
    <x v="0"/>
    <x v="0"/>
    <x v="1"/>
    <n v="4"/>
  </r>
  <r>
    <x v="88"/>
    <x v="0"/>
    <x v="0"/>
    <x v="1"/>
    <n v="4"/>
  </r>
  <r>
    <x v="47"/>
    <x v="0"/>
    <x v="0"/>
    <x v="1"/>
    <n v="3"/>
  </r>
  <r>
    <x v="51"/>
    <x v="0"/>
    <x v="0"/>
    <x v="1"/>
    <n v="2"/>
  </r>
  <r>
    <x v="10"/>
    <x v="0"/>
    <x v="0"/>
    <x v="1"/>
    <n v="2"/>
  </r>
  <r>
    <x v="62"/>
    <x v="0"/>
    <x v="0"/>
    <x v="1"/>
    <n v="2"/>
  </r>
  <r>
    <x v="48"/>
    <x v="0"/>
    <x v="0"/>
    <x v="1"/>
    <n v="2"/>
  </r>
  <r>
    <x v="26"/>
    <x v="0"/>
    <x v="0"/>
    <x v="1"/>
    <n v="2"/>
  </r>
  <r>
    <x v="3"/>
    <x v="0"/>
    <x v="0"/>
    <x v="1"/>
    <n v="1"/>
  </r>
  <r>
    <x v="35"/>
    <x v="0"/>
    <x v="0"/>
    <x v="1"/>
    <n v="1"/>
  </r>
  <r>
    <x v="75"/>
    <x v="0"/>
    <x v="0"/>
    <x v="1"/>
    <n v="1"/>
  </r>
  <r>
    <x v="36"/>
    <x v="0"/>
    <x v="0"/>
    <x v="1"/>
    <n v="1"/>
  </r>
  <r>
    <x v="11"/>
    <x v="0"/>
    <x v="0"/>
    <x v="1"/>
    <n v="1"/>
  </r>
  <r>
    <x v="12"/>
    <x v="0"/>
    <x v="0"/>
    <x v="1"/>
    <n v="1"/>
  </r>
  <r>
    <x v="61"/>
    <x v="0"/>
    <x v="0"/>
    <x v="1"/>
    <n v="1"/>
  </r>
  <r>
    <x v="38"/>
    <x v="0"/>
    <x v="0"/>
    <x v="1"/>
    <n v="1"/>
  </r>
  <r>
    <x v="80"/>
    <x v="0"/>
    <x v="0"/>
    <x v="1"/>
    <n v="1"/>
  </r>
  <r>
    <x v="70"/>
    <x v="0"/>
    <x v="0"/>
    <x v="1"/>
    <n v="1"/>
  </r>
  <r>
    <x v="76"/>
    <x v="0"/>
    <x v="0"/>
    <x v="1"/>
    <n v="1"/>
  </r>
  <r>
    <x v="104"/>
    <x v="0"/>
    <x v="0"/>
    <x v="1"/>
    <n v="1"/>
  </r>
  <r>
    <x v="16"/>
    <x v="0"/>
    <x v="0"/>
    <x v="1"/>
    <n v="1"/>
  </r>
  <r>
    <x v="18"/>
    <x v="0"/>
    <x v="0"/>
    <x v="1"/>
    <n v="1"/>
  </r>
  <r>
    <x v="19"/>
    <x v="0"/>
    <x v="0"/>
    <x v="1"/>
    <n v="1"/>
  </r>
  <r>
    <x v="53"/>
    <x v="0"/>
    <x v="0"/>
    <x v="1"/>
    <n v="1"/>
  </r>
  <r>
    <x v="57"/>
    <x v="0"/>
    <x v="0"/>
    <x v="1"/>
    <n v="1"/>
  </r>
  <r>
    <x v="66"/>
    <x v="0"/>
    <x v="0"/>
    <x v="1"/>
    <n v="1"/>
  </r>
  <r>
    <x v="24"/>
    <x v="0"/>
    <x v="0"/>
    <x v="1"/>
    <n v="1"/>
  </r>
  <r>
    <x v="25"/>
    <x v="0"/>
    <x v="0"/>
    <x v="1"/>
    <n v="1"/>
  </r>
  <r>
    <x v="31"/>
    <x v="0"/>
    <x v="0"/>
    <x v="1"/>
    <n v="1"/>
  </r>
  <r>
    <x v="103"/>
    <x v="0"/>
    <x v="0"/>
    <x v="1"/>
    <n v="1"/>
  </r>
  <r>
    <x v="30"/>
    <x v="0"/>
    <x v="0"/>
    <x v="1"/>
    <n v="1"/>
  </r>
  <r>
    <x v="105"/>
    <x v="0"/>
    <x v="0"/>
    <x v="1"/>
    <n v="1"/>
  </r>
  <r>
    <x v="26"/>
    <x v="0"/>
    <x v="1"/>
    <x v="1"/>
    <n v="1"/>
  </r>
  <r>
    <x v="28"/>
    <x v="0"/>
    <x v="1"/>
    <x v="1"/>
    <n v="1"/>
  </r>
  <r>
    <x v="106"/>
    <x v="0"/>
    <x v="1"/>
    <x v="1"/>
    <n v="1"/>
  </r>
  <r>
    <x v="47"/>
    <x v="0"/>
    <x v="1"/>
    <x v="1"/>
    <n v="1"/>
  </r>
  <r>
    <x v="92"/>
    <x v="0"/>
    <x v="1"/>
    <x v="1"/>
    <n v="1"/>
  </r>
  <r>
    <x v="75"/>
    <x v="0"/>
    <x v="1"/>
    <x v="1"/>
    <n v="1"/>
  </r>
  <r>
    <x v="56"/>
    <x v="0"/>
    <x v="1"/>
    <x v="1"/>
    <n v="1"/>
  </r>
  <r>
    <x v="62"/>
    <x v="0"/>
    <x v="1"/>
    <x v="1"/>
    <n v="1"/>
  </r>
  <r>
    <x v="70"/>
    <x v="0"/>
    <x v="1"/>
    <x v="1"/>
    <n v="1"/>
  </r>
  <r>
    <x v="43"/>
    <x v="0"/>
    <x v="1"/>
    <x v="1"/>
    <n v="1"/>
  </r>
  <r>
    <x v="19"/>
    <x v="0"/>
    <x v="1"/>
    <x v="1"/>
    <n v="1"/>
  </r>
  <r>
    <x v="7"/>
    <x v="0"/>
    <x v="1"/>
    <x v="1"/>
    <n v="1"/>
  </r>
  <r>
    <x v="48"/>
    <x v="0"/>
    <x v="1"/>
    <x v="1"/>
    <n v="1"/>
  </r>
  <r>
    <x v="84"/>
    <x v="0"/>
    <x v="1"/>
    <x v="1"/>
    <n v="1"/>
  </r>
  <r>
    <x v="27"/>
    <x v="0"/>
    <x v="1"/>
    <x v="1"/>
    <n v="1"/>
  </r>
  <r>
    <x v="88"/>
    <x v="0"/>
    <x v="1"/>
    <x v="1"/>
    <n v="1"/>
  </r>
  <r>
    <x v="45"/>
    <x v="0"/>
    <x v="1"/>
    <x v="1"/>
    <n v="1"/>
  </r>
  <r>
    <x v="31"/>
    <x v="1"/>
    <x v="0"/>
    <x v="1"/>
    <n v="40"/>
  </r>
  <r>
    <x v="26"/>
    <x v="1"/>
    <x v="0"/>
    <x v="1"/>
    <n v="22"/>
  </r>
  <r>
    <x v="27"/>
    <x v="1"/>
    <x v="0"/>
    <x v="1"/>
    <n v="12"/>
  </r>
  <r>
    <x v="23"/>
    <x v="1"/>
    <x v="0"/>
    <x v="1"/>
    <n v="14"/>
  </r>
  <r>
    <x v="11"/>
    <x v="1"/>
    <x v="0"/>
    <x v="1"/>
    <n v="12"/>
  </r>
  <r>
    <x v="64"/>
    <x v="1"/>
    <x v="0"/>
    <x v="1"/>
    <n v="10"/>
  </r>
  <r>
    <x v="24"/>
    <x v="1"/>
    <x v="0"/>
    <x v="1"/>
    <n v="12"/>
  </r>
  <r>
    <x v="0"/>
    <x v="1"/>
    <x v="0"/>
    <x v="1"/>
    <n v="11"/>
  </r>
  <r>
    <x v="10"/>
    <x v="1"/>
    <x v="0"/>
    <x v="1"/>
    <n v="8"/>
  </r>
  <r>
    <x v="3"/>
    <x v="1"/>
    <x v="0"/>
    <x v="1"/>
    <n v="9"/>
  </r>
  <r>
    <x v="48"/>
    <x v="1"/>
    <x v="0"/>
    <x v="1"/>
    <n v="7"/>
  </r>
  <r>
    <x v="47"/>
    <x v="1"/>
    <x v="0"/>
    <x v="1"/>
    <n v="11"/>
  </r>
  <r>
    <x v="53"/>
    <x v="1"/>
    <x v="0"/>
    <x v="1"/>
    <n v="9"/>
  </r>
  <r>
    <x v="75"/>
    <x v="1"/>
    <x v="0"/>
    <x v="1"/>
    <n v="6"/>
  </r>
  <r>
    <x v="93"/>
    <x v="1"/>
    <x v="0"/>
    <x v="1"/>
    <n v="5"/>
  </r>
  <r>
    <x v="12"/>
    <x v="1"/>
    <x v="0"/>
    <x v="1"/>
    <n v="6"/>
  </r>
  <r>
    <x v="18"/>
    <x v="1"/>
    <x v="0"/>
    <x v="1"/>
    <n v="7"/>
  </r>
  <r>
    <x v="19"/>
    <x v="1"/>
    <x v="0"/>
    <x v="1"/>
    <n v="5"/>
  </r>
  <r>
    <x v="6"/>
    <x v="1"/>
    <x v="0"/>
    <x v="1"/>
    <n v="6"/>
  </r>
  <r>
    <x v="7"/>
    <x v="1"/>
    <x v="0"/>
    <x v="1"/>
    <n v="9"/>
  </r>
  <r>
    <x v="28"/>
    <x v="1"/>
    <x v="0"/>
    <x v="1"/>
    <n v="7"/>
  </r>
  <r>
    <x v="59"/>
    <x v="1"/>
    <x v="0"/>
    <x v="1"/>
    <n v="6"/>
  </r>
  <r>
    <x v="2"/>
    <x v="1"/>
    <x v="0"/>
    <x v="1"/>
    <n v="6"/>
  </r>
  <r>
    <x v="5"/>
    <x v="1"/>
    <x v="0"/>
    <x v="1"/>
    <n v="4"/>
  </r>
  <r>
    <x v="55"/>
    <x v="1"/>
    <x v="0"/>
    <x v="1"/>
    <n v="7"/>
  </r>
  <r>
    <x v="37"/>
    <x v="1"/>
    <x v="0"/>
    <x v="1"/>
    <n v="6"/>
  </r>
  <r>
    <x v="46"/>
    <x v="1"/>
    <x v="0"/>
    <x v="1"/>
    <n v="5"/>
  </r>
  <r>
    <x v="62"/>
    <x v="1"/>
    <x v="0"/>
    <x v="1"/>
    <n v="5"/>
  </r>
  <r>
    <x v="71"/>
    <x v="1"/>
    <x v="0"/>
    <x v="1"/>
    <n v="4"/>
  </r>
  <r>
    <x v="39"/>
    <x v="1"/>
    <x v="0"/>
    <x v="1"/>
    <n v="4"/>
  </r>
  <r>
    <x v="43"/>
    <x v="1"/>
    <x v="0"/>
    <x v="1"/>
    <n v="4"/>
  </r>
  <r>
    <x v="40"/>
    <x v="1"/>
    <x v="0"/>
    <x v="1"/>
    <n v="5"/>
  </r>
  <r>
    <x v="72"/>
    <x v="1"/>
    <x v="0"/>
    <x v="1"/>
    <n v="4"/>
  </r>
  <r>
    <x v="66"/>
    <x v="1"/>
    <x v="0"/>
    <x v="1"/>
    <n v="4"/>
  </r>
  <r>
    <x v="58"/>
    <x v="1"/>
    <x v="0"/>
    <x v="1"/>
    <n v="4"/>
  </r>
  <r>
    <x v="77"/>
    <x v="1"/>
    <x v="0"/>
    <x v="1"/>
    <n v="5"/>
  </r>
  <r>
    <x v="51"/>
    <x v="1"/>
    <x v="0"/>
    <x v="1"/>
    <n v="4"/>
  </r>
  <r>
    <x v="36"/>
    <x v="1"/>
    <x v="0"/>
    <x v="1"/>
    <n v="3"/>
  </r>
  <r>
    <x v="56"/>
    <x v="1"/>
    <x v="0"/>
    <x v="1"/>
    <n v="3"/>
  </r>
  <r>
    <x v="61"/>
    <x v="1"/>
    <x v="0"/>
    <x v="1"/>
    <n v="5"/>
  </r>
  <r>
    <x v="107"/>
    <x v="1"/>
    <x v="0"/>
    <x v="1"/>
    <n v="6"/>
  </r>
  <r>
    <x v="60"/>
    <x v="1"/>
    <x v="0"/>
    <x v="1"/>
    <n v="4"/>
  </r>
  <r>
    <x v="76"/>
    <x v="1"/>
    <x v="0"/>
    <x v="1"/>
    <n v="3"/>
  </r>
  <r>
    <x v="41"/>
    <x v="1"/>
    <x v="0"/>
    <x v="1"/>
    <n v="3"/>
  </r>
  <r>
    <x v="63"/>
    <x v="1"/>
    <x v="0"/>
    <x v="1"/>
    <n v="3"/>
  </r>
  <r>
    <x v="21"/>
    <x v="1"/>
    <x v="0"/>
    <x v="1"/>
    <n v="3"/>
  </r>
  <r>
    <x v="25"/>
    <x v="1"/>
    <x v="0"/>
    <x v="1"/>
    <n v="3"/>
  </r>
  <r>
    <x v="45"/>
    <x v="1"/>
    <x v="0"/>
    <x v="1"/>
    <n v="4"/>
  </r>
  <r>
    <x v="74"/>
    <x v="1"/>
    <x v="0"/>
    <x v="1"/>
    <n v="4"/>
  </r>
  <r>
    <x v="30"/>
    <x v="1"/>
    <x v="0"/>
    <x v="1"/>
    <n v="4"/>
  </r>
  <r>
    <x v="42"/>
    <x v="1"/>
    <x v="0"/>
    <x v="1"/>
    <n v="5"/>
  </r>
  <r>
    <x v="8"/>
    <x v="1"/>
    <x v="0"/>
    <x v="1"/>
    <n v="2"/>
  </r>
  <r>
    <x v="9"/>
    <x v="1"/>
    <x v="0"/>
    <x v="1"/>
    <n v="2"/>
  </r>
  <r>
    <x v="4"/>
    <x v="1"/>
    <x v="0"/>
    <x v="1"/>
    <n v="2"/>
  </r>
  <r>
    <x v="1"/>
    <x v="1"/>
    <x v="0"/>
    <x v="1"/>
    <n v="2"/>
  </r>
  <r>
    <x v="15"/>
    <x v="1"/>
    <x v="0"/>
    <x v="1"/>
    <n v="2"/>
  </r>
  <r>
    <x v="82"/>
    <x v="1"/>
    <x v="0"/>
    <x v="1"/>
    <n v="3"/>
  </r>
  <r>
    <x v="57"/>
    <x v="1"/>
    <x v="0"/>
    <x v="1"/>
    <n v="2"/>
  </r>
  <r>
    <x v="44"/>
    <x v="1"/>
    <x v="0"/>
    <x v="1"/>
    <n v="2"/>
  </r>
  <r>
    <x v="49"/>
    <x v="1"/>
    <x v="0"/>
    <x v="1"/>
    <n v="2"/>
  </r>
  <r>
    <x v="73"/>
    <x v="1"/>
    <x v="0"/>
    <x v="1"/>
    <n v="3"/>
  </r>
  <r>
    <x v="29"/>
    <x v="1"/>
    <x v="0"/>
    <x v="1"/>
    <n v="3"/>
  </r>
  <r>
    <x v="79"/>
    <x v="1"/>
    <x v="0"/>
    <x v="1"/>
    <n v="1"/>
  </r>
  <r>
    <x v="33"/>
    <x v="1"/>
    <x v="0"/>
    <x v="1"/>
    <n v="1"/>
  </r>
  <r>
    <x v="34"/>
    <x v="1"/>
    <x v="0"/>
    <x v="1"/>
    <n v="1"/>
  </r>
  <r>
    <x v="108"/>
    <x v="1"/>
    <x v="0"/>
    <x v="1"/>
    <n v="1"/>
  </r>
  <r>
    <x v="35"/>
    <x v="1"/>
    <x v="0"/>
    <x v="1"/>
    <n v="1"/>
  </r>
  <r>
    <x v="92"/>
    <x v="1"/>
    <x v="0"/>
    <x v="1"/>
    <n v="1"/>
  </r>
  <r>
    <x v="38"/>
    <x v="1"/>
    <x v="0"/>
    <x v="1"/>
    <n v="1"/>
  </r>
  <r>
    <x v="81"/>
    <x v="1"/>
    <x v="0"/>
    <x v="1"/>
    <n v="1"/>
  </r>
  <r>
    <x v="16"/>
    <x v="1"/>
    <x v="0"/>
    <x v="1"/>
    <n v="1"/>
  </r>
  <r>
    <x v="17"/>
    <x v="1"/>
    <x v="0"/>
    <x v="1"/>
    <n v="1"/>
  </r>
  <r>
    <x v="100"/>
    <x v="1"/>
    <x v="0"/>
    <x v="1"/>
    <n v="1"/>
  </r>
  <r>
    <x v="83"/>
    <x v="1"/>
    <x v="0"/>
    <x v="1"/>
    <n v="1"/>
  </r>
  <r>
    <x v="96"/>
    <x v="1"/>
    <x v="0"/>
    <x v="1"/>
    <n v="1"/>
  </r>
  <r>
    <x v="65"/>
    <x v="1"/>
    <x v="0"/>
    <x v="1"/>
    <n v="2"/>
  </r>
  <r>
    <x v="50"/>
    <x v="1"/>
    <x v="0"/>
    <x v="1"/>
    <n v="1"/>
  </r>
  <r>
    <x v="84"/>
    <x v="1"/>
    <x v="0"/>
    <x v="1"/>
    <n v="1"/>
  </r>
  <r>
    <x v="88"/>
    <x v="1"/>
    <x v="0"/>
    <x v="1"/>
    <n v="1"/>
  </r>
  <r>
    <x v="94"/>
    <x v="1"/>
    <x v="0"/>
    <x v="1"/>
    <n v="1"/>
  </r>
  <r>
    <x v="89"/>
    <x v="1"/>
    <x v="0"/>
    <x v="1"/>
    <n v="1"/>
  </r>
  <r>
    <x v="91"/>
    <x v="1"/>
    <x v="0"/>
    <x v="1"/>
    <n v="1"/>
  </r>
  <r>
    <x v="55"/>
    <x v="1"/>
    <x v="1"/>
    <x v="1"/>
    <n v="2"/>
  </r>
  <r>
    <x v="31"/>
    <x v="1"/>
    <x v="1"/>
    <x v="1"/>
    <n v="2"/>
  </r>
  <r>
    <x v="106"/>
    <x v="1"/>
    <x v="1"/>
    <x v="1"/>
    <n v="2"/>
  </r>
  <r>
    <x v="109"/>
    <x v="1"/>
    <x v="1"/>
    <x v="1"/>
    <n v="1"/>
  </r>
  <r>
    <x v="3"/>
    <x v="1"/>
    <x v="1"/>
    <x v="1"/>
    <n v="1"/>
  </r>
  <r>
    <x v="56"/>
    <x v="1"/>
    <x v="1"/>
    <x v="1"/>
    <n v="1"/>
  </r>
  <r>
    <x v="10"/>
    <x v="1"/>
    <x v="1"/>
    <x v="1"/>
    <n v="1"/>
  </r>
  <r>
    <x v="11"/>
    <x v="1"/>
    <x v="1"/>
    <x v="1"/>
    <n v="1"/>
  </r>
  <r>
    <x v="81"/>
    <x v="1"/>
    <x v="1"/>
    <x v="1"/>
    <n v="1"/>
  </r>
  <r>
    <x v="7"/>
    <x v="1"/>
    <x v="1"/>
    <x v="1"/>
    <n v="1"/>
  </r>
  <r>
    <x v="74"/>
    <x v="1"/>
    <x v="1"/>
    <x v="1"/>
    <n v="2"/>
  </r>
  <r>
    <x v="31"/>
    <x v="2"/>
    <x v="0"/>
    <x v="1"/>
    <n v="9"/>
  </r>
  <r>
    <x v="26"/>
    <x v="2"/>
    <x v="0"/>
    <x v="1"/>
    <n v="9"/>
  </r>
  <r>
    <x v="23"/>
    <x v="2"/>
    <x v="0"/>
    <x v="1"/>
    <n v="6"/>
  </r>
  <r>
    <x v="27"/>
    <x v="2"/>
    <x v="0"/>
    <x v="1"/>
    <n v="8"/>
  </r>
  <r>
    <x v="12"/>
    <x v="2"/>
    <x v="0"/>
    <x v="1"/>
    <n v="5"/>
  </r>
  <r>
    <x v="0"/>
    <x v="2"/>
    <x v="0"/>
    <x v="1"/>
    <n v="6"/>
  </r>
  <r>
    <x v="75"/>
    <x v="2"/>
    <x v="0"/>
    <x v="1"/>
    <n v="4"/>
  </r>
  <r>
    <x v="15"/>
    <x v="2"/>
    <x v="0"/>
    <x v="1"/>
    <n v="4"/>
  </r>
  <r>
    <x v="48"/>
    <x v="2"/>
    <x v="0"/>
    <x v="1"/>
    <n v="5"/>
  </r>
  <r>
    <x v="84"/>
    <x v="2"/>
    <x v="0"/>
    <x v="1"/>
    <n v="4"/>
  </r>
  <r>
    <x v="11"/>
    <x v="2"/>
    <x v="0"/>
    <x v="1"/>
    <n v="3"/>
  </r>
  <r>
    <x v="4"/>
    <x v="2"/>
    <x v="0"/>
    <x v="1"/>
    <n v="4"/>
  </r>
  <r>
    <x v="5"/>
    <x v="2"/>
    <x v="0"/>
    <x v="1"/>
    <n v="3"/>
  </r>
  <r>
    <x v="62"/>
    <x v="2"/>
    <x v="0"/>
    <x v="1"/>
    <n v="3"/>
  </r>
  <r>
    <x v="41"/>
    <x v="2"/>
    <x v="0"/>
    <x v="1"/>
    <n v="4"/>
  </r>
  <r>
    <x v="18"/>
    <x v="2"/>
    <x v="0"/>
    <x v="1"/>
    <n v="4"/>
  </r>
  <r>
    <x v="7"/>
    <x v="2"/>
    <x v="0"/>
    <x v="1"/>
    <n v="3"/>
  </r>
  <r>
    <x v="24"/>
    <x v="2"/>
    <x v="0"/>
    <x v="1"/>
    <n v="3"/>
  </r>
  <r>
    <x v="88"/>
    <x v="2"/>
    <x v="0"/>
    <x v="1"/>
    <n v="3"/>
  </r>
  <r>
    <x v="3"/>
    <x v="2"/>
    <x v="0"/>
    <x v="1"/>
    <n v="2"/>
  </r>
  <r>
    <x v="35"/>
    <x v="2"/>
    <x v="0"/>
    <x v="1"/>
    <n v="3"/>
  </r>
  <r>
    <x v="47"/>
    <x v="2"/>
    <x v="0"/>
    <x v="1"/>
    <n v="4"/>
  </r>
  <r>
    <x v="36"/>
    <x v="2"/>
    <x v="0"/>
    <x v="1"/>
    <n v="3"/>
  </r>
  <r>
    <x v="56"/>
    <x v="2"/>
    <x v="0"/>
    <x v="1"/>
    <n v="2"/>
  </r>
  <r>
    <x v="37"/>
    <x v="2"/>
    <x v="0"/>
    <x v="1"/>
    <n v="3"/>
  </r>
  <r>
    <x v="19"/>
    <x v="2"/>
    <x v="0"/>
    <x v="1"/>
    <n v="2"/>
  </r>
  <r>
    <x v="83"/>
    <x v="2"/>
    <x v="0"/>
    <x v="1"/>
    <n v="2"/>
  </r>
  <r>
    <x v="64"/>
    <x v="2"/>
    <x v="0"/>
    <x v="1"/>
    <n v="2"/>
  </r>
  <r>
    <x v="6"/>
    <x v="2"/>
    <x v="0"/>
    <x v="1"/>
    <n v="4"/>
  </r>
  <r>
    <x v="50"/>
    <x v="2"/>
    <x v="0"/>
    <x v="1"/>
    <n v="2"/>
  </r>
  <r>
    <x v="25"/>
    <x v="2"/>
    <x v="0"/>
    <x v="1"/>
    <n v="3"/>
  </r>
  <r>
    <x v="28"/>
    <x v="2"/>
    <x v="0"/>
    <x v="1"/>
    <n v="2"/>
  </r>
  <r>
    <x v="45"/>
    <x v="2"/>
    <x v="0"/>
    <x v="1"/>
    <n v="2"/>
  </r>
  <r>
    <x v="94"/>
    <x v="2"/>
    <x v="0"/>
    <x v="1"/>
    <n v="2"/>
  </r>
  <r>
    <x v="30"/>
    <x v="2"/>
    <x v="0"/>
    <x v="1"/>
    <n v="4"/>
  </r>
  <r>
    <x v="55"/>
    <x v="2"/>
    <x v="0"/>
    <x v="1"/>
    <n v="3"/>
  </r>
  <r>
    <x v="8"/>
    <x v="2"/>
    <x v="0"/>
    <x v="1"/>
    <n v="2"/>
  </r>
  <r>
    <x v="2"/>
    <x v="2"/>
    <x v="0"/>
    <x v="1"/>
    <n v="1"/>
  </r>
  <r>
    <x v="79"/>
    <x v="2"/>
    <x v="0"/>
    <x v="1"/>
    <n v="1"/>
  </r>
  <r>
    <x v="51"/>
    <x v="2"/>
    <x v="0"/>
    <x v="1"/>
    <n v="1"/>
  </r>
  <r>
    <x v="92"/>
    <x v="2"/>
    <x v="0"/>
    <x v="1"/>
    <n v="1"/>
  </r>
  <r>
    <x v="93"/>
    <x v="2"/>
    <x v="0"/>
    <x v="1"/>
    <n v="1"/>
  </r>
  <r>
    <x v="10"/>
    <x v="2"/>
    <x v="0"/>
    <x v="1"/>
    <n v="1"/>
  </r>
  <r>
    <x v="46"/>
    <x v="2"/>
    <x v="0"/>
    <x v="1"/>
    <n v="2"/>
  </r>
  <r>
    <x v="61"/>
    <x v="2"/>
    <x v="0"/>
    <x v="1"/>
    <n v="1"/>
  </r>
  <r>
    <x v="38"/>
    <x v="2"/>
    <x v="0"/>
    <x v="1"/>
    <n v="2"/>
  </r>
  <r>
    <x v="1"/>
    <x v="2"/>
    <x v="0"/>
    <x v="1"/>
    <n v="1"/>
  </r>
  <r>
    <x v="71"/>
    <x v="2"/>
    <x v="0"/>
    <x v="1"/>
    <n v="1"/>
  </r>
  <r>
    <x v="40"/>
    <x v="2"/>
    <x v="0"/>
    <x v="1"/>
    <n v="2"/>
  </r>
  <r>
    <x v="76"/>
    <x v="2"/>
    <x v="0"/>
    <x v="1"/>
    <n v="1"/>
  </r>
  <r>
    <x v="104"/>
    <x v="2"/>
    <x v="0"/>
    <x v="1"/>
    <n v="1"/>
  </r>
  <r>
    <x v="82"/>
    <x v="2"/>
    <x v="0"/>
    <x v="1"/>
    <n v="1"/>
  </r>
  <r>
    <x v="53"/>
    <x v="2"/>
    <x v="0"/>
    <x v="1"/>
    <n v="1"/>
  </r>
  <r>
    <x v="57"/>
    <x v="2"/>
    <x v="0"/>
    <x v="1"/>
    <n v="1"/>
  </r>
  <r>
    <x v="72"/>
    <x v="2"/>
    <x v="0"/>
    <x v="1"/>
    <n v="1"/>
  </r>
  <r>
    <x v="66"/>
    <x v="2"/>
    <x v="0"/>
    <x v="1"/>
    <n v="1"/>
  </r>
  <r>
    <x v="67"/>
    <x v="2"/>
    <x v="0"/>
    <x v="1"/>
    <n v="1"/>
  </r>
  <r>
    <x v="68"/>
    <x v="2"/>
    <x v="0"/>
    <x v="1"/>
    <n v="1"/>
  </r>
  <r>
    <x v="73"/>
    <x v="2"/>
    <x v="0"/>
    <x v="1"/>
    <n v="1"/>
  </r>
  <r>
    <x v="110"/>
    <x v="2"/>
    <x v="0"/>
    <x v="1"/>
    <n v="1"/>
  </r>
  <r>
    <x v="97"/>
    <x v="2"/>
    <x v="0"/>
    <x v="1"/>
    <n v="1"/>
  </r>
  <r>
    <x v="89"/>
    <x v="2"/>
    <x v="0"/>
    <x v="1"/>
    <n v="1"/>
  </r>
  <r>
    <x v="29"/>
    <x v="2"/>
    <x v="0"/>
    <x v="1"/>
    <n v="1"/>
  </r>
  <r>
    <x v="42"/>
    <x v="2"/>
    <x v="0"/>
    <x v="1"/>
    <n v="1"/>
  </r>
  <r>
    <x v="58"/>
    <x v="2"/>
    <x v="0"/>
    <x v="1"/>
    <n v="1"/>
  </r>
  <r>
    <x v="26"/>
    <x v="2"/>
    <x v="1"/>
    <x v="1"/>
    <n v="1"/>
  </r>
  <r>
    <x v="24"/>
    <x v="2"/>
    <x v="1"/>
    <x v="1"/>
    <n v="1"/>
  </r>
  <r>
    <x v="27"/>
    <x v="2"/>
    <x v="1"/>
    <x v="1"/>
    <n v="1"/>
  </r>
  <r>
    <x v="47"/>
    <x v="2"/>
    <x v="1"/>
    <x v="1"/>
    <n v="1"/>
  </r>
  <r>
    <x v="10"/>
    <x v="2"/>
    <x v="1"/>
    <x v="1"/>
    <n v="1"/>
  </r>
  <r>
    <x v="75"/>
    <x v="2"/>
    <x v="1"/>
    <x v="1"/>
    <n v="1"/>
  </r>
  <r>
    <x v="37"/>
    <x v="2"/>
    <x v="1"/>
    <x v="1"/>
    <n v="1"/>
  </r>
  <r>
    <x v="7"/>
    <x v="2"/>
    <x v="1"/>
    <x v="1"/>
    <n v="1"/>
  </r>
  <r>
    <x v="31"/>
    <x v="2"/>
    <x v="1"/>
    <x v="1"/>
    <n v="1"/>
  </r>
  <r>
    <x v="28"/>
    <x v="2"/>
    <x v="1"/>
    <x v="1"/>
    <n v="1"/>
  </r>
  <r>
    <x v="102"/>
    <x v="2"/>
    <x v="1"/>
    <x v="1"/>
    <n v="1"/>
  </r>
  <r>
    <x v="108"/>
    <x v="2"/>
    <x v="1"/>
    <x v="1"/>
    <n v="1"/>
  </r>
  <r>
    <x v="51"/>
    <x v="2"/>
    <x v="1"/>
    <x v="1"/>
    <n v="1"/>
  </r>
  <r>
    <x v="92"/>
    <x v="2"/>
    <x v="1"/>
    <x v="1"/>
    <n v="1"/>
  </r>
  <r>
    <x v="93"/>
    <x v="2"/>
    <x v="1"/>
    <x v="1"/>
    <n v="1"/>
  </r>
  <r>
    <x v="56"/>
    <x v="2"/>
    <x v="1"/>
    <x v="1"/>
    <n v="1"/>
  </r>
  <r>
    <x v="12"/>
    <x v="2"/>
    <x v="1"/>
    <x v="1"/>
    <n v="1"/>
  </r>
  <r>
    <x v="62"/>
    <x v="2"/>
    <x v="1"/>
    <x v="1"/>
    <n v="1"/>
  </r>
  <r>
    <x v="70"/>
    <x v="2"/>
    <x v="1"/>
    <x v="1"/>
    <n v="1"/>
  </r>
  <r>
    <x v="81"/>
    <x v="2"/>
    <x v="1"/>
    <x v="1"/>
    <n v="1"/>
  </r>
  <r>
    <x v="71"/>
    <x v="2"/>
    <x v="1"/>
    <x v="1"/>
    <n v="1"/>
  </r>
  <r>
    <x v="53"/>
    <x v="2"/>
    <x v="1"/>
    <x v="1"/>
    <n v="1"/>
  </r>
  <r>
    <x v="64"/>
    <x v="2"/>
    <x v="1"/>
    <x v="1"/>
    <n v="1"/>
  </r>
  <r>
    <x v="48"/>
    <x v="2"/>
    <x v="1"/>
    <x v="1"/>
    <n v="1"/>
  </r>
  <r>
    <x v="45"/>
    <x v="2"/>
    <x v="1"/>
    <x v="1"/>
    <n v="1"/>
  </r>
  <r>
    <x v="58"/>
    <x v="2"/>
    <x v="1"/>
    <x v="1"/>
    <n v="1"/>
  </r>
  <r>
    <x v="31"/>
    <x v="3"/>
    <x v="0"/>
    <x v="1"/>
    <n v="6"/>
  </r>
  <r>
    <x v="0"/>
    <x v="3"/>
    <x v="0"/>
    <x v="1"/>
    <n v="5"/>
  </r>
  <r>
    <x v="3"/>
    <x v="3"/>
    <x v="0"/>
    <x v="1"/>
    <n v="4"/>
  </r>
  <r>
    <x v="6"/>
    <x v="3"/>
    <x v="0"/>
    <x v="1"/>
    <n v="5"/>
  </r>
  <r>
    <x v="47"/>
    <x v="3"/>
    <x v="0"/>
    <x v="1"/>
    <n v="2"/>
  </r>
  <r>
    <x v="56"/>
    <x v="3"/>
    <x v="0"/>
    <x v="1"/>
    <n v="3"/>
  </r>
  <r>
    <x v="11"/>
    <x v="3"/>
    <x v="0"/>
    <x v="1"/>
    <n v="2"/>
  </r>
  <r>
    <x v="12"/>
    <x v="3"/>
    <x v="0"/>
    <x v="1"/>
    <n v="2"/>
  </r>
  <r>
    <x v="104"/>
    <x v="3"/>
    <x v="0"/>
    <x v="1"/>
    <n v="3"/>
  </r>
  <r>
    <x v="18"/>
    <x v="3"/>
    <x v="0"/>
    <x v="1"/>
    <n v="3"/>
  </r>
  <r>
    <x v="23"/>
    <x v="3"/>
    <x v="0"/>
    <x v="1"/>
    <n v="2"/>
  </r>
  <r>
    <x v="68"/>
    <x v="3"/>
    <x v="0"/>
    <x v="1"/>
    <n v="2"/>
  </r>
  <r>
    <x v="48"/>
    <x v="3"/>
    <x v="0"/>
    <x v="1"/>
    <n v="2"/>
  </r>
  <r>
    <x v="25"/>
    <x v="3"/>
    <x v="0"/>
    <x v="1"/>
    <n v="3"/>
  </r>
  <r>
    <x v="26"/>
    <x v="3"/>
    <x v="0"/>
    <x v="1"/>
    <n v="2"/>
  </r>
  <r>
    <x v="29"/>
    <x v="3"/>
    <x v="0"/>
    <x v="1"/>
    <n v="2"/>
  </r>
  <r>
    <x v="42"/>
    <x v="3"/>
    <x v="0"/>
    <x v="1"/>
    <n v="2"/>
  </r>
  <r>
    <x v="2"/>
    <x v="3"/>
    <x v="0"/>
    <x v="1"/>
    <n v="1"/>
  </r>
  <r>
    <x v="55"/>
    <x v="3"/>
    <x v="0"/>
    <x v="1"/>
    <n v="1"/>
  </r>
  <r>
    <x v="35"/>
    <x v="3"/>
    <x v="0"/>
    <x v="1"/>
    <n v="1"/>
  </r>
  <r>
    <x v="51"/>
    <x v="3"/>
    <x v="0"/>
    <x v="1"/>
    <n v="1"/>
  </r>
  <r>
    <x v="36"/>
    <x v="3"/>
    <x v="0"/>
    <x v="1"/>
    <n v="1"/>
  </r>
  <r>
    <x v="10"/>
    <x v="3"/>
    <x v="0"/>
    <x v="1"/>
    <n v="1"/>
  </r>
  <r>
    <x v="46"/>
    <x v="3"/>
    <x v="0"/>
    <x v="1"/>
    <n v="1"/>
  </r>
  <r>
    <x v="70"/>
    <x v="3"/>
    <x v="0"/>
    <x v="1"/>
    <n v="1"/>
  </r>
  <r>
    <x v="13"/>
    <x v="3"/>
    <x v="0"/>
    <x v="1"/>
    <n v="1"/>
  </r>
  <r>
    <x v="53"/>
    <x v="3"/>
    <x v="0"/>
    <x v="1"/>
    <n v="1"/>
  </r>
  <r>
    <x v="57"/>
    <x v="3"/>
    <x v="0"/>
    <x v="1"/>
    <n v="1"/>
  </r>
  <r>
    <x v="63"/>
    <x v="3"/>
    <x v="0"/>
    <x v="1"/>
    <n v="1"/>
  </r>
  <r>
    <x v="21"/>
    <x v="3"/>
    <x v="0"/>
    <x v="1"/>
    <n v="1"/>
  </r>
  <r>
    <x v="50"/>
    <x v="3"/>
    <x v="0"/>
    <x v="1"/>
    <n v="1"/>
  </r>
  <r>
    <x v="67"/>
    <x v="3"/>
    <x v="0"/>
    <x v="1"/>
    <n v="1"/>
  </r>
  <r>
    <x v="7"/>
    <x v="3"/>
    <x v="0"/>
    <x v="1"/>
    <n v="2"/>
  </r>
  <r>
    <x v="24"/>
    <x v="3"/>
    <x v="0"/>
    <x v="1"/>
    <n v="1"/>
  </r>
  <r>
    <x v="84"/>
    <x v="3"/>
    <x v="0"/>
    <x v="1"/>
    <n v="1"/>
  </r>
  <r>
    <x v="27"/>
    <x v="3"/>
    <x v="0"/>
    <x v="1"/>
    <n v="1"/>
  </r>
  <r>
    <x v="45"/>
    <x v="3"/>
    <x v="0"/>
    <x v="1"/>
    <n v="1"/>
  </r>
  <r>
    <x v="89"/>
    <x v="3"/>
    <x v="0"/>
    <x v="1"/>
    <n v="1"/>
  </r>
  <r>
    <x v="30"/>
    <x v="3"/>
    <x v="0"/>
    <x v="1"/>
    <n v="1"/>
  </r>
  <r>
    <x v="58"/>
    <x v="3"/>
    <x v="0"/>
    <x v="1"/>
    <n v="1"/>
  </r>
  <r>
    <x v="43"/>
    <x v="3"/>
    <x v="0"/>
    <x v="1"/>
    <n v="1"/>
  </r>
  <r>
    <x v="31"/>
    <x v="3"/>
    <x v="1"/>
    <x v="1"/>
    <n v="8"/>
  </r>
  <r>
    <x v="26"/>
    <x v="3"/>
    <x v="1"/>
    <x v="1"/>
    <n v="10"/>
  </r>
  <r>
    <x v="11"/>
    <x v="3"/>
    <x v="1"/>
    <x v="1"/>
    <n v="5"/>
  </r>
  <r>
    <x v="7"/>
    <x v="3"/>
    <x v="1"/>
    <x v="1"/>
    <n v="6"/>
  </r>
  <r>
    <x v="23"/>
    <x v="3"/>
    <x v="1"/>
    <x v="1"/>
    <n v="4"/>
  </r>
  <r>
    <x v="24"/>
    <x v="3"/>
    <x v="1"/>
    <x v="1"/>
    <n v="6"/>
  </r>
  <r>
    <x v="10"/>
    <x v="3"/>
    <x v="1"/>
    <x v="1"/>
    <n v="3"/>
  </r>
  <r>
    <x v="27"/>
    <x v="3"/>
    <x v="1"/>
    <x v="1"/>
    <n v="4"/>
  </r>
  <r>
    <x v="45"/>
    <x v="3"/>
    <x v="1"/>
    <x v="1"/>
    <n v="7"/>
  </r>
  <r>
    <x v="30"/>
    <x v="3"/>
    <x v="1"/>
    <x v="1"/>
    <n v="4"/>
  </r>
  <r>
    <x v="58"/>
    <x v="3"/>
    <x v="1"/>
    <x v="1"/>
    <n v="3"/>
  </r>
  <r>
    <x v="64"/>
    <x v="3"/>
    <x v="1"/>
    <x v="1"/>
    <n v="2"/>
  </r>
  <r>
    <x v="3"/>
    <x v="3"/>
    <x v="1"/>
    <x v="1"/>
    <n v="2"/>
  </r>
  <r>
    <x v="75"/>
    <x v="3"/>
    <x v="1"/>
    <x v="1"/>
    <n v="4"/>
  </r>
  <r>
    <x v="37"/>
    <x v="3"/>
    <x v="1"/>
    <x v="1"/>
    <n v="2"/>
  </r>
  <r>
    <x v="12"/>
    <x v="3"/>
    <x v="1"/>
    <x v="1"/>
    <n v="2"/>
  </r>
  <r>
    <x v="21"/>
    <x v="3"/>
    <x v="1"/>
    <x v="1"/>
    <n v="2"/>
  </r>
  <r>
    <x v="44"/>
    <x v="3"/>
    <x v="1"/>
    <x v="1"/>
    <n v="2"/>
  </r>
  <r>
    <x v="72"/>
    <x v="3"/>
    <x v="1"/>
    <x v="1"/>
    <n v="2"/>
  </r>
  <r>
    <x v="28"/>
    <x v="3"/>
    <x v="1"/>
    <x v="1"/>
    <n v="2"/>
  </r>
  <r>
    <x v="42"/>
    <x v="3"/>
    <x v="1"/>
    <x v="1"/>
    <n v="2"/>
  </r>
  <r>
    <x v="43"/>
    <x v="3"/>
    <x v="1"/>
    <x v="1"/>
    <n v="2"/>
  </r>
  <r>
    <x v="48"/>
    <x v="3"/>
    <x v="1"/>
    <x v="1"/>
    <n v="4"/>
  </r>
  <r>
    <x v="8"/>
    <x v="3"/>
    <x v="1"/>
    <x v="1"/>
    <n v="1"/>
  </r>
  <r>
    <x v="4"/>
    <x v="3"/>
    <x v="1"/>
    <x v="1"/>
    <n v="1"/>
  </r>
  <r>
    <x v="5"/>
    <x v="3"/>
    <x v="1"/>
    <x v="1"/>
    <n v="1"/>
  </r>
  <r>
    <x v="54"/>
    <x v="3"/>
    <x v="1"/>
    <x v="1"/>
    <n v="1"/>
  </r>
  <r>
    <x v="33"/>
    <x v="3"/>
    <x v="1"/>
    <x v="1"/>
    <n v="1"/>
  </r>
  <r>
    <x v="109"/>
    <x v="3"/>
    <x v="1"/>
    <x v="1"/>
    <n v="1"/>
  </r>
  <r>
    <x v="55"/>
    <x v="3"/>
    <x v="1"/>
    <x v="1"/>
    <n v="1"/>
  </r>
  <r>
    <x v="0"/>
    <x v="3"/>
    <x v="1"/>
    <x v="1"/>
    <n v="1"/>
  </r>
  <r>
    <x v="69"/>
    <x v="3"/>
    <x v="1"/>
    <x v="1"/>
    <n v="1"/>
  </r>
  <r>
    <x v="35"/>
    <x v="3"/>
    <x v="1"/>
    <x v="1"/>
    <n v="1"/>
  </r>
  <r>
    <x v="92"/>
    <x v="3"/>
    <x v="1"/>
    <x v="1"/>
    <n v="2"/>
  </r>
  <r>
    <x v="36"/>
    <x v="3"/>
    <x v="1"/>
    <x v="1"/>
    <n v="1"/>
  </r>
  <r>
    <x v="93"/>
    <x v="3"/>
    <x v="1"/>
    <x v="1"/>
    <n v="2"/>
  </r>
  <r>
    <x v="56"/>
    <x v="3"/>
    <x v="1"/>
    <x v="1"/>
    <n v="1"/>
  </r>
  <r>
    <x v="46"/>
    <x v="3"/>
    <x v="1"/>
    <x v="1"/>
    <n v="1"/>
  </r>
  <r>
    <x v="38"/>
    <x v="3"/>
    <x v="1"/>
    <x v="1"/>
    <n v="1"/>
  </r>
  <r>
    <x v="71"/>
    <x v="3"/>
    <x v="1"/>
    <x v="1"/>
    <n v="1"/>
  </r>
  <r>
    <x v="39"/>
    <x v="3"/>
    <x v="1"/>
    <x v="1"/>
    <n v="1"/>
  </r>
  <r>
    <x v="107"/>
    <x v="3"/>
    <x v="1"/>
    <x v="1"/>
    <n v="3"/>
  </r>
  <r>
    <x v="40"/>
    <x v="3"/>
    <x v="1"/>
    <x v="1"/>
    <n v="1"/>
  </r>
  <r>
    <x v="76"/>
    <x v="3"/>
    <x v="1"/>
    <x v="1"/>
    <n v="1"/>
  </r>
  <r>
    <x v="41"/>
    <x v="3"/>
    <x v="1"/>
    <x v="1"/>
    <n v="1"/>
  </r>
  <r>
    <x v="15"/>
    <x v="3"/>
    <x v="1"/>
    <x v="1"/>
    <n v="1"/>
  </r>
  <r>
    <x v="16"/>
    <x v="3"/>
    <x v="1"/>
    <x v="1"/>
    <n v="1"/>
  </r>
  <r>
    <x v="17"/>
    <x v="3"/>
    <x v="1"/>
    <x v="1"/>
    <n v="1"/>
  </r>
  <r>
    <x v="18"/>
    <x v="3"/>
    <x v="1"/>
    <x v="1"/>
    <n v="1"/>
  </r>
  <r>
    <x v="19"/>
    <x v="3"/>
    <x v="1"/>
    <x v="1"/>
    <n v="1"/>
  </r>
  <r>
    <x v="53"/>
    <x v="3"/>
    <x v="1"/>
    <x v="1"/>
    <n v="2"/>
  </r>
  <r>
    <x v="96"/>
    <x v="3"/>
    <x v="1"/>
    <x v="1"/>
    <n v="1"/>
  </r>
  <r>
    <x v="6"/>
    <x v="3"/>
    <x v="1"/>
    <x v="1"/>
    <n v="1"/>
  </r>
  <r>
    <x v="65"/>
    <x v="3"/>
    <x v="1"/>
    <x v="1"/>
    <n v="1"/>
  </r>
  <r>
    <x v="49"/>
    <x v="3"/>
    <x v="1"/>
    <x v="1"/>
    <n v="1"/>
  </r>
  <r>
    <x v="25"/>
    <x v="3"/>
    <x v="1"/>
    <x v="1"/>
    <n v="1"/>
  </r>
  <r>
    <x v="74"/>
    <x v="3"/>
    <x v="1"/>
    <x v="1"/>
    <n v="1"/>
  </r>
  <r>
    <x v="89"/>
    <x v="3"/>
    <x v="1"/>
    <x v="1"/>
    <n v="1"/>
  </r>
  <r>
    <x v="31"/>
    <x v="4"/>
    <x v="0"/>
    <x v="1"/>
    <n v="6"/>
  </r>
  <r>
    <x v="0"/>
    <x v="4"/>
    <x v="0"/>
    <x v="1"/>
    <n v="8"/>
  </r>
  <r>
    <x v="12"/>
    <x v="4"/>
    <x v="0"/>
    <x v="1"/>
    <n v="5"/>
  </r>
  <r>
    <x v="30"/>
    <x v="4"/>
    <x v="0"/>
    <x v="1"/>
    <n v="6"/>
  </r>
  <r>
    <x v="3"/>
    <x v="4"/>
    <x v="0"/>
    <x v="1"/>
    <n v="3"/>
  </r>
  <r>
    <x v="10"/>
    <x v="4"/>
    <x v="0"/>
    <x v="1"/>
    <n v="4"/>
  </r>
  <r>
    <x v="63"/>
    <x v="4"/>
    <x v="0"/>
    <x v="1"/>
    <n v="3"/>
  </r>
  <r>
    <x v="23"/>
    <x v="4"/>
    <x v="0"/>
    <x v="1"/>
    <n v="4"/>
  </r>
  <r>
    <x v="26"/>
    <x v="4"/>
    <x v="0"/>
    <x v="1"/>
    <n v="3"/>
  </r>
  <r>
    <x v="72"/>
    <x v="4"/>
    <x v="0"/>
    <x v="1"/>
    <n v="3"/>
  </r>
  <r>
    <x v="5"/>
    <x v="4"/>
    <x v="0"/>
    <x v="1"/>
    <n v="3"/>
  </r>
  <r>
    <x v="81"/>
    <x v="4"/>
    <x v="0"/>
    <x v="1"/>
    <n v="2"/>
  </r>
  <r>
    <x v="17"/>
    <x v="4"/>
    <x v="0"/>
    <x v="1"/>
    <n v="3"/>
  </r>
  <r>
    <x v="18"/>
    <x v="4"/>
    <x v="0"/>
    <x v="1"/>
    <n v="3"/>
  </r>
  <r>
    <x v="20"/>
    <x v="4"/>
    <x v="0"/>
    <x v="1"/>
    <n v="2"/>
  </r>
  <r>
    <x v="21"/>
    <x v="4"/>
    <x v="0"/>
    <x v="1"/>
    <n v="3"/>
  </r>
  <r>
    <x v="6"/>
    <x v="4"/>
    <x v="0"/>
    <x v="1"/>
    <n v="3"/>
  </r>
  <r>
    <x v="24"/>
    <x v="4"/>
    <x v="0"/>
    <x v="1"/>
    <n v="2"/>
  </r>
  <r>
    <x v="28"/>
    <x v="4"/>
    <x v="0"/>
    <x v="1"/>
    <n v="2"/>
  </r>
  <r>
    <x v="45"/>
    <x v="4"/>
    <x v="0"/>
    <x v="1"/>
    <n v="3"/>
  </r>
  <r>
    <x v="93"/>
    <x v="4"/>
    <x v="0"/>
    <x v="1"/>
    <n v="2"/>
  </r>
  <r>
    <x v="8"/>
    <x v="4"/>
    <x v="0"/>
    <x v="1"/>
    <n v="2"/>
  </r>
  <r>
    <x v="9"/>
    <x v="4"/>
    <x v="0"/>
    <x v="1"/>
    <n v="1"/>
  </r>
  <r>
    <x v="59"/>
    <x v="4"/>
    <x v="0"/>
    <x v="1"/>
    <n v="1"/>
  </r>
  <r>
    <x v="2"/>
    <x v="4"/>
    <x v="0"/>
    <x v="1"/>
    <n v="1"/>
  </r>
  <r>
    <x v="47"/>
    <x v="4"/>
    <x v="0"/>
    <x v="1"/>
    <n v="1"/>
  </r>
  <r>
    <x v="36"/>
    <x v="4"/>
    <x v="0"/>
    <x v="1"/>
    <n v="1"/>
  </r>
  <r>
    <x v="56"/>
    <x v="4"/>
    <x v="0"/>
    <x v="1"/>
    <n v="4"/>
  </r>
  <r>
    <x v="37"/>
    <x v="4"/>
    <x v="0"/>
    <x v="1"/>
    <n v="1"/>
  </r>
  <r>
    <x v="11"/>
    <x v="4"/>
    <x v="0"/>
    <x v="1"/>
    <n v="2"/>
  </r>
  <r>
    <x v="14"/>
    <x v="4"/>
    <x v="0"/>
    <x v="1"/>
    <n v="1"/>
  </r>
  <r>
    <x v="43"/>
    <x v="4"/>
    <x v="0"/>
    <x v="1"/>
    <n v="1"/>
  </r>
  <r>
    <x v="60"/>
    <x v="4"/>
    <x v="0"/>
    <x v="1"/>
    <n v="2"/>
  </r>
  <r>
    <x v="40"/>
    <x v="4"/>
    <x v="0"/>
    <x v="1"/>
    <n v="2"/>
  </r>
  <r>
    <x v="41"/>
    <x v="4"/>
    <x v="0"/>
    <x v="1"/>
    <n v="2"/>
  </r>
  <r>
    <x v="16"/>
    <x v="4"/>
    <x v="0"/>
    <x v="1"/>
    <n v="2"/>
  </r>
  <r>
    <x v="82"/>
    <x v="4"/>
    <x v="0"/>
    <x v="1"/>
    <n v="1"/>
  </r>
  <r>
    <x v="83"/>
    <x v="4"/>
    <x v="0"/>
    <x v="1"/>
    <n v="1"/>
  </r>
  <r>
    <x v="57"/>
    <x v="4"/>
    <x v="0"/>
    <x v="1"/>
    <n v="1"/>
  </r>
  <r>
    <x v="64"/>
    <x v="4"/>
    <x v="0"/>
    <x v="1"/>
    <n v="1"/>
  </r>
  <r>
    <x v="7"/>
    <x v="4"/>
    <x v="0"/>
    <x v="1"/>
    <n v="2"/>
  </r>
  <r>
    <x v="48"/>
    <x v="4"/>
    <x v="0"/>
    <x v="1"/>
    <n v="1"/>
  </r>
  <r>
    <x v="84"/>
    <x v="4"/>
    <x v="0"/>
    <x v="1"/>
    <n v="1"/>
  </r>
  <r>
    <x v="49"/>
    <x v="4"/>
    <x v="0"/>
    <x v="1"/>
    <n v="1"/>
  </r>
  <r>
    <x v="25"/>
    <x v="4"/>
    <x v="0"/>
    <x v="1"/>
    <n v="2"/>
  </r>
  <r>
    <x v="27"/>
    <x v="4"/>
    <x v="0"/>
    <x v="1"/>
    <n v="1"/>
  </r>
  <r>
    <x v="88"/>
    <x v="4"/>
    <x v="0"/>
    <x v="1"/>
    <n v="1"/>
  </r>
  <r>
    <x v="29"/>
    <x v="4"/>
    <x v="0"/>
    <x v="1"/>
    <n v="1"/>
  </r>
  <r>
    <x v="42"/>
    <x v="4"/>
    <x v="0"/>
    <x v="1"/>
    <n v="1"/>
  </r>
  <r>
    <x v="3"/>
    <x v="4"/>
    <x v="1"/>
    <x v="1"/>
    <n v="2"/>
  </r>
  <r>
    <x v="24"/>
    <x v="4"/>
    <x v="1"/>
    <x v="1"/>
    <n v="2"/>
  </r>
  <r>
    <x v="25"/>
    <x v="4"/>
    <x v="1"/>
    <x v="1"/>
    <n v="2"/>
  </r>
  <r>
    <x v="26"/>
    <x v="4"/>
    <x v="1"/>
    <x v="1"/>
    <n v="2"/>
  </r>
  <r>
    <x v="0"/>
    <x v="4"/>
    <x v="1"/>
    <x v="1"/>
    <n v="1"/>
  </r>
  <r>
    <x v="69"/>
    <x v="4"/>
    <x v="1"/>
    <x v="1"/>
    <n v="1"/>
  </r>
  <r>
    <x v="35"/>
    <x v="4"/>
    <x v="1"/>
    <x v="1"/>
    <n v="1"/>
  </r>
  <r>
    <x v="93"/>
    <x v="4"/>
    <x v="1"/>
    <x v="1"/>
    <n v="1"/>
  </r>
  <r>
    <x v="56"/>
    <x v="4"/>
    <x v="1"/>
    <x v="1"/>
    <n v="1"/>
  </r>
  <r>
    <x v="43"/>
    <x v="4"/>
    <x v="1"/>
    <x v="1"/>
    <n v="1"/>
  </r>
  <r>
    <x v="16"/>
    <x v="4"/>
    <x v="1"/>
    <x v="1"/>
    <n v="1"/>
  </r>
  <r>
    <x v="57"/>
    <x v="4"/>
    <x v="1"/>
    <x v="1"/>
    <n v="1"/>
  </r>
  <r>
    <x v="7"/>
    <x v="4"/>
    <x v="1"/>
    <x v="1"/>
    <n v="1"/>
  </r>
  <r>
    <x v="48"/>
    <x v="4"/>
    <x v="1"/>
    <x v="1"/>
    <n v="1"/>
  </r>
  <r>
    <x v="58"/>
    <x v="4"/>
    <x v="1"/>
    <x v="1"/>
    <n v="1"/>
  </r>
  <r>
    <x v="0"/>
    <x v="5"/>
    <x v="0"/>
    <x v="1"/>
    <n v="1"/>
  </r>
  <r>
    <x v="3"/>
    <x v="5"/>
    <x v="0"/>
    <x v="1"/>
    <n v="1"/>
  </r>
  <r>
    <x v="56"/>
    <x v="5"/>
    <x v="0"/>
    <x v="1"/>
    <n v="2"/>
  </r>
  <r>
    <x v="48"/>
    <x v="5"/>
    <x v="0"/>
    <x v="1"/>
    <n v="1"/>
  </r>
  <r>
    <x v="24"/>
    <x v="5"/>
    <x v="0"/>
    <x v="1"/>
    <n v="2"/>
  </r>
  <r>
    <x v="26"/>
    <x v="5"/>
    <x v="0"/>
    <x v="1"/>
    <n v="2"/>
  </r>
  <r>
    <x v="31"/>
    <x v="5"/>
    <x v="0"/>
    <x v="1"/>
    <n v="1"/>
  </r>
  <r>
    <x v="27"/>
    <x v="5"/>
    <x v="0"/>
    <x v="1"/>
    <n v="2"/>
  </r>
  <r>
    <x v="74"/>
    <x v="5"/>
    <x v="0"/>
    <x v="1"/>
    <n v="1"/>
  </r>
  <r>
    <x v="31"/>
    <x v="5"/>
    <x v="1"/>
    <x v="1"/>
    <n v="9"/>
  </r>
  <r>
    <x v="27"/>
    <x v="5"/>
    <x v="1"/>
    <x v="1"/>
    <n v="5"/>
  </r>
  <r>
    <x v="0"/>
    <x v="5"/>
    <x v="1"/>
    <x v="1"/>
    <n v="4"/>
  </r>
  <r>
    <x v="36"/>
    <x v="5"/>
    <x v="1"/>
    <x v="1"/>
    <n v="4"/>
  </r>
  <r>
    <x v="21"/>
    <x v="5"/>
    <x v="1"/>
    <x v="1"/>
    <n v="5"/>
  </r>
  <r>
    <x v="26"/>
    <x v="5"/>
    <x v="1"/>
    <x v="1"/>
    <n v="5"/>
  </r>
  <r>
    <x v="46"/>
    <x v="5"/>
    <x v="1"/>
    <x v="1"/>
    <n v="3"/>
  </r>
  <r>
    <x v="44"/>
    <x v="5"/>
    <x v="1"/>
    <x v="1"/>
    <n v="3"/>
  </r>
  <r>
    <x v="47"/>
    <x v="5"/>
    <x v="1"/>
    <x v="1"/>
    <n v="3"/>
  </r>
  <r>
    <x v="56"/>
    <x v="5"/>
    <x v="1"/>
    <x v="1"/>
    <n v="2"/>
  </r>
  <r>
    <x v="37"/>
    <x v="5"/>
    <x v="1"/>
    <x v="1"/>
    <n v="2"/>
  </r>
  <r>
    <x v="10"/>
    <x v="5"/>
    <x v="1"/>
    <x v="1"/>
    <n v="2"/>
  </r>
  <r>
    <x v="53"/>
    <x v="5"/>
    <x v="1"/>
    <x v="1"/>
    <n v="2"/>
  </r>
  <r>
    <x v="28"/>
    <x v="5"/>
    <x v="1"/>
    <x v="1"/>
    <n v="2"/>
  </r>
  <r>
    <x v="89"/>
    <x v="5"/>
    <x v="1"/>
    <x v="1"/>
    <n v="2"/>
  </r>
  <r>
    <x v="42"/>
    <x v="5"/>
    <x v="1"/>
    <x v="1"/>
    <n v="2"/>
  </r>
  <r>
    <x v="13"/>
    <x v="5"/>
    <x v="1"/>
    <x v="1"/>
    <n v="2"/>
  </r>
  <r>
    <x v="29"/>
    <x v="5"/>
    <x v="1"/>
    <x v="1"/>
    <n v="2"/>
  </r>
  <r>
    <x v="59"/>
    <x v="5"/>
    <x v="1"/>
    <x v="1"/>
    <n v="1"/>
  </r>
  <r>
    <x v="2"/>
    <x v="5"/>
    <x v="1"/>
    <x v="1"/>
    <n v="2"/>
  </r>
  <r>
    <x v="108"/>
    <x v="5"/>
    <x v="1"/>
    <x v="1"/>
    <n v="1"/>
  </r>
  <r>
    <x v="3"/>
    <x v="5"/>
    <x v="1"/>
    <x v="1"/>
    <n v="1"/>
  </r>
  <r>
    <x v="51"/>
    <x v="5"/>
    <x v="1"/>
    <x v="1"/>
    <n v="1"/>
  </r>
  <r>
    <x v="75"/>
    <x v="5"/>
    <x v="1"/>
    <x v="1"/>
    <n v="1"/>
  </r>
  <r>
    <x v="93"/>
    <x v="5"/>
    <x v="1"/>
    <x v="1"/>
    <n v="1"/>
  </r>
  <r>
    <x v="11"/>
    <x v="5"/>
    <x v="1"/>
    <x v="1"/>
    <n v="1"/>
  </r>
  <r>
    <x v="60"/>
    <x v="5"/>
    <x v="1"/>
    <x v="1"/>
    <n v="1"/>
  </r>
  <r>
    <x v="40"/>
    <x v="5"/>
    <x v="1"/>
    <x v="1"/>
    <n v="1"/>
  </r>
  <r>
    <x v="104"/>
    <x v="5"/>
    <x v="1"/>
    <x v="1"/>
    <n v="1"/>
  </r>
  <r>
    <x v="17"/>
    <x v="5"/>
    <x v="1"/>
    <x v="1"/>
    <n v="1"/>
  </r>
  <r>
    <x v="19"/>
    <x v="5"/>
    <x v="1"/>
    <x v="1"/>
    <n v="1"/>
  </r>
  <r>
    <x v="20"/>
    <x v="5"/>
    <x v="1"/>
    <x v="1"/>
    <n v="1"/>
  </r>
  <r>
    <x v="63"/>
    <x v="5"/>
    <x v="1"/>
    <x v="1"/>
    <n v="1"/>
  </r>
  <r>
    <x v="64"/>
    <x v="5"/>
    <x v="1"/>
    <x v="1"/>
    <n v="1"/>
  </r>
  <r>
    <x v="72"/>
    <x v="5"/>
    <x v="1"/>
    <x v="1"/>
    <n v="1"/>
  </r>
  <r>
    <x v="6"/>
    <x v="5"/>
    <x v="1"/>
    <x v="1"/>
    <n v="2"/>
  </r>
  <r>
    <x v="65"/>
    <x v="5"/>
    <x v="1"/>
    <x v="1"/>
    <n v="1"/>
  </r>
  <r>
    <x v="50"/>
    <x v="5"/>
    <x v="1"/>
    <x v="1"/>
    <n v="1"/>
  </r>
  <r>
    <x v="77"/>
    <x v="5"/>
    <x v="1"/>
    <x v="1"/>
    <n v="1"/>
  </r>
  <r>
    <x v="7"/>
    <x v="5"/>
    <x v="1"/>
    <x v="1"/>
    <n v="1"/>
  </r>
  <r>
    <x v="48"/>
    <x v="5"/>
    <x v="1"/>
    <x v="1"/>
    <n v="1"/>
  </r>
  <r>
    <x v="24"/>
    <x v="5"/>
    <x v="1"/>
    <x v="1"/>
    <n v="2"/>
  </r>
  <r>
    <x v="84"/>
    <x v="5"/>
    <x v="1"/>
    <x v="1"/>
    <n v="1"/>
  </r>
  <r>
    <x v="88"/>
    <x v="5"/>
    <x v="1"/>
    <x v="1"/>
    <n v="1"/>
  </r>
  <r>
    <x v="45"/>
    <x v="5"/>
    <x v="1"/>
    <x v="1"/>
    <n v="4"/>
  </r>
  <r>
    <x v="91"/>
    <x v="5"/>
    <x v="1"/>
    <x v="1"/>
    <n v="1"/>
  </r>
  <r>
    <x v="30"/>
    <x v="5"/>
    <x v="1"/>
    <x v="1"/>
    <n v="2"/>
  </r>
  <r>
    <x v="58"/>
    <x v="5"/>
    <x v="1"/>
    <x v="1"/>
    <n v="1"/>
  </r>
  <r>
    <x v="43"/>
    <x v="5"/>
    <x v="1"/>
    <x v="1"/>
    <n v="1"/>
  </r>
  <r>
    <x v="31"/>
    <x v="6"/>
    <x v="0"/>
    <x v="1"/>
    <n v="7"/>
  </r>
  <r>
    <x v="26"/>
    <x v="6"/>
    <x v="0"/>
    <x v="1"/>
    <n v="12"/>
  </r>
  <r>
    <x v="51"/>
    <x v="6"/>
    <x v="0"/>
    <x v="1"/>
    <n v="5"/>
  </r>
  <r>
    <x v="27"/>
    <x v="6"/>
    <x v="0"/>
    <x v="1"/>
    <n v="5"/>
  </r>
  <r>
    <x v="47"/>
    <x v="6"/>
    <x v="0"/>
    <x v="1"/>
    <n v="4"/>
  </r>
  <r>
    <x v="40"/>
    <x v="6"/>
    <x v="0"/>
    <x v="1"/>
    <n v="3"/>
  </r>
  <r>
    <x v="53"/>
    <x v="6"/>
    <x v="0"/>
    <x v="1"/>
    <n v="4"/>
  </r>
  <r>
    <x v="24"/>
    <x v="6"/>
    <x v="0"/>
    <x v="1"/>
    <n v="5"/>
  </r>
  <r>
    <x v="8"/>
    <x v="6"/>
    <x v="0"/>
    <x v="1"/>
    <n v="2"/>
  </r>
  <r>
    <x v="3"/>
    <x v="6"/>
    <x v="0"/>
    <x v="1"/>
    <n v="2"/>
  </r>
  <r>
    <x v="36"/>
    <x v="6"/>
    <x v="0"/>
    <x v="1"/>
    <n v="2"/>
  </r>
  <r>
    <x v="56"/>
    <x v="6"/>
    <x v="0"/>
    <x v="1"/>
    <n v="2"/>
  </r>
  <r>
    <x v="60"/>
    <x v="6"/>
    <x v="0"/>
    <x v="1"/>
    <n v="2"/>
  </r>
  <r>
    <x v="23"/>
    <x v="6"/>
    <x v="0"/>
    <x v="1"/>
    <n v="3"/>
  </r>
  <r>
    <x v="7"/>
    <x v="6"/>
    <x v="0"/>
    <x v="1"/>
    <n v="2"/>
  </r>
  <r>
    <x v="25"/>
    <x v="6"/>
    <x v="0"/>
    <x v="1"/>
    <n v="2"/>
  </r>
  <r>
    <x v="29"/>
    <x v="6"/>
    <x v="0"/>
    <x v="1"/>
    <n v="3"/>
  </r>
  <r>
    <x v="58"/>
    <x v="6"/>
    <x v="0"/>
    <x v="1"/>
    <n v="2"/>
  </r>
  <r>
    <x v="5"/>
    <x v="6"/>
    <x v="0"/>
    <x v="1"/>
    <n v="2"/>
  </r>
  <r>
    <x v="75"/>
    <x v="6"/>
    <x v="0"/>
    <x v="1"/>
    <n v="7"/>
  </r>
  <r>
    <x v="10"/>
    <x v="6"/>
    <x v="0"/>
    <x v="1"/>
    <n v="2"/>
  </r>
  <r>
    <x v="4"/>
    <x v="6"/>
    <x v="0"/>
    <x v="1"/>
    <n v="2"/>
  </r>
  <r>
    <x v="59"/>
    <x v="6"/>
    <x v="0"/>
    <x v="1"/>
    <n v="1"/>
  </r>
  <r>
    <x v="0"/>
    <x v="6"/>
    <x v="0"/>
    <x v="1"/>
    <n v="1"/>
  </r>
  <r>
    <x v="35"/>
    <x v="6"/>
    <x v="0"/>
    <x v="1"/>
    <n v="1"/>
  </r>
  <r>
    <x v="92"/>
    <x v="6"/>
    <x v="0"/>
    <x v="1"/>
    <n v="2"/>
  </r>
  <r>
    <x v="93"/>
    <x v="6"/>
    <x v="0"/>
    <x v="1"/>
    <n v="2"/>
  </r>
  <r>
    <x v="11"/>
    <x v="6"/>
    <x v="0"/>
    <x v="1"/>
    <n v="1"/>
  </r>
  <r>
    <x v="12"/>
    <x v="6"/>
    <x v="0"/>
    <x v="1"/>
    <n v="1"/>
  </r>
  <r>
    <x v="38"/>
    <x v="6"/>
    <x v="0"/>
    <x v="1"/>
    <n v="1"/>
  </r>
  <r>
    <x v="81"/>
    <x v="6"/>
    <x v="0"/>
    <x v="1"/>
    <n v="1"/>
  </r>
  <r>
    <x v="71"/>
    <x v="6"/>
    <x v="0"/>
    <x v="1"/>
    <n v="1"/>
  </r>
  <r>
    <x v="76"/>
    <x v="6"/>
    <x v="0"/>
    <x v="1"/>
    <n v="1"/>
  </r>
  <r>
    <x v="15"/>
    <x v="6"/>
    <x v="0"/>
    <x v="1"/>
    <n v="1"/>
  </r>
  <r>
    <x v="82"/>
    <x v="6"/>
    <x v="0"/>
    <x v="1"/>
    <n v="1"/>
  </r>
  <r>
    <x v="19"/>
    <x v="6"/>
    <x v="0"/>
    <x v="1"/>
    <n v="1"/>
  </r>
  <r>
    <x v="83"/>
    <x v="6"/>
    <x v="0"/>
    <x v="1"/>
    <n v="1"/>
  </r>
  <r>
    <x v="63"/>
    <x v="6"/>
    <x v="0"/>
    <x v="1"/>
    <n v="1"/>
  </r>
  <r>
    <x v="65"/>
    <x v="6"/>
    <x v="0"/>
    <x v="1"/>
    <n v="1"/>
  </r>
  <r>
    <x v="48"/>
    <x v="6"/>
    <x v="0"/>
    <x v="1"/>
    <n v="1"/>
  </r>
  <r>
    <x v="94"/>
    <x v="6"/>
    <x v="0"/>
    <x v="1"/>
    <n v="2"/>
  </r>
  <r>
    <x v="30"/>
    <x v="6"/>
    <x v="0"/>
    <x v="1"/>
    <n v="1"/>
  </r>
  <r>
    <x v="71"/>
    <x v="6"/>
    <x v="1"/>
    <x v="1"/>
    <n v="3"/>
  </r>
  <r>
    <x v="33"/>
    <x v="6"/>
    <x v="1"/>
    <x v="1"/>
    <n v="2"/>
  </r>
  <r>
    <x v="43"/>
    <x v="6"/>
    <x v="1"/>
    <x v="1"/>
    <n v="2"/>
  </r>
  <r>
    <x v="26"/>
    <x v="6"/>
    <x v="1"/>
    <x v="1"/>
    <n v="2"/>
  </r>
  <r>
    <x v="31"/>
    <x v="6"/>
    <x v="1"/>
    <x v="1"/>
    <n v="2"/>
  </r>
  <r>
    <x v="54"/>
    <x v="6"/>
    <x v="1"/>
    <x v="1"/>
    <n v="1"/>
  </r>
  <r>
    <x v="108"/>
    <x v="6"/>
    <x v="1"/>
    <x v="1"/>
    <n v="1"/>
  </r>
  <r>
    <x v="92"/>
    <x v="6"/>
    <x v="1"/>
    <x v="1"/>
    <n v="1"/>
  </r>
  <r>
    <x v="56"/>
    <x v="6"/>
    <x v="1"/>
    <x v="1"/>
    <n v="1"/>
  </r>
  <r>
    <x v="11"/>
    <x v="6"/>
    <x v="1"/>
    <x v="1"/>
    <n v="1"/>
  </r>
  <r>
    <x v="19"/>
    <x v="6"/>
    <x v="1"/>
    <x v="1"/>
    <n v="1"/>
  </r>
  <r>
    <x v="57"/>
    <x v="6"/>
    <x v="1"/>
    <x v="1"/>
    <n v="1"/>
  </r>
  <r>
    <x v="44"/>
    <x v="6"/>
    <x v="1"/>
    <x v="1"/>
    <n v="1"/>
  </r>
  <r>
    <x v="64"/>
    <x v="6"/>
    <x v="1"/>
    <x v="1"/>
    <n v="1"/>
  </r>
  <r>
    <x v="72"/>
    <x v="6"/>
    <x v="1"/>
    <x v="1"/>
    <n v="1"/>
  </r>
  <r>
    <x v="50"/>
    <x v="6"/>
    <x v="1"/>
    <x v="1"/>
    <n v="1"/>
  </r>
  <r>
    <x v="28"/>
    <x v="6"/>
    <x v="1"/>
    <x v="1"/>
    <n v="1"/>
  </r>
  <r>
    <x v="73"/>
    <x v="6"/>
    <x v="1"/>
    <x v="1"/>
    <n v="1"/>
  </r>
  <r>
    <x v="97"/>
    <x v="6"/>
    <x v="1"/>
    <x v="1"/>
    <n v="1"/>
  </r>
  <r>
    <x v="45"/>
    <x v="6"/>
    <x v="1"/>
    <x v="1"/>
    <n v="1"/>
  </r>
  <r>
    <x v="91"/>
    <x v="6"/>
    <x v="1"/>
    <x v="1"/>
    <n v="1"/>
  </r>
  <r>
    <x v="21"/>
    <x v="6"/>
    <x v="1"/>
    <x v="1"/>
    <n v="1"/>
  </r>
  <r>
    <x v="26"/>
    <x v="7"/>
    <x v="0"/>
    <x v="1"/>
    <n v="6"/>
  </r>
  <r>
    <x v="10"/>
    <x v="7"/>
    <x v="0"/>
    <x v="1"/>
    <n v="3"/>
  </r>
  <r>
    <x v="75"/>
    <x v="7"/>
    <x v="0"/>
    <x v="1"/>
    <n v="5"/>
  </r>
  <r>
    <x v="11"/>
    <x v="7"/>
    <x v="0"/>
    <x v="1"/>
    <n v="3"/>
  </r>
  <r>
    <x v="24"/>
    <x v="7"/>
    <x v="0"/>
    <x v="1"/>
    <n v="3"/>
  </r>
  <r>
    <x v="31"/>
    <x v="7"/>
    <x v="0"/>
    <x v="1"/>
    <n v="3"/>
  </r>
  <r>
    <x v="58"/>
    <x v="7"/>
    <x v="0"/>
    <x v="1"/>
    <n v="3"/>
  </r>
  <r>
    <x v="2"/>
    <x v="7"/>
    <x v="0"/>
    <x v="1"/>
    <n v="2"/>
  </r>
  <r>
    <x v="55"/>
    <x v="7"/>
    <x v="0"/>
    <x v="1"/>
    <n v="2"/>
  </r>
  <r>
    <x v="12"/>
    <x v="7"/>
    <x v="0"/>
    <x v="1"/>
    <n v="2"/>
  </r>
  <r>
    <x v="81"/>
    <x v="7"/>
    <x v="0"/>
    <x v="1"/>
    <n v="2"/>
  </r>
  <r>
    <x v="83"/>
    <x v="7"/>
    <x v="0"/>
    <x v="1"/>
    <n v="3"/>
  </r>
  <r>
    <x v="63"/>
    <x v="7"/>
    <x v="0"/>
    <x v="1"/>
    <n v="2"/>
  </r>
  <r>
    <x v="27"/>
    <x v="7"/>
    <x v="0"/>
    <x v="1"/>
    <n v="2"/>
  </r>
  <r>
    <x v="51"/>
    <x v="7"/>
    <x v="0"/>
    <x v="1"/>
    <n v="2"/>
  </r>
  <r>
    <x v="109"/>
    <x v="7"/>
    <x v="0"/>
    <x v="1"/>
    <n v="1"/>
  </r>
  <r>
    <x v="0"/>
    <x v="7"/>
    <x v="0"/>
    <x v="1"/>
    <n v="1"/>
  </r>
  <r>
    <x v="3"/>
    <x v="7"/>
    <x v="0"/>
    <x v="1"/>
    <n v="1"/>
  </r>
  <r>
    <x v="35"/>
    <x v="7"/>
    <x v="0"/>
    <x v="1"/>
    <n v="1"/>
  </r>
  <r>
    <x v="47"/>
    <x v="7"/>
    <x v="0"/>
    <x v="1"/>
    <n v="1"/>
  </r>
  <r>
    <x v="92"/>
    <x v="7"/>
    <x v="0"/>
    <x v="1"/>
    <n v="1"/>
  </r>
  <r>
    <x v="36"/>
    <x v="7"/>
    <x v="0"/>
    <x v="1"/>
    <n v="1"/>
  </r>
  <r>
    <x v="93"/>
    <x v="7"/>
    <x v="0"/>
    <x v="1"/>
    <n v="1"/>
  </r>
  <r>
    <x v="37"/>
    <x v="7"/>
    <x v="0"/>
    <x v="1"/>
    <n v="1"/>
  </r>
  <r>
    <x v="70"/>
    <x v="7"/>
    <x v="0"/>
    <x v="1"/>
    <n v="1"/>
  </r>
  <r>
    <x v="13"/>
    <x v="7"/>
    <x v="0"/>
    <x v="1"/>
    <n v="1"/>
  </r>
  <r>
    <x v="1"/>
    <x v="7"/>
    <x v="0"/>
    <x v="1"/>
    <n v="1"/>
  </r>
  <r>
    <x v="98"/>
    <x v="7"/>
    <x v="0"/>
    <x v="1"/>
    <n v="1"/>
  </r>
  <r>
    <x v="53"/>
    <x v="7"/>
    <x v="0"/>
    <x v="1"/>
    <n v="1"/>
  </r>
  <r>
    <x v="57"/>
    <x v="7"/>
    <x v="0"/>
    <x v="1"/>
    <n v="1"/>
  </r>
  <r>
    <x v="72"/>
    <x v="7"/>
    <x v="0"/>
    <x v="1"/>
    <n v="1"/>
  </r>
  <r>
    <x v="65"/>
    <x v="7"/>
    <x v="0"/>
    <x v="1"/>
    <n v="1"/>
  </r>
  <r>
    <x v="66"/>
    <x v="7"/>
    <x v="0"/>
    <x v="1"/>
    <n v="1"/>
  </r>
  <r>
    <x v="23"/>
    <x v="7"/>
    <x v="0"/>
    <x v="1"/>
    <n v="1"/>
  </r>
  <r>
    <x v="7"/>
    <x v="7"/>
    <x v="0"/>
    <x v="1"/>
    <n v="1"/>
  </r>
  <r>
    <x v="84"/>
    <x v="7"/>
    <x v="0"/>
    <x v="1"/>
    <n v="1"/>
  </r>
  <r>
    <x v="28"/>
    <x v="7"/>
    <x v="0"/>
    <x v="1"/>
    <n v="1"/>
  </r>
  <r>
    <x v="88"/>
    <x v="7"/>
    <x v="0"/>
    <x v="1"/>
    <n v="1"/>
  </r>
  <r>
    <x v="29"/>
    <x v="7"/>
    <x v="0"/>
    <x v="1"/>
    <n v="1"/>
  </r>
  <r>
    <x v="42"/>
    <x v="7"/>
    <x v="0"/>
    <x v="1"/>
    <n v="1"/>
  </r>
  <r>
    <x v="0"/>
    <x v="7"/>
    <x v="1"/>
    <x v="1"/>
    <n v="5"/>
  </r>
  <r>
    <x v="26"/>
    <x v="7"/>
    <x v="1"/>
    <x v="1"/>
    <n v="6"/>
  </r>
  <r>
    <x v="24"/>
    <x v="7"/>
    <x v="1"/>
    <x v="1"/>
    <n v="5"/>
  </r>
  <r>
    <x v="31"/>
    <x v="7"/>
    <x v="1"/>
    <x v="1"/>
    <n v="3"/>
  </r>
  <r>
    <x v="45"/>
    <x v="7"/>
    <x v="1"/>
    <x v="1"/>
    <n v="3"/>
  </r>
  <r>
    <x v="3"/>
    <x v="7"/>
    <x v="1"/>
    <x v="1"/>
    <n v="2"/>
  </r>
  <r>
    <x v="93"/>
    <x v="7"/>
    <x v="1"/>
    <x v="1"/>
    <n v="2"/>
  </r>
  <r>
    <x v="56"/>
    <x v="7"/>
    <x v="1"/>
    <x v="1"/>
    <n v="3"/>
  </r>
  <r>
    <x v="11"/>
    <x v="7"/>
    <x v="1"/>
    <x v="1"/>
    <n v="2"/>
  </r>
  <r>
    <x v="18"/>
    <x v="7"/>
    <x v="1"/>
    <x v="1"/>
    <n v="2"/>
  </r>
  <r>
    <x v="83"/>
    <x v="7"/>
    <x v="1"/>
    <x v="1"/>
    <n v="2"/>
  </r>
  <r>
    <x v="48"/>
    <x v="7"/>
    <x v="1"/>
    <x v="1"/>
    <n v="3"/>
  </r>
  <r>
    <x v="58"/>
    <x v="7"/>
    <x v="1"/>
    <x v="1"/>
    <n v="2"/>
  </r>
  <r>
    <x v="55"/>
    <x v="7"/>
    <x v="1"/>
    <x v="1"/>
    <n v="1"/>
  </r>
  <r>
    <x v="35"/>
    <x v="7"/>
    <x v="1"/>
    <x v="1"/>
    <n v="1"/>
  </r>
  <r>
    <x v="47"/>
    <x v="7"/>
    <x v="1"/>
    <x v="1"/>
    <n v="1"/>
  </r>
  <r>
    <x v="36"/>
    <x v="7"/>
    <x v="1"/>
    <x v="1"/>
    <n v="1"/>
  </r>
  <r>
    <x v="37"/>
    <x v="7"/>
    <x v="1"/>
    <x v="1"/>
    <n v="1"/>
  </r>
  <r>
    <x v="10"/>
    <x v="7"/>
    <x v="1"/>
    <x v="1"/>
    <n v="1"/>
  </r>
  <r>
    <x v="12"/>
    <x v="7"/>
    <x v="1"/>
    <x v="1"/>
    <n v="3"/>
  </r>
  <r>
    <x v="38"/>
    <x v="7"/>
    <x v="1"/>
    <x v="1"/>
    <n v="1"/>
  </r>
  <r>
    <x v="62"/>
    <x v="7"/>
    <x v="1"/>
    <x v="1"/>
    <n v="1"/>
  </r>
  <r>
    <x v="70"/>
    <x v="7"/>
    <x v="1"/>
    <x v="1"/>
    <n v="1"/>
  </r>
  <r>
    <x v="19"/>
    <x v="7"/>
    <x v="1"/>
    <x v="1"/>
    <n v="1"/>
  </r>
  <r>
    <x v="20"/>
    <x v="7"/>
    <x v="1"/>
    <x v="1"/>
    <n v="1"/>
  </r>
  <r>
    <x v="64"/>
    <x v="7"/>
    <x v="1"/>
    <x v="1"/>
    <n v="1"/>
  </r>
  <r>
    <x v="6"/>
    <x v="7"/>
    <x v="1"/>
    <x v="1"/>
    <n v="1"/>
  </r>
  <r>
    <x v="23"/>
    <x v="7"/>
    <x v="1"/>
    <x v="1"/>
    <n v="1"/>
  </r>
  <r>
    <x v="50"/>
    <x v="7"/>
    <x v="1"/>
    <x v="1"/>
    <n v="1"/>
  </r>
  <r>
    <x v="77"/>
    <x v="7"/>
    <x v="1"/>
    <x v="1"/>
    <n v="1"/>
  </r>
  <r>
    <x v="84"/>
    <x v="7"/>
    <x v="1"/>
    <x v="1"/>
    <n v="1"/>
  </r>
  <r>
    <x v="49"/>
    <x v="7"/>
    <x v="1"/>
    <x v="1"/>
    <n v="1"/>
  </r>
  <r>
    <x v="25"/>
    <x v="7"/>
    <x v="1"/>
    <x v="1"/>
    <n v="1"/>
  </r>
  <r>
    <x v="27"/>
    <x v="7"/>
    <x v="1"/>
    <x v="1"/>
    <n v="1"/>
  </r>
  <r>
    <x v="28"/>
    <x v="7"/>
    <x v="1"/>
    <x v="1"/>
    <n v="1"/>
  </r>
  <r>
    <x v="88"/>
    <x v="7"/>
    <x v="1"/>
    <x v="1"/>
    <n v="1"/>
  </r>
  <r>
    <x v="72"/>
    <x v="7"/>
    <x v="1"/>
    <x v="1"/>
    <n v="1"/>
  </r>
  <r>
    <x v="111"/>
    <x v="8"/>
    <x v="2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9C150-84C3-4257-9924-D2D1FEC696C1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B38" firstHeaderRow="1" firstDataRow="3" firstDataCol="1"/>
  <pivotFields count="6">
    <pivotField showAll="0"/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dataField="1" showAll="0"/>
    <pivotField axis="axisRow" showAll="0">
      <items count="33">
        <item x="28"/>
        <item x="30"/>
        <item x="4"/>
        <item x="6"/>
        <item x="20"/>
        <item x="27"/>
        <item x="2"/>
        <item x="5"/>
        <item x="14"/>
        <item x="18"/>
        <item x="11"/>
        <item x="24"/>
        <item x="23"/>
        <item x="13"/>
        <item x="1"/>
        <item x="26"/>
        <item x="29"/>
        <item x="7"/>
        <item x="15"/>
        <item x="8"/>
        <item x="9"/>
        <item x="10"/>
        <item x="0"/>
        <item x="12"/>
        <item x="16"/>
        <item x="25"/>
        <item x="17"/>
        <item x="19"/>
        <item x="21"/>
        <item x="22"/>
        <item x="3"/>
        <item x="31"/>
        <item t="default"/>
      </items>
    </pivotField>
  </pivotFields>
  <rowFields count="1">
    <field x="5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2">
    <field x="1"/>
    <field x="2"/>
  </colFields>
  <colItems count="27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>
      <x v="7"/>
      <x/>
    </i>
    <i r="1">
      <x v="1"/>
    </i>
    <i t="default">
      <x v="7"/>
    </i>
    <i>
      <x v="8"/>
      <x v="2"/>
    </i>
    <i t="default">
      <x v="8"/>
    </i>
    <i t="grand">
      <x/>
    </i>
  </colItems>
  <dataFields count="1">
    <dataField name="Suma de Marker h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3DFA6-0134-4E8C-89D1-5C6AEA687E64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B118" firstHeaderRow="1" firstDataRow="3" firstDataCol="1"/>
  <pivotFields count="5">
    <pivotField axis="axisRow" showAll="0">
      <items count="113">
        <item x="26"/>
        <item x="28"/>
        <item x="97"/>
        <item x="35"/>
        <item x="45"/>
        <item x="43"/>
        <item x="88"/>
        <item x="1"/>
        <item x="84"/>
        <item x="67"/>
        <item x="71"/>
        <item x="56"/>
        <item x="5"/>
        <item x="61"/>
        <item x="27"/>
        <item x="49"/>
        <item x="20"/>
        <item x="96"/>
        <item x="41"/>
        <item x="15"/>
        <item x="69"/>
        <item x="16"/>
        <item x="25"/>
        <item x="72"/>
        <item x="8"/>
        <item x="33"/>
        <item x="62"/>
        <item x="47"/>
        <item x="102"/>
        <item x="31"/>
        <item x="91"/>
        <item x="64"/>
        <item x="98"/>
        <item x="54"/>
        <item x="79"/>
        <item x="78"/>
        <item x="85"/>
        <item x="68"/>
        <item x="50"/>
        <item x="94"/>
        <item x="83"/>
        <item x="59"/>
        <item x="2"/>
        <item x="24"/>
        <item x="70"/>
        <item x="14"/>
        <item x="81"/>
        <item x="51"/>
        <item x="32"/>
        <item x="40"/>
        <item x="37"/>
        <item x="74"/>
        <item x="52"/>
        <item x="7"/>
        <item x="89"/>
        <item x="29"/>
        <item x="44"/>
        <item x="39"/>
        <item x="100"/>
        <item x="36"/>
        <item x="93"/>
        <item x="106"/>
        <item x="21"/>
        <item x="19"/>
        <item x="22"/>
        <item x="104"/>
        <item x="34"/>
        <item x="53"/>
        <item x="4"/>
        <item x="9"/>
        <item x="11"/>
        <item x="46"/>
        <item x="23"/>
        <item x="42"/>
        <item x="86"/>
        <item x="108"/>
        <item x="73"/>
        <item x="87"/>
        <item x="90"/>
        <item x="105"/>
        <item x="57"/>
        <item x="30"/>
        <item x="76"/>
        <item x="0"/>
        <item x="95"/>
        <item x="3"/>
        <item x="60"/>
        <item x="110"/>
        <item x="17"/>
        <item x="101"/>
        <item x="58"/>
        <item x="80"/>
        <item x="65"/>
        <item x="107"/>
        <item x="13"/>
        <item x="109"/>
        <item x="77"/>
        <item x="66"/>
        <item x="103"/>
        <item x="99"/>
        <item x="38"/>
        <item x="63"/>
        <item x="82"/>
        <item x="48"/>
        <item x="12"/>
        <item x="10"/>
        <item x="55"/>
        <item x="75"/>
        <item x="92"/>
        <item x="18"/>
        <item x="6"/>
        <item x="111"/>
        <item t="default"/>
      </items>
    </pivotField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1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 t="grand">
      <x/>
    </i>
  </rowItems>
  <colFields count="2">
    <field x="1"/>
    <field x="2"/>
  </colFields>
  <colItems count="27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>
      <x v="7"/>
      <x/>
    </i>
    <i r="1">
      <x v="1"/>
    </i>
    <i t="default">
      <x v="7"/>
    </i>
    <i>
      <x v="8"/>
      <x v="2"/>
    </i>
    <i t="default">
      <x v="8"/>
    </i>
    <i t="grand">
      <x/>
    </i>
  </colItems>
  <dataFields count="1">
    <dataField name="Suma de Marker h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9"/>
  <sheetViews>
    <sheetView topLeftCell="A760" workbookViewId="0">
      <selection activeCell="G11" sqref="G11"/>
    </sheetView>
  </sheetViews>
  <sheetFormatPr baseColWidth="10" defaultColWidth="9.06640625" defaultRowHeight="14.25" x14ac:dyDescent="0.45"/>
  <cols>
    <col min="1" max="1" width="68.33203125" bestFit="1" customWidth="1"/>
    <col min="2" max="2" width="3.73046875" bestFit="1" customWidth="1"/>
    <col min="3" max="3" width="7.9296875" bestFit="1" customWidth="1"/>
    <col min="4" max="4" width="3.19921875" bestFit="1" customWidth="1"/>
    <col min="5" max="5" width="10.19921875" bestFit="1" customWidth="1"/>
    <col min="6" max="6" width="45.9296875" bestFit="1" customWidth="1"/>
    <col min="8" max="8" width="69.59765625" bestFit="1" customWidth="1"/>
  </cols>
  <sheetData>
    <row r="1" spans="1:9" x14ac:dyDescent="0.45">
      <c r="H1" t="s">
        <v>119</v>
      </c>
      <c r="I1" t="s">
        <v>120</v>
      </c>
    </row>
    <row r="2" spans="1:9" x14ac:dyDescent="0.4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4</v>
      </c>
      <c r="H2" s="1" t="s">
        <v>33</v>
      </c>
      <c r="I2" t="s">
        <v>121</v>
      </c>
    </row>
    <row r="3" spans="1:9" x14ac:dyDescent="0.45">
      <c r="A3" t="s">
        <v>7</v>
      </c>
      <c r="B3">
        <v>3</v>
      </c>
      <c r="C3">
        <v>1</v>
      </c>
      <c r="D3" t="s">
        <v>6</v>
      </c>
      <c r="E3">
        <v>4</v>
      </c>
      <c r="F3" t="str">
        <f>_xlfn.XLOOKUP(A3,$H$2:$H$200,$I$2:$I$200)</f>
        <v>Nucleotide metabolism</v>
      </c>
      <c r="H3" s="1" t="s">
        <v>35</v>
      </c>
      <c r="I3" t="s">
        <v>122</v>
      </c>
    </row>
    <row r="4" spans="1:9" x14ac:dyDescent="0.45">
      <c r="A4" t="s">
        <v>8</v>
      </c>
      <c r="B4">
        <v>3</v>
      </c>
      <c r="C4">
        <v>1</v>
      </c>
      <c r="D4" t="s">
        <v>6</v>
      </c>
      <c r="E4">
        <v>3</v>
      </c>
      <c r="F4" t="str">
        <f>_xlfn.XLOOKUP(A4,$H$2:$H$200,$I$2:$I$200)</f>
        <v>Glycan biosynthesis and metabolism</v>
      </c>
      <c r="H4" s="1" t="s">
        <v>42</v>
      </c>
      <c r="I4" t="s">
        <v>121</v>
      </c>
    </row>
    <row r="5" spans="1:9" x14ac:dyDescent="0.45">
      <c r="A5" t="s">
        <v>9</v>
      </c>
      <c r="B5">
        <v>3</v>
      </c>
      <c r="C5">
        <v>1</v>
      </c>
      <c r="D5" t="s">
        <v>6</v>
      </c>
      <c r="E5">
        <v>2</v>
      </c>
      <c r="F5" t="str">
        <f t="shared" ref="F5:F67" si="0">_xlfn.XLOOKUP(A5,$H$2:$H$200,$I$2:$I$200)</f>
        <v>Carbohydrate metabolism</v>
      </c>
      <c r="H5" s="1" t="s">
        <v>52</v>
      </c>
      <c r="I5" t="s">
        <v>123</v>
      </c>
    </row>
    <row r="6" spans="1:9" x14ac:dyDescent="0.45">
      <c r="A6" t="s">
        <v>10</v>
      </c>
      <c r="B6">
        <v>3</v>
      </c>
      <c r="C6">
        <v>1</v>
      </c>
      <c r="D6" t="s">
        <v>6</v>
      </c>
      <c r="E6">
        <v>2</v>
      </c>
      <c r="F6" t="str">
        <f t="shared" si="0"/>
        <v>Nucleotide metabolism</v>
      </c>
      <c r="H6" s="1" t="s">
        <v>50</v>
      </c>
      <c r="I6" t="s">
        <v>124</v>
      </c>
    </row>
    <row r="7" spans="1:9" x14ac:dyDescent="0.45">
      <c r="A7" t="s">
        <v>11</v>
      </c>
      <c r="B7">
        <v>3</v>
      </c>
      <c r="C7">
        <v>1</v>
      </c>
      <c r="D7" t="s">
        <v>6</v>
      </c>
      <c r="E7">
        <v>2</v>
      </c>
      <c r="F7" t="str">
        <f t="shared" si="0"/>
        <v>Carbohydrate metabolism</v>
      </c>
      <c r="H7" s="1" t="s">
        <v>95</v>
      </c>
      <c r="I7" t="s">
        <v>121</v>
      </c>
    </row>
    <row r="8" spans="1:9" x14ac:dyDescent="0.45">
      <c r="A8" t="s">
        <v>12</v>
      </c>
      <c r="B8">
        <v>3</v>
      </c>
      <c r="C8">
        <v>1</v>
      </c>
      <c r="D8" t="s">
        <v>6</v>
      </c>
      <c r="E8">
        <v>2</v>
      </c>
      <c r="F8" t="str">
        <f t="shared" si="0"/>
        <v>Carbohydrate metabolism</v>
      </c>
      <c r="H8" s="1" t="s">
        <v>8</v>
      </c>
      <c r="I8" t="s">
        <v>125</v>
      </c>
    </row>
    <row r="9" spans="1:9" x14ac:dyDescent="0.45">
      <c r="A9" t="s">
        <v>13</v>
      </c>
      <c r="B9">
        <v>3</v>
      </c>
      <c r="C9">
        <v>1</v>
      </c>
      <c r="D9" t="s">
        <v>6</v>
      </c>
      <c r="E9">
        <v>4</v>
      </c>
      <c r="F9" t="str">
        <f t="shared" si="0"/>
        <v>Terpenoid metabolism</v>
      </c>
      <c r="H9" s="1" t="s">
        <v>91</v>
      </c>
      <c r="I9" t="s">
        <v>126</v>
      </c>
    </row>
    <row r="10" spans="1:9" x14ac:dyDescent="0.45">
      <c r="A10" t="s">
        <v>14</v>
      </c>
      <c r="B10">
        <v>3</v>
      </c>
      <c r="C10">
        <v>1</v>
      </c>
      <c r="D10" t="s">
        <v>6</v>
      </c>
      <c r="E10">
        <v>2</v>
      </c>
      <c r="F10" t="str">
        <f t="shared" si="0"/>
        <v>Alkaloid metabolism</v>
      </c>
      <c r="H10" s="1" t="s">
        <v>74</v>
      </c>
      <c r="I10" t="s">
        <v>127</v>
      </c>
    </row>
    <row r="11" spans="1:9" x14ac:dyDescent="0.45">
      <c r="A11" t="s">
        <v>15</v>
      </c>
      <c r="B11">
        <v>3</v>
      </c>
      <c r="C11">
        <v>1</v>
      </c>
      <c r="D11" t="s">
        <v>6</v>
      </c>
      <c r="E11">
        <v>1</v>
      </c>
      <c r="F11" t="str">
        <f t="shared" si="0"/>
        <v>Carbon metabolism</v>
      </c>
      <c r="H11" s="1" t="s">
        <v>78</v>
      </c>
      <c r="I11" t="s">
        <v>124</v>
      </c>
    </row>
    <row r="12" spans="1:9" x14ac:dyDescent="0.45">
      <c r="A12" t="s">
        <v>16</v>
      </c>
      <c r="B12">
        <v>3</v>
      </c>
      <c r="C12">
        <v>1</v>
      </c>
      <c r="D12" t="s">
        <v>6</v>
      </c>
      <c r="E12">
        <v>1</v>
      </c>
      <c r="F12" t="str">
        <f t="shared" si="0"/>
        <v>Carbohydrate metabolism</v>
      </c>
      <c r="H12" s="1" t="s">
        <v>63</v>
      </c>
      <c r="I12" t="s">
        <v>121</v>
      </c>
    </row>
    <row r="13" spans="1:9" x14ac:dyDescent="0.45">
      <c r="A13" t="s">
        <v>17</v>
      </c>
      <c r="B13">
        <v>3</v>
      </c>
      <c r="C13">
        <v>1</v>
      </c>
      <c r="D13" t="s">
        <v>6</v>
      </c>
      <c r="E13">
        <v>1</v>
      </c>
      <c r="F13" t="str">
        <f t="shared" si="0"/>
        <v>Amino acid metabolism</v>
      </c>
      <c r="H13" s="1" t="s">
        <v>12</v>
      </c>
      <c r="I13" t="s">
        <v>128</v>
      </c>
    </row>
    <row r="14" spans="1:9" x14ac:dyDescent="0.45">
      <c r="A14" t="s">
        <v>18</v>
      </c>
      <c r="B14">
        <v>3</v>
      </c>
      <c r="C14">
        <v>1</v>
      </c>
      <c r="D14" t="s">
        <v>6</v>
      </c>
      <c r="E14">
        <v>1</v>
      </c>
      <c r="F14" t="str">
        <f t="shared" si="0"/>
        <v>Amino acid metabolism</v>
      </c>
      <c r="H14" s="1" t="s">
        <v>68</v>
      </c>
      <c r="I14" t="s">
        <v>121</v>
      </c>
    </row>
    <row r="15" spans="1:9" x14ac:dyDescent="0.45">
      <c r="A15" t="s">
        <v>19</v>
      </c>
      <c r="B15">
        <v>3</v>
      </c>
      <c r="C15">
        <v>1</v>
      </c>
      <c r="D15" t="s">
        <v>6</v>
      </c>
      <c r="E15">
        <v>3</v>
      </c>
      <c r="F15" t="str">
        <f t="shared" si="0"/>
        <v>Amino acid metabolism</v>
      </c>
      <c r="H15" s="1" t="s">
        <v>34</v>
      </c>
      <c r="I15" t="s">
        <v>121</v>
      </c>
    </row>
    <row r="16" spans="1:9" x14ac:dyDescent="0.45">
      <c r="A16" t="s">
        <v>20</v>
      </c>
      <c r="B16">
        <v>3</v>
      </c>
      <c r="C16">
        <v>1</v>
      </c>
      <c r="D16" t="s">
        <v>6</v>
      </c>
      <c r="E16">
        <v>1</v>
      </c>
      <c r="F16" t="str">
        <f t="shared" si="0"/>
        <v>Carbohydrate metabolism</v>
      </c>
      <c r="H16" s="1" t="s">
        <v>56</v>
      </c>
      <c r="I16" t="s">
        <v>124</v>
      </c>
    </row>
    <row r="17" spans="1:9" x14ac:dyDescent="0.45">
      <c r="A17" t="s">
        <v>21</v>
      </c>
      <c r="B17">
        <v>3</v>
      </c>
      <c r="C17">
        <v>1</v>
      </c>
      <c r="D17" t="s">
        <v>6</v>
      </c>
      <c r="E17">
        <v>1</v>
      </c>
      <c r="F17" t="str">
        <f t="shared" si="0"/>
        <v>Lipid metabolism</v>
      </c>
      <c r="H17" s="1" t="s">
        <v>27</v>
      </c>
      <c r="I17" t="s">
        <v>129</v>
      </c>
    </row>
    <row r="18" spans="1:9" x14ac:dyDescent="0.45">
      <c r="A18" t="s">
        <v>22</v>
      </c>
      <c r="B18">
        <v>3</v>
      </c>
      <c r="C18">
        <v>1</v>
      </c>
      <c r="D18" t="s">
        <v>6</v>
      </c>
      <c r="E18">
        <v>1</v>
      </c>
      <c r="F18" t="str">
        <f t="shared" si="0"/>
        <v>Carbohydrate metabolism</v>
      </c>
      <c r="H18" s="1" t="s">
        <v>103</v>
      </c>
      <c r="I18" t="s">
        <v>130</v>
      </c>
    </row>
    <row r="19" spans="1:9" x14ac:dyDescent="0.45">
      <c r="A19" t="s">
        <v>23</v>
      </c>
      <c r="B19">
        <v>3</v>
      </c>
      <c r="C19">
        <v>1</v>
      </c>
      <c r="D19" t="s">
        <v>6</v>
      </c>
      <c r="E19">
        <v>1</v>
      </c>
      <c r="F19" t="str">
        <f t="shared" si="0"/>
        <v>Carbon metabolism</v>
      </c>
      <c r="H19" s="1" t="s">
        <v>48</v>
      </c>
      <c r="I19" t="s">
        <v>128</v>
      </c>
    </row>
    <row r="20" spans="1:9" x14ac:dyDescent="0.45">
      <c r="A20" t="s">
        <v>24</v>
      </c>
      <c r="B20">
        <v>3</v>
      </c>
      <c r="C20">
        <v>1</v>
      </c>
      <c r="D20" t="s">
        <v>6</v>
      </c>
      <c r="E20">
        <v>1</v>
      </c>
      <c r="F20" t="str">
        <f t="shared" si="0"/>
        <v>Metabolism of cofactors and vitamin</v>
      </c>
      <c r="H20" s="1" t="s">
        <v>22</v>
      </c>
      <c r="I20" t="s">
        <v>128</v>
      </c>
    </row>
    <row r="21" spans="1:9" x14ac:dyDescent="0.45">
      <c r="A21" t="s">
        <v>25</v>
      </c>
      <c r="B21">
        <v>3</v>
      </c>
      <c r="C21">
        <v>1</v>
      </c>
      <c r="D21" t="s">
        <v>6</v>
      </c>
      <c r="E21">
        <v>1</v>
      </c>
      <c r="F21" t="str">
        <f t="shared" si="0"/>
        <v>Metabolism of cofactors and vitamins</v>
      </c>
      <c r="H21" s="1" t="s">
        <v>76</v>
      </c>
      <c r="I21" t="s">
        <v>131</v>
      </c>
    </row>
    <row r="22" spans="1:9" x14ac:dyDescent="0.45">
      <c r="A22" t="s">
        <v>26</v>
      </c>
      <c r="B22">
        <v>3</v>
      </c>
      <c r="C22">
        <v>1</v>
      </c>
      <c r="D22" t="s">
        <v>6</v>
      </c>
      <c r="E22">
        <v>1</v>
      </c>
      <c r="F22" t="str">
        <f t="shared" si="0"/>
        <v>Metabolism of cofactors and vitamins</v>
      </c>
      <c r="H22" s="1" t="s">
        <v>23</v>
      </c>
      <c r="I22" t="s">
        <v>132</v>
      </c>
    </row>
    <row r="23" spans="1:9" x14ac:dyDescent="0.45">
      <c r="A23" t="s">
        <v>27</v>
      </c>
      <c r="B23">
        <v>3</v>
      </c>
      <c r="C23">
        <v>1</v>
      </c>
      <c r="D23" t="s">
        <v>6</v>
      </c>
      <c r="E23">
        <v>1</v>
      </c>
      <c r="F23" t="str">
        <f t="shared" si="0"/>
        <v>Metabolism of cofactors and vitamins</v>
      </c>
      <c r="H23" s="1" t="s">
        <v>32</v>
      </c>
      <c r="I23" t="s">
        <v>133</v>
      </c>
    </row>
    <row r="24" spans="1:9" x14ac:dyDescent="0.45">
      <c r="A24" t="s">
        <v>28</v>
      </c>
      <c r="B24">
        <v>3</v>
      </c>
      <c r="C24">
        <v>1</v>
      </c>
      <c r="D24" t="s">
        <v>6</v>
      </c>
      <c r="E24">
        <v>1</v>
      </c>
      <c r="F24" t="str">
        <f t="shared" si="0"/>
        <v>Metabolism of terpenoids and polyketides</v>
      </c>
      <c r="H24" s="1" t="s">
        <v>79</v>
      </c>
      <c r="I24" t="s">
        <v>134</v>
      </c>
    </row>
    <row r="25" spans="1:9" x14ac:dyDescent="0.45">
      <c r="A25" t="s">
        <v>29</v>
      </c>
      <c r="B25">
        <v>3</v>
      </c>
      <c r="C25">
        <v>1</v>
      </c>
      <c r="D25" t="s">
        <v>6</v>
      </c>
      <c r="E25">
        <v>1</v>
      </c>
      <c r="F25" t="str">
        <f t="shared" si="0"/>
        <v>Energy metabolism</v>
      </c>
      <c r="H25" s="1" t="s">
        <v>15</v>
      </c>
      <c r="I25" t="s">
        <v>132</v>
      </c>
    </row>
    <row r="26" spans="1:9" x14ac:dyDescent="0.45">
      <c r="A26" t="s">
        <v>30</v>
      </c>
      <c r="B26">
        <v>3</v>
      </c>
      <c r="C26">
        <v>1</v>
      </c>
      <c r="D26" t="s">
        <v>6</v>
      </c>
      <c r="E26">
        <v>1</v>
      </c>
      <c r="F26" t="str">
        <f t="shared" si="0"/>
        <v>Phenylpropanoid biosynthesis</v>
      </c>
      <c r="H26" s="1" t="s">
        <v>40</v>
      </c>
      <c r="I26" t="s">
        <v>124</v>
      </c>
    </row>
    <row r="27" spans="1:9" x14ac:dyDescent="0.45">
      <c r="A27" t="s">
        <v>31</v>
      </c>
      <c r="B27">
        <v>3</v>
      </c>
      <c r="C27">
        <v>1</v>
      </c>
      <c r="D27" t="s">
        <v>6</v>
      </c>
      <c r="E27">
        <v>3</v>
      </c>
      <c r="F27" t="str">
        <f t="shared" si="0"/>
        <v>Glucosinolate biosynthesis</v>
      </c>
      <c r="H27" s="1" t="s">
        <v>69</v>
      </c>
      <c r="I27" t="s">
        <v>121</v>
      </c>
    </row>
    <row r="28" spans="1:9" x14ac:dyDescent="0.45">
      <c r="A28" t="s">
        <v>32</v>
      </c>
      <c r="B28">
        <v>3</v>
      </c>
      <c r="C28">
        <v>1</v>
      </c>
      <c r="D28" t="s">
        <v>6</v>
      </c>
      <c r="E28">
        <v>1</v>
      </c>
      <c r="F28" t="str">
        <f t="shared" si="0"/>
        <v xml:space="preserve">Carbon metabolism </v>
      </c>
      <c r="H28" s="1" t="s">
        <v>54</v>
      </c>
      <c r="I28" t="s">
        <v>121</v>
      </c>
    </row>
    <row r="29" spans="1:9" x14ac:dyDescent="0.45">
      <c r="A29" t="s">
        <v>33</v>
      </c>
      <c r="B29">
        <v>3</v>
      </c>
      <c r="C29">
        <v>1</v>
      </c>
      <c r="D29" t="s">
        <v>6</v>
      </c>
      <c r="E29">
        <v>3</v>
      </c>
      <c r="F29" t="str">
        <f t="shared" si="0"/>
        <v>Amino acid metabolism</v>
      </c>
      <c r="H29" s="1" t="s">
        <v>135</v>
      </c>
    </row>
    <row r="30" spans="1:9" x14ac:dyDescent="0.45">
      <c r="A30" t="s">
        <v>34</v>
      </c>
      <c r="B30">
        <v>3</v>
      </c>
      <c r="C30">
        <v>1</v>
      </c>
      <c r="D30" t="s">
        <v>6</v>
      </c>
      <c r="E30">
        <v>1</v>
      </c>
      <c r="F30" t="str">
        <f t="shared" si="0"/>
        <v>Amino acid metabolism</v>
      </c>
      <c r="H30" s="1" t="s">
        <v>109</v>
      </c>
    </row>
    <row r="31" spans="1:9" x14ac:dyDescent="0.45">
      <c r="A31" t="s">
        <v>35</v>
      </c>
      <c r="B31">
        <v>3</v>
      </c>
      <c r="C31">
        <v>1</v>
      </c>
      <c r="D31" t="s">
        <v>6</v>
      </c>
      <c r="E31">
        <v>1</v>
      </c>
      <c r="F31" t="str">
        <f t="shared" si="0"/>
        <v>Membrane transport</v>
      </c>
      <c r="H31" s="1" t="s">
        <v>38</v>
      </c>
      <c r="I31" t="s">
        <v>136</v>
      </c>
    </row>
    <row r="32" spans="1:9" x14ac:dyDescent="0.45">
      <c r="A32" t="s">
        <v>36</v>
      </c>
      <c r="B32">
        <v>3</v>
      </c>
      <c r="C32">
        <v>1</v>
      </c>
      <c r="D32" t="s">
        <v>6</v>
      </c>
      <c r="E32">
        <v>1</v>
      </c>
      <c r="F32" t="str">
        <f t="shared" si="0"/>
        <v>Phenylpropanoid metabolism</v>
      </c>
      <c r="H32" s="1" t="s">
        <v>98</v>
      </c>
    </row>
    <row r="33" spans="1:9" x14ac:dyDescent="0.45">
      <c r="A33" t="s">
        <v>37</v>
      </c>
      <c r="B33">
        <v>3</v>
      </c>
      <c r="C33">
        <v>1</v>
      </c>
      <c r="D33" t="s">
        <v>6</v>
      </c>
      <c r="E33">
        <v>3</v>
      </c>
      <c r="F33" t="str">
        <f t="shared" si="0"/>
        <v>Primary metabolism</v>
      </c>
      <c r="H33" s="1" t="s">
        <v>71</v>
      </c>
      <c r="I33" t="s">
        <v>130</v>
      </c>
    </row>
    <row r="34" spans="1:9" x14ac:dyDescent="0.45">
      <c r="A34" t="s">
        <v>38</v>
      </c>
      <c r="B34">
        <v>3</v>
      </c>
      <c r="C34">
        <v>-1</v>
      </c>
      <c r="D34" t="s">
        <v>6</v>
      </c>
      <c r="E34">
        <v>3</v>
      </c>
      <c r="F34" t="str">
        <f t="shared" si="0"/>
        <v>Degradation of aromatic compounds</v>
      </c>
      <c r="H34" s="1" t="s">
        <v>105</v>
      </c>
      <c r="I34" t="s">
        <v>124</v>
      </c>
    </row>
    <row r="35" spans="1:9" x14ac:dyDescent="0.45">
      <c r="A35" t="s">
        <v>22</v>
      </c>
      <c r="B35">
        <v>3</v>
      </c>
      <c r="C35">
        <v>-1</v>
      </c>
      <c r="D35" t="s">
        <v>6</v>
      </c>
      <c r="E35">
        <v>2</v>
      </c>
      <c r="F35" t="str">
        <f t="shared" si="0"/>
        <v>Carbohydrate metabolism</v>
      </c>
      <c r="H35" s="1" t="s">
        <v>61</v>
      </c>
      <c r="I35" t="s">
        <v>124</v>
      </c>
    </row>
    <row r="36" spans="1:9" x14ac:dyDescent="0.45">
      <c r="A36" t="s">
        <v>24</v>
      </c>
      <c r="B36">
        <v>3</v>
      </c>
      <c r="C36">
        <v>-1</v>
      </c>
      <c r="D36" t="s">
        <v>6</v>
      </c>
      <c r="E36">
        <v>2</v>
      </c>
      <c r="F36" t="str">
        <f t="shared" si="0"/>
        <v>Metabolism of cofactors and vitamin</v>
      </c>
      <c r="H36" s="1" t="s">
        <v>86</v>
      </c>
      <c r="I36" t="s">
        <v>124</v>
      </c>
    </row>
    <row r="37" spans="1:9" x14ac:dyDescent="0.45">
      <c r="A37" t="s">
        <v>39</v>
      </c>
      <c r="B37">
        <v>3</v>
      </c>
      <c r="C37">
        <v>-1</v>
      </c>
      <c r="D37" t="s">
        <v>6</v>
      </c>
      <c r="E37">
        <v>1</v>
      </c>
      <c r="F37" t="str">
        <f t="shared" si="0"/>
        <v>Carbohydrate metabolism</v>
      </c>
      <c r="H37" s="1" t="s">
        <v>75</v>
      </c>
      <c r="I37" t="s">
        <v>127</v>
      </c>
    </row>
    <row r="38" spans="1:9" x14ac:dyDescent="0.45">
      <c r="A38" t="s">
        <v>15</v>
      </c>
      <c r="B38">
        <v>3</v>
      </c>
      <c r="C38">
        <v>-1</v>
      </c>
      <c r="D38" t="s">
        <v>6</v>
      </c>
      <c r="E38">
        <v>1</v>
      </c>
      <c r="F38" t="str">
        <f t="shared" si="0"/>
        <v>Carbon metabolism</v>
      </c>
      <c r="H38" s="1" t="s">
        <v>57</v>
      </c>
      <c r="I38" t="s">
        <v>127</v>
      </c>
    </row>
    <row r="39" spans="1:9" x14ac:dyDescent="0.45">
      <c r="A39" t="s">
        <v>11</v>
      </c>
      <c r="B39">
        <v>3</v>
      </c>
      <c r="C39">
        <v>-1</v>
      </c>
      <c r="D39" t="s">
        <v>6</v>
      </c>
      <c r="E39">
        <v>1</v>
      </c>
      <c r="F39" t="str">
        <f t="shared" si="0"/>
        <v>Carbohydrate metabolism</v>
      </c>
      <c r="H39" s="1" t="s">
        <v>101</v>
      </c>
      <c r="I39" t="s">
        <v>127</v>
      </c>
    </row>
    <row r="40" spans="1:9" x14ac:dyDescent="0.45">
      <c r="A40" t="s">
        <v>12</v>
      </c>
      <c r="B40">
        <v>3</v>
      </c>
      <c r="C40">
        <v>-1</v>
      </c>
      <c r="D40" t="s">
        <v>6</v>
      </c>
      <c r="E40">
        <v>1</v>
      </c>
      <c r="F40" t="str">
        <f t="shared" si="0"/>
        <v>Carbohydrate metabolism</v>
      </c>
      <c r="H40" s="1" t="s">
        <v>90</v>
      </c>
      <c r="I40" t="s">
        <v>129</v>
      </c>
    </row>
    <row r="41" spans="1:9" x14ac:dyDescent="0.45">
      <c r="A41" t="s">
        <v>40</v>
      </c>
      <c r="B41">
        <v>3</v>
      </c>
      <c r="C41">
        <v>-1</v>
      </c>
      <c r="D41" t="s">
        <v>6</v>
      </c>
      <c r="E41">
        <v>1</v>
      </c>
      <c r="F41" t="str">
        <f t="shared" si="0"/>
        <v>Lipid metabolism</v>
      </c>
      <c r="H41" s="1" t="s">
        <v>66</v>
      </c>
      <c r="I41" t="s">
        <v>128</v>
      </c>
    </row>
    <row r="42" spans="1:9" x14ac:dyDescent="0.45">
      <c r="A42" t="s">
        <v>41</v>
      </c>
      <c r="B42">
        <v>3</v>
      </c>
      <c r="C42">
        <v>-1</v>
      </c>
      <c r="D42" t="s">
        <v>6</v>
      </c>
      <c r="E42">
        <v>1</v>
      </c>
      <c r="F42" t="str">
        <f t="shared" si="0"/>
        <v>Energy metabolism</v>
      </c>
      <c r="H42" s="1" t="s">
        <v>9</v>
      </c>
      <c r="I42" t="s">
        <v>128</v>
      </c>
    </row>
    <row r="43" spans="1:9" x14ac:dyDescent="0.45">
      <c r="A43" t="s">
        <v>42</v>
      </c>
      <c r="B43">
        <v>3</v>
      </c>
      <c r="C43">
        <v>-1</v>
      </c>
      <c r="D43" t="s">
        <v>6</v>
      </c>
      <c r="E43">
        <v>1</v>
      </c>
      <c r="F43" t="str">
        <f t="shared" si="0"/>
        <v>Amino acid metabolism</v>
      </c>
      <c r="H43" s="1" t="s">
        <v>31</v>
      </c>
      <c r="I43" t="s">
        <v>137</v>
      </c>
    </row>
    <row r="44" spans="1:9" x14ac:dyDescent="0.45">
      <c r="A44" t="s">
        <v>43</v>
      </c>
      <c r="B44">
        <v>3</v>
      </c>
      <c r="C44">
        <v>-1</v>
      </c>
      <c r="D44" t="s">
        <v>6</v>
      </c>
      <c r="E44">
        <v>1</v>
      </c>
      <c r="F44" t="str">
        <f t="shared" si="0"/>
        <v>Amino acid metabolism</v>
      </c>
      <c r="H44" s="1" t="s">
        <v>77</v>
      </c>
      <c r="I44" t="s">
        <v>121</v>
      </c>
    </row>
    <row r="45" spans="1:9" x14ac:dyDescent="0.45">
      <c r="A45" t="s">
        <v>44</v>
      </c>
      <c r="B45">
        <v>3</v>
      </c>
      <c r="C45">
        <v>-1</v>
      </c>
      <c r="D45" t="s">
        <v>6</v>
      </c>
      <c r="E45">
        <v>1</v>
      </c>
      <c r="F45" t="str">
        <f t="shared" si="0"/>
        <v>Amino acid metabolism</v>
      </c>
      <c r="H45" s="1" t="s">
        <v>21</v>
      </c>
      <c r="I45" t="s">
        <v>124</v>
      </c>
    </row>
    <row r="46" spans="1:9" x14ac:dyDescent="0.45">
      <c r="A46" t="s">
        <v>18</v>
      </c>
      <c r="B46">
        <v>3</v>
      </c>
      <c r="C46">
        <v>-1</v>
      </c>
      <c r="D46" t="s">
        <v>6</v>
      </c>
      <c r="E46">
        <v>1</v>
      </c>
      <c r="F46" t="str">
        <f t="shared" si="0"/>
        <v>Amino acid metabolism</v>
      </c>
      <c r="H46" s="1" t="s">
        <v>88</v>
      </c>
      <c r="I46" t="s">
        <v>124</v>
      </c>
    </row>
    <row r="47" spans="1:9" x14ac:dyDescent="0.45">
      <c r="A47" t="s">
        <v>45</v>
      </c>
      <c r="B47">
        <v>3</v>
      </c>
      <c r="C47">
        <v>-1</v>
      </c>
      <c r="D47" t="s">
        <v>6</v>
      </c>
      <c r="E47">
        <v>1</v>
      </c>
      <c r="F47" t="str">
        <f t="shared" si="0"/>
        <v>Amino acid metabolism</v>
      </c>
      <c r="H47" s="1" t="s">
        <v>58</v>
      </c>
      <c r="I47" t="s">
        <v>121</v>
      </c>
    </row>
    <row r="48" spans="1:9" x14ac:dyDescent="0.45">
      <c r="A48" t="s">
        <v>46</v>
      </c>
      <c r="B48">
        <v>3</v>
      </c>
      <c r="C48">
        <v>-1</v>
      </c>
      <c r="D48" t="s">
        <v>6</v>
      </c>
      <c r="E48">
        <v>1</v>
      </c>
      <c r="F48" t="str">
        <f t="shared" si="0"/>
        <v>Lipid metabolism</v>
      </c>
      <c r="H48" s="1" t="s">
        <v>39</v>
      </c>
      <c r="I48" t="s">
        <v>128</v>
      </c>
    </row>
    <row r="49" spans="1:9" x14ac:dyDescent="0.45">
      <c r="A49" t="s">
        <v>47</v>
      </c>
      <c r="B49">
        <v>3</v>
      </c>
      <c r="C49">
        <v>-1</v>
      </c>
      <c r="D49" t="s">
        <v>6</v>
      </c>
      <c r="E49">
        <v>1</v>
      </c>
      <c r="F49" t="str">
        <f t="shared" si="0"/>
        <v>Carbohydrate metabolism</v>
      </c>
      <c r="H49" s="1" t="s">
        <v>47</v>
      </c>
      <c r="I49" t="s">
        <v>128</v>
      </c>
    </row>
    <row r="50" spans="1:9" x14ac:dyDescent="0.45">
      <c r="A50" t="s">
        <v>48</v>
      </c>
      <c r="B50">
        <v>3</v>
      </c>
      <c r="C50">
        <v>-1</v>
      </c>
      <c r="D50" t="s">
        <v>6</v>
      </c>
      <c r="E50">
        <v>1</v>
      </c>
      <c r="F50" t="str">
        <f t="shared" si="0"/>
        <v>Carbohydrate metabolism</v>
      </c>
      <c r="H50" s="1" t="s">
        <v>44</v>
      </c>
      <c r="I50" t="s">
        <v>121</v>
      </c>
    </row>
    <row r="51" spans="1:9" x14ac:dyDescent="0.45">
      <c r="A51" t="s">
        <v>25</v>
      </c>
      <c r="B51">
        <v>3</v>
      </c>
      <c r="C51">
        <v>-1</v>
      </c>
      <c r="D51" t="s">
        <v>6</v>
      </c>
      <c r="E51">
        <v>1</v>
      </c>
      <c r="F51" t="str">
        <f t="shared" si="0"/>
        <v>Metabolism of cofactors and vitamins</v>
      </c>
      <c r="H51" s="1" t="s">
        <v>81</v>
      </c>
      <c r="I51" t="s">
        <v>121</v>
      </c>
    </row>
    <row r="52" spans="1:9" x14ac:dyDescent="0.45">
      <c r="A52" t="s">
        <v>30</v>
      </c>
      <c r="B52">
        <v>3</v>
      </c>
      <c r="C52">
        <v>-1</v>
      </c>
      <c r="D52" t="s">
        <v>6</v>
      </c>
      <c r="E52">
        <v>1</v>
      </c>
      <c r="F52" t="str">
        <f t="shared" si="0"/>
        <v>Phenylpropanoid biosynthesis</v>
      </c>
      <c r="H52" s="1" t="s">
        <v>59</v>
      </c>
      <c r="I52" t="s">
        <v>128</v>
      </c>
    </row>
    <row r="53" spans="1:9" x14ac:dyDescent="0.45">
      <c r="A53" t="s">
        <v>14</v>
      </c>
      <c r="B53">
        <v>3</v>
      </c>
      <c r="C53">
        <v>-1</v>
      </c>
      <c r="D53" t="s">
        <v>6</v>
      </c>
      <c r="E53">
        <v>1</v>
      </c>
      <c r="F53" t="str">
        <f t="shared" si="0"/>
        <v>Alkaloid metabolism</v>
      </c>
      <c r="H53" s="1" t="s">
        <v>14</v>
      </c>
      <c r="I53" t="s">
        <v>123</v>
      </c>
    </row>
    <row r="54" spans="1:9" x14ac:dyDescent="0.45">
      <c r="A54" t="s">
        <v>32</v>
      </c>
      <c r="B54">
        <v>3</v>
      </c>
      <c r="C54">
        <v>-1</v>
      </c>
      <c r="D54" t="s">
        <v>6</v>
      </c>
      <c r="E54">
        <v>1</v>
      </c>
      <c r="F54" t="str">
        <f t="shared" si="0"/>
        <v xml:space="preserve">Carbon metabolism </v>
      </c>
      <c r="H54" s="1" t="s">
        <v>36</v>
      </c>
      <c r="I54" t="s">
        <v>127</v>
      </c>
    </row>
    <row r="55" spans="1:9" x14ac:dyDescent="0.45">
      <c r="A55" t="s">
        <v>33</v>
      </c>
      <c r="B55">
        <v>3</v>
      </c>
      <c r="C55">
        <v>-1</v>
      </c>
      <c r="D55" t="s">
        <v>6</v>
      </c>
      <c r="E55">
        <v>1</v>
      </c>
      <c r="F55" t="str">
        <f t="shared" si="0"/>
        <v>Amino acid metabolism</v>
      </c>
      <c r="H55" s="1" t="s">
        <v>51</v>
      </c>
      <c r="I55" t="s">
        <v>130</v>
      </c>
    </row>
    <row r="56" spans="1:9" x14ac:dyDescent="0.45">
      <c r="A56" t="s">
        <v>34</v>
      </c>
      <c r="B56">
        <v>3</v>
      </c>
      <c r="C56">
        <v>-1</v>
      </c>
      <c r="D56" t="s">
        <v>6</v>
      </c>
      <c r="E56">
        <v>1</v>
      </c>
      <c r="F56" t="str">
        <f t="shared" si="0"/>
        <v>Amino acid metabolism</v>
      </c>
      <c r="H56" s="1" t="s">
        <v>46</v>
      </c>
      <c r="I56" t="s">
        <v>124</v>
      </c>
    </row>
    <row r="57" spans="1:9" x14ac:dyDescent="0.45">
      <c r="A57" t="s">
        <v>35</v>
      </c>
      <c r="B57">
        <v>3</v>
      </c>
      <c r="C57">
        <v>-1</v>
      </c>
      <c r="D57" t="s">
        <v>6</v>
      </c>
      <c r="E57">
        <v>1</v>
      </c>
      <c r="F57" t="str">
        <f t="shared" si="0"/>
        <v>Membrane transport</v>
      </c>
      <c r="H57" s="1" t="s">
        <v>43</v>
      </c>
      <c r="I57" t="s">
        <v>121</v>
      </c>
    </row>
    <row r="58" spans="1:9" x14ac:dyDescent="0.45">
      <c r="A58" t="s">
        <v>37</v>
      </c>
      <c r="B58">
        <v>3</v>
      </c>
      <c r="C58">
        <v>-1</v>
      </c>
      <c r="D58" t="s">
        <v>6</v>
      </c>
      <c r="E58">
        <v>1</v>
      </c>
      <c r="F58" t="str">
        <f t="shared" si="0"/>
        <v>Primary metabolism</v>
      </c>
      <c r="H58" s="1" t="s">
        <v>100</v>
      </c>
      <c r="I58" t="s">
        <v>121</v>
      </c>
    </row>
    <row r="59" spans="1:9" x14ac:dyDescent="0.45">
      <c r="A59" t="s">
        <v>49</v>
      </c>
      <c r="B59">
        <v>3</v>
      </c>
      <c r="C59">
        <v>-1</v>
      </c>
      <c r="D59" t="s">
        <v>6</v>
      </c>
      <c r="E59">
        <v>1</v>
      </c>
      <c r="F59" t="str">
        <f t="shared" si="0"/>
        <v>Phenylpropanoid metabolism</v>
      </c>
      <c r="H59" s="1" t="s">
        <v>114</v>
      </c>
    </row>
    <row r="60" spans="1:9" x14ac:dyDescent="0.45">
      <c r="A60" t="s">
        <v>38</v>
      </c>
      <c r="B60">
        <v>4</v>
      </c>
      <c r="C60">
        <v>1</v>
      </c>
      <c r="D60" t="s">
        <v>6</v>
      </c>
      <c r="E60">
        <v>31</v>
      </c>
      <c r="F60" t="str">
        <f t="shared" si="0"/>
        <v>Degradation of aromatic compounds</v>
      </c>
      <c r="H60" s="1" t="s">
        <v>28</v>
      </c>
      <c r="I60" t="s">
        <v>130</v>
      </c>
    </row>
    <row r="61" spans="1:9" x14ac:dyDescent="0.45">
      <c r="A61" t="s">
        <v>33</v>
      </c>
      <c r="B61">
        <v>4</v>
      </c>
      <c r="C61">
        <v>1</v>
      </c>
      <c r="D61" t="s">
        <v>6</v>
      </c>
      <c r="E61">
        <v>31</v>
      </c>
      <c r="F61" t="str">
        <f t="shared" si="0"/>
        <v>Amino acid metabolism</v>
      </c>
      <c r="H61" s="1" t="s">
        <v>26</v>
      </c>
      <c r="I61" t="s">
        <v>129</v>
      </c>
    </row>
    <row r="62" spans="1:9" x14ac:dyDescent="0.45">
      <c r="A62" t="s">
        <v>30</v>
      </c>
      <c r="B62">
        <v>4</v>
      </c>
      <c r="C62">
        <v>1</v>
      </c>
      <c r="D62" t="s">
        <v>6</v>
      </c>
      <c r="E62">
        <v>28</v>
      </c>
      <c r="F62" t="str">
        <f t="shared" si="0"/>
        <v>Phenylpropanoid biosynthesis</v>
      </c>
      <c r="H62" s="1" t="s">
        <v>112</v>
      </c>
      <c r="I62" t="s">
        <v>129</v>
      </c>
    </row>
    <row r="63" spans="1:9" x14ac:dyDescent="0.45">
      <c r="A63" t="s">
        <v>46</v>
      </c>
      <c r="B63">
        <v>4</v>
      </c>
      <c r="C63">
        <v>1</v>
      </c>
      <c r="D63" t="s">
        <v>6</v>
      </c>
      <c r="E63">
        <v>22</v>
      </c>
      <c r="F63" t="str">
        <f t="shared" si="0"/>
        <v>Lipid metabolism</v>
      </c>
      <c r="H63" s="1" t="s">
        <v>41</v>
      </c>
      <c r="I63" t="s">
        <v>138</v>
      </c>
    </row>
    <row r="64" spans="1:9" x14ac:dyDescent="0.45">
      <c r="A64" t="s">
        <v>8</v>
      </c>
      <c r="B64">
        <v>4</v>
      </c>
      <c r="C64">
        <v>1</v>
      </c>
      <c r="D64" t="s">
        <v>6</v>
      </c>
      <c r="E64">
        <v>14</v>
      </c>
      <c r="F64" t="str">
        <f t="shared" si="0"/>
        <v>Glycan biosynthesis and metabolism</v>
      </c>
      <c r="H64" s="1" t="s">
        <v>60</v>
      </c>
      <c r="I64" t="s">
        <v>129</v>
      </c>
    </row>
    <row r="65" spans="1:9" x14ac:dyDescent="0.45">
      <c r="A65" t="s">
        <v>50</v>
      </c>
      <c r="B65">
        <v>4</v>
      </c>
      <c r="C65">
        <v>1</v>
      </c>
      <c r="D65" t="s">
        <v>6</v>
      </c>
      <c r="E65">
        <v>23</v>
      </c>
      <c r="F65" t="str">
        <f t="shared" si="0"/>
        <v>Lipid metabolism</v>
      </c>
      <c r="H65" s="1" t="s">
        <v>11</v>
      </c>
      <c r="I65" t="s">
        <v>128</v>
      </c>
    </row>
    <row r="66" spans="1:9" x14ac:dyDescent="0.45">
      <c r="A66" t="s">
        <v>31</v>
      </c>
      <c r="B66">
        <v>4</v>
      </c>
      <c r="C66">
        <v>1</v>
      </c>
      <c r="D66" t="s">
        <v>6</v>
      </c>
      <c r="E66">
        <v>18</v>
      </c>
      <c r="F66" t="str">
        <f t="shared" si="0"/>
        <v>Glucosinolate biosynthesis</v>
      </c>
      <c r="H66" s="1" t="s">
        <v>16</v>
      </c>
      <c r="I66" t="s">
        <v>128</v>
      </c>
    </row>
    <row r="67" spans="1:9" x14ac:dyDescent="0.45">
      <c r="A67" t="s">
        <v>12</v>
      </c>
      <c r="B67">
        <v>4</v>
      </c>
      <c r="C67">
        <v>1</v>
      </c>
      <c r="D67" t="s">
        <v>6</v>
      </c>
      <c r="E67">
        <v>16</v>
      </c>
      <c r="F67" t="str">
        <f t="shared" si="0"/>
        <v>Carbohydrate metabolism</v>
      </c>
      <c r="H67" s="1" t="s">
        <v>18</v>
      </c>
      <c r="I67" t="s">
        <v>121</v>
      </c>
    </row>
    <row r="68" spans="1:9" x14ac:dyDescent="0.45">
      <c r="A68" t="s">
        <v>7</v>
      </c>
      <c r="B68">
        <v>4</v>
      </c>
      <c r="C68">
        <v>1</v>
      </c>
      <c r="D68" t="s">
        <v>6</v>
      </c>
      <c r="E68">
        <v>13</v>
      </c>
      <c r="F68" t="str">
        <f t="shared" ref="F68:F131" si="1">_xlfn.XLOOKUP(A68,$H$2:$H$200,$I$2:$I$200)</f>
        <v>Nucleotide metabolism</v>
      </c>
      <c r="H68" s="1" t="s">
        <v>53</v>
      </c>
      <c r="I68" t="s">
        <v>121</v>
      </c>
    </row>
    <row r="69" spans="1:9" x14ac:dyDescent="0.45">
      <c r="A69" t="s">
        <v>19</v>
      </c>
      <c r="B69">
        <v>4</v>
      </c>
      <c r="C69">
        <v>1</v>
      </c>
      <c r="D69" t="s">
        <v>6</v>
      </c>
      <c r="E69">
        <v>16</v>
      </c>
      <c r="F69" t="str">
        <f t="shared" si="1"/>
        <v>Amino acid metabolism</v>
      </c>
      <c r="H69" s="1" t="s">
        <v>30</v>
      </c>
      <c r="I69" t="s">
        <v>139</v>
      </c>
    </row>
    <row r="70" spans="1:9" x14ac:dyDescent="0.45">
      <c r="A70" t="s">
        <v>51</v>
      </c>
      <c r="B70">
        <v>4</v>
      </c>
      <c r="C70">
        <v>1</v>
      </c>
      <c r="D70" t="s">
        <v>6</v>
      </c>
      <c r="E70">
        <v>15</v>
      </c>
      <c r="F70" t="str">
        <f t="shared" si="1"/>
        <v>Metabolism of terpenoids and polyketides</v>
      </c>
      <c r="H70" s="1" t="s">
        <v>49</v>
      </c>
      <c r="I70" t="s">
        <v>127</v>
      </c>
    </row>
    <row r="71" spans="1:9" x14ac:dyDescent="0.45">
      <c r="A71" t="s">
        <v>32</v>
      </c>
      <c r="B71">
        <v>4</v>
      </c>
      <c r="C71">
        <v>1</v>
      </c>
      <c r="D71" t="s">
        <v>6</v>
      </c>
      <c r="E71">
        <v>16</v>
      </c>
      <c r="F71" t="str">
        <f t="shared" si="1"/>
        <v xml:space="preserve">Carbon metabolism </v>
      </c>
      <c r="H71" s="1" t="s">
        <v>93</v>
      </c>
      <c r="I71" t="s">
        <v>140</v>
      </c>
    </row>
    <row r="72" spans="1:9" x14ac:dyDescent="0.45">
      <c r="A72" t="s">
        <v>34</v>
      </c>
      <c r="B72">
        <v>4</v>
      </c>
      <c r="C72">
        <v>1</v>
      </c>
      <c r="D72" t="s">
        <v>6</v>
      </c>
      <c r="E72">
        <v>17</v>
      </c>
      <c r="F72" t="str">
        <f t="shared" si="1"/>
        <v>Amino acid metabolism</v>
      </c>
      <c r="H72" s="1" t="s">
        <v>116</v>
      </c>
      <c r="I72" t="s">
        <v>138</v>
      </c>
    </row>
    <row r="73" spans="1:9" x14ac:dyDescent="0.45">
      <c r="A73" t="s">
        <v>52</v>
      </c>
      <c r="B73">
        <v>4</v>
      </c>
      <c r="C73">
        <v>1</v>
      </c>
      <c r="D73" t="s">
        <v>6</v>
      </c>
      <c r="E73">
        <v>11</v>
      </c>
      <c r="F73" t="str">
        <f t="shared" si="1"/>
        <v>Alkaloid metabolism</v>
      </c>
      <c r="H73" s="1" t="s">
        <v>80</v>
      </c>
      <c r="I73" t="s">
        <v>140</v>
      </c>
    </row>
    <row r="74" spans="1:9" x14ac:dyDescent="0.45">
      <c r="A74" t="s">
        <v>16</v>
      </c>
      <c r="B74">
        <v>4</v>
      </c>
      <c r="C74">
        <v>1</v>
      </c>
      <c r="D74" t="s">
        <v>6</v>
      </c>
      <c r="E74">
        <v>10</v>
      </c>
      <c r="F74" t="str">
        <f t="shared" si="1"/>
        <v>Carbohydrate metabolism</v>
      </c>
      <c r="H74" s="1" t="s">
        <v>97</v>
      </c>
      <c r="I74" t="s">
        <v>141</v>
      </c>
    </row>
    <row r="75" spans="1:9" x14ac:dyDescent="0.45">
      <c r="A75" t="s">
        <v>9</v>
      </c>
      <c r="B75">
        <v>4</v>
      </c>
      <c r="C75">
        <v>1</v>
      </c>
      <c r="D75" t="s">
        <v>6</v>
      </c>
      <c r="E75">
        <v>8</v>
      </c>
      <c r="F75" t="str">
        <f t="shared" si="1"/>
        <v>Carbohydrate metabolism</v>
      </c>
      <c r="H75" s="1" t="s">
        <v>113</v>
      </c>
    </row>
    <row r="76" spans="1:9" x14ac:dyDescent="0.45">
      <c r="A76" t="s">
        <v>53</v>
      </c>
      <c r="B76">
        <v>4</v>
      </c>
      <c r="C76">
        <v>1</v>
      </c>
      <c r="D76" t="s">
        <v>6</v>
      </c>
      <c r="E76">
        <v>15</v>
      </c>
      <c r="F76" t="str">
        <f t="shared" si="1"/>
        <v>Amino acid metabolism</v>
      </c>
      <c r="H76" s="1" t="s">
        <v>64</v>
      </c>
      <c r="I76" t="s">
        <v>129</v>
      </c>
    </row>
    <row r="77" spans="1:9" x14ac:dyDescent="0.45">
      <c r="A77" t="s">
        <v>13</v>
      </c>
      <c r="B77">
        <v>4</v>
      </c>
      <c r="C77">
        <v>1</v>
      </c>
      <c r="D77" t="s">
        <v>6</v>
      </c>
      <c r="E77">
        <v>13</v>
      </c>
      <c r="F77" t="str">
        <f t="shared" si="1"/>
        <v>Terpenoid metabolism</v>
      </c>
      <c r="H77" s="1" t="s">
        <v>37</v>
      </c>
      <c r="I77" t="s">
        <v>37</v>
      </c>
    </row>
    <row r="78" spans="1:9" x14ac:dyDescent="0.45">
      <c r="A78" t="s">
        <v>49</v>
      </c>
      <c r="B78">
        <v>4</v>
      </c>
      <c r="C78">
        <v>1</v>
      </c>
      <c r="D78" t="s">
        <v>6</v>
      </c>
      <c r="E78">
        <v>13</v>
      </c>
      <c r="F78" t="str">
        <f t="shared" si="1"/>
        <v>Phenylpropanoid metabolism</v>
      </c>
      <c r="H78" s="1" t="s">
        <v>83</v>
      </c>
      <c r="I78" t="s">
        <v>128</v>
      </c>
    </row>
    <row r="79" spans="1:9" x14ac:dyDescent="0.45">
      <c r="A79" t="s">
        <v>54</v>
      </c>
      <c r="B79">
        <v>4</v>
      </c>
      <c r="C79">
        <v>1</v>
      </c>
      <c r="D79" t="s">
        <v>6</v>
      </c>
      <c r="E79">
        <v>12</v>
      </c>
      <c r="F79" t="str">
        <f t="shared" si="1"/>
        <v>Amino acid metabolism</v>
      </c>
      <c r="H79" s="1" t="s">
        <v>7</v>
      </c>
      <c r="I79" t="s">
        <v>142</v>
      </c>
    </row>
    <row r="80" spans="1:9" x14ac:dyDescent="0.45">
      <c r="A80" t="s">
        <v>11</v>
      </c>
      <c r="B80">
        <v>4</v>
      </c>
      <c r="C80">
        <v>1</v>
      </c>
      <c r="D80" t="s">
        <v>6</v>
      </c>
      <c r="E80">
        <v>14</v>
      </c>
      <c r="F80" t="str">
        <f t="shared" si="1"/>
        <v>Carbohydrate metabolism</v>
      </c>
      <c r="H80" s="1" t="s">
        <v>10</v>
      </c>
      <c r="I80" t="s">
        <v>142</v>
      </c>
    </row>
    <row r="81" spans="1:9" x14ac:dyDescent="0.45">
      <c r="A81" t="s">
        <v>18</v>
      </c>
      <c r="B81">
        <v>4</v>
      </c>
      <c r="C81">
        <v>1</v>
      </c>
      <c r="D81" t="s">
        <v>6</v>
      </c>
      <c r="E81">
        <v>10</v>
      </c>
      <c r="F81" t="str">
        <f t="shared" si="1"/>
        <v>Amino acid metabolism</v>
      </c>
      <c r="H81" s="1" t="s">
        <v>67</v>
      </c>
      <c r="I81" t="s">
        <v>128</v>
      </c>
    </row>
    <row r="82" spans="1:9" x14ac:dyDescent="0.45">
      <c r="A82" t="s">
        <v>28</v>
      </c>
      <c r="B82">
        <v>4</v>
      </c>
      <c r="C82">
        <v>1</v>
      </c>
      <c r="D82" t="s">
        <v>6</v>
      </c>
      <c r="E82">
        <v>10</v>
      </c>
      <c r="F82" t="str">
        <f t="shared" si="1"/>
        <v>Metabolism of terpenoids and polyketides</v>
      </c>
      <c r="H82" s="1" t="s">
        <v>24</v>
      </c>
      <c r="I82" t="s">
        <v>143</v>
      </c>
    </row>
    <row r="83" spans="1:9" x14ac:dyDescent="0.45">
      <c r="A83" t="s">
        <v>37</v>
      </c>
      <c r="B83">
        <v>4</v>
      </c>
      <c r="C83">
        <v>1</v>
      </c>
      <c r="D83" t="s">
        <v>6</v>
      </c>
      <c r="E83">
        <v>14</v>
      </c>
      <c r="F83" t="str">
        <f t="shared" si="1"/>
        <v>Primary metabolism</v>
      </c>
      <c r="H83" s="1" t="s">
        <v>65</v>
      </c>
      <c r="I83" t="s">
        <v>65</v>
      </c>
    </row>
    <row r="84" spans="1:9" x14ac:dyDescent="0.45">
      <c r="A84" t="s">
        <v>14</v>
      </c>
      <c r="B84">
        <v>4</v>
      </c>
      <c r="C84">
        <v>1</v>
      </c>
      <c r="D84" t="s">
        <v>6</v>
      </c>
      <c r="E84">
        <v>12</v>
      </c>
      <c r="F84" t="str">
        <f t="shared" si="1"/>
        <v>Alkaloid metabolism</v>
      </c>
      <c r="H84" s="1" t="s">
        <v>72</v>
      </c>
      <c r="I84" t="s">
        <v>130</v>
      </c>
    </row>
    <row r="85" spans="1:9" x14ac:dyDescent="0.45">
      <c r="A85" t="s">
        <v>55</v>
      </c>
      <c r="B85">
        <v>4</v>
      </c>
      <c r="C85">
        <v>1</v>
      </c>
      <c r="D85" t="s">
        <v>6</v>
      </c>
      <c r="E85">
        <v>8</v>
      </c>
      <c r="F85" t="str">
        <f t="shared" si="1"/>
        <v>Alkaloid metabolism</v>
      </c>
      <c r="H85" s="1" t="s">
        <v>20</v>
      </c>
      <c r="I85" t="s">
        <v>128</v>
      </c>
    </row>
    <row r="86" spans="1:9" x14ac:dyDescent="0.45">
      <c r="A86" t="s">
        <v>56</v>
      </c>
      <c r="B86">
        <v>4</v>
      </c>
      <c r="C86">
        <v>1</v>
      </c>
      <c r="D86" t="s">
        <v>6</v>
      </c>
      <c r="E86">
        <v>17</v>
      </c>
      <c r="F86" t="str">
        <f t="shared" si="1"/>
        <v>Lipid metabolism</v>
      </c>
      <c r="H86" s="1" t="s">
        <v>117</v>
      </c>
      <c r="I86" t="s">
        <v>124</v>
      </c>
    </row>
    <row r="87" spans="1:9" x14ac:dyDescent="0.45">
      <c r="A87" t="s">
        <v>44</v>
      </c>
      <c r="B87">
        <v>4</v>
      </c>
      <c r="C87">
        <v>1</v>
      </c>
      <c r="D87" t="s">
        <v>6</v>
      </c>
      <c r="E87">
        <v>14</v>
      </c>
      <c r="F87" t="str">
        <f t="shared" si="1"/>
        <v>Amino acid metabolism</v>
      </c>
      <c r="H87" s="1" t="s">
        <v>84</v>
      </c>
      <c r="I87" t="s">
        <v>144</v>
      </c>
    </row>
    <row r="88" spans="1:9" x14ac:dyDescent="0.45">
      <c r="A88" t="s">
        <v>57</v>
      </c>
      <c r="B88">
        <v>4</v>
      </c>
      <c r="C88">
        <v>1</v>
      </c>
      <c r="D88" t="s">
        <v>6</v>
      </c>
      <c r="E88">
        <v>13</v>
      </c>
      <c r="F88" t="str">
        <f t="shared" si="1"/>
        <v>Phenylpropanoid metabolism</v>
      </c>
      <c r="H88" s="1" t="s">
        <v>73</v>
      </c>
      <c r="I88" t="s">
        <v>138</v>
      </c>
    </row>
    <row r="89" spans="1:9" x14ac:dyDescent="0.45">
      <c r="A89" t="s">
        <v>48</v>
      </c>
      <c r="B89">
        <v>4</v>
      </c>
      <c r="C89">
        <v>1</v>
      </c>
      <c r="D89" t="s">
        <v>6</v>
      </c>
      <c r="E89">
        <v>13</v>
      </c>
      <c r="F89" t="str">
        <f t="shared" si="1"/>
        <v>Carbohydrate metabolism</v>
      </c>
      <c r="H89" s="1" t="s">
        <v>110</v>
      </c>
      <c r="I89" t="s">
        <v>138</v>
      </c>
    </row>
    <row r="90" spans="1:9" x14ac:dyDescent="0.45">
      <c r="A90" t="s">
        <v>36</v>
      </c>
      <c r="B90">
        <v>4</v>
      </c>
      <c r="C90">
        <v>1</v>
      </c>
      <c r="D90" t="s">
        <v>6</v>
      </c>
      <c r="E90">
        <v>10</v>
      </c>
      <c r="F90" t="str">
        <f t="shared" si="1"/>
        <v>Phenylpropanoid metabolism</v>
      </c>
      <c r="H90" s="1" t="s">
        <v>45</v>
      </c>
      <c r="I90" t="s">
        <v>121</v>
      </c>
    </row>
    <row r="91" spans="1:9" x14ac:dyDescent="0.45">
      <c r="A91" t="s">
        <v>26</v>
      </c>
      <c r="B91">
        <v>4</v>
      </c>
      <c r="C91">
        <v>1</v>
      </c>
      <c r="D91" t="s">
        <v>6</v>
      </c>
      <c r="E91">
        <v>8</v>
      </c>
      <c r="F91" t="str">
        <f t="shared" si="1"/>
        <v>Metabolism of cofactors and vitamins</v>
      </c>
      <c r="H91" s="1" t="s">
        <v>70</v>
      </c>
      <c r="I91" t="s">
        <v>130</v>
      </c>
    </row>
    <row r="92" spans="1:9" x14ac:dyDescent="0.45">
      <c r="A92" t="s">
        <v>20</v>
      </c>
      <c r="B92">
        <v>4</v>
      </c>
      <c r="C92">
        <v>1</v>
      </c>
      <c r="D92" t="s">
        <v>6</v>
      </c>
      <c r="E92">
        <v>7</v>
      </c>
      <c r="F92" t="str">
        <f t="shared" si="1"/>
        <v>Carbohydrate metabolism</v>
      </c>
      <c r="H92" s="1" t="s">
        <v>89</v>
      </c>
      <c r="I92" t="s">
        <v>129</v>
      </c>
    </row>
    <row r="93" spans="1:9" x14ac:dyDescent="0.45">
      <c r="A93" t="s">
        <v>40</v>
      </c>
      <c r="B93">
        <v>4</v>
      </c>
      <c r="C93">
        <v>1</v>
      </c>
      <c r="D93" t="s">
        <v>6</v>
      </c>
      <c r="E93">
        <v>15</v>
      </c>
      <c r="F93" t="str">
        <f t="shared" si="1"/>
        <v>Lipid metabolism</v>
      </c>
      <c r="H93" s="1" t="s">
        <v>55</v>
      </c>
      <c r="I93" t="s">
        <v>123</v>
      </c>
    </row>
    <row r="94" spans="1:9" x14ac:dyDescent="0.45">
      <c r="A94" t="s">
        <v>42</v>
      </c>
      <c r="B94">
        <v>4</v>
      </c>
      <c r="C94">
        <v>1</v>
      </c>
      <c r="D94" t="s">
        <v>6</v>
      </c>
      <c r="E94">
        <v>13</v>
      </c>
      <c r="F94" t="str">
        <f t="shared" si="1"/>
        <v>Amino acid metabolism</v>
      </c>
      <c r="H94" s="1" t="s">
        <v>19</v>
      </c>
      <c r="I94" t="s">
        <v>121</v>
      </c>
    </row>
    <row r="95" spans="1:9" x14ac:dyDescent="0.45">
      <c r="A95" t="s">
        <v>58</v>
      </c>
      <c r="B95">
        <v>4</v>
      </c>
      <c r="C95">
        <v>1</v>
      </c>
      <c r="D95" t="s">
        <v>6</v>
      </c>
      <c r="E95">
        <v>8</v>
      </c>
      <c r="F95" t="str">
        <f t="shared" si="1"/>
        <v>Amino acid metabolism</v>
      </c>
      <c r="H95" s="1" t="s">
        <v>17</v>
      </c>
      <c r="I95" t="s">
        <v>121</v>
      </c>
    </row>
    <row r="96" spans="1:9" x14ac:dyDescent="0.45">
      <c r="A96" t="s">
        <v>59</v>
      </c>
      <c r="B96">
        <v>4</v>
      </c>
      <c r="C96">
        <v>1</v>
      </c>
      <c r="D96" t="s">
        <v>6</v>
      </c>
      <c r="E96">
        <v>7</v>
      </c>
      <c r="F96" t="str">
        <f t="shared" si="1"/>
        <v>Carbohydrate metabolism</v>
      </c>
      <c r="H96" s="1" t="s">
        <v>62</v>
      </c>
      <c r="I96" t="s">
        <v>129</v>
      </c>
    </row>
    <row r="97" spans="1:9" x14ac:dyDescent="0.45">
      <c r="A97" t="s">
        <v>60</v>
      </c>
      <c r="B97">
        <v>4</v>
      </c>
      <c r="C97">
        <v>1</v>
      </c>
      <c r="D97" t="s">
        <v>6</v>
      </c>
      <c r="E97">
        <v>9</v>
      </c>
      <c r="F97" t="str">
        <f t="shared" si="1"/>
        <v>Metabolism of cofactors and vitamins</v>
      </c>
      <c r="H97" s="1" t="s">
        <v>82</v>
      </c>
      <c r="I97" t="s">
        <v>121</v>
      </c>
    </row>
    <row r="98" spans="1:9" x14ac:dyDescent="0.45">
      <c r="A98" t="s">
        <v>35</v>
      </c>
      <c r="B98">
        <v>4</v>
      </c>
      <c r="C98">
        <v>1</v>
      </c>
      <c r="D98" t="s">
        <v>6</v>
      </c>
      <c r="E98">
        <v>7</v>
      </c>
      <c r="F98" t="str">
        <f t="shared" si="1"/>
        <v>Membrane transport</v>
      </c>
      <c r="H98" s="1" t="s">
        <v>99</v>
      </c>
      <c r="I98" t="s">
        <v>121</v>
      </c>
    </row>
    <row r="99" spans="1:9" x14ac:dyDescent="0.45">
      <c r="A99" t="s">
        <v>10</v>
      </c>
      <c r="B99">
        <v>4</v>
      </c>
      <c r="C99">
        <v>1</v>
      </c>
      <c r="D99" t="s">
        <v>6</v>
      </c>
      <c r="E99">
        <v>10</v>
      </c>
      <c r="F99" t="str">
        <f t="shared" si="1"/>
        <v>Nucleotide metabolism</v>
      </c>
      <c r="H99" s="1" t="s">
        <v>25</v>
      </c>
      <c r="I99" t="s">
        <v>129</v>
      </c>
    </row>
    <row r="100" spans="1:9" x14ac:dyDescent="0.45">
      <c r="A100" t="s">
        <v>23</v>
      </c>
      <c r="B100">
        <v>4</v>
      </c>
      <c r="C100">
        <v>1</v>
      </c>
      <c r="D100" t="s">
        <v>6</v>
      </c>
      <c r="E100">
        <v>6</v>
      </c>
      <c r="F100" t="str">
        <f t="shared" si="1"/>
        <v>Carbon metabolism</v>
      </c>
      <c r="H100" s="1" t="s">
        <v>13</v>
      </c>
      <c r="I100" t="s">
        <v>134</v>
      </c>
    </row>
    <row r="101" spans="1:9" x14ac:dyDescent="0.45">
      <c r="A101" t="s">
        <v>39</v>
      </c>
      <c r="B101">
        <v>4</v>
      </c>
      <c r="C101">
        <v>1</v>
      </c>
      <c r="D101" t="s">
        <v>6</v>
      </c>
      <c r="E101">
        <v>6</v>
      </c>
      <c r="F101" t="str">
        <f t="shared" si="1"/>
        <v>Carbohydrate metabolism</v>
      </c>
      <c r="H101" s="2" t="s">
        <v>29</v>
      </c>
      <c r="I101" t="s">
        <v>138</v>
      </c>
    </row>
    <row r="102" spans="1:9" x14ac:dyDescent="0.45">
      <c r="A102" t="s">
        <v>15</v>
      </c>
      <c r="B102">
        <v>4</v>
      </c>
      <c r="C102">
        <v>1</v>
      </c>
      <c r="D102" t="s">
        <v>6</v>
      </c>
      <c r="E102">
        <v>10</v>
      </c>
      <c r="F102" t="str">
        <f t="shared" si="1"/>
        <v>Carbon metabolism</v>
      </c>
      <c r="H102" t="s">
        <v>85</v>
      </c>
      <c r="I102" t="s">
        <v>124</v>
      </c>
    </row>
    <row r="103" spans="1:9" x14ac:dyDescent="0.45">
      <c r="A103" t="s">
        <v>61</v>
      </c>
      <c r="B103">
        <v>4</v>
      </c>
      <c r="C103">
        <v>1</v>
      </c>
      <c r="D103" t="s">
        <v>6</v>
      </c>
      <c r="E103">
        <v>10</v>
      </c>
      <c r="F103" t="str">
        <f t="shared" si="1"/>
        <v>Lipid metabolism</v>
      </c>
      <c r="H103" t="s">
        <v>87</v>
      </c>
      <c r="I103" t="s">
        <v>121</v>
      </c>
    </row>
    <row r="104" spans="1:9" x14ac:dyDescent="0.45">
      <c r="A104" t="s">
        <v>62</v>
      </c>
      <c r="B104">
        <v>4</v>
      </c>
      <c r="C104">
        <v>1</v>
      </c>
      <c r="D104" t="s">
        <v>6</v>
      </c>
      <c r="E104">
        <v>6</v>
      </c>
      <c r="F104" t="str">
        <f t="shared" si="1"/>
        <v>Metabolism of cofactors and vitamins</v>
      </c>
      <c r="H104" t="s">
        <v>92</v>
      </c>
      <c r="I104" t="s">
        <v>146</v>
      </c>
    </row>
    <row r="105" spans="1:9" x14ac:dyDescent="0.45">
      <c r="A105" t="s">
        <v>63</v>
      </c>
      <c r="B105">
        <v>4</v>
      </c>
      <c r="C105">
        <v>1</v>
      </c>
      <c r="D105" t="s">
        <v>6</v>
      </c>
      <c r="E105">
        <v>8</v>
      </c>
      <c r="F105" t="str">
        <f t="shared" si="1"/>
        <v>Amino acid metabolism</v>
      </c>
      <c r="H105" t="s">
        <v>94</v>
      </c>
      <c r="I105" t="s">
        <v>147</v>
      </c>
    </row>
    <row r="106" spans="1:9" x14ac:dyDescent="0.45">
      <c r="A106" t="s">
        <v>22</v>
      </c>
      <c r="B106">
        <v>4</v>
      </c>
      <c r="C106">
        <v>1</v>
      </c>
      <c r="D106" t="s">
        <v>6</v>
      </c>
      <c r="E106">
        <v>9</v>
      </c>
      <c r="F106" t="str">
        <f t="shared" si="1"/>
        <v>Carbohydrate metabolism</v>
      </c>
      <c r="H106" t="s">
        <v>96</v>
      </c>
      <c r="I106" t="s">
        <v>96</v>
      </c>
    </row>
    <row r="107" spans="1:9" x14ac:dyDescent="0.45">
      <c r="A107" t="s">
        <v>25</v>
      </c>
      <c r="B107">
        <v>4</v>
      </c>
      <c r="C107">
        <v>1</v>
      </c>
      <c r="D107" t="s">
        <v>6</v>
      </c>
      <c r="E107">
        <v>9</v>
      </c>
      <c r="F107" t="str">
        <f t="shared" si="1"/>
        <v>Metabolism of cofactors and vitamins</v>
      </c>
      <c r="H107" t="s">
        <v>102</v>
      </c>
      <c r="I107" t="s">
        <v>36</v>
      </c>
    </row>
    <row r="108" spans="1:9" x14ac:dyDescent="0.45">
      <c r="A108" t="s">
        <v>64</v>
      </c>
      <c r="B108">
        <v>4</v>
      </c>
      <c r="C108">
        <v>1</v>
      </c>
      <c r="D108" t="s">
        <v>6</v>
      </c>
      <c r="E108">
        <v>8</v>
      </c>
      <c r="F108" t="str">
        <f t="shared" si="1"/>
        <v>Metabolism of cofactors and vitamins</v>
      </c>
      <c r="H108" t="s">
        <v>104</v>
      </c>
      <c r="I108" t="s">
        <v>104</v>
      </c>
    </row>
    <row r="109" spans="1:9" x14ac:dyDescent="0.45">
      <c r="A109" t="s">
        <v>65</v>
      </c>
      <c r="B109">
        <v>4</v>
      </c>
      <c r="C109">
        <v>1</v>
      </c>
      <c r="D109" t="s">
        <v>6</v>
      </c>
      <c r="E109">
        <v>6</v>
      </c>
      <c r="F109" t="str">
        <f t="shared" si="1"/>
        <v>Secondary metabolism</v>
      </c>
      <c r="H109" t="s">
        <v>106</v>
      </c>
    </row>
    <row r="110" spans="1:9" x14ac:dyDescent="0.45">
      <c r="A110" t="s">
        <v>66</v>
      </c>
      <c r="B110">
        <v>4</v>
      </c>
      <c r="C110">
        <v>1</v>
      </c>
      <c r="D110" t="s">
        <v>6</v>
      </c>
      <c r="E110">
        <v>3</v>
      </c>
      <c r="F110" t="str">
        <f t="shared" si="1"/>
        <v>Carbohydrate metabolism</v>
      </c>
      <c r="H110" t="s">
        <v>107</v>
      </c>
      <c r="I110" t="s">
        <v>129</v>
      </c>
    </row>
    <row r="111" spans="1:9" x14ac:dyDescent="0.45">
      <c r="A111" t="s">
        <v>67</v>
      </c>
      <c r="B111">
        <v>4</v>
      </c>
      <c r="C111">
        <v>1</v>
      </c>
      <c r="D111" t="s">
        <v>6</v>
      </c>
      <c r="E111">
        <v>5</v>
      </c>
      <c r="F111" t="str">
        <f t="shared" si="1"/>
        <v>Carbohydrate metabolism</v>
      </c>
      <c r="H111" t="s">
        <v>108</v>
      </c>
    </row>
    <row r="112" spans="1:9" x14ac:dyDescent="0.45">
      <c r="A112" t="s">
        <v>17</v>
      </c>
      <c r="B112">
        <v>4</v>
      </c>
      <c r="C112">
        <v>1</v>
      </c>
      <c r="D112" t="s">
        <v>6</v>
      </c>
      <c r="E112">
        <v>6</v>
      </c>
      <c r="F112" t="str">
        <f t="shared" si="1"/>
        <v>Amino acid metabolism</v>
      </c>
      <c r="H112" t="s">
        <v>115</v>
      </c>
      <c r="I112" t="s">
        <v>124</v>
      </c>
    </row>
    <row r="113" spans="1:8" x14ac:dyDescent="0.45">
      <c r="A113" t="s">
        <v>68</v>
      </c>
      <c r="B113">
        <v>4</v>
      </c>
      <c r="C113">
        <v>1</v>
      </c>
      <c r="D113" t="s">
        <v>6</v>
      </c>
      <c r="E113">
        <v>5</v>
      </c>
      <c r="F113" t="str">
        <f t="shared" si="1"/>
        <v>Amino acid metabolism</v>
      </c>
      <c r="H113" t="s">
        <v>118</v>
      </c>
    </row>
    <row r="114" spans="1:8" x14ac:dyDescent="0.45">
      <c r="A114" t="s">
        <v>69</v>
      </c>
      <c r="B114">
        <v>4</v>
      </c>
      <c r="C114">
        <v>1</v>
      </c>
      <c r="D114" t="s">
        <v>6</v>
      </c>
      <c r="E114">
        <v>4</v>
      </c>
      <c r="F114" t="str">
        <f t="shared" si="1"/>
        <v>Amino acid metabolism</v>
      </c>
    </row>
    <row r="115" spans="1:8" x14ac:dyDescent="0.45">
      <c r="A115" t="s">
        <v>47</v>
      </c>
      <c r="B115">
        <v>4</v>
      </c>
      <c r="C115">
        <v>1</v>
      </c>
      <c r="D115" t="s">
        <v>6</v>
      </c>
      <c r="E115">
        <v>8</v>
      </c>
      <c r="F115" t="str">
        <f t="shared" si="1"/>
        <v>Carbohydrate metabolism</v>
      </c>
    </row>
    <row r="116" spans="1:8" x14ac:dyDescent="0.45">
      <c r="A116" t="s">
        <v>27</v>
      </c>
      <c r="B116">
        <v>4</v>
      </c>
      <c r="C116">
        <v>1</v>
      </c>
      <c r="D116" t="s">
        <v>6</v>
      </c>
      <c r="E116">
        <v>7</v>
      </c>
      <c r="F116" t="str">
        <f t="shared" si="1"/>
        <v>Metabolism of cofactors and vitamins</v>
      </c>
    </row>
    <row r="117" spans="1:8" x14ac:dyDescent="0.45">
      <c r="A117" t="s">
        <v>70</v>
      </c>
      <c r="B117">
        <v>4</v>
      </c>
      <c r="C117">
        <v>1</v>
      </c>
      <c r="D117" t="s">
        <v>6</v>
      </c>
      <c r="E117">
        <v>7</v>
      </c>
      <c r="F117" t="str">
        <f t="shared" si="1"/>
        <v>Metabolism of terpenoids and polyketides</v>
      </c>
    </row>
    <row r="118" spans="1:8" x14ac:dyDescent="0.45">
      <c r="A118" t="s">
        <v>71</v>
      </c>
      <c r="B118">
        <v>4</v>
      </c>
      <c r="C118">
        <v>1</v>
      </c>
      <c r="D118" t="s">
        <v>6</v>
      </c>
      <c r="E118">
        <v>3</v>
      </c>
      <c r="F118" t="str">
        <f t="shared" si="1"/>
        <v>Metabolism of terpenoids and polyketides</v>
      </c>
    </row>
    <row r="119" spans="1:8" x14ac:dyDescent="0.45">
      <c r="A119" t="s">
        <v>72</v>
      </c>
      <c r="B119">
        <v>4</v>
      </c>
      <c r="C119">
        <v>1</v>
      </c>
      <c r="D119" t="s">
        <v>6</v>
      </c>
      <c r="E119">
        <v>5</v>
      </c>
      <c r="F119" t="str">
        <f t="shared" si="1"/>
        <v>Metabolism of terpenoids and polyketides</v>
      </c>
    </row>
    <row r="120" spans="1:8" x14ac:dyDescent="0.45">
      <c r="A120" t="s">
        <v>73</v>
      </c>
      <c r="B120">
        <v>4</v>
      </c>
      <c r="C120">
        <v>1</v>
      </c>
      <c r="D120" t="s">
        <v>6</v>
      </c>
      <c r="E120">
        <v>4</v>
      </c>
      <c r="F120" t="str">
        <f t="shared" si="1"/>
        <v>Energy metabolism</v>
      </c>
    </row>
    <row r="121" spans="1:8" x14ac:dyDescent="0.45">
      <c r="A121" t="s">
        <v>74</v>
      </c>
      <c r="B121">
        <v>4</v>
      </c>
      <c r="C121">
        <v>1</v>
      </c>
      <c r="D121" t="s">
        <v>6</v>
      </c>
      <c r="E121">
        <v>4</v>
      </c>
      <c r="F121" t="str">
        <f t="shared" si="1"/>
        <v>Phenylpropanoid metabolism</v>
      </c>
    </row>
    <row r="122" spans="1:8" x14ac:dyDescent="0.45">
      <c r="A122" t="s">
        <v>75</v>
      </c>
      <c r="B122">
        <v>4</v>
      </c>
      <c r="C122">
        <v>1</v>
      </c>
      <c r="D122" t="s">
        <v>6</v>
      </c>
      <c r="E122">
        <v>3</v>
      </c>
      <c r="F122" t="str">
        <f t="shared" si="1"/>
        <v>Phenylpropanoid metabolism</v>
      </c>
    </row>
    <row r="123" spans="1:8" x14ac:dyDescent="0.45">
      <c r="A123" t="s">
        <v>41</v>
      </c>
      <c r="B123">
        <v>4</v>
      </c>
      <c r="C123">
        <v>1</v>
      </c>
      <c r="D123" t="s">
        <v>6</v>
      </c>
      <c r="E123">
        <v>4</v>
      </c>
      <c r="F123" t="str">
        <f t="shared" si="1"/>
        <v>Energy metabolism</v>
      </c>
    </row>
    <row r="124" spans="1:8" x14ac:dyDescent="0.45">
      <c r="A124" t="s">
        <v>76</v>
      </c>
      <c r="B124">
        <v>4</v>
      </c>
      <c r="C124">
        <v>1</v>
      </c>
      <c r="D124" t="s">
        <v>6</v>
      </c>
      <c r="E124">
        <v>2</v>
      </c>
      <c r="F124" t="str">
        <f t="shared" si="1"/>
        <v>Biosynthesis of other secondary metabolites</v>
      </c>
    </row>
    <row r="125" spans="1:8" x14ac:dyDescent="0.45">
      <c r="A125" t="s">
        <v>43</v>
      </c>
      <c r="B125">
        <v>4</v>
      </c>
      <c r="C125">
        <v>1</v>
      </c>
      <c r="D125" t="s">
        <v>6</v>
      </c>
      <c r="E125">
        <v>5</v>
      </c>
      <c r="F125" t="str">
        <f t="shared" si="1"/>
        <v>Amino acid metabolism</v>
      </c>
    </row>
    <row r="126" spans="1:8" x14ac:dyDescent="0.45">
      <c r="A126" t="s">
        <v>77</v>
      </c>
      <c r="B126">
        <v>4</v>
      </c>
      <c r="C126">
        <v>1</v>
      </c>
      <c r="D126" t="s">
        <v>6</v>
      </c>
      <c r="E126">
        <v>2</v>
      </c>
      <c r="F126" t="str">
        <f t="shared" si="1"/>
        <v>Amino acid metabolism</v>
      </c>
    </row>
    <row r="127" spans="1:8" x14ac:dyDescent="0.45">
      <c r="A127" t="s">
        <v>78</v>
      </c>
      <c r="B127">
        <v>4</v>
      </c>
      <c r="C127">
        <v>1</v>
      </c>
      <c r="D127" t="s">
        <v>6</v>
      </c>
      <c r="E127">
        <v>2</v>
      </c>
      <c r="F127" t="str">
        <f t="shared" si="1"/>
        <v>Lipid metabolism</v>
      </c>
    </row>
    <row r="128" spans="1:8" x14ac:dyDescent="0.45">
      <c r="A128" t="s">
        <v>24</v>
      </c>
      <c r="B128">
        <v>4</v>
      </c>
      <c r="C128">
        <v>1</v>
      </c>
      <c r="D128" t="s">
        <v>6</v>
      </c>
      <c r="E128">
        <v>3</v>
      </c>
      <c r="F128" t="str">
        <f t="shared" si="1"/>
        <v>Metabolism of cofactors and vitamin</v>
      </c>
    </row>
    <row r="129" spans="1:6" x14ac:dyDescent="0.45">
      <c r="A129" t="s">
        <v>79</v>
      </c>
      <c r="B129">
        <v>4</v>
      </c>
      <c r="C129">
        <v>1</v>
      </c>
      <c r="D129" t="s">
        <v>6</v>
      </c>
      <c r="E129">
        <v>2</v>
      </c>
      <c r="F129" t="str">
        <f t="shared" si="1"/>
        <v>Terpenoid metabolism</v>
      </c>
    </row>
    <row r="130" spans="1:6" x14ac:dyDescent="0.45">
      <c r="A130" t="s">
        <v>80</v>
      </c>
      <c r="B130">
        <v>4</v>
      </c>
      <c r="C130">
        <v>1</v>
      </c>
      <c r="D130" t="s">
        <v>6</v>
      </c>
      <c r="E130">
        <v>3</v>
      </c>
      <c r="F130" t="str">
        <f t="shared" si="1"/>
        <v>Signal transduction</v>
      </c>
    </row>
    <row r="131" spans="1:6" x14ac:dyDescent="0.45">
      <c r="A131" t="s">
        <v>81</v>
      </c>
      <c r="B131">
        <v>4</v>
      </c>
      <c r="C131">
        <v>1</v>
      </c>
      <c r="D131" t="s">
        <v>6</v>
      </c>
      <c r="E131">
        <v>4</v>
      </c>
      <c r="F131" t="str">
        <f t="shared" si="1"/>
        <v>Amino acid metabolism</v>
      </c>
    </row>
    <row r="132" spans="1:6" x14ac:dyDescent="0.45">
      <c r="A132" t="s">
        <v>82</v>
      </c>
      <c r="B132">
        <v>4</v>
      </c>
      <c r="C132">
        <v>1</v>
      </c>
      <c r="D132" t="s">
        <v>6</v>
      </c>
      <c r="E132">
        <v>4</v>
      </c>
      <c r="F132" t="str">
        <f t="shared" ref="F132:F195" si="2">_xlfn.XLOOKUP(A132,$H$2:$H$200,$I$2:$I$200)</f>
        <v>Amino acid metabolism</v>
      </c>
    </row>
    <row r="133" spans="1:6" x14ac:dyDescent="0.45">
      <c r="A133" t="s">
        <v>45</v>
      </c>
      <c r="B133">
        <v>4</v>
      </c>
      <c r="C133">
        <v>1</v>
      </c>
      <c r="D133" t="s">
        <v>6</v>
      </c>
      <c r="E133">
        <v>7</v>
      </c>
      <c r="F133" t="str">
        <f t="shared" si="2"/>
        <v>Amino acid metabolism</v>
      </c>
    </row>
    <row r="134" spans="1:6" x14ac:dyDescent="0.45">
      <c r="A134" t="s">
        <v>83</v>
      </c>
      <c r="B134">
        <v>4</v>
      </c>
      <c r="C134">
        <v>1</v>
      </c>
      <c r="D134" t="s">
        <v>6</v>
      </c>
      <c r="E134">
        <v>4</v>
      </c>
      <c r="F134" t="str">
        <f t="shared" si="2"/>
        <v>Carbohydrate metabolism</v>
      </c>
    </row>
    <row r="135" spans="1:6" x14ac:dyDescent="0.45">
      <c r="A135" t="s">
        <v>84</v>
      </c>
      <c r="B135">
        <v>4</v>
      </c>
      <c r="C135">
        <v>1</v>
      </c>
      <c r="D135" t="s">
        <v>6</v>
      </c>
      <c r="E135">
        <v>12</v>
      </c>
      <c r="F135" t="str">
        <f t="shared" si="2"/>
        <v>Stilbenoid; diarylheptanoid and gingerol biosynthesis</v>
      </c>
    </row>
    <row r="136" spans="1:6" x14ac:dyDescent="0.45">
      <c r="A136" t="s">
        <v>85</v>
      </c>
      <c r="B136">
        <v>4</v>
      </c>
      <c r="C136">
        <v>1</v>
      </c>
      <c r="D136" t="s">
        <v>6</v>
      </c>
      <c r="E136">
        <v>4</v>
      </c>
      <c r="F136" t="str">
        <f t="shared" si="2"/>
        <v>Lipid metabolism</v>
      </c>
    </row>
    <row r="137" spans="1:6" x14ac:dyDescent="0.45">
      <c r="A137" t="s">
        <v>86</v>
      </c>
      <c r="B137">
        <v>4</v>
      </c>
      <c r="C137">
        <v>1</v>
      </c>
      <c r="D137" t="s">
        <v>6</v>
      </c>
      <c r="E137">
        <v>4</v>
      </c>
      <c r="F137" t="str">
        <f t="shared" si="2"/>
        <v>Lipid metabolism</v>
      </c>
    </row>
    <row r="138" spans="1:6" x14ac:dyDescent="0.45">
      <c r="A138" t="s">
        <v>87</v>
      </c>
      <c r="B138">
        <v>4</v>
      </c>
      <c r="C138">
        <v>1</v>
      </c>
      <c r="D138" t="s">
        <v>6</v>
      </c>
      <c r="E138">
        <v>1</v>
      </c>
      <c r="F138" t="str">
        <f t="shared" si="2"/>
        <v>Amino acid metabolism</v>
      </c>
    </row>
    <row r="139" spans="1:6" x14ac:dyDescent="0.45">
      <c r="A139" t="s">
        <v>21</v>
      </c>
      <c r="B139">
        <v>4</v>
      </c>
      <c r="C139">
        <v>1</v>
      </c>
      <c r="D139" t="s">
        <v>6</v>
      </c>
      <c r="E139">
        <v>2</v>
      </c>
      <c r="F139" t="str">
        <f t="shared" si="2"/>
        <v>Lipid metabolism</v>
      </c>
    </row>
    <row r="140" spans="1:6" x14ac:dyDescent="0.45">
      <c r="A140" t="s">
        <v>88</v>
      </c>
      <c r="B140">
        <v>4</v>
      </c>
      <c r="C140">
        <v>1</v>
      </c>
      <c r="D140" t="s">
        <v>6</v>
      </c>
      <c r="E140">
        <v>1</v>
      </c>
      <c r="F140" t="str">
        <f t="shared" si="2"/>
        <v>Lipid metabolism</v>
      </c>
    </row>
    <row r="141" spans="1:6" x14ac:dyDescent="0.45">
      <c r="A141" t="s">
        <v>89</v>
      </c>
      <c r="B141">
        <v>4</v>
      </c>
      <c r="C141">
        <v>1</v>
      </c>
      <c r="D141" t="s">
        <v>6</v>
      </c>
      <c r="E141">
        <v>3</v>
      </c>
      <c r="F141" t="str">
        <f t="shared" si="2"/>
        <v>Metabolism of cofactors and vitamins</v>
      </c>
    </row>
    <row r="142" spans="1:6" x14ac:dyDescent="0.45">
      <c r="A142" t="s">
        <v>90</v>
      </c>
      <c r="B142">
        <v>4</v>
      </c>
      <c r="C142">
        <v>1</v>
      </c>
      <c r="D142" t="s">
        <v>6</v>
      </c>
      <c r="E142">
        <v>1</v>
      </c>
      <c r="F142" t="str">
        <f t="shared" si="2"/>
        <v>Metabolism of cofactors and vitamins</v>
      </c>
    </row>
    <row r="143" spans="1:6" x14ac:dyDescent="0.45">
      <c r="A143" t="s">
        <v>91</v>
      </c>
      <c r="B143">
        <v>4</v>
      </c>
      <c r="C143">
        <v>1</v>
      </c>
      <c r="D143" t="s">
        <v>6</v>
      </c>
      <c r="E143">
        <v>2</v>
      </c>
      <c r="F143" t="str">
        <f t="shared" si="2"/>
        <v>Genetic Information Processing</v>
      </c>
    </row>
    <row r="144" spans="1:6" x14ac:dyDescent="0.45">
      <c r="A144" t="s">
        <v>92</v>
      </c>
      <c r="B144">
        <v>4</v>
      </c>
      <c r="C144">
        <v>1</v>
      </c>
      <c r="D144" t="s">
        <v>6</v>
      </c>
      <c r="E144">
        <v>4</v>
      </c>
      <c r="F144" t="str">
        <f t="shared" si="2"/>
        <v>Fatty acid metabolism</v>
      </c>
    </row>
    <row r="145" spans="1:6" x14ac:dyDescent="0.45">
      <c r="A145" t="s">
        <v>93</v>
      </c>
      <c r="B145">
        <v>4</v>
      </c>
      <c r="C145">
        <v>1</v>
      </c>
      <c r="D145" t="s">
        <v>6</v>
      </c>
      <c r="E145">
        <v>1</v>
      </c>
      <c r="F145" t="str">
        <f t="shared" si="2"/>
        <v>Signal transduction</v>
      </c>
    </row>
    <row r="146" spans="1:6" x14ac:dyDescent="0.45">
      <c r="A146" t="s">
        <v>94</v>
      </c>
      <c r="B146">
        <v>4</v>
      </c>
      <c r="C146">
        <v>1</v>
      </c>
      <c r="D146" t="s">
        <v>6</v>
      </c>
      <c r="E146">
        <v>2</v>
      </c>
      <c r="F146" t="str">
        <f t="shared" si="2"/>
        <v>Plant-pathogen interaction</v>
      </c>
    </row>
    <row r="147" spans="1:6" x14ac:dyDescent="0.45">
      <c r="A147" t="s">
        <v>95</v>
      </c>
      <c r="B147">
        <v>4</v>
      </c>
      <c r="C147">
        <v>1</v>
      </c>
      <c r="D147" t="s">
        <v>6</v>
      </c>
      <c r="E147">
        <v>2</v>
      </c>
      <c r="F147" t="str">
        <f t="shared" si="2"/>
        <v>Amino acid metabolism</v>
      </c>
    </row>
    <row r="148" spans="1:6" x14ac:dyDescent="0.45">
      <c r="A148" t="s">
        <v>96</v>
      </c>
      <c r="B148">
        <v>4</v>
      </c>
      <c r="C148">
        <v>1</v>
      </c>
      <c r="D148" t="s">
        <v>6</v>
      </c>
      <c r="E148">
        <v>2</v>
      </c>
      <c r="F148" t="str">
        <f t="shared" si="2"/>
        <v>JA biosynthesis</v>
      </c>
    </row>
    <row r="149" spans="1:6" x14ac:dyDescent="0.45">
      <c r="A149" t="s">
        <v>97</v>
      </c>
      <c r="B149">
        <v>4</v>
      </c>
      <c r="C149">
        <v>1</v>
      </c>
      <c r="D149" t="s">
        <v>6</v>
      </c>
      <c r="E149">
        <v>1</v>
      </c>
      <c r="F149" t="str">
        <f t="shared" si="2"/>
        <v>Biosynthesis of phenylpropanoids</v>
      </c>
    </row>
    <row r="150" spans="1:6" x14ac:dyDescent="0.45">
      <c r="A150" t="s">
        <v>36</v>
      </c>
      <c r="B150">
        <v>4</v>
      </c>
      <c r="C150">
        <v>-1</v>
      </c>
      <c r="D150" t="s">
        <v>6</v>
      </c>
      <c r="E150">
        <v>3</v>
      </c>
      <c r="F150" t="str">
        <f t="shared" si="2"/>
        <v>Phenylpropanoid metabolism</v>
      </c>
    </row>
    <row r="151" spans="1:6" x14ac:dyDescent="0.45">
      <c r="A151" t="s">
        <v>33</v>
      </c>
      <c r="B151">
        <v>4</v>
      </c>
      <c r="C151">
        <v>-1</v>
      </c>
      <c r="D151" t="s">
        <v>6</v>
      </c>
      <c r="E151">
        <v>2</v>
      </c>
      <c r="F151" t="str">
        <f t="shared" si="2"/>
        <v>Amino acid metabolism</v>
      </c>
    </row>
    <row r="152" spans="1:6" x14ac:dyDescent="0.45">
      <c r="A152" t="s">
        <v>34</v>
      </c>
      <c r="B152">
        <v>4</v>
      </c>
      <c r="C152">
        <v>-1</v>
      </c>
      <c r="D152" t="s">
        <v>6</v>
      </c>
      <c r="E152">
        <v>2</v>
      </c>
      <c r="F152" t="str">
        <f t="shared" si="2"/>
        <v>Amino acid metabolism</v>
      </c>
    </row>
    <row r="153" spans="1:6" x14ac:dyDescent="0.45">
      <c r="A153" t="s">
        <v>71</v>
      </c>
      <c r="B153">
        <v>4</v>
      </c>
      <c r="C153">
        <v>-1</v>
      </c>
      <c r="D153" t="s">
        <v>6</v>
      </c>
      <c r="E153">
        <v>4</v>
      </c>
      <c r="F153" t="str">
        <f t="shared" si="2"/>
        <v>Metabolism of terpenoids and polyketides</v>
      </c>
    </row>
    <row r="154" spans="1:6" x14ac:dyDescent="0.45">
      <c r="A154" t="s">
        <v>7</v>
      </c>
      <c r="B154">
        <v>4</v>
      </c>
      <c r="C154">
        <v>-1</v>
      </c>
      <c r="D154" t="s">
        <v>6</v>
      </c>
      <c r="E154">
        <v>1</v>
      </c>
      <c r="F154" t="str">
        <f t="shared" si="2"/>
        <v>Nucleotide metabolism</v>
      </c>
    </row>
    <row r="155" spans="1:6" x14ac:dyDescent="0.45">
      <c r="A155" t="s">
        <v>58</v>
      </c>
      <c r="B155">
        <v>4</v>
      </c>
      <c r="C155">
        <v>-1</v>
      </c>
      <c r="D155" t="s">
        <v>6</v>
      </c>
      <c r="E155">
        <v>1</v>
      </c>
      <c r="F155" t="str">
        <f t="shared" si="2"/>
        <v>Amino acid metabolism</v>
      </c>
    </row>
    <row r="156" spans="1:6" x14ac:dyDescent="0.45">
      <c r="A156" t="s">
        <v>82</v>
      </c>
      <c r="B156">
        <v>4</v>
      </c>
      <c r="C156">
        <v>-1</v>
      </c>
      <c r="D156" t="s">
        <v>6</v>
      </c>
      <c r="E156">
        <v>1</v>
      </c>
      <c r="F156" t="str">
        <f t="shared" si="2"/>
        <v>Amino acid metabolism</v>
      </c>
    </row>
    <row r="157" spans="1:6" x14ac:dyDescent="0.45">
      <c r="A157" t="s">
        <v>44</v>
      </c>
      <c r="B157">
        <v>4</v>
      </c>
      <c r="C157">
        <v>-1</v>
      </c>
      <c r="D157" t="s">
        <v>6</v>
      </c>
      <c r="E157">
        <v>1</v>
      </c>
      <c r="F157" t="str">
        <f t="shared" si="2"/>
        <v>Amino acid metabolism</v>
      </c>
    </row>
    <row r="158" spans="1:6" x14ac:dyDescent="0.45">
      <c r="A158" t="s">
        <v>19</v>
      </c>
      <c r="B158">
        <v>4</v>
      </c>
      <c r="C158">
        <v>-1</v>
      </c>
      <c r="D158" t="s">
        <v>6</v>
      </c>
      <c r="E158">
        <v>1</v>
      </c>
      <c r="F158" t="str">
        <f t="shared" si="2"/>
        <v>Amino acid metabolism</v>
      </c>
    </row>
    <row r="159" spans="1:6" x14ac:dyDescent="0.45">
      <c r="A159" t="s">
        <v>53</v>
      </c>
      <c r="B159">
        <v>4</v>
      </c>
      <c r="C159">
        <v>-1</v>
      </c>
      <c r="D159" t="s">
        <v>6</v>
      </c>
      <c r="E159">
        <v>1</v>
      </c>
      <c r="F159" t="str">
        <f t="shared" si="2"/>
        <v>Amino acid metabolism</v>
      </c>
    </row>
    <row r="160" spans="1:6" x14ac:dyDescent="0.45">
      <c r="A160" t="s">
        <v>67</v>
      </c>
      <c r="B160">
        <v>4</v>
      </c>
      <c r="C160">
        <v>-1</v>
      </c>
      <c r="D160" t="s">
        <v>6</v>
      </c>
      <c r="E160">
        <v>1</v>
      </c>
      <c r="F160" t="str">
        <f t="shared" si="2"/>
        <v>Carbohydrate metabolism</v>
      </c>
    </row>
    <row r="161" spans="1:6" x14ac:dyDescent="0.45">
      <c r="A161" t="s">
        <v>47</v>
      </c>
      <c r="B161">
        <v>4</v>
      </c>
      <c r="C161">
        <v>-1</v>
      </c>
      <c r="D161" t="s">
        <v>6</v>
      </c>
      <c r="E161">
        <v>1</v>
      </c>
      <c r="F161" t="str">
        <f t="shared" si="2"/>
        <v>Carbohydrate metabolism</v>
      </c>
    </row>
    <row r="162" spans="1:6" x14ac:dyDescent="0.45">
      <c r="A162" t="s">
        <v>64</v>
      </c>
      <c r="B162">
        <v>4</v>
      </c>
      <c r="C162">
        <v>-1</v>
      </c>
      <c r="D162" t="s">
        <v>6</v>
      </c>
      <c r="E162">
        <v>1</v>
      </c>
      <c r="F162" t="str">
        <f t="shared" si="2"/>
        <v>Metabolism of cofactors and vitamins</v>
      </c>
    </row>
    <row r="163" spans="1:6" x14ac:dyDescent="0.45">
      <c r="A163" t="s">
        <v>31</v>
      </c>
      <c r="B163">
        <v>4</v>
      </c>
      <c r="C163">
        <v>-1</v>
      </c>
      <c r="D163" t="s">
        <v>6</v>
      </c>
      <c r="E163">
        <v>1</v>
      </c>
      <c r="F163" t="str">
        <f t="shared" si="2"/>
        <v>Glucosinolate biosynthesis</v>
      </c>
    </row>
    <row r="164" spans="1:6" x14ac:dyDescent="0.45">
      <c r="A164" t="s">
        <v>91</v>
      </c>
      <c r="B164">
        <v>4</v>
      </c>
      <c r="C164">
        <v>-1</v>
      </c>
      <c r="D164" t="s">
        <v>6</v>
      </c>
      <c r="E164">
        <v>1</v>
      </c>
      <c r="F164" t="str">
        <f t="shared" si="2"/>
        <v>Genetic Information Processing</v>
      </c>
    </row>
    <row r="165" spans="1:6" x14ac:dyDescent="0.45">
      <c r="A165" t="s">
        <v>38</v>
      </c>
      <c r="B165">
        <v>4</v>
      </c>
      <c r="C165">
        <v>-1</v>
      </c>
      <c r="D165" t="s">
        <v>6</v>
      </c>
      <c r="E165">
        <v>1</v>
      </c>
      <c r="F165" t="str">
        <f t="shared" si="2"/>
        <v>Degradation of aromatic compounds</v>
      </c>
    </row>
    <row r="166" spans="1:6" x14ac:dyDescent="0.45">
      <c r="A166" t="s">
        <v>35</v>
      </c>
      <c r="B166">
        <v>4</v>
      </c>
      <c r="C166">
        <v>-1</v>
      </c>
      <c r="D166" t="s">
        <v>6</v>
      </c>
      <c r="E166">
        <v>1</v>
      </c>
      <c r="F166" t="str">
        <f t="shared" si="2"/>
        <v>Membrane transport</v>
      </c>
    </row>
    <row r="167" spans="1:6" x14ac:dyDescent="0.45">
      <c r="A167" t="s">
        <v>80</v>
      </c>
      <c r="B167">
        <v>4</v>
      </c>
      <c r="C167">
        <v>-1</v>
      </c>
      <c r="D167" t="s">
        <v>6</v>
      </c>
      <c r="E167">
        <v>1</v>
      </c>
      <c r="F167" t="str">
        <f t="shared" si="2"/>
        <v>Signal transduction</v>
      </c>
    </row>
    <row r="168" spans="1:6" x14ac:dyDescent="0.45">
      <c r="A168" t="s">
        <v>95</v>
      </c>
      <c r="B168">
        <v>4</v>
      </c>
      <c r="C168">
        <v>-1</v>
      </c>
      <c r="D168" t="s">
        <v>6</v>
      </c>
      <c r="E168">
        <v>1</v>
      </c>
      <c r="F168" t="str">
        <f t="shared" si="2"/>
        <v>Amino acid metabolism</v>
      </c>
    </row>
    <row r="169" spans="1:6" x14ac:dyDescent="0.45">
      <c r="A169" t="s">
        <v>98</v>
      </c>
      <c r="B169">
        <v>4</v>
      </c>
      <c r="C169">
        <v>-1</v>
      </c>
      <c r="D169" t="s">
        <v>6</v>
      </c>
      <c r="E169">
        <v>1</v>
      </c>
      <c r="F169">
        <f t="shared" si="2"/>
        <v>0</v>
      </c>
    </row>
    <row r="170" spans="1:6" x14ac:dyDescent="0.45">
      <c r="A170" t="s">
        <v>33</v>
      </c>
      <c r="B170">
        <v>5</v>
      </c>
      <c r="C170">
        <v>1</v>
      </c>
      <c r="D170" t="s">
        <v>6</v>
      </c>
      <c r="E170">
        <v>16</v>
      </c>
      <c r="F170" t="str">
        <f t="shared" si="2"/>
        <v>Amino acid metabolism</v>
      </c>
    </row>
    <row r="171" spans="1:6" x14ac:dyDescent="0.45">
      <c r="A171" t="s">
        <v>50</v>
      </c>
      <c r="B171">
        <v>5</v>
      </c>
      <c r="C171">
        <v>1</v>
      </c>
      <c r="D171" t="s">
        <v>6</v>
      </c>
      <c r="E171">
        <v>14</v>
      </c>
      <c r="F171" t="str">
        <f t="shared" si="2"/>
        <v>Lipid metabolism</v>
      </c>
    </row>
    <row r="172" spans="1:6" x14ac:dyDescent="0.45">
      <c r="A172" t="s">
        <v>46</v>
      </c>
      <c r="B172">
        <v>5</v>
      </c>
      <c r="C172">
        <v>1</v>
      </c>
      <c r="D172" t="s">
        <v>6</v>
      </c>
      <c r="E172">
        <v>12</v>
      </c>
      <c r="F172" t="str">
        <f t="shared" si="2"/>
        <v>Lipid metabolism</v>
      </c>
    </row>
    <row r="173" spans="1:6" x14ac:dyDescent="0.45">
      <c r="A173" t="s">
        <v>30</v>
      </c>
      <c r="B173">
        <v>5</v>
      </c>
      <c r="C173">
        <v>1</v>
      </c>
      <c r="D173" t="s">
        <v>6</v>
      </c>
      <c r="E173">
        <v>11</v>
      </c>
      <c r="F173" t="str">
        <f t="shared" si="2"/>
        <v>Phenylpropanoid biosynthesis</v>
      </c>
    </row>
    <row r="174" spans="1:6" x14ac:dyDescent="0.45">
      <c r="A174" t="s">
        <v>34</v>
      </c>
      <c r="B174">
        <v>5</v>
      </c>
      <c r="C174">
        <v>1</v>
      </c>
      <c r="D174" t="s">
        <v>6</v>
      </c>
      <c r="E174">
        <v>12</v>
      </c>
      <c r="F174" t="str">
        <f t="shared" si="2"/>
        <v>Amino acid metabolism</v>
      </c>
    </row>
    <row r="175" spans="1:6" x14ac:dyDescent="0.45">
      <c r="A175" t="s">
        <v>7</v>
      </c>
      <c r="B175">
        <v>5</v>
      </c>
      <c r="C175">
        <v>1</v>
      </c>
      <c r="D175" t="s">
        <v>6</v>
      </c>
      <c r="E175">
        <v>8</v>
      </c>
      <c r="F175" t="str">
        <f t="shared" si="2"/>
        <v>Nucleotide metabolism</v>
      </c>
    </row>
    <row r="176" spans="1:6" x14ac:dyDescent="0.45">
      <c r="A176" t="s">
        <v>32</v>
      </c>
      <c r="B176">
        <v>5</v>
      </c>
      <c r="C176">
        <v>1</v>
      </c>
      <c r="D176" t="s">
        <v>6</v>
      </c>
      <c r="E176">
        <v>11</v>
      </c>
      <c r="F176" t="str">
        <f t="shared" si="2"/>
        <v xml:space="preserve">Carbon metabolism </v>
      </c>
    </row>
    <row r="177" spans="1:6" x14ac:dyDescent="0.45">
      <c r="A177" t="s">
        <v>18</v>
      </c>
      <c r="B177">
        <v>5</v>
      </c>
      <c r="C177">
        <v>1</v>
      </c>
      <c r="D177" t="s">
        <v>6</v>
      </c>
      <c r="E177">
        <v>10</v>
      </c>
      <c r="F177" t="str">
        <f t="shared" si="2"/>
        <v>Amino acid metabolism</v>
      </c>
    </row>
    <row r="178" spans="1:6" x14ac:dyDescent="0.45">
      <c r="A178" t="s">
        <v>31</v>
      </c>
      <c r="B178">
        <v>5</v>
      </c>
      <c r="C178">
        <v>1</v>
      </c>
      <c r="D178" t="s">
        <v>6</v>
      </c>
      <c r="E178">
        <v>10</v>
      </c>
      <c r="F178" t="str">
        <f t="shared" si="2"/>
        <v>Glucosinolate biosynthesis</v>
      </c>
    </row>
    <row r="179" spans="1:6" x14ac:dyDescent="0.45">
      <c r="A179" t="s">
        <v>38</v>
      </c>
      <c r="B179">
        <v>5</v>
      </c>
      <c r="C179">
        <v>1</v>
      </c>
      <c r="D179" t="s">
        <v>6</v>
      </c>
      <c r="E179">
        <v>11</v>
      </c>
      <c r="F179" t="str">
        <f t="shared" si="2"/>
        <v>Degradation of aromatic compounds</v>
      </c>
    </row>
    <row r="180" spans="1:6" x14ac:dyDescent="0.45">
      <c r="A180" t="s">
        <v>48</v>
      </c>
      <c r="B180">
        <v>5</v>
      </c>
      <c r="C180">
        <v>1</v>
      </c>
      <c r="D180" t="s">
        <v>6</v>
      </c>
      <c r="E180">
        <v>9</v>
      </c>
      <c r="F180" t="str">
        <f t="shared" si="2"/>
        <v>Carbohydrate metabolism</v>
      </c>
    </row>
    <row r="181" spans="1:6" x14ac:dyDescent="0.45">
      <c r="A181" t="s">
        <v>12</v>
      </c>
      <c r="B181">
        <v>5</v>
      </c>
      <c r="C181">
        <v>1</v>
      </c>
      <c r="D181" t="s">
        <v>6</v>
      </c>
      <c r="E181">
        <v>8</v>
      </c>
      <c r="F181" t="str">
        <f t="shared" si="2"/>
        <v>Carbohydrate metabolism</v>
      </c>
    </row>
    <row r="182" spans="1:6" x14ac:dyDescent="0.45">
      <c r="A182" t="s">
        <v>11</v>
      </c>
      <c r="B182">
        <v>5</v>
      </c>
      <c r="C182">
        <v>1</v>
      </c>
      <c r="D182" t="s">
        <v>6</v>
      </c>
      <c r="E182">
        <v>7</v>
      </c>
      <c r="F182" t="str">
        <f t="shared" si="2"/>
        <v>Carbohydrate metabolism</v>
      </c>
    </row>
    <row r="183" spans="1:6" x14ac:dyDescent="0.45">
      <c r="A183" t="s">
        <v>56</v>
      </c>
      <c r="B183">
        <v>5</v>
      </c>
      <c r="C183">
        <v>1</v>
      </c>
      <c r="D183" t="s">
        <v>6</v>
      </c>
      <c r="E183">
        <v>8</v>
      </c>
      <c r="F183" t="str">
        <f t="shared" si="2"/>
        <v>Lipid metabolism</v>
      </c>
    </row>
    <row r="184" spans="1:6" x14ac:dyDescent="0.45">
      <c r="A184" t="s">
        <v>37</v>
      </c>
      <c r="B184">
        <v>5</v>
      </c>
      <c r="C184">
        <v>1</v>
      </c>
      <c r="D184" t="s">
        <v>6</v>
      </c>
      <c r="E184">
        <v>10</v>
      </c>
      <c r="F184" t="str">
        <f t="shared" si="2"/>
        <v>Primary metabolism</v>
      </c>
    </row>
    <row r="185" spans="1:6" x14ac:dyDescent="0.45">
      <c r="A185" t="s">
        <v>49</v>
      </c>
      <c r="B185">
        <v>5</v>
      </c>
      <c r="C185">
        <v>1</v>
      </c>
      <c r="D185" t="s">
        <v>6</v>
      </c>
      <c r="E185">
        <v>6</v>
      </c>
      <c r="F185" t="str">
        <f t="shared" si="2"/>
        <v>Phenylpropanoid metabolism</v>
      </c>
    </row>
    <row r="186" spans="1:6" x14ac:dyDescent="0.45">
      <c r="A186" t="s">
        <v>39</v>
      </c>
      <c r="B186">
        <v>5</v>
      </c>
      <c r="C186">
        <v>1</v>
      </c>
      <c r="D186" t="s">
        <v>6</v>
      </c>
      <c r="E186">
        <v>8</v>
      </c>
      <c r="F186" t="str">
        <f t="shared" si="2"/>
        <v>Carbohydrate metabolism</v>
      </c>
    </row>
    <row r="187" spans="1:6" x14ac:dyDescent="0.45">
      <c r="A187" t="s">
        <v>40</v>
      </c>
      <c r="B187">
        <v>5</v>
      </c>
      <c r="C187">
        <v>1</v>
      </c>
      <c r="D187" t="s">
        <v>6</v>
      </c>
      <c r="E187">
        <v>12</v>
      </c>
      <c r="F187" t="str">
        <f t="shared" si="2"/>
        <v>Lipid metabolism</v>
      </c>
    </row>
    <row r="188" spans="1:6" x14ac:dyDescent="0.45">
      <c r="A188" t="s">
        <v>15</v>
      </c>
      <c r="B188">
        <v>5</v>
      </c>
      <c r="C188">
        <v>1</v>
      </c>
      <c r="D188" t="s">
        <v>6</v>
      </c>
      <c r="E188">
        <v>7</v>
      </c>
      <c r="F188" t="str">
        <f t="shared" si="2"/>
        <v>Carbon metabolism</v>
      </c>
    </row>
    <row r="189" spans="1:6" x14ac:dyDescent="0.45">
      <c r="A189" t="s">
        <v>16</v>
      </c>
      <c r="B189">
        <v>5</v>
      </c>
      <c r="C189">
        <v>1</v>
      </c>
      <c r="D189" t="s">
        <v>6</v>
      </c>
      <c r="E189">
        <v>7</v>
      </c>
      <c r="F189" t="str">
        <f t="shared" si="2"/>
        <v>Carbohydrate metabolism</v>
      </c>
    </row>
    <row r="190" spans="1:6" x14ac:dyDescent="0.45">
      <c r="A190" t="s">
        <v>82</v>
      </c>
      <c r="B190">
        <v>5</v>
      </c>
      <c r="C190">
        <v>1</v>
      </c>
      <c r="D190" t="s">
        <v>6</v>
      </c>
      <c r="E190">
        <v>6</v>
      </c>
      <c r="F190" t="str">
        <f t="shared" si="2"/>
        <v>Amino acid metabolism</v>
      </c>
    </row>
    <row r="191" spans="1:6" x14ac:dyDescent="0.45">
      <c r="A191" t="s">
        <v>17</v>
      </c>
      <c r="B191">
        <v>5</v>
      </c>
      <c r="C191">
        <v>1</v>
      </c>
      <c r="D191" t="s">
        <v>6</v>
      </c>
      <c r="E191">
        <v>6</v>
      </c>
      <c r="F191" t="str">
        <f t="shared" si="2"/>
        <v>Amino acid metabolism</v>
      </c>
    </row>
    <row r="192" spans="1:6" x14ac:dyDescent="0.45">
      <c r="A192" t="s">
        <v>69</v>
      </c>
      <c r="B192">
        <v>5</v>
      </c>
      <c r="C192">
        <v>1</v>
      </c>
      <c r="D192" t="s">
        <v>6</v>
      </c>
      <c r="E192">
        <v>4</v>
      </c>
      <c r="F192" t="str">
        <f t="shared" si="2"/>
        <v>Amino acid metabolism</v>
      </c>
    </row>
    <row r="193" spans="1:6" x14ac:dyDescent="0.45">
      <c r="A193" t="s">
        <v>55</v>
      </c>
      <c r="B193">
        <v>5</v>
      </c>
      <c r="C193">
        <v>1</v>
      </c>
      <c r="D193" t="s">
        <v>6</v>
      </c>
      <c r="E193">
        <v>4</v>
      </c>
      <c r="F193" t="str">
        <f t="shared" si="2"/>
        <v>Alkaloid metabolism</v>
      </c>
    </row>
    <row r="194" spans="1:6" x14ac:dyDescent="0.45">
      <c r="A194" t="s">
        <v>35</v>
      </c>
      <c r="B194">
        <v>5</v>
      </c>
      <c r="C194">
        <v>1</v>
      </c>
      <c r="D194" t="s">
        <v>6</v>
      </c>
      <c r="E194">
        <v>4</v>
      </c>
      <c r="F194" t="str">
        <f t="shared" si="2"/>
        <v>Membrane transport</v>
      </c>
    </row>
    <row r="195" spans="1:6" x14ac:dyDescent="0.45">
      <c r="A195" t="s">
        <v>99</v>
      </c>
      <c r="B195">
        <v>5</v>
      </c>
      <c r="C195">
        <v>1</v>
      </c>
      <c r="D195" t="s">
        <v>6</v>
      </c>
      <c r="E195">
        <v>4</v>
      </c>
      <c r="F195" t="str">
        <f t="shared" si="2"/>
        <v>Amino acid metabolism</v>
      </c>
    </row>
    <row r="196" spans="1:6" x14ac:dyDescent="0.45">
      <c r="A196" t="s">
        <v>67</v>
      </c>
      <c r="B196">
        <v>5</v>
      </c>
      <c r="C196">
        <v>1</v>
      </c>
      <c r="D196" t="s">
        <v>6</v>
      </c>
      <c r="E196">
        <v>6</v>
      </c>
      <c r="F196" t="str">
        <f t="shared" ref="F196:F259" si="3">_xlfn.XLOOKUP(A196,$H$2:$H$200,$I$2:$I$200)</f>
        <v>Carbohydrate metabolism</v>
      </c>
    </row>
    <row r="197" spans="1:6" x14ac:dyDescent="0.45">
      <c r="A197" t="s">
        <v>9</v>
      </c>
      <c r="B197">
        <v>5</v>
      </c>
      <c r="C197">
        <v>1</v>
      </c>
      <c r="D197" t="s">
        <v>6</v>
      </c>
      <c r="E197">
        <v>4</v>
      </c>
      <c r="F197" t="str">
        <f t="shared" si="3"/>
        <v>Carbohydrate metabolism</v>
      </c>
    </row>
    <row r="198" spans="1:6" x14ac:dyDescent="0.45">
      <c r="A198" t="s">
        <v>61</v>
      </c>
      <c r="B198">
        <v>5</v>
      </c>
      <c r="C198">
        <v>1</v>
      </c>
      <c r="D198" t="s">
        <v>6</v>
      </c>
      <c r="E198">
        <v>6</v>
      </c>
      <c r="F198" t="str">
        <f t="shared" si="3"/>
        <v>Lipid metabolism</v>
      </c>
    </row>
    <row r="199" spans="1:6" x14ac:dyDescent="0.45">
      <c r="A199" t="s">
        <v>76</v>
      </c>
      <c r="B199">
        <v>5</v>
      </c>
      <c r="C199">
        <v>1</v>
      </c>
      <c r="D199" t="s">
        <v>6</v>
      </c>
      <c r="E199">
        <v>3</v>
      </c>
      <c r="F199" t="str">
        <f t="shared" si="3"/>
        <v>Biosynthesis of other secondary metabolites</v>
      </c>
    </row>
    <row r="200" spans="1:6" x14ac:dyDescent="0.45">
      <c r="A200" t="s">
        <v>10</v>
      </c>
      <c r="B200">
        <v>5</v>
      </c>
      <c r="C200">
        <v>1</v>
      </c>
      <c r="D200" t="s">
        <v>6</v>
      </c>
      <c r="E200">
        <v>5</v>
      </c>
      <c r="F200" t="str">
        <f t="shared" si="3"/>
        <v>Nucleotide metabolism</v>
      </c>
    </row>
    <row r="201" spans="1:6" x14ac:dyDescent="0.45">
      <c r="A201" t="s">
        <v>42</v>
      </c>
      <c r="B201">
        <v>5</v>
      </c>
      <c r="C201">
        <v>1</v>
      </c>
      <c r="D201" t="s">
        <v>6</v>
      </c>
      <c r="E201">
        <v>5</v>
      </c>
      <c r="F201" t="str">
        <f t="shared" si="3"/>
        <v>Amino acid metabolism</v>
      </c>
    </row>
    <row r="202" spans="1:6" x14ac:dyDescent="0.45">
      <c r="A202" t="s">
        <v>58</v>
      </c>
      <c r="B202">
        <v>5</v>
      </c>
      <c r="C202">
        <v>1</v>
      </c>
      <c r="D202" t="s">
        <v>6</v>
      </c>
      <c r="E202">
        <v>5</v>
      </c>
      <c r="F202" t="str">
        <f t="shared" si="3"/>
        <v>Amino acid metabolism</v>
      </c>
    </row>
    <row r="203" spans="1:6" x14ac:dyDescent="0.45">
      <c r="A203" t="s">
        <v>63</v>
      </c>
      <c r="B203">
        <v>5</v>
      </c>
      <c r="C203">
        <v>1</v>
      </c>
      <c r="D203" t="s">
        <v>6</v>
      </c>
      <c r="E203">
        <v>5</v>
      </c>
      <c r="F203" t="str">
        <f t="shared" si="3"/>
        <v>Amino acid metabolism</v>
      </c>
    </row>
    <row r="204" spans="1:6" x14ac:dyDescent="0.45">
      <c r="A204" t="s">
        <v>44</v>
      </c>
      <c r="B204">
        <v>5</v>
      </c>
      <c r="C204">
        <v>1</v>
      </c>
      <c r="D204" t="s">
        <v>6</v>
      </c>
      <c r="E204">
        <v>3</v>
      </c>
      <c r="F204" t="str">
        <f t="shared" si="3"/>
        <v>Amino acid metabolism</v>
      </c>
    </row>
    <row r="205" spans="1:6" x14ac:dyDescent="0.45">
      <c r="A205" t="s">
        <v>19</v>
      </c>
      <c r="B205">
        <v>5</v>
      </c>
      <c r="C205">
        <v>1</v>
      </c>
      <c r="D205" t="s">
        <v>6</v>
      </c>
      <c r="E205">
        <v>6</v>
      </c>
      <c r="F205" t="str">
        <f t="shared" si="3"/>
        <v>Amino acid metabolism</v>
      </c>
    </row>
    <row r="206" spans="1:6" x14ac:dyDescent="0.45">
      <c r="A206" t="s">
        <v>59</v>
      </c>
      <c r="B206">
        <v>5</v>
      </c>
      <c r="C206">
        <v>1</v>
      </c>
      <c r="D206" t="s">
        <v>6</v>
      </c>
      <c r="E206">
        <v>5</v>
      </c>
      <c r="F206" t="str">
        <f t="shared" si="3"/>
        <v>Carbohydrate metabolism</v>
      </c>
    </row>
    <row r="207" spans="1:6" x14ac:dyDescent="0.45">
      <c r="A207" t="s">
        <v>47</v>
      </c>
      <c r="B207">
        <v>5</v>
      </c>
      <c r="C207">
        <v>1</v>
      </c>
      <c r="D207" t="s">
        <v>6</v>
      </c>
      <c r="E207">
        <v>5</v>
      </c>
      <c r="F207" t="str">
        <f t="shared" si="3"/>
        <v>Carbohydrate metabolism</v>
      </c>
    </row>
    <row r="208" spans="1:6" x14ac:dyDescent="0.45">
      <c r="A208" t="s">
        <v>22</v>
      </c>
      <c r="B208">
        <v>5</v>
      </c>
      <c r="C208">
        <v>1</v>
      </c>
      <c r="D208" t="s">
        <v>6</v>
      </c>
      <c r="E208">
        <v>6</v>
      </c>
      <c r="F208" t="str">
        <f t="shared" si="3"/>
        <v>Carbohydrate metabolism</v>
      </c>
    </row>
    <row r="209" spans="1:6" x14ac:dyDescent="0.45">
      <c r="A209" t="s">
        <v>26</v>
      </c>
      <c r="B209">
        <v>5</v>
      </c>
      <c r="C209">
        <v>1</v>
      </c>
      <c r="D209" t="s">
        <v>6</v>
      </c>
      <c r="E209">
        <v>5</v>
      </c>
      <c r="F209" t="str">
        <f t="shared" si="3"/>
        <v>Metabolism of cofactors and vitamins</v>
      </c>
    </row>
    <row r="210" spans="1:6" x14ac:dyDescent="0.45">
      <c r="A210" t="s">
        <v>60</v>
      </c>
      <c r="B210">
        <v>5</v>
      </c>
      <c r="C210">
        <v>1</v>
      </c>
      <c r="D210" t="s">
        <v>6</v>
      </c>
      <c r="E210">
        <v>5</v>
      </c>
      <c r="F210" t="str">
        <f t="shared" si="3"/>
        <v>Metabolism of cofactors and vitamins</v>
      </c>
    </row>
    <row r="211" spans="1:6" x14ac:dyDescent="0.45">
      <c r="A211" t="s">
        <v>75</v>
      </c>
      <c r="B211">
        <v>5</v>
      </c>
      <c r="C211">
        <v>1</v>
      </c>
      <c r="D211" t="s">
        <v>6</v>
      </c>
      <c r="E211">
        <v>3</v>
      </c>
      <c r="F211" t="str">
        <f t="shared" si="3"/>
        <v>Phenylpropanoid metabolism</v>
      </c>
    </row>
    <row r="212" spans="1:6" x14ac:dyDescent="0.45">
      <c r="A212" t="s">
        <v>14</v>
      </c>
      <c r="B212">
        <v>5</v>
      </c>
      <c r="C212">
        <v>1</v>
      </c>
      <c r="D212" t="s">
        <v>6</v>
      </c>
      <c r="E212">
        <v>3</v>
      </c>
      <c r="F212" t="str">
        <f t="shared" si="3"/>
        <v>Alkaloid metabolism</v>
      </c>
    </row>
    <row r="213" spans="1:6" x14ac:dyDescent="0.45">
      <c r="A213" t="s">
        <v>91</v>
      </c>
      <c r="B213">
        <v>5</v>
      </c>
      <c r="C213">
        <v>1</v>
      </c>
      <c r="D213" t="s">
        <v>6</v>
      </c>
      <c r="E213">
        <v>3</v>
      </c>
      <c r="F213" t="str">
        <f t="shared" si="3"/>
        <v>Genetic Information Processing</v>
      </c>
    </row>
    <row r="214" spans="1:6" x14ac:dyDescent="0.45">
      <c r="A214" t="s">
        <v>95</v>
      </c>
      <c r="B214">
        <v>5</v>
      </c>
      <c r="C214">
        <v>1</v>
      </c>
      <c r="D214" t="s">
        <v>6</v>
      </c>
      <c r="E214">
        <v>3</v>
      </c>
      <c r="F214" t="str">
        <f t="shared" si="3"/>
        <v>Amino acid metabolism</v>
      </c>
    </row>
    <row r="215" spans="1:6" x14ac:dyDescent="0.45">
      <c r="A215" t="s">
        <v>53</v>
      </c>
      <c r="B215">
        <v>5</v>
      </c>
      <c r="C215">
        <v>1</v>
      </c>
      <c r="D215" t="s">
        <v>6</v>
      </c>
      <c r="E215">
        <v>2</v>
      </c>
      <c r="F215" t="str">
        <f t="shared" si="3"/>
        <v>Amino acid metabolism</v>
      </c>
    </row>
    <row r="216" spans="1:6" x14ac:dyDescent="0.45">
      <c r="A216" t="s">
        <v>45</v>
      </c>
      <c r="B216">
        <v>5</v>
      </c>
      <c r="C216">
        <v>1</v>
      </c>
      <c r="D216" t="s">
        <v>6</v>
      </c>
      <c r="E216">
        <v>4</v>
      </c>
      <c r="F216" t="str">
        <f t="shared" si="3"/>
        <v>Amino acid metabolism</v>
      </c>
    </row>
    <row r="217" spans="1:6" x14ac:dyDescent="0.45">
      <c r="A217" t="s">
        <v>24</v>
      </c>
      <c r="B217">
        <v>5</v>
      </c>
      <c r="C217">
        <v>1</v>
      </c>
      <c r="D217" t="s">
        <v>6</v>
      </c>
      <c r="E217">
        <v>3</v>
      </c>
      <c r="F217" t="str">
        <f t="shared" si="3"/>
        <v>Metabolism of cofactors and vitamin</v>
      </c>
    </row>
    <row r="218" spans="1:6" x14ac:dyDescent="0.45">
      <c r="A218" t="s">
        <v>25</v>
      </c>
      <c r="B218">
        <v>5</v>
      </c>
      <c r="C218">
        <v>1</v>
      </c>
      <c r="D218" t="s">
        <v>6</v>
      </c>
      <c r="E218">
        <v>4</v>
      </c>
      <c r="F218" t="str">
        <f t="shared" si="3"/>
        <v>Metabolism of cofactors and vitamins</v>
      </c>
    </row>
    <row r="219" spans="1:6" x14ac:dyDescent="0.45">
      <c r="A219" t="s">
        <v>28</v>
      </c>
      <c r="B219">
        <v>5</v>
      </c>
      <c r="C219">
        <v>1</v>
      </c>
      <c r="D219" t="s">
        <v>6</v>
      </c>
      <c r="E219">
        <v>3</v>
      </c>
      <c r="F219" t="str">
        <f t="shared" si="3"/>
        <v>Metabolism of terpenoids and polyketides</v>
      </c>
    </row>
    <row r="220" spans="1:6" x14ac:dyDescent="0.45">
      <c r="A220" t="s">
        <v>13</v>
      </c>
      <c r="B220">
        <v>5</v>
      </c>
      <c r="C220">
        <v>1</v>
      </c>
      <c r="D220" t="s">
        <v>6</v>
      </c>
      <c r="E220">
        <v>4</v>
      </c>
      <c r="F220" t="str">
        <f t="shared" si="3"/>
        <v>Terpenoid metabolism</v>
      </c>
    </row>
    <row r="221" spans="1:6" x14ac:dyDescent="0.45">
      <c r="A221" t="s">
        <v>57</v>
      </c>
      <c r="B221">
        <v>5</v>
      </c>
      <c r="C221">
        <v>1</v>
      </c>
      <c r="D221" t="s">
        <v>6</v>
      </c>
      <c r="E221">
        <v>2</v>
      </c>
      <c r="F221" t="str">
        <f t="shared" si="3"/>
        <v>Phenylpropanoid metabolism</v>
      </c>
    </row>
    <row r="222" spans="1:6" x14ac:dyDescent="0.45">
      <c r="A222" t="s">
        <v>84</v>
      </c>
      <c r="B222">
        <v>5</v>
      </c>
      <c r="C222">
        <v>1</v>
      </c>
      <c r="D222" t="s">
        <v>6</v>
      </c>
      <c r="E222">
        <v>2</v>
      </c>
      <c r="F222" t="str">
        <f t="shared" si="3"/>
        <v>Stilbenoid; diarylheptanoid and gingerol biosynthesis</v>
      </c>
    </row>
    <row r="223" spans="1:6" x14ac:dyDescent="0.45">
      <c r="A223" t="s">
        <v>80</v>
      </c>
      <c r="B223">
        <v>5</v>
      </c>
      <c r="C223">
        <v>1</v>
      </c>
      <c r="D223" t="s">
        <v>6</v>
      </c>
      <c r="E223">
        <v>2</v>
      </c>
      <c r="F223" t="str">
        <f t="shared" si="3"/>
        <v>Signal transduction</v>
      </c>
    </row>
    <row r="224" spans="1:6" x14ac:dyDescent="0.45">
      <c r="A224" t="s">
        <v>36</v>
      </c>
      <c r="B224">
        <v>5</v>
      </c>
      <c r="C224">
        <v>1</v>
      </c>
      <c r="D224" t="s">
        <v>6</v>
      </c>
      <c r="E224">
        <v>2</v>
      </c>
      <c r="F224" t="str">
        <f t="shared" si="3"/>
        <v>Phenylpropanoid metabolism</v>
      </c>
    </row>
    <row r="225" spans="1:6" x14ac:dyDescent="0.45">
      <c r="A225" t="s">
        <v>54</v>
      </c>
      <c r="B225">
        <v>5</v>
      </c>
      <c r="C225">
        <v>1</v>
      </c>
      <c r="D225" t="s">
        <v>6</v>
      </c>
      <c r="E225">
        <v>4</v>
      </c>
      <c r="F225" t="str">
        <f t="shared" si="3"/>
        <v>Amino acid metabolism</v>
      </c>
    </row>
    <row r="226" spans="1:6" x14ac:dyDescent="0.45">
      <c r="A226" t="s">
        <v>68</v>
      </c>
      <c r="B226">
        <v>5</v>
      </c>
      <c r="C226">
        <v>1</v>
      </c>
      <c r="D226" t="s">
        <v>6</v>
      </c>
      <c r="E226">
        <v>4</v>
      </c>
      <c r="F226" t="str">
        <f t="shared" si="3"/>
        <v>Amino acid metabolism</v>
      </c>
    </row>
    <row r="227" spans="1:6" x14ac:dyDescent="0.45">
      <c r="A227" t="s">
        <v>8</v>
      </c>
      <c r="B227">
        <v>5</v>
      </c>
      <c r="C227">
        <v>1</v>
      </c>
      <c r="D227" t="s">
        <v>6</v>
      </c>
      <c r="E227">
        <v>2</v>
      </c>
      <c r="F227" t="str">
        <f t="shared" si="3"/>
        <v>Glycan biosynthesis and metabolism</v>
      </c>
    </row>
    <row r="228" spans="1:6" x14ac:dyDescent="0.45">
      <c r="A228" t="s">
        <v>23</v>
      </c>
      <c r="B228">
        <v>5</v>
      </c>
      <c r="C228">
        <v>1</v>
      </c>
      <c r="D228" t="s">
        <v>6</v>
      </c>
      <c r="E228">
        <v>5</v>
      </c>
      <c r="F228" t="str">
        <f t="shared" si="3"/>
        <v>Carbon metabolism</v>
      </c>
    </row>
    <row r="229" spans="1:6" x14ac:dyDescent="0.45">
      <c r="A229" t="s">
        <v>89</v>
      </c>
      <c r="B229">
        <v>5</v>
      </c>
      <c r="C229">
        <v>1</v>
      </c>
      <c r="D229" t="s">
        <v>6</v>
      </c>
      <c r="E229">
        <v>5</v>
      </c>
      <c r="F229" t="str">
        <f t="shared" si="3"/>
        <v>Metabolism of cofactors and vitamins</v>
      </c>
    </row>
    <row r="230" spans="1:6" x14ac:dyDescent="0.45">
      <c r="A230" t="s">
        <v>70</v>
      </c>
      <c r="B230">
        <v>5</v>
      </c>
      <c r="C230">
        <v>1</v>
      </c>
      <c r="D230" t="s">
        <v>6</v>
      </c>
      <c r="E230">
        <v>4</v>
      </c>
      <c r="F230" t="str">
        <f t="shared" si="3"/>
        <v>Metabolism of terpenoids and polyketides</v>
      </c>
    </row>
    <row r="231" spans="1:6" x14ac:dyDescent="0.45">
      <c r="A231" t="s">
        <v>74</v>
      </c>
      <c r="B231">
        <v>5</v>
      </c>
      <c r="C231">
        <v>1</v>
      </c>
      <c r="D231" t="s">
        <v>6</v>
      </c>
      <c r="E231">
        <v>2</v>
      </c>
      <c r="F231" t="str">
        <f t="shared" si="3"/>
        <v>Phenylpropanoid metabolism</v>
      </c>
    </row>
    <row r="232" spans="1:6" x14ac:dyDescent="0.45">
      <c r="A232" t="s">
        <v>85</v>
      </c>
      <c r="B232">
        <v>5</v>
      </c>
      <c r="C232">
        <v>1</v>
      </c>
      <c r="D232" t="s">
        <v>6</v>
      </c>
      <c r="E232">
        <v>4</v>
      </c>
      <c r="F232" t="str">
        <f t="shared" si="3"/>
        <v>Lipid metabolism</v>
      </c>
    </row>
    <row r="233" spans="1:6" x14ac:dyDescent="0.45">
      <c r="A233" t="s">
        <v>86</v>
      </c>
      <c r="B233">
        <v>5</v>
      </c>
      <c r="C233">
        <v>1</v>
      </c>
      <c r="D233" t="s">
        <v>6</v>
      </c>
      <c r="E233">
        <v>4</v>
      </c>
      <c r="F233" t="str">
        <f t="shared" si="3"/>
        <v>Lipid metabolism</v>
      </c>
    </row>
    <row r="234" spans="1:6" x14ac:dyDescent="0.45">
      <c r="A234" t="s">
        <v>62</v>
      </c>
      <c r="B234">
        <v>5</v>
      </c>
      <c r="C234">
        <v>1</v>
      </c>
      <c r="D234" t="s">
        <v>6</v>
      </c>
      <c r="E234">
        <v>1</v>
      </c>
      <c r="F234" t="str">
        <f t="shared" si="3"/>
        <v>Metabolism of cofactors and vitamins</v>
      </c>
    </row>
    <row r="235" spans="1:6" x14ac:dyDescent="0.45">
      <c r="A235" t="s">
        <v>41</v>
      </c>
      <c r="B235">
        <v>5</v>
      </c>
      <c r="C235">
        <v>1</v>
      </c>
      <c r="D235" t="s">
        <v>6</v>
      </c>
      <c r="E235">
        <v>1</v>
      </c>
      <c r="F235" t="str">
        <f t="shared" si="3"/>
        <v>Energy metabolism</v>
      </c>
    </row>
    <row r="236" spans="1:6" x14ac:dyDescent="0.45">
      <c r="A236" t="s">
        <v>43</v>
      </c>
      <c r="B236">
        <v>5</v>
      </c>
      <c r="C236">
        <v>1</v>
      </c>
      <c r="D236" t="s">
        <v>6</v>
      </c>
      <c r="E236">
        <v>1</v>
      </c>
      <c r="F236" t="str">
        <f t="shared" si="3"/>
        <v>Amino acid metabolism</v>
      </c>
    </row>
    <row r="237" spans="1:6" x14ac:dyDescent="0.45">
      <c r="A237" t="s">
        <v>100</v>
      </c>
      <c r="B237">
        <v>5</v>
      </c>
      <c r="C237">
        <v>1</v>
      </c>
      <c r="D237" t="s">
        <v>6</v>
      </c>
      <c r="E237">
        <v>1</v>
      </c>
      <c r="F237" t="str">
        <f t="shared" si="3"/>
        <v>Amino acid metabolism</v>
      </c>
    </row>
    <row r="238" spans="1:6" x14ac:dyDescent="0.45">
      <c r="A238" t="s">
        <v>77</v>
      </c>
      <c r="B238">
        <v>5</v>
      </c>
      <c r="C238">
        <v>1</v>
      </c>
      <c r="D238" t="s">
        <v>6</v>
      </c>
      <c r="E238">
        <v>1</v>
      </c>
      <c r="F238" t="str">
        <f t="shared" si="3"/>
        <v>Amino acid metabolism</v>
      </c>
    </row>
    <row r="239" spans="1:6" x14ac:dyDescent="0.45">
      <c r="A239" t="s">
        <v>20</v>
      </c>
      <c r="B239">
        <v>5</v>
      </c>
      <c r="C239">
        <v>1</v>
      </c>
      <c r="D239" t="s">
        <v>6</v>
      </c>
      <c r="E239">
        <v>1</v>
      </c>
      <c r="F239" t="str">
        <f t="shared" si="3"/>
        <v>Carbohydrate metabolism</v>
      </c>
    </row>
    <row r="240" spans="1:6" x14ac:dyDescent="0.45">
      <c r="A240" t="s">
        <v>78</v>
      </c>
      <c r="B240">
        <v>5</v>
      </c>
      <c r="C240">
        <v>1</v>
      </c>
      <c r="D240" t="s">
        <v>6</v>
      </c>
      <c r="E240">
        <v>1</v>
      </c>
      <c r="F240" t="str">
        <f t="shared" si="3"/>
        <v>Lipid metabolism</v>
      </c>
    </row>
    <row r="241" spans="1:6" x14ac:dyDescent="0.45">
      <c r="A241" t="s">
        <v>83</v>
      </c>
      <c r="B241">
        <v>5</v>
      </c>
      <c r="C241">
        <v>1</v>
      </c>
      <c r="D241" t="s">
        <v>6</v>
      </c>
      <c r="E241">
        <v>3</v>
      </c>
      <c r="F241" t="str">
        <f t="shared" si="3"/>
        <v>Carbohydrate metabolism</v>
      </c>
    </row>
    <row r="242" spans="1:6" x14ac:dyDescent="0.45">
      <c r="A242" t="s">
        <v>51</v>
      </c>
      <c r="B242">
        <v>5</v>
      </c>
      <c r="C242">
        <v>1</v>
      </c>
      <c r="D242" t="s">
        <v>6</v>
      </c>
      <c r="E242">
        <v>1</v>
      </c>
      <c r="F242" t="str">
        <f t="shared" si="3"/>
        <v>Metabolism of terpenoids and polyketides</v>
      </c>
    </row>
    <row r="243" spans="1:6" x14ac:dyDescent="0.45">
      <c r="A243" t="s">
        <v>71</v>
      </c>
      <c r="B243">
        <v>5</v>
      </c>
      <c r="C243">
        <v>1</v>
      </c>
      <c r="D243" t="s">
        <v>6</v>
      </c>
      <c r="E243">
        <v>1</v>
      </c>
      <c r="F243" t="str">
        <f t="shared" si="3"/>
        <v>Metabolism of terpenoids and polyketides</v>
      </c>
    </row>
    <row r="244" spans="1:6" x14ac:dyDescent="0.45">
      <c r="A244" t="s">
        <v>72</v>
      </c>
      <c r="B244">
        <v>5</v>
      </c>
      <c r="C244">
        <v>1</v>
      </c>
      <c r="D244" t="s">
        <v>6</v>
      </c>
      <c r="E244">
        <v>1</v>
      </c>
      <c r="F244" t="str">
        <f t="shared" si="3"/>
        <v>Metabolism of terpenoids and polyketides</v>
      </c>
    </row>
    <row r="245" spans="1:6" x14ac:dyDescent="0.45">
      <c r="A245" t="s">
        <v>73</v>
      </c>
      <c r="B245">
        <v>5</v>
      </c>
      <c r="C245">
        <v>1</v>
      </c>
      <c r="D245" t="s">
        <v>6</v>
      </c>
      <c r="E245">
        <v>1</v>
      </c>
      <c r="F245" t="str">
        <f t="shared" si="3"/>
        <v>Energy metabolism</v>
      </c>
    </row>
    <row r="246" spans="1:6" x14ac:dyDescent="0.45">
      <c r="A246" t="s">
        <v>92</v>
      </c>
      <c r="B246">
        <v>5</v>
      </c>
      <c r="C246">
        <v>1</v>
      </c>
      <c r="D246" t="s">
        <v>6</v>
      </c>
      <c r="E246">
        <v>4</v>
      </c>
      <c r="F246" t="str">
        <f t="shared" si="3"/>
        <v>Fatty acid metabolism</v>
      </c>
    </row>
    <row r="247" spans="1:6" x14ac:dyDescent="0.45">
      <c r="A247" t="s">
        <v>93</v>
      </c>
      <c r="B247">
        <v>5</v>
      </c>
      <c r="C247">
        <v>1</v>
      </c>
      <c r="D247" t="s">
        <v>6</v>
      </c>
      <c r="E247">
        <v>1</v>
      </c>
      <c r="F247" t="str">
        <f t="shared" si="3"/>
        <v>Signal transduction</v>
      </c>
    </row>
    <row r="248" spans="1:6" x14ac:dyDescent="0.45">
      <c r="A248" t="s">
        <v>94</v>
      </c>
      <c r="B248">
        <v>5</v>
      </c>
      <c r="C248">
        <v>1</v>
      </c>
      <c r="D248" t="s">
        <v>6</v>
      </c>
      <c r="E248">
        <v>1</v>
      </c>
      <c r="F248" t="str">
        <f t="shared" si="3"/>
        <v>Plant-pathogen interaction</v>
      </c>
    </row>
    <row r="249" spans="1:6" x14ac:dyDescent="0.45">
      <c r="A249" t="s">
        <v>81</v>
      </c>
      <c r="B249">
        <v>5</v>
      </c>
      <c r="C249">
        <v>1</v>
      </c>
      <c r="D249" t="s">
        <v>6</v>
      </c>
      <c r="E249">
        <v>2</v>
      </c>
      <c r="F249" t="str">
        <f t="shared" si="3"/>
        <v>Amino acid metabolism</v>
      </c>
    </row>
    <row r="250" spans="1:6" x14ac:dyDescent="0.45">
      <c r="A250" t="s">
        <v>96</v>
      </c>
      <c r="B250">
        <v>5</v>
      </c>
      <c r="C250">
        <v>1</v>
      </c>
      <c r="D250" t="s">
        <v>6</v>
      </c>
      <c r="E250">
        <v>1</v>
      </c>
      <c r="F250" t="str">
        <f t="shared" si="3"/>
        <v>JA biosynthesis</v>
      </c>
    </row>
    <row r="251" spans="1:6" x14ac:dyDescent="0.45">
      <c r="A251" t="s">
        <v>65</v>
      </c>
      <c r="B251">
        <v>5</v>
      </c>
      <c r="C251">
        <v>1</v>
      </c>
      <c r="D251" t="s">
        <v>6</v>
      </c>
      <c r="E251">
        <v>1</v>
      </c>
      <c r="F251" t="str">
        <f t="shared" si="3"/>
        <v>Secondary metabolism</v>
      </c>
    </row>
    <row r="252" spans="1:6" x14ac:dyDescent="0.45">
      <c r="A252" t="s">
        <v>66</v>
      </c>
      <c r="B252">
        <v>5</v>
      </c>
      <c r="C252">
        <v>1</v>
      </c>
      <c r="D252" t="s">
        <v>6</v>
      </c>
      <c r="E252">
        <v>1</v>
      </c>
      <c r="F252" t="str">
        <f t="shared" si="3"/>
        <v>Carbohydrate metabolism</v>
      </c>
    </row>
    <row r="253" spans="1:6" x14ac:dyDescent="0.45">
      <c r="A253" t="s">
        <v>14</v>
      </c>
      <c r="B253">
        <v>5</v>
      </c>
      <c r="C253">
        <v>-1</v>
      </c>
      <c r="D253" t="s">
        <v>6</v>
      </c>
      <c r="E253">
        <v>9</v>
      </c>
      <c r="F253" t="str">
        <f t="shared" si="3"/>
        <v>Alkaloid metabolism</v>
      </c>
    </row>
    <row r="254" spans="1:6" x14ac:dyDescent="0.45">
      <c r="A254" t="s">
        <v>38</v>
      </c>
      <c r="B254">
        <v>5</v>
      </c>
      <c r="C254">
        <v>-1</v>
      </c>
      <c r="D254" t="s">
        <v>6</v>
      </c>
      <c r="E254">
        <v>4</v>
      </c>
      <c r="F254" t="str">
        <f t="shared" si="3"/>
        <v>Degradation of aromatic compounds</v>
      </c>
    </row>
    <row r="255" spans="1:6" x14ac:dyDescent="0.45">
      <c r="A255" t="s">
        <v>16</v>
      </c>
      <c r="B255">
        <v>5</v>
      </c>
      <c r="C255">
        <v>-1</v>
      </c>
      <c r="D255" t="s">
        <v>6</v>
      </c>
      <c r="E255">
        <v>3</v>
      </c>
      <c r="F255" t="str">
        <f t="shared" si="3"/>
        <v>Carbohydrate metabolism</v>
      </c>
    </row>
    <row r="256" spans="1:6" x14ac:dyDescent="0.45">
      <c r="A256" t="s">
        <v>53</v>
      </c>
      <c r="B256">
        <v>5</v>
      </c>
      <c r="C256">
        <v>-1</v>
      </c>
      <c r="D256" t="s">
        <v>6</v>
      </c>
      <c r="E256">
        <v>3</v>
      </c>
      <c r="F256" t="str">
        <f t="shared" si="3"/>
        <v>Amino acid metabolism</v>
      </c>
    </row>
    <row r="257" spans="1:6" x14ac:dyDescent="0.45">
      <c r="A257" t="s">
        <v>32</v>
      </c>
      <c r="B257">
        <v>5</v>
      </c>
      <c r="C257">
        <v>-1</v>
      </c>
      <c r="D257" t="s">
        <v>6</v>
      </c>
      <c r="E257">
        <v>3</v>
      </c>
      <c r="F257" t="str">
        <f t="shared" si="3"/>
        <v xml:space="preserve">Carbon metabolism </v>
      </c>
    </row>
    <row r="258" spans="1:6" x14ac:dyDescent="0.45">
      <c r="A258" t="s">
        <v>34</v>
      </c>
      <c r="B258">
        <v>5</v>
      </c>
      <c r="C258">
        <v>-1</v>
      </c>
      <c r="D258" t="s">
        <v>6</v>
      </c>
      <c r="E258">
        <v>3</v>
      </c>
      <c r="F258" t="str">
        <f t="shared" si="3"/>
        <v>Amino acid metabolism</v>
      </c>
    </row>
    <row r="259" spans="1:6" x14ac:dyDescent="0.45">
      <c r="A259" t="s">
        <v>36</v>
      </c>
      <c r="B259">
        <v>5</v>
      </c>
      <c r="C259">
        <v>-1</v>
      </c>
      <c r="D259" t="s">
        <v>6</v>
      </c>
      <c r="E259">
        <v>3</v>
      </c>
      <c r="F259" t="str">
        <f t="shared" si="3"/>
        <v>Phenylpropanoid metabolism</v>
      </c>
    </row>
    <row r="260" spans="1:6" x14ac:dyDescent="0.45">
      <c r="A260" t="s">
        <v>17</v>
      </c>
      <c r="B260">
        <v>5</v>
      </c>
      <c r="C260">
        <v>-1</v>
      </c>
      <c r="D260" t="s">
        <v>6</v>
      </c>
      <c r="E260">
        <v>2</v>
      </c>
      <c r="F260" t="str">
        <f t="shared" ref="F260:F323" si="4">_xlfn.XLOOKUP(A260,$H$2:$H$200,$I$2:$I$200)</f>
        <v>Amino acid metabolism</v>
      </c>
    </row>
    <row r="261" spans="1:6" x14ac:dyDescent="0.45">
      <c r="A261" t="s">
        <v>23</v>
      </c>
      <c r="B261">
        <v>5</v>
      </c>
      <c r="C261">
        <v>-1</v>
      </c>
      <c r="D261" t="s">
        <v>6</v>
      </c>
      <c r="E261">
        <v>2</v>
      </c>
      <c r="F261" t="str">
        <f t="shared" si="4"/>
        <v>Carbon metabolism</v>
      </c>
    </row>
    <row r="262" spans="1:6" x14ac:dyDescent="0.45">
      <c r="A262" t="s">
        <v>93</v>
      </c>
      <c r="B262">
        <v>5</v>
      </c>
      <c r="C262">
        <v>-1</v>
      </c>
      <c r="D262" t="s">
        <v>6</v>
      </c>
      <c r="E262">
        <v>2</v>
      </c>
      <c r="F262" t="str">
        <f t="shared" si="4"/>
        <v>Signal transduction</v>
      </c>
    </row>
    <row r="263" spans="1:6" x14ac:dyDescent="0.45">
      <c r="A263" t="s">
        <v>49</v>
      </c>
      <c r="B263">
        <v>5</v>
      </c>
      <c r="C263">
        <v>-1</v>
      </c>
      <c r="D263" t="s">
        <v>6</v>
      </c>
      <c r="E263">
        <v>2</v>
      </c>
      <c r="F263" t="str">
        <f t="shared" si="4"/>
        <v>Phenylpropanoid metabolism</v>
      </c>
    </row>
    <row r="264" spans="1:6" x14ac:dyDescent="0.45">
      <c r="A264" t="s">
        <v>39</v>
      </c>
      <c r="B264">
        <v>5</v>
      </c>
      <c r="C264">
        <v>-1</v>
      </c>
      <c r="D264" t="s">
        <v>6</v>
      </c>
      <c r="E264">
        <v>2</v>
      </c>
      <c r="F264" t="str">
        <f t="shared" si="4"/>
        <v>Carbohydrate metabolism</v>
      </c>
    </row>
    <row r="265" spans="1:6" x14ac:dyDescent="0.45">
      <c r="A265" t="s">
        <v>20</v>
      </c>
      <c r="B265">
        <v>5</v>
      </c>
      <c r="C265">
        <v>-1</v>
      </c>
      <c r="D265" t="s">
        <v>6</v>
      </c>
      <c r="E265">
        <v>2</v>
      </c>
      <c r="F265" t="str">
        <f t="shared" si="4"/>
        <v>Carbohydrate metabolism</v>
      </c>
    </row>
    <row r="266" spans="1:6" x14ac:dyDescent="0.45">
      <c r="A266" t="s">
        <v>59</v>
      </c>
      <c r="B266">
        <v>5</v>
      </c>
      <c r="C266">
        <v>-1</v>
      </c>
      <c r="D266" t="s">
        <v>6</v>
      </c>
      <c r="E266">
        <v>2</v>
      </c>
      <c r="F266" t="str">
        <f t="shared" si="4"/>
        <v>Carbohydrate metabolism</v>
      </c>
    </row>
    <row r="267" spans="1:6" x14ac:dyDescent="0.45">
      <c r="A267" t="s">
        <v>35</v>
      </c>
      <c r="B267">
        <v>5</v>
      </c>
      <c r="C267">
        <v>-1</v>
      </c>
      <c r="D267" t="s">
        <v>6</v>
      </c>
      <c r="E267">
        <v>3</v>
      </c>
      <c r="F267" t="str">
        <f t="shared" si="4"/>
        <v>Membrane transport</v>
      </c>
    </row>
    <row r="268" spans="1:6" x14ac:dyDescent="0.45">
      <c r="A268" t="s">
        <v>66</v>
      </c>
      <c r="B268">
        <v>5</v>
      </c>
      <c r="C268">
        <v>-1</v>
      </c>
      <c r="D268" t="s">
        <v>6</v>
      </c>
      <c r="E268">
        <v>2</v>
      </c>
      <c r="F268" t="str">
        <f t="shared" si="4"/>
        <v>Carbohydrate metabolism</v>
      </c>
    </row>
    <row r="269" spans="1:6" x14ac:dyDescent="0.45">
      <c r="A269" t="s">
        <v>9</v>
      </c>
      <c r="B269">
        <v>5</v>
      </c>
      <c r="C269">
        <v>-1</v>
      </c>
      <c r="D269" t="s">
        <v>6</v>
      </c>
      <c r="E269">
        <v>2</v>
      </c>
      <c r="F269" t="str">
        <f t="shared" si="4"/>
        <v>Carbohydrate metabolism</v>
      </c>
    </row>
    <row r="270" spans="1:6" x14ac:dyDescent="0.45">
      <c r="A270" t="s">
        <v>12</v>
      </c>
      <c r="B270">
        <v>5</v>
      </c>
      <c r="C270">
        <v>-1</v>
      </c>
      <c r="D270" t="s">
        <v>6</v>
      </c>
      <c r="E270">
        <v>1</v>
      </c>
      <c r="F270" t="str">
        <f t="shared" si="4"/>
        <v>Carbohydrate metabolism</v>
      </c>
    </row>
    <row r="271" spans="1:6" x14ac:dyDescent="0.45">
      <c r="A271" t="s">
        <v>62</v>
      </c>
      <c r="B271">
        <v>5</v>
      </c>
      <c r="C271">
        <v>-1</v>
      </c>
      <c r="D271" t="s">
        <v>6</v>
      </c>
      <c r="E271">
        <v>2</v>
      </c>
      <c r="F271" t="str">
        <f t="shared" si="4"/>
        <v>Metabolism of cofactors and vitamins</v>
      </c>
    </row>
    <row r="272" spans="1:6" x14ac:dyDescent="0.45">
      <c r="A272" t="s">
        <v>76</v>
      </c>
      <c r="B272">
        <v>5</v>
      </c>
      <c r="C272">
        <v>-1</v>
      </c>
      <c r="D272" t="s">
        <v>6</v>
      </c>
      <c r="E272">
        <v>1</v>
      </c>
      <c r="F272" t="str">
        <f t="shared" si="4"/>
        <v>Biosynthesis of other secondary metabolites</v>
      </c>
    </row>
    <row r="273" spans="1:6" x14ac:dyDescent="0.45">
      <c r="A273" t="s">
        <v>82</v>
      </c>
      <c r="B273">
        <v>5</v>
      </c>
      <c r="C273">
        <v>-1</v>
      </c>
      <c r="D273" t="s">
        <v>6</v>
      </c>
      <c r="E273">
        <v>1</v>
      </c>
      <c r="F273" t="str">
        <f t="shared" si="4"/>
        <v>Amino acid metabolism</v>
      </c>
    </row>
    <row r="274" spans="1:6" x14ac:dyDescent="0.45">
      <c r="A274" t="s">
        <v>63</v>
      </c>
      <c r="B274">
        <v>5</v>
      </c>
      <c r="C274">
        <v>-1</v>
      </c>
      <c r="D274" t="s">
        <v>6</v>
      </c>
      <c r="E274">
        <v>1</v>
      </c>
      <c r="F274" t="str">
        <f t="shared" si="4"/>
        <v>Amino acid metabolism</v>
      </c>
    </row>
    <row r="275" spans="1:6" x14ac:dyDescent="0.45">
      <c r="A275" t="s">
        <v>44</v>
      </c>
      <c r="B275">
        <v>5</v>
      </c>
      <c r="C275">
        <v>-1</v>
      </c>
      <c r="D275" t="s">
        <v>6</v>
      </c>
      <c r="E275">
        <v>1</v>
      </c>
      <c r="F275" t="str">
        <f t="shared" si="4"/>
        <v>Amino acid metabolism</v>
      </c>
    </row>
    <row r="276" spans="1:6" x14ac:dyDescent="0.45">
      <c r="A276" t="s">
        <v>18</v>
      </c>
      <c r="B276">
        <v>5</v>
      </c>
      <c r="C276">
        <v>-1</v>
      </c>
      <c r="D276" t="s">
        <v>6</v>
      </c>
      <c r="E276">
        <v>1</v>
      </c>
      <c r="F276" t="str">
        <f t="shared" si="4"/>
        <v>Amino acid metabolism</v>
      </c>
    </row>
    <row r="277" spans="1:6" x14ac:dyDescent="0.45">
      <c r="A277" t="s">
        <v>77</v>
      </c>
      <c r="B277">
        <v>5</v>
      </c>
      <c r="C277">
        <v>-1</v>
      </c>
      <c r="D277" t="s">
        <v>6</v>
      </c>
      <c r="E277">
        <v>1</v>
      </c>
      <c r="F277" t="str">
        <f t="shared" si="4"/>
        <v>Amino acid metabolism</v>
      </c>
    </row>
    <row r="278" spans="1:6" x14ac:dyDescent="0.45">
      <c r="A278" t="s">
        <v>8</v>
      </c>
      <c r="B278">
        <v>5</v>
      </c>
      <c r="C278">
        <v>-1</v>
      </c>
      <c r="D278" t="s">
        <v>6</v>
      </c>
      <c r="E278">
        <v>1</v>
      </c>
      <c r="F278" t="str">
        <f t="shared" si="4"/>
        <v>Glycan biosynthesis and metabolism</v>
      </c>
    </row>
    <row r="279" spans="1:6" x14ac:dyDescent="0.45">
      <c r="A279" t="s">
        <v>78</v>
      </c>
      <c r="B279">
        <v>5</v>
      </c>
      <c r="C279">
        <v>-1</v>
      </c>
      <c r="D279" t="s">
        <v>6</v>
      </c>
      <c r="E279">
        <v>1</v>
      </c>
      <c r="F279" t="str">
        <f t="shared" si="4"/>
        <v>Lipid metabolism</v>
      </c>
    </row>
    <row r="280" spans="1:6" x14ac:dyDescent="0.45">
      <c r="A280" t="s">
        <v>24</v>
      </c>
      <c r="B280">
        <v>5</v>
      </c>
      <c r="C280">
        <v>-1</v>
      </c>
      <c r="D280" t="s">
        <v>6</v>
      </c>
      <c r="E280">
        <v>1</v>
      </c>
      <c r="F280" t="str">
        <f t="shared" si="4"/>
        <v>Metabolism of cofactors and vitamin</v>
      </c>
    </row>
    <row r="281" spans="1:6" x14ac:dyDescent="0.45">
      <c r="A281" t="s">
        <v>25</v>
      </c>
      <c r="B281">
        <v>5</v>
      </c>
      <c r="C281">
        <v>-1</v>
      </c>
      <c r="D281" t="s">
        <v>6</v>
      </c>
      <c r="E281">
        <v>1</v>
      </c>
      <c r="F281" t="str">
        <f t="shared" si="4"/>
        <v>Metabolism of cofactors and vitamins</v>
      </c>
    </row>
    <row r="282" spans="1:6" x14ac:dyDescent="0.45">
      <c r="A282" t="s">
        <v>26</v>
      </c>
      <c r="B282">
        <v>5</v>
      </c>
      <c r="C282">
        <v>-1</v>
      </c>
      <c r="D282" t="s">
        <v>6</v>
      </c>
      <c r="E282">
        <v>1</v>
      </c>
      <c r="F282" t="str">
        <f t="shared" si="4"/>
        <v>Metabolism of cofactors and vitamins</v>
      </c>
    </row>
    <row r="283" spans="1:6" x14ac:dyDescent="0.45">
      <c r="A283" t="s">
        <v>60</v>
      </c>
      <c r="B283">
        <v>5</v>
      </c>
      <c r="C283">
        <v>-1</v>
      </c>
      <c r="D283" t="s">
        <v>6</v>
      </c>
      <c r="E283">
        <v>1</v>
      </c>
      <c r="F283" t="str">
        <f t="shared" si="4"/>
        <v>Metabolism of cofactors and vitamins</v>
      </c>
    </row>
    <row r="284" spans="1:6" x14ac:dyDescent="0.45">
      <c r="A284" t="s">
        <v>28</v>
      </c>
      <c r="B284">
        <v>5</v>
      </c>
      <c r="C284">
        <v>-1</v>
      </c>
      <c r="D284" t="s">
        <v>6</v>
      </c>
      <c r="E284">
        <v>1</v>
      </c>
      <c r="F284" t="str">
        <f t="shared" si="4"/>
        <v>Metabolism of terpenoids and polyketides</v>
      </c>
    </row>
    <row r="285" spans="1:6" x14ac:dyDescent="0.45">
      <c r="A285" t="s">
        <v>13</v>
      </c>
      <c r="B285">
        <v>5</v>
      </c>
      <c r="C285">
        <v>-1</v>
      </c>
      <c r="D285" t="s">
        <v>6</v>
      </c>
      <c r="E285">
        <v>1</v>
      </c>
      <c r="F285" t="str">
        <f t="shared" si="4"/>
        <v>Terpenoid metabolism</v>
      </c>
    </row>
    <row r="286" spans="1:6" x14ac:dyDescent="0.45">
      <c r="A286" t="s">
        <v>57</v>
      </c>
      <c r="B286">
        <v>5</v>
      </c>
      <c r="C286">
        <v>-1</v>
      </c>
      <c r="D286" t="s">
        <v>6</v>
      </c>
      <c r="E286">
        <v>1</v>
      </c>
      <c r="F286" t="str">
        <f t="shared" si="4"/>
        <v>Phenylpropanoid metabolism</v>
      </c>
    </row>
    <row r="287" spans="1:6" x14ac:dyDescent="0.45">
      <c r="A287" t="s">
        <v>74</v>
      </c>
      <c r="B287">
        <v>5</v>
      </c>
      <c r="C287">
        <v>-1</v>
      </c>
      <c r="D287" t="s">
        <v>6</v>
      </c>
      <c r="E287">
        <v>1</v>
      </c>
      <c r="F287" t="str">
        <f t="shared" si="4"/>
        <v>Phenylpropanoid metabolism</v>
      </c>
    </row>
    <row r="288" spans="1:6" x14ac:dyDescent="0.45">
      <c r="A288" t="s">
        <v>75</v>
      </c>
      <c r="B288">
        <v>5</v>
      </c>
      <c r="C288">
        <v>-1</v>
      </c>
      <c r="D288" t="s">
        <v>6</v>
      </c>
      <c r="E288">
        <v>1</v>
      </c>
      <c r="F288" t="str">
        <f t="shared" si="4"/>
        <v>Phenylpropanoid metabolism</v>
      </c>
    </row>
    <row r="289" spans="1:6" x14ac:dyDescent="0.45">
      <c r="A289" t="s">
        <v>33</v>
      </c>
      <c r="B289">
        <v>5</v>
      </c>
      <c r="C289">
        <v>-1</v>
      </c>
      <c r="D289" t="s">
        <v>6</v>
      </c>
      <c r="E289">
        <v>1</v>
      </c>
      <c r="F289" t="str">
        <f t="shared" si="4"/>
        <v>Amino acid metabolism</v>
      </c>
    </row>
    <row r="290" spans="1:6" x14ac:dyDescent="0.45">
      <c r="A290" t="s">
        <v>101</v>
      </c>
      <c r="B290">
        <v>5</v>
      </c>
      <c r="C290">
        <v>-1</v>
      </c>
      <c r="D290" t="s">
        <v>6</v>
      </c>
      <c r="E290">
        <v>1</v>
      </c>
      <c r="F290" t="str">
        <f t="shared" si="4"/>
        <v>Phenylpropanoid metabolism</v>
      </c>
    </row>
    <row r="291" spans="1:6" x14ac:dyDescent="0.45">
      <c r="A291" t="s">
        <v>102</v>
      </c>
      <c r="B291">
        <v>5</v>
      </c>
      <c r="C291">
        <v>-1</v>
      </c>
      <c r="D291" t="s">
        <v>6</v>
      </c>
      <c r="E291">
        <v>3</v>
      </c>
      <c r="F291" t="str">
        <f t="shared" si="4"/>
        <v>Lignans</v>
      </c>
    </row>
    <row r="292" spans="1:6" x14ac:dyDescent="0.45">
      <c r="A292" t="s">
        <v>98</v>
      </c>
      <c r="B292">
        <v>5</v>
      </c>
      <c r="C292">
        <v>-1</v>
      </c>
      <c r="D292" t="s">
        <v>6</v>
      </c>
      <c r="E292">
        <v>3</v>
      </c>
      <c r="F292">
        <f t="shared" si="4"/>
        <v>0</v>
      </c>
    </row>
    <row r="293" spans="1:6" x14ac:dyDescent="0.45">
      <c r="A293" t="s">
        <v>37</v>
      </c>
      <c r="B293">
        <v>5</v>
      </c>
      <c r="C293">
        <v>-1</v>
      </c>
      <c r="D293" t="s">
        <v>6</v>
      </c>
      <c r="E293">
        <v>1</v>
      </c>
      <c r="F293" t="str">
        <f t="shared" si="4"/>
        <v>Primary metabolism</v>
      </c>
    </row>
    <row r="294" spans="1:6" x14ac:dyDescent="0.45">
      <c r="A294" t="s">
        <v>65</v>
      </c>
      <c r="B294">
        <v>5</v>
      </c>
      <c r="C294">
        <v>-1</v>
      </c>
      <c r="D294" t="s">
        <v>6</v>
      </c>
      <c r="E294">
        <v>1</v>
      </c>
      <c r="F294" t="str">
        <f t="shared" si="4"/>
        <v>Secondary metabolism</v>
      </c>
    </row>
    <row r="295" spans="1:6" x14ac:dyDescent="0.45">
      <c r="A295" t="s">
        <v>46</v>
      </c>
      <c r="B295">
        <v>6</v>
      </c>
      <c r="C295">
        <v>1</v>
      </c>
      <c r="D295" t="s">
        <v>6</v>
      </c>
      <c r="E295">
        <v>12</v>
      </c>
      <c r="F295" t="str">
        <f t="shared" si="4"/>
        <v>Lipid metabolism</v>
      </c>
    </row>
    <row r="296" spans="1:6" x14ac:dyDescent="0.45">
      <c r="A296" t="s">
        <v>38</v>
      </c>
      <c r="B296">
        <v>6</v>
      </c>
      <c r="C296">
        <v>1</v>
      </c>
      <c r="D296" t="s">
        <v>6</v>
      </c>
      <c r="E296">
        <v>14</v>
      </c>
      <c r="F296" t="str">
        <f t="shared" si="4"/>
        <v>Degradation of aromatic compounds</v>
      </c>
    </row>
    <row r="297" spans="1:6" x14ac:dyDescent="0.45">
      <c r="A297" t="s">
        <v>32</v>
      </c>
      <c r="B297">
        <v>6</v>
      </c>
      <c r="C297">
        <v>1</v>
      </c>
      <c r="D297" t="s">
        <v>6</v>
      </c>
      <c r="E297">
        <v>10</v>
      </c>
      <c r="F297" t="str">
        <f t="shared" si="4"/>
        <v xml:space="preserve">Carbon metabolism </v>
      </c>
    </row>
    <row r="298" spans="1:6" x14ac:dyDescent="0.45">
      <c r="A298" t="s">
        <v>50</v>
      </c>
      <c r="B298">
        <v>6</v>
      </c>
      <c r="C298">
        <v>1</v>
      </c>
      <c r="D298" t="s">
        <v>6</v>
      </c>
      <c r="E298">
        <v>12</v>
      </c>
      <c r="F298" t="str">
        <f t="shared" si="4"/>
        <v>Lipid metabolism</v>
      </c>
    </row>
    <row r="299" spans="1:6" x14ac:dyDescent="0.45">
      <c r="A299" t="s">
        <v>30</v>
      </c>
      <c r="B299">
        <v>6</v>
      </c>
      <c r="C299">
        <v>1</v>
      </c>
      <c r="D299" t="s">
        <v>6</v>
      </c>
      <c r="E299">
        <v>8</v>
      </c>
      <c r="F299" t="str">
        <f t="shared" si="4"/>
        <v>Phenylpropanoid biosynthesis</v>
      </c>
    </row>
    <row r="300" spans="1:6" x14ac:dyDescent="0.45">
      <c r="A300" t="s">
        <v>16</v>
      </c>
      <c r="B300">
        <v>6</v>
      </c>
      <c r="C300">
        <v>1</v>
      </c>
      <c r="D300" t="s">
        <v>6</v>
      </c>
      <c r="E300">
        <v>7</v>
      </c>
      <c r="F300" t="str">
        <f t="shared" si="4"/>
        <v>Carbohydrate metabolism</v>
      </c>
    </row>
    <row r="301" spans="1:6" x14ac:dyDescent="0.45">
      <c r="A301" t="s">
        <v>12</v>
      </c>
      <c r="B301">
        <v>6</v>
      </c>
      <c r="C301">
        <v>1</v>
      </c>
      <c r="D301" t="s">
        <v>6</v>
      </c>
      <c r="E301">
        <v>6</v>
      </c>
      <c r="F301" t="str">
        <f t="shared" si="4"/>
        <v>Carbohydrate metabolism</v>
      </c>
    </row>
    <row r="302" spans="1:6" x14ac:dyDescent="0.45">
      <c r="A302" t="s">
        <v>26</v>
      </c>
      <c r="B302">
        <v>6</v>
      </c>
      <c r="C302">
        <v>1</v>
      </c>
      <c r="D302" t="s">
        <v>6</v>
      </c>
      <c r="E302">
        <v>8</v>
      </c>
      <c r="F302" t="str">
        <f t="shared" si="4"/>
        <v>Metabolism of cofactors and vitamins</v>
      </c>
    </row>
    <row r="303" spans="1:6" x14ac:dyDescent="0.45">
      <c r="A303" t="s">
        <v>33</v>
      </c>
      <c r="B303">
        <v>6</v>
      </c>
      <c r="C303">
        <v>1</v>
      </c>
      <c r="D303" t="s">
        <v>6</v>
      </c>
      <c r="E303">
        <v>6</v>
      </c>
      <c r="F303" t="str">
        <f t="shared" si="4"/>
        <v>Amino acid metabolism</v>
      </c>
    </row>
    <row r="304" spans="1:6" x14ac:dyDescent="0.45">
      <c r="A304" t="s">
        <v>37</v>
      </c>
      <c r="B304">
        <v>6</v>
      </c>
      <c r="C304">
        <v>1</v>
      </c>
      <c r="D304" t="s">
        <v>6</v>
      </c>
      <c r="E304">
        <v>9</v>
      </c>
      <c r="F304" t="str">
        <f t="shared" si="4"/>
        <v>Primary metabolism</v>
      </c>
    </row>
    <row r="305" spans="1:6" x14ac:dyDescent="0.45">
      <c r="A305" t="s">
        <v>39</v>
      </c>
      <c r="B305">
        <v>6</v>
      </c>
      <c r="C305">
        <v>1</v>
      </c>
      <c r="D305" t="s">
        <v>6</v>
      </c>
      <c r="E305">
        <v>6</v>
      </c>
      <c r="F305" t="str">
        <f t="shared" si="4"/>
        <v>Carbohydrate metabolism</v>
      </c>
    </row>
    <row r="306" spans="1:6" x14ac:dyDescent="0.45">
      <c r="A306" t="s">
        <v>11</v>
      </c>
      <c r="B306">
        <v>6</v>
      </c>
      <c r="C306">
        <v>1</v>
      </c>
      <c r="D306" t="s">
        <v>6</v>
      </c>
      <c r="E306">
        <v>5</v>
      </c>
      <c r="F306" t="str">
        <f t="shared" si="4"/>
        <v>Carbohydrate metabolism</v>
      </c>
    </row>
    <row r="307" spans="1:6" x14ac:dyDescent="0.45">
      <c r="A307" t="s">
        <v>61</v>
      </c>
      <c r="B307">
        <v>6</v>
      </c>
      <c r="C307">
        <v>1</v>
      </c>
      <c r="D307" t="s">
        <v>6</v>
      </c>
      <c r="E307">
        <v>7</v>
      </c>
      <c r="F307" t="str">
        <f t="shared" si="4"/>
        <v>Lipid metabolism</v>
      </c>
    </row>
    <row r="308" spans="1:6" x14ac:dyDescent="0.45">
      <c r="A308" t="s">
        <v>40</v>
      </c>
      <c r="B308">
        <v>6</v>
      </c>
      <c r="C308">
        <v>1</v>
      </c>
      <c r="D308" t="s">
        <v>6</v>
      </c>
      <c r="E308">
        <v>11</v>
      </c>
      <c r="F308" t="str">
        <f t="shared" si="4"/>
        <v>Lipid metabolism</v>
      </c>
    </row>
    <row r="309" spans="1:6" x14ac:dyDescent="0.45">
      <c r="A309" t="s">
        <v>7</v>
      </c>
      <c r="B309">
        <v>6</v>
      </c>
      <c r="C309">
        <v>1</v>
      </c>
      <c r="D309" t="s">
        <v>6</v>
      </c>
      <c r="E309">
        <v>4</v>
      </c>
      <c r="F309" t="str">
        <f t="shared" si="4"/>
        <v>Nucleotide metabolism</v>
      </c>
    </row>
    <row r="310" spans="1:6" x14ac:dyDescent="0.45">
      <c r="A310" t="s">
        <v>63</v>
      </c>
      <c r="B310">
        <v>6</v>
      </c>
      <c r="C310">
        <v>1</v>
      </c>
      <c r="D310" t="s">
        <v>6</v>
      </c>
      <c r="E310">
        <v>5</v>
      </c>
      <c r="F310" t="str">
        <f t="shared" si="4"/>
        <v>Amino acid metabolism</v>
      </c>
    </row>
    <row r="311" spans="1:6" x14ac:dyDescent="0.45">
      <c r="A311" t="s">
        <v>17</v>
      </c>
      <c r="B311">
        <v>6</v>
      </c>
      <c r="C311">
        <v>1</v>
      </c>
      <c r="D311" t="s">
        <v>6</v>
      </c>
      <c r="E311">
        <v>5</v>
      </c>
      <c r="F311" t="str">
        <f t="shared" si="4"/>
        <v>Amino acid metabolism</v>
      </c>
    </row>
    <row r="312" spans="1:6" x14ac:dyDescent="0.45">
      <c r="A312" t="s">
        <v>18</v>
      </c>
      <c r="B312">
        <v>6</v>
      </c>
      <c r="C312">
        <v>1</v>
      </c>
      <c r="D312" t="s">
        <v>6</v>
      </c>
      <c r="E312">
        <v>5</v>
      </c>
      <c r="F312" t="str">
        <f t="shared" si="4"/>
        <v>Amino acid metabolism</v>
      </c>
    </row>
    <row r="313" spans="1:6" x14ac:dyDescent="0.45">
      <c r="A313" t="s">
        <v>59</v>
      </c>
      <c r="B313">
        <v>6</v>
      </c>
      <c r="C313">
        <v>1</v>
      </c>
      <c r="D313" t="s">
        <v>6</v>
      </c>
      <c r="E313">
        <v>5</v>
      </c>
      <c r="F313" t="str">
        <f t="shared" si="4"/>
        <v>Carbohydrate metabolism</v>
      </c>
    </row>
    <row r="314" spans="1:6" x14ac:dyDescent="0.45">
      <c r="A314" t="s">
        <v>48</v>
      </c>
      <c r="B314">
        <v>6</v>
      </c>
      <c r="C314">
        <v>1</v>
      </c>
      <c r="D314" t="s">
        <v>6</v>
      </c>
      <c r="E314">
        <v>5</v>
      </c>
      <c r="F314" t="str">
        <f t="shared" si="4"/>
        <v>Carbohydrate metabolism</v>
      </c>
    </row>
    <row r="315" spans="1:6" x14ac:dyDescent="0.45">
      <c r="A315" t="s">
        <v>51</v>
      </c>
      <c r="B315">
        <v>6</v>
      </c>
      <c r="C315">
        <v>1</v>
      </c>
      <c r="D315" t="s">
        <v>6</v>
      </c>
      <c r="E315">
        <v>4</v>
      </c>
      <c r="F315" t="str">
        <f t="shared" si="4"/>
        <v>Metabolism of terpenoids and polyketides</v>
      </c>
    </row>
    <row r="316" spans="1:6" x14ac:dyDescent="0.45">
      <c r="A316" t="s">
        <v>57</v>
      </c>
      <c r="B316">
        <v>6</v>
      </c>
      <c r="C316">
        <v>1</v>
      </c>
      <c r="D316" t="s">
        <v>6</v>
      </c>
      <c r="E316">
        <v>6</v>
      </c>
      <c r="F316" t="str">
        <f t="shared" si="4"/>
        <v>Phenylpropanoid metabolism</v>
      </c>
    </row>
    <row r="317" spans="1:6" x14ac:dyDescent="0.45">
      <c r="A317" t="s">
        <v>74</v>
      </c>
      <c r="B317">
        <v>6</v>
      </c>
      <c r="C317">
        <v>1</v>
      </c>
      <c r="D317" t="s">
        <v>6</v>
      </c>
      <c r="E317">
        <v>4</v>
      </c>
      <c r="F317" t="str">
        <f t="shared" si="4"/>
        <v>Phenylpropanoid metabolism</v>
      </c>
    </row>
    <row r="318" spans="1:6" x14ac:dyDescent="0.45">
      <c r="A318" t="s">
        <v>75</v>
      </c>
      <c r="B318">
        <v>6</v>
      </c>
      <c r="C318">
        <v>1</v>
      </c>
      <c r="D318" t="s">
        <v>6</v>
      </c>
      <c r="E318">
        <v>4</v>
      </c>
      <c r="F318" t="str">
        <f t="shared" si="4"/>
        <v>Phenylpropanoid metabolism</v>
      </c>
    </row>
    <row r="319" spans="1:6" x14ac:dyDescent="0.45">
      <c r="A319" t="s">
        <v>56</v>
      </c>
      <c r="B319">
        <v>6</v>
      </c>
      <c r="C319">
        <v>1</v>
      </c>
      <c r="D319" t="s">
        <v>6</v>
      </c>
      <c r="E319">
        <v>9</v>
      </c>
      <c r="F319" t="str">
        <f t="shared" si="4"/>
        <v>Lipid metabolism</v>
      </c>
    </row>
    <row r="320" spans="1:6" x14ac:dyDescent="0.45">
      <c r="A320" t="s">
        <v>34</v>
      </c>
      <c r="B320">
        <v>6</v>
      </c>
      <c r="C320">
        <v>1</v>
      </c>
      <c r="D320" t="s">
        <v>6</v>
      </c>
      <c r="E320">
        <v>6</v>
      </c>
      <c r="F320" t="str">
        <f t="shared" si="4"/>
        <v>Amino acid metabolism</v>
      </c>
    </row>
    <row r="321" spans="1:6" x14ac:dyDescent="0.45">
      <c r="A321" t="s">
        <v>49</v>
      </c>
      <c r="B321">
        <v>6</v>
      </c>
      <c r="C321">
        <v>1</v>
      </c>
      <c r="D321" t="s">
        <v>6</v>
      </c>
      <c r="E321">
        <v>5</v>
      </c>
      <c r="F321" t="str">
        <f t="shared" si="4"/>
        <v>Phenylpropanoid metabolism</v>
      </c>
    </row>
    <row r="322" spans="1:6" x14ac:dyDescent="0.45">
      <c r="A322" t="s">
        <v>28</v>
      </c>
      <c r="B322">
        <v>6</v>
      </c>
      <c r="C322">
        <v>1</v>
      </c>
      <c r="D322" t="s">
        <v>6</v>
      </c>
      <c r="E322">
        <v>4</v>
      </c>
      <c r="F322" t="str">
        <f t="shared" si="4"/>
        <v>Metabolism of terpenoids and polyketides</v>
      </c>
    </row>
    <row r="323" spans="1:6" x14ac:dyDescent="0.45">
      <c r="A323" t="s">
        <v>15</v>
      </c>
      <c r="B323">
        <v>6</v>
      </c>
      <c r="C323">
        <v>1</v>
      </c>
      <c r="D323" t="s">
        <v>6</v>
      </c>
      <c r="E323">
        <v>4</v>
      </c>
      <c r="F323" t="str">
        <f t="shared" si="4"/>
        <v>Carbon metabolism</v>
      </c>
    </row>
    <row r="324" spans="1:6" x14ac:dyDescent="0.45">
      <c r="A324" t="s">
        <v>66</v>
      </c>
      <c r="B324">
        <v>6</v>
      </c>
      <c r="C324">
        <v>1</v>
      </c>
      <c r="D324" t="s">
        <v>6</v>
      </c>
      <c r="E324">
        <v>3</v>
      </c>
      <c r="F324" t="str">
        <f t="shared" ref="F324:F387" si="5">_xlfn.XLOOKUP(A324,$H$2:$H$200,$I$2:$I$200)</f>
        <v>Carbohydrate metabolism</v>
      </c>
    </row>
    <row r="325" spans="1:6" x14ac:dyDescent="0.45">
      <c r="A325" t="s">
        <v>9</v>
      </c>
      <c r="B325">
        <v>6</v>
      </c>
      <c r="C325">
        <v>1</v>
      </c>
      <c r="D325" t="s">
        <v>6</v>
      </c>
      <c r="E325">
        <v>4</v>
      </c>
      <c r="F325" t="str">
        <f t="shared" si="5"/>
        <v>Carbohydrate metabolism</v>
      </c>
    </row>
    <row r="326" spans="1:6" x14ac:dyDescent="0.45">
      <c r="A326" t="s">
        <v>62</v>
      </c>
      <c r="B326">
        <v>6</v>
      </c>
      <c r="C326">
        <v>1</v>
      </c>
      <c r="D326" t="s">
        <v>6</v>
      </c>
      <c r="E326">
        <v>3</v>
      </c>
      <c r="F326" t="str">
        <f t="shared" si="5"/>
        <v>Metabolism of cofactors and vitamins</v>
      </c>
    </row>
    <row r="327" spans="1:6" x14ac:dyDescent="0.45">
      <c r="A327" t="s">
        <v>42</v>
      </c>
      <c r="B327">
        <v>6</v>
      </c>
      <c r="C327">
        <v>1</v>
      </c>
      <c r="D327" t="s">
        <v>6</v>
      </c>
      <c r="E327">
        <v>4</v>
      </c>
      <c r="F327" t="str">
        <f t="shared" si="5"/>
        <v>Amino acid metabolism</v>
      </c>
    </row>
    <row r="328" spans="1:6" x14ac:dyDescent="0.45">
      <c r="A328" t="s">
        <v>83</v>
      </c>
      <c r="B328">
        <v>6</v>
      </c>
      <c r="C328">
        <v>1</v>
      </c>
      <c r="D328" t="s">
        <v>6</v>
      </c>
      <c r="E328">
        <v>4</v>
      </c>
      <c r="F328" t="str">
        <f t="shared" si="5"/>
        <v>Carbohydrate metabolism</v>
      </c>
    </row>
    <row r="329" spans="1:6" x14ac:dyDescent="0.45">
      <c r="A329" t="s">
        <v>22</v>
      </c>
      <c r="B329">
        <v>6</v>
      </c>
      <c r="C329">
        <v>1</v>
      </c>
      <c r="D329" t="s">
        <v>6</v>
      </c>
      <c r="E329">
        <v>5</v>
      </c>
      <c r="F329" t="str">
        <f t="shared" si="5"/>
        <v>Carbohydrate metabolism</v>
      </c>
    </row>
    <row r="330" spans="1:6" x14ac:dyDescent="0.45">
      <c r="A330" t="s">
        <v>23</v>
      </c>
      <c r="B330">
        <v>6</v>
      </c>
      <c r="C330">
        <v>1</v>
      </c>
      <c r="D330" t="s">
        <v>6</v>
      </c>
      <c r="E330">
        <v>5</v>
      </c>
      <c r="F330" t="str">
        <f t="shared" si="5"/>
        <v>Carbon metabolism</v>
      </c>
    </row>
    <row r="331" spans="1:6" x14ac:dyDescent="0.45">
      <c r="A331" t="s">
        <v>25</v>
      </c>
      <c r="B331">
        <v>6</v>
      </c>
      <c r="C331">
        <v>1</v>
      </c>
      <c r="D331" t="s">
        <v>6</v>
      </c>
      <c r="E331">
        <v>4</v>
      </c>
      <c r="F331" t="str">
        <f t="shared" si="5"/>
        <v>Metabolism of cofactors and vitamins</v>
      </c>
    </row>
    <row r="332" spans="1:6" x14ac:dyDescent="0.45">
      <c r="A332" t="s">
        <v>84</v>
      </c>
      <c r="B332">
        <v>6</v>
      </c>
      <c r="C332">
        <v>1</v>
      </c>
      <c r="D332" t="s">
        <v>6</v>
      </c>
      <c r="E332">
        <v>5</v>
      </c>
      <c r="F332" t="str">
        <f t="shared" si="5"/>
        <v>Stilbenoid; diarylheptanoid and gingerol biosynthesis</v>
      </c>
    </row>
    <row r="333" spans="1:6" x14ac:dyDescent="0.45">
      <c r="A333" t="s">
        <v>14</v>
      </c>
      <c r="B333">
        <v>6</v>
      </c>
      <c r="C333">
        <v>1</v>
      </c>
      <c r="D333" t="s">
        <v>6</v>
      </c>
      <c r="E333">
        <v>4</v>
      </c>
      <c r="F333" t="str">
        <f t="shared" si="5"/>
        <v>Alkaloid metabolism</v>
      </c>
    </row>
    <row r="334" spans="1:6" x14ac:dyDescent="0.45">
      <c r="A334" t="s">
        <v>10</v>
      </c>
      <c r="B334">
        <v>6</v>
      </c>
      <c r="C334">
        <v>1</v>
      </c>
      <c r="D334" t="s">
        <v>6</v>
      </c>
      <c r="E334">
        <v>3</v>
      </c>
      <c r="F334" t="str">
        <f t="shared" si="5"/>
        <v>Nucleotide metabolism</v>
      </c>
    </row>
    <row r="335" spans="1:6" x14ac:dyDescent="0.45">
      <c r="A335" t="s">
        <v>58</v>
      </c>
      <c r="B335">
        <v>6</v>
      </c>
      <c r="C335">
        <v>1</v>
      </c>
      <c r="D335" t="s">
        <v>6</v>
      </c>
      <c r="E335">
        <v>3</v>
      </c>
      <c r="F335" t="str">
        <f t="shared" si="5"/>
        <v>Amino acid metabolism</v>
      </c>
    </row>
    <row r="336" spans="1:6" x14ac:dyDescent="0.45">
      <c r="A336" t="s">
        <v>54</v>
      </c>
      <c r="B336">
        <v>6</v>
      </c>
      <c r="C336">
        <v>1</v>
      </c>
      <c r="D336" t="s">
        <v>6</v>
      </c>
      <c r="E336">
        <v>3</v>
      </c>
      <c r="F336" t="str">
        <f t="shared" si="5"/>
        <v>Amino acid metabolism</v>
      </c>
    </row>
    <row r="337" spans="1:6" x14ac:dyDescent="0.45">
      <c r="A337" t="s">
        <v>82</v>
      </c>
      <c r="B337">
        <v>6</v>
      </c>
      <c r="C337">
        <v>1</v>
      </c>
      <c r="D337" t="s">
        <v>6</v>
      </c>
      <c r="E337">
        <v>3</v>
      </c>
      <c r="F337" t="str">
        <f t="shared" si="5"/>
        <v>Amino acid metabolism</v>
      </c>
    </row>
    <row r="338" spans="1:6" x14ac:dyDescent="0.45">
      <c r="A338" t="s">
        <v>53</v>
      </c>
      <c r="B338">
        <v>6</v>
      </c>
      <c r="C338">
        <v>1</v>
      </c>
      <c r="D338" t="s">
        <v>6</v>
      </c>
      <c r="E338">
        <v>3</v>
      </c>
      <c r="F338" t="str">
        <f t="shared" si="5"/>
        <v>Amino acid metabolism</v>
      </c>
    </row>
    <row r="339" spans="1:6" x14ac:dyDescent="0.45">
      <c r="A339" t="s">
        <v>68</v>
      </c>
      <c r="B339">
        <v>6</v>
      </c>
      <c r="C339">
        <v>1</v>
      </c>
      <c r="D339" t="s">
        <v>6</v>
      </c>
      <c r="E339">
        <v>3</v>
      </c>
      <c r="F339" t="str">
        <f t="shared" si="5"/>
        <v>Amino acid metabolism</v>
      </c>
    </row>
    <row r="340" spans="1:6" x14ac:dyDescent="0.45">
      <c r="A340" t="s">
        <v>45</v>
      </c>
      <c r="B340">
        <v>6</v>
      </c>
      <c r="C340">
        <v>1</v>
      </c>
      <c r="D340" t="s">
        <v>6</v>
      </c>
      <c r="E340">
        <v>3</v>
      </c>
      <c r="F340" t="str">
        <f t="shared" si="5"/>
        <v>Amino acid metabolism</v>
      </c>
    </row>
    <row r="341" spans="1:6" x14ac:dyDescent="0.45">
      <c r="A341" t="s">
        <v>69</v>
      </c>
      <c r="B341">
        <v>6</v>
      </c>
      <c r="C341">
        <v>1</v>
      </c>
      <c r="D341" t="s">
        <v>6</v>
      </c>
      <c r="E341">
        <v>2</v>
      </c>
      <c r="F341" t="str">
        <f t="shared" si="5"/>
        <v>Amino acid metabolism</v>
      </c>
    </row>
    <row r="342" spans="1:6" x14ac:dyDescent="0.45">
      <c r="A342" t="s">
        <v>67</v>
      </c>
      <c r="B342">
        <v>6</v>
      </c>
      <c r="C342">
        <v>1</v>
      </c>
      <c r="D342" t="s">
        <v>6</v>
      </c>
      <c r="E342">
        <v>3</v>
      </c>
      <c r="F342" t="str">
        <f t="shared" si="5"/>
        <v>Carbohydrate metabolism</v>
      </c>
    </row>
    <row r="343" spans="1:6" x14ac:dyDescent="0.45">
      <c r="A343" t="s">
        <v>47</v>
      </c>
      <c r="B343">
        <v>6</v>
      </c>
      <c r="C343">
        <v>1</v>
      </c>
      <c r="D343" t="s">
        <v>6</v>
      </c>
      <c r="E343">
        <v>3</v>
      </c>
      <c r="F343" t="str">
        <f t="shared" si="5"/>
        <v>Carbohydrate metabolism</v>
      </c>
    </row>
    <row r="344" spans="1:6" x14ac:dyDescent="0.45">
      <c r="A344" t="s">
        <v>60</v>
      </c>
      <c r="B344">
        <v>6</v>
      </c>
      <c r="C344">
        <v>1</v>
      </c>
      <c r="D344" t="s">
        <v>6</v>
      </c>
      <c r="E344">
        <v>3</v>
      </c>
      <c r="F344" t="str">
        <f t="shared" si="5"/>
        <v>Metabolism of cofactors and vitamins</v>
      </c>
    </row>
    <row r="345" spans="1:6" x14ac:dyDescent="0.45">
      <c r="A345" t="s">
        <v>55</v>
      </c>
      <c r="B345">
        <v>6</v>
      </c>
      <c r="C345">
        <v>1</v>
      </c>
      <c r="D345" t="s">
        <v>6</v>
      </c>
      <c r="E345">
        <v>2</v>
      </c>
      <c r="F345" t="str">
        <f t="shared" si="5"/>
        <v>Alkaloid metabolism</v>
      </c>
    </row>
    <row r="346" spans="1:6" x14ac:dyDescent="0.45">
      <c r="A346" t="s">
        <v>31</v>
      </c>
      <c r="B346">
        <v>6</v>
      </c>
      <c r="C346">
        <v>1</v>
      </c>
      <c r="D346" t="s">
        <v>6</v>
      </c>
      <c r="E346">
        <v>2</v>
      </c>
      <c r="F346" t="str">
        <f t="shared" si="5"/>
        <v>Glucosinolate biosynthesis</v>
      </c>
    </row>
    <row r="347" spans="1:6" x14ac:dyDescent="0.45">
      <c r="A347" t="s">
        <v>80</v>
      </c>
      <c r="B347">
        <v>6</v>
      </c>
      <c r="C347">
        <v>1</v>
      </c>
      <c r="D347" t="s">
        <v>6</v>
      </c>
      <c r="E347">
        <v>3</v>
      </c>
      <c r="F347" t="str">
        <f t="shared" si="5"/>
        <v>Signal transduction</v>
      </c>
    </row>
    <row r="348" spans="1:6" x14ac:dyDescent="0.45">
      <c r="A348" t="s">
        <v>52</v>
      </c>
      <c r="B348">
        <v>6</v>
      </c>
      <c r="C348">
        <v>1</v>
      </c>
      <c r="D348" t="s">
        <v>6</v>
      </c>
      <c r="E348">
        <v>3</v>
      </c>
      <c r="F348" t="str">
        <f t="shared" si="5"/>
        <v>Alkaloid metabolism</v>
      </c>
    </row>
    <row r="349" spans="1:6" x14ac:dyDescent="0.45">
      <c r="A349" t="s">
        <v>36</v>
      </c>
      <c r="B349">
        <v>6</v>
      </c>
      <c r="C349">
        <v>1</v>
      </c>
      <c r="D349" t="s">
        <v>6</v>
      </c>
      <c r="E349">
        <v>3</v>
      </c>
      <c r="F349" t="str">
        <f t="shared" si="5"/>
        <v>Phenylpropanoid metabolism</v>
      </c>
    </row>
    <row r="350" spans="1:6" x14ac:dyDescent="0.45">
      <c r="A350" t="s">
        <v>44</v>
      </c>
      <c r="B350">
        <v>6</v>
      </c>
      <c r="C350">
        <v>1</v>
      </c>
      <c r="D350" t="s">
        <v>6</v>
      </c>
      <c r="E350">
        <v>4</v>
      </c>
      <c r="F350" t="str">
        <f t="shared" si="5"/>
        <v>Amino acid metabolism</v>
      </c>
    </row>
    <row r="351" spans="1:6" x14ac:dyDescent="0.45">
      <c r="A351" t="s">
        <v>93</v>
      </c>
      <c r="B351">
        <v>6</v>
      </c>
      <c r="C351">
        <v>1</v>
      </c>
      <c r="D351" t="s">
        <v>6</v>
      </c>
      <c r="E351">
        <v>2</v>
      </c>
      <c r="F351" t="str">
        <f t="shared" si="5"/>
        <v>Signal transduction</v>
      </c>
    </row>
    <row r="352" spans="1:6" x14ac:dyDescent="0.45">
      <c r="A352" t="s">
        <v>78</v>
      </c>
      <c r="B352">
        <v>6</v>
      </c>
      <c r="C352">
        <v>1</v>
      </c>
      <c r="D352" t="s">
        <v>6</v>
      </c>
      <c r="E352">
        <v>1</v>
      </c>
      <c r="F352" t="str">
        <f t="shared" si="5"/>
        <v>Lipid metabolism</v>
      </c>
    </row>
    <row r="353" spans="1:6" x14ac:dyDescent="0.45">
      <c r="A353" t="s">
        <v>85</v>
      </c>
      <c r="B353">
        <v>6</v>
      </c>
      <c r="C353">
        <v>1</v>
      </c>
      <c r="D353" t="s">
        <v>6</v>
      </c>
      <c r="E353">
        <v>4</v>
      </c>
      <c r="F353" t="str">
        <f t="shared" si="5"/>
        <v>Lipid metabolism</v>
      </c>
    </row>
    <row r="354" spans="1:6" x14ac:dyDescent="0.45">
      <c r="A354" t="s">
        <v>86</v>
      </c>
      <c r="B354">
        <v>6</v>
      </c>
      <c r="C354">
        <v>1</v>
      </c>
      <c r="D354" t="s">
        <v>6</v>
      </c>
      <c r="E354">
        <v>4</v>
      </c>
      <c r="F354" t="str">
        <f t="shared" si="5"/>
        <v>Lipid metabolism</v>
      </c>
    </row>
    <row r="355" spans="1:6" x14ac:dyDescent="0.45">
      <c r="A355" t="s">
        <v>41</v>
      </c>
      <c r="B355">
        <v>6</v>
      </c>
      <c r="C355">
        <v>1</v>
      </c>
      <c r="D355" t="s">
        <v>6</v>
      </c>
      <c r="E355">
        <v>1</v>
      </c>
      <c r="F355" t="str">
        <f t="shared" si="5"/>
        <v>Energy metabolism</v>
      </c>
    </row>
    <row r="356" spans="1:6" x14ac:dyDescent="0.45">
      <c r="A356" t="s">
        <v>76</v>
      </c>
      <c r="B356">
        <v>6</v>
      </c>
      <c r="C356">
        <v>1</v>
      </c>
      <c r="D356" t="s">
        <v>6</v>
      </c>
      <c r="E356">
        <v>1</v>
      </c>
      <c r="F356" t="str">
        <f t="shared" si="5"/>
        <v>Biosynthesis of other secondary metabolites</v>
      </c>
    </row>
    <row r="357" spans="1:6" x14ac:dyDescent="0.45">
      <c r="A357" t="s">
        <v>99</v>
      </c>
      <c r="B357">
        <v>6</v>
      </c>
      <c r="C357">
        <v>1</v>
      </c>
      <c r="D357" t="s">
        <v>6</v>
      </c>
      <c r="E357">
        <v>1</v>
      </c>
      <c r="F357" t="str">
        <f t="shared" si="5"/>
        <v>Amino acid metabolism</v>
      </c>
    </row>
    <row r="358" spans="1:6" x14ac:dyDescent="0.45">
      <c r="A358" t="s">
        <v>43</v>
      </c>
      <c r="B358">
        <v>6</v>
      </c>
      <c r="C358">
        <v>1</v>
      </c>
      <c r="D358" t="s">
        <v>6</v>
      </c>
      <c r="E358">
        <v>1</v>
      </c>
      <c r="F358" t="str">
        <f t="shared" si="5"/>
        <v>Amino acid metabolism</v>
      </c>
    </row>
    <row r="359" spans="1:6" x14ac:dyDescent="0.45">
      <c r="A359" t="s">
        <v>100</v>
      </c>
      <c r="B359">
        <v>6</v>
      </c>
      <c r="C359">
        <v>1</v>
      </c>
      <c r="D359" t="s">
        <v>6</v>
      </c>
      <c r="E359">
        <v>1</v>
      </c>
      <c r="F359" t="str">
        <f t="shared" si="5"/>
        <v>Amino acid metabolism</v>
      </c>
    </row>
    <row r="360" spans="1:6" x14ac:dyDescent="0.45">
      <c r="A360" t="s">
        <v>19</v>
      </c>
      <c r="B360">
        <v>6</v>
      </c>
      <c r="C360">
        <v>1</v>
      </c>
      <c r="D360" t="s">
        <v>6</v>
      </c>
      <c r="E360">
        <v>1</v>
      </c>
      <c r="F360" t="str">
        <f t="shared" si="5"/>
        <v>Amino acid metabolism</v>
      </c>
    </row>
    <row r="361" spans="1:6" x14ac:dyDescent="0.45">
      <c r="A361" t="s">
        <v>77</v>
      </c>
      <c r="B361">
        <v>6</v>
      </c>
      <c r="C361">
        <v>1</v>
      </c>
      <c r="D361" t="s">
        <v>6</v>
      </c>
      <c r="E361">
        <v>1</v>
      </c>
      <c r="F361" t="str">
        <f t="shared" si="5"/>
        <v>Amino acid metabolism</v>
      </c>
    </row>
    <row r="362" spans="1:6" x14ac:dyDescent="0.45">
      <c r="A362" t="s">
        <v>20</v>
      </c>
      <c r="B362">
        <v>6</v>
      </c>
      <c r="C362">
        <v>1</v>
      </c>
      <c r="D362" t="s">
        <v>6</v>
      </c>
      <c r="E362">
        <v>2</v>
      </c>
      <c r="F362" t="str">
        <f t="shared" si="5"/>
        <v>Carbohydrate metabolism</v>
      </c>
    </row>
    <row r="363" spans="1:6" x14ac:dyDescent="0.45">
      <c r="A363" t="s">
        <v>8</v>
      </c>
      <c r="B363">
        <v>6</v>
      </c>
      <c r="C363">
        <v>1</v>
      </c>
      <c r="D363" t="s">
        <v>6</v>
      </c>
      <c r="E363">
        <v>1</v>
      </c>
      <c r="F363" t="str">
        <f t="shared" si="5"/>
        <v>Glycan biosynthesis and metabolism</v>
      </c>
    </row>
    <row r="364" spans="1:6" x14ac:dyDescent="0.45">
      <c r="A364" t="s">
        <v>21</v>
      </c>
      <c r="B364">
        <v>6</v>
      </c>
      <c r="C364">
        <v>1</v>
      </c>
      <c r="D364" t="s">
        <v>6</v>
      </c>
      <c r="E364">
        <v>1</v>
      </c>
      <c r="F364" t="str">
        <f t="shared" si="5"/>
        <v>Lipid metabolism</v>
      </c>
    </row>
    <row r="365" spans="1:6" x14ac:dyDescent="0.45">
      <c r="A365" t="s">
        <v>89</v>
      </c>
      <c r="B365">
        <v>6</v>
      </c>
      <c r="C365">
        <v>1</v>
      </c>
      <c r="D365" t="s">
        <v>6</v>
      </c>
      <c r="E365">
        <v>2</v>
      </c>
      <c r="F365" t="str">
        <f t="shared" si="5"/>
        <v>Metabolism of cofactors and vitamins</v>
      </c>
    </row>
    <row r="366" spans="1:6" x14ac:dyDescent="0.45">
      <c r="A366" t="s">
        <v>24</v>
      </c>
      <c r="B366">
        <v>6</v>
      </c>
      <c r="C366">
        <v>1</v>
      </c>
      <c r="D366" t="s">
        <v>6</v>
      </c>
      <c r="E366">
        <v>2</v>
      </c>
      <c r="F366" t="str">
        <f t="shared" si="5"/>
        <v>Metabolism of cofactors and vitamin</v>
      </c>
    </row>
    <row r="367" spans="1:6" x14ac:dyDescent="0.45">
      <c r="A367" t="s">
        <v>27</v>
      </c>
      <c r="B367">
        <v>6</v>
      </c>
      <c r="C367">
        <v>1</v>
      </c>
      <c r="D367" t="s">
        <v>6</v>
      </c>
      <c r="E367">
        <v>1</v>
      </c>
      <c r="F367" t="str">
        <f t="shared" si="5"/>
        <v>Metabolism of cofactors and vitamins</v>
      </c>
    </row>
    <row r="368" spans="1:6" x14ac:dyDescent="0.45">
      <c r="A368" t="s">
        <v>90</v>
      </c>
      <c r="B368">
        <v>6</v>
      </c>
      <c r="C368">
        <v>1</v>
      </c>
      <c r="D368" t="s">
        <v>6</v>
      </c>
      <c r="E368">
        <v>1</v>
      </c>
      <c r="F368" t="str">
        <f t="shared" si="5"/>
        <v>Metabolism of cofactors and vitamins</v>
      </c>
    </row>
    <row r="369" spans="1:6" x14ac:dyDescent="0.45">
      <c r="A369" t="s">
        <v>64</v>
      </c>
      <c r="B369">
        <v>6</v>
      </c>
      <c r="C369">
        <v>1</v>
      </c>
      <c r="D369" t="s">
        <v>6</v>
      </c>
      <c r="E369">
        <v>1</v>
      </c>
      <c r="F369" t="str">
        <f t="shared" si="5"/>
        <v>Metabolism of cofactors and vitamins</v>
      </c>
    </row>
    <row r="370" spans="1:6" x14ac:dyDescent="0.45">
      <c r="A370" t="s">
        <v>70</v>
      </c>
      <c r="B370">
        <v>6</v>
      </c>
      <c r="C370">
        <v>1</v>
      </c>
      <c r="D370" t="s">
        <v>6</v>
      </c>
      <c r="E370">
        <v>2</v>
      </c>
      <c r="F370" t="str">
        <f t="shared" si="5"/>
        <v>Metabolism of terpenoids and polyketides</v>
      </c>
    </row>
    <row r="371" spans="1:6" x14ac:dyDescent="0.45">
      <c r="A371" t="s">
        <v>103</v>
      </c>
      <c r="B371">
        <v>6</v>
      </c>
      <c r="C371">
        <v>1</v>
      </c>
      <c r="D371" t="s">
        <v>6</v>
      </c>
      <c r="E371">
        <v>1</v>
      </c>
      <c r="F371" t="str">
        <f t="shared" si="5"/>
        <v>Metabolism of terpenoids and polyketides</v>
      </c>
    </row>
    <row r="372" spans="1:6" x14ac:dyDescent="0.45">
      <c r="A372" t="s">
        <v>13</v>
      </c>
      <c r="B372">
        <v>6</v>
      </c>
      <c r="C372">
        <v>1</v>
      </c>
      <c r="D372" t="s">
        <v>6</v>
      </c>
      <c r="E372">
        <v>3</v>
      </c>
      <c r="F372" t="str">
        <f t="shared" si="5"/>
        <v>Terpenoid metabolism</v>
      </c>
    </row>
    <row r="373" spans="1:6" x14ac:dyDescent="0.45">
      <c r="A373" t="s">
        <v>91</v>
      </c>
      <c r="B373">
        <v>6</v>
      </c>
      <c r="C373">
        <v>1</v>
      </c>
      <c r="D373" t="s">
        <v>6</v>
      </c>
      <c r="E373">
        <v>1</v>
      </c>
      <c r="F373" t="str">
        <f t="shared" si="5"/>
        <v>Genetic Information Processing</v>
      </c>
    </row>
    <row r="374" spans="1:6" x14ac:dyDescent="0.45">
      <c r="A374" t="s">
        <v>92</v>
      </c>
      <c r="B374">
        <v>6</v>
      </c>
      <c r="C374">
        <v>1</v>
      </c>
      <c r="D374" t="s">
        <v>6</v>
      </c>
      <c r="E374">
        <v>4</v>
      </c>
      <c r="F374" t="str">
        <f t="shared" si="5"/>
        <v>Fatty acid metabolism</v>
      </c>
    </row>
    <row r="375" spans="1:6" x14ac:dyDescent="0.45">
      <c r="A375" t="s">
        <v>35</v>
      </c>
      <c r="B375">
        <v>6</v>
      </c>
      <c r="C375">
        <v>1</v>
      </c>
      <c r="D375" t="s">
        <v>6</v>
      </c>
      <c r="E375">
        <v>1</v>
      </c>
      <c r="F375" t="str">
        <f t="shared" si="5"/>
        <v>Membrane transport</v>
      </c>
    </row>
    <row r="376" spans="1:6" x14ac:dyDescent="0.45">
      <c r="A376" t="s">
        <v>94</v>
      </c>
      <c r="B376">
        <v>6</v>
      </c>
      <c r="C376">
        <v>1</v>
      </c>
      <c r="D376" t="s">
        <v>6</v>
      </c>
      <c r="E376">
        <v>2</v>
      </c>
      <c r="F376" t="str">
        <f t="shared" si="5"/>
        <v>Plant-pathogen interaction</v>
      </c>
    </row>
    <row r="377" spans="1:6" x14ac:dyDescent="0.45">
      <c r="A377" t="s">
        <v>95</v>
      </c>
      <c r="B377">
        <v>6</v>
      </c>
      <c r="C377">
        <v>1</v>
      </c>
      <c r="D377" t="s">
        <v>6</v>
      </c>
      <c r="E377">
        <v>1</v>
      </c>
      <c r="F377" t="str">
        <f t="shared" si="5"/>
        <v>Amino acid metabolism</v>
      </c>
    </row>
    <row r="378" spans="1:6" x14ac:dyDescent="0.45">
      <c r="A378" t="s">
        <v>81</v>
      </c>
      <c r="B378">
        <v>6</v>
      </c>
      <c r="C378">
        <v>1</v>
      </c>
      <c r="D378" t="s">
        <v>6</v>
      </c>
      <c r="E378">
        <v>2</v>
      </c>
      <c r="F378" t="str">
        <f t="shared" si="5"/>
        <v>Amino acid metabolism</v>
      </c>
    </row>
    <row r="379" spans="1:6" x14ac:dyDescent="0.45">
      <c r="A379" t="s">
        <v>96</v>
      </c>
      <c r="B379">
        <v>6</v>
      </c>
      <c r="C379">
        <v>1</v>
      </c>
      <c r="D379" t="s">
        <v>6</v>
      </c>
      <c r="E379">
        <v>2</v>
      </c>
      <c r="F379" t="str">
        <f t="shared" si="5"/>
        <v>JA biosynthesis</v>
      </c>
    </row>
    <row r="380" spans="1:6" x14ac:dyDescent="0.45">
      <c r="A380" t="s">
        <v>38</v>
      </c>
      <c r="B380">
        <v>6</v>
      </c>
      <c r="C380">
        <v>-1</v>
      </c>
      <c r="D380" t="s">
        <v>6</v>
      </c>
      <c r="E380">
        <v>17</v>
      </c>
      <c r="F380" t="str">
        <f t="shared" si="5"/>
        <v>Degradation of aromatic compounds</v>
      </c>
    </row>
    <row r="381" spans="1:6" x14ac:dyDescent="0.45">
      <c r="A381" t="s">
        <v>33</v>
      </c>
      <c r="B381">
        <v>6</v>
      </c>
      <c r="C381">
        <v>-1</v>
      </c>
      <c r="D381" t="s">
        <v>6</v>
      </c>
      <c r="E381">
        <v>11</v>
      </c>
      <c r="F381" t="str">
        <f t="shared" si="5"/>
        <v>Amino acid metabolism</v>
      </c>
    </row>
    <row r="382" spans="1:6" x14ac:dyDescent="0.45">
      <c r="A382" t="s">
        <v>36</v>
      </c>
      <c r="B382">
        <v>6</v>
      </c>
      <c r="C382">
        <v>-1</v>
      </c>
      <c r="D382" t="s">
        <v>6</v>
      </c>
      <c r="E382">
        <v>10</v>
      </c>
      <c r="F382" t="str">
        <f t="shared" si="5"/>
        <v>Phenylpropanoid metabolism</v>
      </c>
    </row>
    <row r="383" spans="1:6" x14ac:dyDescent="0.45">
      <c r="A383" t="s">
        <v>18</v>
      </c>
      <c r="B383">
        <v>6</v>
      </c>
      <c r="C383">
        <v>-1</v>
      </c>
      <c r="D383" t="s">
        <v>6</v>
      </c>
      <c r="E383">
        <v>11</v>
      </c>
      <c r="F383" t="str">
        <f t="shared" si="5"/>
        <v>Amino acid metabolism</v>
      </c>
    </row>
    <row r="384" spans="1:6" x14ac:dyDescent="0.45">
      <c r="A384" t="s">
        <v>30</v>
      </c>
      <c r="B384">
        <v>6</v>
      </c>
      <c r="C384">
        <v>-1</v>
      </c>
      <c r="D384" t="s">
        <v>6</v>
      </c>
      <c r="E384">
        <v>8</v>
      </c>
      <c r="F384" t="str">
        <f t="shared" si="5"/>
        <v>Phenylpropanoid biosynthesis</v>
      </c>
    </row>
    <row r="385" spans="1:6" x14ac:dyDescent="0.45">
      <c r="A385" t="s">
        <v>34</v>
      </c>
      <c r="B385">
        <v>6</v>
      </c>
      <c r="C385">
        <v>-1</v>
      </c>
      <c r="D385" t="s">
        <v>6</v>
      </c>
      <c r="E385">
        <v>8</v>
      </c>
      <c r="F385" t="str">
        <f t="shared" si="5"/>
        <v>Amino acid metabolism</v>
      </c>
    </row>
    <row r="386" spans="1:6" x14ac:dyDescent="0.45">
      <c r="A386" t="s">
        <v>14</v>
      </c>
      <c r="B386">
        <v>6</v>
      </c>
      <c r="C386">
        <v>-1</v>
      </c>
      <c r="D386" t="s">
        <v>6</v>
      </c>
      <c r="E386">
        <v>8</v>
      </c>
      <c r="F386" t="str">
        <f t="shared" si="5"/>
        <v>Alkaloid metabolism</v>
      </c>
    </row>
    <row r="387" spans="1:6" x14ac:dyDescent="0.45">
      <c r="A387" t="s">
        <v>54</v>
      </c>
      <c r="B387">
        <v>6</v>
      </c>
      <c r="C387">
        <v>-1</v>
      </c>
      <c r="D387" t="s">
        <v>6</v>
      </c>
      <c r="E387">
        <v>7</v>
      </c>
      <c r="F387" t="str">
        <f t="shared" si="5"/>
        <v>Amino acid metabolism</v>
      </c>
    </row>
    <row r="388" spans="1:6" x14ac:dyDescent="0.45">
      <c r="A388" t="s">
        <v>35</v>
      </c>
      <c r="B388">
        <v>6</v>
      </c>
      <c r="C388">
        <v>-1</v>
      </c>
      <c r="D388" t="s">
        <v>6</v>
      </c>
      <c r="E388">
        <v>5</v>
      </c>
      <c r="F388" t="str">
        <f t="shared" ref="F388:F451" si="6">_xlfn.XLOOKUP(A388,$H$2:$H$200,$I$2:$I$200)</f>
        <v>Membrane transport</v>
      </c>
    </row>
    <row r="389" spans="1:6" x14ac:dyDescent="0.45">
      <c r="A389" t="s">
        <v>49</v>
      </c>
      <c r="B389">
        <v>6</v>
      </c>
      <c r="C389">
        <v>-1</v>
      </c>
      <c r="D389" t="s">
        <v>6</v>
      </c>
      <c r="E389">
        <v>6</v>
      </c>
      <c r="F389" t="str">
        <f t="shared" si="6"/>
        <v>Phenylpropanoid metabolism</v>
      </c>
    </row>
    <row r="390" spans="1:6" x14ac:dyDescent="0.45">
      <c r="A390" t="s">
        <v>12</v>
      </c>
      <c r="B390">
        <v>6</v>
      </c>
      <c r="C390">
        <v>-1</v>
      </c>
      <c r="D390" t="s">
        <v>6</v>
      </c>
      <c r="E390">
        <v>5</v>
      </c>
      <c r="F390" t="str">
        <f t="shared" si="6"/>
        <v>Carbohydrate metabolism</v>
      </c>
    </row>
    <row r="391" spans="1:6" x14ac:dyDescent="0.45">
      <c r="A391" t="s">
        <v>16</v>
      </c>
      <c r="B391">
        <v>6</v>
      </c>
      <c r="C391">
        <v>-1</v>
      </c>
      <c r="D391" t="s">
        <v>6</v>
      </c>
      <c r="E391">
        <v>4</v>
      </c>
      <c r="F391" t="str">
        <f t="shared" si="6"/>
        <v>Carbohydrate metabolism</v>
      </c>
    </row>
    <row r="392" spans="1:6" x14ac:dyDescent="0.45">
      <c r="A392" t="s">
        <v>7</v>
      </c>
      <c r="B392">
        <v>6</v>
      </c>
      <c r="C392">
        <v>-1</v>
      </c>
      <c r="D392" t="s">
        <v>6</v>
      </c>
      <c r="E392">
        <v>4</v>
      </c>
      <c r="F392" t="str">
        <f t="shared" si="6"/>
        <v>Nucleotide metabolism</v>
      </c>
    </row>
    <row r="393" spans="1:6" x14ac:dyDescent="0.45">
      <c r="A393" t="s">
        <v>53</v>
      </c>
      <c r="B393">
        <v>6</v>
      </c>
      <c r="C393">
        <v>-1</v>
      </c>
      <c r="D393" t="s">
        <v>6</v>
      </c>
      <c r="E393">
        <v>4</v>
      </c>
      <c r="F393" t="str">
        <f t="shared" si="6"/>
        <v>Amino acid metabolism</v>
      </c>
    </row>
    <row r="394" spans="1:6" x14ac:dyDescent="0.45">
      <c r="A394" t="s">
        <v>22</v>
      </c>
      <c r="B394">
        <v>6</v>
      </c>
      <c r="C394">
        <v>-1</v>
      </c>
      <c r="D394" t="s">
        <v>6</v>
      </c>
      <c r="E394">
        <v>4</v>
      </c>
      <c r="F394" t="str">
        <f t="shared" si="6"/>
        <v>Carbohydrate metabolism</v>
      </c>
    </row>
    <row r="395" spans="1:6" x14ac:dyDescent="0.45">
      <c r="A395" t="s">
        <v>55</v>
      </c>
      <c r="B395">
        <v>6</v>
      </c>
      <c r="C395">
        <v>-1</v>
      </c>
      <c r="D395" t="s">
        <v>6</v>
      </c>
      <c r="E395">
        <v>4</v>
      </c>
      <c r="F395" t="str">
        <f t="shared" si="6"/>
        <v>Alkaloid metabolism</v>
      </c>
    </row>
    <row r="396" spans="1:6" x14ac:dyDescent="0.45">
      <c r="A396" t="s">
        <v>31</v>
      </c>
      <c r="B396">
        <v>6</v>
      </c>
      <c r="C396">
        <v>-1</v>
      </c>
      <c r="D396" t="s">
        <v>6</v>
      </c>
      <c r="E396">
        <v>5</v>
      </c>
      <c r="F396" t="str">
        <f t="shared" si="6"/>
        <v>Glucosinolate biosynthesis</v>
      </c>
    </row>
    <row r="397" spans="1:6" x14ac:dyDescent="0.45">
      <c r="A397" t="s">
        <v>32</v>
      </c>
      <c r="B397">
        <v>6</v>
      </c>
      <c r="C397">
        <v>-1</v>
      </c>
      <c r="D397" t="s">
        <v>6</v>
      </c>
      <c r="E397">
        <v>5</v>
      </c>
      <c r="F397" t="str">
        <f t="shared" si="6"/>
        <v xml:space="preserve">Carbon metabolism </v>
      </c>
    </row>
    <row r="398" spans="1:6" x14ac:dyDescent="0.45">
      <c r="A398" t="s">
        <v>98</v>
      </c>
      <c r="B398">
        <v>6</v>
      </c>
      <c r="C398">
        <v>-1</v>
      </c>
      <c r="D398" t="s">
        <v>6</v>
      </c>
      <c r="E398">
        <v>5</v>
      </c>
      <c r="F398">
        <f t="shared" si="6"/>
        <v>0</v>
      </c>
    </row>
    <row r="399" spans="1:6" x14ac:dyDescent="0.45">
      <c r="A399" t="s">
        <v>11</v>
      </c>
      <c r="B399">
        <v>6</v>
      </c>
      <c r="C399">
        <v>-1</v>
      </c>
      <c r="D399" t="s">
        <v>6</v>
      </c>
      <c r="E399">
        <v>4</v>
      </c>
      <c r="F399" t="str">
        <f t="shared" si="6"/>
        <v>Carbohydrate metabolism</v>
      </c>
    </row>
    <row r="400" spans="1:6" x14ac:dyDescent="0.45">
      <c r="A400" t="s">
        <v>20</v>
      </c>
      <c r="B400">
        <v>6</v>
      </c>
      <c r="C400">
        <v>-1</v>
      </c>
      <c r="D400" t="s">
        <v>6</v>
      </c>
      <c r="E400">
        <v>3</v>
      </c>
      <c r="F400" t="str">
        <f t="shared" si="6"/>
        <v>Carbohydrate metabolism</v>
      </c>
    </row>
    <row r="401" spans="1:6" x14ac:dyDescent="0.45">
      <c r="A401" t="s">
        <v>59</v>
      </c>
      <c r="B401">
        <v>6</v>
      </c>
      <c r="C401">
        <v>-1</v>
      </c>
      <c r="D401" t="s">
        <v>6</v>
      </c>
      <c r="E401">
        <v>3</v>
      </c>
      <c r="F401" t="str">
        <f t="shared" si="6"/>
        <v>Carbohydrate metabolism</v>
      </c>
    </row>
    <row r="402" spans="1:6" x14ac:dyDescent="0.45">
      <c r="A402" t="s">
        <v>39</v>
      </c>
      <c r="B402">
        <v>6</v>
      </c>
      <c r="C402">
        <v>-1</v>
      </c>
      <c r="D402" t="s">
        <v>6</v>
      </c>
      <c r="E402">
        <v>5</v>
      </c>
      <c r="F402" t="str">
        <f t="shared" si="6"/>
        <v>Carbohydrate metabolism</v>
      </c>
    </row>
    <row r="403" spans="1:6" x14ac:dyDescent="0.45">
      <c r="A403" t="s">
        <v>62</v>
      </c>
      <c r="B403">
        <v>6</v>
      </c>
      <c r="C403">
        <v>-1</v>
      </c>
      <c r="D403" t="s">
        <v>6</v>
      </c>
      <c r="E403">
        <v>4</v>
      </c>
      <c r="F403" t="str">
        <f t="shared" si="6"/>
        <v>Metabolism of cofactors and vitamins</v>
      </c>
    </row>
    <row r="404" spans="1:6" x14ac:dyDescent="0.45">
      <c r="A404" t="s">
        <v>63</v>
      </c>
      <c r="B404">
        <v>6</v>
      </c>
      <c r="C404">
        <v>-1</v>
      </c>
      <c r="D404" t="s">
        <v>6</v>
      </c>
      <c r="E404">
        <v>3</v>
      </c>
      <c r="F404" t="str">
        <f t="shared" si="6"/>
        <v>Amino acid metabolism</v>
      </c>
    </row>
    <row r="405" spans="1:6" x14ac:dyDescent="0.45">
      <c r="A405" t="s">
        <v>17</v>
      </c>
      <c r="B405">
        <v>6</v>
      </c>
      <c r="C405">
        <v>-1</v>
      </c>
      <c r="D405" t="s">
        <v>6</v>
      </c>
      <c r="E405">
        <v>3</v>
      </c>
      <c r="F405" t="str">
        <f t="shared" si="6"/>
        <v>Amino acid metabolism</v>
      </c>
    </row>
    <row r="406" spans="1:6" x14ac:dyDescent="0.45">
      <c r="A406" t="s">
        <v>45</v>
      </c>
      <c r="B406">
        <v>6</v>
      </c>
      <c r="C406">
        <v>-1</v>
      </c>
      <c r="D406" t="s">
        <v>6</v>
      </c>
      <c r="E406">
        <v>5</v>
      </c>
      <c r="F406" t="str">
        <f t="shared" si="6"/>
        <v>Amino acid metabolism</v>
      </c>
    </row>
    <row r="407" spans="1:6" x14ac:dyDescent="0.45">
      <c r="A407" t="s">
        <v>48</v>
      </c>
      <c r="B407">
        <v>6</v>
      </c>
      <c r="C407">
        <v>-1</v>
      </c>
      <c r="D407" t="s">
        <v>6</v>
      </c>
      <c r="E407">
        <v>5</v>
      </c>
      <c r="F407" t="str">
        <f t="shared" si="6"/>
        <v>Carbohydrate metabolism</v>
      </c>
    </row>
    <row r="408" spans="1:6" x14ac:dyDescent="0.45">
      <c r="A408" t="s">
        <v>25</v>
      </c>
      <c r="B408">
        <v>6</v>
      </c>
      <c r="C408">
        <v>-1</v>
      </c>
      <c r="D408" t="s">
        <v>6</v>
      </c>
      <c r="E408">
        <v>4</v>
      </c>
      <c r="F408" t="str">
        <f t="shared" si="6"/>
        <v>Metabolism of cofactors and vitamins</v>
      </c>
    </row>
    <row r="409" spans="1:6" x14ac:dyDescent="0.45">
      <c r="A409" t="s">
        <v>26</v>
      </c>
      <c r="B409">
        <v>6</v>
      </c>
      <c r="C409">
        <v>-1</v>
      </c>
      <c r="D409" t="s">
        <v>6</v>
      </c>
      <c r="E409">
        <v>4</v>
      </c>
      <c r="F409" t="str">
        <f t="shared" si="6"/>
        <v>Metabolism of cofactors and vitamins</v>
      </c>
    </row>
    <row r="410" spans="1:6" x14ac:dyDescent="0.45">
      <c r="A410" t="s">
        <v>70</v>
      </c>
      <c r="B410">
        <v>6</v>
      </c>
      <c r="C410">
        <v>-1</v>
      </c>
      <c r="D410" t="s">
        <v>6</v>
      </c>
      <c r="E410">
        <v>3</v>
      </c>
      <c r="F410" t="str">
        <f t="shared" si="6"/>
        <v>Metabolism of terpenoids and polyketides</v>
      </c>
    </row>
    <row r="411" spans="1:6" x14ac:dyDescent="0.45">
      <c r="A411" t="s">
        <v>71</v>
      </c>
      <c r="B411">
        <v>6</v>
      </c>
      <c r="C411">
        <v>-1</v>
      </c>
      <c r="D411" t="s">
        <v>6</v>
      </c>
      <c r="E411">
        <v>4</v>
      </c>
      <c r="F411" t="str">
        <f t="shared" si="6"/>
        <v>Metabolism of terpenoids and polyketides</v>
      </c>
    </row>
    <row r="412" spans="1:6" x14ac:dyDescent="0.45">
      <c r="A412" t="s">
        <v>80</v>
      </c>
      <c r="B412">
        <v>6</v>
      </c>
      <c r="C412">
        <v>-1</v>
      </c>
      <c r="D412" t="s">
        <v>6</v>
      </c>
      <c r="E412">
        <v>6</v>
      </c>
      <c r="F412" t="str">
        <f t="shared" si="6"/>
        <v>Signal transduction</v>
      </c>
    </row>
    <row r="413" spans="1:6" x14ac:dyDescent="0.45">
      <c r="A413" t="s">
        <v>52</v>
      </c>
      <c r="B413">
        <v>6</v>
      </c>
      <c r="C413">
        <v>-1</v>
      </c>
      <c r="D413" t="s">
        <v>6</v>
      </c>
      <c r="E413">
        <v>3</v>
      </c>
      <c r="F413" t="str">
        <f t="shared" si="6"/>
        <v>Alkaloid metabolism</v>
      </c>
    </row>
    <row r="414" spans="1:6" x14ac:dyDescent="0.45">
      <c r="A414" t="s">
        <v>37</v>
      </c>
      <c r="B414">
        <v>6</v>
      </c>
      <c r="C414">
        <v>-1</v>
      </c>
      <c r="D414" t="s">
        <v>6</v>
      </c>
      <c r="E414">
        <v>4</v>
      </c>
      <c r="F414" t="str">
        <f t="shared" si="6"/>
        <v>Primary metabolism</v>
      </c>
    </row>
    <row r="415" spans="1:6" x14ac:dyDescent="0.45">
      <c r="A415" t="s">
        <v>15</v>
      </c>
      <c r="B415">
        <v>6</v>
      </c>
      <c r="C415">
        <v>-1</v>
      </c>
      <c r="D415" t="s">
        <v>6</v>
      </c>
      <c r="E415">
        <v>3</v>
      </c>
      <c r="F415" t="str">
        <f t="shared" si="6"/>
        <v>Carbon metabolism</v>
      </c>
    </row>
    <row r="416" spans="1:6" x14ac:dyDescent="0.45">
      <c r="A416" t="s">
        <v>10</v>
      </c>
      <c r="B416">
        <v>6</v>
      </c>
      <c r="C416">
        <v>-1</v>
      </c>
      <c r="D416" t="s">
        <v>6</v>
      </c>
      <c r="E416">
        <v>2</v>
      </c>
      <c r="F416" t="str">
        <f t="shared" si="6"/>
        <v>Nucleotide metabolism</v>
      </c>
    </row>
    <row r="417" spans="1:6" x14ac:dyDescent="0.45">
      <c r="A417" t="s">
        <v>42</v>
      </c>
      <c r="B417">
        <v>6</v>
      </c>
      <c r="C417">
        <v>-1</v>
      </c>
      <c r="D417" t="s">
        <v>6</v>
      </c>
      <c r="E417">
        <v>3</v>
      </c>
      <c r="F417" t="str">
        <f t="shared" si="6"/>
        <v>Amino acid metabolism</v>
      </c>
    </row>
    <row r="418" spans="1:6" x14ac:dyDescent="0.45">
      <c r="A418" t="s">
        <v>58</v>
      </c>
      <c r="B418">
        <v>6</v>
      </c>
      <c r="C418">
        <v>-1</v>
      </c>
      <c r="D418" t="s">
        <v>6</v>
      </c>
      <c r="E418">
        <v>2</v>
      </c>
      <c r="F418" t="str">
        <f t="shared" si="6"/>
        <v>Amino acid metabolism</v>
      </c>
    </row>
    <row r="419" spans="1:6" x14ac:dyDescent="0.45">
      <c r="A419" t="s">
        <v>43</v>
      </c>
      <c r="B419">
        <v>6</v>
      </c>
      <c r="C419">
        <v>-1</v>
      </c>
      <c r="D419" t="s">
        <v>6</v>
      </c>
      <c r="E419">
        <v>3</v>
      </c>
      <c r="F419" t="str">
        <f t="shared" si="6"/>
        <v>Amino acid metabolism</v>
      </c>
    </row>
    <row r="420" spans="1:6" x14ac:dyDescent="0.45">
      <c r="A420" t="s">
        <v>44</v>
      </c>
      <c r="B420">
        <v>6</v>
      </c>
      <c r="C420">
        <v>-1</v>
      </c>
      <c r="D420" t="s">
        <v>6</v>
      </c>
      <c r="E420">
        <v>3</v>
      </c>
      <c r="F420" t="str">
        <f t="shared" si="6"/>
        <v>Amino acid metabolism</v>
      </c>
    </row>
    <row r="421" spans="1:6" x14ac:dyDescent="0.45">
      <c r="A421" t="s">
        <v>19</v>
      </c>
      <c r="B421">
        <v>6</v>
      </c>
      <c r="C421">
        <v>-1</v>
      </c>
      <c r="D421" t="s">
        <v>6</v>
      </c>
      <c r="E421">
        <v>2</v>
      </c>
      <c r="F421" t="str">
        <f t="shared" si="6"/>
        <v>Amino acid metabolism</v>
      </c>
    </row>
    <row r="422" spans="1:6" x14ac:dyDescent="0.45">
      <c r="A422" t="s">
        <v>69</v>
      </c>
      <c r="B422">
        <v>6</v>
      </c>
      <c r="C422">
        <v>-1</v>
      </c>
      <c r="D422" t="s">
        <v>6</v>
      </c>
      <c r="E422">
        <v>2</v>
      </c>
      <c r="F422" t="str">
        <f t="shared" si="6"/>
        <v>Amino acid metabolism</v>
      </c>
    </row>
    <row r="423" spans="1:6" x14ac:dyDescent="0.45">
      <c r="A423" t="s">
        <v>88</v>
      </c>
      <c r="B423">
        <v>6</v>
      </c>
      <c r="C423">
        <v>-1</v>
      </c>
      <c r="D423" t="s">
        <v>6</v>
      </c>
      <c r="E423">
        <v>4</v>
      </c>
      <c r="F423" t="str">
        <f t="shared" si="6"/>
        <v>Lipid metabolism</v>
      </c>
    </row>
    <row r="424" spans="1:6" x14ac:dyDescent="0.45">
      <c r="A424" t="s">
        <v>50</v>
      </c>
      <c r="B424">
        <v>6</v>
      </c>
      <c r="C424">
        <v>-1</v>
      </c>
      <c r="D424" t="s">
        <v>6</v>
      </c>
      <c r="E424">
        <v>2</v>
      </c>
      <c r="F424" t="str">
        <f t="shared" si="6"/>
        <v>Lipid metabolism</v>
      </c>
    </row>
    <row r="425" spans="1:6" x14ac:dyDescent="0.45">
      <c r="A425" t="s">
        <v>47</v>
      </c>
      <c r="B425">
        <v>6</v>
      </c>
      <c r="C425">
        <v>-1</v>
      </c>
      <c r="D425" t="s">
        <v>6</v>
      </c>
      <c r="E425">
        <v>3</v>
      </c>
      <c r="F425" t="str">
        <f t="shared" si="6"/>
        <v>Carbohydrate metabolism</v>
      </c>
    </row>
    <row r="426" spans="1:6" x14ac:dyDescent="0.45">
      <c r="A426" t="s">
        <v>23</v>
      </c>
      <c r="B426">
        <v>6</v>
      </c>
      <c r="C426">
        <v>-1</v>
      </c>
      <c r="D426" t="s">
        <v>6</v>
      </c>
      <c r="E426">
        <v>2</v>
      </c>
      <c r="F426" t="str">
        <f t="shared" si="6"/>
        <v>Carbon metabolism</v>
      </c>
    </row>
    <row r="427" spans="1:6" x14ac:dyDescent="0.45">
      <c r="A427" t="s">
        <v>60</v>
      </c>
      <c r="B427">
        <v>6</v>
      </c>
      <c r="C427">
        <v>-1</v>
      </c>
      <c r="D427" t="s">
        <v>6</v>
      </c>
      <c r="E427">
        <v>2</v>
      </c>
      <c r="F427" t="str">
        <f t="shared" si="6"/>
        <v>Metabolism of cofactors and vitamins</v>
      </c>
    </row>
    <row r="428" spans="1:6" x14ac:dyDescent="0.45">
      <c r="A428" t="s">
        <v>64</v>
      </c>
      <c r="B428">
        <v>6</v>
      </c>
      <c r="C428">
        <v>-1</v>
      </c>
      <c r="D428" t="s">
        <v>6</v>
      </c>
      <c r="E428">
        <v>3</v>
      </c>
      <c r="F428" t="str">
        <f t="shared" si="6"/>
        <v>Metabolism of cofactors and vitamins</v>
      </c>
    </row>
    <row r="429" spans="1:6" x14ac:dyDescent="0.45">
      <c r="A429" t="s">
        <v>79</v>
      </c>
      <c r="B429">
        <v>6</v>
      </c>
      <c r="C429">
        <v>-1</v>
      </c>
      <c r="D429" t="s">
        <v>6</v>
      </c>
      <c r="E429">
        <v>3</v>
      </c>
      <c r="F429" t="str">
        <f t="shared" si="6"/>
        <v>Terpenoid metabolism</v>
      </c>
    </row>
    <row r="430" spans="1:6" x14ac:dyDescent="0.45">
      <c r="A430" t="s">
        <v>57</v>
      </c>
      <c r="B430">
        <v>6</v>
      </c>
      <c r="C430">
        <v>-1</v>
      </c>
      <c r="D430" t="s">
        <v>6</v>
      </c>
      <c r="E430">
        <v>2</v>
      </c>
      <c r="F430" t="str">
        <f t="shared" si="6"/>
        <v>Phenylpropanoid metabolism</v>
      </c>
    </row>
    <row r="431" spans="1:6" x14ac:dyDescent="0.45">
      <c r="A431" t="s">
        <v>91</v>
      </c>
      <c r="B431">
        <v>6</v>
      </c>
      <c r="C431">
        <v>-1</v>
      </c>
      <c r="D431" t="s">
        <v>6</v>
      </c>
      <c r="E431">
        <v>2</v>
      </c>
      <c r="F431" t="str">
        <f t="shared" si="6"/>
        <v>Genetic Information Processing</v>
      </c>
    </row>
    <row r="432" spans="1:6" x14ac:dyDescent="0.45">
      <c r="A432" t="s">
        <v>95</v>
      </c>
      <c r="B432">
        <v>6</v>
      </c>
      <c r="C432">
        <v>-1</v>
      </c>
      <c r="D432" t="s">
        <v>6</v>
      </c>
      <c r="E432">
        <v>2</v>
      </c>
      <c r="F432" t="str">
        <f t="shared" si="6"/>
        <v>Amino acid metabolism</v>
      </c>
    </row>
    <row r="433" spans="1:6" x14ac:dyDescent="0.45">
      <c r="A433" t="s">
        <v>104</v>
      </c>
      <c r="B433">
        <v>6</v>
      </c>
      <c r="C433">
        <v>-1</v>
      </c>
      <c r="D433" t="s">
        <v>6</v>
      </c>
      <c r="E433">
        <v>3</v>
      </c>
      <c r="F433" t="str">
        <f t="shared" si="6"/>
        <v>Abscisic Acid</v>
      </c>
    </row>
    <row r="434" spans="1:6" x14ac:dyDescent="0.45">
      <c r="A434" t="s">
        <v>8</v>
      </c>
      <c r="B434">
        <v>6</v>
      </c>
      <c r="C434">
        <v>-1</v>
      </c>
      <c r="D434" t="s">
        <v>6</v>
      </c>
      <c r="E434">
        <v>2</v>
      </c>
      <c r="F434" t="str">
        <f t="shared" si="6"/>
        <v>Glycan biosynthesis and metabolism</v>
      </c>
    </row>
    <row r="435" spans="1:6" x14ac:dyDescent="0.45">
      <c r="A435" t="s">
        <v>67</v>
      </c>
      <c r="B435">
        <v>6</v>
      </c>
      <c r="C435">
        <v>-1</v>
      </c>
      <c r="D435" t="s">
        <v>6</v>
      </c>
      <c r="E435">
        <v>4</v>
      </c>
      <c r="F435" t="str">
        <f t="shared" si="6"/>
        <v>Carbohydrate metabolism</v>
      </c>
    </row>
    <row r="436" spans="1:6" x14ac:dyDescent="0.45">
      <c r="A436" t="s">
        <v>9</v>
      </c>
      <c r="B436">
        <v>6</v>
      </c>
      <c r="C436">
        <v>-1</v>
      </c>
      <c r="D436" t="s">
        <v>6</v>
      </c>
      <c r="E436">
        <v>2</v>
      </c>
      <c r="F436" t="str">
        <f t="shared" si="6"/>
        <v>Carbohydrate metabolism</v>
      </c>
    </row>
    <row r="437" spans="1:6" x14ac:dyDescent="0.45">
      <c r="A437" t="s">
        <v>40</v>
      </c>
      <c r="B437">
        <v>6</v>
      </c>
      <c r="C437">
        <v>-1</v>
      </c>
      <c r="D437" t="s">
        <v>6</v>
      </c>
      <c r="E437">
        <v>1</v>
      </c>
      <c r="F437" t="str">
        <f t="shared" si="6"/>
        <v>Lipid metabolism</v>
      </c>
    </row>
    <row r="438" spans="1:6" x14ac:dyDescent="0.45">
      <c r="A438" t="s">
        <v>76</v>
      </c>
      <c r="B438">
        <v>6</v>
      </c>
      <c r="C438">
        <v>-1</v>
      </c>
      <c r="D438" t="s">
        <v>6</v>
      </c>
      <c r="E438">
        <v>1</v>
      </c>
      <c r="F438" t="str">
        <f t="shared" si="6"/>
        <v>Biosynthesis of other secondary metabolites</v>
      </c>
    </row>
    <row r="439" spans="1:6" x14ac:dyDescent="0.45">
      <c r="A439" t="s">
        <v>82</v>
      </c>
      <c r="B439">
        <v>6</v>
      </c>
      <c r="C439">
        <v>-1</v>
      </c>
      <c r="D439" t="s">
        <v>6</v>
      </c>
      <c r="E439">
        <v>1</v>
      </c>
      <c r="F439" t="str">
        <f t="shared" si="6"/>
        <v>Amino acid metabolism</v>
      </c>
    </row>
    <row r="440" spans="1:6" x14ac:dyDescent="0.45">
      <c r="A440" t="s">
        <v>68</v>
      </c>
      <c r="B440">
        <v>6</v>
      </c>
      <c r="C440">
        <v>-1</v>
      </c>
      <c r="D440" t="s">
        <v>6</v>
      </c>
      <c r="E440">
        <v>1</v>
      </c>
      <c r="F440" t="str">
        <f t="shared" si="6"/>
        <v>Amino acid metabolism</v>
      </c>
    </row>
    <row r="441" spans="1:6" x14ac:dyDescent="0.45">
      <c r="A441" t="s">
        <v>77</v>
      </c>
      <c r="B441">
        <v>6</v>
      </c>
      <c r="C441">
        <v>-1</v>
      </c>
      <c r="D441" t="s">
        <v>6</v>
      </c>
      <c r="E441">
        <v>1</v>
      </c>
      <c r="F441" t="str">
        <f t="shared" si="6"/>
        <v>Amino acid metabolism</v>
      </c>
    </row>
    <row r="442" spans="1:6" x14ac:dyDescent="0.45">
      <c r="A442" t="s">
        <v>105</v>
      </c>
      <c r="B442">
        <v>6</v>
      </c>
      <c r="C442">
        <v>-1</v>
      </c>
      <c r="D442" t="s">
        <v>6</v>
      </c>
      <c r="E442">
        <v>1</v>
      </c>
      <c r="F442" t="str">
        <f t="shared" si="6"/>
        <v>Lipid metabolism</v>
      </c>
    </row>
    <row r="443" spans="1:6" x14ac:dyDescent="0.45">
      <c r="A443" t="s">
        <v>78</v>
      </c>
      <c r="B443">
        <v>6</v>
      </c>
      <c r="C443">
        <v>-1</v>
      </c>
      <c r="D443" t="s">
        <v>6</v>
      </c>
      <c r="E443">
        <v>1</v>
      </c>
      <c r="F443" t="str">
        <f t="shared" si="6"/>
        <v>Lipid metabolism</v>
      </c>
    </row>
    <row r="444" spans="1:6" x14ac:dyDescent="0.45">
      <c r="A444" t="s">
        <v>83</v>
      </c>
      <c r="B444">
        <v>6</v>
      </c>
      <c r="C444">
        <v>-1</v>
      </c>
      <c r="D444" t="s">
        <v>6</v>
      </c>
      <c r="E444">
        <v>1</v>
      </c>
      <c r="F444" t="str">
        <f t="shared" si="6"/>
        <v>Carbohydrate metabolism</v>
      </c>
    </row>
    <row r="445" spans="1:6" x14ac:dyDescent="0.45">
      <c r="A445" t="s">
        <v>89</v>
      </c>
      <c r="B445">
        <v>6</v>
      </c>
      <c r="C445">
        <v>-1</v>
      </c>
      <c r="D445" t="s">
        <v>6</v>
      </c>
      <c r="E445">
        <v>1</v>
      </c>
      <c r="F445" t="str">
        <f t="shared" si="6"/>
        <v>Metabolism of cofactors and vitamins</v>
      </c>
    </row>
    <row r="446" spans="1:6" x14ac:dyDescent="0.45">
      <c r="A446" t="s">
        <v>24</v>
      </c>
      <c r="B446">
        <v>6</v>
      </c>
      <c r="C446">
        <v>-1</v>
      </c>
      <c r="D446" t="s">
        <v>6</v>
      </c>
      <c r="E446">
        <v>1</v>
      </c>
      <c r="F446" t="str">
        <f t="shared" si="6"/>
        <v>Metabolism of cofactors and vitamin</v>
      </c>
    </row>
    <row r="447" spans="1:6" x14ac:dyDescent="0.45">
      <c r="A447" t="s">
        <v>90</v>
      </c>
      <c r="B447">
        <v>6</v>
      </c>
      <c r="C447">
        <v>-1</v>
      </c>
      <c r="D447" t="s">
        <v>6</v>
      </c>
      <c r="E447">
        <v>1</v>
      </c>
      <c r="F447" t="str">
        <f t="shared" si="6"/>
        <v>Metabolism of cofactors and vitamins</v>
      </c>
    </row>
    <row r="448" spans="1:6" x14ac:dyDescent="0.45">
      <c r="A448" t="s">
        <v>13</v>
      </c>
      <c r="B448">
        <v>6</v>
      </c>
      <c r="C448">
        <v>-1</v>
      </c>
      <c r="D448" t="s">
        <v>6</v>
      </c>
      <c r="E448">
        <v>1</v>
      </c>
      <c r="F448" t="str">
        <f t="shared" si="6"/>
        <v>Terpenoid metabolism</v>
      </c>
    </row>
    <row r="449" spans="1:6" x14ac:dyDescent="0.45">
      <c r="A449" t="s">
        <v>72</v>
      </c>
      <c r="B449">
        <v>6</v>
      </c>
      <c r="C449">
        <v>-1</v>
      </c>
      <c r="D449" t="s">
        <v>6</v>
      </c>
      <c r="E449">
        <v>2</v>
      </c>
      <c r="F449" t="str">
        <f t="shared" si="6"/>
        <v>Metabolism of terpenoids and polyketides</v>
      </c>
    </row>
    <row r="450" spans="1:6" x14ac:dyDescent="0.45">
      <c r="A450" t="s">
        <v>73</v>
      </c>
      <c r="B450">
        <v>6</v>
      </c>
      <c r="C450">
        <v>-1</v>
      </c>
      <c r="D450" t="s">
        <v>6</v>
      </c>
      <c r="E450">
        <v>1</v>
      </c>
      <c r="F450" t="str">
        <f t="shared" si="6"/>
        <v>Energy metabolism</v>
      </c>
    </row>
    <row r="451" spans="1:6" x14ac:dyDescent="0.45">
      <c r="A451" t="s">
        <v>93</v>
      </c>
      <c r="B451">
        <v>6</v>
      </c>
      <c r="C451">
        <v>-1</v>
      </c>
      <c r="D451" t="s">
        <v>6</v>
      </c>
      <c r="E451">
        <v>1</v>
      </c>
      <c r="F451" t="str">
        <f t="shared" si="6"/>
        <v>Signal transduction</v>
      </c>
    </row>
    <row r="452" spans="1:6" x14ac:dyDescent="0.45">
      <c r="A452" t="s">
        <v>94</v>
      </c>
      <c r="B452">
        <v>6</v>
      </c>
      <c r="C452">
        <v>-1</v>
      </c>
      <c r="D452" t="s">
        <v>6</v>
      </c>
      <c r="E452">
        <v>2</v>
      </c>
      <c r="F452" t="str">
        <f t="shared" ref="F452:F515" si="7">_xlfn.XLOOKUP(A452,$H$2:$H$200,$I$2:$I$200)</f>
        <v>Plant-pathogen interaction</v>
      </c>
    </row>
    <row r="453" spans="1:6" x14ac:dyDescent="0.45">
      <c r="A453" t="s">
        <v>96</v>
      </c>
      <c r="B453">
        <v>6</v>
      </c>
      <c r="C453">
        <v>-1</v>
      </c>
      <c r="D453" t="s">
        <v>6</v>
      </c>
      <c r="E453">
        <v>2</v>
      </c>
      <c r="F453" t="str">
        <f t="shared" si="7"/>
        <v>JA biosynthesis</v>
      </c>
    </row>
    <row r="454" spans="1:6" x14ac:dyDescent="0.45">
      <c r="A454" t="s">
        <v>97</v>
      </c>
      <c r="B454">
        <v>6</v>
      </c>
      <c r="C454">
        <v>-1</v>
      </c>
      <c r="D454" t="s">
        <v>6</v>
      </c>
      <c r="E454">
        <v>2</v>
      </c>
      <c r="F454" t="str">
        <f t="shared" si="7"/>
        <v>Biosynthesis of phenylpropanoids</v>
      </c>
    </row>
    <row r="455" spans="1:6" x14ac:dyDescent="0.45">
      <c r="A455" t="s">
        <v>102</v>
      </c>
      <c r="B455">
        <v>6</v>
      </c>
      <c r="C455">
        <v>-1</v>
      </c>
      <c r="D455" t="s">
        <v>6</v>
      </c>
      <c r="E455">
        <v>2</v>
      </c>
      <c r="F455" t="str">
        <f t="shared" si="7"/>
        <v>Lignans</v>
      </c>
    </row>
    <row r="456" spans="1:6" x14ac:dyDescent="0.45">
      <c r="A456" t="s">
        <v>65</v>
      </c>
      <c r="B456">
        <v>6</v>
      </c>
      <c r="C456">
        <v>-1</v>
      </c>
      <c r="D456" t="s">
        <v>6</v>
      </c>
      <c r="E456">
        <v>1</v>
      </c>
      <c r="F456" t="str">
        <f t="shared" si="7"/>
        <v>Secondary metabolism</v>
      </c>
    </row>
    <row r="457" spans="1:6" x14ac:dyDescent="0.45">
      <c r="A457" t="s">
        <v>66</v>
      </c>
      <c r="B457">
        <v>6</v>
      </c>
      <c r="C457">
        <v>-1</v>
      </c>
      <c r="D457" t="s">
        <v>6</v>
      </c>
      <c r="E457">
        <v>1</v>
      </c>
      <c r="F457" t="str">
        <f t="shared" si="7"/>
        <v>Carbohydrate metabolism</v>
      </c>
    </row>
    <row r="458" spans="1:6" x14ac:dyDescent="0.45">
      <c r="A458" t="s">
        <v>33</v>
      </c>
      <c r="B458">
        <v>7</v>
      </c>
      <c r="C458">
        <v>1</v>
      </c>
      <c r="D458" t="s">
        <v>6</v>
      </c>
      <c r="E458">
        <v>9</v>
      </c>
      <c r="F458" t="str">
        <f t="shared" si="7"/>
        <v>Amino acid metabolism</v>
      </c>
    </row>
    <row r="459" spans="1:6" x14ac:dyDescent="0.45">
      <c r="A459" t="s">
        <v>30</v>
      </c>
      <c r="B459">
        <v>7</v>
      </c>
      <c r="C459">
        <v>1</v>
      </c>
      <c r="D459" t="s">
        <v>6</v>
      </c>
      <c r="E459">
        <v>12</v>
      </c>
      <c r="F459" t="str">
        <f t="shared" si="7"/>
        <v>Phenylpropanoid biosynthesis</v>
      </c>
    </row>
    <row r="460" spans="1:6" x14ac:dyDescent="0.45">
      <c r="A460" t="s">
        <v>7</v>
      </c>
      <c r="B460">
        <v>7</v>
      </c>
      <c r="C460">
        <v>1</v>
      </c>
      <c r="D460" t="s">
        <v>6</v>
      </c>
      <c r="E460">
        <v>6</v>
      </c>
      <c r="F460" t="str">
        <f t="shared" si="7"/>
        <v>Nucleotide metabolism</v>
      </c>
    </row>
    <row r="461" spans="1:6" x14ac:dyDescent="0.45">
      <c r="A461" t="s">
        <v>46</v>
      </c>
      <c r="B461">
        <v>7</v>
      </c>
      <c r="C461">
        <v>1</v>
      </c>
      <c r="D461" t="s">
        <v>6</v>
      </c>
      <c r="E461">
        <v>9</v>
      </c>
      <c r="F461" t="str">
        <f t="shared" si="7"/>
        <v>Lipid metabolism</v>
      </c>
    </row>
    <row r="462" spans="1:6" x14ac:dyDescent="0.45">
      <c r="A462" t="s">
        <v>56</v>
      </c>
      <c r="B462">
        <v>7</v>
      </c>
      <c r="C462">
        <v>1</v>
      </c>
      <c r="D462" t="s">
        <v>6</v>
      </c>
      <c r="E462">
        <v>13</v>
      </c>
      <c r="F462" t="str">
        <f t="shared" si="7"/>
        <v>Lipid metabolism</v>
      </c>
    </row>
    <row r="463" spans="1:6" x14ac:dyDescent="0.45">
      <c r="A463" t="s">
        <v>12</v>
      </c>
      <c r="B463">
        <v>7</v>
      </c>
      <c r="C463">
        <v>1</v>
      </c>
      <c r="D463" t="s">
        <v>6</v>
      </c>
      <c r="E463">
        <v>5</v>
      </c>
      <c r="F463" t="str">
        <f t="shared" si="7"/>
        <v>Carbohydrate metabolism</v>
      </c>
    </row>
    <row r="464" spans="1:6" x14ac:dyDescent="0.45">
      <c r="A464" t="s">
        <v>17</v>
      </c>
      <c r="B464">
        <v>7</v>
      </c>
      <c r="C464">
        <v>1</v>
      </c>
      <c r="D464" t="s">
        <v>6</v>
      </c>
      <c r="E464">
        <v>6</v>
      </c>
      <c r="F464" t="str">
        <f t="shared" si="7"/>
        <v>Amino acid metabolism</v>
      </c>
    </row>
    <row r="465" spans="1:6" x14ac:dyDescent="0.45">
      <c r="A465" t="s">
        <v>19</v>
      </c>
      <c r="B465">
        <v>7</v>
      </c>
      <c r="C465">
        <v>1</v>
      </c>
      <c r="D465" t="s">
        <v>6</v>
      </c>
      <c r="E465">
        <v>5</v>
      </c>
      <c r="F465" t="str">
        <f t="shared" si="7"/>
        <v>Amino acid metabolism</v>
      </c>
    </row>
    <row r="466" spans="1:6" x14ac:dyDescent="0.45">
      <c r="A466" t="s">
        <v>48</v>
      </c>
      <c r="B466">
        <v>7</v>
      </c>
      <c r="C466">
        <v>1</v>
      </c>
      <c r="D466" t="s">
        <v>6</v>
      </c>
      <c r="E466">
        <v>5</v>
      </c>
      <c r="F466" t="str">
        <f t="shared" si="7"/>
        <v>Carbohydrate metabolism</v>
      </c>
    </row>
    <row r="467" spans="1:6" x14ac:dyDescent="0.45">
      <c r="A467" t="s">
        <v>31</v>
      </c>
      <c r="B467">
        <v>7</v>
      </c>
      <c r="C467">
        <v>1</v>
      </c>
      <c r="D467" t="s">
        <v>6</v>
      </c>
      <c r="E467">
        <v>5</v>
      </c>
      <c r="F467" t="str">
        <f t="shared" si="7"/>
        <v>Glucosinolate biosynthesis</v>
      </c>
    </row>
    <row r="468" spans="1:6" x14ac:dyDescent="0.45">
      <c r="A468" t="s">
        <v>32</v>
      </c>
      <c r="B468">
        <v>7</v>
      </c>
      <c r="C468">
        <v>1</v>
      </c>
      <c r="D468" t="s">
        <v>6</v>
      </c>
      <c r="E468">
        <v>6</v>
      </c>
      <c r="F468" t="str">
        <f t="shared" si="7"/>
        <v xml:space="preserve">Carbon metabolism </v>
      </c>
    </row>
    <row r="469" spans="1:6" x14ac:dyDescent="0.45">
      <c r="A469" t="s">
        <v>38</v>
      </c>
      <c r="B469">
        <v>7</v>
      </c>
      <c r="C469">
        <v>1</v>
      </c>
      <c r="D469" t="s">
        <v>6</v>
      </c>
      <c r="E469">
        <v>6</v>
      </c>
      <c r="F469" t="str">
        <f t="shared" si="7"/>
        <v>Degradation of aromatic compounds</v>
      </c>
    </row>
    <row r="470" spans="1:6" x14ac:dyDescent="0.45">
      <c r="A470" t="s">
        <v>37</v>
      </c>
      <c r="B470">
        <v>7</v>
      </c>
      <c r="C470">
        <v>1</v>
      </c>
      <c r="D470" t="s">
        <v>6</v>
      </c>
      <c r="E470">
        <v>7</v>
      </c>
      <c r="F470" t="str">
        <f t="shared" si="7"/>
        <v>Primary metabolism</v>
      </c>
    </row>
    <row r="471" spans="1:6" x14ac:dyDescent="0.45">
      <c r="A471" t="s">
        <v>16</v>
      </c>
      <c r="B471">
        <v>7</v>
      </c>
      <c r="C471">
        <v>1</v>
      </c>
      <c r="D471" t="s">
        <v>6</v>
      </c>
      <c r="E471">
        <v>4</v>
      </c>
      <c r="F471" t="str">
        <f t="shared" si="7"/>
        <v>Carbohydrate metabolism</v>
      </c>
    </row>
    <row r="472" spans="1:6" x14ac:dyDescent="0.45">
      <c r="A472" t="s">
        <v>11</v>
      </c>
      <c r="B472">
        <v>7</v>
      </c>
      <c r="C472">
        <v>1</v>
      </c>
      <c r="D472" t="s">
        <v>6</v>
      </c>
      <c r="E472">
        <v>4</v>
      </c>
      <c r="F472" t="str">
        <f t="shared" si="7"/>
        <v>Carbohydrate metabolism</v>
      </c>
    </row>
    <row r="473" spans="1:6" x14ac:dyDescent="0.45">
      <c r="A473" t="s">
        <v>9</v>
      </c>
      <c r="B473">
        <v>7</v>
      </c>
      <c r="C473">
        <v>1</v>
      </c>
      <c r="D473" t="s">
        <v>6</v>
      </c>
      <c r="E473">
        <v>4</v>
      </c>
      <c r="F473" t="str">
        <f t="shared" si="7"/>
        <v>Carbohydrate metabolism</v>
      </c>
    </row>
    <row r="474" spans="1:6" x14ac:dyDescent="0.45">
      <c r="A474" t="s">
        <v>26</v>
      </c>
      <c r="B474">
        <v>7</v>
      </c>
      <c r="C474">
        <v>1</v>
      </c>
      <c r="D474" t="s">
        <v>6</v>
      </c>
      <c r="E474">
        <v>4</v>
      </c>
      <c r="F474" t="str">
        <f t="shared" si="7"/>
        <v>Metabolism of cofactors and vitamins</v>
      </c>
    </row>
    <row r="475" spans="1:6" x14ac:dyDescent="0.45">
      <c r="A475" t="s">
        <v>74</v>
      </c>
      <c r="B475">
        <v>7</v>
      </c>
      <c r="C475">
        <v>1</v>
      </c>
      <c r="D475" t="s">
        <v>6</v>
      </c>
      <c r="E475">
        <v>4</v>
      </c>
      <c r="F475" t="str">
        <f t="shared" si="7"/>
        <v>Phenylpropanoid metabolism</v>
      </c>
    </row>
    <row r="476" spans="1:6" x14ac:dyDescent="0.45">
      <c r="A476" t="s">
        <v>34</v>
      </c>
      <c r="B476">
        <v>7</v>
      </c>
      <c r="C476">
        <v>1</v>
      </c>
      <c r="D476" t="s">
        <v>6</v>
      </c>
      <c r="E476">
        <v>4</v>
      </c>
      <c r="F476" t="str">
        <f t="shared" si="7"/>
        <v>Amino acid metabolism</v>
      </c>
    </row>
    <row r="477" spans="1:6" x14ac:dyDescent="0.45">
      <c r="A477" t="s">
        <v>36</v>
      </c>
      <c r="B477">
        <v>7</v>
      </c>
      <c r="C477">
        <v>1</v>
      </c>
      <c r="D477" t="s">
        <v>6</v>
      </c>
      <c r="E477">
        <v>5</v>
      </c>
      <c r="F477" t="str">
        <f t="shared" si="7"/>
        <v>Phenylpropanoid metabolism</v>
      </c>
    </row>
    <row r="478" spans="1:6" x14ac:dyDescent="0.45">
      <c r="A478" t="s">
        <v>49</v>
      </c>
      <c r="B478">
        <v>7</v>
      </c>
      <c r="C478">
        <v>1</v>
      </c>
      <c r="D478" t="s">
        <v>6</v>
      </c>
      <c r="E478">
        <v>5</v>
      </c>
      <c r="F478" t="str">
        <f t="shared" si="7"/>
        <v>Phenylpropanoid metabolism</v>
      </c>
    </row>
    <row r="479" spans="1:6" x14ac:dyDescent="0.45">
      <c r="A479" t="s">
        <v>61</v>
      </c>
      <c r="B479">
        <v>7</v>
      </c>
      <c r="C479">
        <v>1</v>
      </c>
      <c r="D479" t="s">
        <v>6</v>
      </c>
      <c r="E479">
        <v>6</v>
      </c>
      <c r="F479" t="str">
        <f t="shared" si="7"/>
        <v>Lipid metabolism</v>
      </c>
    </row>
    <row r="480" spans="1:6" x14ac:dyDescent="0.45">
      <c r="A480" t="s">
        <v>62</v>
      </c>
      <c r="B480">
        <v>7</v>
      </c>
      <c r="C480">
        <v>1</v>
      </c>
      <c r="D480" t="s">
        <v>6</v>
      </c>
      <c r="E480">
        <v>3</v>
      </c>
      <c r="F480" t="str">
        <f t="shared" si="7"/>
        <v>Metabolism of cofactors and vitamins</v>
      </c>
    </row>
    <row r="481" spans="1:6" x14ac:dyDescent="0.45">
      <c r="A481" t="s">
        <v>10</v>
      </c>
      <c r="B481">
        <v>7</v>
      </c>
      <c r="C481">
        <v>1</v>
      </c>
      <c r="D481" t="s">
        <v>6</v>
      </c>
      <c r="E481">
        <v>3</v>
      </c>
      <c r="F481" t="str">
        <f t="shared" si="7"/>
        <v>Nucleotide metabolism</v>
      </c>
    </row>
    <row r="482" spans="1:6" x14ac:dyDescent="0.45">
      <c r="A482" t="s">
        <v>42</v>
      </c>
      <c r="B482">
        <v>7</v>
      </c>
      <c r="C482">
        <v>1</v>
      </c>
      <c r="D482" t="s">
        <v>6</v>
      </c>
      <c r="E482">
        <v>4</v>
      </c>
      <c r="F482" t="str">
        <f t="shared" si="7"/>
        <v>Amino acid metabolism</v>
      </c>
    </row>
    <row r="483" spans="1:6" x14ac:dyDescent="0.45">
      <c r="A483" t="s">
        <v>58</v>
      </c>
      <c r="B483">
        <v>7</v>
      </c>
      <c r="C483">
        <v>1</v>
      </c>
      <c r="D483" t="s">
        <v>6</v>
      </c>
      <c r="E483">
        <v>3</v>
      </c>
      <c r="F483" t="str">
        <f t="shared" si="7"/>
        <v>Amino acid metabolism</v>
      </c>
    </row>
    <row r="484" spans="1:6" x14ac:dyDescent="0.45">
      <c r="A484" t="s">
        <v>54</v>
      </c>
      <c r="B484">
        <v>7</v>
      </c>
      <c r="C484">
        <v>1</v>
      </c>
      <c r="D484" t="s">
        <v>6</v>
      </c>
      <c r="E484">
        <v>3</v>
      </c>
      <c r="F484" t="str">
        <f t="shared" si="7"/>
        <v>Amino acid metabolism</v>
      </c>
    </row>
    <row r="485" spans="1:6" x14ac:dyDescent="0.45">
      <c r="A485" t="s">
        <v>82</v>
      </c>
      <c r="B485">
        <v>7</v>
      </c>
      <c r="C485">
        <v>1</v>
      </c>
      <c r="D485" t="s">
        <v>6</v>
      </c>
      <c r="E485">
        <v>3</v>
      </c>
      <c r="F485" t="str">
        <f t="shared" si="7"/>
        <v>Amino acid metabolism</v>
      </c>
    </row>
    <row r="486" spans="1:6" x14ac:dyDescent="0.45">
      <c r="A486" t="s">
        <v>18</v>
      </c>
      <c r="B486">
        <v>7</v>
      </c>
      <c r="C486">
        <v>1</v>
      </c>
      <c r="D486" t="s">
        <v>6</v>
      </c>
      <c r="E486">
        <v>4</v>
      </c>
      <c r="F486" t="str">
        <f t="shared" si="7"/>
        <v>Amino acid metabolism</v>
      </c>
    </row>
    <row r="487" spans="1:6" x14ac:dyDescent="0.45">
      <c r="A487" t="s">
        <v>53</v>
      </c>
      <c r="B487">
        <v>7</v>
      </c>
      <c r="C487">
        <v>1</v>
      </c>
      <c r="D487" t="s">
        <v>6</v>
      </c>
      <c r="E487">
        <v>3</v>
      </c>
      <c r="F487" t="str">
        <f t="shared" si="7"/>
        <v>Amino acid metabolism</v>
      </c>
    </row>
    <row r="488" spans="1:6" x14ac:dyDescent="0.45">
      <c r="A488" t="s">
        <v>8</v>
      </c>
      <c r="B488">
        <v>7</v>
      </c>
      <c r="C488">
        <v>1</v>
      </c>
      <c r="D488" t="s">
        <v>6</v>
      </c>
      <c r="E488">
        <v>3</v>
      </c>
      <c r="F488" t="str">
        <f t="shared" si="7"/>
        <v>Glycan biosynthesis and metabolism</v>
      </c>
    </row>
    <row r="489" spans="1:6" x14ac:dyDescent="0.45">
      <c r="A489" t="s">
        <v>22</v>
      </c>
      <c r="B489">
        <v>7</v>
      </c>
      <c r="C489">
        <v>1</v>
      </c>
      <c r="D489" t="s">
        <v>6</v>
      </c>
      <c r="E489">
        <v>4</v>
      </c>
      <c r="F489" t="str">
        <f t="shared" si="7"/>
        <v>Carbohydrate metabolism</v>
      </c>
    </row>
    <row r="490" spans="1:6" x14ac:dyDescent="0.45">
      <c r="A490" t="s">
        <v>75</v>
      </c>
      <c r="B490">
        <v>7</v>
      </c>
      <c r="C490">
        <v>1</v>
      </c>
      <c r="D490" t="s">
        <v>6</v>
      </c>
      <c r="E490">
        <v>3</v>
      </c>
      <c r="F490" t="str">
        <f t="shared" si="7"/>
        <v>Phenylpropanoid metabolism</v>
      </c>
    </row>
    <row r="491" spans="1:6" x14ac:dyDescent="0.45">
      <c r="A491" t="s">
        <v>39</v>
      </c>
      <c r="B491">
        <v>7</v>
      </c>
      <c r="C491">
        <v>1</v>
      </c>
      <c r="D491" t="s">
        <v>6</v>
      </c>
      <c r="E491">
        <v>2</v>
      </c>
      <c r="F491" t="str">
        <f t="shared" si="7"/>
        <v>Carbohydrate metabolism</v>
      </c>
    </row>
    <row r="492" spans="1:6" x14ac:dyDescent="0.45">
      <c r="A492" t="s">
        <v>15</v>
      </c>
      <c r="B492">
        <v>7</v>
      </c>
      <c r="C492">
        <v>1</v>
      </c>
      <c r="D492" t="s">
        <v>6</v>
      </c>
      <c r="E492">
        <v>3</v>
      </c>
      <c r="F492" t="str">
        <f t="shared" si="7"/>
        <v>Carbon metabolism</v>
      </c>
    </row>
    <row r="493" spans="1:6" x14ac:dyDescent="0.45">
      <c r="A493" t="s">
        <v>40</v>
      </c>
      <c r="B493">
        <v>7</v>
      </c>
      <c r="C493">
        <v>1</v>
      </c>
      <c r="D493" t="s">
        <v>6</v>
      </c>
      <c r="E493">
        <v>6</v>
      </c>
      <c r="F493" t="str">
        <f t="shared" si="7"/>
        <v>Lipid metabolism</v>
      </c>
    </row>
    <row r="494" spans="1:6" x14ac:dyDescent="0.45">
      <c r="A494" t="s">
        <v>63</v>
      </c>
      <c r="B494">
        <v>7</v>
      </c>
      <c r="C494">
        <v>1</v>
      </c>
      <c r="D494" t="s">
        <v>6</v>
      </c>
      <c r="E494">
        <v>3</v>
      </c>
      <c r="F494" t="str">
        <f t="shared" si="7"/>
        <v>Amino acid metabolism</v>
      </c>
    </row>
    <row r="495" spans="1:6" x14ac:dyDescent="0.45">
      <c r="A495" t="s">
        <v>20</v>
      </c>
      <c r="B495">
        <v>7</v>
      </c>
      <c r="C495">
        <v>1</v>
      </c>
      <c r="D495" t="s">
        <v>6</v>
      </c>
      <c r="E495">
        <v>2</v>
      </c>
      <c r="F495" t="str">
        <f t="shared" si="7"/>
        <v>Carbohydrate metabolism</v>
      </c>
    </row>
    <row r="496" spans="1:6" x14ac:dyDescent="0.45">
      <c r="A496" t="s">
        <v>21</v>
      </c>
      <c r="B496">
        <v>7</v>
      </c>
      <c r="C496">
        <v>1</v>
      </c>
      <c r="D496" t="s">
        <v>6</v>
      </c>
      <c r="E496">
        <v>2</v>
      </c>
      <c r="F496" t="str">
        <f t="shared" si="7"/>
        <v>Lipid metabolism</v>
      </c>
    </row>
    <row r="497" spans="1:6" x14ac:dyDescent="0.45">
      <c r="A497" t="s">
        <v>59</v>
      </c>
      <c r="B497">
        <v>7</v>
      </c>
      <c r="C497">
        <v>1</v>
      </c>
      <c r="D497" t="s">
        <v>6</v>
      </c>
      <c r="E497">
        <v>2</v>
      </c>
      <c r="F497" t="str">
        <f t="shared" si="7"/>
        <v>Carbohydrate metabolism</v>
      </c>
    </row>
    <row r="498" spans="1:6" x14ac:dyDescent="0.45">
      <c r="A498" t="s">
        <v>23</v>
      </c>
      <c r="B498">
        <v>7</v>
      </c>
      <c r="C498">
        <v>1</v>
      </c>
      <c r="D498" t="s">
        <v>6</v>
      </c>
      <c r="E498">
        <v>2</v>
      </c>
      <c r="F498" t="str">
        <f t="shared" si="7"/>
        <v>Carbon metabolism</v>
      </c>
    </row>
    <row r="499" spans="1:6" x14ac:dyDescent="0.45">
      <c r="A499" t="s">
        <v>24</v>
      </c>
      <c r="B499">
        <v>7</v>
      </c>
      <c r="C499">
        <v>1</v>
      </c>
      <c r="D499" t="s">
        <v>6</v>
      </c>
      <c r="E499">
        <v>2</v>
      </c>
      <c r="F499" t="str">
        <f t="shared" si="7"/>
        <v>Metabolism of cofactors and vitamin</v>
      </c>
    </row>
    <row r="500" spans="1:6" x14ac:dyDescent="0.45">
      <c r="A500" t="s">
        <v>25</v>
      </c>
      <c r="B500">
        <v>7</v>
      </c>
      <c r="C500">
        <v>1</v>
      </c>
      <c r="D500" t="s">
        <v>6</v>
      </c>
      <c r="E500">
        <v>2</v>
      </c>
      <c r="F500" t="str">
        <f t="shared" si="7"/>
        <v>Metabolism of cofactors and vitamins</v>
      </c>
    </row>
    <row r="501" spans="1:6" x14ac:dyDescent="0.45">
      <c r="A501" t="s">
        <v>60</v>
      </c>
      <c r="B501">
        <v>7</v>
      </c>
      <c r="C501">
        <v>1</v>
      </c>
      <c r="D501" t="s">
        <v>6</v>
      </c>
      <c r="E501">
        <v>2</v>
      </c>
      <c r="F501" t="str">
        <f t="shared" si="7"/>
        <v>Metabolism of cofactors and vitamins</v>
      </c>
    </row>
    <row r="502" spans="1:6" x14ac:dyDescent="0.45">
      <c r="A502" t="s">
        <v>70</v>
      </c>
      <c r="B502">
        <v>7</v>
      </c>
      <c r="C502">
        <v>1</v>
      </c>
      <c r="D502" t="s">
        <v>6</v>
      </c>
      <c r="E502">
        <v>2</v>
      </c>
      <c r="F502" t="str">
        <f t="shared" si="7"/>
        <v>Metabolism of terpenoids and polyketides</v>
      </c>
    </row>
    <row r="503" spans="1:6" x14ac:dyDescent="0.45">
      <c r="A503" t="s">
        <v>28</v>
      </c>
      <c r="B503">
        <v>7</v>
      </c>
      <c r="C503">
        <v>1</v>
      </c>
      <c r="D503" t="s">
        <v>6</v>
      </c>
      <c r="E503">
        <v>2</v>
      </c>
      <c r="F503" t="str">
        <f t="shared" si="7"/>
        <v>Metabolism of terpenoids and polyketides</v>
      </c>
    </row>
    <row r="504" spans="1:6" x14ac:dyDescent="0.45">
      <c r="A504" t="s">
        <v>72</v>
      </c>
      <c r="B504">
        <v>7</v>
      </c>
      <c r="C504">
        <v>1</v>
      </c>
      <c r="D504" t="s">
        <v>6</v>
      </c>
      <c r="E504">
        <v>3</v>
      </c>
      <c r="F504" t="str">
        <f t="shared" si="7"/>
        <v>Metabolism of terpenoids and polyketides</v>
      </c>
    </row>
    <row r="505" spans="1:6" x14ac:dyDescent="0.45">
      <c r="A505" t="s">
        <v>84</v>
      </c>
      <c r="B505">
        <v>7</v>
      </c>
      <c r="C505">
        <v>1</v>
      </c>
      <c r="D505" t="s">
        <v>6</v>
      </c>
      <c r="E505">
        <v>3</v>
      </c>
      <c r="F505" t="str">
        <f t="shared" si="7"/>
        <v>Stilbenoid; diarylheptanoid and gingerol biosynthesis</v>
      </c>
    </row>
    <row r="506" spans="1:6" x14ac:dyDescent="0.45">
      <c r="A506" t="s">
        <v>81</v>
      </c>
      <c r="B506">
        <v>7</v>
      </c>
      <c r="C506">
        <v>1</v>
      </c>
      <c r="D506" t="s">
        <v>6</v>
      </c>
      <c r="E506">
        <v>2</v>
      </c>
      <c r="F506" t="str">
        <f t="shared" si="7"/>
        <v>Amino acid metabolism</v>
      </c>
    </row>
    <row r="507" spans="1:6" x14ac:dyDescent="0.45">
      <c r="A507" t="s">
        <v>50</v>
      </c>
      <c r="B507">
        <v>7</v>
      </c>
      <c r="C507">
        <v>1</v>
      </c>
      <c r="D507" t="s">
        <v>6</v>
      </c>
      <c r="E507">
        <v>4</v>
      </c>
      <c r="F507" t="str">
        <f t="shared" si="7"/>
        <v>Lipid metabolism</v>
      </c>
    </row>
    <row r="508" spans="1:6" x14ac:dyDescent="0.45">
      <c r="A508" t="s">
        <v>83</v>
      </c>
      <c r="B508">
        <v>7</v>
      </c>
      <c r="C508">
        <v>1</v>
      </c>
      <c r="D508" t="s">
        <v>6</v>
      </c>
      <c r="E508">
        <v>2</v>
      </c>
      <c r="F508" t="str">
        <f t="shared" si="7"/>
        <v>Carbohydrate metabolism</v>
      </c>
    </row>
    <row r="509" spans="1:6" x14ac:dyDescent="0.45">
      <c r="A509" t="s">
        <v>13</v>
      </c>
      <c r="B509">
        <v>7</v>
      </c>
      <c r="C509">
        <v>1</v>
      </c>
      <c r="D509" t="s">
        <v>6</v>
      </c>
      <c r="E509">
        <v>4</v>
      </c>
      <c r="F509" t="str">
        <f t="shared" si="7"/>
        <v>Terpenoid metabolism</v>
      </c>
    </row>
    <row r="510" spans="1:6" x14ac:dyDescent="0.45">
      <c r="A510" t="s">
        <v>66</v>
      </c>
      <c r="B510">
        <v>7</v>
      </c>
      <c r="C510">
        <v>1</v>
      </c>
      <c r="D510" t="s">
        <v>6</v>
      </c>
      <c r="E510">
        <v>1</v>
      </c>
      <c r="F510" t="str">
        <f t="shared" si="7"/>
        <v>Carbohydrate metabolism</v>
      </c>
    </row>
    <row r="511" spans="1:6" x14ac:dyDescent="0.45">
      <c r="A511" t="s">
        <v>85</v>
      </c>
      <c r="B511">
        <v>7</v>
      </c>
      <c r="C511">
        <v>1</v>
      </c>
      <c r="D511" t="s">
        <v>6</v>
      </c>
      <c r="E511">
        <v>4</v>
      </c>
      <c r="F511" t="str">
        <f t="shared" si="7"/>
        <v>Lipid metabolism</v>
      </c>
    </row>
    <row r="512" spans="1:6" x14ac:dyDescent="0.45">
      <c r="A512" t="s">
        <v>86</v>
      </c>
      <c r="B512">
        <v>7</v>
      </c>
      <c r="C512">
        <v>1</v>
      </c>
      <c r="D512" t="s">
        <v>6</v>
      </c>
      <c r="E512">
        <v>4</v>
      </c>
      <c r="F512" t="str">
        <f t="shared" si="7"/>
        <v>Lipid metabolism</v>
      </c>
    </row>
    <row r="513" spans="1:6" x14ac:dyDescent="0.45">
      <c r="A513" t="s">
        <v>106</v>
      </c>
      <c r="B513">
        <v>7</v>
      </c>
      <c r="C513">
        <v>1</v>
      </c>
      <c r="D513" t="s">
        <v>6</v>
      </c>
      <c r="E513">
        <v>1</v>
      </c>
      <c r="F513">
        <f t="shared" si="7"/>
        <v>0</v>
      </c>
    </row>
    <row r="514" spans="1:6" x14ac:dyDescent="0.45">
      <c r="A514" t="s">
        <v>41</v>
      </c>
      <c r="B514">
        <v>7</v>
      </c>
      <c r="C514">
        <v>1</v>
      </c>
      <c r="D514" t="s">
        <v>6</v>
      </c>
      <c r="E514">
        <v>2</v>
      </c>
      <c r="F514" t="str">
        <f t="shared" si="7"/>
        <v>Energy metabolism</v>
      </c>
    </row>
    <row r="515" spans="1:6" x14ac:dyDescent="0.45">
      <c r="A515" t="s">
        <v>76</v>
      </c>
      <c r="B515">
        <v>7</v>
      </c>
      <c r="C515">
        <v>1</v>
      </c>
      <c r="D515" t="s">
        <v>6</v>
      </c>
      <c r="E515">
        <v>1</v>
      </c>
      <c r="F515" t="str">
        <f t="shared" si="7"/>
        <v>Biosynthesis of other secondary metabolites</v>
      </c>
    </row>
    <row r="516" spans="1:6" x14ac:dyDescent="0.45">
      <c r="A516" t="s">
        <v>99</v>
      </c>
      <c r="B516">
        <v>7</v>
      </c>
      <c r="C516">
        <v>1</v>
      </c>
      <c r="D516" t="s">
        <v>6</v>
      </c>
      <c r="E516">
        <v>1</v>
      </c>
      <c r="F516" t="str">
        <f t="shared" ref="F516:F579" si="8">_xlfn.XLOOKUP(A516,$H$2:$H$200,$I$2:$I$200)</f>
        <v>Amino acid metabolism</v>
      </c>
    </row>
    <row r="517" spans="1:6" x14ac:dyDescent="0.45">
      <c r="A517" t="s">
        <v>43</v>
      </c>
      <c r="B517">
        <v>7</v>
      </c>
      <c r="C517">
        <v>1</v>
      </c>
      <c r="D517" t="s">
        <v>6</v>
      </c>
      <c r="E517">
        <v>1</v>
      </c>
      <c r="F517" t="str">
        <f t="shared" si="8"/>
        <v>Amino acid metabolism</v>
      </c>
    </row>
    <row r="518" spans="1:6" x14ac:dyDescent="0.45">
      <c r="A518" t="s">
        <v>68</v>
      </c>
      <c r="B518">
        <v>7</v>
      </c>
      <c r="C518">
        <v>1</v>
      </c>
      <c r="D518" t="s">
        <v>6</v>
      </c>
      <c r="E518">
        <v>1</v>
      </c>
      <c r="F518" t="str">
        <f t="shared" si="8"/>
        <v>Amino acid metabolism</v>
      </c>
    </row>
    <row r="519" spans="1:6" x14ac:dyDescent="0.45">
      <c r="A519" t="s">
        <v>45</v>
      </c>
      <c r="B519">
        <v>7</v>
      </c>
      <c r="C519">
        <v>1</v>
      </c>
      <c r="D519" t="s">
        <v>6</v>
      </c>
      <c r="E519">
        <v>1</v>
      </c>
      <c r="F519" t="str">
        <f t="shared" si="8"/>
        <v>Amino acid metabolism</v>
      </c>
    </row>
    <row r="520" spans="1:6" x14ac:dyDescent="0.45">
      <c r="A520" t="s">
        <v>67</v>
      </c>
      <c r="B520">
        <v>7</v>
      </c>
      <c r="C520">
        <v>1</v>
      </c>
      <c r="D520" t="s">
        <v>6</v>
      </c>
      <c r="E520">
        <v>1</v>
      </c>
      <c r="F520" t="str">
        <f t="shared" si="8"/>
        <v>Carbohydrate metabolism</v>
      </c>
    </row>
    <row r="521" spans="1:6" x14ac:dyDescent="0.45">
      <c r="A521" t="s">
        <v>47</v>
      </c>
      <c r="B521">
        <v>7</v>
      </c>
      <c r="C521">
        <v>1</v>
      </c>
      <c r="D521" t="s">
        <v>6</v>
      </c>
      <c r="E521">
        <v>1</v>
      </c>
      <c r="F521" t="str">
        <f t="shared" si="8"/>
        <v>Carbohydrate metabolism</v>
      </c>
    </row>
    <row r="522" spans="1:6" x14ac:dyDescent="0.45">
      <c r="A522" t="s">
        <v>89</v>
      </c>
      <c r="B522">
        <v>7</v>
      </c>
      <c r="C522">
        <v>1</v>
      </c>
      <c r="D522" t="s">
        <v>6</v>
      </c>
      <c r="E522">
        <v>1</v>
      </c>
      <c r="F522" t="str">
        <f t="shared" si="8"/>
        <v>Metabolism of cofactors and vitamins</v>
      </c>
    </row>
    <row r="523" spans="1:6" x14ac:dyDescent="0.45">
      <c r="A523" t="s">
        <v>27</v>
      </c>
      <c r="B523">
        <v>7</v>
      </c>
      <c r="C523">
        <v>1</v>
      </c>
      <c r="D523" t="s">
        <v>6</v>
      </c>
      <c r="E523">
        <v>1</v>
      </c>
      <c r="F523" t="str">
        <f t="shared" si="8"/>
        <v>Metabolism of cofactors and vitamins</v>
      </c>
    </row>
    <row r="524" spans="1:6" x14ac:dyDescent="0.45">
      <c r="A524" t="s">
        <v>107</v>
      </c>
      <c r="B524">
        <v>7</v>
      </c>
      <c r="C524">
        <v>1</v>
      </c>
      <c r="D524" t="s">
        <v>6</v>
      </c>
      <c r="E524">
        <v>1</v>
      </c>
      <c r="F524" t="str">
        <f t="shared" si="8"/>
        <v>Metabolism of cofactors and vitamins</v>
      </c>
    </row>
    <row r="525" spans="1:6" x14ac:dyDescent="0.45">
      <c r="A525" t="s">
        <v>64</v>
      </c>
      <c r="B525">
        <v>7</v>
      </c>
      <c r="C525">
        <v>1</v>
      </c>
      <c r="D525" t="s">
        <v>6</v>
      </c>
      <c r="E525">
        <v>1</v>
      </c>
      <c r="F525" t="str">
        <f t="shared" si="8"/>
        <v>Metabolism of cofactors and vitamins</v>
      </c>
    </row>
    <row r="526" spans="1:6" x14ac:dyDescent="0.45">
      <c r="A526" t="s">
        <v>71</v>
      </c>
      <c r="B526">
        <v>7</v>
      </c>
      <c r="C526">
        <v>1</v>
      </c>
      <c r="D526" t="s">
        <v>6</v>
      </c>
      <c r="E526">
        <v>1</v>
      </c>
      <c r="F526" t="str">
        <f t="shared" si="8"/>
        <v>Metabolism of terpenoids and polyketides</v>
      </c>
    </row>
    <row r="527" spans="1:6" x14ac:dyDescent="0.45">
      <c r="A527" t="s">
        <v>29</v>
      </c>
      <c r="B527">
        <v>7</v>
      </c>
      <c r="C527">
        <v>1</v>
      </c>
      <c r="D527" t="s">
        <v>6</v>
      </c>
      <c r="E527">
        <v>1</v>
      </c>
      <c r="F527" t="str">
        <f t="shared" si="8"/>
        <v>Energy metabolism</v>
      </c>
    </row>
    <row r="528" spans="1:6" x14ac:dyDescent="0.45">
      <c r="A528" t="s">
        <v>57</v>
      </c>
      <c r="B528">
        <v>7</v>
      </c>
      <c r="C528">
        <v>1</v>
      </c>
      <c r="D528" t="s">
        <v>6</v>
      </c>
      <c r="E528">
        <v>2</v>
      </c>
      <c r="F528" t="str">
        <f t="shared" si="8"/>
        <v>Phenylpropanoid metabolism</v>
      </c>
    </row>
    <row r="529" spans="1:6" x14ac:dyDescent="0.45">
      <c r="A529" t="s">
        <v>14</v>
      </c>
      <c r="B529">
        <v>7</v>
      </c>
      <c r="C529">
        <v>1</v>
      </c>
      <c r="D529" t="s">
        <v>6</v>
      </c>
      <c r="E529">
        <v>1</v>
      </c>
      <c r="F529" t="str">
        <f t="shared" si="8"/>
        <v>Alkaloid metabolism</v>
      </c>
    </row>
    <row r="530" spans="1:6" x14ac:dyDescent="0.45">
      <c r="A530" t="s">
        <v>55</v>
      </c>
      <c r="B530">
        <v>7</v>
      </c>
      <c r="C530">
        <v>1</v>
      </c>
      <c r="D530" t="s">
        <v>6</v>
      </c>
      <c r="E530">
        <v>1</v>
      </c>
      <c r="F530" t="str">
        <f t="shared" si="8"/>
        <v>Alkaloid metabolism</v>
      </c>
    </row>
    <row r="531" spans="1:6" x14ac:dyDescent="0.45">
      <c r="A531" t="s">
        <v>92</v>
      </c>
      <c r="B531">
        <v>7</v>
      </c>
      <c r="C531">
        <v>1</v>
      </c>
      <c r="D531" t="s">
        <v>6</v>
      </c>
      <c r="E531">
        <v>4</v>
      </c>
      <c r="F531" t="str">
        <f t="shared" si="8"/>
        <v>Fatty acid metabolism</v>
      </c>
    </row>
    <row r="532" spans="1:6" x14ac:dyDescent="0.45">
      <c r="A532" t="s">
        <v>35</v>
      </c>
      <c r="B532">
        <v>7</v>
      </c>
      <c r="C532">
        <v>1</v>
      </c>
      <c r="D532" t="s">
        <v>6</v>
      </c>
      <c r="E532">
        <v>1</v>
      </c>
      <c r="F532" t="str">
        <f t="shared" si="8"/>
        <v>Membrane transport</v>
      </c>
    </row>
    <row r="533" spans="1:6" x14ac:dyDescent="0.45">
      <c r="A533" t="s">
        <v>93</v>
      </c>
      <c r="B533">
        <v>7</v>
      </c>
      <c r="C533">
        <v>1</v>
      </c>
      <c r="D533" t="s">
        <v>6</v>
      </c>
      <c r="E533">
        <v>1</v>
      </c>
      <c r="F533" t="str">
        <f t="shared" si="8"/>
        <v>Signal transduction</v>
      </c>
    </row>
    <row r="534" spans="1:6" x14ac:dyDescent="0.45">
      <c r="A534" t="s">
        <v>52</v>
      </c>
      <c r="B534">
        <v>7</v>
      </c>
      <c r="C534">
        <v>1</v>
      </c>
      <c r="D534" t="s">
        <v>6</v>
      </c>
      <c r="E534">
        <v>1</v>
      </c>
      <c r="F534" t="str">
        <f t="shared" si="8"/>
        <v>Alkaloid metabolism</v>
      </c>
    </row>
    <row r="535" spans="1:6" x14ac:dyDescent="0.45">
      <c r="A535" t="s">
        <v>98</v>
      </c>
      <c r="B535">
        <v>7</v>
      </c>
      <c r="C535">
        <v>1</v>
      </c>
      <c r="D535" t="s">
        <v>6</v>
      </c>
      <c r="E535">
        <v>1</v>
      </c>
      <c r="F535">
        <f t="shared" si="8"/>
        <v>0</v>
      </c>
    </row>
    <row r="536" spans="1:6" x14ac:dyDescent="0.45">
      <c r="A536" t="s">
        <v>65</v>
      </c>
      <c r="B536">
        <v>7</v>
      </c>
      <c r="C536">
        <v>1</v>
      </c>
      <c r="D536" t="s">
        <v>6</v>
      </c>
      <c r="E536">
        <v>1</v>
      </c>
      <c r="F536" t="str">
        <f t="shared" si="8"/>
        <v>Secondary metabolism</v>
      </c>
    </row>
    <row r="537" spans="1:6" x14ac:dyDescent="0.45">
      <c r="A537" t="s">
        <v>31</v>
      </c>
      <c r="B537">
        <v>7</v>
      </c>
      <c r="C537">
        <v>-1</v>
      </c>
      <c r="D537" t="s">
        <v>6</v>
      </c>
      <c r="E537">
        <v>3</v>
      </c>
      <c r="F537" t="str">
        <f t="shared" si="8"/>
        <v>Glucosinolate biosynthesis</v>
      </c>
    </row>
    <row r="538" spans="1:6" x14ac:dyDescent="0.45">
      <c r="A538" t="s">
        <v>33</v>
      </c>
      <c r="B538">
        <v>7</v>
      </c>
      <c r="C538">
        <v>-1</v>
      </c>
      <c r="D538" t="s">
        <v>6</v>
      </c>
      <c r="E538">
        <v>3</v>
      </c>
      <c r="F538" t="str">
        <f t="shared" si="8"/>
        <v>Amino acid metabolism</v>
      </c>
    </row>
    <row r="539" spans="1:6" x14ac:dyDescent="0.45">
      <c r="A539" t="s">
        <v>9</v>
      </c>
      <c r="B539">
        <v>7</v>
      </c>
      <c r="C539">
        <v>-1</v>
      </c>
      <c r="D539" t="s">
        <v>6</v>
      </c>
      <c r="E539">
        <v>2</v>
      </c>
      <c r="F539" t="str">
        <f t="shared" si="8"/>
        <v>Carbohydrate metabolism</v>
      </c>
    </row>
    <row r="540" spans="1:6" x14ac:dyDescent="0.45">
      <c r="A540" t="s">
        <v>62</v>
      </c>
      <c r="B540">
        <v>7</v>
      </c>
      <c r="C540">
        <v>-1</v>
      </c>
      <c r="D540" t="s">
        <v>6</v>
      </c>
      <c r="E540">
        <v>2</v>
      </c>
      <c r="F540" t="str">
        <f t="shared" si="8"/>
        <v>Metabolism of cofactors and vitamins</v>
      </c>
    </row>
    <row r="541" spans="1:6" x14ac:dyDescent="0.45">
      <c r="A541" t="s">
        <v>20</v>
      </c>
      <c r="B541">
        <v>7</v>
      </c>
      <c r="C541">
        <v>-1</v>
      </c>
      <c r="D541" t="s">
        <v>6</v>
      </c>
      <c r="E541">
        <v>2</v>
      </c>
      <c r="F541" t="str">
        <f t="shared" si="8"/>
        <v>Carbohydrate metabolism</v>
      </c>
    </row>
    <row r="542" spans="1:6" x14ac:dyDescent="0.45">
      <c r="A542" t="s">
        <v>35</v>
      </c>
      <c r="B542">
        <v>7</v>
      </c>
      <c r="C542">
        <v>-1</v>
      </c>
      <c r="D542" t="s">
        <v>6</v>
      </c>
      <c r="E542">
        <v>2</v>
      </c>
      <c r="F542" t="str">
        <f t="shared" si="8"/>
        <v>Membrane transport</v>
      </c>
    </row>
    <row r="543" spans="1:6" x14ac:dyDescent="0.45">
      <c r="A543" t="s">
        <v>12</v>
      </c>
      <c r="B543">
        <v>7</v>
      </c>
      <c r="C543">
        <v>-1</v>
      </c>
      <c r="D543" t="s">
        <v>6</v>
      </c>
      <c r="E543">
        <v>1</v>
      </c>
      <c r="F543" t="str">
        <f t="shared" si="8"/>
        <v>Carbohydrate metabolism</v>
      </c>
    </row>
    <row r="544" spans="1:6" x14ac:dyDescent="0.45">
      <c r="A544" t="s">
        <v>54</v>
      </c>
      <c r="B544">
        <v>7</v>
      </c>
      <c r="C544">
        <v>-1</v>
      </c>
      <c r="D544" t="s">
        <v>6</v>
      </c>
      <c r="E544">
        <v>1</v>
      </c>
      <c r="F544" t="str">
        <f t="shared" si="8"/>
        <v>Amino acid metabolism</v>
      </c>
    </row>
    <row r="545" spans="1:6" x14ac:dyDescent="0.45">
      <c r="A545" t="s">
        <v>88</v>
      </c>
      <c r="B545">
        <v>7</v>
      </c>
      <c r="C545">
        <v>-1</v>
      </c>
      <c r="D545" t="s">
        <v>6</v>
      </c>
      <c r="E545">
        <v>1</v>
      </c>
      <c r="F545" t="str">
        <f t="shared" si="8"/>
        <v>Lipid metabolism</v>
      </c>
    </row>
    <row r="546" spans="1:6" x14ac:dyDescent="0.45">
      <c r="A546" t="s">
        <v>105</v>
      </c>
      <c r="B546">
        <v>7</v>
      </c>
      <c r="C546">
        <v>-1</v>
      </c>
      <c r="D546" t="s">
        <v>6</v>
      </c>
      <c r="E546">
        <v>1</v>
      </c>
      <c r="F546" t="str">
        <f t="shared" si="8"/>
        <v>Lipid metabolism</v>
      </c>
    </row>
    <row r="547" spans="1:6" x14ac:dyDescent="0.45">
      <c r="A547" t="s">
        <v>64</v>
      </c>
      <c r="B547">
        <v>7</v>
      </c>
      <c r="C547">
        <v>-1</v>
      </c>
      <c r="D547" t="s">
        <v>6</v>
      </c>
      <c r="E547">
        <v>1</v>
      </c>
      <c r="F547" t="str">
        <f t="shared" si="8"/>
        <v>Metabolism of cofactors and vitamins</v>
      </c>
    </row>
    <row r="548" spans="1:6" x14ac:dyDescent="0.45">
      <c r="A548" t="s">
        <v>71</v>
      </c>
      <c r="B548">
        <v>7</v>
      </c>
      <c r="C548">
        <v>-1</v>
      </c>
      <c r="D548" t="s">
        <v>6</v>
      </c>
      <c r="E548">
        <v>4</v>
      </c>
      <c r="F548" t="str">
        <f t="shared" si="8"/>
        <v>Metabolism of terpenoids and polyketides</v>
      </c>
    </row>
    <row r="549" spans="1:6" x14ac:dyDescent="0.45">
      <c r="A549" t="s">
        <v>38</v>
      </c>
      <c r="B549">
        <v>7</v>
      </c>
      <c r="C549">
        <v>-1</v>
      </c>
      <c r="D549" t="s">
        <v>6</v>
      </c>
      <c r="E549">
        <v>1</v>
      </c>
      <c r="F549" t="str">
        <f t="shared" si="8"/>
        <v>Degradation of aromatic compounds</v>
      </c>
    </row>
    <row r="550" spans="1:6" x14ac:dyDescent="0.45">
      <c r="A550" t="s">
        <v>36</v>
      </c>
      <c r="B550">
        <v>7</v>
      </c>
      <c r="C550">
        <v>-1</v>
      </c>
      <c r="D550" t="s">
        <v>6</v>
      </c>
      <c r="E550">
        <v>1</v>
      </c>
      <c r="F550" t="str">
        <f t="shared" si="8"/>
        <v>Phenylpropanoid metabolism</v>
      </c>
    </row>
    <row r="551" spans="1:6" x14ac:dyDescent="0.45">
      <c r="A551" t="s">
        <v>34</v>
      </c>
      <c r="B551">
        <v>8</v>
      </c>
      <c r="C551">
        <v>1</v>
      </c>
      <c r="D551" t="s">
        <v>6</v>
      </c>
      <c r="E551">
        <v>3</v>
      </c>
      <c r="F551" t="str">
        <f t="shared" si="8"/>
        <v>Amino acid metabolism</v>
      </c>
    </row>
    <row r="552" spans="1:6" x14ac:dyDescent="0.45">
      <c r="A552" t="s">
        <v>53</v>
      </c>
      <c r="B552">
        <v>8</v>
      </c>
      <c r="C552">
        <v>1</v>
      </c>
      <c r="D552" t="s">
        <v>6</v>
      </c>
      <c r="E552">
        <v>2</v>
      </c>
      <c r="F552" t="str">
        <f t="shared" si="8"/>
        <v>Amino acid metabolism</v>
      </c>
    </row>
    <row r="553" spans="1:6" x14ac:dyDescent="0.45">
      <c r="A553" t="s">
        <v>33</v>
      </c>
      <c r="B553">
        <v>8</v>
      </c>
      <c r="C553">
        <v>1</v>
      </c>
      <c r="D553" t="s">
        <v>6</v>
      </c>
      <c r="E553">
        <v>2</v>
      </c>
      <c r="F553" t="str">
        <f t="shared" si="8"/>
        <v>Amino acid metabolism</v>
      </c>
    </row>
    <row r="554" spans="1:6" x14ac:dyDescent="0.45">
      <c r="A554" t="s">
        <v>38</v>
      </c>
      <c r="B554">
        <v>8</v>
      </c>
      <c r="C554">
        <v>1</v>
      </c>
      <c r="D554" t="s">
        <v>6</v>
      </c>
      <c r="E554">
        <v>2</v>
      </c>
      <c r="F554" t="str">
        <f t="shared" si="8"/>
        <v>Degradation of aromatic compounds</v>
      </c>
    </row>
    <row r="555" spans="1:6" x14ac:dyDescent="0.45">
      <c r="A555" t="s">
        <v>16</v>
      </c>
      <c r="B555">
        <v>8</v>
      </c>
      <c r="C555">
        <v>1</v>
      </c>
      <c r="D555" t="s">
        <v>6</v>
      </c>
      <c r="E555">
        <v>1</v>
      </c>
      <c r="F555" t="str">
        <f t="shared" si="8"/>
        <v>Carbohydrate metabolism</v>
      </c>
    </row>
    <row r="556" spans="1:6" x14ac:dyDescent="0.45">
      <c r="A556" t="s">
        <v>86</v>
      </c>
      <c r="B556">
        <v>8</v>
      </c>
      <c r="C556">
        <v>1</v>
      </c>
      <c r="D556" t="s">
        <v>6</v>
      </c>
      <c r="E556">
        <v>1</v>
      </c>
      <c r="F556" t="str">
        <f t="shared" si="8"/>
        <v>Lipid metabolism</v>
      </c>
    </row>
    <row r="557" spans="1:6" x14ac:dyDescent="0.45">
      <c r="A557" t="s">
        <v>7</v>
      </c>
      <c r="B557">
        <v>8</v>
      </c>
      <c r="C557">
        <v>1</v>
      </c>
      <c r="D557" t="s">
        <v>6</v>
      </c>
      <c r="E557">
        <v>1</v>
      </c>
      <c r="F557" t="str">
        <f t="shared" si="8"/>
        <v>Nucleotide metabolism</v>
      </c>
    </row>
    <row r="558" spans="1:6" x14ac:dyDescent="0.45">
      <c r="A558" t="s">
        <v>58</v>
      </c>
      <c r="B558">
        <v>8</v>
      </c>
      <c r="C558">
        <v>1</v>
      </c>
      <c r="D558" t="s">
        <v>6</v>
      </c>
      <c r="E558">
        <v>1</v>
      </c>
      <c r="F558" t="str">
        <f t="shared" si="8"/>
        <v>Amino acid metabolism</v>
      </c>
    </row>
    <row r="559" spans="1:6" x14ac:dyDescent="0.45">
      <c r="A559" t="s">
        <v>82</v>
      </c>
      <c r="B559">
        <v>8</v>
      </c>
      <c r="C559">
        <v>1</v>
      </c>
      <c r="D559" t="s">
        <v>6</v>
      </c>
      <c r="E559">
        <v>1</v>
      </c>
      <c r="F559" t="str">
        <f t="shared" si="8"/>
        <v>Amino acid metabolism</v>
      </c>
    </row>
    <row r="560" spans="1:6" x14ac:dyDescent="0.45">
      <c r="A560" t="s">
        <v>44</v>
      </c>
      <c r="B560">
        <v>8</v>
      </c>
      <c r="C560">
        <v>1</v>
      </c>
      <c r="D560" t="s">
        <v>6</v>
      </c>
      <c r="E560">
        <v>1</v>
      </c>
      <c r="F560" t="str">
        <f t="shared" si="8"/>
        <v>Amino acid metabolism</v>
      </c>
    </row>
    <row r="561" spans="1:6" x14ac:dyDescent="0.45">
      <c r="A561" t="s">
        <v>17</v>
      </c>
      <c r="B561">
        <v>8</v>
      </c>
      <c r="C561">
        <v>1</v>
      </c>
      <c r="D561" t="s">
        <v>6</v>
      </c>
      <c r="E561">
        <v>1</v>
      </c>
      <c r="F561" t="str">
        <f t="shared" si="8"/>
        <v>Amino acid metabolism</v>
      </c>
    </row>
    <row r="562" spans="1:6" x14ac:dyDescent="0.45">
      <c r="A562" t="s">
        <v>18</v>
      </c>
      <c r="B562">
        <v>8</v>
      </c>
      <c r="C562">
        <v>1</v>
      </c>
      <c r="D562" t="s">
        <v>6</v>
      </c>
      <c r="E562">
        <v>1</v>
      </c>
      <c r="F562" t="str">
        <f t="shared" si="8"/>
        <v>Amino acid metabolism</v>
      </c>
    </row>
    <row r="563" spans="1:6" x14ac:dyDescent="0.45">
      <c r="A563" t="s">
        <v>19</v>
      </c>
      <c r="B563">
        <v>8</v>
      </c>
      <c r="C563">
        <v>1</v>
      </c>
      <c r="D563" t="s">
        <v>6</v>
      </c>
      <c r="E563">
        <v>1</v>
      </c>
      <c r="F563" t="str">
        <f t="shared" si="8"/>
        <v>Amino acid metabolism</v>
      </c>
    </row>
    <row r="564" spans="1:6" x14ac:dyDescent="0.45">
      <c r="A564" t="s">
        <v>67</v>
      </c>
      <c r="B564">
        <v>8</v>
      </c>
      <c r="C564">
        <v>1</v>
      </c>
      <c r="D564" t="s">
        <v>6</v>
      </c>
      <c r="E564">
        <v>1</v>
      </c>
      <c r="F564" t="str">
        <f t="shared" si="8"/>
        <v>Carbohydrate metabolism</v>
      </c>
    </row>
    <row r="565" spans="1:6" x14ac:dyDescent="0.45">
      <c r="A565" t="s">
        <v>47</v>
      </c>
      <c r="B565">
        <v>8</v>
      </c>
      <c r="C565">
        <v>1</v>
      </c>
      <c r="D565" t="s">
        <v>6</v>
      </c>
      <c r="E565">
        <v>1</v>
      </c>
      <c r="F565" t="str">
        <f t="shared" si="8"/>
        <v>Carbohydrate metabolism</v>
      </c>
    </row>
    <row r="566" spans="1:6" x14ac:dyDescent="0.45">
      <c r="A566" t="s">
        <v>23</v>
      </c>
      <c r="B566">
        <v>8</v>
      </c>
      <c r="C566">
        <v>1</v>
      </c>
      <c r="D566" t="s">
        <v>6</v>
      </c>
      <c r="E566">
        <v>1</v>
      </c>
      <c r="F566" t="str">
        <f t="shared" si="8"/>
        <v>Carbon metabolism</v>
      </c>
    </row>
    <row r="567" spans="1:6" x14ac:dyDescent="0.45">
      <c r="A567" t="s">
        <v>25</v>
      </c>
      <c r="B567">
        <v>8</v>
      </c>
      <c r="C567">
        <v>1</v>
      </c>
      <c r="D567" t="s">
        <v>6</v>
      </c>
      <c r="E567">
        <v>1</v>
      </c>
      <c r="F567" t="str">
        <f t="shared" si="8"/>
        <v>Metabolism of cofactors and vitamins</v>
      </c>
    </row>
    <row r="568" spans="1:6" x14ac:dyDescent="0.45">
      <c r="A568" t="s">
        <v>26</v>
      </c>
      <c r="B568">
        <v>8</v>
      </c>
      <c r="C568">
        <v>1</v>
      </c>
      <c r="D568" t="s">
        <v>6</v>
      </c>
      <c r="E568">
        <v>1</v>
      </c>
      <c r="F568" t="str">
        <f t="shared" si="8"/>
        <v>Metabolism of cofactors and vitamins</v>
      </c>
    </row>
    <row r="569" spans="1:6" x14ac:dyDescent="0.45">
      <c r="A569" t="s">
        <v>14</v>
      </c>
      <c r="B569">
        <v>8</v>
      </c>
      <c r="C569">
        <v>1</v>
      </c>
      <c r="D569" t="s">
        <v>6</v>
      </c>
      <c r="E569">
        <v>1</v>
      </c>
      <c r="F569" t="str">
        <f t="shared" si="8"/>
        <v>Alkaloid metabolism</v>
      </c>
    </row>
    <row r="570" spans="1:6" x14ac:dyDescent="0.45">
      <c r="A570" t="s">
        <v>31</v>
      </c>
      <c r="B570">
        <v>8</v>
      </c>
      <c r="C570">
        <v>1</v>
      </c>
      <c r="D570" t="s">
        <v>6</v>
      </c>
      <c r="E570">
        <v>1</v>
      </c>
      <c r="F570" t="str">
        <f t="shared" si="8"/>
        <v>Glucosinolate biosynthesis</v>
      </c>
    </row>
    <row r="571" spans="1:6" x14ac:dyDescent="0.45">
      <c r="A571" t="s">
        <v>91</v>
      </c>
      <c r="B571">
        <v>8</v>
      </c>
      <c r="C571">
        <v>1</v>
      </c>
      <c r="D571" t="s">
        <v>6</v>
      </c>
      <c r="E571">
        <v>1</v>
      </c>
      <c r="F571" t="str">
        <f t="shared" si="8"/>
        <v>Genetic Information Processing</v>
      </c>
    </row>
    <row r="572" spans="1:6" x14ac:dyDescent="0.45">
      <c r="A572" t="s">
        <v>32</v>
      </c>
      <c r="B572">
        <v>8</v>
      </c>
      <c r="C572">
        <v>1</v>
      </c>
      <c r="D572" t="s">
        <v>6</v>
      </c>
      <c r="E572">
        <v>1</v>
      </c>
      <c r="F572" t="str">
        <f t="shared" si="8"/>
        <v xml:space="preserve">Carbon metabolism </v>
      </c>
    </row>
    <row r="573" spans="1:6" x14ac:dyDescent="0.45">
      <c r="A573" t="s">
        <v>95</v>
      </c>
      <c r="B573">
        <v>8</v>
      </c>
      <c r="C573">
        <v>1</v>
      </c>
      <c r="D573" t="s">
        <v>6</v>
      </c>
      <c r="E573">
        <v>1</v>
      </c>
      <c r="F573" t="str">
        <f t="shared" si="8"/>
        <v>Amino acid metabolism</v>
      </c>
    </row>
    <row r="574" spans="1:6" x14ac:dyDescent="0.45">
      <c r="A574" t="s">
        <v>52</v>
      </c>
      <c r="B574">
        <v>8</v>
      </c>
      <c r="C574">
        <v>1</v>
      </c>
      <c r="D574" t="s">
        <v>6</v>
      </c>
      <c r="E574">
        <v>1</v>
      </c>
      <c r="F574" t="str">
        <f t="shared" si="8"/>
        <v>Alkaloid metabolism</v>
      </c>
    </row>
    <row r="575" spans="1:6" x14ac:dyDescent="0.45">
      <c r="A575" t="s">
        <v>36</v>
      </c>
      <c r="B575">
        <v>8</v>
      </c>
      <c r="C575">
        <v>1</v>
      </c>
      <c r="D575" t="s">
        <v>6</v>
      </c>
      <c r="E575">
        <v>1</v>
      </c>
      <c r="F575" t="str">
        <f t="shared" si="8"/>
        <v>Phenylpropanoid metabolism</v>
      </c>
    </row>
    <row r="576" spans="1:6" x14ac:dyDescent="0.45">
      <c r="A576" t="s">
        <v>38</v>
      </c>
      <c r="B576">
        <v>8</v>
      </c>
      <c r="C576">
        <v>-1</v>
      </c>
      <c r="D576" t="s">
        <v>6</v>
      </c>
      <c r="E576">
        <v>9</v>
      </c>
      <c r="F576" t="str">
        <f t="shared" si="8"/>
        <v>Degradation of aromatic compounds</v>
      </c>
    </row>
    <row r="577" spans="1:6" x14ac:dyDescent="0.45">
      <c r="A577" t="s">
        <v>51</v>
      </c>
      <c r="B577">
        <v>8</v>
      </c>
      <c r="C577">
        <v>-1</v>
      </c>
      <c r="D577" t="s">
        <v>6</v>
      </c>
      <c r="E577">
        <v>7</v>
      </c>
      <c r="F577" t="str">
        <f t="shared" si="8"/>
        <v>Metabolism of terpenoids and polyketides</v>
      </c>
    </row>
    <row r="578" spans="1:6" x14ac:dyDescent="0.45">
      <c r="A578" t="s">
        <v>19</v>
      </c>
      <c r="B578">
        <v>8</v>
      </c>
      <c r="C578">
        <v>-1</v>
      </c>
      <c r="D578" t="s">
        <v>6</v>
      </c>
      <c r="E578">
        <v>6</v>
      </c>
      <c r="F578" t="str">
        <f t="shared" si="8"/>
        <v>Amino acid metabolism</v>
      </c>
    </row>
    <row r="579" spans="1:6" x14ac:dyDescent="0.45">
      <c r="A579" t="s">
        <v>30</v>
      </c>
      <c r="B579">
        <v>8</v>
      </c>
      <c r="C579">
        <v>-1</v>
      </c>
      <c r="D579" t="s">
        <v>6</v>
      </c>
      <c r="E579">
        <v>6</v>
      </c>
      <c r="F579" t="str">
        <f t="shared" si="8"/>
        <v>Phenylpropanoid biosynthesis</v>
      </c>
    </row>
    <row r="580" spans="1:6" x14ac:dyDescent="0.45">
      <c r="A580" t="s">
        <v>57</v>
      </c>
      <c r="B580">
        <v>8</v>
      </c>
      <c r="C580">
        <v>-1</v>
      </c>
      <c r="D580" t="s">
        <v>6</v>
      </c>
      <c r="E580">
        <v>6</v>
      </c>
      <c r="F580" t="str">
        <f t="shared" ref="F580:F643" si="9">_xlfn.XLOOKUP(A580,$H$2:$H$200,$I$2:$I$200)</f>
        <v>Phenylpropanoid metabolism</v>
      </c>
    </row>
    <row r="581" spans="1:6" x14ac:dyDescent="0.45">
      <c r="A581" t="s">
        <v>50</v>
      </c>
      <c r="B581">
        <v>8</v>
      </c>
      <c r="C581">
        <v>-1</v>
      </c>
      <c r="D581" t="s">
        <v>6</v>
      </c>
      <c r="E581">
        <v>3</v>
      </c>
      <c r="F581" t="str">
        <f t="shared" si="9"/>
        <v>Lipid metabolism</v>
      </c>
    </row>
    <row r="582" spans="1:6" x14ac:dyDescent="0.45">
      <c r="A582" t="s">
        <v>53</v>
      </c>
      <c r="B582">
        <v>8</v>
      </c>
      <c r="C582">
        <v>-1</v>
      </c>
      <c r="D582" t="s">
        <v>6</v>
      </c>
      <c r="E582">
        <v>5</v>
      </c>
      <c r="F582" t="str">
        <f t="shared" si="9"/>
        <v>Amino acid metabolism</v>
      </c>
    </row>
    <row r="583" spans="1:6" x14ac:dyDescent="0.45">
      <c r="A583" t="s">
        <v>13</v>
      </c>
      <c r="B583">
        <v>8</v>
      </c>
      <c r="C583">
        <v>-1</v>
      </c>
      <c r="D583" t="s">
        <v>6</v>
      </c>
      <c r="E583">
        <v>3</v>
      </c>
      <c r="F583" t="str">
        <f t="shared" si="9"/>
        <v>Terpenoid metabolism</v>
      </c>
    </row>
    <row r="584" spans="1:6" x14ac:dyDescent="0.45">
      <c r="A584" t="s">
        <v>33</v>
      </c>
      <c r="B584">
        <v>8</v>
      </c>
      <c r="C584">
        <v>-1</v>
      </c>
      <c r="D584" t="s">
        <v>6</v>
      </c>
      <c r="E584">
        <v>5</v>
      </c>
      <c r="F584" t="str">
        <f t="shared" si="9"/>
        <v>Amino acid metabolism</v>
      </c>
    </row>
    <row r="585" spans="1:6" x14ac:dyDescent="0.45">
      <c r="A585" t="s">
        <v>49</v>
      </c>
      <c r="B585">
        <v>8</v>
      </c>
      <c r="C585">
        <v>-1</v>
      </c>
      <c r="D585" t="s">
        <v>6</v>
      </c>
      <c r="E585">
        <v>4</v>
      </c>
      <c r="F585" t="str">
        <f t="shared" si="9"/>
        <v>Phenylpropanoid metabolism</v>
      </c>
    </row>
    <row r="586" spans="1:6" x14ac:dyDescent="0.45">
      <c r="A586" t="s">
        <v>65</v>
      </c>
      <c r="B586">
        <v>8</v>
      </c>
      <c r="C586">
        <v>-1</v>
      </c>
      <c r="D586" t="s">
        <v>6</v>
      </c>
      <c r="E586">
        <v>4</v>
      </c>
      <c r="F586" t="str">
        <f t="shared" si="9"/>
        <v>Secondary metabolism</v>
      </c>
    </row>
    <row r="587" spans="1:6" x14ac:dyDescent="0.45">
      <c r="A587" t="s">
        <v>40</v>
      </c>
      <c r="B587">
        <v>8</v>
      </c>
      <c r="C587">
        <v>-1</v>
      </c>
      <c r="D587" t="s">
        <v>6</v>
      </c>
      <c r="E587">
        <v>3</v>
      </c>
      <c r="F587" t="str">
        <f t="shared" si="9"/>
        <v>Lipid metabolism</v>
      </c>
    </row>
    <row r="588" spans="1:6" x14ac:dyDescent="0.45">
      <c r="A588" t="s">
        <v>62</v>
      </c>
      <c r="B588">
        <v>8</v>
      </c>
      <c r="C588">
        <v>-1</v>
      </c>
      <c r="D588" t="s">
        <v>6</v>
      </c>
      <c r="E588">
        <v>3</v>
      </c>
      <c r="F588" t="str">
        <f t="shared" si="9"/>
        <v>Metabolism of cofactors and vitamins</v>
      </c>
    </row>
    <row r="589" spans="1:6" x14ac:dyDescent="0.45">
      <c r="A589" t="s">
        <v>58</v>
      </c>
      <c r="B589">
        <v>8</v>
      </c>
      <c r="C589">
        <v>-1</v>
      </c>
      <c r="D589" t="s">
        <v>6</v>
      </c>
      <c r="E589">
        <v>3</v>
      </c>
      <c r="F589" t="str">
        <f t="shared" si="9"/>
        <v>Amino acid metabolism</v>
      </c>
    </row>
    <row r="590" spans="1:6" x14ac:dyDescent="0.45">
      <c r="A590" t="s">
        <v>54</v>
      </c>
      <c r="B590">
        <v>8</v>
      </c>
      <c r="C590">
        <v>-1</v>
      </c>
      <c r="D590" t="s">
        <v>6</v>
      </c>
      <c r="E590">
        <v>3</v>
      </c>
      <c r="F590" t="str">
        <f t="shared" si="9"/>
        <v>Amino acid metabolism</v>
      </c>
    </row>
    <row r="591" spans="1:6" x14ac:dyDescent="0.45">
      <c r="A591" t="s">
        <v>46</v>
      </c>
      <c r="B591">
        <v>8</v>
      </c>
      <c r="C591">
        <v>-1</v>
      </c>
      <c r="D591" t="s">
        <v>6</v>
      </c>
      <c r="E591">
        <v>2</v>
      </c>
      <c r="F591" t="str">
        <f t="shared" si="9"/>
        <v>Lipid metabolism</v>
      </c>
    </row>
    <row r="592" spans="1:6" x14ac:dyDescent="0.45">
      <c r="A592" t="s">
        <v>28</v>
      </c>
      <c r="B592">
        <v>8</v>
      </c>
      <c r="C592">
        <v>-1</v>
      </c>
      <c r="D592" t="s">
        <v>6</v>
      </c>
      <c r="E592">
        <v>2</v>
      </c>
      <c r="F592" t="str">
        <f t="shared" si="9"/>
        <v>Metabolism of terpenoids and polyketides</v>
      </c>
    </row>
    <row r="593" spans="1:6" x14ac:dyDescent="0.45">
      <c r="A593" t="s">
        <v>74</v>
      </c>
      <c r="B593">
        <v>8</v>
      </c>
      <c r="C593">
        <v>-1</v>
      </c>
      <c r="D593" t="s">
        <v>6</v>
      </c>
      <c r="E593">
        <v>2</v>
      </c>
      <c r="F593" t="str">
        <f t="shared" si="9"/>
        <v>Phenylpropanoid metabolism</v>
      </c>
    </row>
    <row r="594" spans="1:6" x14ac:dyDescent="0.45">
      <c r="A594" t="s">
        <v>75</v>
      </c>
      <c r="B594">
        <v>8</v>
      </c>
      <c r="C594">
        <v>-1</v>
      </c>
      <c r="D594" t="s">
        <v>6</v>
      </c>
      <c r="E594">
        <v>2</v>
      </c>
      <c r="F594" t="str">
        <f t="shared" si="9"/>
        <v>Phenylpropanoid metabolism</v>
      </c>
    </row>
    <row r="595" spans="1:6" x14ac:dyDescent="0.45">
      <c r="A595" t="s">
        <v>31</v>
      </c>
      <c r="B595">
        <v>8</v>
      </c>
      <c r="C595">
        <v>-1</v>
      </c>
      <c r="D595" t="s">
        <v>6</v>
      </c>
      <c r="E595">
        <v>3</v>
      </c>
      <c r="F595" t="str">
        <f t="shared" si="9"/>
        <v>Glucosinolate biosynthesis</v>
      </c>
    </row>
    <row r="596" spans="1:6" x14ac:dyDescent="0.45">
      <c r="A596" t="s">
        <v>34</v>
      </c>
      <c r="B596">
        <v>8</v>
      </c>
      <c r="C596">
        <v>-1</v>
      </c>
      <c r="D596" t="s">
        <v>6</v>
      </c>
      <c r="E596">
        <v>4</v>
      </c>
      <c r="F596" t="str">
        <f t="shared" si="9"/>
        <v>Amino acid metabolism</v>
      </c>
    </row>
    <row r="597" spans="1:6" x14ac:dyDescent="0.45">
      <c r="A597" t="s">
        <v>84</v>
      </c>
      <c r="B597">
        <v>8</v>
      </c>
      <c r="C597">
        <v>-1</v>
      </c>
      <c r="D597" t="s">
        <v>6</v>
      </c>
      <c r="E597">
        <v>4</v>
      </c>
      <c r="F597" t="str">
        <f t="shared" si="9"/>
        <v>Stilbenoid; diarylheptanoid and gingerol biosynthesis</v>
      </c>
    </row>
    <row r="598" spans="1:6" x14ac:dyDescent="0.45">
      <c r="A598" t="s">
        <v>9</v>
      </c>
      <c r="B598">
        <v>8</v>
      </c>
      <c r="C598">
        <v>-1</v>
      </c>
      <c r="D598" t="s">
        <v>6</v>
      </c>
      <c r="E598">
        <v>1</v>
      </c>
      <c r="F598" t="str">
        <f t="shared" si="9"/>
        <v>Carbohydrate metabolism</v>
      </c>
    </row>
    <row r="599" spans="1:6" x14ac:dyDescent="0.45">
      <c r="A599" t="s">
        <v>86</v>
      </c>
      <c r="B599">
        <v>8</v>
      </c>
      <c r="C599">
        <v>-1</v>
      </c>
      <c r="D599" t="s">
        <v>6</v>
      </c>
      <c r="E599">
        <v>1</v>
      </c>
      <c r="F599" t="str">
        <f t="shared" si="9"/>
        <v>Lipid metabolism</v>
      </c>
    </row>
    <row r="600" spans="1:6" x14ac:dyDescent="0.45">
      <c r="A600" t="s">
        <v>41</v>
      </c>
      <c r="B600">
        <v>8</v>
      </c>
      <c r="C600">
        <v>-1</v>
      </c>
      <c r="D600" t="s">
        <v>6</v>
      </c>
      <c r="E600">
        <v>1</v>
      </c>
      <c r="F600" t="str">
        <f t="shared" si="9"/>
        <v>Energy metabolism</v>
      </c>
    </row>
    <row r="601" spans="1:6" x14ac:dyDescent="0.45">
      <c r="A601" t="s">
        <v>7</v>
      </c>
      <c r="B601">
        <v>8</v>
      </c>
      <c r="C601">
        <v>-1</v>
      </c>
      <c r="D601" t="s">
        <v>6</v>
      </c>
      <c r="E601">
        <v>1</v>
      </c>
      <c r="F601" t="str">
        <f t="shared" si="9"/>
        <v>Nucleotide metabolism</v>
      </c>
    </row>
    <row r="602" spans="1:6" x14ac:dyDescent="0.45">
      <c r="A602" t="s">
        <v>44</v>
      </c>
      <c r="B602">
        <v>8</v>
      </c>
      <c r="C602">
        <v>-1</v>
      </c>
      <c r="D602" t="s">
        <v>6</v>
      </c>
      <c r="E602">
        <v>2</v>
      </c>
      <c r="F602" t="str">
        <f t="shared" si="9"/>
        <v>Amino acid metabolism</v>
      </c>
    </row>
    <row r="603" spans="1:6" x14ac:dyDescent="0.45">
      <c r="A603" t="s">
        <v>18</v>
      </c>
      <c r="B603">
        <v>8</v>
      </c>
      <c r="C603">
        <v>-1</v>
      </c>
      <c r="D603" t="s">
        <v>6</v>
      </c>
      <c r="E603">
        <v>1</v>
      </c>
      <c r="F603" t="str">
        <f t="shared" si="9"/>
        <v>Amino acid metabolism</v>
      </c>
    </row>
    <row r="604" spans="1:6" x14ac:dyDescent="0.45">
      <c r="A604" t="s">
        <v>8</v>
      </c>
      <c r="B604">
        <v>8</v>
      </c>
      <c r="C604">
        <v>-1</v>
      </c>
      <c r="D604" t="s">
        <v>6</v>
      </c>
      <c r="E604">
        <v>1</v>
      </c>
      <c r="F604" t="str">
        <f t="shared" si="9"/>
        <v>Glycan biosynthesis and metabolism</v>
      </c>
    </row>
    <row r="605" spans="1:6" x14ac:dyDescent="0.45">
      <c r="A605" t="s">
        <v>88</v>
      </c>
      <c r="B605">
        <v>8</v>
      </c>
      <c r="C605">
        <v>-1</v>
      </c>
      <c r="D605" t="s">
        <v>6</v>
      </c>
      <c r="E605">
        <v>1</v>
      </c>
      <c r="F605" t="str">
        <f t="shared" si="9"/>
        <v>Lipid metabolism</v>
      </c>
    </row>
    <row r="606" spans="1:6" x14ac:dyDescent="0.45">
      <c r="A606" t="s">
        <v>78</v>
      </c>
      <c r="B606">
        <v>8</v>
      </c>
      <c r="C606">
        <v>-1</v>
      </c>
      <c r="D606" t="s">
        <v>6</v>
      </c>
      <c r="E606">
        <v>1</v>
      </c>
      <c r="F606" t="str">
        <f t="shared" si="9"/>
        <v>Lipid metabolism</v>
      </c>
    </row>
    <row r="607" spans="1:6" x14ac:dyDescent="0.45">
      <c r="A607" t="s">
        <v>47</v>
      </c>
      <c r="B607">
        <v>8</v>
      </c>
      <c r="C607">
        <v>-1</v>
      </c>
      <c r="D607" t="s">
        <v>6</v>
      </c>
      <c r="E607">
        <v>1</v>
      </c>
      <c r="F607" t="str">
        <f t="shared" si="9"/>
        <v>Carbohydrate metabolism</v>
      </c>
    </row>
    <row r="608" spans="1:6" x14ac:dyDescent="0.45">
      <c r="A608" t="s">
        <v>89</v>
      </c>
      <c r="B608">
        <v>8</v>
      </c>
      <c r="C608">
        <v>-1</v>
      </c>
      <c r="D608" t="s">
        <v>6</v>
      </c>
      <c r="E608">
        <v>1</v>
      </c>
      <c r="F608" t="str">
        <f t="shared" si="9"/>
        <v>Metabolism of cofactors and vitamins</v>
      </c>
    </row>
    <row r="609" spans="1:6" x14ac:dyDescent="0.45">
      <c r="A609" t="s">
        <v>24</v>
      </c>
      <c r="B609">
        <v>8</v>
      </c>
      <c r="C609">
        <v>-1</v>
      </c>
      <c r="D609" t="s">
        <v>6</v>
      </c>
      <c r="E609">
        <v>1</v>
      </c>
      <c r="F609" t="str">
        <f t="shared" si="9"/>
        <v>Metabolism of cofactors and vitamin</v>
      </c>
    </row>
    <row r="610" spans="1:6" x14ac:dyDescent="0.45">
      <c r="A610" t="s">
        <v>27</v>
      </c>
      <c r="B610">
        <v>8</v>
      </c>
      <c r="C610">
        <v>-1</v>
      </c>
      <c r="D610" t="s">
        <v>6</v>
      </c>
      <c r="E610">
        <v>1</v>
      </c>
      <c r="F610" t="str">
        <f t="shared" si="9"/>
        <v>Metabolism of cofactors and vitamins</v>
      </c>
    </row>
    <row r="611" spans="1:6" x14ac:dyDescent="0.45">
      <c r="A611" t="s">
        <v>72</v>
      </c>
      <c r="B611">
        <v>8</v>
      </c>
      <c r="C611">
        <v>-1</v>
      </c>
      <c r="D611" t="s">
        <v>6</v>
      </c>
      <c r="E611">
        <v>2</v>
      </c>
      <c r="F611" t="str">
        <f t="shared" si="9"/>
        <v>Metabolism of terpenoids and polyketides</v>
      </c>
    </row>
    <row r="612" spans="1:6" x14ac:dyDescent="0.45">
      <c r="A612" t="s">
        <v>14</v>
      </c>
      <c r="B612">
        <v>8</v>
      </c>
      <c r="C612">
        <v>-1</v>
      </c>
      <c r="D612" t="s">
        <v>6</v>
      </c>
      <c r="E612">
        <v>1</v>
      </c>
      <c r="F612" t="str">
        <f t="shared" si="9"/>
        <v>Alkaloid metabolism</v>
      </c>
    </row>
    <row r="613" spans="1:6" x14ac:dyDescent="0.45">
      <c r="A613" t="s">
        <v>55</v>
      </c>
      <c r="B613">
        <v>8</v>
      </c>
      <c r="C613">
        <v>-1</v>
      </c>
      <c r="D613" t="s">
        <v>6</v>
      </c>
      <c r="E613">
        <v>1</v>
      </c>
      <c r="F613" t="str">
        <f t="shared" si="9"/>
        <v>Alkaloid metabolism</v>
      </c>
    </row>
    <row r="614" spans="1:6" x14ac:dyDescent="0.45">
      <c r="A614" t="s">
        <v>91</v>
      </c>
      <c r="B614">
        <v>8</v>
      </c>
      <c r="C614">
        <v>-1</v>
      </c>
      <c r="D614" t="s">
        <v>6</v>
      </c>
      <c r="E614">
        <v>2</v>
      </c>
      <c r="F614" t="str">
        <f t="shared" si="9"/>
        <v>Genetic Information Processing</v>
      </c>
    </row>
    <row r="615" spans="1:6" x14ac:dyDescent="0.45">
      <c r="A615" t="s">
        <v>95</v>
      </c>
      <c r="B615">
        <v>8</v>
      </c>
      <c r="C615">
        <v>-1</v>
      </c>
      <c r="D615" t="s">
        <v>6</v>
      </c>
      <c r="E615">
        <v>2</v>
      </c>
      <c r="F615" t="str">
        <f t="shared" si="9"/>
        <v>Amino acid metabolism</v>
      </c>
    </row>
    <row r="616" spans="1:6" x14ac:dyDescent="0.45">
      <c r="A616" t="s">
        <v>52</v>
      </c>
      <c r="B616">
        <v>8</v>
      </c>
      <c r="C616">
        <v>-1</v>
      </c>
      <c r="D616" t="s">
        <v>6</v>
      </c>
      <c r="E616">
        <v>1</v>
      </c>
      <c r="F616" t="str">
        <f t="shared" si="9"/>
        <v>Alkaloid metabolism</v>
      </c>
    </row>
    <row r="617" spans="1:6" x14ac:dyDescent="0.45">
      <c r="A617" t="s">
        <v>36</v>
      </c>
      <c r="B617">
        <v>8</v>
      </c>
      <c r="C617">
        <v>-1</v>
      </c>
      <c r="D617" t="s">
        <v>6</v>
      </c>
      <c r="E617">
        <v>1</v>
      </c>
      <c r="F617" t="str">
        <f t="shared" si="9"/>
        <v>Phenylpropanoid metabolism</v>
      </c>
    </row>
    <row r="618" spans="1:6" x14ac:dyDescent="0.45">
      <c r="A618" t="s">
        <v>37</v>
      </c>
      <c r="B618">
        <v>8</v>
      </c>
      <c r="C618">
        <v>-1</v>
      </c>
      <c r="D618" t="s">
        <v>6</v>
      </c>
      <c r="E618">
        <v>1</v>
      </c>
      <c r="F618" t="str">
        <f t="shared" si="9"/>
        <v>Primary metabolism</v>
      </c>
    </row>
    <row r="619" spans="1:6" x14ac:dyDescent="0.45">
      <c r="A619" t="s">
        <v>33</v>
      </c>
      <c r="B619">
        <v>9</v>
      </c>
      <c r="C619">
        <v>1</v>
      </c>
      <c r="D619" t="s">
        <v>6</v>
      </c>
      <c r="E619">
        <v>6</v>
      </c>
      <c r="F619" t="str">
        <f t="shared" si="9"/>
        <v>Amino acid metabolism</v>
      </c>
    </row>
    <row r="620" spans="1:6" x14ac:dyDescent="0.45">
      <c r="A620" t="s">
        <v>38</v>
      </c>
      <c r="B620">
        <v>9</v>
      </c>
      <c r="C620">
        <v>1</v>
      </c>
      <c r="D620" t="s">
        <v>6</v>
      </c>
      <c r="E620">
        <v>5</v>
      </c>
      <c r="F620" t="str">
        <f t="shared" si="9"/>
        <v>Degradation of aromatic compounds</v>
      </c>
    </row>
    <row r="621" spans="1:6" x14ac:dyDescent="0.45">
      <c r="A621" t="s">
        <v>17</v>
      </c>
      <c r="B621">
        <v>9</v>
      </c>
      <c r="C621">
        <v>1</v>
      </c>
      <c r="D621" t="s">
        <v>6</v>
      </c>
      <c r="E621">
        <v>3</v>
      </c>
      <c r="F621" t="str">
        <f t="shared" si="9"/>
        <v>Amino acid metabolism</v>
      </c>
    </row>
    <row r="622" spans="1:6" x14ac:dyDescent="0.45">
      <c r="A622" t="s">
        <v>56</v>
      </c>
      <c r="B622">
        <v>9</v>
      </c>
      <c r="C622">
        <v>1</v>
      </c>
      <c r="D622" t="s">
        <v>6</v>
      </c>
      <c r="E622">
        <v>4</v>
      </c>
      <c r="F622" t="str">
        <f t="shared" si="9"/>
        <v>Lipid metabolism</v>
      </c>
    </row>
    <row r="623" spans="1:6" x14ac:dyDescent="0.45">
      <c r="A623" t="s">
        <v>39</v>
      </c>
      <c r="B623">
        <v>9</v>
      </c>
      <c r="C623">
        <v>1</v>
      </c>
      <c r="D623" t="s">
        <v>6</v>
      </c>
      <c r="E623">
        <v>2</v>
      </c>
      <c r="F623" t="str">
        <f t="shared" si="9"/>
        <v>Carbohydrate metabolism</v>
      </c>
    </row>
    <row r="624" spans="1:6" x14ac:dyDescent="0.45">
      <c r="A624" t="s">
        <v>15</v>
      </c>
      <c r="B624">
        <v>9</v>
      </c>
      <c r="C624">
        <v>1</v>
      </c>
      <c r="D624" t="s">
        <v>6</v>
      </c>
      <c r="E624">
        <v>2</v>
      </c>
      <c r="F624" t="str">
        <f t="shared" si="9"/>
        <v>Carbon metabolism</v>
      </c>
    </row>
    <row r="625" spans="1:6" x14ac:dyDescent="0.45">
      <c r="A625" t="s">
        <v>61</v>
      </c>
      <c r="B625">
        <v>9</v>
      </c>
      <c r="C625">
        <v>1</v>
      </c>
      <c r="D625" t="s">
        <v>6</v>
      </c>
      <c r="E625">
        <v>3</v>
      </c>
      <c r="F625" t="str">
        <f t="shared" si="9"/>
        <v>Lipid metabolism</v>
      </c>
    </row>
    <row r="626" spans="1:6" x14ac:dyDescent="0.45">
      <c r="A626" t="s">
        <v>40</v>
      </c>
      <c r="B626">
        <v>9</v>
      </c>
      <c r="C626">
        <v>1</v>
      </c>
      <c r="D626" t="s">
        <v>6</v>
      </c>
      <c r="E626">
        <v>2</v>
      </c>
      <c r="F626" t="str">
        <f t="shared" si="9"/>
        <v>Lipid metabolism</v>
      </c>
    </row>
    <row r="627" spans="1:6" x14ac:dyDescent="0.45">
      <c r="A627" t="s">
        <v>58</v>
      </c>
      <c r="B627">
        <v>9</v>
      </c>
      <c r="C627">
        <v>1</v>
      </c>
      <c r="D627" t="s">
        <v>6</v>
      </c>
      <c r="E627">
        <v>2</v>
      </c>
      <c r="F627" t="str">
        <f t="shared" si="9"/>
        <v>Amino acid metabolism</v>
      </c>
    </row>
    <row r="628" spans="1:6" x14ac:dyDescent="0.45">
      <c r="A628" t="s">
        <v>82</v>
      </c>
      <c r="B628">
        <v>9</v>
      </c>
      <c r="C628">
        <v>1</v>
      </c>
      <c r="D628" t="s">
        <v>6</v>
      </c>
      <c r="E628">
        <v>2</v>
      </c>
      <c r="F628" t="str">
        <f t="shared" si="9"/>
        <v>Amino acid metabolism</v>
      </c>
    </row>
    <row r="629" spans="1:6" x14ac:dyDescent="0.45">
      <c r="A629" t="s">
        <v>63</v>
      </c>
      <c r="B629">
        <v>9</v>
      </c>
      <c r="C629">
        <v>1</v>
      </c>
      <c r="D629" t="s">
        <v>6</v>
      </c>
      <c r="E629">
        <v>2</v>
      </c>
      <c r="F629" t="str">
        <f t="shared" si="9"/>
        <v>Amino acid metabolism</v>
      </c>
    </row>
    <row r="630" spans="1:6" x14ac:dyDescent="0.45">
      <c r="A630" t="s">
        <v>18</v>
      </c>
      <c r="B630">
        <v>9</v>
      </c>
      <c r="C630">
        <v>1</v>
      </c>
      <c r="D630" t="s">
        <v>6</v>
      </c>
      <c r="E630">
        <v>2</v>
      </c>
      <c r="F630" t="str">
        <f t="shared" si="9"/>
        <v>Amino acid metabolism</v>
      </c>
    </row>
    <row r="631" spans="1:6" x14ac:dyDescent="0.45">
      <c r="A631" t="s">
        <v>88</v>
      </c>
      <c r="B631">
        <v>9</v>
      </c>
      <c r="C631">
        <v>1</v>
      </c>
      <c r="D631" t="s">
        <v>6</v>
      </c>
      <c r="E631">
        <v>2</v>
      </c>
      <c r="F631" t="str">
        <f t="shared" si="9"/>
        <v>Lipid metabolism</v>
      </c>
    </row>
    <row r="632" spans="1:6" x14ac:dyDescent="0.45">
      <c r="A632" t="s">
        <v>67</v>
      </c>
      <c r="B632">
        <v>9</v>
      </c>
      <c r="C632">
        <v>1</v>
      </c>
      <c r="D632" t="s">
        <v>6</v>
      </c>
      <c r="E632">
        <v>2</v>
      </c>
      <c r="F632" t="str">
        <f t="shared" si="9"/>
        <v>Carbohydrate metabolism</v>
      </c>
    </row>
    <row r="633" spans="1:6" x14ac:dyDescent="0.45">
      <c r="A633" t="s">
        <v>48</v>
      </c>
      <c r="B633">
        <v>9</v>
      </c>
      <c r="C633">
        <v>1</v>
      </c>
      <c r="D633" t="s">
        <v>6</v>
      </c>
      <c r="E633">
        <v>2</v>
      </c>
      <c r="F633" t="str">
        <f t="shared" si="9"/>
        <v>Carbohydrate metabolism</v>
      </c>
    </row>
    <row r="634" spans="1:6" x14ac:dyDescent="0.45">
      <c r="A634" t="s">
        <v>89</v>
      </c>
      <c r="B634">
        <v>9</v>
      </c>
      <c r="C634">
        <v>1</v>
      </c>
      <c r="D634" t="s">
        <v>6</v>
      </c>
      <c r="E634">
        <v>2</v>
      </c>
      <c r="F634" t="str">
        <f t="shared" si="9"/>
        <v>Metabolism of cofactors and vitamins</v>
      </c>
    </row>
    <row r="635" spans="1:6" x14ac:dyDescent="0.45">
      <c r="A635" t="s">
        <v>26</v>
      </c>
      <c r="B635">
        <v>9</v>
      </c>
      <c r="C635">
        <v>1</v>
      </c>
      <c r="D635" t="s">
        <v>6</v>
      </c>
      <c r="E635">
        <v>2</v>
      </c>
      <c r="F635" t="str">
        <f t="shared" si="9"/>
        <v>Metabolism of cofactors and vitamins</v>
      </c>
    </row>
    <row r="636" spans="1:6" x14ac:dyDescent="0.45">
      <c r="A636" t="s">
        <v>60</v>
      </c>
      <c r="B636">
        <v>9</v>
      </c>
      <c r="C636">
        <v>1</v>
      </c>
      <c r="D636" t="s">
        <v>6</v>
      </c>
      <c r="E636">
        <v>2</v>
      </c>
      <c r="F636" t="str">
        <f t="shared" si="9"/>
        <v>Metabolism of cofactors and vitamins</v>
      </c>
    </row>
    <row r="637" spans="1:6" x14ac:dyDescent="0.45">
      <c r="A637" t="s">
        <v>30</v>
      </c>
      <c r="B637">
        <v>9</v>
      </c>
      <c r="C637">
        <v>1</v>
      </c>
      <c r="D637" t="s">
        <v>6</v>
      </c>
      <c r="E637">
        <v>2</v>
      </c>
      <c r="F637" t="str">
        <f t="shared" si="9"/>
        <v>Phenylpropanoid biosynthesis</v>
      </c>
    </row>
    <row r="638" spans="1:6" x14ac:dyDescent="0.45">
      <c r="A638" t="s">
        <v>14</v>
      </c>
      <c r="B638">
        <v>9</v>
      </c>
      <c r="C638">
        <v>1</v>
      </c>
      <c r="D638" t="s">
        <v>6</v>
      </c>
      <c r="E638">
        <v>2</v>
      </c>
      <c r="F638" t="str">
        <f t="shared" si="9"/>
        <v>Alkaloid metabolism</v>
      </c>
    </row>
    <row r="639" spans="1:6" x14ac:dyDescent="0.45">
      <c r="A639" t="s">
        <v>31</v>
      </c>
      <c r="B639">
        <v>9</v>
      </c>
      <c r="C639">
        <v>1</v>
      </c>
      <c r="D639" t="s">
        <v>6</v>
      </c>
      <c r="E639">
        <v>2</v>
      </c>
      <c r="F639" t="str">
        <f t="shared" si="9"/>
        <v>Glucosinolate biosynthesis</v>
      </c>
    </row>
    <row r="640" spans="1:6" x14ac:dyDescent="0.45">
      <c r="A640" t="s">
        <v>34</v>
      </c>
      <c r="B640">
        <v>9</v>
      </c>
      <c r="C640">
        <v>1</v>
      </c>
      <c r="D640" t="s">
        <v>6</v>
      </c>
      <c r="E640">
        <v>2</v>
      </c>
      <c r="F640" t="str">
        <f t="shared" si="9"/>
        <v>Amino acid metabolism</v>
      </c>
    </row>
    <row r="641" spans="1:6" x14ac:dyDescent="0.45">
      <c r="A641" t="s">
        <v>37</v>
      </c>
      <c r="B641">
        <v>9</v>
      </c>
      <c r="C641">
        <v>1</v>
      </c>
      <c r="D641" t="s">
        <v>6</v>
      </c>
      <c r="E641">
        <v>2</v>
      </c>
      <c r="F641" t="str">
        <f t="shared" si="9"/>
        <v>Primary metabolism</v>
      </c>
    </row>
    <row r="642" spans="1:6" x14ac:dyDescent="0.45">
      <c r="A642" t="s">
        <v>16</v>
      </c>
      <c r="B642">
        <v>9</v>
      </c>
      <c r="C642">
        <v>1</v>
      </c>
      <c r="D642" t="s">
        <v>6</v>
      </c>
      <c r="E642">
        <v>1</v>
      </c>
      <c r="F642" t="str">
        <f t="shared" si="9"/>
        <v>Carbohydrate metabolism</v>
      </c>
    </row>
    <row r="643" spans="1:6" x14ac:dyDescent="0.45">
      <c r="A643" t="s">
        <v>11</v>
      </c>
      <c r="B643">
        <v>9</v>
      </c>
      <c r="C643">
        <v>1</v>
      </c>
      <c r="D643" t="s">
        <v>6</v>
      </c>
      <c r="E643">
        <v>1</v>
      </c>
      <c r="F643" t="str">
        <f t="shared" si="9"/>
        <v>Carbohydrate metabolism</v>
      </c>
    </row>
    <row r="644" spans="1:6" x14ac:dyDescent="0.45">
      <c r="A644" t="s">
        <v>12</v>
      </c>
      <c r="B644">
        <v>9</v>
      </c>
      <c r="C644">
        <v>1</v>
      </c>
      <c r="D644" t="s">
        <v>6</v>
      </c>
      <c r="E644">
        <v>1</v>
      </c>
      <c r="F644" t="str">
        <f t="shared" ref="F644:F707" si="10">_xlfn.XLOOKUP(A644,$H$2:$H$200,$I$2:$I$200)</f>
        <v>Carbohydrate metabolism</v>
      </c>
    </row>
    <row r="645" spans="1:6" x14ac:dyDescent="0.45">
      <c r="A645" t="s">
        <v>85</v>
      </c>
      <c r="B645">
        <v>9</v>
      </c>
      <c r="C645">
        <v>1</v>
      </c>
      <c r="D645" t="s">
        <v>6</v>
      </c>
      <c r="E645">
        <v>1</v>
      </c>
      <c r="F645" t="str">
        <f t="shared" si="10"/>
        <v>Lipid metabolism</v>
      </c>
    </row>
    <row r="646" spans="1:6" x14ac:dyDescent="0.45">
      <c r="A646" t="s">
        <v>86</v>
      </c>
      <c r="B646">
        <v>9</v>
      </c>
      <c r="C646">
        <v>1</v>
      </c>
      <c r="D646" t="s">
        <v>6</v>
      </c>
      <c r="E646">
        <v>1</v>
      </c>
      <c r="F646" t="str">
        <f t="shared" si="10"/>
        <v>Lipid metabolism</v>
      </c>
    </row>
    <row r="647" spans="1:6" x14ac:dyDescent="0.45">
      <c r="A647" t="s">
        <v>7</v>
      </c>
      <c r="B647">
        <v>9</v>
      </c>
      <c r="C647">
        <v>1</v>
      </c>
      <c r="D647" t="s">
        <v>6</v>
      </c>
      <c r="E647">
        <v>1</v>
      </c>
      <c r="F647" t="str">
        <f t="shared" si="10"/>
        <v>Nucleotide metabolism</v>
      </c>
    </row>
    <row r="648" spans="1:6" x14ac:dyDescent="0.45">
      <c r="A648" t="s">
        <v>10</v>
      </c>
      <c r="B648">
        <v>9</v>
      </c>
      <c r="C648">
        <v>1</v>
      </c>
      <c r="D648" t="s">
        <v>6</v>
      </c>
      <c r="E648">
        <v>1</v>
      </c>
      <c r="F648" t="str">
        <f t="shared" si="10"/>
        <v>Nucleotide metabolism</v>
      </c>
    </row>
    <row r="649" spans="1:6" x14ac:dyDescent="0.45">
      <c r="A649" t="s">
        <v>42</v>
      </c>
      <c r="B649">
        <v>9</v>
      </c>
      <c r="C649">
        <v>1</v>
      </c>
      <c r="D649" t="s">
        <v>6</v>
      </c>
      <c r="E649">
        <v>1</v>
      </c>
      <c r="F649" t="str">
        <f t="shared" si="10"/>
        <v>Amino acid metabolism</v>
      </c>
    </row>
    <row r="650" spans="1:6" x14ac:dyDescent="0.45">
      <c r="A650" t="s">
        <v>54</v>
      </c>
      <c r="B650">
        <v>9</v>
      </c>
      <c r="C650">
        <v>1</v>
      </c>
      <c r="D650" t="s">
        <v>6</v>
      </c>
      <c r="E650">
        <v>1</v>
      </c>
      <c r="F650" t="str">
        <f t="shared" si="10"/>
        <v>Amino acid metabolism</v>
      </c>
    </row>
    <row r="651" spans="1:6" x14ac:dyDescent="0.45">
      <c r="A651" t="s">
        <v>99</v>
      </c>
      <c r="B651">
        <v>9</v>
      </c>
      <c r="C651">
        <v>1</v>
      </c>
      <c r="D651" t="s">
        <v>6</v>
      </c>
      <c r="E651">
        <v>1</v>
      </c>
      <c r="F651" t="str">
        <f t="shared" si="10"/>
        <v>Amino acid metabolism</v>
      </c>
    </row>
    <row r="652" spans="1:6" x14ac:dyDescent="0.45">
      <c r="A652" t="s">
        <v>19</v>
      </c>
      <c r="B652">
        <v>9</v>
      </c>
      <c r="C652">
        <v>1</v>
      </c>
      <c r="D652" t="s">
        <v>6</v>
      </c>
      <c r="E652">
        <v>1</v>
      </c>
      <c r="F652" t="str">
        <f t="shared" si="10"/>
        <v>Amino acid metabolism</v>
      </c>
    </row>
    <row r="653" spans="1:6" x14ac:dyDescent="0.45">
      <c r="A653" t="s">
        <v>68</v>
      </c>
      <c r="B653">
        <v>9</v>
      </c>
      <c r="C653">
        <v>1</v>
      </c>
      <c r="D653" t="s">
        <v>6</v>
      </c>
      <c r="E653">
        <v>1</v>
      </c>
      <c r="F653" t="str">
        <f t="shared" si="10"/>
        <v>Amino acid metabolism</v>
      </c>
    </row>
    <row r="654" spans="1:6" x14ac:dyDescent="0.45">
      <c r="A654" t="s">
        <v>45</v>
      </c>
      <c r="B654">
        <v>9</v>
      </c>
      <c r="C654">
        <v>1</v>
      </c>
      <c r="D654" t="s">
        <v>6</v>
      </c>
      <c r="E654">
        <v>1</v>
      </c>
      <c r="F654" t="str">
        <f t="shared" si="10"/>
        <v>Amino acid metabolism</v>
      </c>
    </row>
    <row r="655" spans="1:6" x14ac:dyDescent="0.45">
      <c r="A655" t="s">
        <v>69</v>
      </c>
      <c r="B655">
        <v>9</v>
      </c>
      <c r="C655">
        <v>1</v>
      </c>
      <c r="D655" t="s">
        <v>6</v>
      </c>
      <c r="E655">
        <v>1</v>
      </c>
      <c r="F655" t="str">
        <f t="shared" si="10"/>
        <v>Amino acid metabolism</v>
      </c>
    </row>
    <row r="656" spans="1:6" x14ac:dyDescent="0.45">
      <c r="A656" t="s">
        <v>77</v>
      </c>
      <c r="B656">
        <v>9</v>
      </c>
      <c r="C656">
        <v>1</v>
      </c>
      <c r="D656" t="s">
        <v>6</v>
      </c>
      <c r="E656">
        <v>1</v>
      </c>
      <c r="F656" t="str">
        <f t="shared" si="10"/>
        <v>Amino acid metabolism</v>
      </c>
    </row>
    <row r="657" spans="1:6" x14ac:dyDescent="0.45">
      <c r="A657" t="s">
        <v>59</v>
      </c>
      <c r="B657">
        <v>9</v>
      </c>
      <c r="C657">
        <v>1</v>
      </c>
      <c r="D657" t="s">
        <v>6</v>
      </c>
      <c r="E657">
        <v>1</v>
      </c>
      <c r="F657" t="str">
        <f t="shared" si="10"/>
        <v>Carbohydrate metabolism</v>
      </c>
    </row>
    <row r="658" spans="1:6" x14ac:dyDescent="0.45">
      <c r="A658" t="s">
        <v>46</v>
      </c>
      <c r="B658">
        <v>9</v>
      </c>
      <c r="C658">
        <v>1</v>
      </c>
      <c r="D658" t="s">
        <v>6</v>
      </c>
      <c r="E658">
        <v>1</v>
      </c>
      <c r="F658" t="str">
        <f t="shared" si="10"/>
        <v>Lipid metabolism</v>
      </c>
    </row>
    <row r="659" spans="1:6" x14ac:dyDescent="0.45">
      <c r="A659" t="s">
        <v>50</v>
      </c>
      <c r="B659">
        <v>9</v>
      </c>
      <c r="C659">
        <v>1</v>
      </c>
      <c r="D659" t="s">
        <v>6</v>
      </c>
      <c r="E659">
        <v>1</v>
      </c>
      <c r="F659" t="str">
        <f t="shared" si="10"/>
        <v>Lipid metabolism</v>
      </c>
    </row>
    <row r="660" spans="1:6" x14ac:dyDescent="0.45">
      <c r="A660" t="s">
        <v>47</v>
      </c>
      <c r="B660">
        <v>9</v>
      </c>
      <c r="C660">
        <v>1</v>
      </c>
      <c r="D660" t="s">
        <v>6</v>
      </c>
      <c r="E660">
        <v>1</v>
      </c>
      <c r="F660" t="str">
        <f t="shared" si="10"/>
        <v>Carbohydrate metabolism</v>
      </c>
    </row>
    <row r="661" spans="1:6" x14ac:dyDescent="0.45">
      <c r="A661" t="s">
        <v>83</v>
      </c>
      <c r="B661">
        <v>9</v>
      </c>
      <c r="C661">
        <v>1</v>
      </c>
      <c r="D661" t="s">
        <v>6</v>
      </c>
      <c r="E661">
        <v>1</v>
      </c>
      <c r="F661" t="str">
        <f t="shared" si="10"/>
        <v>Carbohydrate metabolism</v>
      </c>
    </row>
    <row r="662" spans="1:6" x14ac:dyDescent="0.45">
      <c r="A662" t="s">
        <v>22</v>
      </c>
      <c r="B662">
        <v>9</v>
      </c>
      <c r="C662">
        <v>1</v>
      </c>
      <c r="D662" t="s">
        <v>6</v>
      </c>
      <c r="E662">
        <v>1</v>
      </c>
      <c r="F662" t="str">
        <f t="shared" si="10"/>
        <v>Carbohydrate metabolism</v>
      </c>
    </row>
    <row r="663" spans="1:6" x14ac:dyDescent="0.45">
      <c r="A663" t="s">
        <v>23</v>
      </c>
      <c r="B663">
        <v>9</v>
      </c>
      <c r="C663">
        <v>1</v>
      </c>
      <c r="D663" t="s">
        <v>6</v>
      </c>
      <c r="E663">
        <v>1</v>
      </c>
      <c r="F663" t="str">
        <f t="shared" si="10"/>
        <v>Carbon metabolism</v>
      </c>
    </row>
    <row r="664" spans="1:6" x14ac:dyDescent="0.45">
      <c r="A664" t="s">
        <v>24</v>
      </c>
      <c r="B664">
        <v>9</v>
      </c>
      <c r="C664">
        <v>1</v>
      </c>
      <c r="D664" t="s">
        <v>6</v>
      </c>
      <c r="E664">
        <v>1</v>
      </c>
      <c r="F664" t="str">
        <f t="shared" si="10"/>
        <v>Metabolism of cofactors and vitamin</v>
      </c>
    </row>
    <row r="665" spans="1:6" x14ac:dyDescent="0.45">
      <c r="A665" t="s">
        <v>25</v>
      </c>
      <c r="B665">
        <v>9</v>
      </c>
      <c r="C665">
        <v>1</v>
      </c>
      <c r="D665" t="s">
        <v>6</v>
      </c>
      <c r="E665">
        <v>1</v>
      </c>
      <c r="F665" t="str">
        <f t="shared" si="10"/>
        <v>Metabolism of cofactors and vitamins</v>
      </c>
    </row>
    <row r="666" spans="1:6" x14ac:dyDescent="0.45">
      <c r="A666" t="s">
        <v>27</v>
      </c>
      <c r="B666">
        <v>9</v>
      </c>
      <c r="C666">
        <v>1</v>
      </c>
      <c r="D666" t="s">
        <v>6</v>
      </c>
      <c r="E666">
        <v>2</v>
      </c>
      <c r="F666" t="str">
        <f t="shared" si="10"/>
        <v>Metabolism of cofactors and vitamins</v>
      </c>
    </row>
    <row r="667" spans="1:6" x14ac:dyDescent="0.45">
      <c r="A667" t="s">
        <v>70</v>
      </c>
      <c r="B667">
        <v>9</v>
      </c>
      <c r="C667">
        <v>1</v>
      </c>
      <c r="D667" t="s">
        <v>6</v>
      </c>
      <c r="E667">
        <v>1</v>
      </c>
      <c r="F667" t="str">
        <f t="shared" si="10"/>
        <v>Metabolism of terpenoids and polyketides</v>
      </c>
    </row>
    <row r="668" spans="1:6" x14ac:dyDescent="0.45">
      <c r="A668" t="s">
        <v>28</v>
      </c>
      <c r="B668">
        <v>9</v>
      </c>
      <c r="C668">
        <v>1</v>
      </c>
      <c r="D668" t="s">
        <v>6</v>
      </c>
      <c r="E668">
        <v>1</v>
      </c>
      <c r="F668" t="str">
        <f t="shared" si="10"/>
        <v>Metabolism of terpenoids and polyketides</v>
      </c>
    </row>
    <row r="669" spans="1:6" x14ac:dyDescent="0.45">
      <c r="A669" t="s">
        <v>71</v>
      </c>
      <c r="B669">
        <v>9</v>
      </c>
      <c r="C669">
        <v>1</v>
      </c>
      <c r="D669" t="s">
        <v>6</v>
      </c>
      <c r="E669">
        <v>1</v>
      </c>
      <c r="F669" t="str">
        <f t="shared" si="10"/>
        <v>Metabolism of terpenoids and polyketides</v>
      </c>
    </row>
    <row r="670" spans="1:6" x14ac:dyDescent="0.45">
      <c r="A670" t="s">
        <v>79</v>
      </c>
      <c r="B670">
        <v>9</v>
      </c>
      <c r="C670">
        <v>1</v>
      </c>
      <c r="D670" t="s">
        <v>6</v>
      </c>
      <c r="E670">
        <v>1</v>
      </c>
      <c r="F670" t="str">
        <f t="shared" si="10"/>
        <v>Terpenoid metabolism</v>
      </c>
    </row>
    <row r="671" spans="1:6" x14ac:dyDescent="0.45">
      <c r="A671" t="s">
        <v>57</v>
      </c>
      <c r="B671">
        <v>9</v>
      </c>
      <c r="C671">
        <v>1</v>
      </c>
      <c r="D671" t="s">
        <v>6</v>
      </c>
      <c r="E671">
        <v>1</v>
      </c>
      <c r="F671" t="str">
        <f t="shared" si="10"/>
        <v>Phenylpropanoid metabolism</v>
      </c>
    </row>
    <row r="672" spans="1:6" x14ac:dyDescent="0.45">
      <c r="A672" t="s">
        <v>84</v>
      </c>
      <c r="B672">
        <v>9</v>
      </c>
      <c r="C672">
        <v>1</v>
      </c>
      <c r="D672" t="s">
        <v>6</v>
      </c>
      <c r="E672">
        <v>2</v>
      </c>
      <c r="F672" t="str">
        <f t="shared" si="10"/>
        <v>Stilbenoid; diarylheptanoid and gingerol biosynthesis</v>
      </c>
    </row>
    <row r="673" spans="1:6" x14ac:dyDescent="0.45">
      <c r="A673" t="s">
        <v>32</v>
      </c>
      <c r="B673">
        <v>9</v>
      </c>
      <c r="C673">
        <v>1</v>
      </c>
      <c r="D673" t="s">
        <v>6</v>
      </c>
      <c r="E673">
        <v>1</v>
      </c>
      <c r="F673" t="str">
        <f t="shared" si="10"/>
        <v xml:space="preserve">Carbon metabolism </v>
      </c>
    </row>
    <row r="674" spans="1:6" x14ac:dyDescent="0.45">
      <c r="A674" t="s">
        <v>92</v>
      </c>
      <c r="B674">
        <v>9</v>
      </c>
      <c r="C674">
        <v>1</v>
      </c>
      <c r="D674" t="s">
        <v>6</v>
      </c>
      <c r="E674">
        <v>1</v>
      </c>
      <c r="F674" t="str">
        <f t="shared" si="10"/>
        <v>Fatty acid metabolism</v>
      </c>
    </row>
    <row r="675" spans="1:6" x14ac:dyDescent="0.45">
      <c r="A675" t="s">
        <v>108</v>
      </c>
      <c r="B675">
        <v>9</v>
      </c>
      <c r="C675">
        <v>1</v>
      </c>
      <c r="D675" t="s">
        <v>6</v>
      </c>
      <c r="E675">
        <v>1</v>
      </c>
      <c r="F675">
        <f t="shared" si="10"/>
        <v>0</v>
      </c>
    </row>
    <row r="676" spans="1:6" x14ac:dyDescent="0.45">
      <c r="A676" t="s">
        <v>52</v>
      </c>
      <c r="B676">
        <v>9</v>
      </c>
      <c r="C676">
        <v>1</v>
      </c>
      <c r="D676" t="s">
        <v>6</v>
      </c>
      <c r="E676">
        <v>2</v>
      </c>
      <c r="F676" t="str">
        <f t="shared" si="10"/>
        <v>Alkaloid metabolism</v>
      </c>
    </row>
    <row r="677" spans="1:6" x14ac:dyDescent="0.45">
      <c r="A677" t="s">
        <v>65</v>
      </c>
      <c r="B677">
        <v>9</v>
      </c>
      <c r="C677">
        <v>1</v>
      </c>
      <c r="D677" t="s">
        <v>6</v>
      </c>
      <c r="E677">
        <v>1</v>
      </c>
      <c r="F677" t="str">
        <f t="shared" si="10"/>
        <v>Secondary metabolism</v>
      </c>
    </row>
    <row r="678" spans="1:6" x14ac:dyDescent="0.45">
      <c r="A678" t="s">
        <v>14</v>
      </c>
      <c r="B678">
        <v>9</v>
      </c>
      <c r="C678">
        <v>-1</v>
      </c>
      <c r="D678" t="s">
        <v>6</v>
      </c>
      <c r="E678">
        <v>9</v>
      </c>
      <c r="F678" t="str">
        <f t="shared" si="10"/>
        <v>Alkaloid metabolism</v>
      </c>
    </row>
    <row r="679" spans="1:6" x14ac:dyDescent="0.45">
      <c r="A679" t="s">
        <v>46</v>
      </c>
      <c r="B679">
        <v>9</v>
      </c>
      <c r="C679">
        <v>-1</v>
      </c>
      <c r="D679" t="s">
        <v>6</v>
      </c>
      <c r="E679">
        <v>6</v>
      </c>
      <c r="F679" t="str">
        <f t="shared" si="10"/>
        <v>Lipid metabolism</v>
      </c>
    </row>
    <row r="680" spans="1:6" x14ac:dyDescent="0.45">
      <c r="A680" t="s">
        <v>36</v>
      </c>
      <c r="B680">
        <v>9</v>
      </c>
      <c r="C680">
        <v>-1</v>
      </c>
      <c r="D680" t="s">
        <v>6</v>
      </c>
      <c r="E680">
        <v>7</v>
      </c>
      <c r="F680" t="str">
        <f t="shared" si="10"/>
        <v>Phenylpropanoid metabolism</v>
      </c>
    </row>
    <row r="681" spans="1:6" x14ac:dyDescent="0.45">
      <c r="A681" t="s">
        <v>30</v>
      </c>
      <c r="B681">
        <v>9</v>
      </c>
      <c r="C681">
        <v>-1</v>
      </c>
      <c r="D681" t="s">
        <v>6</v>
      </c>
      <c r="E681">
        <v>4</v>
      </c>
      <c r="F681" t="str">
        <f t="shared" si="10"/>
        <v>Phenylpropanoid biosynthesis</v>
      </c>
    </row>
    <row r="682" spans="1:6" x14ac:dyDescent="0.45">
      <c r="A682" t="s">
        <v>84</v>
      </c>
      <c r="B682">
        <v>9</v>
      </c>
      <c r="C682">
        <v>-1</v>
      </c>
      <c r="D682" t="s">
        <v>6</v>
      </c>
      <c r="E682">
        <v>4</v>
      </c>
      <c r="F682" t="str">
        <f t="shared" si="10"/>
        <v>Stilbenoid; diarylheptanoid and gingerol biosynthesis</v>
      </c>
    </row>
    <row r="683" spans="1:6" x14ac:dyDescent="0.45">
      <c r="A683" t="s">
        <v>98</v>
      </c>
      <c r="B683">
        <v>9</v>
      </c>
      <c r="C683">
        <v>-1</v>
      </c>
      <c r="D683" t="s">
        <v>6</v>
      </c>
      <c r="E683">
        <v>6</v>
      </c>
      <c r="F683">
        <f t="shared" si="10"/>
        <v>0</v>
      </c>
    </row>
    <row r="684" spans="1:6" x14ac:dyDescent="0.45">
      <c r="A684" t="s">
        <v>40</v>
      </c>
      <c r="B684">
        <v>9</v>
      </c>
      <c r="C684">
        <v>-1</v>
      </c>
      <c r="D684" t="s">
        <v>6</v>
      </c>
      <c r="E684">
        <v>5</v>
      </c>
      <c r="F684" t="str">
        <f t="shared" si="10"/>
        <v>Lipid metabolism</v>
      </c>
    </row>
    <row r="685" spans="1:6" x14ac:dyDescent="0.45">
      <c r="A685" t="s">
        <v>63</v>
      </c>
      <c r="B685">
        <v>9</v>
      </c>
      <c r="C685">
        <v>-1</v>
      </c>
      <c r="D685" t="s">
        <v>6</v>
      </c>
      <c r="E685">
        <v>3</v>
      </c>
      <c r="F685" t="str">
        <f t="shared" si="10"/>
        <v>Amino acid metabolism</v>
      </c>
    </row>
    <row r="686" spans="1:6" x14ac:dyDescent="0.45">
      <c r="A686" t="s">
        <v>57</v>
      </c>
      <c r="B686">
        <v>9</v>
      </c>
      <c r="C686">
        <v>-1</v>
      </c>
      <c r="D686" t="s">
        <v>6</v>
      </c>
      <c r="E686">
        <v>3</v>
      </c>
      <c r="F686" t="str">
        <f t="shared" si="10"/>
        <v>Phenylpropanoid metabolism</v>
      </c>
    </row>
    <row r="687" spans="1:6" x14ac:dyDescent="0.45">
      <c r="A687" t="s">
        <v>80</v>
      </c>
      <c r="B687">
        <v>9</v>
      </c>
      <c r="C687">
        <v>-1</v>
      </c>
      <c r="D687" t="s">
        <v>6</v>
      </c>
      <c r="E687">
        <v>3</v>
      </c>
      <c r="F687" t="str">
        <f t="shared" si="10"/>
        <v>Signal transduction</v>
      </c>
    </row>
    <row r="688" spans="1:6" x14ac:dyDescent="0.45">
      <c r="A688" t="s">
        <v>102</v>
      </c>
      <c r="B688">
        <v>9</v>
      </c>
      <c r="C688">
        <v>-1</v>
      </c>
      <c r="D688" t="s">
        <v>6</v>
      </c>
      <c r="E688">
        <v>4</v>
      </c>
      <c r="F688" t="str">
        <f t="shared" si="10"/>
        <v>Lignans</v>
      </c>
    </row>
    <row r="689" spans="1:6" x14ac:dyDescent="0.45">
      <c r="A689" t="s">
        <v>49</v>
      </c>
      <c r="B689">
        <v>9</v>
      </c>
      <c r="C689">
        <v>-1</v>
      </c>
      <c r="D689" t="s">
        <v>6</v>
      </c>
      <c r="E689">
        <v>2</v>
      </c>
      <c r="F689" t="str">
        <f t="shared" si="10"/>
        <v>Phenylpropanoid metabolism</v>
      </c>
    </row>
    <row r="690" spans="1:6" x14ac:dyDescent="0.45">
      <c r="A690" t="s">
        <v>71</v>
      </c>
      <c r="B690">
        <v>9</v>
      </c>
      <c r="C690">
        <v>-1</v>
      </c>
      <c r="D690" t="s">
        <v>6</v>
      </c>
      <c r="E690">
        <v>2</v>
      </c>
      <c r="F690" t="str">
        <f t="shared" si="10"/>
        <v>Metabolism of terpenoids and polyketides</v>
      </c>
    </row>
    <row r="691" spans="1:6" x14ac:dyDescent="0.45">
      <c r="A691" t="s">
        <v>9</v>
      </c>
      <c r="B691">
        <v>9</v>
      </c>
      <c r="C691">
        <v>-1</v>
      </c>
      <c r="D691" t="s">
        <v>6</v>
      </c>
      <c r="E691">
        <v>1</v>
      </c>
      <c r="F691" t="str">
        <f t="shared" si="10"/>
        <v>Carbohydrate metabolism</v>
      </c>
    </row>
    <row r="692" spans="1:6" x14ac:dyDescent="0.45">
      <c r="A692" t="s">
        <v>62</v>
      </c>
      <c r="B692">
        <v>9</v>
      </c>
      <c r="C692">
        <v>-1</v>
      </c>
      <c r="D692" t="s">
        <v>6</v>
      </c>
      <c r="E692">
        <v>1</v>
      </c>
      <c r="F692" t="str">
        <f t="shared" si="10"/>
        <v>Metabolism of cofactors and vitamins</v>
      </c>
    </row>
    <row r="693" spans="1:6" x14ac:dyDescent="0.45">
      <c r="A693" t="s">
        <v>54</v>
      </c>
      <c r="B693">
        <v>9</v>
      </c>
      <c r="C693">
        <v>-1</v>
      </c>
      <c r="D693" t="s">
        <v>6</v>
      </c>
      <c r="E693">
        <v>3</v>
      </c>
      <c r="F693" t="str">
        <f t="shared" si="10"/>
        <v>Amino acid metabolism</v>
      </c>
    </row>
    <row r="694" spans="1:6" x14ac:dyDescent="0.45">
      <c r="A694" t="s">
        <v>44</v>
      </c>
      <c r="B694">
        <v>9</v>
      </c>
      <c r="C694">
        <v>-1</v>
      </c>
      <c r="D694" t="s">
        <v>6</v>
      </c>
      <c r="E694">
        <v>1</v>
      </c>
      <c r="F694" t="str">
        <f t="shared" si="10"/>
        <v>Amino acid metabolism</v>
      </c>
    </row>
    <row r="695" spans="1:6" x14ac:dyDescent="0.45">
      <c r="A695" t="s">
        <v>8</v>
      </c>
      <c r="B695">
        <v>9</v>
      </c>
      <c r="C695">
        <v>-1</v>
      </c>
      <c r="D695" t="s">
        <v>6</v>
      </c>
      <c r="E695">
        <v>1</v>
      </c>
      <c r="F695" t="str">
        <f t="shared" si="10"/>
        <v>Glycan biosynthesis and metabolism</v>
      </c>
    </row>
    <row r="696" spans="1:6" x14ac:dyDescent="0.45">
      <c r="A696" t="s">
        <v>88</v>
      </c>
      <c r="B696">
        <v>9</v>
      </c>
      <c r="C696">
        <v>-1</v>
      </c>
      <c r="D696" t="s">
        <v>6</v>
      </c>
      <c r="E696">
        <v>1</v>
      </c>
      <c r="F696" t="str">
        <f t="shared" si="10"/>
        <v>Lipid metabolism</v>
      </c>
    </row>
    <row r="697" spans="1:6" x14ac:dyDescent="0.45">
      <c r="A697" t="s">
        <v>105</v>
      </c>
      <c r="B697">
        <v>9</v>
      </c>
      <c r="C697">
        <v>-1</v>
      </c>
      <c r="D697" t="s">
        <v>6</v>
      </c>
      <c r="E697">
        <v>1</v>
      </c>
      <c r="F697" t="str">
        <f t="shared" si="10"/>
        <v>Lipid metabolism</v>
      </c>
    </row>
    <row r="698" spans="1:6" x14ac:dyDescent="0.45">
      <c r="A698" t="s">
        <v>78</v>
      </c>
      <c r="B698">
        <v>9</v>
      </c>
      <c r="C698">
        <v>-1</v>
      </c>
      <c r="D698" t="s">
        <v>6</v>
      </c>
      <c r="E698">
        <v>1</v>
      </c>
      <c r="F698" t="str">
        <f t="shared" si="10"/>
        <v>Lipid metabolism</v>
      </c>
    </row>
    <row r="699" spans="1:6" x14ac:dyDescent="0.45">
      <c r="A699" t="s">
        <v>50</v>
      </c>
      <c r="B699">
        <v>9</v>
      </c>
      <c r="C699">
        <v>-1</v>
      </c>
      <c r="D699" t="s">
        <v>6</v>
      </c>
      <c r="E699">
        <v>1</v>
      </c>
      <c r="F699" t="str">
        <f t="shared" si="10"/>
        <v>Lipid metabolism</v>
      </c>
    </row>
    <row r="700" spans="1:6" x14ac:dyDescent="0.45">
      <c r="A700" t="s">
        <v>28</v>
      </c>
      <c r="B700">
        <v>9</v>
      </c>
      <c r="C700">
        <v>-1</v>
      </c>
      <c r="D700" t="s">
        <v>6</v>
      </c>
      <c r="E700">
        <v>1</v>
      </c>
      <c r="F700" t="str">
        <f t="shared" si="10"/>
        <v>Metabolism of terpenoids and polyketides</v>
      </c>
    </row>
    <row r="701" spans="1:6" x14ac:dyDescent="0.45">
      <c r="A701" t="s">
        <v>79</v>
      </c>
      <c r="B701">
        <v>9</v>
      </c>
      <c r="C701">
        <v>-1</v>
      </c>
      <c r="D701" t="s">
        <v>6</v>
      </c>
      <c r="E701">
        <v>1</v>
      </c>
      <c r="F701" t="str">
        <f t="shared" si="10"/>
        <v>Terpenoid metabolism</v>
      </c>
    </row>
    <row r="702" spans="1:6" x14ac:dyDescent="0.45">
      <c r="A702" t="s">
        <v>72</v>
      </c>
      <c r="B702">
        <v>9</v>
      </c>
      <c r="C702">
        <v>-1</v>
      </c>
      <c r="D702" t="s">
        <v>6</v>
      </c>
      <c r="E702">
        <v>1</v>
      </c>
      <c r="F702" t="str">
        <f t="shared" si="10"/>
        <v>Metabolism of terpenoids and polyketides</v>
      </c>
    </row>
    <row r="703" spans="1:6" x14ac:dyDescent="0.45">
      <c r="A703" t="s">
        <v>55</v>
      </c>
      <c r="B703">
        <v>9</v>
      </c>
      <c r="C703">
        <v>-1</v>
      </c>
      <c r="D703" t="s">
        <v>6</v>
      </c>
      <c r="E703">
        <v>1</v>
      </c>
      <c r="F703" t="str">
        <f t="shared" si="10"/>
        <v>Alkaloid metabolism</v>
      </c>
    </row>
    <row r="704" spans="1:6" x14ac:dyDescent="0.45">
      <c r="A704" t="s">
        <v>56</v>
      </c>
      <c r="B704">
        <v>9</v>
      </c>
      <c r="C704">
        <v>-1</v>
      </c>
      <c r="D704" t="s">
        <v>6</v>
      </c>
      <c r="E704">
        <v>1</v>
      </c>
      <c r="F704" t="str">
        <f t="shared" si="10"/>
        <v>Lipid metabolism</v>
      </c>
    </row>
    <row r="705" spans="1:6" x14ac:dyDescent="0.45">
      <c r="A705" t="s">
        <v>38</v>
      </c>
      <c r="B705">
        <v>9</v>
      </c>
      <c r="C705">
        <v>-1</v>
      </c>
      <c r="D705" t="s">
        <v>6</v>
      </c>
      <c r="E705">
        <v>2</v>
      </c>
      <c r="F705" t="str">
        <f t="shared" si="10"/>
        <v>Degradation of aromatic compounds</v>
      </c>
    </row>
    <row r="706" spans="1:6" x14ac:dyDescent="0.45">
      <c r="A706" t="s">
        <v>34</v>
      </c>
      <c r="B706">
        <v>9</v>
      </c>
      <c r="C706">
        <v>-1</v>
      </c>
      <c r="D706" t="s">
        <v>6</v>
      </c>
      <c r="E706">
        <v>3</v>
      </c>
      <c r="F706" t="str">
        <f t="shared" si="10"/>
        <v>Amino acid metabolism</v>
      </c>
    </row>
    <row r="707" spans="1:6" x14ac:dyDescent="0.45">
      <c r="A707" t="s">
        <v>35</v>
      </c>
      <c r="B707">
        <v>9</v>
      </c>
      <c r="C707">
        <v>-1</v>
      </c>
      <c r="D707" t="s">
        <v>6</v>
      </c>
      <c r="E707">
        <v>1</v>
      </c>
      <c r="F707" t="str">
        <f t="shared" si="10"/>
        <v>Membrane transport</v>
      </c>
    </row>
    <row r="708" spans="1:6" x14ac:dyDescent="0.45">
      <c r="A708" t="s">
        <v>104</v>
      </c>
      <c r="B708">
        <v>9</v>
      </c>
      <c r="C708">
        <v>-1</v>
      </c>
      <c r="D708" t="s">
        <v>6</v>
      </c>
      <c r="E708">
        <v>1</v>
      </c>
      <c r="F708" t="str">
        <f t="shared" ref="F708:F771" si="11">_xlfn.XLOOKUP(A708,$H$2:$H$200,$I$2:$I$200)</f>
        <v>Abscisic Acid</v>
      </c>
    </row>
    <row r="709" spans="1:6" x14ac:dyDescent="0.45">
      <c r="A709" t="s">
        <v>52</v>
      </c>
      <c r="B709">
        <v>9</v>
      </c>
      <c r="C709">
        <v>-1</v>
      </c>
      <c r="D709" t="s">
        <v>6</v>
      </c>
      <c r="E709">
        <v>1</v>
      </c>
      <c r="F709" t="str">
        <f t="shared" si="11"/>
        <v>Alkaloid metabolism</v>
      </c>
    </row>
    <row r="710" spans="1:6" x14ac:dyDescent="0.45">
      <c r="A710" t="s">
        <v>38</v>
      </c>
      <c r="B710">
        <v>10</v>
      </c>
      <c r="C710">
        <v>1</v>
      </c>
      <c r="D710" t="s">
        <v>6</v>
      </c>
      <c r="E710">
        <v>11</v>
      </c>
      <c r="F710" t="str">
        <f t="shared" si="11"/>
        <v>Degradation of aromatic compounds</v>
      </c>
    </row>
    <row r="711" spans="1:6" x14ac:dyDescent="0.45">
      <c r="A711" t="s">
        <v>19</v>
      </c>
      <c r="B711">
        <v>10</v>
      </c>
      <c r="C711">
        <v>1</v>
      </c>
      <c r="D711" t="s">
        <v>6</v>
      </c>
      <c r="E711">
        <v>6</v>
      </c>
      <c r="F711" t="str">
        <f t="shared" si="11"/>
        <v>Amino acid metabolism</v>
      </c>
    </row>
    <row r="712" spans="1:6" x14ac:dyDescent="0.45">
      <c r="A712" t="s">
        <v>32</v>
      </c>
      <c r="B712">
        <v>10</v>
      </c>
      <c r="C712">
        <v>1</v>
      </c>
      <c r="D712" t="s">
        <v>6</v>
      </c>
      <c r="E712">
        <v>5</v>
      </c>
      <c r="F712" t="str">
        <f t="shared" si="11"/>
        <v xml:space="preserve">Carbon metabolism </v>
      </c>
    </row>
    <row r="713" spans="1:6" x14ac:dyDescent="0.45">
      <c r="A713" t="s">
        <v>33</v>
      </c>
      <c r="B713">
        <v>10</v>
      </c>
      <c r="C713">
        <v>1</v>
      </c>
      <c r="D713" t="s">
        <v>6</v>
      </c>
      <c r="E713">
        <v>6</v>
      </c>
      <c r="F713" t="str">
        <f t="shared" si="11"/>
        <v>Amino acid metabolism</v>
      </c>
    </row>
    <row r="714" spans="1:6" x14ac:dyDescent="0.45">
      <c r="A714" t="s">
        <v>34</v>
      </c>
      <c r="B714">
        <v>10</v>
      </c>
      <c r="C714">
        <v>1</v>
      </c>
      <c r="D714" t="s">
        <v>6</v>
      </c>
      <c r="E714">
        <v>5</v>
      </c>
      <c r="F714" t="str">
        <f t="shared" si="11"/>
        <v>Amino acid metabolism</v>
      </c>
    </row>
    <row r="715" spans="1:6" x14ac:dyDescent="0.45">
      <c r="A715" t="s">
        <v>10</v>
      </c>
      <c r="B715">
        <v>10</v>
      </c>
      <c r="C715">
        <v>1</v>
      </c>
      <c r="D715" t="s">
        <v>6</v>
      </c>
      <c r="E715">
        <v>4</v>
      </c>
      <c r="F715" t="str">
        <f t="shared" si="11"/>
        <v>Nucleotide metabolism</v>
      </c>
    </row>
    <row r="716" spans="1:6" x14ac:dyDescent="0.45">
      <c r="A716" t="s">
        <v>14</v>
      </c>
      <c r="B716">
        <v>10</v>
      </c>
      <c r="C716">
        <v>1</v>
      </c>
      <c r="D716" t="s">
        <v>6</v>
      </c>
      <c r="E716">
        <v>4</v>
      </c>
      <c r="F716" t="str">
        <f t="shared" si="11"/>
        <v>Alkaloid metabolism</v>
      </c>
    </row>
    <row r="717" spans="1:6" x14ac:dyDescent="0.45">
      <c r="A717" t="s">
        <v>31</v>
      </c>
      <c r="B717">
        <v>10</v>
      </c>
      <c r="C717">
        <v>1</v>
      </c>
      <c r="D717" t="s">
        <v>6</v>
      </c>
      <c r="E717">
        <v>5</v>
      </c>
      <c r="F717" t="str">
        <f t="shared" si="11"/>
        <v>Glucosinolate biosynthesis</v>
      </c>
    </row>
    <row r="718" spans="1:6" x14ac:dyDescent="0.45">
      <c r="A718" t="s">
        <v>13</v>
      </c>
      <c r="B718">
        <v>10</v>
      </c>
      <c r="C718">
        <v>1</v>
      </c>
      <c r="D718" t="s">
        <v>6</v>
      </c>
      <c r="E718">
        <v>3</v>
      </c>
      <c r="F718" t="str">
        <f t="shared" si="11"/>
        <v>Terpenoid metabolism</v>
      </c>
    </row>
    <row r="719" spans="1:6" x14ac:dyDescent="0.45">
      <c r="A719" t="s">
        <v>11</v>
      </c>
      <c r="B719">
        <v>10</v>
      </c>
      <c r="C719">
        <v>1</v>
      </c>
      <c r="D719" t="s">
        <v>6</v>
      </c>
      <c r="E719">
        <v>3</v>
      </c>
      <c r="F719" t="str">
        <f t="shared" si="11"/>
        <v>Carbohydrate metabolism</v>
      </c>
    </row>
    <row r="720" spans="1:6" x14ac:dyDescent="0.45">
      <c r="A720" t="s">
        <v>9</v>
      </c>
      <c r="B720">
        <v>10</v>
      </c>
      <c r="C720">
        <v>1</v>
      </c>
      <c r="D720" t="s">
        <v>6</v>
      </c>
      <c r="E720">
        <v>3</v>
      </c>
      <c r="F720" t="str">
        <f t="shared" si="11"/>
        <v>Carbohydrate metabolism</v>
      </c>
    </row>
    <row r="721" spans="1:6" x14ac:dyDescent="0.45">
      <c r="A721" t="s">
        <v>12</v>
      </c>
      <c r="B721">
        <v>10</v>
      </c>
      <c r="C721">
        <v>1</v>
      </c>
      <c r="D721" t="s">
        <v>6</v>
      </c>
      <c r="E721">
        <v>3</v>
      </c>
      <c r="F721" t="str">
        <f t="shared" si="11"/>
        <v>Carbohydrate metabolism</v>
      </c>
    </row>
    <row r="722" spans="1:6" x14ac:dyDescent="0.45">
      <c r="A722" t="s">
        <v>61</v>
      </c>
      <c r="B722">
        <v>10</v>
      </c>
      <c r="C722">
        <v>1</v>
      </c>
      <c r="D722" t="s">
        <v>6</v>
      </c>
      <c r="E722">
        <v>5</v>
      </c>
      <c r="F722" t="str">
        <f t="shared" si="11"/>
        <v>Lipid metabolism</v>
      </c>
    </row>
    <row r="723" spans="1:6" x14ac:dyDescent="0.45">
      <c r="A723" t="s">
        <v>40</v>
      </c>
      <c r="B723">
        <v>10</v>
      </c>
      <c r="C723">
        <v>1</v>
      </c>
      <c r="D723" t="s">
        <v>6</v>
      </c>
      <c r="E723">
        <v>3</v>
      </c>
      <c r="F723" t="str">
        <f t="shared" si="11"/>
        <v>Lipid metabolism</v>
      </c>
    </row>
    <row r="724" spans="1:6" x14ac:dyDescent="0.45">
      <c r="A724" t="s">
        <v>42</v>
      </c>
      <c r="B724">
        <v>10</v>
      </c>
      <c r="C724">
        <v>1</v>
      </c>
      <c r="D724" t="s">
        <v>6</v>
      </c>
      <c r="E724">
        <v>3</v>
      </c>
      <c r="F724" t="str">
        <f t="shared" si="11"/>
        <v>Amino acid metabolism</v>
      </c>
    </row>
    <row r="725" spans="1:6" x14ac:dyDescent="0.45">
      <c r="A725" t="s">
        <v>18</v>
      </c>
      <c r="B725">
        <v>10</v>
      </c>
      <c r="C725">
        <v>1</v>
      </c>
      <c r="D725" t="s">
        <v>6</v>
      </c>
      <c r="E725">
        <v>4</v>
      </c>
      <c r="F725" t="str">
        <f t="shared" si="11"/>
        <v>Amino acid metabolism</v>
      </c>
    </row>
    <row r="726" spans="1:6" x14ac:dyDescent="0.45">
      <c r="A726" t="s">
        <v>23</v>
      </c>
      <c r="B726">
        <v>10</v>
      </c>
      <c r="C726">
        <v>1</v>
      </c>
      <c r="D726" t="s">
        <v>6</v>
      </c>
      <c r="E726">
        <v>3</v>
      </c>
      <c r="F726" t="str">
        <f t="shared" si="11"/>
        <v>Carbon metabolism</v>
      </c>
    </row>
    <row r="727" spans="1:6" x14ac:dyDescent="0.45">
      <c r="A727" t="s">
        <v>60</v>
      </c>
      <c r="B727">
        <v>10</v>
      </c>
      <c r="C727">
        <v>1</v>
      </c>
      <c r="D727" t="s">
        <v>6</v>
      </c>
      <c r="E727">
        <v>3</v>
      </c>
      <c r="F727" t="str">
        <f t="shared" si="11"/>
        <v>Metabolism of cofactors and vitamins</v>
      </c>
    </row>
    <row r="728" spans="1:6" x14ac:dyDescent="0.45">
      <c r="A728" t="s">
        <v>56</v>
      </c>
      <c r="B728">
        <v>10</v>
      </c>
      <c r="C728">
        <v>1</v>
      </c>
      <c r="D728" t="s">
        <v>6</v>
      </c>
      <c r="E728">
        <v>8</v>
      </c>
      <c r="F728" t="str">
        <f t="shared" si="11"/>
        <v>Lipid metabolism</v>
      </c>
    </row>
    <row r="729" spans="1:6" x14ac:dyDescent="0.45">
      <c r="A729" t="s">
        <v>65</v>
      </c>
      <c r="B729">
        <v>10</v>
      </c>
      <c r="C729">
        <v>1</v>
      </c>
      <c r="D729" t="s">
        <v>6</v>
      </c>
      <c r="E729">
        <v>3</v>
      </c>
      <c r="F729" t="str">
        <f t="shared" si="11"/>
        <v>Secondary metabolism</v>
      </c>
    </row>
    <row r="730" spans="1:6" x14ac:dyDescent="0.45">
      <c r="A730" t="s">
        <v>39</v>
      </c>
      <c r="B730">
        <v>10</v>
      </c>
      <c r="C730">
        <v>1</v>
      </c>
      <c r="D730" t="s">
        <v>6</v>
      </c>
      <c r="E730">
        <v>2</v>
      </c>
      <c r="F730" t="str">
        <f t="shared" si="11"/>
        <v>Carbohydrate metabolism</v>
      </c>
    </row>
    <row r="731" spans="1:6" x14ac:dyDescent="0.45">
      <c r="A731" t="s">
        <v>15</v>
      </c>
      <c r="B731">
        <v>10</v>
      </c>
      <c r="C731">
        <v>1</v>
      </c>
      <c r="D731" t="s">
        <v>6</v>
      </c>
      <c r="E731">
        <v>2</v>
      </c>
      <c r="F731" t="str">
        <f t="shared" si="11"/>
        <v>Carbon metabolism</v>
      </c>
    </row>
    <row r="732" spans="1:6" x14ac:dyDescent="0.45">
      <c r="A732" t="s">
        <v>16</v>
      </c>
      <c r="B732">
        <v>10</v>
      </c>
      <c r="C732">
        <v>1</v>
      </c>
      <c r="D732" t="s">
        <v>6</v>
      </c>
      <c r="E732">
        <v>2</v>
      </c>
      <c r="F732" t="str">
        <f t="shared" si="11"/>
        <v>Carbohydrate metabolism</v>
      </c>
    </row>
    <row r="733" spans="1:6" x14ac:dyDescent="0.45">
      <c r="A733" t="s">
        <v>62</v>
      </c>
      <c r="B733">
        <v>10</v>
      </c>
      <c r="C733">
        <v>1</v>
      </c>
      <c r="D733" t="s">
        <v>6</v>
      </c>
      <c r="E733">
        <v>2</v>
      </c>
      <c r="F733" t="str">
        <f t="shared" si="11"/>
        <v>Metabolism of cofactors and vitamins</v>
      </c>
    </row>
    <row r="734" spans="1:6" x14ac:dyDescent="0.45">
      <c r="A734" t="s">
        <v>7</v>
      </c>
      <c r="B734">
        <v>10</v>
      </c>
      <c r="C734">
        <v>1</v>
      </c>
      <c r="D734" t="s">
        <v>6</v>
      </c>
      <c r="E734">
        <v>2</v>
      </c>
      <c r="F734" t="str">
        <f t="shared" si="11"/>
        <v>Nucleotide metabolism</v>
      </c>
    </row>
    <row r="735" spans="1:6" x14ac:dyDescent="0.45">
      <c r="A735" t="s">
        <v>54</v>
      </c>
      <c r="B735">
        <v>10</v>
      </c>
      <c r="C735">
        <v>1</v>
      </c>
      <c r="D735" t="s">
        <v>6</v>
      </c>
      <c r="E735">
        <v>2</v>
      </c>
      <c r="F735" t="str">
        <f t="shared" si="11"/>
        <v>Amino acid metabolism</v>
      </c>
    </row>
    <row r="736" spans="1:6" x14ac:dyDescent="0.45">
      <c r="A736" t="s">
        <v>82</v>
      </c>
      <c r="B736">
        <v>10</v>
      </c>
      <c r="C736">
        <v>1</v>
      </c>
      <c r="D736" t="s">
        <v>6</v>
      </c>
      <c r="E736">
        <v>2</v>
      </c>
      <c r="F736" t="str">
        <f t="shared" si="11"/>
        <v>Amino acid metabolism</v>
      </c>
    </row>
    <row r="737" spans="1:6" x14ac:dyDescent="0.45">
      <c r="A737" t="s">
        <v>63</v>
      </c>
      <c r="B737">
        <v>10</v>
      </c>
      <c r="C737">
        <v>1</v>
      </c>
      <c r="D737" t="s">
        <v>6</v>
      </c>
      <c r="E737">
        <v>2</v>
      </c>
      <c r="F737" t="str">
        <f t="shared" si="11"/>
        <v>Amino acid metabolism</v>
      </c>
    </row>
    <row r="738" spans="1:6" x14ac:dyDescent="0.45">
      <c r="A738" t="s">
        <v>17</v>
      </c>
      <c r="B738">
        <v>10</v>
      </c>
      <c r="C738">
        <v>1</v>
      </c>
      <c r="D738" t="s">
        <v>6</v>
      </c>
      <c r="E738">
        <v>2</v>
      </c>
      <c r="F738" t="str">
        <f t="shared" si="11"/>
        <v>Amino acid metabolism</v>
      </c>
    </row>
    <row r="739" spans="1:6" x14ac:dyDescent="0.45">
      <c r="A739" t="s">
        <v>68</v>
      </c>
      <c r="B739">
        <v>10</v>
      </c>
      <c r="C739">
        <v>1</v>
      </c>
      <c r="D739" t="s">
        <v>6</v>
      </c>
      <c r="E739">
        <v>2</v>
      </c>
      <c r="F739" t="str">
        <f t="shared" si="11"/>
        <v>Amino acid metabolism</v>
      </c>
    </row>
    <row r="740" spans="1:6" x14ac:dyDescent="0.45">
      <c r="A740" t="s">
        <v>45</v>
      </c>
      <c r="B740">
        <v>10</v>
      </c>
      <c r="C740">
        <v>1</v>
      </c>
      <c r="D740" t="s">
        <v>6</v>
      </c>
      <c r="E740">
        <v>2</v>
      </c>
      <c r="F740" t="str">
        <f t="shared" si="11"/>
        <v>Amino acid metabolism</v>
      </c>
    </row>
    <row r="741" spans="1:6" x14ac:dyDescent="0.45">
      <c r="A741" t="s">
        <v>46</v>
      </c>
      <c r="B741">
        <v>10</v>
      </c>
      <c r="C741">
        <v>1</v>
      </c>
      <c r="D741" t="s">
        <v>6</v>
      </c>
      <c r="E741">
        <v>4</v>
      </c>
      <c r="F741" t="str">
        <f t="shared" si="11"/>
        <v>Lipid metabolism</v>
      </c>
    </row>
    <row r="742" spans="1:6" x14ac:dyDescent="0.45">
      <c r="A742" t="s">
        <v>83</v>
      </c>
      <c r="B742">
        <v>10</v>
      </c>
      <c r="C742">
        <v>1</v>
      </c>
      <c r="D742" t="s">
        <v>6</v>
      </c>
      <c r="E742">
        <v>2</v>
      </c>
      <c r="F742" t="str">
        <f t="shared" si="11"/>
        <v>Carbohydrate metabolism</v>
      </c>
    </row>
    <row r="743" spans="1:6" x14ac:dyDescent="0.45">
      <c r="A743" t="s">
        <v>25</v>
      </c>
      <c r="B743">
        <v>10</v>
      </c>
      <c r="C743">
        <v>1</v>
      </c>
      <c r="D743" t="s">
        <v>6</v>
      </c>
      <c r="E743">
        <v>3</v>
      </c>
      <c r="F743" t="str">
        <f t="shared" si="11"/>
        <v>Metabolism of cofactors and vitamins</v>
      </c>
    </row>
    <row r="744" spans="1:6" x14ac:dyDescent="0.45">
      <c r="A744" t="s">
        <v>80</v>
      </c>
      <c r="B744">
        <v>10</v>
      </c>
      <c r="C744">
        <v>1</v>
      </c>
      <c r="D744" t="s">
        <v>6</v>
      </c>
      <c r="E744">
        <v>2</v>
      </c>
      <c r="F744" t="str">
        <f t="shared" si="11"/>
        <v>Signal transduction</v>
      </c>
    </row>
    <row r="745" spans="1:6" x14ac:dyDescent="0.45">
      <c r="A745" t="s">
        <v>36</v>
      </c>
      <c r="B745">
        <v>10</v>
      </c>
      <c r="C745">
        <v>1</v>
      </c>
      <c r="D745" t="s">
        <v>6</v>
      </c>
      <c r="E745">
        <v>2</v>
      </c>
      <c r="F745" t="str">
        <f t="shared" si="11"/>
        <v>Phenylpropanoid metabolism</v>
      </c>
    </row>
    <row r="746" spans="1:6" x14ac:dyDescent="0.45">
      <c r="A746" t="s">
        <v>99</v>
      </c>
      <c r="B746">
        <v>10</v>
      </c>
      <c r="C746">
        <v>1</v>
      </c>
      <c r="D746" t="s">
        <v>6</v>
      </c>
      <c r="E746">
        <v>2</v>
      </c>
      <c r="F746" t="str">
        <f t="shared" si="11"/>
        <v>Amino acid metabolism</v>
      </c>
    </row>
    <row r="747" spans="1:6" x14ac:dyDescent="0.45">
      <c r="A747" t="s">
        <v>109</v>
      </c>
      <c r="B747">
        <v>10</v>
      </c>
      <c r="C747">
        <v>1</v>
      </c>
      <c r="D747" t="s">
        <v>6</v>
      </c>
      <c r="E747">
        <v>1</v>
      </c>
      <c r="F747">
        <f t="shared" si="11"/>
        <v>0</v>
      </c>
    </row>
    <row r="748" spans="1:6" x14ac:dyDescent="0.45">
      <c r="A748" t="s">
        <v>85</v>
      </c>
      <c r="B748">
        <v>10</v>
      </c>
      <c r="C748">
        <v>1</v>
      </c>
      <c r="D748" t="s">
        <v>6</v>
      </c>
      <c r="E748">
        <v>1</v>
      </c>
      <c r="F748" t="str">
        <f t="shared" si="11"/>
        <v>Lipid metabolism</v>
      </c>
    </row>
    <row r="749" spans="1:6" x14ac:dyDescent="0.45">
      <c r="A749" t="s">
        <v>86</v>
      </c>
      <c r="B749">
        <v>10</v>
      </c>
      <c r="C749">
        <v>1</v>
      </c>
      <c r="D749" t="s">
        <v>6</v>
      </c>
      <c r="E749">
        <v>1</v>
      </c>
      <c r="F749" t="str">
        <f t="shared" si="11"/>
        <v>Lipid metabolism</v>
      </c>
    </row>
    <row r="750" spans="1:6" x14ac:dyDescent="0.45">
      <c r="A750" t="s">
        <v>41</v>
      </c>
      <c r="B750">
        <v>10</v>
      </c>
      <c r="C750">
        <v>1</v>
      </c>
      <c r="D750" t="s">
        <v>6</v>
      </c>
      <c r="E750">
        <v>1</v>
      </c>
      <c r="F750" t="str">
        <f t="shared" si="11"/>
        <v>Energy metabolism</v>
      </c>
    </row>
    <row r="751" spans="1:6" x14ac:dyDescent="0.45">
      <c r="A751" t="s">
        <v>76</v>
      </c>
      <c r="B751">
        <v>10</v>
      </c>
      <c r="C751">
        <v>1</v>
      </c>
      <c r="D751" t="s">
        <v>6</v>
      </c>
      <c r="E751">
        <v>1</v>
      </c>
      <c r="F751" t="str">
        <f t="shared" si="11"/>
        <v>Biosynthesis of other secondary metabolites</v>
      </c>
    </row>
    <row r="752" spans="1:6" x14ac:dyDescent="0.45">
      <c r="A752" t="s">
        <v>58</v>
      </c>
      <c r="B752">
        <v>10</v>
      </c>
      <c r="C752">
        <v>1</v>
      </c>
      <c r="D752" t="s">
        <v>6</v>
      </c>
      <c r="E752">
        <v>1</v>
      </c>
      <c r="F752" t="str">
        <f t="shared" si="11"/>
        <v>Amino acid metabolism</v>
      </c>
    </row>
    <row r="753" spans="1:6" x14ac:dyDescent="0.45">
      <c r="A753" t="s">
        <v>44</v>
      </c>
      <c r="B753">
        <v>10</v>
      </c>
      <c r="C753">
        <v>1</v>
      </c>
      <c r="D753" t="s">
        <v>6</v>
      </c>
      <c r="E753">
        <v>2</v>
      </c>
      <c r="F753" t="str">
        <f t="shared" si="11"/>
        <v>Amino acid metabolism</v>
      </c>
    </row>
    <row r="754" spans="1:6" x14ac:dyDescent="0.45">
      <c r="A754" t="s">
        <v>53</v>
      </c>
      <c r="B754">
        <v>10</v>
      </c>
      <c r="C754">
        <v>1</v>
      </c>
      <c r="D754" t="s">
        <v>6</v>
      </c>
      <c r="E754">
        <v>1</v>
      </c>
      <c r="F754" t="str">
        <f t="shared" si="11"/>
        <v>Amino acid metabolism</v>
      </c>
    </row>
    <row r="755" spans="1:6" x14ac:dyDescent="0.45">
      <c r="A755" t="s">
        <v>87</v>
      </c>
      <c r="B755">
        <v>10</v>
      </c>
      <c r="C755">
        <v>1</v>
      </c>
      <c r="D755" t="s">
        <v>6</v>
      </c>
      <c r="E755">
        <v>1</v>
      </c>
      <c r="F755" t="str">
        <f t="shared" si="11"/>
        <v>Amino acid metabolism</v>
      </c>
    </row>
    <row r="756" spans="1:6" x14ac:dyDescent="0.45">
      <c r="A756" t="s">
        <v>69</v>
      </c>
      <c r="B756">
        <v>10</v>
      </c>
      <c r="C756">
        <v>1</v>
      </c>
      <c r="D756" t="s">
        <v>6</v>
      </c>
      <c r="E756">
        <v>1</v>
      </c>
      <c r="F756" t="str">
        <f t="shared" si="11"/>
        <v>Amino acid metabolism</v>
      </c>
    </row>
    <row r="757" spans="1:6" x14ac:dyDescent="0.45">
      <c r="A757" t="s">
        <v>77</v>
      </c>
      <c r="B757">
        <v>10</v>
      </c>
      <c r="C757">
        <v>1</v>
      </c>
      <c r="D757" t="s">
        <v>6</v>
      </c>
      <c r="E757">
        <v>1</v>
      </c>
      <c r="F757" t="str">
        <f t="shared" si="11"/>
        <v>Amino acid metabolism</v>
      </c>
    </row>
    <row r="758" spans="1:6" x14ac:dyDescent="0.45">
      <c r="A758" t="s">
        <v>20</v>
      </c>
      <c r="B758">
        <v>10</v>
      </c>
      <c r="C758">
        <v>1</v>
      </c>
      <c r="D758" t="s">
        <v>6</v>
      </c>
      <c r="E758">
        <v>1</v>
      </c>
      <c r="F758" t="str">
        <f t="shared" si="11"/>
        <v>Carbohydrate metabolism</v>
      </c>
    </row>
    <row r="759" spans="1:6" x14ac:dyDescent="0.45">
      <c r="A759" t="s">
        <v>8</v>
      </c>
      <c r="B759">
        <v>10</v>
      </c>
      <c r="C759">
        <v>1</v>
      </c>
      <c r="D759" t="s">
        <v>6</v>
      </c>
      <c r="E759">
        <v>1</v>
      </c>
      <c r="F759" t="str">
        <f t="shared" si="11"/>
        <v>Glycan biosynthesis and metabolism</v>
      </c>
    </row>
    <row r="760" spans="1:6" x14ac:dyDescent="0.45">
      <c r="A760" t="s">
        <v>21</v>
      </c>
      <c r="B760">
        <v>10</v>
      </c>
      <c r="C760">
        <v>1</v>
      </c>
      <c r="D760" t="s">
        <v>6</v>
      </c>
      <c r="E760">
        <v>1</v>
      </c>
      <c r="F760" t="str">
        <f t="shared" si="11"/>
        <v>Lipid metabolism</v>
      </c>
    </row>
    <row r="761" spans="1:6" x14ac:dyDescent="0.45">
      <c r="A761" t="s">
        <v>59</v>
      </c>
      <c r="B761">
        <v>10</v>
      </c>
      <c r="C761">
        <v>1</v>
      </c>
      <c r="D761" t="s">
        <v>6</v>
      </c>
      <c r="E761">
        <v>1</v>
      </c>
      <c r="F761" t="str">
        <f t="shared" si="11"/>
        <v>Carbohydrate metabolism</v>
      </c>
    </row>
    <row r="762" spans="1:6" x14ac:dyDescent="0.45">
      <c r="A762" t="s">
        <v>67</v>
      </c>
      <c r="B762">
        <v>10</v>
      </c>
      <c r="C762">
        <v>1</v>
      </c>
      <c r="D762" t="s">
        <v>6</v>
      </c>
      <c r="E762">
        <v>1</v>
      </c>
      <c r="F762" t="str">
        <f t="shared" si="11"/>
        <v>Carbohydrate metabolism</v>
      </c>
    </row>
    <row r="763" spans="1:6" x14ac:dyDescent="0.45">
      <c r="A763" t="s">
        <v>47</v>
      </c>
      <c r="B763">
        <v>10</v>
      </c>
      <c r="C763">
        <v>1</v>
      </c>
      <c r="D763" t="s">
        <v>6</v>
      </c>
      <c r="E763">
        <v>1</v>
      </c>
      <c r="F763" t="str">
        <f t="shared" si="11"/>
        <v>Carbohydrate metabolism</v>
      </c>
    </row>
    <row r="764" spans="1:6" x14ac:dyDescent="0.45">
      <c r="A764" t="s">
        <v>48</v>
      </c>
      <c r="B764">
        <v>10</v>
      </c>
      <c r="C764">
        <v>1</v>
      </c>
      <c r="D764" t="s">
        <v>6</v>
      </c>
      <c r="E764">
        <v>1</v>
      </c>
      <c r="F764" t="str">
        <f t="shared" si="11"/>
        <v>Carbohydrate metabolism</v>
      </c>
    </row>
    <row r="765" spans="1:6" x14ac:dyDescent="0.45">
      <c r="A765" t="s">
        <v>22</v>
      </c>
      <c r="B765">
        <v>10</v>
      </c>
      <c r="C765">
        <v>1</v>
      </c>
      <c r="D765" t="s">
        <v>6</v>
      </c>
      <c r="E765">
        <v>2</v>
      </c>
      <c r="F765" t="str">
        <f t="shared" si="11"/>
        <v>Carbohydrate metabolism</v>
      </c>
    </row>
    <row r="766" spans="1:6" x14ac:dyDescent="0.45">
      <c r="A766" t="s">
        <v>24</v>
      </c>
      <c r="B766">
        <v>10</v>
      </c>
      <c r="C766">
        <v>1</v>
      </c>
      <c r="D766" t="s">
        <v>6</v>
      </c>
      <c r="E766">
        <v>1</v>
      </c>
      <c r="F766" t="str">
        <f t="shared" si="11"/>
        <v>Metabolism of cofactors and vitamin</v>
      </c>
    </row>
    <row r="767" spans="1:6" x14ac:dyDescent="0.45">
      <c r="A767" t="s">
        <v>26</v>
      </c>
      <c r="B767">
        <v>10</v>
      </c>
      <c r="C767">
        <v>1</v>
      </c>
      <c r="D767" t="s">
        <v>6</v>
      </c>
      <c r="E767">
        <v>1</v>
      </c>
      <c r="F767" t="str">
        <f t="shared" si="11"/>
        <v>Metabolism of cofactors and vitamins</v>
      </c>
    </row>
    <row r="768" spans="1:6" x14ac:dyDescent="0.45">
      <c r="A768" t="s">
        <v>27</v>
      </c>
      <c r="B768">
        <v>10</v>
      </c>
      <c r="C768">
        <v>1</v>
      </c>
      <c r="D768" t="s">
        <v>6</v>
      </c>
      <c r="E768">
        <v>1</v>
      </c>
      <c r="F768" t="str">
        <f t="shared" si="11"/>
        <v>Metabolism of cofactors and vitamins</v>
      </c>
    </row>
    <row r="769" spans="1:6" x14ac:dyDescent="0.45">
      <c r="A769" t="s">
        <v>28</v>
      </c>
      <c r="B769">
        <v>10</v>
      </c>
      <c r="C769">
        <v>1</v>
      </c>
      <c r="D769" t="s">
        <v>6</v>
      </c>
      <c r="E769">
        <v>1</v>
      </c>
      <c r="F769" t="str">
        <f t="shared" si="11"/>
        <v>Metabolism of terpenoids and polyketides</v>
      </c>
    </row>
    <row r="770" spans="1:6" x14ac:dyDescent="0.45">
      <c r="A770" t="s">
        <v>72</v>
      </c>
      <c r="B770">
        <v>10</v>
      </c>
      <c r="C770">
        <v>1</v>
      </c>
      <c r="D770" t="s">
        <v>6</v>
      </c>
      <c r="E770">
        <v>1</v>
      </c>
      <c r="F770" t="str">
        <f t="shared" si="11"/>
        <v>Metabolism of terpenoids and polyketides</v>
      </c>
    </row>
    <row r="771" spans="1:6" x14ac:dyDescent="0.45">
      <c r="A771" t="s">
        <v>73</v>
      </c>
      <c r="B771">
        <v>10</v>
      </c>
      <c r="C771">
        <v>1</v>
      </c>
      <c r="D771" t="s">
        <v>6</v>
      </c>
      <c r="E771">
        <v>1</v>
      </c>
      <c r="F771" t="str">
        <f t="shared" si="11"/>
        <v>Energy metabolism</v>
      </c>
    </row>
    <row r="772" spans="1:6" x14ac:dyDescent="0.45">
      <c r="A772" t="s">
        <v>55</v>
      </c>
      <c r="B772">
        <v>10</v>
      </c>
      <c r="C772">
        <v>1</v>
      </c>
      <c r="D772" t="s">
        <v>6</v>
      </c>
      <c r="E772">
        <v>1</v>
      </c>
      <c r="F772" t="str">
        <f t="shared" ref="F772:F835" si="12">_xlfn.XLOOKUP(A772,$H$2:$H$200,$I$2:$I$200)</f>
        <v>Alkaloid metabolism</v>
      </c>
    </row>
    <row r="773" spans="1:6" x14ac:dyDescent="0.45">
      <c r="A773" t="s">
        <v>91</v>
      </c>
      <c r="B773">
        <v>10</v>
      </c>
      <c r="C773">
        <v>1</v>
      </c>
      <c r="D773" t="s">
        <v>6</v>
      </c>
      <c r="E773">
        <v>1</v>
      </c>
      <c r="F773" t="str">
        <f t="shared" si="12"/>
        <v>Genetic Information Processing</v>
      </c>
    </row>
    <row r="774" spans="1:6" x14ac:dyDescent="0.45">
      <c r="A774" t="s">
        <v>92</v>
      </c>
      <c r="B774">
        <v>10</v>
      </c>
      <c r="C774">
        <v>1</v>
      </c>
      <c r="D774" t="s">
        <v>6</v>
      </c>
      <c r="E774">
        <v>1</v>
      </c>
      <c r="F774" t="str">
        <f t="shared" si="12"/>
        <v>Fatty acid metabolism</v>
      </c>
    </row>
    <row r="775" spans="1:6" x14ac:dyDescent="0.45">
      <c r="A775" t="s">
        <v>35</v>
      </c>
      <c r="B775">
        <v>10</v>
      </c>
      <c r="C775">
        <v>1</v>
      </c>
      <c r="D775" t="s">
        <v>6</v>
      </c>
      <c r="E775">
        <v>1</v>
      </c>
      <c r="F775" t="str">
        <f t="shared" si="12"/>
        <v>Membrane transport</v>
      </c>
    </row>
    <row r="776" spans="1:6" x14ac:dyDescent="0.45">
      <c r="A776" t="s">
        <v>108</v>
      </c>
      <c r="B776">
        <v>10</v>
      </c>
      <c r="C776">
        <v>1</v>
      </c>
      <c r="D776" t="s">
        <v>6</v>
      </c>
      <c r="E776">
        <v>1</v>
      </c>
      <c r="F776">
        <f t="shared" si="12"/>
        <v>0</v>
      </c>
    </row>
    <row r="777" spans="1:6" x14ac:dyDescent="0.45">
      <c r="A777" t="s">
        <v>110</v>
      </c>
      <c r="B777">
        <v>10</v>
      </c>
      <c r="C777">
        <v>1</v>
      </c>
      <c r="D777" t="s">
        <v>6</v>
      </c>
      <c r="E777">
        <v>1</v>
      </c>
      <c r="F777" t="str">
        <f t="shared" si="12"/>
        <v>Energy metabolism</v>
      </c>
    </row>
    <row r="778" spans="1:6" x14ac:dyDescent="0.45">
      <c r="A778" t="s">
        <v>95</v>
      </c>
      <c r="B778">
        <v>10</v>
      </c>
      <c r="C778">
        <v>1</v>
      </c>
      <c r="D778" t="s">
        <v>6</v>
      </c>
      <c r="E778">
        <v>1</v>
      </c>
      <c r="F778" t="str">
        <f t="shared" si="12"/>
        <v>Amino acid metabolism</v>
      </c>
    </row>
    <row r="779" spans="1:6" x14ac:dyDescent="0.45">
      <c r="A779" t="s">
        <v>52</v>
      </c>
      <c r="B779">
        <v>10</v>
      </c>
      <c r="C779">
        <v>1</v>
      </c>
      <c r="D779" t="s">
        <v>6</v>
      </c>
      <c r="E779">
        <v>1</v>
      </c>
      <c r="F779" t="str">
        <f t="shared" si="12"/>
        <v>Alkaloid metabolism</v>
      </c>
    </row>
    <row r="780" spans="1:6" x14ac:dyDescent="0.45">
      <c r="A780" t="s">
        <v>37</v>
      </c>
      <c r="B780">
        <v>10</v>
      </c>
      <c r="C780">
        <v>1</v>
      </c>
      <c r="D780" t="s">
        <v>6</v>
      </c>
      <c r="E780">
        <v>1</v>
      </c>
      <c r="F780" t="str">
        <f t="shared" si="12"/>
        <v>Primary metabolism</v>
      </c>
    </row>
    <row r="781" spans="1:6" x14ac:dyDescent="0.45">
      <c r="A781" t="s">
        <v>49</v>
      </c>
      <c r="B781">
        <v>10</v>
      </c>
      <c r="C781">
        <v>1</v>
      </c>
      <c r="D781" t="s">
        <v>6</v>
      </c>
      <c r="E781">
        <v>1</v>
      </c>
      <c r="F781" t="str">
        <f t="shared" si="12"/>
        <v>Phenylpropanoid metabolism</v>
      </c>
    </row>
    <row r="782" spans="1:6" x14ac:dyDescent="0.45">
      <c r="A782" t="s">
        <v>30</v>
      </c>
      <c r="B782">
        <v>10</v>
      </c>
      <c r="C782">
        <v>-1</v>
      </c>
      <c r="D782" t="s">
        <v>6</v>
      </c>
      <c r="E782">
        <v>5</v>
      </c>
      <c r="F782" t="str">
        <f t="shared" si="12"/>
        <v>Phenylpropanoid biosynthesis</v>
      </c>
    </row>
    <row r="783" spans="1:6" x14ac:dyDescent="0.45">
      <c r="A783" t="s">
        <v>49</v>
      </c>
      <c r="B783">
        <v>10</v>
      </c>
      <c r="C783">
        <v>-1</v>
      </c>
      <c r="D783" t="s">
        <v>6</v>
      </c>
      <c r="E783">
        <v>4</v>
      </c>
      <c r="F783" t="str">
        <f t="shared" si="12"/>
        <v>Phenylpropanoid metabolism</v>
      </c>
    </row>
    <row r="784" spans="1:6" x14ac:dyDescent="0.45">
      <c r="A784" t="s">
        <v>33</v>
      </c>
      <c r="B784">
        <v>10</v>
      </c>
      <c r="C784">
        <v>-1</v>
      </c>
      <c r="D784" t="s">
        <v>6</v>
      </c>
      <c r="E784">
        <v>3</v>
      </c>
      <c r="F784" t="str">
        <f t="shared" si="12"/>
        <v>Amino acid metabolism</v>
      </c>
    </row>
    <row r="785" spans="1:6" x14ac:dyDescent="0.45">
      <c r="A785" t="s">
        <v>7</v>
      </c>
      <c r="B785">
        <v>10</v>
      </c>
      <c r="C785">
        <v>-1</v>
      </c>
      <c r="D785" t="s">
        <v>6</v>
      </c>
      <c r="E785">
        <v>2</v>
      </c>
      <c r="F785" t="str">
        <f t="shared" si="12"/>
        <v>Nucleotide metabolism</v>
      </c>
    </row>
    <row r="786" spans="1:6" x14ac:dyDescent="0.45">
      <c r="A786" t="s">
        <v>54</v>
      </c>
      <c r="B786">
        <v>10</v>
      </c>
      <c r="C786">
        <v>-1</v>
      </c>
      <c r="D786" t="s">
        <v>6</v>
      </c>
      <c r="E786">
        <v>2</v>
      </c>
      <c r="F786" t="str">
        <f t="shared" si="12"/>
        <v>Amino acid metabolism</v>
      </c>
    </row>
    <row r="787" spans="1:6" x14ac:dyDescent="0.45">
      <c r="A787" t="s">
        <v>48</v>
      </c>
      <c r="B787">
        <v>10</v>
      </c>
      <c r="C787">
        <v>-1</v>
      </c>
      <c r="D787" t="s">
        <v>6</v>
      </c>
      <c r="E787">
        <v>2</v>
      </c>
      <c r="F787" t="str">
        <f t="shared" si="12"/>
        <v>Carbohydrate metabolism</v>
      </c>
    </row>
    <row r="788" spans="1:6" x14ac:dyDescent="0.45">
      <c r="A788" t="s">
        <v>22</v>
      </c>
      <c r="B788">
        <v>10</v>
      </c>
      <c r="C788">
        <v>-1</v>
      </c>
      <c r="D788" t="s">
        <v>6</v>
      </c>
      <c r="E788">
        <v>2</v>
      </c>
      <c r="F788" t="str">
        <f t="shared" si="12"/>
        <v>Carbohydrate metabolism</v>
      </c>
    </row>
    <row r="789" spans="1:6" x14ac:dyDescent="0.45">
      <c r="A789" t="s">
        <v>73</v>
      </c>
      <c r="B789">
        <v>10</v>
      </c>
      <c r="C789">
        <v>-1</v>
      </c>
      <c r="D789" t="s">
        <v>6</v>
      </c>
      <c r="E789">
        <v>3</v>
      </c>
      <c r="F789" t="str">
        <f t="shared" si="12"/>
        <v>Energy metabolism</v>
      </c>
    </row>
    <row r="790" spans="1:6" x14ac:dyDescent="0.45">
      <c r="A790" t="s">
        <v>31</v>
      </c>
      <c r="B790">
        <v>10</v>
      </c>
      <c r="C790">
        <v>-1</v>
      </c>
      <c r="D790" t="s">
        <v>6</v>
      </c>
      <c r="E790">
        <v>2</v>
      </c>
      <c r="F790" t="str">
        <f t="shared" si="12"/>
        <v>Glucosinolate biosynthesis</v>
      </c>
    </row>
    <row r="791" spans="1:6" x14ac:dyDescent="0.45">
      <c r="A791" t="s">
        <v>32</v>
      </c>
      <c r="B791">
        <v>10</v>
      </c>
      <c r="C791">
        <v>-1</v>
      </c>
      <c r="D791" t="s">
        <v>6</v>
      </c>
      <c r="E791">
        <v>2</v>
      </c>
      <c r="F791" t="str">
        <f t="shared" si="12"/>
        <v xml:space="preserve">Carbon metabolism </v>
      </c>
    </row>
    <row r="792" spans="1:6" x14ac:dyDescent="0.45">
      <c r="A792" t="s">
        <v>34</v>
      </c>
      <c r="B792">
        <v>10</v>
      </c>
      <c r="C792">
        <v>-1</v>
      </c>
      <c r="D792" t="s">
        <v>6</v>
      </c>
      <c r="E792">
        <v>2</v>
      </c>
      <c r="F792" t="str">
        <f t="shared" si="12"/>
        <v>Amino acid metabolism</v>
      </c>
    </row>
    <row r="793" spans="1:6" x14ac:dyDescent="0.45">
      <c r="A793" t="s">
        <v>39</v>
      </c>
      <c r="B793">
        <v>10</v>
      </c>
      <c r="C793">
        <v>-1</v>
      </c>
      <c r="D793" t="s">
        <v>6</v>
      </c>
      <c r="E793">
        <v>1</v>
      </c>
      <c r="F793" t="str">
        <f t="shared" si="12"/>
        <v>Carbohydrate metabolism</v>
      </c>
    </row>
    <row r="794" spans="1:6" x14ac:dyDescent="0.45">
      <c r="A794" t="s">
        <v>15</v>
      </c>
      <c r="B794">
        <v>10</v>
      </c>
      <c r="C794">
        <v>-1</v>
      </c>
      <c r="D794" t="s">
        <v>6</v>
      </c>
      <c r="E794">
        <v>1</v>
      </c>
      <c r="F794" t="str">
        <f t="shared" si="12"/>
        <v>Carbon metabolism</v>
      </c>
    </row>
    <row r="795" spans="1:6" x14ac:dyDescent="0.45">
      <c r="A795" t="s">
        <v>16</v>
      </c>
      <c r="B795">
        <v>10</v>
      </c>
      <c r="C795">
        <v>-1</v>
      </c>
      <c r="D795" t="s">
        <v>6</v>
      </c>
      <c r="E795">
        <v>1</v>
      </c>
      <c r="F795" t="str">
        <f t="shared" si="12"/>
        <v>Carbohydrate metabolism</v>
      </c>
    </row>
    <row r="796" spans="1:6" x14ac:dyDescent="0.45">
      <c r="A796" t="s">
        <v>11</v>
      </c>
      <c r="B796">
        <v>10</v>
      </c>
      <c r="C796">
        <v>-1</v>
      </c>
      <c r="D796" t="s">
        <v>6</v>
      </c>
      <c r="E796">
        <v>1</v>
      </c>
      <c r="F796" t="str">
        <f t="shared" si="12"/>
        <v>Carbohydrate metabolism</v>
      </c>
    </row>
    <row r="797" spans="1:6" x14ac:dyDescent="0.45">
      <c r="A797" t="s">
        <v>66</v>
      </c>
      <c r="B797">
        <v>10</v>
      </c>
      <c r="C797">
        <v>-1</v>
      </c>
      <c r="D797" t="s">
        <v>6</v>
      </c>
      <c r="E797">
        <v>1</v>
      </c>
      <c r="F797" t="str">
        <f t="shared" si="12"/>
        <v>Carbohydrate metabolism</v>
      </c>
    </row>
    <row r="798" spans="1:6" x14ac:dyDescent="0.45">
      <c r="A798" t="s">
        <v>9</v>
      </c>
      <c r="B798">
        <v>10</v>
      </c>
      <c r="C798">
        <v>-1</v>
      </c>
      <c r="D798" t="s">
        <v>6</v>
      </c>
      <c r="E798">
        <v>1</v>
      </c>
      <c r="F798" t="str">
        <f t="shared" si="12"/>
        <v>Carbohydrate metabolism</v>
      </c>
    </row>
    <row r="799" spans="1:6" x14ac:dyDescent="0.45">
      <c r="A799" t="s">
        <v>12</v>
      </c>
      <c r="B799">
        <v>10</v>
      </c>
      <c r="C799">
        <v>-1</v>
      </c>
      <c r="D799" t="s">
        <v>6</v>
      </c>
      <c r="E799">
        <v>1</v>
      </c>
      <c r="F799" t="str">
        <f t="shared" si="12"/>
        <v>Carbohydrate metabolism</v>
      </c>
    </row>
    <row r="800" spans="1:6" x14ac:dyDescent="0.45">
      <c r="A800" t="s">
        <v>10</v>
      </c>
      <c r="B800">
        <v>10</v>
      </c>
      <c r="C800">
        <v>-1</v>
      </c>
      <c r="D800" t="s">
        <v>6</v>
      </c>
      <c r="E800">
        <v>1</v>
      </c>
      <c r="F800" t="str">
        <f t="shared" si="12"/>
        <v>Nucleotide metabolism</v>
      </c>
    </row>
    <row r="801" spans="1:6" x14ac:dyDescent="0.45">
      <c r="A801" t="s">
        <v>42</v>
      </c>
      <c r="B801">
        <v>10</v>
      </c>
      <c r="C801">
        <v>-1</v>
      </c>
      <c r="D801" t="s">
        <v>6</v>
      </c>
      <c r="E801">
        <v>1</v>
      </c>
      <c r="F801" t="str">
        <f t="shared" si="12"/>
        <v>Amino acid metabolism</v>
      </c>
    </row>
    <row r="802" spans="1:6" x14ac:dyDescent="0.45">
      <c r="A802" t="s">
        <v>43</v>
      </c>
      <c r="B802">
        <v>10</v>
      </c>
      <c r="C802">
        <v>-1</v>
      </c>
      <c r="D802" t="s">
        <v>6</v>
      </c>
      <c r="E802">
        <v>1</v>
      </c>
      <c r="F802" t="str">
        <f t="shared" si="12"/>
        <v>Amino acid metabolism</v>
      </c>
    </row>
    <row r="803" spans="1:6" x14ac:dyDescent="0.45">
      <c r="A803" t="s">
        <v>44</v>
      </c>
      <c r="B803">
        <v>10</v>
      </c>
      <c r="C803">
        <v>-1</v>
      </c>
      <c r="D803" t="s">
        <v>6</v>
      </c>
      <c r="E803">
        <v>1</v>
      </c>
      <c r="F803" t="str">
        <f t="shared" si="12"/>
        <v>Amino acid metabolism</v>
      </c>
    </row>
    <row r="804" spans="1:6" x14ac:dyDescent="0.45">
      <c r="A804" t="s">
        <v>17</v>
      </c>
      <c r="B804">
        <v>10</v>
      </c>
      <c r="C804">
        <v>-1</v>
      </c>
      <c r="D804" t="s">
        <v>6</v>
      </c>
      <c r="E804">
        <v>1</v>
      </c>
      <c r="F804" t="str">
        <f t="shared" si="12"/>
        <v>Amino acid metabolism</v>
      </c>
    </row>
    <row r="805" spans="1:6" x14ac:dyDescent="0.45">
      <c r="A805" t="s">
        <v>18</v>
      </c>
      <c r="B805">
        <v>10</v>
      </c>
      <c r="C805">
        <v>-1</v>
      </c>
      <c r="D805" t="s">
        <v>6</v>
      </c>
      <c r="E805">
        <v>1</v>
      </c>
      <c r="F805" t="str">
        <f t="shared" si="12"/>
        <v>Amino acid metabolism</v>
      </c>
    </row>
    <row r="806" spans="1:6" x14ac:dyDescent="0.45">
      <c r="A806" t="s">
        <v>53</v>
      </c>
      <c r="B806">
        <v>10</v>
      </c>
      <c r="C806">
        <v>-1</v>
      </c>
      <c r="D806" t="s">
        <v>6</v>
      </c>
      <c r="E806">
        <v>1</v>
      </c>
      <c r="F806" t="str">
        <f t="shared" si="12"/>
        <v>Amino acid metabolism</v>
      </c>
    </row>
    <row r="807" spans="1:6" x14ac:dyDescent="0.45">
      <c r="A807" t="s">
        <v>45</v>
      </c>
      <c r="B807">
        <v>10</v>
      </c>
      <c r="C807">
        <v>-1</v>
      </c>
      <c r="D807" t="s">
        <v>6</v>
      </c>
      <c r="E807">
        <v>1</v>
      </c>
      <c r="F807" t="str">
        <f t="shared" si="12"/>
        <v>Amino acid metabolism</v>
      </c>
    </row>
    <row r="808" spans="1:6" x14ac:dyDescent="0.45">
      <c r="A808" t="s">
        <v>20</v>
      </c>
      <c r="B808">
        <v>10</v>
      </c>
      <c r="C808">
        <v>-1</v>
      </c>
      <c r="D808" t="s">
        <v>6</v>
      </c>
      <c r="E808">
        <v>1</v>
      </c>
      <c r="F808" t="str">
        <f t="shared" si="12"/>
        <v>Carbohydrate metabolism</v>
      </c>
    </row>
    <row r="809" spans="1:6" x14ac:dyDescent="0.45">
      <c r="A809" t="s">
        <v>59</v>
      </c>
      <c r="B809">
        <v>10</v>
      </c>
      <c r="C809">
        <v>-1</v>
      </c>
      <c r="D809" t="s">
        <v>6</v>
      </c>
      <c r="E809">
        <v>1</v>
      </c>
      <c r="F809" t="str">
        <f t="shared" si="12"/>
        <v>Carbohydrate metabolism</v>
      </c>
    </row>
    <row r="810" spans="1:6" x14ac:dyDescent="0.45">
      <c r="A810" t="s">
        <v>47</v>
      </c>
      <c r="B810">
        <v>10</v>
      </c>
      <c r="C810">
        <v>-1</v>
      </c>
      <c r="D810" t="s">
        <v>6</v>
      </c>
      <c r="E810">
        <v>1</v>
      </c>
      <c r="F810" t="str">
        <f t="shared" si="12"/>
        <v>Carbohydrate metabolism</v>
      </c>
    </row>
    <row r="811" spans="1:6" x14ac:dyDescent="0.45">
      <c r="A811" t="s">
        <v>23</v>
      </c>
      <c r="B811">
        <v>10</v>
      </c>
      <c r="C811">
        <v>-1</v>
      </c>
      <c r="D811" t="s">
        <v>6</v>
      </c>
      <c r="E811">
        <v>1</v>
      </c>
      <c r="F811" t="str">
        <f t="shared" si="12"/>
        <v>Carbon metabolism</v>
      </c>
    </row>
    <row r="812" spans="1:6" x14ac:dyDescent="0.45">
      <c r="A812" t="s">
        <v>25</v>
      </c>
      <c r="B812">
        <v>10</v>
      </c>
      <c r="C812">
        <v>-1</v>
      </c>
      <c r="D812" t="s">
        <v>6</v>
      </c>
      <c r="E812">
        <v>1</v>
      </c>
      <c r="F812" t="str">
        <f t="shared" si="12"/>
        <v>Metabolism of cofactors and vitamins</v>
      </c>
    </row>
    <row r="813" spans="1:6" x14ac:dyDescent="0.45">
      <c r="A813" t="s">
        <v>60</v>
      </c>
      <c r="B813">
        <v>10</v>
      </c>
      <c r="C813">
        <v>-1</v>
      </c>
      <c r="D813" t="s">
        <v>6</v>
      </c>
      <c r="E813">
        <v>1</v>
      </c>
      <c r="F813" t="str">
        <f t="shared" si="12"/>
        <v>Metabolism of cofactors and vitamins</v>
      </c>
    </row>
    <row r="814" spans="1:6" x14ac:dyDescent="0.45">
      <c r="A814" t="s">
        <v>64</v>
      </c>
      <c r="B814">
        <v>10</v>
      </c>
      <c r="C814">
        <v>-1</v>
      </c>
      <c r="D814" t="s">
        <v>6</v>
      </c>
      <c r="E814">
        <v>1</v>
      </c>
      <c r="F814" t="str">
        <f t="shared" si="12"/>
        <v>Metabolism of cofactors and vitamins</v>
      </c>
    </row>
    <row r="815" spans="1:6" x14ac:dyDescent="0.45">
      <c r="A815" t="s">
        <v>14</v>
      </c>
      <c r="B815">
        <v>10</v>
      </c>
      <c r="C815">
        <v>-1</v>
      </c>
      <c r="D815" t="s">
        <v>6</v>
      </c>
      <c r="E815">
        <v>1</v>
      </c>
      <c r="F815" t="str">
        <f t="shared" si="12"/>
        <v>Alkaloid metabolism</v>
      </c>
    </row>
    <row r="816" spans="1:6" x14ac:dyDescent="0.45">
      <c r="A816" t="s">
        <v>38</v>
      </c>
      <c r="B816">
        <v>10</v>
      </c>
      <c r="C816">
        <v>-1</v>
      </c>
      <c r="D816" t="s">
        <v>6</v>
      </c>
      <c r="E816">
        <v>1</v>
      </c>
      <c r="F816" t="str">
        <f t="shared" si="12"/>
        <v>Degradation of aromatic compounds</v>
      </c>
    </row>
    <row r="817" spans="1:6" x14ac:dyDescent="0.45">
      <c r="A817" t="s">
        <v>35</v>
      </c>
      <c r="B817">
        <v>10</v>
      </c>
      <c r="C817">
        <v>-1</v>
      </c>
      <c r="D817" t="s">
        <v>6</v>
      </c>
      <c r="E817">
        <v>1</v>
      </c>
      <c r="F817" t="str">
        <f t="shared" si="12"/>
        <v>Membrane transport</v>
      </c>
    </row>
    <row r="818" spans="1:6" x14ac:dyDescent="0.45">
      <c r="A818" t="s">
        <v>93</v>
      </c>
      <c r="B818">
        <v>10</v>
      </c>
      <c r="C818">
        <v>-1</v>
      </c>
      <c r="D818" t="s">
        <v>6</v>
      </c>
      <c r="E818">
        <v>1</v>
      </c>
      <c r="F818" t="str">
        <f t="shared" si="12"/>
        <v>Signal transduction</v>
      </c>
    </row>
    <row r="819" spans="1:6" x14ac:dyDescent="0.45">
      <c r="A819" t="s">
        <v>94</v>
      </c>
      <c r="B819">
        <v>10</v>
      </c>
      <c r="C819">
        <v>-1</v>
      </c>
      <c r="D819" t="s">
        <v>6</v>
      </c>
      <c r="E819">
        <v>1</v>
      </c>
      <c r="F819" t="str">
        <f t="shared" si="12"/>
        <v>Plant-pathogen interaction</v>
      </c>
    </row>
    <row r="820" spans="1:6" x14ac:dyDescent="0.45">
      <c r="A820" t="s">
        <v>37</v>
      </c>
      <c r="B820">
        <v>10</v>
      </c>
      <c r="C820">
        <v>-1</v>
      </c>
      <c r="D820" t="s">
        <v>6</v>
      </c>
      <c r="E820">
        <v>1</v>
      </c>
      <c r="F820" t="str">
        <f t="shared" si="12"/>
        <v>Primary metabolism</v>
      </c>
    </row>
    <row r="821" spans="1:6" x14ac:dyDescent="0.45">
      <c r="A821" t="s">
        <v>65</v>
      </c>
      <c r="B821">
        <v>10</v>
      </c>
      <c r="C821">
        <v>-1</v>
      </c>
      <c r="D821" t="s">
        <v>6</v>
      </c>
      <c r="E821">
        <v>1</v>
      </c>
      <c r="F821" t="str">
        <f t="shared" si="12"/>
        <v>Secondary metabolism</v>
      </c>
    </row>
    <row r="822" spans="1:6" x14ac:dyDescent="0.45">
      <c r="A822" t="s">
        <v>91</v>
      </c>
      <c r="B822">
        <v>3</v>
      </c>
      <c r="C822">
        <v>1</v>
      </c>
      <c r="D822" t="s">
        <v>111</v>
      </c>
      <c r="E822">
        <v>5</v>
      </c>
      <c r="F822" t="str">
        <f t="shared" si="12"/>
        <v>Genetic Information Processing</v>
      </c>
    </row>
    <row r="823" spans="1:6" x14ac:dyDescent="0.45">
      <c r="A823" t="s">
        <v>35</v>
      </c>
      <c r="B823">
        <v>3</v>
      </c>
      <c r="C823">
        <v>1</v>
      </c>
      <c r="D823" t="s">
        <v>111</v>
      </c>
      <c r="E823">
        <v>5</v>
      </c>
      <c r="F823" t="str">
        <f t="shared" si="12"/>
        <v>Membrane transport</v>
      </c>
    </row>
    <row r="824" spans="1:6" x14ac:dyDescent="0.45">
      <c r="A824" t="s">
        <v>63</v>
      </c>
      <c r="B824">
        <v>3</v>
      </c>
      <c r="C824">
        <v>1</v>
      </c>
      <c r="D824" t="s">
        <v>111</v>
      </c>
      <c r="E824">
        <v>5</v>
      </c>
      <c r="F824" t="str">
        <f t="shared" si="12"/>
        <v>Amino acid metabolism</v>
      </c>
    </row>
    <row r="825" spans="1:6" x14ac:dyDescent="0.45">
      <c r="A825" t="s">
        <v>34</v>
      </c>
      <c r="B825">
        <v>3</v>
      </c>
      <c r="C825">
        <v>1</v>
      </c>
      <c r="D825" t="s">
        <v>111</v>
      </c>
      <c r="E825">
        <v>4</v>
      </c>
      <c r="F825" t="str">
        <f t="shared" si="12"/>
        <v>Amino acid metabolism</v>
      </c>
    </row>
    <row r="826" spans="1:6" x14ac:dyDescent="0.45">
      <c r="A826" t="s">
        <v>95</v>
      </c>
      <c r="B826">
        <v>3</v>
      </c>
      <c r="C826">
        <v>1</v>
      </c>
      <c r="D826" t="s">
        <v>111</v>
      </c>
      <c r="E826">
        <v>4</v>
      </c>
      <c r="F826" t="str">
        <f t="shared" si="12"/>
        <v>Amino acid metabolism</v>
      </c>
    </row>
    <row r="827" spans="1:6" x14ac:dyDescent="0.45">
      <c r="A827" t="s">
        <v>54</v>
      </c>
      <c r="B827">
        <v>3</v>
      </c>
      <c r="C827">
        <v>1</v>
      </c>
      <c r="D827" t="s">
        <v>111</v>
      </c>
      <c r="E827">
        <v>3</v>
      </c>
      <c r="F827" t="str">
        <f t="shared" si="12"/>
        <v>Amino acid metabolism</v>
      </c>
    </row>
    <row r="828" spans="1:6" x14ac:dyDescent="0.45">
      <c r="A828" t="s">
        <v>58</v>
      </c>
      <c r="B828">
        <v>3</v>
      </c>
      <c r="C828">
        <v>1</v>
      </c>
      <c r="D828" t="s">
        <v>111</v>
      </c>
      <c r="E828">
        <v>2</v>
      </c>
      <c r="F828" t="str">
        <f t="shared" si="12"/>
        <v>Amino acid metabolism</v>
      </c>
    </row>
    <row r="829" spans="1:6" x14ac:dyDescent="0.45">
      <c r="A829" t="s">
        <v>17</v>
      </c>
      <c r="B829">
        <v>3</v>
      </c>
      <c r="C829">
        <v>1</v>
      </c>
      <c r="D829" t="s">
        <v>111</v>
      </c>
      <c r="E829">
        <v>2</v>
      </c>
      <c r="F829" t="str">
        <f t="shared" si="12"/>
        <v>Amino acid metabolism</v>
      </c>
    </row>
    <row r="830" spans="1:6" x14ac:dyDescent="0.45">
      <c r="A830" t="s">
        <v>69</v>
      </c>
      <c r="B830">
        <v>3</v>
      </c>
      <c r="C830">
        <v>1</v>
      </c>
      <c r="D830" t="s">
        <v>111</v>
      </c>
      <c r="E830">
        <v>2</v>
      </c>
      <c r="F830" t="str">
        <f t="shared" si="12"/>
        <v>Amino acid metabolism</v>
      </c>
    </row>
    <row r="831" spans="1:6" x14ac:dyDescent="0.45">
      <c r="A831" t="s">
        <v>55</v>
      </c>
      <c r="B831">
        <v>3</v>
      </c>
      <c r="C831">
        <v>1</v>
      </c>
      <c r="D831" t="s">
        <v>111</v>
      </c>
      <c r="E831">
        <v>2</v>
      </c>
      <c r="F831" t="str">
        <f t="shared" si="12"/>
        <v>Alkaloid metabolism</v>
      </c>
    </row>
    <row r="832" spans="1:6" x14ac:dyDescent="0.45">
      <c r="A832" t="s">
        <v>33</v>
      </c>
      <c r="B832">
        <v>3</v>
      </c>
      <c r="C832">
        <v>1</v>
      </c>
      <c r="D832" t="s">
        <v>111</v>
      </c>
      <c r="E832">
        <v>2</v>
      </c>
      <c r="F832" t="str">
        <f t="shared" si="12"/>
        <v>Amino acid metabolism</v>
      </c>
    </row>
    <row r="833" spans="1:6" x14ac:dyDescent="0.45">
      <c r="A833" t="s">
        <v>10</v>
      </c>
      <c r="B833">
        <v>3</v>
      </c>
      <c r="C833">
        <v>1</v>
      </c>
      <c r="D833" t="s">
        <v>111</v>
      </c>
      <c r="E833">
        <v>1</v>
      </c>
      <c r="F833" t="str">
        <f t="shared" si="12"/>
        <v>Nucleotide metabolism</v>
      </c>
    </row>
    <row r="834" spans="1:6" x14ac:dyDescent="0.45">
      <c r="A834" t="s">
        <v>42</v>
      </c>
      <c r="B834">
        <v>3</v>
      </c>
      <c r="C834">
        <v>1</v>
      </c>
      <c r="D834" t="s">
        <v>111</v>
      </c>
      <c r="E834">
        <v>1</v>
      </c>
      <c r="F834" t="str">
        <f t="shared" si="12"/>
        <v>Amino acid metabolism</v>
      </c>
    </row>
    <row r="835" spans="1:6" x14ac:dyDescent="0.45">
      <c r="A835" t="s">
        <v>82</v>
      </c>
      <c r="B835">
        <v>3</v>
      </c>
      <c r="C835">
        <v>1</v>
      </c>
      <c r="D835" t="s">
        <v>111</v>
      </c>
      <c r="E835">
        <v>1</v>
      </c>
      <c r="F835" t="str">
        <f t="shared" si="12"/>
        <v>Amino acid metabolism</v>
      </c>
    </row>
    <row r="836" spans="1:6" x14ac:dyDescent="0.45">
      <c r="A836" t="s">
        <v>43</v>
      </c>
      <c r="B836">
        <v>3</v>
      </c>
      <c r="C836">
        <v>1</v>
      </c>
      <c r="D836" t="s">
        <v>111</v>
      </c>
      <c r="E836">
        <v>1</v>
      </c>
      <c r="F836" t="str">
        <f t="shared" ref="F836:F899" si="13">_xlfn.XLOOKUP(A836,$H$2:$H$200,$I$2:$I$200)</f>
        <v>Amino acid metabolism</v>
      </c>
    </row>
    <row r="837" spans="1:6" x14ac:dyDescent="0.45">
      <c r="A837" t="s">
        <v>18</v>
      </c>
      <c r="B837">
        <v>3</v>
      </c>
      <c r="C837">
        <v>1</v>
      </c>
      <c r="D837" t="s">
        <v>111</v>
      </c>
      <c r="E837">
        <v>1</v>
      </c>
      <c r="F837" t="str">
        <f t="shared" si="13"/>
        <v>Amino acid metabolism</v>
      </c>
    </row>
    <row r="838" spans="1:6" x14ac:dyDescent="0.45">
      <c r="A838" t="s">
        <v>19</v>
      </c>
      <c r="B838">
        <v>3</v>
      </c>
      <c r="C838">
        <v>1</v>
      </c>
      <c r="D838" t="s">
        <v>111</v>
      </c>
      <c r="E838">
        <v>1</v>
      </c>
      <c r="F838" t="str">
        <f t="shared" si="13"/>
        <v>Amino acid metabolism</v>
      </c>
    </row>
    <row r="839" spans="1:6" x14ac:dyDescent="0.45">
      <c r="A839" t="s">
        <v>68</v>
      </c>
      <c r="B839">
        <v>3</v>
      </c>
      <c r="C839">
        <v>1</v>
      </c>
      <c r="D839" t="s">
        <v>111</v>
      </c>
      <c r="E839">
        <v>1</v>
      </c>
      <c r="F839" t="str">
        <f t="shared" si="13"/>
        <v>Amino acid metabolism</v>
      </c>
    </row>
    <row r="840" spans="1:6" x14ac:dyDescent="0.45">
      <c r="A840" t="s">
        <v>45</v>
      </c>
      <c r="B840">
        <v>3</v>
      </c>
      <c r="C840">
        <v>1</v>
      </c>
      <c r="D840" t="s">
        <v>111</v>
      </c>
      <c r="E840">
        <v>1</v>
      </c>
      <c r="F840" t="str">
        <f t="shared" si="13"/>
        <v>Amino acid metabolism</v>
      </c>
    </row>
    <row r="841" spans="1:6" x14ac:dyDescent="0.45">
      <c r="A841" t="s">
        <v>87</v>
      </c>
      <c r="B841">
        <v>3</v>
      </c>
      <c r="C841">
        <v>1</v>
      </c>
      <c r="D841" t="s">
        <v>111</v>
      </c>
      <c r="E841">
        <v>1</v>
      </c>
      <c r="F841" t="str">
        <f t="shared" si="13"/>
        <v>Amino acid metabolism</v>
      </c>
    </row>
    <row r="842" spans="1:6" x14ac:dyDescent="0.45">
      <c r="A842" t="s">
        <v>77</v>
      </c>
      <c r="B842">
        <v>3</v>
      </c>
      <c r="C842">
        <v>1</v>
      </c>
      <c r="D842" t="s">
        <v>111</v>
      </c>
      <c r="E842">
        <v>1</v>
      </c>
      <c r="F842" t="str">
        <f t="shared" si="13"/>
        <v>Amino acid metabolism</v>
      </c>
    </row>
    <row r="843" spans="1:6" x14ac:dyDescent="0.45">
      <c r="A843" t="s">
        <v>83</v>
      </c>
      <c r="B843">
        <v>3</v>
      </c>
      <c r="C843">
        <v>1</v>
      </c>
      <c r="D843" t="s">
        <v>111</v>
      </c>
      <c r="E843">
        <v>1</v>
      </c>
      <c r="F843" t="str">
        <f t="shared" si="13"/>
        <v>Carbohydrate metabolism</v>
      </c>
    </row>
    <row r="844" spans="1:6" x14ac:dyDescent="0.45">
      <c r="A844" t="s">
        <v>112</v>
      </c>
      <c r="B844">
        <v>3</v>
      </c>
      <c r="C844">
        <v>1</v>
      </c>
      <c r="D844" t="s">
        <v>111</v>
      </c>
      <c r="E844">
        <v>1</v>
      </c>
      <c r="F844" t="str">
        <f t="shared" si="13"/>
        <v>Metabolism of cofactors and vitamins</v>
      </c>
    </row>
    <row r="845" spans="1:6" x14ac:dyDescent="0.45">
      <c r="A845" t="s">
        <v>23</v>
      </c>
      <c r="B845">
        <v>3</v>
      </c>
      <c r="C845">
        <v>1</v>
      </c>
      <c r="D845" t="s">
        <v>111</v>
      </c>
      <c r="E845">
        <v>1</v>
      </c>
      <c r="F845" t="str">
        <f t="shared" si="13"/>
        <v>Carbon metabolism</v>
      </c>
    </row>
    <row r="846" spans="1:6" x14ac:dyDescent="0.45">
      <c r="A846" t="s">
        <v>25</v>
      </c>
      <c r="B846">
        <v>3</v>
      </c>
      <c r="C846">
        <v>1</v>
      </c>
      <c r="D846" t="s">
        <v>111</v>
      </c>
      <c r="E846">
        <v>1</v>
      </c>
      <c r="F846" t="str">
        <f t="shared" si="13"/>
        <v>Metabolism of cofactors and vitamins</v>
      </c>
    </row>
    <row r="847" spans="1:6" x14ac:dyDescent="0.45">
      <c r="A847" t="s">
        <v>26</v>
      </c>
      <c r="B847">
        <v>3</v>
      </c>
      <c r="C847">
        <v>1</v>
      </c>
      <c r="D847" t="s">
        <v>111</v>
      </c>
      <c r="E847">
        <v>1</v>
      </c>
      <c r="F847" t="str">
        <f t="shared" si="13"/>
        <v>Metabolism of cofactors and vitamins</v>
      </c>
    </row>
    <row r="848" spans="1:6" x14ac:dyDescent="0.45">
      <c r="A848" t="s">
        <v>60</v>
      </c>
      <c r="B848">
        <v>3</v>
      </c>
      <c r="C848">
        <v>1</v>
      </c>
      <c r="D848" t="s">
        <v>111</v>
      </c>
      <c r="E848">
        <v>1</v>
      </c>
      <c r="F848" t="str">
        <f t="shared" si="13"/>
        <v>Metabolism of cofactors and vitamins</v>
      </c>
    </row>
    <row r="849" spans="1:6" x14ac:dyDescent="0.45">
      <c r="A849" t="s">
        <v>64</v>
      </c>
      <c r="B849">
        <v>3</v>
      </c>
      <c r="C849">
        <v>1</v>
      </c>
      <c r="D849" t="s">
        <v>111</v>
      </c>
      <c r="E849">
        <v>1</v>
      </c>
      <c r="F849" t="str">
        <f t="shared" si="13"/>
        <v>Metabolism of cofactors and vitamins</v>
      </c>
    </row>
    <row r="850" spans="1:6" x14ac:dyDescent="0.45">
      <c r="A850" t="s">
        <v>73</v>
      </c>
      <c r="B850">
        <v>3</v>
      </c>
      <c r="C850">
        <v>1</v>
      </c>
      <c r="D850" t="s">
        <v>111</v>
      </c>
      <c r="E850">
        <v>1</v>
      </c>
      <c r="F850" t="str">
        <f t="shared" si="13"/>
        <v>Energy metabolism</v>
      </c>
    </row>
    <row r="851" spans="1:6" x14ac:dyDescent="0.45">
      <c r="A851" t="s">
        <v>31</v>
      </c>
      <c r="B851">
        <v>3</v>
      </c>
      <c r="C851">
        <v>1</v>
      </c>
      <c r="D851" t="s">
        <v>111</v>
      </c>
      <c r="E851">
        <v>1</v>
      </c>
      <c r="F851" t="str">
        <f t="shared" si="13"/>
        <v>Glucosinolate biosynthesis</v>
      </c>
    </row>
    <row r="852" spans="1:6" x14ac:dyDescent="0.45">
      <c r="A852" t="s">
        <v>32</v>
      </c>
      <c r="B852">
        <v>3</v>
      </c>
      <c r="C852">
        <v>1</v>
      </c>
      <c r="D852" t="s">
        <v>111</v>
      </c>
      <c r="E852">
        <v>1</v>
      </c>
      <c r="F852" t="str">
        <f t="shared" si="13"/>
        <v xml:space="preserve">Carbon metabolism </v>
      </c>
    </row>
    <row r="853" spans="1:6" x14ac:dyDescent="0.45">
      <c r="A853" t="s">
        <v>38</v>
      </c>
      <c r="B853">
        <v>3</v>
      </c>
      <c r="C853">
        <v>1</v>
      </c>
      <c r="D853" t="s">
        <v>111</v>
      </c>
      <c r="E853">
        <v>1</v>
      </c>
      <c r="F853" t="str">
        <f t="shared" si="13"/>
        <v>Degradation of aromatic compounds</v>
      </c>
    </row>
    <row r="854" spans="1:6" x14ac:dyDescent="0.45">
      <c r="A854" t="s">
        <v>110</v>
      </c>
      <c r="B854">
        <v>3</v>
      </c>
      <c r="C854">
        <v>1</v>
      </c>
      <c r="D854" t="s">
        <v>111</v>
      </c>
      <c r="E854">
        <v>1</v>
      </c>
      <c r="F854" t="str">
        <f t="shared" si="13"/>
        <v>Energy metabolism</v>
      </c>
    </row>
    <row r="855" spans="1:6" x14ac:dyDescent="0.45">
      <c r="A855" t="s">
        <v>37</v>
      </c>
      <c r="B855">
        <v>3</v>
      </c>
      <c r="C855">
        <v>1</v>
      </c>
      <c r="D855" t="s">
        <v>111</v>
      </c>
      <c r="E855">
        <v>1</v>
      </c>
      <c r="F855" t="str">
        <f t="shared" si="13"/>
        <v>Primary metabolism</v>
      </c>
    </row>
    <row r="856" spans="1:6" x14ac:dyDescent="0.45">
      <c r="A856" t="s">
        <v>113</v>
      </c>
      <c r="B856">
        <v>3</v>
      </c>
      <c r="C856">
        <v>1</v>
      </c>
      <c r="D856" t="s">
        <v>111</v>
      </c>
      <c r="E856">
        <v>1</v>
      </c>
      <c r="F856">
        <f t="shared" si="13"/>
        <v>0</v>
      </c>
    </row>
    <row r="857" spans="1:6" x14ac:dyDescent="0.45">
      <c r="A857" t="s">
        <v>33</v>
      </c>
      <c r="B857">
        <v>3</v>
      </c>
      <c r="C857">
        <v>-1</v>
      </c>
      <c r="D857" t="s">
        <v>111</v>
      </c>
      <c r="E857">
        <v>1</v>
      </c>
      <c r="F857" t="str">
        <f t="shared" si="13"/>
        <v>Amino acid metabolism</v>
      </c>
    </row>
    <row r="858" spans="1:6" x14ac:dyDescent="0.45">
      <c r="A858" t="s">
        <v>35</v>
      </c>
      <c r="B858">
        <v>3</v>
      </c>
      <c r="C858">
        <v>-1</v>
      </c>
      <c r="D858" t="s">
        <v>111</v>
      </c>
      <c r="E858">
        <v>1</v>
      </c>
      <c r="F858" t="str">
        <f t="shared" si="13"/>
        <v>Membrane transport</v>
      </c>
    </row>
    <row r="859" spans="1:6" x14ac:dyDescent="0.45">
      <c r="A859" t="s">
        <v>114</v>
      </c>
      <c r="B859">
        <v>3</v>
      </c>
      <c r="C859">
        <v>-1</v>
      </c>
      <c r="D859" t="s">
        <v>111</v>
      </c>
      <c r="E859">
        <v>1</v>
      </c>
      <c r="F859">
        <f t="shared" si="13"/>
        <v>0</v>
      </c>
    </row>
    <row r="860" spans="1:6" x14ac:dyDescent="0.45">
      <c r="A860" t="s">
        <v>54</v>
      </c>
      <c r="B860">
        <v>3</v>
      </c>
      <c r="C860">
        <v>-1</v>
      </c>
      <c r="D860" t="s">
        <v>111</v>
      </c>
      <c r="E860">
        <v>1</v>
      </c>
      <c r="F860" t="str">
        <f t="shared" si="13"/>
        <v>Amino acid metabolism</v>
      </c>
    </row>
    <row r="861" spans="1:6" x14ac:dyDescent="0.45">
      <c r="A861" t="s">
        <v>99</v>
      </c>
      <c r="B861">
        <v>3</v>
      </c>
      <c r="C861">
        <v>-1</v>
      </c>
      <c r="D861" t="s">
        <v>111</v>
      </c>
      <c r="E861">
        <v>1</v>
      </c>
      <c r="F861" t="str">
        <f t="shared" si="13"/>
        <v>Amino acid metabolism</v>
      </c>
    </row>
    <row r="862" spans="1:6" x14ac:dyDescent="0.45">
      <c r="A862" t="s">
        <v>82</v>
      </c>
      <c r="B862">
        <v>3</v>
      </c>
      <c r="C862">
        <v>-1</v>
      </c>
      <c r="D862" t="s">
        <v>111</v>
      </c>
      <c r="E862">
        <v>1</v>
      </c>
      <c r="F862" t="str">
        <f t="shared" si="13"/>
        <v>Amino acid metabolism</v>
      </c>
    </row>
    <row r="863" spans="1:6" x14ac:dyDescent="0.45">
      <c r="A863" t="s">
        <v>63</v>
      </c>
      <c r="B863">
        <v>3</v>
      </c>
      <c r="C863">
        <v>-1</v>
      </c>
      <c r="D863" t="s">
        <v>111</v>
      </c>
      <c r="E863">
        <v>1</v>
      </c>
      <c r="F863" t="str">
        <f t="shared" si="13"/>
        <v>Amino acid metabolism</v>
      </c>
    </row>
    <row r="864" spans="1:6" x14ac:dyDescent="0.45">
      <c r="A864" t="s">
        <v>69</v>
      </c>
      <c r="B864">
        <v>3</v>
      </c>
      <c r="C864">
        <v>-1</v>
      </c>
      <c r="D864" t="s">
        <v>111</v>
      </c>
      <c r="E864">
        <v>1</v>
      </c>
      <c r="F864" t="str">
        <f t="shared" si="13"/>
        <v>Amino acid metabolism</v>
      </c>
    </row>
    <row r="865" spans="1:6" x14ac:dyDescent="0.45">
      <c r="A865" t="s">
        <v>77</v>
      </c>
      <c r="B865">
        <v>3</v>
      </c>
      <c r="C865">
        <v>-1</v>
      </c>
      <c r="D865" t="s">
        <v>111</v>
      </c>
      <c r="E865">
        <v>1</v>
      </c>
      <c r="F865" t="str">
        <f t="shared" si="13"/>
        <v>Amino acid metabolism</v>
      </c>
    </row>
    <row r="866" spans="1:6" x14ac:dyDescent="0.45">
      <c r="A866" t="s">
        <v>50</v>
      </c>
      <c r="B866">
        <v>3</v>
      </c>
      <c r="C866">
        <v>-1</v>
      </c>
      <c r="D866" t="s">
        <v>111</v>
      </c>
      <c r="E866">
        <v>1</v>
      </c>
      <c r="F866" t="str">
        <f t="shared" si="13"/>
        <v>Lipid metabolism</v>
      </c>
    </row>
    <row r="867" spans="1:6" x14ac:dyDescent="0.45">
      <c r="A867" t="s">
        <v>26</v>
      </c>
      <c r="B867">
        <v>3</v>
      </c>
      <c r="C867">
        <v>-1</v>
      </c>
      <c r="D867" t="s">
        <v>111</v>
      </c>
      <c r="E867">
        <v>1</v>
      </c>
      <c r="F867" t="str">
        <f t="shared" si="13"/>
        <v>Metabolism of cofactors and vitamins</v>
      </c>
    </row>
    <row r="868" spans="1:6" x14ac:dyDescent="0.45">
      <c r="A868" t="s">
        <v>14</v>
      </c>
      <c r="B868">
        <v>3</v>
      </c>
      <c r="C868">
        <v>-1</v>
      </c>
      <c r="D868" t="s">
        <v>111</v>
      </c>
      <c r="E868">
        <v>1</v>
      </c>
      <c r="F868" t="str">
        <f t="shared" si="13"/>
        <v>Alkaloid metabolism</v>
      </c>
    </row>
    <row r="869" spans="1:6" x14ac:dyDescent="0.45">
      <c r="A869" t="s">
        <v>55</v>
      </c>
      <c r="B869">
        <v>3</v>
      </c>
      <c r="C869">
        <v>-1</v>
      </c>
      <c r="D869" t="s">
        <v>111</v>
      </c>
      <c r="E869">
        <v>1</v>
      </c>
      <c r="F869" t="str">
        <f t="shared" si="13"/>
        <v>Alkaloid metabolism</v>
      </c>
    </row>
    <row r="870" spans="1:6" x14ac:dyDescent="0.45">
      <c r="A870" t="s">
        <v>91</v>
      </c>
      <c r="B870">
        <v>3</v>
      </c>
      <c r="C870">
        <v>-1</v>
      </c>
      <c r="D870" t="s">
        <v>111</v>
      </c>
      <c r="E870">
        <v>1</v>
      </c>
      <c r="F870" t="str">
        <f t="shared" si="13"/>
        <v>Genetic Information Processing</v>
      </c>
    </row>
    <row r="871" spans="1:6" x14ac:dyDescent="0.45">
      <c r="A871" t="s">
        <v>34</v>
      </c>
      <c r="B871">
        <v>3</v>
      </c>
      <c r="C871">
        <v>-1</v>
      </c>
      <c r="D871" t="s">
        <v>111</v>
      </c>
      <c r="E871">
        <v>1</v>
      </c>
      <c r="F871" t="str">
        <f t="shared" si="13"/>
        <v>Amino acid metabolism</v>
      </c>
    </row>
    <row r="872" spans="1:6" x14ac:dyDescent="0.45">
      <c r="A872" t="s">
        <v>95</v>
      </c>
      <c r="B872">
        <v>3</v>
      </c>
      <c r="C872">
        <v>-1</v>
      </c>
      <c r="D872" t="s">
        <v>111</v>
      </c>
      <c r="E872">
        <v>1</v>
      </c>
      <c r="F872" t="str">
        <f t="shared" si="13"/>
        <v>Amino acid metabolism</v>
      </c>
    </row>
    <row r="873" spans="1:6" x14ac:dyDescent="0.45">
      <c r="A873" t="s">
        <v>52</v>
      </c>
      <c r="B873">
        <v>3</v>
      </c>
      <c r="C873">
        <v>-1</v>
      </c>
      <c r="D873" t="s">
        <v>111</v>
      </c>
      <c r="E873">
        <v>1</v>
      </c>
      <c r="F873" t="str">
        <f t="shared" si="13"/>
        <v>Alkaloid metabolism</v>
      </c>
    </row>
    <row r="874" spans="1:6" x14ac:dyDescent="0.45">
      <c r="A874" t="s">
        <v>38</v>
      </c>
      <c r="B874">
        <v>4</v>
      </c>
      <c r="C874">
        <v>1</v>
      </c>
      <c r="D874" t="s">
        <v>111</v>
      </c>
      <c r="E874">
        <v>40</v>
      </c>
      <c r="F874" t="str">
        <f t="shared" si="13"/>
        <v>Degradation of aromatic compounds</v>
      </c>
    </row>
    <row r="875" spans="1:6" x14ac:dyDescent="0.45">
      <c r="A875" t="s">
        <v>33</v>
      </c>
      <c r="B875">
        <v>4</v>
      </c>
      <c r="C875">
        <v>1</v>
      </c>
      <c r="D875" t="s">
        <v>111</v>
      </c>
      <c r="E875">
        <v>22</v>
      </c>
      <c r="F875" t="str">
        <f t="shared" si="13"/>
        <v>Amino acid metabolism</v>
      </c>
    </row>
    <row r="876" spans="1:6" x14ac:dyDescent="0.45">
      <c r="A876" t="s">
        <v>34</v>
      </c>
      <c r="B876">
        <v>4</v>
      </c>
      <c r="C876">
        <v>1</v>
      </c>
      <c r="D876" t="s">
        <v>111</v>
      </c>
      <c r="E876">
        <v>12</v>
      </c>
      <c r="F876" t="str">
        <f t="shared" si="13"/>
        <v>Amino acid metabolism</v>
      </c>
    </row>
    <row r="877" spans="1:6" x14ac:dyDescent="0.45">
      <c r="A877" t="s">
        <v>30</v>
      </c>
      <c r="B877">
        <v>4</v>
      </c>
      <c r="C877">
        <v>1</v>
      </c>
      <c r="D877" t="s">
        <v>111</v>
      </c>
      <c r="E877">
        <v>14</v>
      </c>
      <c r="F877" t="str">
        <f t="shared" si="13"/>
        <v>Phenylpropanoid biosynthesis</v>
      </c>
    </row>
    <row r="878" spans="1:6" x14ac:dyDescent="0.45">
      <c r="A878" t="s">
        <v>18</v>
      </c>
      <c r="B878">
        <v>4</v>
      </c>
      <c r="C878">
        <v>1</v>
      </c>
      <c r="D878" t="s">
        <v>111</v>
      </c>
      <c r="E878">
        <v>12</v>
      </c>
      <c r="F878" t="str">
        <f t="shared" si="13"/>
        <v>Amino acid metabolism</v>
      </c>
    </row>
    <row r="879" spans="1:6" x14ac:dyDescent="0.45">
      <c r="A879" t="s">
        <v>71</v>
      </c>
      <c r="B879">
        <v>4</v>
      </c>
      <c r="C879">
        <v>1</v>
      </c>
      <c r="D879" t="s">
        <v>111</v>
      </c>
      <c r="E879">
        <v>10</v>
      </c>
      <c r="F879" t="str">
        <f t="shared" si="13"/>
        <v>Metabolism of terpenoids and polyketides</v>
      </c>
    </row>
    <row r="880" spans="1:6" x14ac:dyDescent="0.45">
      <c r="A880" t="s">
        <v>31</v>
      </c>
      <c r="B880">
        <v>4</v>
      </c>
      <c r="C880">
        <v>1</v>
      </c>
      <c r="D880" t="s">
        <v>111</v>
      </c>
      <c r="E880">
        <v>12</v>
      </c>
      <c r="F880" t="str">
        <f t="shared" si="13"/>
        <v>Glucosinolate biosynthesis</v>
      </c>
    </row>
    <row r="881" spans="1:6" x14ac:dyDescent="0.45">
      <c r="A881" t="s">
        <v>7</v>
      </c>
      <c r="B881">
        <v>4</v>
      </c>
      <c r="C881">
        <v>1</v>
      </c>
      <c r="D881" t="s">
        <v>111</v>
      </c>
      <c r="E881">
        <v>11</v>
      </c>
      <c r="F881" t="str">
        <f t="shared" si="13"/>
        <v>Nucleotide metabolism</v>
      </c>
    </row>
    <row r="882" spans="1:6" x14ac:dyDescent="0.45">
      <c r="A882" t="s">
        <v>17</v>
      </c>
      <c r="B882">
        <v>4</v>
      </c>
      <c r="C882">
        <v>1</v>
      </c>
      <c r="D882" t="s">
        <v>111</v>
      </c>
      <c r="E882">
        <v>8</v>
      </c>
      <c r="F882" t="str">
        <f t="shared" si="13"/>
        <v>Amino acid metabolism</v>
      </c>
    </row>
    <row r="883" spans="1:6" x14ac:dyDescent="0.45">
      <c r="A883" t="s">
        <v>10</v>
      </c>
      <c r="B883">
        <v>4</v>
      </c>
      <c r="C883">
        <v>1</v>
      </c>
      <c r="D883" t="s">
        <v>111</v>
      </c>
      <c r="E883">
        <v>9</v>
      </c>
      <c r="F883" t="str">
        <f t="shared" si="13"/>
        <v>Nucleotide metabolism</v>
      </c>
    </row>
    <row r="884" spans="1:6" x14ac:dyDescent="0.45">
      <c r="A884" t="s">
        <v>55</v>
      </c>
      <c r="B884">
        <v>4</v>
      </c>
      <c r="C884">
        <v>1</v>
      </c>
      <c r="D884" t="s">
        <v>111</v>
      </c>
      <c r="E884">
        <v>7</v>
      </c>
      <c r="F884" t="str">
        <f t="shared" si="13"/>
        <v>Alkaloid metabolism</v>
      </c>
    </row>
    <row r="885" spans="1:6" x14ac:dyDescent="0.45">
      <c r="A885" t="s">
        <v>54</v>
      </c>
      <c r="B885">
        <v>4</v>
      </c>
      <c r="C885">
        <v>1</v>
      </c>
      <c r="D885" t="s">
        <v>111</v>
      </c>
      <c r="E885">
        <v>11</v>
      </c>
      <c r="F885" t="str">
        <f t="shared" si="13"/>
        <v>Amino acid metabolism</v>
      </c>
    </row>
    <row r="886" spans="1:6" x14ac:dyDescent="0.45">
      <c r="A886" t="s">
        <v>60</v>
      </c>
      <c r="B886">
        <v>4</v>
      </c>
      <c r="C886">
        <v>1</v>
      </c>
      <c r="D886" t="s">
        <v>111</v>
      </c>
      <c r="E886">
        <v>9</v>
      </c>
      <c r="F886" t="str">
        <f t="shared" si="13"/>
        <v>Metabolism of cofactors and vitamins</v>
      </c>
    </row>
    <row r="887" spans="1:6" x14ac:dyDescent="0.45">
      <c r="A887" t="s">
        <v>82</v>
      </c>
      <c r="B887">
        <v>4</v>
      </c>
      <c r="C887">
        <v>1</v>
      </c>
      <c r="D887" t="s">
        <v>111</v>
      </c>
      <c r="E887">
        <v>6</v>
      </c>
      <c r="F887" t="str">
        <f t="shared" si="13"/>
        <v>Amino acid metabolism</v>
      </c>
    </row>
    <row r="888" spans="1:6" x14ac:dyDescent="0.45">
      <c r="A888" t="s">
        <v>100</v>
      </c>
      <c r="B888">
        <v>4</v>
      </c>
      <c r="C888">
        <v>1</v>
      </c>
      <c r="D888" t="s">
        <v>111</v>
      </c>
      <c r="E888">
        <v>5</v>
      </c>
      <c r="F888" t="str">
        <f t="shared" si="13"/>
        <v>Amino acid metabolism</v>
      </c>
    </row>
    <row r="889" spans="1:6" x14ac:dyDescent="0.45">
      <c r="A889" t="s">
        <v>19</v>
      </c>
      <c r="B889">
        <v>4</v>
      </c>
      <c r="C889">
        <v>1</v>
      </c>
      <c r="D889" t="s">
        <v>111</v>
      </c>
      <c r="E889">
        <v>6</v>
      </c>
      <c r="F889" t="str">
        <f t="shared" si="13"/>
        <v>Amino acid metabolism</v>
      </c>
    </row>
    <row r="890" spans="1:6" x14ac:dyDescent="0.45">
      <c r="A890" t="s">
        <v>25</v>
      </c>
      <c r="B890">
        <v>4</v>
      </c>
      <c r="C890">
        <v>1</v>
      </c>
      <c r="D890" t="s">
        <v>111</v>
      </c>
      <c r="E890">
        <v>7</v>
      </c>
      <c r="F890" t="str">
        <f t="shared" si="13"/>
        <v>Metabolism of cofactors and vitamins</v>
      </c>
    </row>
    <row r="891" spans="1:6" x14ac:dyDescent="0.45">
      <c r="A891" t="s">
        <v>26</v>
      </c>
      <c r="B891">
        <v>4</v>
      </c>
      <c r="C891">
        <v>1</v>
      </c>
      <c r="D891" t="s">
        <v>111</v>
      </c>
      <c r="E891">
        <v>5</v>
      </c>
      <c r="F891" t="str">
        <f t="shared" si="13"/>
        <v>Metabolism of cofactors and vitamins</v>
      </c>
    </row>
    <row r="892" spans="1:6" x14ac:dyDescent="0.45">
      <c r="A892" t="s">
        <v>13</v>
      </c>
      <c r="B892">
        <v>4</v>
      </c>
      <c r="C892">
        <v>1</v>
      </c>
      <c r="D892" t="s">
        <v>111</v>
      </c>
      <c r="E892">
        <v>6</v>
      </c>
      <c r="F892" t="str">
        <f t="shared" si="13"/>
        <v>Terpenoid metabolism</v>
      </c>
    </row>
    <row r="893" spans="1:6" x14ac:dyDescent="0.45">
      <c r="A893" t="s">
        <v>14</v>
      </c>
      <c r="B893">
        <v>4</v>
      </c>
      <c r="C893">
        <v>1</v>
      </c>
      <c r="D893" t="s">
        <v>111</v>
      </c>
      <c r="E893">
        <v>9</v>
      </c>
      <c r="F893" t="str">
        <f t="shared" si="13"/>
        <v>Alkaloid metabolism</v>
      </c>
    </row>
    <row r="894" spans="1:6" x14ac:dyDescent="0.45">
      <c r="A894" t="s">
        <v>35</v>
      </c>
      <c r="B894">
        <v>4</v>
      </c>
      <c r="C894">
        <v>1</v>
      </c>
      <c r="D894" t="s">
        <v>111</v>
      </c>
      <c r="E894">
        <v>7</v>
      </c>
      <c r="F894" t="str">
        <f t="shared" si="13"/>
        <v>Membrane transport</v>
      </c>
    </row>
    <row r="895" spans="1:6" x14ac:dyDescent="0.45">
      <c r="A895" t="s">
        <v>66</v>
      </c>
      <c r="B895">
        <v>4</v>
      </c>
      <c r="C895">
        <v>1</v>
      </c>
      <c r="D895" t="s">
        <v>111</v>
      </c>
      <c r="E895">
        <v>6</v>
      </c>
      <c r="F895" t="str">
        <f t="shared" si="13"/>
        <v>Carbohydrate metabolism</v>
      </c>
    </row>
    <row r="896" spans="1:6" x14ac:dyDescent="0.45">
      <c r="A896" t="s">
        <v>9</v>
      </c>
      <c r="B896">
        <v>4</v>
      </c>
      <c r="C896">
        <v>1</v>
      </c>
      <c r="D896" t="s">
        <v>111</v>
      </c>
      <c r="E896">
        <v>6</v>
      </c>
      <c r="F896" t="str">
        <f t="shared" si="13"/>
        <v>Carbohydrate metabolism</v>
      </c>
    </row>
    <row r="897" spans="1:6" x14ac:dyDescent="0.45">
      <c r="A897" t="s">
        <v>12</v>
      </c>
      <c r="B897">
        <v>4</v>
      </c>
      <c r="C897">
        <v>1</v>
      </c>
      <c r="D897" t="s">
        <v>111</v>
      </c>
      <c r="E897">
        <v>4</v>
      </c>
      <c r="F897" t="str">
        <f t="shared" si="13"/>
        <v>Carbohydrate metabolism</v>
      </c>
    </row>
    <row r="898" spans="1:6" x14ac:dyDescent="0.45">
      <c r="A898" t="s">
        <v>62</v>
      </c>
      <c r="B898">
        <v>4</v>
      </c>
      <c r="C898">
        <v>1</v>
      </c>
      <c r="D898" t="s">
        <v>111</v>
      </c>
      <c r="E898">
        <v>7</v>
      </c>
      <c r="F898" t="str">
        <f t="shared" si="13"/>
        <v>Metabolism of cofactors and vitamins</v>
      </c>
    </row>
    <row r="899" spans="1:6" x14ac:dyDescent="0.45">
      <c r="A899" t="s">
        <v>44</v>
      </c>
      <c r="B899">
        <v>4</v>
      </c>
      <c r="C899">
        <v>1</v>
      </c>
      <c r="D899" t="s">
        <v>111</v>
      </c>
      <c r="E899">
        <v>6</v>
      </c>
      <c r="F899" t="str">
        <f t="shared" si="13"/>
        <v>Amino acid metabolism</v>
      </c>
    </row>
    <row r="900" spans="1:6" x14ac:dyDescent="0.45">
      <c r="A900" t="s">
        <v>53</v>
      </c>
      <c r="B900">
        <v>4</v>
      </c>
      <c r="C900">
        <v>1</v>
      </c>
      <c r="D900" t="s">
        <v>111</v>
      </c>
      <c r="E900">
        <v>5</v>
      </c>
      <c r="F900" t="str">
        <f t="shared" ref="F900:F963" si="14">_xlfn.XLOOKUP(A900,$H$2:$H$200,$I$2:$I$200)</f>
        <v>Amino acid metabolism</v>
      </c>
    </row>
    <row r="901" spans="1:6" x14ac:dyDescent="0.45">
      <c r="A901" t="s">
        <v>69</v>
      </c>
      <c r="B901">
        <v>4</v>
      </c>
      <c r="C901">
        <v>1</v>
      </c>
      <c r="D901" t="s">
        <v>111</v>
      </c>
      <c r="E901">
        <v>5</v>
      </c>
      <c r="F901" t="str">
        <f t="shared" si="14"/>
        <v>Amino acid metabolism</v>
      </c>
    </row>
    <row r="902" spans="1:6" x14ac:dyDescent="0.45">
      <c r="A902" t="s">
        <v>78</v>
      </c>
      <c r="B902">
        <v>4</v>
      </c>
      <c r="C902">
        <v>1</v>
      </c>
      <c r="D902" t="s">
        <v>111</v>
      </c>
      <c r="E902">
        <v>4</v>
      </c>
      <c r="F902" t="str">
        <f t="shared" si="14"/>
        <v>Lipid metabolism</v>
      </c>
    </row>
    <row r="903" spans="1:6" x14ac:dyDescent="0.45">
      <c r="A903" t="s">
        <v>46</v>
      </c>
      <c r="B903">
        <v>4</v>
      </c>
      <c r="C903">
        <v>1</v>
      </c>
      <c r="D903" t="s">
        <v>111</v>
      </c>
      <c r="E903">
        <v>4</v>
      </c>
      <c r="F903" t="str">
        <f t="shared" si="14"/>
        <v>Lipid metabolism</v>
      </c>
    </row>
    <row r="904" spans="1:6" x14ac:dyDescent="0.45">
      <c r="A904" t="s">
        <v>50</v>
      </c>
      <c r="B904">
        <v>4</v>
      </c>
      <c r="C904">
        <v>1</v>
      </c>
      <c r="D904" t="s">
        <v>111</v>
      </c>
      <c r="E904">
        <v>4</v>
      </c>
      <c r="F904" t="str">
        <f t="shared" si="14"/>
        <v>Lipid metabolism</v>
      </c>
    </row>
    <row r="905" spans="1:6" x14ac:dyDescent="0.45">
      <c r="A905" t="s">
        <v>47</v>
      </c>
      <c r="B905">
        <v>4</v>
      </c>
      <c r="C905">
        <v>1</v>
      </c>
      <c r="D905" t="s">
        <v>111</v>
      </c>
      <c r="E905">
        <v>5</v>
      </c>
      <c r="F905" t="str">
        <f t="shared" si="14"/>
        <v>Carbohydrate metabolism</v>
      </c>
    </row>
    <row r="906" spans="1:6" x14ac:dyDescent="0.45">
      <c r="A906" t="s">
        <v>79</v>
      </c>
      <c r="B906">
        <v>4</v>
      </c>
      <c r="C906">
        <v>1</v>
      </c>
      <c r="D906" t="s">
        <v>111</v>
      </c>
      <c r="E906">
        <v>4</v>
      </c>
      <c r="F906" t="str">
        <f t="shared" si="14"/>
        <v>Terpenoid metabolism</v>
      </c>
    </row>
    <row r="907" spans="1:6" x14ac:dyDescent="0.45">
      <c r="A907" t="s">
        <v>73</v>
      </c>
      <c r="B907">
        <v>4</v>
      </c>
      <c r="C907">
        <v>1</v>
      </c>
      <c r="D907" t="s">
        <v>111</v>
      </c>
      <c r="E907">
        <v>4</v>
      </c>
      <c r="F907" t="str">
        <f t="shared" si="14"/>
        <v>Energy metabolism</v>
      </c>
    </row>
    <row r="908" spans="1:6" x14ac:dyDescent="0.45">
      <c r="A908" t="s">
        <v>65</v>
      </c>
      <c r="B908">
        <v>4</v>
      </c>
      <c r="C908">
        <v>1</v>
      </c>
      <c r="D908" t="s">
        <v>111</v>
      </c>
      <c r="E908">
        <v>4</v>
      </c>
      <c r="F908" t="str">
        <f t="shared" si="14"/>
        <v>Secondary metabolism</v>
      </c>
    </row>
    <row r="909" spans="1:6" x14ac:dyDescent="0.45">
      <c r="A909" t="s">
        <v>84</v>
      </c>
      <c r="B909">
        <v>4</v>
      </c>
      <c r="C909">
        <v>1</v>
      </c>
      <c r="D909" t="s">
        <v>111</v>
      </c>
      <c r="E909">
        <v>5</v>
      </c>
      <c r="F909" t="str">
        <f t="shared" si="14"/>
        <v>Stilbenoid; diarylheptanoid and gingerol biosynthesis</v>
      </c>
    </row>
    <row r="910" spans="1:6" x14ac:dyDescent="0.45">
      <c r="A910" t="s">
        <v>58</v>
      </c>
      <c r="B910">
        <v>4</v>
      </c>
      <c r="C910">
        <v>1</v>
      </c>
      <c r="D910" t="s">
        <v>111</v>
      </c>
      <c r="E910">
        <v>4</v>
      </c>
      <c r="F910" t="str">
        <f t="shared" si="14"/>
        <v>Amino acid metabolism</v>
      </c>
    </row>
    <row r="911" spans="1:6" x14ac:dyDescent="0.45">
      <c r="A911" t="s">
        <v>43</v>
      </c>
      <c r="B911">
        <v>4</v>
      </c>
      <c r="C911">
        <v>1</v>
      </c>
      <c r="D911" t="s">
        <v>111</v>
      </c>
      <c r="E911">
        <v>3</v>
      </c>
      <c r="F911" t="str">
        <f t="shared" si="14"/>
        <v>Amino acid metabolism</v>
      </c>
    </row>
    <row r="912" spans="1:6" x14ac:dyDescent="0.45">
      <c r="A912" t="s">
        <v>63</v>
      </c>
      <c r="B912">
        <v>4</v>
      </c>
      <c r="C912">
        <v>1</v>
      </c>
      <c r="D912" t="s">
        <v>111</v>
      </c>
      <c r="E912">
        <v>3</v>
      </c>
      <c r="F912" t="str">
        <f t="shared" si="14"/>
        <v>Amino acid metabolism</v>
      </c>
    </row>
    <row r="913" spans="1:6" x14ac:dyDescent="0.45">
      <c r="A913" t="s">
        <v>68</v>
      </c>
      <c r="B913">
        <v>4</v>
      </c>
      <c r="C913">
        <v>1</v>
      </c>
      <c r="D913" t="s">
        <v>111</v>
      </c>
      <c r="E913">
        <v>5</v>
      </c>
      <c r="F913" t="str">
        <f t="shared" si="14"/>
        <v>Amino acid metabolism</v>
      </c>
    </row>
    <row r="914" spans="1:6" x14ac:dyDescent="0.45">
      <c r="A914" t="s">
        <v>115</v>
      </c>
      <c r="B914">
        <v>4</v>
      </c>
      <c r="C914">
        <v>1</v>
      </c>
      <c r="D914" t="s">
        <v>111</v>
      </c>
      <c r="E914">
        <v>6</v>
      </c>
      <c r="F914" t="str">
        <f t="shared" si="14"/>
        <v>Lipid metabolism</v>
      </c>
    </row>
    <row r="915" spans="1:6" x14ac:dyDescent="0.45">
      <c r="A915" t="s">
        <v>67</v>
      </c>
      <c r="B915">
        <v>4</v>
      </c>
      <c r="C915">
        <v>1</v>
      </c>
      <c r="D915" t="s">
        <v>111</v>
      </c>
      <c r="E915">
        <v>4</v>
      </c>
      <c r="F915" t="str">
        <f t="shared" si="14"/>
        <v>Carbohydrate metabolism</v>
      </c>
    </row>
    <row r="916" spans="1:6" x14ac:dyDescent="0.45">
      <c r="A916" t="s">
        <v>83</v>
      </c>
      <c r="B916">
        <v>4</v>
      </c>
      <c r="C916">
        <v>1</v>
      </c>
      <c r="D916" t="s">
        <v>111</v>
      </c>
      <c r="E916">
        <v>3</v>
      </c>
      <c r="F916" t="str">
        <f t="shared" si="14"/>
        <v>Carbohydrate metabolism</v>
      </c>
    </row>
    <row r="917" spans="1:6" x14ac:dyDescent="0.45">
      <c r="A917" t="s">
        <v>48</v>
      </c>
      <c r="B917">
        <v>4</v>
      </c>
      <c r="C917">
        <v>1</v>
      </c>
      <c r="D917" t="s">
        <v>111</v>
      </c>
      <c r="E917">
        <v>3</v>
      </c>
      <c r="F917" t="str">
        <f t="shared" si="14"/>
        <v>Carbohydrate metabolism</v>
      </c>
    </row>
    <row r="918" spans="1:6" x14ac:dyDescent="0.45">
      <c r="A918" t="s">
        <v>70</v>
      </c>
      <c r="B918">
        <v>4</v>
      </c>
      <c r="C918">
        <v>1</v>
      </c>
      <c r="D918" t="s">
        <v>111</v>
      </c>
      <c r="E918">
        <v>3</v>
      </c>
      <c r="F918" t="str">
        <f t="shared" si="14"/>
        <v>Metabolism of terpenoids and polyketides</v>
      </c>
    </row>
    <row r="919" spans="1:6" x14ac:dyDescent="0.45">
      <c r="A919" t="s">
        <v>28</v>
      </c>
      <c r="B919">
        <v>4</v>
      </c>
      <c r="C919">
        <v>1</v>
      </c>
      <c r="D919" t="s">
        <v>111</v>
      </c>
      <c r="E919">
        <v>3</v>
      </c>
      <c r="F919" t="str">
        <f t="shared" si="14"/>
        <v>Metabolism of terpenoids and polyketides</v>
      </c>
    </row>
    <row r="920" spans="1:6" x14ac:dyDescent="0.45">
      <c r="A920" t="s">
        <v>32</v>
      </c>
      <c r="B920">
        <v>4</v>
      </c>
      <c r="C920">
        <v>1</v>
      </c>
      <c r="D920" t="s">
        <v>111</v>
      </c>
      <c r="E920">
        <v>3</v>
      </c>
      <c r="F920" t="str">
        <f t="shared" si="14"/>
        <v xml:space="preserve">Carbon metabolism </v>
      </c>
    </row>
    <row r="921" spans="1:6" x14ac:dyDescent="0.45">
      <c r="A921" t="s">
        <v>52</v>
      </c>
      <c r="B921">
        <v>4</v>
      </c>
      <c r="C921">
        <v>1</v>
      </c>
      <c r="D921" t="s">
        <v>111</v>
      </c>
      <c r="E921">
        <v>4</v>
      </c>
      <c r="F921" t="str">
        <f t="shared" si="14"/>
        <v>Alkaloid metabolism</v>
      </c>
    </row>
    <row r="922" spans="1:6" x14ac:dyDescent="0.45">
      <c r="A922" t="s">
        <v>81</v>
      </c>
      <c r="B922">
        <v>4</v>
      </c>
      <c r="C922">
        <v>1</v>
      </c>
      <c r="D922" t="s">
        <v>111</v>
      </c>
      <c r="E922">
        <v>4</v>
      </c>
      <c r="F922" t="str">
        <f t="shared" si="14"/>
        <v>Amino acid metabolism</v>
      </c>
    </row>
    <row r="923" spans="1:6" x14ac:dyDescent="0.45">
      <c r="A923" t="s">
        <v>37</v>
      </c>
      <c r="B923">
        <v>4</v>
      </c>
      <c r="C923">
        <v>1</v>
      </c>
      <c r="D923" t="s">
        <v>111</v>
      </c>
      <c r="E923">
        <v>4</v>
      </c>
      <c r="F923" t="str">
        <f t="shared" si="14"/>
        <v>Primary metabolism</v>
      </c>
    </row>
    <row r="924" spans="1:6" x14ac:dyDescent="0.45">
      <c r="A924" t="s">
        <v>49</v>
      </c>
      <c r="B924">
        <v>4</v>
      </c>
      <c r="C924">
        <v>1</v>
      </c>
      <c r="D924" t="s">
        <v>111</v>
      </c>
      <c r="E924">
        <v>5</v>
      </c>
      <c r="F924" t="str">
        <f t="shared" si="14"/>
        <v>Phenylpropanoid metabolism</v>
      </c>
    </row>
    <row r="925" spans="1:6" x14ac:dyDescent="0.45">
      <c r="A925" t="s">
        <v>15</v>
      </c>
      <c r="B925">
        <v>4</v>
      </c>
      <c r="C925">
        <v>1</v>
      </c>
      <c r="D925" t="s">
        <v>111</v>
      </c>
      <c r="E925">
        <v>2</v>
      </c>
      <c r="F925" t="str">
        <f t="shared" si="14"/>
        <v>Carbon metabolism</v>
      </c>
    </row>
    <row r="926" spans="1:6" x14ac:dyDescent="0.45">
      <c r="A926" t="s">
        <v>16</v>
      </c>
      <c r="B926">
        <v>4</v>
      </c>
      <c r="C926">
        <v>1</v>
      </c>
      <c r="D926" t="s">
        <v>111</v>
      </c>
      <c r="E926">
        <v>2</v>
      </c>
      <c r="F926" t="str">
        <f t="shared" si="14"/>
        <v>Carbohydrate metabolism</v>
      </c>
    </row>
    <row r="927" spans="1:6" x14ac:dyDescent="0.45">
      <c r="A927" t="s">
        <v>11</v>
      </c>
      <c r="B927">
        <v>4</v>
      </c>
      <c r="C927">
        <v>1</v>
      </c>
      <c r="D927" t="s">
        <v>111</v>
      </c>
      <c r="E927">
        <v>2</v>
      </c>
      <c r="F927" t="str">
        <f t="shared" si="14"/>
        <v>Carbohydrate metabolism</v>
      </c>
    </row>
    <row r="928" spans="1:6" x14ac:dyDescent="0.45">
      <c r="A928" t="s">
        <v>8</v>
      </c>
      <c r="B928">
        <v>4</v>
      </c>
      <c r="C928">
        <v>1</v>
      </c>
      <c r="D928" t="s">
        <v>111</v>
      </c>
      <c r="E928">
        <v>2</v>
      </c>
      <c r="F928" t="str">
        <f t="shared" si="14"/>
        <v>Glycan biosynthesis and metabolism</v>
      </c>
    </row>
    <row r="929" spans="1:6" x14ac:dyDescent="0.45">
      <c r="A929" t="s">
        <v>22</v>
      </c>
      <c r="B929">
        <v>4</v>
      </c>
      <c r="C929">
        <v>1</v>
      </c>
      <c r="D929" t="s">
        <v>111</v>
      </c>
      <c r="E929">
        <v>2</v>
      </c>
      <c r="F929" t="str">
        <f t="shared" si="14"/>
        <v>Carbohydrate metabolism</v>
      </c>
    </row>
    <row r="930" spans="1:6" x14ac:dyDescent="0.45">
      <c r="A930" t="s">
        <v>89</v>
      </c>
      <c r="B930">
        <v>4</v>
      </c>
      <c r="C930">
        <v>1</v>
      </c>
      <c r="D930" t="s">
        <v>111</v>
      </c>
      <c r="E930">
        <v>3</v>
      </c>
      <c r="F930" t="str">
        <f t="shared" si="14"/>
        <v>Metabolism of cofactors and vitamins</v>
      </c>
    </row>
    <row r="931" spans="1:6" x14ac:dyDescent="0.45">
      <c r="A931" t="s">
        <v>64</v>
      </c>
      <c r="B931">
        <v>4</v>
      </c>
      <c r="C931">
        <v>1</v>
      </c>
      <c r="D931" t="s">
        <v>111</v>
      </c>
      <c r="E931">
        <v>2</v>
      </c>
      <c r="F931" t="str">
        <f t="shared" si="14"/>
        <v>Metabolism of cofactors and vitamins</v>
      </c>
    </row>
    <row r="932" spans="1:6" x14ac:dyDescent="0.45">
      <c r="A932" t="s">
        <v>51</v>
      </c>
      <c r="B932">
        <v>4</v>
      </c>
      <c r="C932">
        <v>1</v>
      </c>
      <c r="D932" t="s">
        <v>111</v>
      </c>
      <c r="E932">
        <v>2</v>
      </c>
      <c r="F932" t="str">
        <f t="shared" si="14"/>
        <v>Metabolism of terpenoids and polyketides</v>
      </c>
    </row>
    <row r="933" spans="1:6" x14ac:dyDescent="0.45">
      <c r="A933" t="s">
        <v>56</v>
      </c>
      <c r="B933">
        <v>4</v>
      </c>
      <c r="C933">
        <v>1</v>
      </c>
      <c r="D933" t="s">
        <v>111</v>
      </c>
      <c r="E933">
        <v>2</v>
      </c>
      <c r="F933" t="str">
        <f t="shared" si="14"/>
        <v>Lipid metabolism</v>
      </c>
    </row>
    <row r="934" spans="1:6" x14ac:dyDescent="0.45">
      <c r="A934" t="s">
        <v>80</v>
      </c>
      <c r="B934">
        <v>4</v>
      </c>
      <c r="C934">
        <v>1</v>
      </c>
      <c r="D934" t="s">
        <v>111</v>
      </c>
      <c r="E934">
        <v>3</v>
      </c>
      <c r="F934" t="str">
        <f t="shared" si="14"/>
        <v>Signal transduction</v>
      </c>
    </row>
    <row r="935" spans="1:6" x14ac:dyDescent="0.45">
      <c r="A935" t="s">
        <v>36</v>
      </c>
      <c r="B935">
        <v>4</v>
      </c>
      <c r="C935">
        <v>1</v>
      </c>
      <c r="D935" t="s">
        <v>111</v>
      </c>
      <c r="E935">
        <v>3</v>
      </c>
      <c r="F935" t="str">
        <f t="shared" si="14"/>
        <v>Phenylpropanoid metabolism</v>
      </c>
    </row>
    <row r="936" spans="1:6" x14ac:dyDescent="0.45">
      <c r="A936" t="s">
        <v>86</v>
      </c>
      <c r="B936">
        <v>4</v>
      </c>
      <c r="C936">
        <v>1</v>
      </c>
      <c r="D936" t="s">
        <v>111</v>
      </c>
      <c r="E936">
        <v>1</v>
      </c>
      <c r="F936" t="str">
        <f t="shared" si="14"/>
        <v>Lipid metabolism</v>
      </c>
    </row>
    <row r="937" spans="1:6" x14ac:dyDescent="0.45">
      <c r="A937" t="s">
        <v>40</v>
      </c>
      <c r="B937">
        <v>4</v>
      </c>
      <c r="C937">
        <v>1</v>
      </c>
      <c r="D937" t="s">
        <v>111</v>
      </c>
      <c r="E937">
        <v>1</v>
      </c>
      <c r="F937" t="str">
        <f t="shared" si="14"/>
        <v>Lipid metabolism</v>
      </c>
    </row>
    <row r="938" spans="1:6" x14ac:dyDescent="0.45">
      <c r="A938" t="s">
        <v>41</v>
      </c>
      <c r="B938">
        <v>4</v>
      </c>
      <c r="C938">
        <v>1</v>
      </c>
      <c r="D938" t="s">
        <v>111</v>
      </c>
      <c r="E938">
        <v>1</v>
      </c>
      <c r="F938" t="str">
        <f t="shared" si="14"/>
        <v>Energy metabolism</v>
      </c>
    </row>
    <row r="939" spans="1:6" x14ac:dyDescent="0.45">
      <c r="A939" t="s">
        <v>116</v>
      </c>
      <c r="B939">
        <v>4</v>
      </c>
      <c r="C939">
        <v>1</v>
      </c>
      <c r="D939" t="s">
        <v>111</v>
      </c>
      <c r="E939">
        <v>1</v>
      </c>
      <c r="F939" t="str">
        <f t="shared" si="14"/>
        <v>Energy metabolism</v>
      </c>
    </row>
    <row r="940" spans="1:6" x14ac:dyDescent="0.45">
      <c r="A940" t="s">
        <v>42</v>
      </c>
      <c r="B940">
        <v>4</v>
      </c>
      <c r="C940">
        <v>1</v>
      </c>
      <c r="D940" t="s">
        <v>111</v>
      </c>
      <c r="E940">
        <v>1</v>
      </c>
      <c r="F940" t="str">
        <f t="shared" si="14"/>
        <v>Amino acid metabolism</v>
      </c>
    </row>
    <row r="941" spans="1:6" x14ac:dyDescent="0.45">
      <c r="A941" t="s">
        <v>99</v>
      </c>
      <c r="B941">
        <v>4</v>
      </c>
      <c r="C941">
        <v>1</v>
      </c>
      <c r="D941" t="s">
        <v>111</v>
      </c>
      <c r="E941">
        <v>1</v>
      </c>
      <c r="F941" t="str">
        <f t="shared" si="14"/>
        <v>Amino acid metabolism</v>
      </c>
    </row>
    <row r="942" spans="1:6" x14ac:dyDescent="0.45">
      <c r="A942" t="s">
        <v>45</v>
      </c>
      <c r="B942">
        <v>4</v>
      </c>
      <c r="C942">
        <v>1</v>
      </c>
      <c r="D942" t="s">
        <v>111</v>
      </c>
      <c r="E942">
        <v>1</v>
      </c>
      <c r="F942" t="str">
        <f t="shared" si="14"/>
        <v>Amino acid metabolism</v>
      </c>
    </row>
    <row r="943" spans="1:6" x14ac:dyDescent="0.45">
      <c r="A943" t="s">
        <v>88</v>
      </c>
      <c r="B943">
        <v>4</v>
      </c>
      <c r="C943">
        <v>1</v>
      </c>
      <c r="D943" t="s">
        <v>111</v>
      </c>
      <c r="E943">
        <v>1</v>
      </c>
      <c r="F943" t="str">
        <f t="shared" si="14"/>
        <v>Lipid metabolism</v>
      </c>
    </row>
    <row r="944" spans="1:6" x14ac:dyDescent="0.45">
      <c r="A944" t="s">
        <v>23</v>
      </c>
      <c r="B944">
        <v>4</v>
      </c>
      <c r="C944">
        <v>1</v>
      </c>
      <c r="D944" t="s">
        <v>111</v>
      </c>
      <c r="E944">
        <v>1</v>
      </c>
      <c r="F944" t="str">
        <f t="shared" si="14"/>
        <v>Carbon metabolism</v>
      </c>
    </row>
    <row r="945" spans="1:6" x14ac:dyDescent="0.45">
      <c r="A945" t="s">
        <v>24</v>
      </c>
      <c r="B945">
        <v>4</v>
      </c>
      <c r="C945">
        <v>1</v>
      </c>
      <c r="D945" t="s">
        <v>111</v>
      </c>
      <c r="E945">
        <v>1</v>
      </c>
      <c r="F945" t="str">
        <f t="shared" si="14"/>
        <v>Metabolism of cofactors and vitamin</v>
      </c>
    </row>
    <row r="946" spans="1:6" x14ac:dyDescent="0.45">
      <c r="A946" t="s">
        <v>107</v>
      </c>
      <c r="B946">
        <v>4</v>
      </c>
      <c r="C946">
        <v>1</v>
      </c>
      <c r="D946" t="s">
        <v>111</v>
      </c>
      <c r="E946">
        <v>1</v>
      </c>
      <c r="F946" t="str">
        <f t="shared" si="14"/>
        <v>Metabolism of cofactors and vitamins</v>
      </c>
    </row>
    <row r="947" spans="1:6" x14ac:dyDescent="0.45">
      <c r="A947" t="s">
        <v>90</v>
      </c>
      <c r="B947">
        <v>4</v>
      </c>
      <c r="C947">
        <v>1</v>
      </c>
      <c r="D947" t="s">
        <v>111</v>
      </c>
      <c r="E947">
        <v>1</v>
      </c>
      <c r="F947" t="str">
        <f t="shared" si="14"/>
        <v>Metabolism of cofactors and vitamins</v>
      </c>
    </row>
    <row r="948" spans="1:6" x14ac:dyDescent="0.45">
      <c r="A948" t="s">
        <v>103</v>
      </c>
      <c r="B948">
        <v>4</v>
      </c>
      <c r="C948">
        <v>1</v>
      </c>
      <c r="D948" t="s">
        <v>111</v>
      </c>
      <c r="E948">
        <v>1</v>
      </c>
      <c r="F948" t="str">
        <f t="shared" si="14"/>
        <v>Metabolism of terpenoids and polyketides</v>
      </c>
    </row>
    <row r="949" spans="1:6" x14ac:dyDescent="0.45">
      <c r="A949" t="s">
        <v>72</v>
      </c>
      <c r="B949">
        <v>4</v>
      </c>
      <c r="C949">
        <v>1</v>
      </c>
      <c r="D949" t="s">
        <v>111</v>
      </c>
      <c r="E949">
        <v>2</v>
      </c>
      <c r="F949" t="str">
        <f t="shared" si="14"/>
        <v>Metabolism of terpenoids and polyketides</v>
      </c>
    </row>
    <row r="950" spans="1:6" x14ac:dyDescent="0.45">
      <c r="A950" t="s">
        <v>57</v>
      </c>
      <c r="B950">
        <v>4</v>
      </c>
      <c r="C950">
        <v>1</v>
      </c>
      <c r="D950" t="s">
        <v>111</v>
      </c>
      <c r="E950">
        <v>1</v>
      </c>
      <c r="F950" t="str">
        <f t="shared" si="14"/>
        <v>Phenylpropanoid metabolism</v>
      </c>
    </row>
    <row r="951" spans="1:6" x14ac:dyDescent="0.45">
      <c r="A951" t="s">
        <v>91</v>
      </c>
      <c r="B951">
        <v>4</v>
      </c>
      <c r="C951">
        <v>1</v>
      </c>
      <c r="D951" t="s">
        <v>111</v>
      </c>
      <c r="E951">
        <v>1</v>
      </c>
      <c r="F951" t="str">
        <f t="shared" si="14"/>
        <v>Genetic Information Processing</v>
      </c>
    </row>
    <row r="952" spans="1:6" x14ac:dyDescent="0.45">
      <c r="A952" t="s">
        <v>95</v>
      </c>
      <c r="B952">
        <v>4</v>
      </c>
      <c r="C952">
        <v>1</v>
      </c>
      <c r="D952" t="s">
        <v>111</v>
      </c>
      <c r="E952">
        <v>1</v>
      </c>
      <c r="F952" t="str">
        <f t="shared" si="14"/>
        <v>Amino acid metabolism</v>
      </c>
    </row>
    <row r="953" spans="1:6" x14ac:dyDescent="0.45">
      <c r="A953" t="s">
        <v>101</v>
      </c>
      <c r="B953">
        <v>4</v>
      </c>
      <c r="C953">
        <v>1</v>
      </c>
      <c r="D953" t="s">
        <v>111</v>
      </c>
      <c r="E953">
        <v>1</v>
      </c>
      <c r="F953" t="str">
        <f t="shared" si="14"/>
        <v>Phenylpropanoid metabolism</v>
      </c>
    </row>
    <row r="954" spans="1:6" x14ac:dyDescent="0.45">
      <c r="A954" t="s">
        <v>96</v>
      </c>
      <c r="B954">
        <v>4</v>
      </c>
      <c r="C954">
        <v>1</v>
      </c>
      <c r="D954" t="s">
        <v>111</v>
      </c>
      <c r="E954">
        <v>1</v>
      </c>
      <c r="F954" t="str">
        <f t="shared" si="14"/>
        <v>JA biosynthesis</v>
      </c>
    </row>
    <row r="955" spans="1:6" x14ac:dyDescent="0.45">
      <c r="A955" t="s">
        <v>98</v>
      </c>
      <c r="B955">
        <v>4</v>
      </c>
      <c r="C955">
        <v>1</v>
      </c>
      <c r="D955" t="s">
        <v>111</v>
      </c>
      <c r="E955">
        <v>1</v>
      </c>
      <c r="F955">
        <f t="shared" si="14"/>
        <v>0</v>
      </c>
    </row>
    <row r="956" spans="1:6" x14ac:dyDescent="0.45">
      <c r="A956" t="s">
        <v>62</v>
      </c>
      <c r="B956">
        <v>4</v>
      </c>
      <c r="C956">
        <v>-1</v>
      </c>
      <c r="D956" t="s">
        <v>111</v>
      </c>
      <c r="E956">
        <v>2</v>
      </c>
      <c r="F956" t="str">
        <f t="shared" si="14"/>
        <v>Metabolism of cofactors and vitamins</v>
      </c>
    </row>
    <row r="957" spans="1:6" x14ac:dyDescent="0.45">
      <c r="A957" t="s">
        <v>38</v>
      </c>
      <c r="B957">
        <v>4</v>
      </c>
      <c r="C957">
        <v>-1</v>
      </c>
      <c r="D957" t="s">
        <v>111</v>
      </c>
      <c r="E957">
        <v>2</v>
      </c>
      <c r="F957" t="str">
        <f t="shared" si="14"/>
        <v>Degradation of aromatic compounds</v>
      </c>
    </row>
    <row r="958" spans="1:6" x14ac:dyDescent="0.45">
      <c r="A958" t="s">
        <v>114</v>
      </c>
      <c r="B958">
        <v>4</v>
      </c>
      <c r="C958">
        <v>-1</v>
      </c>
      <c r="D958" t="s">
        <v>111</v>
      </c>
      <c r="E958">
        <v>2</v>
      </c>
      <c r="F958">
        <f t="shared" si="14"/>
        <v>0</v>
      </c>
    </row>
    <row r="959" spans="1:6" x14ac:dyDescent="0.45">
      <c r="A959" t="s">
        <v>117</v>
      </c>
      <c r="B959">
        <v>4</v>
      </c>
      <c r="C959">
        <v>-1</v>
      </c>
      <c r="D959" t="s">
        <v>111</v>
      </c>
      <c r="E959">
        <v>1</v>
      </c>
      <c r="F959" t="str">
        <f t="shared" si="14"/>
        <v>Lipid metabolism</v>
      </c>
    </row>
    <row r="960" spans="1:6" x14ac:dyDescent="0.45">
      <c r="A960" t="s">
        <v>10</v>
      </c>
      <c r="B960">
        <v>4</v>
      </c>
      <c r="C960">
        <v>-1</v>
      </c>
      <c r="D960" t="s">
        <v>111</v>
      </c>
      <c r="E960">
        <v>1</v>
      </c>
      <c r="F960" t="str">
        <f t="shared" si="14"/>
        <v>Nucleotide metabolism</v>
      </c>
    </row>
    <row r="961" spans="1:6" x14ac:dyDescent="0.45">
      <c r="A961" t="s">
        <v>63</v>
      </c>
      <c r="B961">
        <v>4</v>
      </c>
      <c r="C961">
        <v>-1</v>
      </c>
      <c r="D961" t="s">
        <v>111</v>
      </c>
      <c r="E961">
        <v>1</v>
      </c>
      <c r="F961" t="str">
        <f t="shared" si="14"/>
        <v>Amino acid metabolism</v>
      </c>
    </row>
    <row r="962" spans="1:6" x14ac:dyDescent="0.45">
      <c r="A962" t="s">
        <v>17</v>
      </c>
      <c r="B962">
        <v>4</v>
      </c>
      <c r="C962">
        <v>-1</v>
      </c>
      <c r="D962" t="s">
        <v>111</v>
      </c>
      <c r="E962">
        <v>1</v>
      </c>
      <c r="F962" t="str">
        <f t="shared" si="14"/>
        <v>Amino acid metabolism</v>
      </c>
    </row>
    <row r="963" spans="1:6" x14ac:dyDescent="0.45">
      <c r="A963" t="s">
        <v>18</v>
      </c>
      <c r="B963">
        <v>4</v>
      </c>
      <c r="C963">
        <v>-1</v>
      </c>
      <c r="D963" t="s">
        <v>111</v>
      </c>
      <c r="E963">
        <v>1</v>
      </c>
      <c r="F963" t="str">
        <f t="shared" si="14"/>
        <v>Amino acid metabolism</v>
      </c>
    </row>
    <row r="964" spans="1:6" x14ac:dyDescent="0.45">
      <c r="A964" t="s">
        <v>88</v>
      </c>
      <c r="B964">
        <v>4</v>
      </c>
      <c r="C964">
        <v>-1</v>
      </c>
      <c r="D964" t="s">
        <v>111</v>
      </c>
      <c r="E964">
        <v>1</v>
      </c>
      <c r="F964" t="str">
        <f t="shared" ref="F964:F1027" si="15">_xlfn.XLOOKUP(A964,$H$2:$H$200,$I$2:$I$200)</f>
        <v>Lipid metabolism</v>
      </c>
    </row>
    <row r="965" spans="1:6" x14ac:dyDescent="0.45">
      <c r="A965" t="s">
        <v>14</v>
      </c>
      <c r="B965">
        <v>4</v>
      </c>
      <c r="C965">
        <v>-1</v>
      </c>
      <c r="D965" t="s">
        <v>111</v>
      </c>
      <c r="E965">
        <v>1</v>
      </c>
      <c r="F965" t="str">
        <f t="shared" si="15"/>
        <v>Alkaloid metabolism</v>
      </c>
    </row>
    <row r="966" spans="1:6" x14ac:dyDescent="0.45">
      <c r="A966" t="s">
        <v>81</v>
      </c>
      <c r="B966">
        <v>4</v>
      </c>
      <c r="C966">
        <v>-1</v>
      </c>
      <c r="D966" t="s">
        <v>111</v>
      </c>
      <c r="E966">
        <v>2</v>
      </c>
      <c r="F966" t="str">
        <f t="shared" si="15"/>
        <v>Amino acid metabolism</v>
      </c>
    </row>
    <row r="967" spans="1:6" x14ac:dyDescent="0.45">
      <c r="A967" t="s">
        <v>38</v>
      </c>
      <c r="B967">
        <v>5</v>
      </c>
      <c r="C967">
        <v>1</v>
      </c>
      <c r="D967" t="s">
        <v>111</v>
      </c>
      <c r="E967">
        <v>9</v>
      </c>
      <c r="F967" t="str">
        <f t="shared" si="15"/>
        <v>Degradation of aromatic compounds</v>
      </c>
    </row>
    <row r="968" spans="1:6" x14ac:dyDescent="0.45">
      <c r="A968" t="s">
        <v>33</v>
      </c>
      <c r="B968">
        <v>5</v>
      </c>
      <c r="C968">
        <v>1</v>
      </c>
      <c r="D968" t="s">
        <v>111</v>
      </c>
      <c r="E968">
        <v>9</v>
      </c>
      <c r="F968" t="str">
        <f t="shared" si="15"/>
        <v>Amino acid metabolism</v>
      </c>
    </row>
    <row r="969" spans="1:6" x14ac:dyDescent="0.45">
      <c r="A969" t="s">
        <v>30</v>
      </c>
      <c r="B969">
        <v>5</v>
      </c>
      <c r="C969">
        <v>1</v>
      </c>
      <c r="D969" t="s">
        <v>111</v>
      </c>
      <c r="E969">
        <v>6</v>
      </c>
      <c r="F969" t="str">
        <f t="shared" si="15"/>
        <v>Phenylpropanoid biosynthesis</v>
      </c>
    </row>
    <row r="970" spans="1:6" x14ac:dyDescent="0.45">
      <c r="A970" t="s">
        <v>34</v>
      </c>
      <c r="B970">
        <v>5</v>
      </c>
      <c r="C970">
        <v>1</v>
      </c>
      <c r="D970" t="s">
        <v>111</v>
      </c>
      <c r="E970">
        <v>8</v>
      </c>
      <c r="F970" t="str">
        <f t="shared" si="15"/>
        <v>Amino acid metabolism</v>
      </c>
    </row>
    <row r="971" spans="1:6" x14ac:dyDescent="0.45">
      <c r="A971" t="s">
        <v>19</v>
      </c>
      <c r="B971">
        <v>5</v>
      </c>
      <c r="C971">
        <v>1</v>
      </c>
      <c r="D971" t="s">
        <v>111</v>
      </c>
      <c r="E971">
        <v>5</v>
      </c>
      <c r="F971" t="str">
        <f t="shared" si="15"/>
        <v>Amino acid metabolism</v>
      </c>
    </row>
    <row r="972" spans="1:6" x14ac:dyDescent="0.45">
      <c r="A972" t="s">
        <v>7</v>
      </c>
      <c r="B972">
        <v>5</v>
      </c>
      <c r="C972">
        <v>1</v>
      </c>
      <c r="D972" t="s">
        <v>111</v>
      </c>
      <c r="E972">
        <v>6</v>
      </c>
      <c r="F972" t="str">
        <f t="shared" si="15"/>
        <v>Nucleotide metabolism</v>
      </c>
    </row>
    <row r="973" spans="1:6" x14ac:dyDescent="0.45">
      <c r="A973" t="s">
        <v>82</v>
      </c>
      <c r="B973">
        <v>5</v>
      </c>
      <c r="C973">
        <v>1</v>
      </c>
      <c r="D973" t="s">
        <v>111</v>
      </c>
      <c r="E973">
        <v>4</v>
      </c>
      <c r="F973" t="str">
        <f t="shared" si="15"/>
        <v>Amino acid metabolism</v>
      </c>
    </row>
    <row r="974" spans="1:6" x14ac:dyDescent="0.45">
      <c r="A974" t="s">
        <v>22</v>
      </c>
      <c r="B974">
        <v>5</v>
      </c>
      <c r="C974">
        <v>1</v>
      </c>
      <c r="D974" t="s">
        <v>111</v>
      </c>
      <c r="E974">
        <v>4</v>
      </c>
      <c r="F974" t="str">
        <f t="shared" si="15"/>
        <v>Carbohydrate metabolism</v>
      </c>
    </row>
    <row r="975" spans="1:6" x14ac:dyDescent="0.45">
      <c r="A975" t="s">
        <v>55</v>
      </c>
      <c r="B975">
        <v>5</v>
      </c>
      <c r="C975">
        <v>1</v>
      </c>
      <c r="D975" t="s">
        <v>111</v>
      </c>
      <c r="E975">
        <v>5</v>
      </c>
      <c r="F975" t="str">
        <f t="shared" si="15"/>
        <v>Alkaloid metabolism</v>
      </c>
    </row>
    <row r="976" spans="1:6" x14ac:dyDescent="0.45">
      <c r="A976" t="s">
        <v>91</v>
      </c>
      <c r="B976">
        <v>5</v>
      </c>
      <c r="C976">
        <v>1</v>
      </c>
      <c r="D976" t="s">
        <v>111</v>
      </c>
      <c r="E976">
        <v>4</v>
      </c>
      <c r="F976" t="str">
        <f t="shared" si="15"/>
        <v>Genetic Information Processing</v>
      </c>
    </row>
    <row r="977" spans="1:6" x14ac:dyDescent="0.45">
      <c r="A977" t="s">
        <v>18</v>
      </c>
      <c r="B977">
        <v>5</v>
      </c>
      <c r="C977">
        <v>1</v>
      </c>
      <c r="D977" t="s">
        <v>111</v>
      </c>
      <c r="E977">
        <v>3</v>
      </c>
      <c r="F977" t="str">
        <f t="shared" si="15"/>
        <v>Amino acid metabolism</v>
      </c>
    </row>
    <row r="978" spans="1:6" x14ac:dyDescent="0.45">
      <c r="A978" t="s">
        <v>11</v>
      </c>
      <c r="B978">
        <v>5</v>
      </c>
      <c r="C978">
        <v>1</v>
      </c>
      <c r="D978" t="s">
        <v>111</v>
      </c>
      <c r="E978">
        <v>4</v>
      </c>
      <c r="F978" t="str">
        <f t="shared" si="15"/>
        <v>Carbohydrate metabolism</v>
      </c>
    </row>
    <row r="979" spans="1:6" x14ac:dyDescent="0.45">
      <c r="A979" t="s">
        <v>12</v>
      </c>
      <c r="B979">
        <v>5</v>
      </c>
      <c r="C979">
        <v>1</v>
      </c>
      <c r="D979" t="s">
        <v>111</v>
      </c>
      <c r="E979">
        <v>3</v>
      </c>
      <c r="F979" t="str">
        <f t="shared" si="15"/>
        <v>Carbohydrate metabolism</v>
      </c>
    </row>
    <row r="980" spans="1:6" x14ac:dyDescent="0.45">
      <c r="A980" t="s">
        <v>69</v>
      </c>
      <c r="B980">
        <v>5</v>
      </c>
      <c r="C980">
        <v>1</v>
      </c>
      <c r="D980" t="s">
        <v>111</v>
      </c>
      <c r="E980">
        <v>3</v>
      </c>
      <c r="F980" t="str">
        <f t="shared" si="15"/>
        <v>Amino acid metabolism</v>
      </c>
    </row>
    <row r="981" spans="1:6" x14ac:dyDescent="0.45">
      <c r="A981" t="s">
        <v>48</v>
      </c>
      <c r="B981">
        <v>5</v>
      </c>
      <c r="C981">
        <v>1</v>
      </c>
      <c r="D981" t="s">
        <v>111</v>
      </c>
      <c r="E981">
        <v>4</v>
      </c>
      <c r="F981" t="str">
        <f t="shared" si="15"/>
        <v>Carbohydrate metabolism</v>
      </c>
    </row>
    <row r="982" spans="1:6" x14ac:dyDescent="0.45">
      <c r="A982" t="s">
        <v>25</v>
      </c>
      <c r="B982">
        <v>5</v>
      </c>
      <c r="C982">
        <v>1</v>
      </c>
      <c r="D982" t="s">
        <v>111</v>
      </c>
      <c r="E982">
        <v>4</v>
      </c>
      <c r="F982" t="str">
        <f t="shared" si="15"/>
        <v>Metabolism of cofactors and vitamins</v>
      </c>
    </row>
    <row r="983" spans="1:6" x14ac:dyDescent="0.45">
      <c r="A983" t="s">
        <v>14</v>
      </c>
      <c r="B983">
        <v>5</v>
      </c>
      <c r="C983">
        <v>1</v>
      </c>
      <c r="D983" t="s">
        <v>111</v>
      </c>
      <c r="E983">
        <v>3</v>
      </c>
      <c r="F983" t="str">
        <f t="shared" si="15"/>
        <v>Alkaloid metabolism</v>
      </c>
    </row>
    <row r="984" spans="1:6" x14ac:dyDescent="0.45">
      <c r="A984" t="s">
        <v>31</v>
      </c>
      <c r="B984">
        <v>5</v>
      </c>
      <c r="C984">
        <v>1</v>
      </c>
      <c r="D984" t="s">
        <v>111</v>
      </c>
      <c r="E984">
        <v>3</v>
      </c>
      <c r="F984" t="str">
        <f t="shared" si="15"/>
        <v>Glucosinolate biosynthesis</v>
      </c>
    </row>
    <row r="985" spans="1:6" x14ac:dyDescent="0.45">
      <c r="A985" t="s">
        <v>95</v>
      </c>
      <c r="B985">
        <v>5</v>
      </c>
      <c r="C985">
        <v>1</v>
      </c>
      <c r="D985" t="s">
        <v>111</v>
      </c>
      <c r="E985">
        <v>3</v>
      </c>
      <c r="F985" t="str">
        <f t="shared" si="15"/>
        <v>Amino acid metabolism</v>
      </c>
    </row>
    <row r="986" spans="1:6" x14ac:dyDescent="0.45">
      <c r="A986" t="s">
        <v>10</v>
      </c>
      <c r="B986">
        <v>5</v>
      </c>
      <c r="C986">
        <v>1</v>
      </c>
      <c r="D986" t="s">
        <v>111</v>
      </c>
      <c r="E986">
        <v>2</v>
      </c>
      <c r="F986" t="str">
        <f t="shared" si="15"/>
        <v>Nucleotide metabolism</v>
      </c>
    </row>
    <row r="987" spans="1:6" x14ac:dyDescent="0.45">
      <c r="A987" t="s">
        <v>42</v>
      </c>
      <c r="B987">
        <v>5</v>
      </c>
      <c r="C987">
        <v>1</v>
      </c>
      <c r="D987" t="s">
        <v>111</v>
      </c>
      <c r="E987">
        <v>3</v>
      </c>
      <c r="F987" t="str">
        <f t="shared" si="15"/>
        <v>Amino acid metabolism</v>
      </c>
    </row>
    <row r="988" spans="1:6" x14ac:dyDescent="0.45">
      <c r="A988" t="s">
        <v>54</v>
      </c>
      <c r="B988">
        <v>5</v>
      </c>
      <c r="C988">
        <v>1</v>
      </c>
      <c r="D988" t="s">
        <v>111</v>
      </c>
      <c r="E988">
        <v>4</v>
      </c>
      <c r="F988" t="str">
        <f t="shared" si="15"/>
        <v>Amino acid metabolism</v>
      </c>
    </row>
    <row r="989" spans="1:6" x14ac:dyDescent="0.45">
      <c r="A989" t="s">
        <v>43</v>
      </c>
      <c r="B989">
        <v>5</v>
      </c>
      <c r="C989">
        <v>1</v>
      </c>
      <c r="D989" t="s">
        <v>111</v>
      </c>
      <c r="E989">
        <v>3</v>
      </c>
      <c r="F989" t="str">
        <f t="shared" si="15"/>
        <v>Amino acid metabolism</v>
      </c>
    </row>
    <row r="990" spans="1:6" x14ac:dyDescent="0.45">
      <c r="A990" t="s">
        <v>63</v>
      </c>
      <c r="B990">
        <v>5</v>
      </c>
      <c r="C990">
        <v>1</v>
      </c>
      <c r="D990" t="s">
        <v>111</v>
      </c>
      <c r="E990">
        <v>2</v>
      </c>
      <c r="F990" t="str">
        <f t="shared" si="15"/>
        <v>Amino acid metabolism</v>
      </c>
    </row>
    <row r="991" spans="1:6" x14ac:dyDescent="0.45">
      <c r="A991" t="s">
        <v>44</v>
      </c>
      <c r="B991">
        <v>5</v>
      </c>
      <c r="C991">
        <v>1</v>
      </c>
      <c r="D991" t="s">
        <v>111</v>
      </c>
      <c r="E991">
        <v>3</v>
      </c>
      <c r="F991" t="str">
        <f t="shared" si="15"/>
        <v>Amino acid metabolism</v>
      </c>
    </row>
    <row r="992" spans="1:6" x14ac:dyDescent="0.45">
      <c r="A992" t="s">
        <v>26</v>
      </c>
      <c r="B992">
        <v>5</v>
      </c>
      <c r="C992">
        <v>1</v>
      </c>
      <c r="D992" t="s">
        <v>111</v>
      </c>
      <c r="E992">
        <v>2</v>
      </c>
      <c r="F992" t="str">
        <f t="shared" si="15"/>
        <v>Metabolism of cofactors and vitamins</v>
      </c>
    </row>
    <row r="993" spans="1:6" x14ac:dyDescent="0.45">
      <c r="A993" t="s">
        <v>90</v>
      </c>
      <c r="B993">
        <v>5</v>
      </c>
      <c r="C993">
        <v>1</v>
      </c>
      <c r="D993" t="s">
        <v>111</v>
      </c>
      <c r="E993">
        <v>2</v>
      </c>
      <c r="F993" t="str">
        <f t="shared" si="15"/>
        <v>Metabolism of cofactors and vitamins</v>
      </c>
    </row>
    <row r="994" spans="1:6" x14ac:dyDescent="0.45">
      <c r="A994" t="s">
        <v>71</v>
      </c>
      <c r="B994">
        <v>5</v>
      </c>
      <c r="C994">
        <v>1</v>
      </c>
      <c r="D994" t="s">
        <v>111</v>
      </c>
      <c r="E994">
        <v>2</v>
      </c>
      <c r="F994" t="str">
        <f t="shared" si="15"/>
        <v>Metabolism of terpenoids and polyketides</v>
      </c>
    </row>
    <row r="995" spans="1:6" x14ac:dyDescent="0.45">
      <c r="A995" t="s">
        <v>13</v>
      </c>
      <c r="B995">
        <v>5</v>
      </c>
      <c r="C995">
        <v>1</v>
      </c>
      <c r="D995" t="s">
        <v>111</v>
      </c>
      <c r="E995">
        <v>4</v>
      </c>
      <c r="F995" t="str">
        <f t="shared" si="15"/>
        <v>Terpenoid metabolism</v>
      </c>
    </row>
    <row r="996" spans="1:6" x14ac:dyDescent="0.45">
      <c r="A996" t="s">
        <v>57</v>
      </c>
      <c r="B996">
        <v>5</v>
      </c>
      <c r="C996">
        <v>1</v>
      </c>
      <c r="D996" t="s">
        <v>111</v>
      </c>
      <c r="E996">
        <v>2</v>
      </c>
      <c r="F996" t="str">
        <f t="shared" si="15"/>
        <v>Phenylpropanoid metabolism</v>
      </c>
    </row>
    <row r="997" spans="1:6" x14ac:dyDescent="0.45">
      <c r="A997" t="s">
        <v>32</v>
      </c>
      <c r="B997">
        <v>5</v>
      </c>
      <c r="C997">
        <v>1</v>
      </c>
      <c r="D997" t="s">
        <v>111</v>
      </c>
      <c r="E997">
        <v>3</v>
      </c>
      <c r="F997" t="str">
        <f t="shared" si="15"/>
        <v xml:space="preserve">Carbon metabolism </v>
      </c>
    </row>
    <row r="998" spans="1:6" x14ac:dyDescent="0.45">
      <c r="A998" t="s">
        <v>35</v>
      </c>
      <c r="B998">
        <v>5</v>
      </c>
      <c r="C998">
        <v>1</v>
      </c>
      <c r="D998" t="s">
        <v>111</v>
      </c>
      <c r="E998">
        <v>2</v>
      </c>
      <c r="F998" t="str">
        <f t="shared" si="15"/>
        <v>Membrane transport</v>
      </c>
    </row>
    <row r="999" spans="1:6" x14ac:dyDescent="0.45">
      <c r="A999" t="s">
        <v>52</v>
      </c>
      <c r="B999">
        <v>5</v>
      </c>
      <c r="C999">
        <v>1</v>
      </c>
      <c r="D999" t="s">
        <v>111</v>
      </c>
      <c r="E999">
        <v>2</v>
      </c>
      <c r="F999" t="str">
        <f t="shared" si="15"/>
        <v>Alkaloid metabolism</v>
      </c>
    </row>
    <row r="1000" spans="1:6" x14ac:dyDescent="0.45">
      <c r="A1000" t="s">
        <v>101</v>
      </c>
      <c r="B1000">
        <v>5</v>
      </c>
      <c r="C1000">
        <v>1</v>
      </c>
      <c r="D1000" t="s">
        <v>111</v>
      </c>
      <c r="E1000">
        <v>2</v>
      </c>
      <c r="F1000" t="str">
        <f t="shared" si="15"/>
        <v>Phenylpropanoid metabolism</v>
      </c>
    </row>
    <row r="1001" spans="1:6" x14ac:dyDescent="0.45">
      <c r="A1001" t="s">
        <v>37</v>
      </c>
      <c r="B1001">
        <v>5</v>
      </c>
      <c r="C1001">
        <v>1</v>
      </c>
      <c r="D1001" t="s">
        <v>111</v>
      </c>
      <c r="E1001">
        <v>4</v>
      </c>
      <c r="F1001" t="str">
        <f t="shared" si="15"/>
        <v>Primary metabolism</v>
      </c>
    </row>
    <row r="1002" spans="1:6" x14ac:dyDescent="0.45">
      <c r="A1002" t="s">
        <v>62</v>
      </c>
      <c r="B1002">
        <v>5</v>
      </c>
      <c r="C1002">
        <v>1</v>
      </c>
      <c r="D1002" t="s">
        <v>111</v>
      </c>
      <c r="E1002">
        <v>3</v>
      </c>
      <c r="F1002" t="str">
        <f t="shared" si="15"/>
        <v>Metabolism of cofactors and vitamins</v>
      </c>
    </row>
    <row r="1003" spans="1:6" x14ac:dyDescent="0.45">
      <c r="A1003" t="s">
        <v>15</v>
      </c>
      <c r="B1003">
        <v>5</v>
      </c>
      <c r="C1003">
        <v>1</v>
      </c>
      <c r="D1003" t="s">
        <v>111</v>
      </c>
      <c r="E1003">
        <v>2</v>
      </c>
      <c r="F1003" t="str">
        <f t="shared" si="15"/>
        <v>Carbon metabolism</v>
      </c>
    </row>
    <row r="1004" spans="1:6" x14ac:dyDescent="0.45">
      <c r="A1004" t="s">
        <v>9</v>
      </c>
      <c r="B1004">
        <v>5</v>
      </c>
      <c r="C1004">
        <v>1</v>
      </c>
      <c r="D1004" t="s">
        <v>111</v>
      </c>
      <c r="E1004">
        <v>1</v>
      </c>
      <c r="F1004" t="str">
        <f t="shared" si="15"/>
        <v>Carbohydrate metabolism</v>
      </c>
    </row>
    <row r="1005" spans="1:6" x14ac:dyDescent="0.45">
      <c r="A1005" t="s">
        <v>86</v>
      </c>
      <c r="B1005">
        <v>5</v>
      </c>
      <c r="C1005">
        <v>1</v>
      </c>
      <c r="D1005" t="s">
        <v>111</v>
      </c>
      <c r="E1005">
        <v>1</v>
      </c>
      <c r="F1005" t="str">
        <f t="shared" si="15"/>
        <v>Lipid metabolism</v>
      </c>
    </row>
    <row r="1006" spans="1:6" x14ac:dyDescent="0.45">
      <c r="A1006" t="s">
        <v>58</v>
      </c>
      <c r="B1006">
        <v>5</v>
      </c>
      <c r="C1006">
        <v>1</v>
      </c>
      <c r="D1006" t="s">
        <v>111</v>
      </c>
      <c r="E1006">
        <v>1</v>
      </c>
      <c r="F1006" t="str">
        <f t="shared" si="15"/>
        <v>Amino acid metabolism</v>
      </c>
    </row>
    <row r="1007" spans="1:6" x14ac:dyDescent="0.45">
      <c r="A1007" t="s">
        <v>99</v>
      </c>
      <c r="B1007">
        <v>5</v>
      </c>
      <c r="C1007">
        <v>1</v>
      </c>
      <c r="D1007" t="s">
        <v>111</v>
      </c>
      <c r="E1007">
        <v>1</v>
      </c>
      <c r="F1007" t="str">
        <f t="shared" si="15"/>
        <v>Amino acid metabolism</v>
      </c>
    </row>
    <row r="1008" spans="1:6" x14ac:dyDescent="0.45">
      <c r="A1008" t="s">
        <v>100</v>
      </c>
      <c r="B1008">
        <v>5</v>
      </c>
      <c r="C1008">
        <v>1</v>
      </c>
      <c r="D1008" t="s">
        <v>111</v>
      </c>
      <c r="E1008">
        <v>1</v>
      </c>
      <c r="F1008" t="str">
        <f t="shared" si="15"/>
        <v>Amino acid metabolism</v>
      </c>
    </row>
    <row r="1009" spans="1:6" x14ac:dyDescent="0.45">
      <c r="A1009" t="s">
        <v>17</v>
      </c>
      <c r="B1009">
        <v>5</v>
      </c>
      <c r="C1009">
        <v>1</v>
      </c>
      <c r="D1009" t="s">
        <v>111</v>
      </c>
      <c r="E1009">
        <v>1</v>
      </c>
      <c r="F1009" t="str">
        <f t="shared" si="15"/>
        <v>Amino acid metabolism</v>
      </c>
    </row>
    <row r="1010" spans="1:6" x14ac:dyDescent="0.45">
      <c r="A1010" t="s">
        <v>53</v>
      </c>
      <c r="B1010">
        <v>5</v>
      </c>
      <c r="C1010">
        <v>1</v>
      </c>
      <c r="D1010" t="s">
        <v>111</v>
      </c>
      <c r="E1010">
        <v>2</v>
      </c>
      <c r="F1010" t="str">
        <f t="shared" si="15"/>
        <v>Amino acid metabolism</v>
      </c>
    </row>
    <row r="1011" spans="1:6" x14ac:dyDescent="0.45">
      <c r="A1011" t="s">
        <v>68</v>
      </c>
      <c r="B1011">
        <v>5</v>
      </c>
      <c r="C1011">
        <v>1</v>
      </c>
      <c r="D1011" t="s">
        <v>111</v>
      </c>
      <c r="E1011">
        <v>1</v>
      </c>
      <c r="F1011" t="str">
        <f t="shared" si="15"/>
        <v>Amino acid metabolism</v>
      </c>
    </row>
    <row r="1012" spans="1:6" x14ac:dyDescent="0.45">
      <c r="A1012" t="s">
        <v>45</v>
      </c>
      <c r="B1012">
        <v>5</v>
      </c>
      <c r="C1012">
        <v>1</v>
      </c>
      <c r="D1012" t="s">
        <v>111</v>
      </c>
      <c r="E1012">
        <v>2</v>
      </c>
      <c r="F1012" t="str">
        <f t="shared" si="15"/>
        <v>Amino acid metabolism</v>
      </c>
    </row>
    <row r="1013" spans="1:6" x14ac:dyDescent="0.45">
      <c r="A1013" t="s">
        <v>8</v>
      </c>
      <c r="B1013">
        <v>5</v>
      </c>
      <c r="C1013">
        <v>1</v>
      </c>
      <c r="D1013" t="s">
        <v>111</v>
      </c>
      <c r="E1013">
        <v>1</v>
      </c>
      <c r="F1013" t="str">
        <f t="shared" si="15"/>
        <v>Glycan biosynthesis and metabolism</v>
      </c>
    </row>
    <row r="1014" spans="1:6" x14ac:dyDescent="0.45">
      <c r="A1014" t="s">
        <v>78</v>
      </c>
      <c r="B1014">
        <v>5</v>
      </c>
      <c r="C1014">
        <v>1</v>
      </c>
      <c r="D1014" t="s">
        <v>111</v>
      </c>
      <c r="E1014">
        <v>1</v>
      </c>
      <c r="F1014" t="str">
        <f t="shared" si="15"/>
        <v>Lipid metabolism</v>
      </c>
    </row>
    <row r="1015" spans="1:6" x14ac:dyDescent="0.45">
      <c r="A1015" t="s">
        <v>47</v>
      </c>
      <c r="B1015">
        <v>5</v>
      </c>
      <c r="C1015">
        <v>1</v>
      </c>
      <c r="D1015" t="s">
        <v>111</v>
      </c>
      <c r="E1015">
        <v>2</v>
      </c>
      <c r="F1015" t="str">
        <f t="shared" si="15"/>
        <v>Carbohydrate metabolism</v>
      </c>
    </row>
    <row r="1016" spans="1:6" x14ac:dyDescent="0.45">
      <c r="A1016" t="s">
        <v>83</v>
      </c>
      <c r="B1016">
        <v>5</v>
      </c>
      <c r="C1016">
        <v>1</v>
      </c>
      <c r="D1016" t="s">
        <v>111</v>
      </c>
      <c r="E1016">
        <v>1</v>
      </c>
      <c r="F1016" t="str">
        <f t="shared" si="15"/>
        <v>Carbohydrate metabolism</v>
      </c>
    </row>
    <row r="1017" spans="1:6" x14ac:dyDescent="0.45">
      <c r="A1017" t="s">
        <v>112</v>
      </c>
      <c r="B1017">
        <v>5</v>
      </c>
      <c r="C1017">
        <v>1</v>
      </c>
      <c r="D1017" t="s">
        <v>111</v>
      </c>
      <c r="E1017">
        <v>1</v>
      </c>
      <c r="F1017" t="str">
        <f t="shared" si="15"/>
        <v>Metabolism of cofactors and vitamins</v>
      </c>
    </row>
    <row r="1018" spans="1:6" x14ac:dyDescent="0.45">
      <c r="A1018" t="s">
        <v>89</v>
      </c>
      <c r="B1018">
        <v>5</v>
      </c>
      <c r="C1018">
        <v>1</v>
      </c>
      <c r="D1018" t="s">
        <v>111</v>
      </c>
      <c r="E1018">
        <v>1</v>
      </c>
      <c r="F1018" t="str">
        <f t="shared" si="15"/>
        <v>Metabolism of cofactors and vitamins</v>
      </c>
    </row>
    <row r="1019" spans="1:6" x14ac:dyDescent="0.45">
      <c r="A1019" t="s">
        <v>60</v>
      </c>
      <c r="B1019">
        <v>5</v>
      </c>
      <c r="C1019">
        <v>1</v>
      </c>
      <c r="D1019" t="s">
        <v>111</v>
      </c>
      <c r="E1019">
        <v>1</v>
      </c>
      <c r="F1019" t="str">
        <f t="shared" si="15"/>
        <v>Metabolism of cofactors and vitamins</v>
      </c>
    </row>
    <row r="1020" spans="1:6" x14ac:dyDescent="0.45">
      <c r="A1020" t="s">
        <v>64</v>
      </c>
      <c r="B1020">
        <v>5</v>
      </c>
      <c r="C1020">
        <v>1</v>
      </c>
      <c r="D1020" t="s">
        <v>111</v>
      </c>
      <c r="E1020">
        <v>1</v>
      </c>
      <c r="F1020" t="str">
        <f t="shared" si="15"/>
        <v>Metabolism of cofactors and vitamins</v>
      </c>
    </row>
    <row r="1021" spans="1:6" x14ac:dyDescent="0.45">
      <c r="A1021" t="s">
        <v>79</v>
      </c>
      <c r="B1021">
        <v>5</v>
      </c>
      <c r="C1021">
        <v>1</v>
      </c>
      <c r="D1021" t="s">
        <v>111</v>
      </c>
      <c r="E1021">
        <v>1</v>
      </c>
      <c r="F1021" t="str">
        <f t="shared" si="15"/>
        <v>Terpenoid metabolism</v>
      </c>
    </row>
    <row r="1022" spans="1:6" x14ac:dyDescent="0.45">
      <c r="A1022" t="s">
        <v>73</v>
      </c>
      <c r="B1022">
        <v>5</v>
      </c>
      <c r="C1022">
        <v>1</v>
      </c>
      <c r="D1022" t="s">
        <v>111</v>
      </c>
      <c r="E1022">
        <v>1</v>
      </c>
      <c r="F1022" t="str">
        <f t="shared" si="15"/>
        <v>Energy metabolism</v>
      </c>
    </row>
    <row r="1023" spans="1:6" x14ac:dyDescent="0.45">
      <c r="A1023" t="s">
        <v>74</v>
      </c>
      <c r="B1023">
        <v>5</v>
      </c>
      <c r="C1023">
        <v>1</v>
      </c>
      <c r="D1023" t="s">
        <v>111</v>
      </c>
      <c r="E1023">
        <v>1</v>
      </c>
      <c r="F1023" t="str">
        <f t="shared" si="15"/>
        <v>Phenylpropanoid metabolism</v>
      </c>
    </row>
    <row r="1024" spans="1:6" x14ac:dyDescent="0.45">
      <c r="A1024" t="s">
        <v>75</v>
      </c>
      <c r="B1024">
        <v>5</v>
      </c>
      <c r="C1024">
        <v>1</v>
      </c>
      <c r="D1024" t="s">
        <v>111</v>
      </c>
      <c r="E1024">
        <v>1</v>
      </c>
      <c r="F1024" t="str">
        <f t="shared" si="15"/>
        <v>Phenylpropanoid metabolism</v>
      </c>
    </row>
    <row r="1025" spans="1:6" x14ac:dyDescent="0.45">
      <c r="A1025" t="s">
        <v>80</v>
      </c>
      <c r="B1025">
        <v>5</v>
      </c>
      <c r="C1025">
        <v>1</v>
      </c>
      <c r="D1025" t="s">
        <v>111</v>
      </c>
      <c r="E1025">
        <v>1</v>
      </c>
      <c r="F1025" t="str">
        <f t="shared" si="15"/>
        <v>Signal transduction</v>
      </c>
    </row>
    <row r="1026" spans="1:6" x14ac:dyDescent="0.45">
      <c r="A1026" t="s">
        <v>118</v>
      </c>
      <c r="B1026">
        <v>5</v>
      </c>
      <c r="C1026">
        <v>1</v>
      </c>
      <c r="D1026" t="s">
        <v>111</v>
      </c>
      <c r="E1026">
        <v>1</v>
      </c>
      <c r="F1026">
        <f t="shared" si="15"/>
        <v>0</v>
      </c>
    </row>
    <row r="1027" spans="1:6" x14ac:dyDescent="0.45">
      <c r="A1027" t="s">
        <v>104</v>
      </c>
      <c r="B1027">
        <v>5</v>
      </c>
      <c r="C1027">
        <v>1</v>
      </c>
      <c r="D1027" t="s">
        <v>111</v>
      </c>
      <c r="E1027">
        <v>1</v>
      </c>
      <c r="F1027" t="str">
        <f t="shared" si="15"/>
        <v>Abscisic Acid</v>
      </c>
    </row>
    <row r="1028" spans="1:6" x14ac:dyDescent="0.45">
      <c r="A1028" t="s">
        <v>96</v>
      </c>
      <c r="B1028">
        <v>5</v>
      </c>
      <c r="C1028">
        <v>1</v>
      </c>
      <c r="D1028" t="s">
        <v>111</v>
      </c>
      <c r="E1028">
        <v>1</v>
      </c>
      <c r="F1028" t="str">
        <f t="shared" ref="F1028:F1091" si="16">_xlfn.XLOOKUP(A1028,$H$2:$H$200,$I$2:$I$200)</f>
        <v>JA biosynthesis</v>
      </c>
    </row>
    <row r="1029" spans="1:6" x14ac:dyDescent="0.45">
      <c r="A1029" t="s">
        <v>36</v>
      </c>
      <c r="B1029">
        <v>5</v>
      </c>
      <c r="C1029">
        <v>1</v>
      </c>
      <c r="D1029" t="s">
        <v>111</v>
      </c>
      <c r="E1029">
        <v>1</v>
      </c>
      <c r="F1029" t="str">
        <f t="shared" si="16"/>
        <v>Phenylpropanoid metabolism</v>
      </c>
    </row>
    <row r="1030" spans="1:6" x14ac:dyDescent="0.45">
      <c r="A1030" t="s">
        <v>49</v>
      </c>
      <c r="B1030">
        <v>5</v>
      </c>
      <c r="C1030">
        <v>1</v>
      </c>
      <c r="D1030" t="s">
        <v>111</v>
      </c>
      <c r="E1030">
        <v>1</v>
      </c>
      <c r="F1030" t="str">
        <f t="shared" si="16"/>
        <v>Phenylpropanoid metabolism</v>
      </c>
    </row>
    <row r="1031" spans="1:6" x14ac:dyDescent="0.45">
      <c r="A1031" t="s">
        <v>65</v>
      </c>
      <c r="B1031">
        <v>5</v>
      </c>
      <c r="C1031">
        <v>1</v>
      </c>
      <c r="D1031" t="s">
        <v>111</v>
      </c>
      <c r="E1031">
        <v>1</v>
      </c>
      <c r="F1031" t="str">
        <f t="shared" si="16"/>
        <v>Secondary metabolism</v>
      </c>
    </row>
    <row r="1032" spans="1:6" x14ac:dyDescent="0.45">
      <c r="A1032" t="s">
        <v>33</v>
      </c>
      <c r="B1032">
        <v>5</v>
      </c>
      <c r="C1032">
        <v>-1</v>
      </c>
      <c r="D1032" t="s">
        <v>111</v>
      </c>
      <c r="E1032">
        <v>1</v>
      </c>
      <c r="F1032" t="str">
        <f t="shared" si="16"/>
        <v>Amino acid metabolism</v>
      </c>
    </row>
    <row r="1033" spans="1:6" x14ac:dyDescent="0.45">
      <c r="A1033" t="s">
        <v>31</v>
      </c>
      <c r="B1033">
        <v>5</v>
      </c>
      <c r="C1033">
        <v>-1</v>
      </c>
      <c r="D1033" t="s">
        <v>111</v>
      </c>
      <c r="E1033">
        <v>1</v>
      </c>
      <c r="F1033" t="str">
        <f t="shared" si="16"/>
        <v>Glucosinolate biosynthesis</v>
      </c>
    </row>
    <row r="1034" spans="1:6" x14ac:dyDescent="0.45">
      <c r="A1034" t="s">
        <v>34</v>
      </c>
      <c r="B1034">
        <v>5</v>
      </c>
      <c r="C1034">
        <v>-1</v>
      </c>
      <c r="D1034" t="s">
        <v>111</v>
      </c>
      <c r="E1034">
        <v>1</v>
      </c>
      <c r="F1034" t="str">
        <f t="shared" si="16"/>
        <v>Amino acid metabolism</v>
      </c>
    </row>
    <row r="1035" spans="1:6" x14ac:dyDescent="0.45">
      <c r="A1035" t="s">
        <v>54</v>
      </c>
      <c r="B1035">
        <v>5</v>
      </c>
      <c r="C1035">
        <v>-1</v>
      </c>
      <c r="D1035" t="s">
        <v>111</v>
      </c>
      <c r="E1035">
        <v>1</v>
      </c>
      <c r="F1035" t="str">
        <f t="shared" si="16"/>
        <v>Amino acid metabolism</v>
      </c>
    </row>
    <row r="1036" spans="1:6" x14ac:dyDescent="0.45">
      <c r="A1036" t="s">
        <v>17</v>
      </c>
      <c r="B1036">
        <v>5</v>
      </c>
      <c r="C1036">
        <v>-1</v>
      </c>
      <c r="D1036" t="s">
        <v>111</v>
      </c>
      <c r="E1036">
        <v>1</v>
      </c>
      <c r="F1036" t="str">
        <f t="shared" si="16"/>
        <v>Amino acid metabolism</v>
      </c>
    </row>
    <row r="1037" spans="1:6" x14ac:dyDescent="0.45">
      <c r="A1037" t="s">
        <v>82</v>
      </c>
      <c r="B1037">
        <v>5</v>
      </c>
      <c r="C1037">
        <v>-1</v>
      </c>
      <c r="D1037" t="s">
        <v>111</v>
      </c>
      <c r="E1037">
        <v>1</v>
      </c>
      <c r="F1037" t="str">
        <f t="shared" si="16"/>
        <v>Amino acid metabolism</v>
      </c>
    </row>
    <row r="1038" spans="1:6" x14ac:dyDescent="0.45">
      <c r="A1038" t="s">
        <v>44</v>
      </c>
      <c r="B1038">
        <v>5</v>
      </c>
      <c r="C1038">
        <v>-1</v>
      </c>
      <c r="D1038" t="s">
        <v>111</v>
      </c>
      <c r="E1038">
        <v>1</v>
      </c>
      <c r="F1038" t="str">
        <f t="shared" si="16"/>
        <v>Amino acid metabolism</v>
      </c>
    </row>
    <row r="1039" spans="1:6" x14ac:dyDescent="0.45">
      <c r="A1039" t="s">
        <v>14</v>
      </c>
      <c r="B1039">
        <v>5</v>
      </c>
      <c r="C1039">
        <v>-1</v>
      </c>
      <c r="D1039" t="s">
        <v>111</v>
      </c>
      <c r="E1039">
        <v>1</v>
      </c>
      <c r="F1039" t="str">
        <f t="shared" si="16"/>
        <v>Alkaloid metabolism</v>
      </c>
    </row>
    <row r="1040" spans="1:6" x14ac:dyDescent="0.45">
      <c r="A1040" t="s">
        <v>38</v>
      </c>
      <c r="B1040">
        <v>5</v>
      </c>
      <c r="C1040">
        <v>-1</v>
      </c>
      <c r="D1040" t="s">
        <v>111</v>
      </c>
      <c r="E1040">
        <v>1</v>
      </c>
      <c r="F1040" t="str">
        <f t="shared" si="16"/>
        <v>Degradation of aromatic compounds</v>
      </c>
    </row>
    <row r="1041" spans="1:6" x14ac:dyDescent="0.45">
      <c r="A1041" t="s">
        <v>35</v>
      </c>
      <c r="B1041">
        <v>5</v>
      </c>
      <c r="C1041">
        <v>-1</v>
      </c>
      <c r="D1041" t="s">
        <v>111</v>
      </c>
      <c r="E1041">
        <v>1</v>
      </c>
      <c r="F1041" t="str">
        <f t="shared" si="16"/>
        <v>Membrane transport</v>
      </c>
    </row>
    <row r="1042" spans="1:6" x14ac:dyDescent="0.45">
      <c r="A1042" t="s">
        <v>109</v>
      </c>
      <c r="B1042">
        <v>5</v>
      </c>
      <c r="C1042">
        <v>-1</v>
      </c>
      <c r="D1042" t="s">
        <v>111</v>
      </c>
      <c r="E1042">
        <v>1</v>
      </c>
      <c r="F1042">
        <f t="shared" si="16"/>
        <v>0</v>
      </c>
    </row>
    <row r="1043" spans="1:6" x14ac:dyDescent="0.45">
      <c r="A1043" t="s">
        <v>116</v>
      </c>
      <c r="B1043">
        <v>5</v>
      </c>
      <c r="C1043">
        <v>-1</v>
      </c>
      <c r="D1043" t="s">
        <v>111</v>
      </c>
      <c r="E1043">
        <v>1</v>
      </c>
      <c r="F1043" t="str">
        <f t="shared" si="16"/>
        <v>Energy metabolism</v>
      </c>
    </row>
    <row r="1044" spans="1:6" x14ac:dyDescent="0.45">
      <c r="A1044" t="s">
        <v>58</v>
      </c>
      <c r="B1044">
        <v>5</v>
      </c>
      <c r="C1044">
        <v>-1</v>
      </c>
      <c r="D1044" t="s">
        <v>111</v>
      </c>
      <c r="E1044">
        <v>1</v>
      </c>
      <c r="F1044" t="str">
        <f t="shared" si="16"/>
        <v>Amino acid metabolism</v>
      </c>
    </row>
    <row r="1045" spans="1:6" x14ac:dyDescent="0.45">
      <c r="A1045" t="s">
        <v>99</v>
      </c>
      <c r="B1045">
        <v>5</v>
      </c>
      <c r="C1045">
        <v>-1</v>
      </c>
      <c r="D1045" t="s">
        <v>111</v>
      </c>
      <c r="E1045">
        <v>1</v>
      </c>
      <c r="F1045" t="str">
        <f t="shared" si="16"/>
        <v>Amino acid metabolism</v>
      </c>
    </row>
    <row r="1046" spans="1:6" x14ac:dyDescent="0.45">
      <c r="A1046" t="s">
        <v>100</v>
      </c>
      <c r="B1046">
        <v>5</v>
      </c>
      <c r="C1046">
        <v>-1</v>
      </c>
      <c r="D1046" t="s">
        <v>111</v>
      </c>
      <c r="E1046">
        <v>1</v>
      </c>
      <c r="F1046" t="str">
        <f t="shared" si="16"/>
        <v>Amino acid metabolism</v>
      </c>
    </row>
    <row r="1047" spans="1:6" x14ac:dyDescent="0.45">
      <c r="A1047" t="s">
        <v>63</v>
      </c>
      <c r="B1047">
        <v>5</v>
      </c>
      <c r="C1047">
        <v>-1</v>
      </c>
      <c r="D1047" t="s">
        <v>111</v>
      </c>
      <c r="E1047">
        <v>1</v>
      </c>
      <c r="F1047" t="str">
        <f t="shared" si="16"/>
        <v>Amino acid metabolism</v>
      </c>
    </row>
    <row r="1048" spans="1:6" x14ac:dyDescent="0.45">
      <c r="A1048" t="s">
        <v>19</v>
      </c>
      <c r="B1048">
        <v>5</v>
      </c>
      <c r="C1048">
        <v>-1</v>
      </c>
      <c r="D1048" t="s">
        <v>111</v>
      </c>
      <c r="E1048">
        <v>1</v>
      </c>
      <c r="F1048" t="str">
        <f t="shared" si="16"/>
        <v>Amino acid metabolism</v>
      </c>
    </row>
    <row r="1049" spans="1:6" x14ac:dyDescent="0.45">
      <c r="A1049" t="s">
        <v>69</v>
      </c>
      <c r="B1049">
        <v>5</v>
      </c>
      <c r="C1049">
        <v>-1</v>
      </c>
      <c r="D1049" t="s">
        <v>111</v>
      </c>
      <c r="E1049">
        <v>1</v>
      </c>
      <c r="F1049" t="str">
        <f t="shared" si="16"/>
        <v>Amino acid metabolism</v>
      </c>
    </row>
    <row r="1050" spans="1:6" x14ac:dyDescent="0.45">
      <c r="A1050" t="s">
        <v>77</v>
      </c>
      <c r="B1050">
        <v>5</v>
      </c>
      <c r="C1050">
        <v>-1</v>
      </c>
      <c r="D1050" t="s">
        <v>111</v>
      </c>
      <c r="E1050">
        <v>1</v>
      </c>
      <c r="F1050" t="str">
        <f t="shared" si="16"/>
        <v>Amino acid metabolism</v>
      </c>
    </row>
    <row r="1051" spans="1:6" x14ac:dyDescent="0.45">
      <c r="A1051" t="s">
        <v>88</v>
      </c>
      <c r="B1051">
        <v>5</v>
      </c>
      <c r="C1051">
        <v>-1</v>
      </c>
      <c r="D1051" t="s">
        <v>111</v>
      </c>
      <c r="E1051">
        <v>1</v>
      </c>
      <c r="F1051" t="str">
        <f t="shared" si="16"/>
        <v>Lipid metabolism</v>
      </c>
    </row>
    <row r="1052" spans="1:6" x14ac:dyDescent="0.45">
      <c r="A1052" t="s">
        <v>78</v>
      </c>
      <c r="B1052">
        <v>5</v>
      </c>
      <c r="C1052">
        <v>-1</v>
      </c>
      <c r="D1052" t="s">
        <v>111</v>
      </c>
      <c r="E1052">
        <v>1</v>
      </c>
      <c r="F1052" t="str">
        <f t="shared" si="16"/>
        <v>Lipid metabolism</v>
      </c>
    </row>
    <row r="1053" spans="1:6" x14ac:dyDescent="0.45">
      <c r="A1053" t="s">
        <v>60</v>
      </c>
      <c r="B1053">
        <v>5</v>
      </c>
      <c r="C1053">
        <v>-1</v>
      </c>
      <c r="D1053" t="s">
        <v>111</v>
      </c>
      <c r="E1053">
        <v>1</v>
      </c>
      <c r="F1053" t="str">
        <f t="shared" si="16"/>
        <v>Metabolism of cofactors and vitamins</v>
      </c>
    </row>
    <row r="1054" spans="1:6" x14ac:dyDescent="0.45">
      <c r="A1054" t="s">
        <v>71</v>
      </c>
      <c r="B1054">
        <v>5</v>
      </c>
      <c r="C1054">
        <v>-1</v>
      </c>
      <c r="D1054" t="s">
        <v>111</v>
      </c>
      <c r="E1054">
        <v>1</v>
      </c>
      <c r="F1054" t="str">
        <f t="shared" si="16"/>
        <v>Metabolism of terpenoids and polyketides</v>
      </c>
    </row>
    <row r="1055" spans="1:6" x14ac:dyDescent="0.45">
      <c r="A1055" t="s">
        <v>55</v>
      </c>
      <c r="B1055">
        <v>5</v>
      </c>
      <c r="C1055">
        <v>-1</v>
      </c>
      <c r="D1055" t="s">
        <v>111</v>
      </c>
      <c r="E1055">
        <v>1</v>
      </c>
      <c r="F1055" t="str">
        <f t="shared" si="16"/>
        <v>Alkaloid metabolism</v>
      </c>
    </row>
    <row r="1056" spans="1:6" x14ac:dyDescent="0.45">
      <c r="A1056" t="s">
        <v>52</v>
      </c>
      <c r="B1056">
        <v>5</v>
      </c>
      <c r="C1056">
        <v>-1</v>
      </c>
      <c r="D1056" t="s">
        <v>111</v>
      </c>
      <c r="E1056">
        <v>1</v>
      </c>
      <c r="F1056" t="str">
        <f t="shared" si="16"/>
        <v>Alkaloid metabolism</v>
      </c>
    </row>
    <row r="1057" spans="1:6" x14ac:dyDescent="0.45">
      <c r="A1057" t="s">
        <v>65</v>
      </c>
      <c r="B1057">
        <v>5</v>
      </c>
      <c r="C1057">
        <v>-1</v>
      </c>
      <c r="D1057" t="s">
        <v>111</v>
      </c>
      <c r="E1057">
        <v>1</v>
      </c>
      <c r="F1057" t="str">
        <f t="shared" si="16"/>
        <v>Secondary metabolism</v>
      </c>
    </row>
    <row r="1058" spans="1:6" x14ac:dyDescent="0.45">
      <c r="A1058" t="s">
        <v>38</v>
      </c>
      <c r="B1058">
        <v>6</v>
      </c>
      <c r="C1058">
        <v>1</v>
      </c>
      <c r="D1058" t="s">
        <v>111</v>
      </c>
      <c r="E1058">
        <v>6</v>
      </c>
      <c r="F1058" t="str">
        <f t="shared" si="16"/>
        <v>Degradation of aromatic compounds</v>
      </c>
    </row>
    <row r="1059" spans="1:6" x14ac:dyDescent="0.45">
      <c r="A1059" t="s">
        <v>7</v>
      </c>
      <c r="B1059">
        <v>6</v>
      </c>
      <c r="C1059">
        <v>1</v>
      </c>
      <c r="D1059" t="s">
        <v>111</v>
      </c>
      <c r="E1059">
        <v>5</v>
      </c>
      <c r="F1059" t="str">
        <f t="shared" si="16"/>
        <v>Nucleotide metabolism</v>
      </c>
    </row>
    <row r="1060" spans="1:6" x14ac:dyDescent="0.45">
      <c r="A1060" t="s">
        <v>10</v>
      </c>
      <c r="B1060">
        <v>6</v>
      </c>
      <c r="C1060">
        <v>1</v>
      </c>
      <c r="D1060" t="s">
        <v>111</v>
      </c>
      <c r="E1060">
        <v>4</v>
      </c>
      <c r="F1060" t="str">
        <f t="shared" si="16"/>
        <v>Nucleotide metabolism</v>
      </c>
    </row>
    <row r="1061" spans="1:6" x14ac:dyDescent="0.45">
      <c r="A1061" t="s">
        <v>13</v>
      </c>
      <c r="B1061">
        <v>6</v>
      </c>
      <c r="C1061">
        <v>1</v>
      </c>
      <c r="D1061" t="s">
        <v>111</v>
      </c>
      <c r="E1061">
        <v>5</v>
      </c>
      <c r="F1061" t="str">
        <f t="shared" si="16"/>
        <v>Terpenoid metabolism</v>
      </c>
    </row>
    <row r="1062" spans="1:6" x14ac:dyDescent="0.45">
      <c r="A1062" t="s">
        <v>54</v>
      </c>
      <c r="B1062">
        <v>6</v>
      </c>
      <c r="C1062">
        <v>1</v>
      </c>
      <c r="D1062" t="s">
        <v>111</v>
      </c>
      <c r="E1062">
        <v>2</v>
      </c>
      <c r="F1062" t="str">
        <f t="shared" si="16"/>
        <v>Amino acid metabolism</v>
      </c>
    </row>
    <row r="1063" spans="1:6" x14ac:dyDescent="0.45">
      <c r="A1063" t="s">
        <v>63</v>
      </c>
      <c r="B1063">
        <v>6</v>
      </c>
      <c r="C1063">
        <v>1</v>
      </c>
      <c r="D1063" t="s">
        <v>111</v>
      </c>
      <c r="E1063">
        <v>3</v>
      </c>
      <c r="F1063" t="str">
        <f t="shared" si="16"/>
        <v>Amino acid metabolism</v>
      </c>
    </row>
    <row r="1064" spans="1:6" x14ac:dyDescent="0.45">
      <c r="A1064" t="s">
        <v>18</v>
      </c>
      <c r="B1064">
        <v>6</v>
      </c>
      <c r="C1064">
        <v>1</v>
      </c>
      <c r="D1064" t="s">
        <v>111</v>
      </c>
      <c r="E1064">
        <v>2</v>
      </c>
      <c r="F1064" t="str">
        <f t="shared" si="16"/>
        <v>Amino acid metabolism</v>
      </c>
    </row>
    <row r="1065" spans="1:6" x14ac:dyDescent="0.45">
      <c r="A1065" t="s">
        <v>19</v>
      </c>
      <c r="B1065">
        <v>6</v>
      </c>
      <c r="C1065">
        <v>1</v>
      </c>
      <c r="D1065" t="s">
        <v>111</v>
      </c>
      <c r="E1065">
        <v>2</v>
      </c>
      <c r="F1065" t="str">
        <f t="shared" si="16"/>
        <v>Amino acid metabolism</v>
      </c>
    </row>
    <row r="1066" spans="1:6" x14ac:dyDescent="0.45">
      <c r="A1066" t="s">
        <v>112</v>
      </c>
      <c r="B1066">
        <v>6</v>
      </c>
      <c r="C1066">
        <v>1</v>
      </c>
      <c r="D1066" t="s">
        <v>111</v>
      </c>
      <c r="E1066">
        <v>3</v>
      </c>
      <c r="F1066" t="str">
        <f t="shared" si="16"/>
        <v>Metabolism of cofactors and vitamins</v>
      </c>
    </row>
    <row r="1067" spans="1:6" x14ac:dyDescent="0.45">
      <c r="A1067" t="s">
        <v>25</v>
      </c>
      <c r="B1067">
        <v>6</v>
      </c>
      <c r="C1067">
        <v>1</v>
      </c>
      <c r="D1067" t="s">
        <v>111</v>
      </c>
      <c r="E1067">
        <v>3</v>
      </c>
      <c r="F1067" t="str">
        <f t="shared" si="16"/>
        <v>Metabolism of cofactors and vitamins</v>
      </c>
    </row>
    <row r="1068" spans="1:6" x14ac:dyDescent="0.45">
      <c r="A1068" t="s">
        <v>30</v>
      </c>
      <c r="B1068">
        <v>6</v>
      </c>
      <c r="C1068">
        <v>1</v>
      </c>
      <c r="D1068" t="s">
        <v>111</v>
      </c>
      <c r="E1068">
        <v>2</v>
      </c>
      <c r="F1068" t="str">
        <f t="shared" si="16"/>
        <v>Phenylpropanoid biosynthesis</v>
      </c>
    </row>
    <row r="1069" spans="1:6" x14ac:dyDescent="0.45">
      <c r="A1069" t="s">
        <v>75</v>
      </c>
      <c r="B1069">
        <v>6</v>
      </c>
      <c r="C1069">
        <v>1</v>
      </c>
      <c r="D1069" t="s">
        <v>111</v>
      </c>
      <c r="E1069">
        <v>2</v>
      </c>
      <c r="F1069" t="str">
        <f t="shared" si="16"/>
        <v>Phenylpropanoid metabolism</v>
      </c>
    </row>
    <row r="1070" spans="1:6" x14ac:dyDescent="0.45">
      <c r="A1070" t="s">
        <v>55</v>
      </c>
      <c r="B1070">
        <v>6</v>
      </c>
      <c r="C1070">
        <v>1</v>
      </c>
      <c r="D1070" t="s">
        <v>111</v>
      </c>
      <c r="E1070">
        <v>2</v>
      </c>
      <c r="F1070" t="str">
        <f t="shared" si="16"/>
        <v>Alkaloid metabolism</v>
      </c>
    </row>
    <row r="1071" spans="1:6" x14ac:dyDescent="0.45">
      <c r="A1071" t="s">
        <v>32</v>
      </c>
      <c r="B1071">
        <v>6</v>
      </c>
      <c r="C1071">
        <v>1</v>
      </c>
      <c r="D1071" t="s">
        <v>111</v>
      </c>
      <c r="E1071">
        <v>3</v>
      </c>
      <c r="F1071" t="str">
        <f t="shared" si="16"/>
        <v xml:space="preserve">Carbon metabolism </v>
      </c>
    </row>
    <row r="1072" spans="1:6" x14ac:dyDescent="0.45">
      <c r="A1072" t="s">
        <v>33</v>
      </c>
      <c r="B1072">
        <v>6</v>
      </c>
      <c r="C1072">
        <v>1</v>
      </c>
      <c r="D1072" t="s">
        <v>111</v>
      </c>
      <c r="E1072">
        <v>2</v>
      </c>
      <c r="F1072" t="str">
        <f t="shared" si="16"/>
        <v>Amino acid metabolism</v>
      </c>
    </row>
    <row r="1073" spans="1:6" x14ac:dyDescent="0.45">
      <c r="A1073" t="s">
        <v>36</v>
      </c>
      <c r="B1073">
        <v>6</v>
      </c>
      <c r="C1073">
        <v>1</v>
      </c>
      <c r="D1073" t="s">
        <v>111</v>
      </c>
      <c r="E1073">
        <v>2</v>
      </c>
      <c r="F1073" t="str">
        <f t="shared" si="16"/>
        <v>Phenylpropanoid metabolism</v>
      </c>
    </row>
    <row r="1074" spans="1:6" x14ac:dyDescent="0.45">
      <c r="A1074" t="s">
        <v>49</v>
      </c>
      <c r="B1074">
        <v>6</v>
      </c>
      <c r="C1074">
        <v>1</v>
      </c>
      <c r="D1074" t="s">
        <v>111</v>
      </c>
      <c r="E1074">
        <v>2</v>
      </c>
      <c r="F1074" t="str">
        <f t="shared" si="16"/>
        <v>Phenylpropanoid metabolism</v>
      </c>
    </row>
    <row r="1075" spans="1:6" x14ac:dyDescent="0.45">
      <c r="A1075" t="s">
        <v>9</v>
      </c>
      <c r="B1075">
        <v>6</v>
      </c>
      <c r="C1075">
        <v>1</v>
      </c>
      <c r="D1075" t="s">
        <v>111</v>
      </c>
      <c r="E1075">
        <v>1</v>
      </c>
      <c r="F1075" t="str">
        <f t="shared" si="16"/>
        <v>Carbohydrate metabolism</v>
      </c>
    </row>
    <row r="1076" spans="1:6" x14ac:dyDescent="0.45">
      <c r="A1076" t="s">
        <v>62</v>
      </c>
      <c r="B1076">
        <v>6</v>
      </c>
      <c r="C1076">
        <v>1</v>
      </c>
      <c r="D1076" t="s">
        <v>111</v>
      </c>
      <c r="E1076">
        <v>1</v>
      </c>
      <c r="F1076" t="str">
        <f t="shared" si="16"/>
        <v>Metabolism of cofactors and vitamins</v>
      </c>
    </row>
    <row r="1077" spans="1:6" x14ac:dyDescent="0.45">
      <c r="A1077" t="s">
        <v>42</v>
      </c>
      <c r="B1077">
        <v>6</v>
      </c>
      <c r="C1077">
        <v>1</v>
      </c>
      <c r="D1077" t="s">
        <v>111</v>
      </c>
      <c r="E1077">
        <v>1</v>
      </c>
      <c r="F1077" t="str">
        <f t="shared" si="16"/>
        <v>Amino acid metabolism</v>
      </c>
    </row>
    <row r="1078" spans="1:6" x14ac:dyDescent="0.45">
      <c r="A1078" t="s">
        <v>58</v>
      </c>
      <c r="B1078">
        <v>6</v>
      </c>
      <c r="C1078">
        <v>1</v>
      </c>
      <c r="D1078" t="s">
        <v>111</v>
      </c>
      <c r="E1078">
        <v>1</v>
      </c>
      <c r="F1078" t="str">
        <f t="shared" si="16"/>
        <v>Amino acid metabolism</v>
      </c>
    </row>
    <row r="1079" spans="1:6" x14ac:dyDescent="0.45">
      <c r="A1079" t="s">
        <v>43</v>
      </c>
      <c r="B1079">
        <v>6</v>
      </c>
      <c r="C1079">
        <v>1</v>
      </c>
      <c r="D1079" t="s">
        <v>111</v>
      </c>
      <c r="E1079">
        <v>1</v>
      </c>
      <c r="F1079" t="str">
        <f t="shared" si="16"/>
        <v>Amino acid metabolism</v>
      </c>
    </row>
    <row r="1080" spans="1:6" x14ac:dyDescent="0.45">
      <c r="A1080" t="s">
        <v>17</v>
      </c>
      <c r="B1080">
        <v>6</v>
      </c>
      <c r="C1080">
        <v>1</v>
      </c>
      <c r="D1080" t="s">
        <v>111</v>
      </c>
      <c r="E1080">
        <v>1</v>
      </c>
      <c r="F1080" t="str">
        <f t="shared" si="16"/>
        <v>Amino acid metabolism</v>
      </c>
    </row>
    <row r="1081" spans="1:6" x14ac:dyDescent="0.45">
      <c r="A1081" t="s">
        <v>53</v>
      </c>
      <c r="B1081">
        <v>6</v>
      </c>
      <c r="C1081">
        <v>1</v>
      </c>
      <c r="D1081" t="s">
        <v>111</v>
      </c>
      <c r="E1081">
        <v>1</v>
      </c>
      <c r="F1081" t="str">
        <f t="shared" si="16"/>
        <v>Amino acid metabolism</v>
      </c>
    </row>
    <row r="1082" spans="1:6" x14ac:dyDescent="0.45">
      <c r="A1082" t="s">
        <v>77</v>
      </c>
      <c r="B1082">
        <v>6</v>
      </c>
      <c r="C1082">
        <v>1</v>
      </c>
      <c r="D1082" t="s">
        <v>111</v>
      </c>
      <c r="E1082">
        <v>1</v>
      </c>
      <c r="F1082" t="str">
        <f t="shared" si="16"/>
        <v>Amino acid metabolism</v>
      </c>
    </row>
    <row r="1083" spans="1:6" x14ac:dyDescent="0.45">
      <c r="A1083" t="s">
        <v>20</v>
      </c>
      <c r="B1083">
        <v>6</v>
      </c>
      <c r="C1083">
        <v>1</v>
      </c>
      <c r="D1083" t="s">
        <v>111</v>
      </c>
      <c r="E1083">
        <v>1</v>
      </c>
      <c r="F1083" t="str">
        <f t="shared" si="16"/>
        <v>Carbohydrate metabolism</v>
      </c>
    </row>
    <row r="1084" spans="1:6" x14ac:dyDescent="0.45">
      <c r="A1084" t="s">
        <v>60</v>
      </c>
      <c r="B1084">
        <v>6</v>
      </c>
      <c r="C1084">
        <v>1</v>
      </c>
      <c r="D1084" t="s">
        <v>111</v>
      </c>
      <c r="E1084">
        <v>1</v>
      </c>
      <c r="F1084" t="str">
        <f t="shared" si="16"/>
        <v>Metabolism of cofactors and vitamins</v>
      </c>
    </row>
    <row r="1085" spans="1:6" x14ac:dyDescent="0.45">
      <c r="A1085" t="s">
        <v>64</v>
      </c>
      <c r="B1085">
        <v>6</v>
      </c>
      <c r="C1085">
        <v>1</v>
      </c>
      <c r="D1085" t="s">
        <v>111</v>
      </c>
      <c r="E1085">
        <v>1</v>
      </c>
      <c r="F1085" t="str">
        <f t="shared" si="16"/>
        <v>Metabolism of cofactors and vitamins</v>
      </c>
    </row>
    <row r="1086" spans="1:6" x14ac:dyDescent="0.45">
      <c r="A1086" t="s">
        <v>70</v>
      </c>
      <c r="B1086">
        <v>6</v>
      </c>
      <c r="C1086">
        <v>1</v>
      </c>
      <c r="D1086" t="s">
        <v>111</v>
      </c>
      <c r="E1086">
        <v>1</v>
      </c>
      <c r="F1086" t="str">
        <f t="shared" si="16"/>
        <v>Metabolism of terpenoids and polyketides</v>
      </c>
    </row>
    <row r="1087" spans="1:6" x14ac:dyDescent="0.45">
      <c r="A1087" t="s">
        <v>28</v>
      </c>
      <c r="B1087">
        <v>6</v>
      </c>
      <c r="C1087">
        <v>1</v>
      </c>
      <c r="D1087" t="s">
        <v>111</v>
      </c>
      <c r="E1087">
        <v>1</v>
      </c>
      <c r="F1087" t="str">
        <f t="shared" si="16"/>
        <v>Metabolism of terpenoids and polyketides</v>
      </c>
    </row>
    <row r="1088" spans="1:6" x14ac:dyDescent="0.45">
      <c r="A1088" t="s">
        <v>57</v>
      </c>
      <c r="B1088">
        <v>6</v>
      </c>
      <c r="C1088">
        <v>1</v>
      </c>
      <c r="D1088" t="s">
        <v>111</v>
      </c>
      <c r="E1088">
        <v>1</v>
      </c>
      <c r="F1088" t="str">
        <f t="shared" si="16"/>
        <v>Phenylpropanoid metabolism</v>
      </c>
    </row>
    <row r="1089" spans="1:6" x14ac:dyDescent="0.45">
      <c r="A1089" t="s">
        <v>74</v>
      </c>
      <c r="B1089">
        <v>6</v>
      </c>
      <c r="C1089">
        <v>1</v>
      </c>
      <c r="D1089" t="s">
        <v>111</v>
      </c>
      <c r="E1089">
        <v>1</v>
      </c>
      <c r="F1089" t="str">
        <f t="shared" si="16"/>
        <v>Phenylpropanoid metabolism</v>
      </c>
    </row>
    <row r="1090" spans="1:6" x14ac:dyDescent="0.45">
      <c r="A1090" t="s">
        <v>14</v>
      </c>
      <c r="B1090">
        <v>6</v>
      </c>
      <c r="C1090">
        <v>1</v>
      </c>
      <c r="D1090" t="s">
        <v>111</v>
      </c>
      <c r="E1090">
        <v>2</v>
      </c>
      <c r="F1090" t="str">
        <f t="shared" si="16"/>
        <v>Alkaloid metabolism</v>
      </c>
    </row>
    <row r="1091" spans="1:6" x14ac:dyDescent="0.45">
      <c r="A1091" t="s">
        <v>31</v>
      </c>
      <c r="B1091">
        <v>6</v>
      </c>
      <c r="C1091">
        <v>1</v>
      </c>
      <c r="D1091" t="s">
        <v>111</v>
      </c>
      <c r="E1091">
        <v>1</v>
      </c>
      <c r="F1091" t="str">
        <f t="shared" si="16"/>
        <v>Glucosinolate biosynthesis</v>
      </c>
    </row>
    <row r="1092" spans="1:6" x14ac:dyDescent="0.45">
      <c r="A1092" t="s">
        <v>91</v>
      </c>
      <c r="B1092">
        <v>6</v>
      </c>
      <c r="C1092">
        <v>1</v>
      </c>
      <c r="D1092" t="s">
        <v>111</v>
      </c>
      <c r="E1092">
        <v>1</v>
      </c>
      <c r="F1092" t="str">
        <f t="shared" ref="F1092:F1155" si="17">_xlfn.XLOOKUP(A1092,$H$2:$H$200,$I$2:$I$200)</f>
        <v>Genetic Information Processing</v>
      </c>
    </row>
    <row r="1093" spans="1:6" x14ac:dyDescent="0.45">
      <c r="A1093" t="s">
        <v>34</v>
      </c>
      <c r="B1093">
        <v>6</v>
      </c>
      <c r="C1093">
        <v>1</v>
      </c>
      <c r="D1093" t="s">
        <v>111</v>
      </c>
      <c r="E1093">
        <v>1</v>
      </c>
      <c r="F1093" t="str">
        <f t="shared" si="17"/>
        <v>Amino acid metabolism</v>
      </c>
    </row>
    <row r="1094" spans="1:6" x14ac:dyDescent="0.45">
      <c r="A1094" t="s">
        <v>52</v>
      </c>
      <c r="B1094">
        <v>6</v>
      </c>
      <c r="C1094">
        <v>1</v>
      </c>
      <c r="D1094" t="s">
        <v>111</v>
      </c>
      <c r="E1094">
        <v>1</v>
      </c>
      <c r="F1094" t="str">
        <f t="shared" si="17"/>
        <v>Alkaloid metabolism</v>
      </c>
    </row>
    <row r="1095" spans="1:6" x14ac:dyDescent="0.45">
      <c r="A1095" t="s">
        <v>96</v>
      </c>
      <c r="B1095">
        <v>6</v>
      </c>
      <c r="C1095">
        <v>1</v>
      </c>
      <c r="D1095" t="s">
        <v>111</v>
      </c>
      <c r="E1095">
        <v>1</v>
      </c>
      <c r="F1095" t="str">
        <f t="shared" si="17"/>
        <v>JA biosynthesis</v>
      </c>
    </row>
    <row r="1096" spans="1:6" x14ac:dyDescent="0.45">
      <c r="A1096" t="s">
        <v>37</v>
      </c>
      <c r="B1096">
        <v>6</v>
      </c>
      <c r="C1096">
        <v>1</v>
      </c>
      <c r="D1096" t="s">
        <v>111</v>
      </c>
      <c r="E1096">
        <v>1</v>
      </c>
      <c r="F1096" t="str">
        <f t="shared" si="17"/>
        <v>Primary metabolism</v>
      </c>
    </row>
    <row r="1097" spans="1:6" x14ac:dyDescent="0.45">
      <c r="A1097" t="s">
        <v>65</v>
      </c>
      <c r="B1097">
        <v>6</v>
      </c>
      <c r="C1097">
        <v>1</v>
      </c>
      <c r="D1097" t="s">
        <v>111</v>
      </c>
      <c r="E1097">
        <v>1</v>
      </c>
      <c r="F1097" t="str">
        <f t="shared" si="17"/>
        <v>Secondary metabolism</v>
      </c>
    </row>
    <row r="1098" spans="1:6" x14ac:dyDescent="0.45">
      <c r="A1098" t="s">
        <v>50</v>
      </c>
      <c r="B1098">
        <v>6</v>
      </c>
      <c r="C1098">
        <v>1</v>
      </c>
      <c r="D1098" t="s">
        <v>111</v>
      </c>
      <c r="E1098">
        <v>1</v>
      </c>
      <c r="F1098" t="str">
        <f t="shared" si="17"/>
        <v>Lipid metabolism</v>
      </c>
    </row>
    <row r="1099" spans="1:6" x14ac:dyDescent="0.45">
      <c r="A1099" t="s">
        <v>38</v>
      </c>
      <c r="B1099">
        <v>6</v>
      </c>
      <c r="C1099">
        <v>-1</v>
      </c>
      <c r="D1099" t="s">
        <v>111</v>
      </c>
      <c r="E1099">
        <v>8</v>
      </c>
      <c r="F1099" t="str">
        <f t="shared" si="17"/>
        <v>Degradation of aromatic compounds</v>
      </c>
    </row>
    <row r="1100" spans="1:6" x14ac:dyDescent="0.45">
      <c r="A1100" t="s">
        <v>33</v>
      </c>
      <c r="B1100">
        <v>6</v>
      </c>
      <c r="C1100">
        <v>-1</v>
      </c>
      <c r="D1100" t="s">
        <v>111</v>
      </c>
      <c r="E1100">
        <v>10</v>
      </c>
      <c r="F1100" t="str">
        <f t="shared" si="17"/>
        <v>Amino acid metabolism</v>
      </c>
    </row>
    <row r="1101" spans="1:6" x14ac:dyDescent="0.45">
      <c r="A1101" t="s">
        <v>18</v>
      </c>
      <c r="B1101">
        <v>6</v>
      </c>
      <c r="C1101">
        <v>-1</v>
      </c>
      <c r="D1101" t="s">
        <v>111</v>
      </c>
      <c r="E1101">
        <v>5</v>
      </c>
      <c r="F1101" t="str">
        <f t="shared" si="17"/>
        <v>Amino acid metabolism</v>
      </c>
    </row>
    <row r="1102" spans="1:6" x14ac:dyDescent="0.45">
      <c r="A1102" t="s">
        <v>14</v>
      </c>
      <c r="B1102">
        <v>6</v>
      </c>
      <c r="C1102">
        <v>-1</v>
      </c>
      <c r="D1102" t="s">
        <v>111</v>
      </c>
      <c r="E1102">
        <v>6</v>
      </c>
      <c r="F1102" t="str">
        <f t="shared" si="17"/>
        <v>Alkaloid metabolism</v>
      </c>
    </row>
    <row r="1103" spans="1:6" x14ac:dyDescent="0.45">
      <c r="A1103" t="s">
        <v>30</v>
      </c>
      <c r="B1103">
        <v>6</v>
      </c>
      <c r="C1103">
        <v>-1</v>
      </c>
      <c r="D1103" t="s">
        <v>111</v>
      </c>
      <c r="E1103">
        <v>4</v>
      </c>
      <c r="F1103" t="str">
        <f t="shared" si="17"/>
        <v>Phenylpropanoid biosynthesis</v>
      </c>
    </row>
    <row r="1104" spans="1:6" x14ac:dyDescent="0.45">
      <c r="A1104" t="s">
        <v>31</v>
      </c>
      <c r="B1104">
        <v>6</v>
      </c>
      <c r="C1104">
        <v>-1</v>
      </c>
      <c r="D1104" t="s">
        <v>111</v>
      </c>
      <c r="E1104">
        <v>6</v>
      </c>
      <c r="F1104" t="str">
        <f t="shared" si="17"/>
        <v>Glucosinolate biosynthesis</v>
      </c>
    </row>
    <row r="1105" spans="1:6" x14ac:dyDescent="0.45">
      <c r="A1105" t="s">
        <v>17</v>
      </c>
      <c r="B1105">
        <v>6</v>
      </c>
      <c r="C1105">
        <v>-1</v>
      </c>
      <c r="D1105" t="s">
        <v>111</v>
      </c>
      <c r="E1105">
        <v>3</v>
      </c>
      <c r="F1105" t="str">
        <f t="shared" si="17"/>
        <v>Amino acid metabolism</v>
      </c>
    </row>
    <row r="1106" spans="1:6" x14ac:dyDescent="0.45">
      <c r="A1106" t="s">
        <v>34</v>
      </c>
      <c r="B1106">
        <v>6</v>
      </c>
      <c r="C1106">
        <v>-1</v>
      </c>
      <c r="D1106" t="s">
        <v>111</v>
      </c>
      <c r="E1106">
        <v>4</v>
      </c>
      <c r="F1106" t="str">
        <f t="shared" si="17"/>
        <v>Amino acid metabolism</v>
      </c>
    </row>
    <row r="1107" spans="1:6" x14ac:dyDescent="0.45">
      <c r="A1107" t="s">
        <v>52</v>
      </c>
      <c r="B1107">
        <v>6</v>
      </c>
      <c r="C1107">
        <v>-1</v>
      </c>
      <c r="D1107" t="s">
        <v>111</v>
      </c>
      <c r="E1107">
        <v>7</v>
      </c>
      <c r="F1107" t="str">
        <f t="shared" si="17"/>
        <v>Alkaloid metabolism</v>
      </c>
    </row>
    <row r="1108" spans="1:6" x14ac:dyDescent="0.45">
      <c r="A1108" t="s">
        <v>37</v>
      </c>
      <c r="B1108">
        <v>6</v>
      </c>
      <c r="C1108">
        <v>-1</v>
      </c>
      <c r="D1108" t="s">
        <v>111</v>
      </c>
      <c r="E1108">
        <v>4</v>
      </c>
      <c r="F1108" t="str">
        <f t="shared" si="17"/>
        <v>Primary metabolism</v>
      </c>
    </row>
    <row r="1109" spans="1:6" x14ac:dyDescent="0.45">
      <c r="A1109" t="s">
        <v>65</v>
      </c>
      <c r="B1109">
        <v>6</v>
      </c>
      <c r="C1109">
        <v>-1</v>
      </c>
      <c r="D1109" t="s">
        <v>111</v>
      </c>
      <c r="E1109">
        <v>3</v>
      </c>
      <c r="F1109" t="str">
        <f t="shared" si="17"/>
        <v>Secondary metabolism</v>
      </c>
    </row>
    <row r="1110" spans="1:6" x14ac:dyDescent="0.45">
      <c r="A1110" t="s">
        <v>71</v>
      </c>
      <c r="B1110">
        <v>6</v>
      </c>
      <c r="C1110">
        <v>-1</v>
      </c>
      <c r="D1110" t="s">
        <v>111</v>
      </c>
      <c r="E1110">
        <v>2</v>
      </c>
      <c r="F1110" t="str">
        <f t="shared" si="17"/>
        <v>Metabolism of terpenoids and polyketides</v>
      </c>
    </row>
    <row r="1111" spans="1:6" x14ac:dyDescent="0.45">
      <c r="A1111" t="s">
        <v>10</v>
      </c>
      <c r="B1111">
        <v>6</v>
      </c>
      <c r="C1111">
        <v>-1</v>
      </c>
      <c r="D1111" t="s">
        <v>111</v>
      </c>
      <c r="E1111">
        <v>2</v>
      </c>
      <c r="F1111" t="str">
        <f t="shared" si="17"/>
        <v>Nucleotide metabolism</v>
      </c>
    </row>
    <row r="1112" spans="1:6" x14ac:dyDescent="0.45">
      <c r="A1112" t="s">
        <v>82</v>
      </c>
      <c r="B1112">
        <v>6</v>
      </c>
      <c r="C1112">
        <v>-1</v>
      </c>
      <c r="D1112" t="s">
        <v>111</v>
      </c>
      <c r="E1112">
        <v>4</v>
      </c>
      <c r="F1112" t="str">
        <f t="shared" si="17"/>
        <v>Amino acid metabolism</v>
      </c>
    </row>
    <row r="1113" spans="1:6" x14ac:dyDescent="0.45">
      <c r="A1113" t="s">
        <v>44</v>
      </c>
      <c r="B1113">
        <v>6</v>
      </c>
      <c r="C1113">
        <v>-1</v>
      </c>
      <c r="D1113" t="s">
        <v>111</v>
      </c>
      <c r="E1113">
        <v>2</v>
      </c>
      <c r="F1113" t="str">
        <f t="shared" si="17"/>
        <v>Amino acid metabolism</v>
      </c>
    </row>
    <row r="1114" spans="1:6" x14ac:dyDescent="0.45">
      <c r="A1114" t="s">
        <v>19</v>
      </c>
      <c r="B1114">
        <v>6</v>
      </c>
      <c r="C1114">
        <v>-1</v>
      </c>
      <c r="D1114" t="s">
        <v>111</v>
      </c>
      <c r="E1114">
        <v>2</v>
      </c>
      <c r="F1114" t="str">
        <f t="shared" si="17"/>
        <v>Amino acid metabolism</v>
      </c>
    </row>
    <row r="1115" spans="1:6" x14ac:dyDescent="0.45">
      <c r="A1115" t="s">
        <v>28</v>
      </c>
      <c r="B1115">
        <v>6</v>
      </c>
      <c r="C1115">
        <v>-1</v>
      </c>
      <c r="D1115" t="s">
        <v>111</v>
      </c>
      <c r="E1115">
        <v>2</v>
      </c>
      <c r="F1115" t="str">
        <f t="shared" si="17"/>
        <v>Metabolism of terpenoids and polyketides</v>
      </c>
    </row>
    <row r="1116" spans="1:6" x14ac:dyDescent="0.45">
      <c r="A1116" t="s">
        <v>51</v>
      </c>
      <c r="B1116">
        <v>6</v>
      </c>
      <c r="C1116">
        <v>-1</v>
      </c>
      <c r="D1116" t="s">
        <v>111</v>
      </c>
      <c r="E1116">
        <v>2</v>
      </c>
      <c r="F1116" t="str">
        <f t="shared" si="17"/>
        <v>Metabolism of terpenoids and polyketides</v>
      </c>
    </row>
    <row r="1117" spans="1:6" x14ac:dyDescent="0.45">
      <c r="A1117" t="s">
        <v>79</v>
      </c>
      <c r="B1117">
        <v>6</v>
      </c>
      <c r="C1117">
        <v>-1</v>
      </c>
      <c r="D1117" t="s">
        <v>111</v>
      </c>
      <c r="E1117">
        <v>2</v>
      </c>
      <c r="F1117" t="str">
        <f t="shared" si="17"/>
        <v>Terpenoid metabolism</v>
      </c>
    </row>
    <row r="1118" spans="1:6" x14ac:dyDescent="0.45">
      <c r="A1118" t="s">
        <v>35</v>
      </c>
      <c r="B1118">
        <v>6</v>
      </c>
      <c r="C1118">
        <v>-1</v>
      </c>
      <c r="D1118" t="s">
        <v>111</v>
      </c>
      <c r="E1118">
        <v>2</v>
      </c>
      <c r="F1118" t="str">
        <f t="shared" si="17"/>
        <v>Membrane transport</v>
      </c>
    </row>
    <row r="1119" spans="1:6" x14ac:dyDescent="0.45">
      <c r="A1119" t="s">
        <v>49</v>
      </c>
      <c r="B1119">
        <v>6</v>
      </c>
      <c r="C1119">
        <v>-1</v>
      </c>
      <c r="D1119" t="s">
        <v>111</v>
      </c>
      <c r="E1119">
        <v>2</v>
      </c>
      <c r="F1119" t="str">
        <f t="shared" si="17"/>
        <v>Phenylpropanoid metabolism</v>
      </c>
    </row>
    <row r="1120" spans="1:6" x14ac:dyDescent="0.45">
      <c r="A1120" t="s">
        <v>50</v>
      </c>
      <c r="B1120">
        <v>6</v>
      </c>
      <c r="C1120">
        <v>-1</v>
      </c>
      <c r="D1120" t="s">
        <v>111</v>
      </c>
      <c r="E1120">
        <v>2</v>
      </c>
      <c r="F1120" t="str">
        <f t="shared" si="17"/>
        <v>Lipid metabolism</v>
      </c>
    </row>
    <row r="1121" spans="1:6" x14ac:dyDescent="0.45">
      <c r="A1121" t="s">
        <v>55</v>
      </c>
      <c r="B1121">
        <v>6</v>
      </c>
      <c r="C1121">
        <v>-1</v>
      </c>
      <c r="D1121" t="s">
        <v>111</v>
      </c>
      <c r="E1121">
        <v>4</v>
      </c>
      <c r="F1121" t="str">
        <f t="shared" si="17"/>
        <v>Alkaloid metabolism</v>
      </c>
    </row>
    <row r="1122" spans="1:6" x14ac:dyDescent="0.45">
      <c r="A1122" t="s">
        <v>15</v>
      </c>
      <c r="B1122">
        <v>6</v>
      </c>
      <c r="C1122">
        <v>-1</v>
      </c>
      <c r="D1122" t="s">
        <v>111</v>
      </c>
      <c r="E1122">
        <v>1</v>
      </c>
      <c r="F1122" t="str">
        <f t="shared" si="17"/>
        <v>Carbon metabolism</v>
      </c>
    </row>
    <row r="1123" spans="1:6" x14ac:dyDescent="0.45">
      <c r="A1123" t="s">
        <v>11</v>
      </c>
      <c r="B1123">
        <v>6</v>
      </c>
      <c r="C1123">
        <v>-1</v>
      </c>
      <c r="D1123" t="s">
        <v>111</v>
      </c>
      <c r="E1123">
        <v>1</v>
      </c>
      <c r="F1123" t="str">
        <f t="shared" si="17"/>
        <v>Carbohydrate metabolism</v>
      </c>
    </row>
    <row r="1124" spans="1:6" x14ac:dyDescent="0.45">
      <c r="A1124" t="s">
        <v>12</v>
      </c>
      <c r="B1124">
        <v>6</v>
      </c>
      <c r="C1124">
        <v>-1</v>
      </c>
      <c r="D1124" t="s">
        <v>111</v>
      </c>
      <c r="E1124">
        <v>1</v>
      </c>
      <c r="F1124" t="str">
        <f t="shared" si="17"/>
        <v>Carbohydrate metabolism</v>
      </c>
    </row>
    <row r="1125" spans="1:6" x14ac:dyDescent="0.45">
      <c r="A1125" t="s">
        <v>61</v>
      </c>
      <c r="B1125">
        <v>6</v>
      </c>
      <c r="C1125">
        <v>-1</v>
      </c>
      <c r="D1125" t="s">
        <v>111</v>
      </c>
      <c r="E1125">
        <v>1</v>
      </c>
      <c r="F1125" t="str">
        <f t="shared" si="17"/>
        <v>Lipid metabolism</v>
      </c>
    </row>
    <row r="1126" spans="1:6" x14ac:dyDescent="0.45">
      <c r="A1126" t="s">
        <v>40</v>
      </c>
      <c r="B1126">
        <v>6</v>
      </c>
      <c r="C1126">
        <v>-1</v>
      </c>
      <c r="D1126" t="s">
        <v>111</v>
      </c>
      <c r="E1126">
        <v>1</v>
      </c>
      <c r="F1126" t="str">
        <f t="shared" si="17"/>
        <v>Lipid metabolism</v>
      </c>
    </row>
    <row r="1127" spans="1:6" x14ac:dyDescent="0.45">
      <c r="A1127" t="s">
        <v>117</v>
      </c>
      <c r="B1127">
        <v>6</v>
      </c>
      <c r="C1127">
        <v>-1</v>
      </c>
      <c r="D1127" t="s">
        <v>111</v>
      </c>
      <c r="E1127">
        <v>1</v>
      </c>
      <c r="F1127" t="str">
        <f t="shared" si="17"/>
        <v>Lipid metabolism</v>
      </c>
    </row>
    <row r="1128" spans="1:6" x14ac:dyDescent="0.45">
      <c r="A1128" t="s">
        <v>62</v>
      </c>
      <c r="B1128">
        <v>6</v>
      </c>
      <c r="C1128">
        <v>-1</v>
      </c>
      <c r="D1128" t="s">
        <v>111</v>
      </c>
      <c r="E1128">
        <v>1</v>
      </c>
      <c r="F1128" t="str">
        <f t="shared" si="17"/>
        <v>Metabolism of cofactors and vitamins</v>
      </c>
    </row>
    <row r="1129" spans="1:6" x14ac:dyDescent="0.45">
      <c r="A1129" t="s">
        <v>7</v>
      </c>
      <c r="B1129">
        <v>6</v>
      </c>
      <c r="C1129">
        <v>-1</v>
      </c>
      <c r="D1129" t="s">
        <v>111</v>
      </c>
      <c r="E1129">
        <v>1</v>
      </c>
      <c r="F1129" t="str">
        <f t="shared" si="17"/>
        <v>Nucleotide metabolism</v>
      </c>
    </row>
    <row r="1130" spans="1:6" x14ac:dyDescent="0.45">
      <c r="A1130" t="s">
        <v>76</v>
      </c>
      <c r="B1130">
        <v>6</v>
      </c>
      <c r="C1130">
        <v>-1</v>
      </c>
      <c r="D1130" t="s">
        <v>111</v>
      </c>
      <c r="E1130">
        <v>1</v>
      </c>
      <c r="F1130" t="str">
        <f t="shared" si="17"/>
        <v>Biosynthesis of other secondary metabolites</v>
      </c>
    </row>
    <row r="1131" spans="1:6" x14ac:dyDescent="0.45">
      <c r="A1131" t="s">
        <v>42</v>
      </c>
      <c r="B1131">
        <v>6</v>
      </c>
      <c r="C1131">
        <v>-1</v>
      </c>
      <c r="D1131" t="s">
        <v>111</v>
      </c>
      <c r="E1131">
        <v>1</v>
      </c>
      <c r="F1131" t="str">
        <f t="shared" si="17"/>
        <v>Amino acid metabolism</v>
      </c>
    </row>
    <row r="1132" spans="1:6" x14ac:dyDescent="0.45">
      <c r="A1132" t="s">
        <v>99</v>
      </c>
      <c r="B1132">
        <v>6</v>
      </c>
      <c r="C1132">
        <v>-1</v>
      </c>
      <c r="D1132" t="s">
        <v>111</v>
      </c>
      <c r="E1132">
        <v>2</v>
      </c>
      <c r="F1132" t="str">
        <f t="shared" si="17"/>
        <v>Amino acid metabolism</v>
      </c>
    </row>
    <row r="1133" spans="1:6" x14ac:dyDescent="0.45">
      <c r="A1133" t="s">
        <v>43</v>
      </c>
      <c r="B1133">
        <v>6</v>
      </c>
      <c r="C1133">
        <v>-1</v>
      </c>
      <c r="D1133" t="s">
        <v>111</v>
      </c>
      <c r="E1133">
        <v>1</v>
      </c>
      <c r="F1133" t="str">
        <f t="shared" si="17"/>
        <v>Amino acid metabolism</v>
      </c>
    </row>
    <row r="1134" spans="1:6" x14ac:dyDescent="0.45">
      <c r="A1134" t="s">
        <v>100</v>
      </c>
      <c r="B1134">
        <v>6</v>
      </c>
      <c r="C1134">
        <v>-1</v>
      </c>
      <c r="D1134" t="s">
        <v>111</v>
      </c>
      <c r="E1134">
        <v>2</v>
      </c>
      <c r="F1134" t="str">
        <f t="shared" si="17"/>
        <v>Amino acid metabolism</v>
      </c>
    </row>
    <row r="1135" spans="1:6" x14ac:dyDescent="0.45">
      <c r="A1135" t="s">
        <v>63</v>
      </c>
      <c r="B1135">
        <v>6</v>
      </c>
      <c r="C1135">
        <v>-1</v>
      </c>
      <c r="D1135" t="s">
        <v>111</v>
      </c>
      <c r="E1135">
        <v>1</v>
      </c>
      <c r="F1135" t="str">
        <f t="shared" si="17"/>
        <v>Amino acid metabolism</v>
      </c>
    </row>
    <row r="1136" spans="1:6" x14ac:dyDescent="0.45">
      <c r="A1136" t="s">
        <v>53</v>
      </c>
      <c r="B1136">
        <v>6</v>
      </c>
      <c r="C1136">
        <v>-1</v>
      </c>
      <c r="D1136" t="s">
        <v>111</v>
      </c>
      <c r="E1136">
        <v>1</v>
      </c>
      <c r="F1136" t="str">
        <f t="shared" si="17"/>
        <v>Amino acid metabolism</v>
      </c>
    </row>
    <row r="1137" spans="1:6" x14ac:dyDescent="0.45">
      <c r="A1137" t="s">
        <v>45</v>
      </c>
      <c r="B1137">
        <v>6</v>
      </c>
      <c r="C1137">
        <v>-1</v>
      </c>
      <c r="D1137" t="s">
        <v>111</v>
      </c>
      <c r="E1137">
        <v>1</v>
      </c>
      <c r="F1137" t="str">
        <f t="shared" si="17"/>
        <v>Amino acid metabolism</v>
      </c>
    </row>
    <row r="1138" spans="1:6" x14ac:dyDescent="0.45">
      <c r="A1138" t="s">
        <v>78</v>
      </c>
      <c r="B1138">
        <v>6</v>
      </c>
      <c r="C1138">
        <v>-1</v>
      </c>
      <c r="D1138" t="s">
        <v>111</v>
      </c>
      <c r="E1138">
        <v>1</v>
      </c>
      <c r="F1138" t="str">
        <f t="shared" si="17"/>
        <v>Lipid metabolism</v>
      </c>
    </row>
    <row r="1139" spans="1:6" x14ac:dyDescent="0.45">
      <c r="A1139" t="s">
        <v>46</v>
      </c>
      <c r="B1139">
        <v>6</v>
      </c>
      <c r="C1139">
        <v>-1</v>
      </c>
      <c r="D1139" t="s">
        <v>111</v>
      </c>
      <c r="E1139">
        <v>1</v>
      </c>
      <c r="F1139" t="str">
        <f t="shared" si="17"/>
        <v>Lipid metabolism</v>
      </c>
    </row>
    <row r="1140" spans="1:6" x14ac:dyDescent="0.45">
      <c r="A1140" t="s">
        <v>115</v>
      </c>
      <c r="B1140">
        <v>6</v>
      </c>
      <c r="C1140">
        <v>-1</v>
      </c>
      <c r="D1140" t="s">
        <v>111</v>
      </c>
      <c r="E1140">
        <v>3</v>
      </c>
      <c r="F1140" t="str">
        <f t="shared" si="17"/>
        <v>Lipid metabolism</v>
      </c>
    </row>
    <row r="1141" spans="1:6" x14ac:dyDescent="0.45">
      <c r="A1141" t="s">
        <v>47</v>
      </c>
      <c r="B1141">
        <v>6</v>
      </c>
      <c r="C1141">
        <v>-1</v>
      </c>
      <c r="D1141" t="s">
        <v>111</v>
      </c>
      <c r="E1141">
        <v>1</v>
      </c>
      <c r="F1141" t="str">
        <f t="shared" si="17"/>
        <v>Carbohydrate metabolism</v>
      </c>
    </row>
    <row r="1142" spans="1:6" x14ac:dyDescent="0.45">
      <c r="A1142" t="s">
        <v>83</v>
      </c>
      <c r="B1142">
        <v>6</v>
      </c>
      <c r="C1142">
        <v>-1</v>
      </c>
      <c r="D1142" t="s">
        <v>111</v>
      </c>
      <c r="E1142">
        <v>1</v>
      </c>
      <c r="F1142" t="str">
        <f t="shared" si="17"/>
        <v>Carbohydrate metabolism</v>
      </c>
    </row>
    <row r="1143" spans="1:6" x14ac:dyDescent="0.45">
      <c r="A1143" t="s">
        <v>48</v>
      </c>
      <c r="B1143">
        <v>6</v>
      </c>
      <c r="C1143">
        <v>-1</v>
      </c>
      <c r="D1143" t="s">
        <v>111</v>
      </c>
      <c r="E1143">
        <v>1</v>
      </c>
      <c r="F1143" t="str">
        <f t="shared" si="17"/>
        <v>Carbohydrate metabolism</v>
      </c>
    </row>
    <row r="1144" spans="1:6" x14ac:dyDescent="0.45">
      <c r="A1144" t="s">
        <v>22</v>
      </c>
      <c r="B1144">
        <v>6</v>
      </c>
      <c r="C1144">
        <v>-1</v>
      </c>
      <c r="D1144" t="s">
        <v>111</v>
      </c>
      <c r="E1144">
        <v>1</v>
      </c>
      <c r="F1144" t="str">
        <f t="shared" si="17"/>
        <v>Carbohydrate metabolism</v>
      </c>
    </row>
    <row r="1145" spans="1:6" x14ac:dyDescent="0.45">
      <c r="A1145" t="s">
        <v>23</v>
      </c>
      <c r="B1145">
        <v>6</v>
      </c>
      <c r="C1145">
        <v>-1</v>
      </c>
      <c r="D1145" t="s">
        <v>111</v>
      </c>
      <c r="E1145">
        <v>1</v>
      </c>
      <c r="F1145" t="str">
        <f t="shared" si="17"/>
        <v>Carbon metabolism</v>
      </c>
    </row>
    <row r="1146" spans="1:6" x14ac:dyDescent="0.45">
      <c r="A1146" t="s">
        <v>24</v>
      </c>
      <c r="B1146">
        <v>6</v>
      </c>
      <c r="C1146">
        <v>-1</v>
      </c>
      <c r="D1146" t="s">
        <v>111</v>
      </c>
      <c r="E1146">
        <v>1</v>
      </c>
      <c r="F1146" t="str">
        <f t="shared" si="17"/>
        <v>Metabolism of cofactors and vitamin</v>
      </c>
    </row>
    <row r="1147" spans="1:6" x14ac:dyDescent="0.45">
      <c r="A1147" t="s">
        <v>25</v>
      </c>
      <c r="B1147">
        <v>6</v>
      </c>
      <c r="C1147">
        <v>-1</v>
      </c>
      <c r="D1147" t="s">
        <v>111</v>
      </c>
      <c r="E1147">
        <v>1</v>
      </c>
      <c r="F1147" t="str">
        <f t="shared" si="17"/>
        <v>Metabolism of cofactors and vitamins</v>
      </c>
    </row>
    <row r="1148" spans="1:6" x14ac:dyDescent="0.45">
      <c r="A1148" t="s">
        <v>26</v>
      </c>
      <c r="B1148">
        <v>6</v>
      </c>
      <c r="C1148">
        <v>-1</v>
      </c>
      <c r="D1148" t="s">
        <v>111</v>
      </c>
      <c r="E1148">
        <v>1</v>
      </c>
      <c r="F1148" t="str">
        <f t="shared" si="17"/>
        <v>Metabolism of cofactors and vitamins</v>
      </c>
    </row>
    <row r="1149" spans="1:6" x14ac:dyDescent="0.45">
      <c r="A1149" t="s">
        <v>60</v>
      </c>
      <c r="B1149">
        <v>6</v>
      </c>
      <c r="C1149">
        <v>-1</v>
      </c>
      <c r="D1149" t="s">
        <v>111</v>
      </c>
      <c r="E1149">
        <v>2</v>
      </c>
      <c r="F1149" t="str">
        <f t="shared" si="17"/>
        <v>Metabolism of cofactors and vitamins</v>
      </c>
    </row>
    <row r="1150" spans="1:6" x14ac:dyDescent="0.45">
      <c r="A1150" t="s">
        <v>103</v>
      </c>
      <c r="B1150">
        <v>6</v>
      </c>
      <c r="C1150">
        <v>-1</v>
      </c>
      <c r="D1150" t="s">
        <v>111</v>
      </c>
      <c r="E1150">
        <v>1</v>
      </c>
      <c r="F1150" t="str">
        <f t="shared" si="17"/>
        <v>Metabolism of terpenoids and polyketides</v>
      </c>
    </row>
    <row r="1151" spans="1:6" x14ac:dyDescent="0.45">
      <c r="A1151" t="s">
        <v>13</v>
      </c>
      <c r="B1151">
        <v>6</v>
      </c>
      <c r="C1151">
        <v>-1</v>
      </c>
      <c r="D1151" t="s">
        <v>111</v>
      </c>
      <c r="E1151">
        <v>1</v>
      </c>
      <c r="F1151" t="str">
        <f t="shared" si="17"/>
        <v>Terpenoid metabolism</v>
      </c>
    </row>
    <row r="1152" spans="1:6" x14ac:dyDescent="0.45">
      <c r="A1152" t="s">
        <v>72</v>
      </c>
      <c r="B1152">
        <v>6</v>
      </c>
      <c r="C1152">
        <v>-1</v>
      </c>
      <c r="D1152" t="s">
        <v>111</v>
      </c>
      <c r="E1152">
        <v>1</v>
      </c>
      <c r="F1152" t="str">
        <f t="shared" si="17"/>
        <v>Metabolism of terpenoids and polyketides</v>
      </c>
    </row>
    <row r="1153" spans="1:6" x14ac:dyDescent="0.45">
      <c r="A1153" t="s">
        <v>56</v>
      </c>
      <c r="B1153">
        <v>6</v>
      </c>
      <c r="C1153">
        <v>-1</v>
      </c>
      <c r="D1153" t="s">
        <v>111</v>
      </c>
      <c r="E1153">
        <v>1</v>
      </c>
      <c r="F1153" t="str">
        <f t="shared" si="17"/>
        <v>Lipid metabolism</v>
      </c>
    </row>
    <row r="1154" spans="1:6" x14ac:dyDescent="0.45">
      <c r="A1154" t="s">
        <v>32</v>
      </c>
      <c r="B1154">
        <v>6</v>
      </c>
      <c r="C1154">
        <v>-1</v>
      </c>
      <c r="D1154" t="s">
        <v>111</v>
      </c>
      <c r="E1154">
        <v>1</v>
      </c>
      <c r="F1154" t="str">
        <f t="shared" si="17"/>
        <v xml:space="preserve">Carbon metabolism </v>
      </c>
    </row>
    <row r="1155" spans="1:6" x14ac:dyDescent="0.45">
      <c r="A1155" t="s">
        <v>81</v>
      </c>
      <c r="B1155">
        <v>6</v>
      </c>
      <c r="C1155">
        <v>-1</v>
      </c>
      <c r="D1155" t="s">
        <v>111</v>
      </c>
      <c r="E1155">
        <v>1</v>
      </c>
      <c r="F1155" t="str">
        <f t="shared" si="17"/>
        <v>Amino acid metabolism</v>
      </c>
    </row>
    <row r="1156" spans="1:6" x14ac:dyDescent="0.45">
      <c r="A1156" t="s">
        <v>96</v>
      </c>
      <c r="B1156">
        <v>6</v>
      </c>
      <c r="C1156">
        <v>-1</v>
      </c>
      <c r="D1156" t="s">
        <v>111</v>
      </c>
      <c r="E1156">
        <v>1</v>
      </c>
      <c r="F1156" t="str">
        <f t="shared" ref="F1156:F1219" si="18">_xlfn.XLOOKUP(A1156,$H$2:$H$200,$I$2:$I$200)</f>
        <v>JA biosynthesis</v>
      </c>
    </row>
    <row r="1157" spans="1:6" x14ac:dyDescent="0.45">
      <c r="A1157" t="s">
        <v>38</v>
      </c>
      <c r="B1157">
        <v>7</v>
      </c>
      <c r="C1157">
        <v>1</v>
      </c>
      <c r="D1157" t="s">
        <v>111</v>
      </c>
      <c r="E1157">
        <v>6</v>
      </c>
      <c r="F1157" t="str">
        <f t="shared" si="18"/>
        <v>Degradation of aromatic compounds</v>
      </c>
    </row>
    <row r="1158" spans="1:6" x14ac:dyDescent="0.45">
      <c r="A1158" t="s">
        <v>7</v>
      </c>
      <c r="B1158">
        <v>7</v>
      </c>
      <c r="C1158">
        <v>1</v>
      </c>
      <c r="D1158" t="s">
        <v>111</v>
      </c>
      <c r="E1158">
        <v>8</v>
      </c>
      <c r="F1158" t="str">
        <f t="shared" si="18"/>
        <v>Nucleotide metabolism</v>
      </c>
    </row>
    <row r="1159" spans="1:6" x14ac:dyDescent="0.45">
      <c r="A1159" t="s">
        <v>19</v>
      </c>
      <c r="B1159">
        <v>7</v>
      </c>
      <c r="C1159">
        <v>1</v>
      </c>
      <c r="D1159" t="s">
        <v>111</v>
      </c>
      <c r="E1159">
        <v>5</v>
      </c>
      <c r="F1159" t="str">
        <f t="shared" si="18"/>
        <v>Amino acid metabolism</v>
      </c>
    </row>
    <row r="1160" spans="1:6" x14ac:dyDescent="0.45">
      <c r="A1160" t="s">
        <v>37</v>
      </c>
      <c r="B1160">
        <v>7</v>
      </c>
      <c r="C1160">
        <v>1</v>
      </c>
      <c r="D1160" t="s">
        <v>111</v>
      </c>
      <c r="E1160">
        <v>6</v>
      </c>
      <c r="F1160" t="str">
        <f t="shared" si="18"/>
        <v>Primary metabolism</v>
      </c>
    </row>
    <row r="1161" spans="1:6" x14ac:dyDescent="0.45">
      <c r="A1161" t="s">
        <v>10</v>
      </c>
      <c r="B1161">
        <v>7</v>
      </c>
      <c r="C1161">
        <v>1</v>
      </c>
      <c r="D1161" t="s">
        <v>111</v>
      </c>
      <c r="E1161">
        <v>3</v>
      </c>
      <c r="F1161" t="str">
        <f t="shared" si="18"/>
        <v>Nucleotide metabolism</v>
      </c>
    </row>
    <row r="1162" spans="1:6" x14ac:dyDescent="0.45">
      <c r="A1162" t="s">
        <v>17</v>
      </c>
      <c r="B1162">
        <v>7</v>
      </c>
      <c r="C1162">
        <v>1</v>
      </c>
      <c r="D1162" t="s">
        <v>111</v>
      </c>
      <c r="E1162">
        <v>4</v>
      </c>
      <c r="F1162" t="str">
        <f t="shared" si="18"/>
        <v>Amino acid metabolism</v>
      </c>
    </row>
    <row r="1163" spans="1:6" x14ac:dyDescent="0.45">
      <c r="A1163" t="s">
        <v>70</v>
      </c>
      <c r="B1163">
        <v>7</v>
      </c>
      <c r="C1163">
        <v>1</v>
      </c>
      <c r="D1163" t="s">
        <v>111</v>
      </c>
      <c r="E1163">
        <v>3</v>
      </c>
      <c r="F1163" t="str">
        <f t="shared" si="18"/>
        <v>Metabolism of terpenoids and polyketides</v>
      </c>
    </row>
    <row r="1164" spans="1:6" x14ac:dyDescent="0.45">
      <c r="A1164" t="s">
        <v>30</v>
      </c>
      <c r="B1164">
        <v>7</v>
      </c>
      <c r="C1164">
        <v>1</v>
      </c>
      <c r="D1164" t="s">
        <v>111</v>
      </c>
      <c r="E1164">
        <v>4</v>
      </c>
      <c r="F1164" t="str">
        <f t="shared" si="18"/>
        <v>Phenylpropanoid biosynthesis</v>
      </c>
    </row>
    <row r="1165" spans="1:6" x14ac:dyDescent="0.45">
      <c r="A1165" t="s">
        <v>33</v>
      </c>
      <c r="B1165">
        <v>7</v>
      </c>
      <c r="C1165">
        <v>1</v>
      </c>
      <c r="D1165" t="s">
        <v>111</v>
      </c>
      <c r="E1165">
        <v>3</v>
      </c>
      <c r="F1165" t="str">
        <f t="shared" si="18"/>
        <v>Amino acid metabolism</v>
      </c>
    </row>
    <row r="1166" spans="1:6" x14ac:dyDescent="0.45">
      <c r="A1166" t="s">
        <v>79</v>
      </c>
      <c r="B1166">
        <v>7</v>
      </c>
      <c r="C1166">
        <v>1</v>
      </c>
      <c r="D1166" t="s">
        <v>111</v>
      </c>
      <c r="E1166">
        <v>3</v>
      </c>
      <c r="F1166" t="str">
        <f t="shared" si="18"/>
        <v>Terpenoid metabolism</v>
      </c>
    </row>
    <row r="1167" spans="1:6" x14ac:dyDescent="0.45">
      <c r="A1167" t="s">
        <v>12</v>
      </c>
      <c r="B1167">
        <v>7</v>
      </c>
      <c r="C1167">
        <v>1</v>
      </c>
      <c r="D1167" t="s">
        <v>111</v>
      </c>
      <c r="E1167">
        <v>3</v>
      </c>
      <c r="F1167" t="str">
        <f t="shared" si="18"/>
        <v>Carbohydrate metabolism</v>
      </c>
    </row>
    <row r="1168" spans="1:6" x14ac:dyDescent="0.45">
      <c r="A1168" t="s">
        <v>88</v>
      </c>
      <c r="B1168">
        <v>7</v>
      </c>
      <c r="C1168">
        <v>1</v>
      </c>
      <c r="D1168" t="s">
        <v>111</v>
      </c>
      <c r="E1168">
        <v>2</v>
      </c>
      <c r="F1168" t="str">
        <f t="shared" si="18"/>
        <v>Lipid metabolism</v>
      </c>
    </row>
    <row r="1169" spans="1:6" x14ac:dyDescent="0.45">
      <c r="A1169" t="s">
        <v>24</v>
      </c>
      <c r="B1169">
        <v>7</v>
      </c>
      <c r="C1169">
        <v>1</v>
      </c>
      <c r="D1169" t="s">
        <v>111</v>
      </c>
      <c r="E1169">
        <v>3</v>
      </c>
      <c r="F1169" t="str">
        <f t="shared" si="18"/>
        <v>Metabolism of cofactors and vitamin</v>
      </c>
    </row>
    <row r="1170" spans="1:6" x14ac:dyDescent="0.45">
      <c r="A1170" t="s">
        <v>25</v>
      </c>
      <c r="B1170">
        <v>7</v>
      </c>
      <c r="C1170">
        <v>1</v>
      </c>
      <c r="D1170" t="s">
        <v>111</v>
      </c>
      <c r="E1170">
        <v>3</v>
      </c>
      <c r="F1170" t="str">
        <f t="shared" si="18"/>
        <v>Metabolism of cofactors and vitamins</v>
      </c>
    </row>
    <row r="1171" spans="1:6" x14ac:dyDescent="0.45">
      <c r="A1171" t="s">
        <v>27</v>
      </c>
      <c r="B1171">
        <v>7</v>
      </c>
      <c r="C1171">
        <v>1</v>
      </c>
      <c r="D1171" t="s">
        <v>111</v>
      </c>
      <c r="E1171">
        <v>2</v>
      </c>
      <c r="F1171" t="str">
        <f t="shared" si="18"/>
        <v>Metabolism of cofactors and vitamins</v>
      </c>
    </row>
    <row r="1172" spans="1:6" x14ac:dyDescent="0.45">
      <c r="A1172" t="s">
        <v>28</v>
      </c>
      <c r="B1172">
        <v>7</v>
      </c>
      <c r="C1172">
        <v>1</v>
      </c>
      <c r="D1172" t="s">
        <v>111</v>
      </c>
      <c r="E1172">
        <v>3</v>
      </c>
      <c r="F1172" t="str">
        <f t="shared" si="18"/>
        <v>Metabolism of terpenoids and polyketides</v>
      </c>
    </row>
    <row r="1173" spans="1:6" x14ac:dyDescent="0.45">
      <c r="A1173" t="s">
        <v>13</v>
      </c>
      <c r="B1173">
        <v>7</v>
      </c>
      <c r="C1173">
        <v>1</v>
      </c>
      <c r="D1173" t="s">
        <v>111</v>
      </c>
      <c r="E1173">
        <v>3</v>
      </c>
      <c r="F1173" t="str">
        <f t="shared" si="18"/>
        <v>Terpenoid metabolism</v>
      </c>
    </row>
    <row r="1174" spans="1:6" x14ac:dyDescent="0.45">
      <c r="A1174" t="s">
        <v>31</v>
      </c>
      <c r="B1174">
        <v>7</v>
      </c>
      <c r="C1174">
        <v>1</v>
      </c>
      <c r="D1174" t="s">
        <v>111</v>
      </c>
      <c r="E1174">
        <v>2</v>
      </c>
      <c r="F1174" t="str">
        <f t="shared" si="18"/>
        <v>Glucosinolate biosynthesis</v>
      </c>
    </row>
    <row r="1175" spans="1:6" x14ac:dyDescent="0.45">
      <c r="A1175" t="s">
        <v>35</v>
      </c>
      <c r="B1175">
        <v>7</v>
      </c>
      <c r="C1175">
        <v>1</v>
      </c>
      <c r="D1175" t="s">
        <v>111</v>
      </c>
      <c r="E1175">
        <v>2</v>
      </c>
      <c r="F1175" t="str">
        <f t="shared" si="18"/>
        <v>Membrane transport</v>
      </c>
    </row>
    <row r="1176" spans="1:6" x14ac:dyDescent="0.45">
      <c r="A1176" t="s">
        <v>52</v>
      </c>
      <c r="B1176">
        <v>7</v>
      </c>
      <c r="C1176">
        <v>1</v>
      </c>
      <c r="D1176" t="s">
        <v>111</v>
      </c>
      <c r="E1176">
        <v>3</v>
      </c>
      <c r="F1176" t="str">
        <f t="shared" si="18"/>
        <v>Alkaloid metabolism</v>
      </c>
    </row>
    <row r="1177" spans="1:6" x14ac:dyDescent="0.45">
      <c r="A1177" t="s">
        <v>100</v>
      </c>
      <c r="B1177">
        <v>7</v>
      </c>
      <c r="C1177">
        <v>1</v>
      </c>
      <c r="D1177" t="s">
        <v>111</v>
      </c>
      <c r="E1177">
        <v>2</v>
      </c>
      <c r="F1177" t="str">
        <f t="shared" si="18"/>
        <v>Amino acid metabolism</v>
      </c>
    </row>
    <row r="1178" spans="1:6" x14ac:dyDescent="0.45">
      <c r="A1178" t="s">
        <v>15</v>
      </c>
      <c r="B1178">
        <v>7</v>
      </c>
      <c r="C1178">
        <v>1</v>
      </c>
      <c r="D1178" t="s">
        <v>111</v>
      </c>
      <c r="E1178">
        <v>2</v>
      </c>
      <c r="F1178" t="str">
        <f t="shared" si="18"/>
        <v>Carbon metabolism</v>
      </c>
    </row>
    <row r="1179" spans="1:6" x14ac:dyDescent="0.45">
      <c r="A1179" t="s">
        <v>16</v>
      </c>
      <c r="B1179">
        <v>7</v>
      </c>
      <c r="C1179">
        <v>1</v>
      </c>
      <c r="D1179" t="s">
        <v>111</v>
      </c>
      <c r="E1179">
        <v>1</v>
      </c>
      <c r="F1179" t="str">
        <f t="shared" si="18"/>
        <v>Carbohydrate metabolism</v>
      </c>
    </row>
    <row r="1180" spans="1:6" x14ac:dyDescent="0.45">
      <c r="A1180" t="s">
        <v>66</v>
      </c>
      <c r="B1180">
        <v>7</v>
      </c>
      <c r="C1180">
        <v>1</v>
      </c>
      <c r="D1180" t="s">
        <v>111</v>
      </c>
      <c r="E1180">
        <v>1</v>
      </c>
      <c r="F1180" t="str">
        <f t="shared" si="18"/>
        <v>Carbohydrate metabolism</v>
      </c>
    </row>
    <row r="1181" spans="1:6" x14ac:dyDescent="0.45">
      <c r="A1181" t="s">
        <v>9</v>
      </c>
      <c r="B1181">
        <v>7</v>
      </c>
      <c r="C1181">
        <v>1</v>
      </c>
      <c r="D1181" t="s">
        <v>111</v>
      </c>
      <c r="E1181">
        <v>1</v>
      </c>
      <c r="F1181" t="str">
        <f t="shared" si="18"/>
        <v>Carbohydrate metabolism</v>
      </c>
    </row>
    <row r="1182" spans="1:6" x14ac:dyDescent="0.45">
      <c r="A1182" t="s">
        <v>54</v>
      </c>
      <c r="B1182">
        <v>7</v>
      </c>
      <c r="C1182">
        <v>1</v>
      </c>
      <c r="D1182" t="s">
        <v>111</v>
      </c>
      <c r="E1182">
        <v>1</v>
      </c>
      <c r="F1182" t="str">
        <f t="shared" si="18"/>
        <v>Amino acid metabolism</v>
      </c>
    </row>
    <row r="1183" spans="1:6" x14ac:dyDescent="0.45">
      <c r="A1183" t="s">
        <v>43</v>
      </c>
      <c r="B1183">
        <v>7</v>
      </c>
      <c r="C1183">
        <v>1</v>
      </c>
      <c r="D1183" t="s">
        <v>111</v>
      </c>
      <c r="E1183">
        <v>1</v>
      </c>
      <c r="F1183" t="str">
        <f t="shared" si="18"/>
        <v>Amino acid metabolism</v>
      </c>
    </row>
    <row r="1184" spans="1:6" x14ac:dyDescent="0.45">
      <c r="A1184" t="s">
        <v>63</v>
      </c>
      <c r="B1184">
        <v>7</v>
      </c>
      <c r="C1184">
        <v>1</v>
      </c>
      <c r="D1184" t="s">
        <v>111</v>
      </c>
      <c r="E1184">
        <v>4</v>
      </c>
      <c r="F1184" t="str">
        <f t="shared" si="18"/>
        <v>Amino acid metabolism</v>
      </c>
    </row>
    <row r="1185" spans="1:6" x14ac:dyDescent="0.45">
      <c r="A1185" t="s">
        <v>44</v>
      </c>
      <c r="B1185">
        <v>7</v>
      </c>
      <c r="C1185">
        <v>1</v>
      </c>
      <c r="D1185" t="s">
        <v>111</v>
      </c>
      <c r="E1185">
        <v>1</v>
      </c>
      <c r="F1185" t="str">
        <f t="shared" si="18"/>
        <v>Amino acid metabolism</v>
      </c>
    </row>
    <row r="1186" spans="1:6" x14ac:dyDescent="0.45">
      <c r="A1186" t="s">
        <v>18</v>
      </c>
      <c r="B1186">
        <v>7</v>
      </c>
      <c r="C1186">
        <v>1</v>
      </c>
      <c r="D1186" t="s">
        <v>111</v>
      </c>
      <c r="E1186">
        <v>2</v>
      </c>
      <c r="F1186" t="str">
        <f t="shared" si="18"/>
        <v>Amino acid metabolism</v>
      </c>
    </row>
    <row r="1187" spans="1:6" x14ac:dyDescent="0.45">
      <c r="A1187" t="s">
        <v>21</v>
      </c>
      <c r="B1187">
        <v>7</v>
      </c>
      <c r="C1187">
        <v>1</v>
      </c>
      <c r="D1187" t="s">
        <v>111</v>
      </c>
      <c r="E1187">
        <v>1</v>
      </c>
      <c r="F1187" t="str">
        <f t="shared" si="18"/>
        <v>Lipid metabolism</v>
      </c>
    </row>
    <row r="1188" spans="1:6" x14ac:dyDescent="0.45">
      <c r="A1188" t="s">
        <v>50</v>
      </c>
      <c r="B1188">
        <v>7</v>
      </c>
      <c r="C1188">
        <v>1</v>
      </c>
      <c r="D1188" t="s">
        <v>111</v>
      </c>
      <c r="E1188">
        <v>1</v>
      </c>
      <c r="F1188" t="str">
        <f t="shared" si="18"/>
        <v>Lipid metabolism</v>
      </c>
    </row>
    <row r="1189" spans="1:6" x14ac:dyDescent="0.45">
      <c r="A1189" t="s">
        <v>67</v>
      </c>
      <c r="B1189">
        <v>7</v>
      </c>
      <c r="C1189">
        <v>1</v>
      </c>
      <c r="D1189" t="s">
        <v>111</v>
      </c>
      <c r="E1189">
        <v>2</v>
      </c>
      <c r="F1189" t="str">
        <f t="shared" si="18"/>
        <v>Carbohydrate metabolism</v>
      </c>
    </row>
    <row r="1190" spans="1:6" x14ac:dyDescent="0.45">
      <c r="A1190" t="s">
        <v>47</v>
      </c>
      <c r="B1190">
        <v>7</v>
      </c>
      <c r="C1190">
        <v>1</v>
      </c>
      <c r="D1190" t="s">
        <v>111</v>
      </c>
      <c r="E1190">
        <v>2</v>
      </c>
      <c r="F1190" t="str">
        <f t="shared" si="18"/>
        <v>Carbohydrate metabolism</v>
      </c>
    </row>
    <row r="1191" spans="1:6" x14ac:dyDescent="0.45">
      <c r="A1191" t="s">
        <v>48</v>
      </c>
      <c r="B1191">
        <v>7</v>
      </c>
      <c r="C1191">
        <v>1</v>
      </c>
      <c r="D1191" t="s">
        <v>111</v>
      </c>
      <c r="E1191">
        <v>2</v>
      </c>
      <c r="F1191" t="str">
        <f t="shared" si="18"/>
        <v>Carbohydrate metabolism</v>
      </c>
    </row>
    <row r="1192" spans="1:6" x14ac:dyDescent="0.45">
      <c r="A1192" t="s">
        <v>23</v>
      </c>
      <c r="B1192">
        <v>7</v>
      </c>
      <c r="C1192">
        <v>1</v>
      </c>
      <c r="D1192" t="s">
        <v>111</v>
      </c>
      <c r="E1192">
        <v>2</v>
      </c>
      <c r="F1192" t="str">
        <f t="shared" si="18"/>
        <v>Carbon metabolism</v>
      </c>
    </row>
    <row r="1193" spans="1:6" x14ac:dyDescent="0.45">
      <c r="A1193" t="s">
        <v>89</v>
      </c>
      <c r="B1193">
        <v>7</v>
      </c>
      <c r="C1193">
        <v>1</v>
      </c>
      <c r="D1193" t="s">
        <v>111</v>
      </c>
      <c r="E1193">
        <v>1</v>
      </c>
      <c r="F1193" t="str">
        <f t="shared" si="18"/>
        <v>Metabolism of cofactors and vitamins</v>
      </c>
    </row>
    <row r="1194" spans="1:6" x14ac:dyDescent="0.45">
      <c r="A1194" t="s">
        <v>90</v>
      </c>
      <c r="B1194">
        <v>7</v>
      </c>
      <c r="C1194">
        <v>1</v>
      </c>
      <c r="D1194" t="s">
        <v>111</v>
      </c>
      <c r="E1194">
        <v>1</v>
      </c>
      <c r="F1194" t="str">
        <f t="shared" si="18"/>
        <v>Metabolism of cofactors and vitamins</v>
      </c>
    </row>
    <row r="1195" spans="1:6" x14ac:dyDescent="0.45">
      <c r="A1195" t="s">
        <v>64</v>
      </c>
      <c r="B1195">
        <v>7</v>
      </c>
      <c r="C1195">
        <v>1</v>
      </c>
      <c r="D1195" t="s">
        <v>111</v>
      </c>
      <c r="E1195">
        <v>1</v>
      </c>
      <c r="F1195" t="str">
        <f t="shared" si="18"/>
        <v>Metabolism of cofactors and vitamins</v>
      </c>
    </row>
    <row r="1196" spans="1:6" x14ac:dyDescent="0.45">
      <c r="A1196" t="s">
        <v>71</v>
      </c>
      <c r="B1196">
        <v>7</v>
      </c>
      <c r="C1196">
        <v>1</v>
      </c>
      <c r="D1196" t="s">
        <v>111</v>
      </c>
      <c r="E1196">
        <v>1</v>
      </c>
      <c r="F1196" t="str">
        <f t="shared" si="18"/>
        <v>Metabolism of terpenoids and polyketides</v>
      </c>
    </row>
    <row r="1197" spans="1:6" x14ac:dyDescent="0.45">
      <c r="A1197" t="s">
        <v>14</v>
      </c>
      <c r="B1197">
        <v>7</v>
      </c>
      <c r="C1197">
        <v>1</v>
      </c>
      <c r="D1197" t="s">
        <v>111</v>
      </c>
      <c r="E1197">
        <v>2</v>
      </c>
      <c r="F1197" t="str">
        <f t="shared" si="18"/>
        <v>Alkaloid metabolism</v>
      </c>
    </row>
    <row r="1198" spans="1:6" x14ac:dyDescent="0.45">
      <c r="A1198" t="s">
        <v>55</v>
      </c>
      <c r="B1198">
        <v>7</v>
      </c>
      <c r="C1198">
        <v>1</v>
      </c>
      <c r="D1198" t="s">
        <v>111</v>
      </c>
      <c r="E1198">
        <v>1</v>
      </c>
      <c r="F1198" t="str">
        <f t="shared" si="18"/>
        <v>Alkaloid metabolism</v>
      </c>
    </row>
    <row r="1199" spans="1:6" x14ac:dyDescent="0.45">
      <c r="A1199" t="s">
        <v>91</v>
      </c>
      <c r="B1199">
        <v>7</v>
      </c>
      <c r="C1199">
        <v>1</v>
      </c>
      <c r="D1199" t="s">
        <v>111</v>
      </c>
      <c r="E1199">
        <v>1</v>
      </c>
      <c r="F1199" t="str">
        <f t="shared" si="18"/>
        <v>Genetic Information Processing</v>
      </c>
    </row>
    <row r="1200" spans="1:6" x14ac:dyDescent="0.45">
      <c r="A1200" t="s">
        <v>56</v>
      </c>
      <c r="B1200">
        <v>7</v>
      </c>
      <c r="C1200">
        <v>1</v>
      </c>
      <c r="D1200" t="s">
        <v>111</v>
      </c>
      <c r="E1200">
        <v>1</v>
      </c>
      <c r="F1200" t="str">
        <f t="shared" si="18"/>
        <v>Lipid metabolism</v>
      </c>
    </row>
    <row r="1201" spans="1:6" x14ac:dyDescent="0.45">
      <c r="A1201" t="s">
        <v>32</v>
      </c>
      <c r="B1201">
        <v>7</v>
      </c>
      <c r="C1201">
        <v>1</v>
      </c>
      <c r="D1201" t="s">
        <v>111</v>
      </c>
      <c r="E1201">
        <v>2</v>
      </c>
      <c r="F1201" t="str">
        <f t="shared" si="18"/>
        <v xml:space="preserve">Carbon metabolism </v>
      </c>
    </row>
    <row r="1202" spans="1:6" x14ac:dyDescent="0.45">
      <c r="A1202" t="s">
        <v>34</v>
      </c>
      <c r="B1202">
        <v>7</v>
      </c>
      <c r="C1202">
        <v>1</v>
      </c>
      <c r="D1202" t="s">
        <v>111</v>
      </c>
      <c r="E1202">
        <v>1</v>
      </c>
      <c r="F1202" t="str">
        <f t="shared" si="18"/>
        <v>Amino acid metabolism</v>
      </c>
    </row>
    <row r="1203" spans="1:6" x14ac:dyDescent="0.45">
      <c r="A1203" t="s">
        <v>95</v>
      </c>
      <c r="B1203">
        <v>7</v>
      </c>
      <c r="C1203">
        <v>1</v>
      </c>
      <c r="D1203" t="s">
        <v>111</v>
      </c>
      <c r="E1203">
        <v>1</v>
      </c>
      <c r="F1203" t="str">
        <f t="shared" si="18"/>
        <v>Amino acid metabolism</v>
      </c>
    </row>
    <row r="1204" spans="1:6" x14ac:dyDescent="0.45">
      <c r="A1204" t="s">
        <v>36</v>
      </c>
      <c r="B1204">
        <v>7</v>
      </c>
      <c r="C1204">
        <v>1</v>
      </c>
      <c r="D1204" t="s">
        <v>111</v>
      </c>
      <c r="E1204">
        <v>1</v>
      </c>
      <c r="F1204" t="str">
        <f t="shared" si="18"/>
        <v>Phenylpropanoid metabolism</v>
      </c>
    </row>
    <row r="1205" spans="1:6" x14ac:dyDescent="0.45">
      <c r="A1205" t="s">
        <v>49</v>
      </c>
      <c r="B1205">
        <v>7</v>
      </c>
      <c r="C1205">
        <v>1</v>
      </c>
      <c r="D1205" t="s">
        <v>111</v>
      </c>
      <c r="E1205">
        <v>1</v>
      </c>
      <c r="F1205" t="str">
        <f t="shared" si="18"/>
        <v>Phenylpropanoid metabolism</v>
      </c>
    </row>
    <row r="1206" spans="1:6" x14ac:dyDescent="0.45">
      <c r="A1206" t="s">
        <v>10</v>
      </c>
      <c r="B1206">
        <v>7</v>
      </c>
      <c r="C1206">
        <v>-1</v>
      </c>
      <c r="D1206" t="s">
        <v>111</v>
      </c>
      <c r="E1206">
        <v>2</v>
      </c>
      <c r="F1206" t="str">
        <f t="shared" si="18"/>
        <v>Nucleotide metabolism</v>
      </c>
    </row>
    <row r="1207" spans="1:6" x14ac:dyDescent="0.45">
      <c r="A1207" t="s">
        <v>31</v>
      </c>
      <c r="B1207">
        <v>7</v>
      </c>
      <c r="C1207">
        <v>-1</v>
      </c>
      <c r="D1207" t="s">
        <v>111</v>
      </c>
      <c r="E1207">
        <v>2</v>
      </c>
      <c r="F1207" t="str">
        <f t="shared" si="18"/>
        <v>Glucosinolate biosynthesis</v>
      </c>
    </row>
    <row r="1208" spans="1:6" x14ac:dyDescent="0.45">
      <c r="A1208" t="s">
        <v>32</v>
      </c>
      <c r="B1208">
        <v>7</v>
      </c>
      <c r="C1208">
        <v>-1</v>
      </c>
      <c r="D1208" t="s">
        <v>111</v>
      </c>
      <c r="E1208">
        <v>2</v>
      </c>
      <c r="F1208" t="str">
        <f t="shared" si="18"/>
        <v xml:space="preserve">Carbon metabolism </v>
      </c>
    </row>
    <row r="1209" spans="1:6" x14ac:dyDescent="0.45">
      <c r="A1209" t="s">
        <v>33</v>
      </c>
      <c r="B1209">
        <v>7</v>
      </c>
      <c r="C1209">
        <v>-1</v>
      </c>
      <c r="D1209" t="s">
        <v>111</v>
      </c>
      <c r="E1209">
        <v>2</v>
      </c>
      <c r="F1209" t="str">
        <f t="shared" si="18"/>
        <v>Amino acid metabolism</v>
      </c>
    </row>
    <row r="1210" spans="1:6" x14ac:dyDescent="0.45">
      <c r="A1210" t="s">
        <v>7</v>
      </c>
      <c r="B1210">
        <v>7</v>
      </c>
      <c r="C1210">
        <v>-1</v>
      </c>
      <c r="D1210" t="s">
        <v>111</v>
      </c>
      <c r="E1210">
        <v>1</v>
      </c>
      <c r="F1210" t="str">
        <f t="shared" si="18"/>
        <v>Nucleotide metabolism</v>
      </c>
    </row>
    <row r="1211" spans="1:6" x14ac:dyDescent="0.45">
      <c r="A1211" t="s">
        <v>76</v>
      </c>
      <c r="B1211">
        <v>7</v>
      </c>
      <c r="C1211">
        <v>-1</v>
      </c>
      <c r="D1211" t="s">
        <v>111</v>
      </c>
      <c r="E1211">
        <v>1</v>
      </c>
      <c r="F1211" t="str">
        <f t="shared" si="18"/>
        <v>Biosynthesis of other secondary metabolites</v>
      </c>
    </row>
    <row r="1212" spans="1:6" x14ac:dyDescent="0.45">
      <c r="A1212" t="s">
        <v>42</v>
      </c>
      <c r="B1212">
        <v>7</v>
      </c>
      <c r="C1212">
        <v>-1</v>
      </c>
      <c r="D1212" t="s">
        <v>111</v>
      </c>
      <c r="E1212">
        <v>1</v>
      </c>
      <c r="F1212" t="str">
        <f t="shared" si="18"/>
        <v>Amino acid metabolism</v>
      </c>
    </row>
    <row r="1213" spans="1:6" x14ac:dyDescent="0.45">
      <c r="A1213" t="s">
        <v>100</v>
      </c>
      <c r="B1213">
        <v>7</v>
      </c>
      <c r="C1213">
        <v>-1</v>
      </c>
      <c r="D1213" t="s">
        <v>111</v>
      </c>
      <c r="E1213">
        <v>1</v>
      </c>
      <c r="F1213" t="str">
        <f t="shared" si="18"/>
        <v>Amino acid metabolism</v>
      </c>
    </row>
    <row r="1214" spans="1:6" x14ac:dyDescent="0.45">
      <c r="A1214" t="s">
        <v>63</v>
      </c>
      <c r="B1214">
        <v>7</v>
      </c>
      <c r="C1214">
        <v>-1</v>
      </c>
      <c r="D1214" t="s">
        <v>111</v>
      </c>
      <c r="E1214">
        <v>1</v>
      </c>
      <c r="F1214" t="str">
        <f t="shared" si="18"/>
        <v>Amino acid metabolism</v>
      </c>
    </row>
    <row r="1215" spans="1:6" x14ac:dyDescent="0.45">
      <c r="A1215" t="s">
        <v>50</v>
      </c>
      <c r="B1215">
        <v>7</v>
      </c>
      <c r="C1215">
        <v>-1</v>
      </c>
      <c r="D1215" t="s">
        <v>111</v>
      </c>
      <c r="E1215">
        <v>1</v>
      </c>
      <c r="F1215" t="str">
        <f t="shared" si="18"/>
        <v>Lipid metabolism</v>
      </c>
    </row>
    <row r="1216" spans="1:6" x14ac:dyDescent="0.45">
      <c r="A1216" t="s">
        <v>23</v>
      </c>
      <c r="B1216">
        <v>7</v>
      </c>
      <c r="C1216">
        <v>-1</v>
      </c>
      <c r="D1216" t="s">
        <v>111</v>
      </c>
      <c r="E1216">
        <v>1</v>
      </c>
      <c r="F1216" t="str">
        <f t="shared" si="18"/>
        <v>Carbon metabolism</v>
      </c>
    </row>
    <row r="1217" spans="1:6" x14ac:dyDescent="0.45">
      <c r="A1217" t="s">
        <v>64</v>
      </c>
      <c r="B1217">
        <v>7</v>
      </c>
      <c r="C1217">
        <v>-1</v>
      </c>
      <c r="D1217" t="s">
        <v>111</v>
      </c>
      <c r="E1217">
        <v>1</v>
      </c>
      <c r="F1217" t="str">
        <f t="shared" si="18"/>
        <v>Metabolism of cofactors and vitamins</v>
      </c>
    </row>
    <row r="1218" spans="1:6" x14ac:dyDescent="0.45">
      <c r="A1218" t="s">
        <v>14</v>
      </c>
      <c r="B1218">
        <v>7</v>
      </c>
      <c r="C1218">
        <v>-1</v>
      </c>
      <c r="D1218" t="s">
        <v>111</v>
      </c>
      <c r="E1218">
        <v>1</v>
      </c>
      <c r="F1218" t="str">
        <f t="shared" si="18"/>
        <v>Alkaloid metabolism</v>
      </c>
    </row>
    <row r="1219" spans="1:6" x14ac:dyDescent="0.45">
      <c r="A1219" t="s">
        <v>55</v>
      </c>
      <c r="B1219">
        <v>7</v>
      </c>
      <c r="C1219">
        <v>-1</v>
      </c>
      <c r="D1219" t="s">
        <v>111</v>
      </c>
      <c r="E1219">
        <v>1</v>
      </c>
      <c r="F1219" t="str">
        <f t="shared" si="18"/>
        <v>Alkaloid metabolism</v>
      </c>
    </row>
    <row r="1220" spans="1:6" x14ac:dyDescent="0.45">
      <c r="A1220" t="s">
        <v>65</v>
      </c>
      <c r="B1220">
        <v>7</v>
      </c>
      <c r="C1220">
        <v>-1</v>
      </c>
      <c r="D1220" t="s">
        <v>111</v>
      </c>
      <c r="E1220">
        <v>1</v>
      </c>
      <c r="F1220" t="str">
        <f t="shared" ref="F1220:F1283" si="19">_xlfn.XLOOKUP(A1220,$H$2:$H$200,$I$2:$I$200)</f>
        <v>Secondary metabolism</v>
      </c>
    </row>
    <row r="1221" spans="1:6" x14ac:dyDescent="0.45">
      <c r="A1221" t="s">
        <v>7</v>
      </c>
      <c r="B1221">
        <v>8</v>
      </c>
      <c r="C1221">
        <v>1</v>
      </c>
      <c r="D1221" t="s">
        <v>111</v>
      </c>
      <c r="E1221">
        <v>1</v>
      </c>
      <c r="F1221" t="str">
        <f t="shared" si="19"/>
        <v>Nucleotide metabolism</v>
      </c>
    </row>
    <row r="1222" spans="1:6" x14ac:dyDescent="0.45">
      <c r="A1222" t="s">
        <v>10</v>
      </c>
      <c r="B1222">
        <v>8</v>
      </c>
      <c r="C1222">
        <v>1</v>
      </c>
      <c r="D1222" t="s">
        <v>111</v>
      </c>
      <c r="E1222">
        <v>1</v>
      </c>
      <c r="F1222" t="str">
        <f t="shared" si="19"/>
        <v>Nucleotide metabolism</v>
      </c>
    </row>
    <row r="1223" spans="1:6" x14ac:dyDescent="0.45">
      <c r="A1223" t="s">
        <v>63</v>
      </c>
      <c r="B1223">
        <v>8</v>
      </c>
      <c r="C1223">
        <v>1</v>
      </c>
      <c r="D1223" t="s">
        <v>111</v>
      </c>
      <c r="E1223">
        <v>2</v>
      </c>
      <c r="F1223" t="str">
        <f t="shared" si="19"/>
        <v>Amino acid metabolism</v>
      </c>
    </row>
    <row r="1224" spans="1:6" x14ac:dyDescent="0.45">
      <c r="A1224" t="s">
        <v>55</v>
      </c>
      <c r="B1224">
        <v>8</v>
      </c>
      <c r="C1224">
        <v>1</v>
      </c>
      <c r="D1224" t="s">
        <v>111</v>
      </c>
      <c r="E1224">
        <v>1</v>
      </c>
      <c r="F1224" t="str">
        <f t="shared" si="19"/>
        <v>Alkaloid metabolism</v>
      </c>
    </row>
    <row r="1225" spans="1:6" x14ac:dyDescent="0.45">
      <c r="A1225" t="s">
        <v>31</v>
      </c>
      <c r="B1225">
        <v>8</v>
      </c>
      <c r="C1225">
        <v>1</v>
      </c>
      <c r="D1225" t="s">
        <v>111</v>
      </c>
      <c r="E1225">
        <v>2</v>
      </c>
      <c r="F1225" t="str">
        <f t="shared" si="19"/>
        <v>Glucosinolate biosynthesis</v>
      </c>
    </row>
    <row r="1226" spans="1:6" x14ac:dyDescent="0.45">
      <c r="A1226" t="s">
        <v>33</v>
      </c>
      <c r="B1226">
        <v>8</v>
      </c>
      <c r="C1226">
        <v>1</v>
      </c>
      <c r="D1226" t="s">
        <v>111</v>
      </c>
      <c r="E1226">
        <v>2</v>
      </c>
      <c r="F1226" t="str">
        <f t="shared" si="19"/>
        <v>Amino acid metabolism</v>
      </c>
    </row>
    <row r="1227" spans="1:6" x14ac:dyDescent="0.45">
      <c r="A1227" t="s">
        <v>38</v>
      </c>
      <c r="B1227">
        <v>8</v>
      </c>
      <c r="C1227">
        <v>1</v>
      </c>
      <c r="D1227" t="s">
        <v>111</v>
      </c>
      <c r="E1227">
        <v>1</v>
      </c>
      <c r="F1227" t="str">
        <f t="shared" si="19"/>
        <v>Degradation of aromatic compounds</v>
      </c>
    </row>
    <row r="1228" spans="1:6" x14ac:dyDescent="0.45">
      <c r="A1228" t="s">
        <v>34</v>
      </c>
      <c r="B1228">
        <v>8</v>
      </c>
      <c r="C1228">
        <v>1</v>
      </c>
      <c r="D1228" t="s">
        <v>111</v>
      </c>
      <c r="E1228">
        <v>2</v>
      </c>
      <c r="F1228" t="str">
        <f t="shared" si="19"/>
        <v>Amino acid metabolism</v>
      </c>
    </row>
    <row r="1229" spans="1:6" x14ac:dyDescent="0.45">
      <c r="A1229" t="s">
        <v>81</v>
      </c>
      <c r="B1229">
        <v>8</v>
      </c>
      <c r="C1229">
        <v>1</v>
      </c>
      <c r="D1229" t="s">
        <v>111</v>
      </c>
      <c r="E1229">
        <v>1</v>
      </c>
      <c r="F1229" t="str">
        <f t="shared" si="19"/>
        <v>Amino acid metabolism</v>
      </c>
    </row>
    <row r="1230" spans="1:6" x14ac:dyDescent="0.45">
      <c r="A1230" t="s">
        <v>38</v>
      </c>
      <c r="B1230">
        <v>8</v>
      </c>
      <c r="C1230">
        <v>-1</v>
      </c>
      <c r="D1230" t="s">
        <v>111</v>
      </c>
      <c r="E1230">
        <v>9</v>
      </c>
      <c r="F1230" t="str">
        <f t="shared" si="19"/>
        <v>Degradation of aromatic compounds</v>
      </c>
    </row>
    <row r="1231" spans="1:6" x14ac:dyDescent="0.45">
      <c r="A1231" t="s">
        <v>34</v>
      </c>
      <c r="B1231">
        <v>8</v>
      </c>
      <c r="C1231">
        <v>-1</v>
      </c>
      <c r="D1231" t="s">
        <v>111</v>
      </c>
      <c r="E1231">
        <v>5</v>
      </c>
      <c r="F1231" t="str">
        <f t="shared" si="19"/>
        <v>Amino acid metabolism</v>
      </c>
    </row>
    <row r="1232" spans="1:6" x14ac:dyDescent="0.45">
      <c r="A1232" t="s">
        <v>7</v>
      </c>
      <c r="B1232">
        <v>8</v>
      </c>
      <c r="C1232">
        <v>-1</v>
      </c>
      <c r="D1232" t="s">
        <v>111</v>
      </c>
      <c r="E1232">
        <v>4</v>
      </c>
      <c r="F1232" t="str">
        <f t="shared" si="19"/>
        <v>Nucleotide metabolism</v>
      </c>
    </row>
    <row r="1233" spans="1:6" x14ac:dyDescent="0.45">
      <c r="A1233" t="s">
        <v>43</v>
      </c>
      <c r="B1233">
        <v>8</v>
      </c>
      <c r="C1233">
        <v>-1</v>
      </c>
      <c r="D1233" t="s">
        <v>111</v>
      </c>
      <c r="E1233">
        <v>4</v>
      </c>
      <c r="F1233" t="str">
        <f t="shared" si="19"/>
        <v>Amino acid metabolism</v>
      </c>
    </row>
    <row r="1234" spans="1:6" x14ac:dyDescent="0.45">
      <c r="A1234" t="s">
        <v>28</v>
      </c>
      <c r="B1234">
        <v>8</v>
      </c>
      <c r="C1234">
        <v>-1</v>
      </c>
      <c r="D1234" t="s">
        <v>111</v>
      </c>
      <c r="E1234">
        <v>5</v>
      </c>
      <c r="F1234" t="str">
        <f t="shared" si="19"/>
        <v>Metabolism of terpenoids and polyketides</v>
      </c>
    </row>
    <row r="1235" spans="1:6" x14ac:dyDescent="0.45">
      <c r="A1235" t="s">
        <v>33</v>
      </c>
      <c r="B1235">
        <v>8</v>
      </c>
      <c r="C1235">
        <v>-1</v>
      </c>
      <c r="D1235" t="s">
        <v>111</v>
      </c>
      <c r="E1235">
        <v>5</v>
      </c>
      <c r="F1235" t="str">
        <f t="shared" si="19"/>
        <v>Amino acid metabolism</v>
      </c>
    </row>
    <row r="1236" spans="1:6" x14ac:dyDescent="0.45">
      <c r="A1236" t="s">
        <v>53</v>
      </c>
      <c r="B1236">
        <v>8</v>
      </c>
      <c r="C1236">
        <v>-1</v>
      </c>
      <c r="D1236" t="s">
        <v>111</v>
      </c>
      <c r="E1236">
        <v>3</v>
      </c>
      <c r="F1236" t="str">
        <f t="shared" si="19"/>
        <v>Amino acid metabolism</v>
      </c>
    </row>
    <row r="1237" spans="1:6" x14ac:dyDescent="0.45">
      <c r="A1237" t="s">
        <v>51</v>
      </c>
      <c r="B1237">
        <v>8</v>
      </c>
      <c r="C1237">
        <v>-1</v>
      </c>
      <c r="D1237" t="s">
        <v>111</v>
      </c>
      <c r="E1237">
        <v>3</v>
      </c>
      <c r="F1237" t="str">
        <f t="shared" si="19"/>
        <v>Metabolism of terpenoids and polyketides</v>
      </c>
    </row>
    <row r="1238" spans="1:6" x14ac:dyDescent="0.45">
      <c r="A1238" t="s">
        <v>54</v>
      </c>
      <c r="B1238">
        <v>8</v>
      </c>
      <c r="C1238">
        <v>-1</v>
      </c>
      <c r="D1238" t="s">
        <v>111</v>
      </c>
      <c r="E1238">
        <v>3</v>
      </c>
      <c r="F1238" t="str">
        <f t="shared" si="19"/>
        <v>Amino acid metabolism</v>
      </c>
    </row>
    <row r="1239" spans="1:6" x14ac:dyDescent="0.45">
      <c r="A1239" t="s">
        <v>63</v>
      </c>
      <c r="B1239">
        <v>8</v>
      </c>
      <c r="C1239">
        <v>-1</v>
      </c>
      <c r="D1239" t="s">
        <v>111</v>
      </c>
      <c r="E1239">
        <v>2</v>
      </c>
      <c r="F1239" t="str">
        <f t="shared" si="19"/>
        <v>Amino acid metabolism</v>
      </c>
    </row>
    <row r="1240" spans="1:6" x14ac:dyDescent="0.45">
      <c r="A1240" t="s">
        <v>44</v>
      </c>
      <c r="B1240">
        <v>8</v>
      </c>
      <c r="C1240">
        <v>-1</v>
      </c>
      <c r="D1240" t="s">
        <v>111</v>
      </c>
      <c r="E1240">
        <v>2</v>
      </c>
      <c r="F1240" t="str">
        <f t="shared" si="19"/>
        <v>Amino acid metabolism</v>
      </c>
    </row>
    <row r="1241" spans="1:6" x14ac:dyDescent="0.45">
      <c r="A1241" t="s">
        <v>17</v>
      </c>
      <c r="B1241">
        <v>8</v>
      </c>
      <c r="C1241">
        <v>-1</v>
      </c>
      <c r="D1241" t="s">
        <v>111</v>
      </c>
      <c r="E1241">
        <v>2</v>
      </c>
      <c r="F1241" t="str">
        <f t="shared" si="19"/>
        <v>Amino acid metabolism</v>
      </c>
    </row>
    <row r="1242" spans="1:6" x14ac:dyDescent="0.45">
      <c r="A1242" t="s">
        <v>60</v>
      </c>
      <c r="B1242">
        <v>8</v>
      </c>
      <c r="C1242">
        <v>-1</v>
      </c>
      <c r="D1242" t="s">
        <v>111</v>
      </c>
      <c r="E1242">
        <v>2</v>
      </c>
      <c r="F1242" t="str">
        <f t="shared" si="19"/>
        <v>Metabolism of cofactors and vitamins</v>
      </c>
    </row>
    <row r="1243" spans="1:6" x14ac:dyDescent="0.45">
      <c r="A1243" t="s">
        <v>35</v>
      </c>
      <c r="B1243">
        <v>8</v>
      </c>
      <c r="C1243">
        <v>-1</v>
      </c>
      <c r="D1243" t="s">
        <v>111</v>
      </c>
      <c r="E1243">
        <v>2</v>
      </c>
      <c r="F1243" t="str">
        <f t="shared" si="19"/>
        <v>Membrane transport</v>
      </c>
    </row>
    <row r="1244" spans="1:6" x14ac:dyDescent="0.45">
      <c r="A1244" t="s">
        <v>96</v>
      </c>
      <c r="B1244">
        <v>8</v>
      </c>
      <c r="C1244">
        <v>-1</v>
      </c>
      <c r="D1244" t="s">
        <v>111</v>
      </c>
      <c r="E1244">
        <v>2</v>
      </c>
      <c r="F1244" t="str">
        <f t="shared" si="19"/>
        <v>JA biosynthesis</v>
      </c>
    </row>
    <row r="1245" spans="1:6" x14ac:dyDescent="0.45">
      <c r="A1245" t="s">
        <v>49</v>
      </c>
      <c r="B1245">
        <v>8</v>
      </c>
      <c r="C1245">
        <v>-1</v>
      </c>
      <c r="D1245" t="s">
        <v>111</v>
      </c>
      <c r="E1245">
        <v>2</v>
      </c>
      <c r="F1245" t="str">
        <f t="shared" si="19"/>
        <v>Phenylpropanoid metabolism</v>
      </c>
    </row>
    <row r="1246" spans="1:6" x14ac:dyDescent="0.45">
      <c r="A1246" t="s">
        <v>20</v>
      </c>
      <c r="B1246">
        <v>8</v>
      </c>
      <c r="C1246">
        <v>-1</v>
      </c>
      <c r="D1246" t="s">
        <v>111</v>
      </c>
      <c r="E1246">
        <v>2</v>
      </c>
      <c r="F1246" t="str">
        <f t="shared" si="19"/>
        <v>Carbohydrate metabolism</v>
      </c>
    </row>
    <row r="1247" spans="1:6" x14ac:dyDescent="0.45">
      <c r="A1247" t="s">
        <v>36</v>
      </c>
      <c r="B1247">
        <v>8</v>
      </c>
      <c r="C1247">
        <v>-1</v>
      </c>
      <c r="D1247" t="s">
        <v>111</v>
      </c>
      <c r="E1247">
        <v>2</v>
      </c>
      <c r="F1247" t="str">
        <f t="shared" si="19"/>
        <v>Phenylpropanoid metabolism</v>
      </c>
    </row>
    <row r="1248" spans="1:6" x14ac:dyDescent="0.45">
      <c r="A1248" t="s">
        <v>66</v>
      </c>
      <c r="B1248">
        <v>8</v>
      </c>
      <c r="C1248">
        <v>-1</v>
      </c>
      <c r="D1248" t="s">
        <v>111</v>
      </c>
      <c r="E1248">
        <v>1</v>
      </c>
      <c r="F1248" t="str">
        <f t="shared" si="19"/>
        <v>Carbohydrate metabolism</v>
      </c>
    </row>
    <row r="1249" spans="1:6" x14ac:dyDescent="0.45">
      <c r="A1249" t="s">
        <v>9</v>
      </c>
      <c r="B1249">
        <v>8</v>
      </c>
      <c r="C1249">
        <v>-1</v>
      </c>
      <c r="D1249" t="s">
        <v>111</v>
      </c>
      <c r="E1249">
        <v>2</v>
      </c>
      <c r="F1249" t="str">
        <f t="shared" si="19"/>
        <v>Carbohydrate metabolism</v>
      </c>
    </row>
    <row r="1250" spans="1:6" x14ac:dyDescent="0.45">
      <c r="A1250" t="s">
        <v>116</v>
      </c>
      <c r="B1250">
        <v>8</v>
      </c>
      <c r="C1250">
        <v>-1</v>
      </c>
      <c r="D1250" t="s">
        <v>111</v>
      </c>
      <c r="E1250">
        <v>1</v>
      </c>
      <c r="F1250" t="str">
        <f t="shared" si="19"/>
        <v>Energy metabolism</v>
      </c>
    </row>
    <row r="1251" spans="1:6" x14ac:dyDescent="0.45">
      <c r="A1251" t="s">
        <v>10</v>
      </c>
      <c r="B1251">
        <v>8</v>
      </c>
      <c r="C1251">
        <v>-1</v>
      </c>
      <c r="D1251" t="s">
        <v>111</v>
      </c>
      <c r="E1251">
        <v>1</v>
      </c>
      <c r="F1251" t="str">
        <f t="shared" si="19"/>
        <v>Nucleotide metabolism</v>
      </c>
    </row>
    <row r="1252" spans="1:6" x14ac:dyDescent="0.45">
      <c r="A1252" t="s">
        <v>58</v>
      </c>
      <c r="B1252">
        <v>8</v>
      </c>
      <c r="C1252">
        <v>-1</v>
      </c>
      <c r="D1252" t="s">
        <v>111</v>
      </c>
      <c r="E1252">
        <v>1</v>
      </c>
      <c r="F1252" t="str">
        <f t="shared" si="19"/>
        <v>Amino acid metabolism</v>
      </c>
    </row>
    <row r="1253" spans="1:6" x14ac:dyDescent="0.45">
      <c r="A1253" t="s">
        <v>82</v>
      </c>
      <c r="B1253">
        <v>8</v>
      </c>
      <c r="C1253">
        <v>-1</v>
      </c>
      <c r="D1253" t="s">
        <v>111</v>
      </c>
      <c r="E1253">
        <v>1</v>
      </c>
      <c r="F1253" t="str">
        <f t="shared" si="19"/>
        <v>Amino acid metabolism</v>
      </c>
    </row>
    <row r="1254" spans="1:6" x14ac:dyDescent="0.45">
      <c r="A1254" t="s">
        <v>100</v>
      </c>
      <c r="B1254">
        <v>8</v>
      </c>
      <c r="C1254">
        <v>-1</v>
      </c>
      <c r="D1254" t="s">
        <v>111</v>
      </c>
      <c r="E1254">
        <v>1</v>
      </c>
      <c r="F1254" t="str">
        <f t="shared" si="19"/>
        <v>Amino acid metabolism</v>
      </c>
    </row>
    <row r="1255" spans="1:6" x14ac:dyDescent="0.45">
      <c r="A1255" t="s">
        <v>18</v>
      </c>
      <c r="B1255">
        <v>8</v>
      </c>
      <c r="C1255">
        <v>-1</v>
      </c>
      <c r="D1255" t="s">
        <v>111</v>
      </c>
      <c r="E1255">
        <v>1</v>
      </c>
      <c r="F1255" t="str">
        <f t="shared" si="19"/>
        <v>Amino acid metabolism</v>
      </c>
    </row>
    <row r="1256" spans="1:6" x14ac:dyDescent="0.45">
      <c r="A1256" t="s">
        <v>67</v>
      </c>
      <c r="B1256">
        <v>8</v>
      </c>
      <c r="C1256">
        <v>-1</v>
      </c>
      <c r="D1256" t="s">
        <v>111</v>
      </c>
      <c r="E1256">
        <v>1</v>
      </c>
      <c r="F1256" t="str">
        <f t="shared" si="19"/>
        <v>Carbohydrate metabolism</v>
      </c>
    </row>
    <row r="1257" spans="1:6" x14ac:dyDescent="0.45">
      <c r="A1257" t="s">
        <v>47</v>
      </c>
      <c r="B1257">
        <v>8</v>
      </c>
      <c r="C1257">
        <v>-1</v>
      </c>
      <c r="D1257" t="s">
        <v>111</v>
      </c>
      <c r="E1257">
        <v>1</v>
      </c>
      <c r="F1257" t="str">
        <f t="shared" si="19"/>
        <v>Carbohydrate metabolism</v>
      </c>
    </row>
    <row r="1258" spans="1:6" x14ac:dyDescent="0.45">
      <c r="A1258" t="s">
        <v>112</v>
      </c>
      <c r="B1258">
        <v>8</v>
      </c>
      <c r="C1258">
        <v>-1</v>
      </c>
      <c r="D1258" t="s">
        <v>111</v>
      </c>
      <c r="E1258">
        <v>1</v>
      </c>
      <c r="F1258" t="str">
        <f t="shared" si="19"/>
        <v>Metabolism of cofactors and vitamins</v>
      </c>
    </row>
    <row r="1259" spans="1:6" x14ac:dyDescent="0.45">
      <c r="A1259" t="s">
        <v>24</v>
      </c>
      <c r="B1259">
        <v>8</v>
      </c>
      <c r="C1259">
        <v>-1</v>
      </c>
      <c r="D1259" t="s">
        <v>111</v>
      </c>
      <c r="E1259">
        <v>1</v>
      </c>
      <c r="F1259" t="str">
        <f t="shared" si="19"/>
        <v>Metabolism of cofactors and vitamin</v>
      </c>
    </row>
    <row r="1260" spans="1:6" x14ac:dyDescent="0.45">
      <c r="A1260" t="s">
        <v>26</v>
      </c>
      <c r="B1260">
        <v>8</v>
      </c>
      <c r="C1260">
        <v>-1</v>
      </c>
      <c r="D1260" t="s">
        <v>111</v>
      </c>
      <c r="E1260">
        <v>1</v>
      </c>
      <c r="F1260" t="str">
        <f t="shared" si="19"/>
        <v>Metabolism of cofactors and vitamins</v>
      </c>
    </row>
    <row r="1261" spans="1:6" x14ac:dyDescent="0.45">
      <c r="A1261" t="s">
        <v>27</v>
      </c>
      <c r="B1261">
        <v>8</v>
      </c>
      <c r="C1261">
        <v>-1</v>
      </c>
      <c r="D1261" t="s">
        <v>111</v>
      </c>
      <c r="E1261">
        <v>1</v>
      </c>
      <c r="F1261" t="str">
        <f t="shared" si="19"/>
        <v>Metabolism of cofactors and vitamins</v>
      </c>
    </row>
    <row r="1262" spans="1:6" x14ac:dyDescent="0.45">
      <c r="A1262" t="s">
        <v>70</v>
      </c>
      <c r="B1262">
        <v>8</v>
      </c>
      <c r="C1262">
        <v>-1</v>
      </c>
      <c r="D1262" t="s">
        <v>111</v>
      </c>
      <c r="E1262">
        <v>1</v>
      </c>
      <c r="F1262" t="str">
        <f t="shared" si="19"/>
        <v>Metabolism of terpenoids and polyketides</v>
      </c>
    </row>
    <row r="1263" spans="1:6" x14ac:dyDescent="0.45">
      <c r="A1263" t="s">
        <v>71</v>
      </c>
      <c r="B1263">
        <v>8</v>
      </c>
      <c r="C1263">
        <v>-1</v>
      </c>
      <c r="D1263" t="s">
        <v>111</v>
      </c>
      <c r="E1263">
        <v>1</v>
      </c>
      <c r="F1263" t="str">
        <f t="shared" si="19"/>
        <v>Metabolism of terpenoids and polyketides</v>
      </c>
    </row>
    <row r="1264" spans="1:6" x14ac:dyDescent="0.45">
      <c r="A1264" t="s">
        <v>79</v>
      </c>
      <c r="B1264">
        <v>8</v>
      </c>
      <c r="C1264">
        <v>-1</v>
      </c>
      <c r="D1264" t="s">
        <v>111</v>
      </c>
      <c r="E1264">
        <v>1</v>
      </c>
      <c r="F1264" t="str">
        <f t="shared" si="19"/>
        <v>Terpenoid metabolism</v>
      </c>
    </row>
    <row r="1265" spans="1:6" x14ac:dyDescent="0.45">
      <c r="A1265" t="s">
        <v>13</v>
      </c>
      <c r="B1265">
        <v>8</v>
      </c>
      <c r="C1265">
        <v>-1</v>
      </c>
      <c r="D1265" t="s">
        <v>111</v>
      </c>
      <c r="E1265">
        <v>2</v>
      </c>
      <c r="F1265" t="str">
        <f t="shared" si="19"/>
        <v>Terpenoid metabolism</v>
      </c>
    </row>
    <row r="1266" spans="1:6" x14ac:dyDescent="0.45">
      <c r="A1266" t="s">
        <v>72</v>
      </c>
      <c r="B1266">
        <v>8</v>
      </c>
      <c r="C1266">
        <v>-1</v>
      </c>
      <c r="D1266" t="s">
        <v>111</v>
      </c>
      <c r="E1266">
        <v>1</v>
      </c>
      <c r="F1266" t="str">
        <f t="shared" si="19"/>
        <v>Metabolism of terpenoids and polyketides</v>
      </c>
    </row>
    <row r="1267" spans="1:6" x14ac:dyDescent="0.45">
      <c r="A1267" t="s">
        <v>57</v>
      </c>
      <c r="B1267">
        <v>8</v>
      </c>
      <c r="C1267">
        <v>-1</v>
      </c>
      <c r="D1267" t="s">
        <v>111</v>
      </c>
      <c r="E1267">
        <v>1</v>
      </c>
      <c r="F1267" t="str">
        <f t="shared" si="19"/>
        <v>Phenylpropanoid metabolism</v>
      </c>
    </row>
    <row r="1268" spans="1:6" x14ac:dyDescent="0.45">
      <c r="A1268" t="s">
        <v>84</v>
      </c>
      <c r="B1268">
        <v>8</v>
      </c>
      <c r="C1268">
        <v>-1</v>
      </c>
      <c r="D1268" t="s">
        <v>111</v>
      </c>
      <c r="E1268">
        <v>1</v>
      </c>
      <c r="F1268" t="str">
        <f t="shared" si="19"/>
        <v>Stilbenoid; diarylheptanoid and gingerol biosynthesis</v>
      </c>
    </row>
    <row r="1269" spans="1:6" x14ac:dyDescent="0.45">
      <c r="A1269" t="s">
        <v>14</v>
      </c>
      <c r="B1269">
        <v>8</v>
      </c>
      <c r="C1269">
        <v>-1</v>
      </c>
      <c r="D1269" t="s">
        <v>111</v>
      </c>
      <c r="E1269">
        <v>1</v>
      </c>
      <c r="F1269" t="str">
        <f t="shared" si="19"/>
        <v>Alkaloid metabolism</v>
      </c>
    </row>
    <row r="1270" spans="1:6" x14ac:dyDescent="0.45">
      <c r="A1270" t="s">
        <v>55</v>
      </c>
      <c r="B1270">
        <v>8</v>
      </c>
      <c r="C1270">
        <v>-1</v>
      </c>
      <c r="D1270" t="s">
        <v>111</v>
      </c>
      <c r="E1270">
        <v>1</v>
      </c>
      <c r="F1270" t="str">
        <f t="shared" si="19"/>
        <v>Alkaloid metabolism</v>
      </c>
    </row>
    <row r="1271" spans="1:6" x14ac:dyDescent="0.45">
      <c r="A1271" t="s">
        <v>31</v>
      </c>
      <c r="B1271">
        <v>8</v>
      </c>
      <c r="C1271">
        <v>-1</v>
      </c>
      <c r="D1271" t="s">
        <v>111</v>
      </c>
      <c r="E1271">
        <v>2</v>
      </c>
      <c r="F1271" t="str">
        <f t="shared" si="19"/>
        <v>Glucosinolate biosynthesis</v>
      </c>
    </row>
    <row r="1272" spans="1:6" x14ac:dyDescent="0.45">
      <c r="A1272" t="s">
        <v>91</v>
      </c>
      <c r="B1272">
        <v>8</v>
      </c>
      <c r="C1272">
        <v>-1</v>
      </c>
      <c r="D1272" t="s">
        <v>111</v>
      </c>
      <c r="E1272">
        <v>1</v>
      </c>
      <c r="F1272" t="str">
        <f t="shared" si="19"/>
        <v>Genetic Information Processing</v>
      </c>
    </row>
    <row r="1273" spans="1:6" x14ac:dyDescent="0.45">
      <c r="A1273" t="s">
        <v>95</v>
      </c>
      <c r="B1273">
        <v>8</v>
      </c>
      <c r="C1273">
        <v>-1</v>
      </c>
      <c r="D1273" t="s">
        <v>111</v>
      </c>
      <c r="E1273">
        <v>1</v>
      </c>
      <c r="F1273" t="str">
        <f t="shared" si="19"/>
        <v>Amino acid metabolism</v>
      </c>
    </row>
    <row r="1274" spans="1:6" x14ac:dyDescent="0.45">
      <c r="A1274" t="s">
        <v>52</v>
      </c>
      <c r="B1274">
        <v>8</v>
      </c>
      <c r="C1274">
        <v>-1</v>
      </c>
      <c r="D1274" t="s">
        <v>111</v>
      </c>
      <c r="E1274">
        <v>4</v>
      </c>
      <c r="F1274" t="str">
        <f t="shared" si="19"/>
        <v>Alkaloid metabolism</v>
      </c>
    </row>
    <row r="1275" spans="1:6" x14ac:dyDescent="0.45">
      <c r="A1275" t="s">
        <v>98</v>
      </c>
      <c r="B1275">
        <v>8</v>
      </c>
      <c r="C1275">
        <v>-1</v>
      </c>
      <c r="D1275" t="s">
        <v>111</v>
      </c>
      <c r="E1275">
        <v>1</v>
      </c>
      <c r="F1275">
        <f t="shared" si="19"/>
        <v>0</v>
      </c>
    </row>
    <row r="1276" spans="1:6" x14ac:dyDescent="0.45">
      <c r="A1276" t="s">
        <v>37</v>
      </c>
      <c r="B1276">
        <v>8</v>
      </c>
      <c r="C1276">
        <v>-1</v>
      </c>
      <c r="D1276" t="s">
        <v>111</v>
      </c>
      <c r="E1276">
        <v>2</v>
      </c>
      <c r="F1276" t="str">
        <f t="shared" si="19"/>
        <v>Primary metabolism</v>
      </c>
    </row>
    <row r="1277" spans="1:6" x14ac:dyDescent="0.45">
      <c r="A1277" t="s">
        <v>65</v>
      </c>
      <c r="B1277">
        <v>8</v>
      </c>
      <c r="C1277">
        <v>-1</v>
      </c>
      <c r="D1277" t="s">
        <v>111</v>
      </c>
      <c r="E1277">
        <v>1</v>
      </c>
      <c r="F1277" t="str">
        <f t="shared" si="19"/>
        <v>Secondary metabolism</v>
      </c>
    </row>
    <row r="1278" spans="1:6" x14ac:dyDescent="0.45">
      <c r="A1278" t="s">
        <v>50</v>
      </c>
      <c r="B1278">
        <v>8</v>
      </c>
      <c r="C1278">
        <v>-1</v>
      </c>
      <c r="D1278" t="s">
        <v>111</v>
      </c>
      <c r="E1278">
        <v>1</v>
      </c>
      <c r="F1278" t="str">
        <f t="shared" si="19"/>
        <v>Lipid metabolism</v>
      </c>
    </row>
    <row r="1279" spans="1:6" x14ac:dyDescent="0.45">
      <c r="A1279" t="s">
        <v>38</v>
      </c>
      <c r="B1279">
        <v>9</v>
      </c>
      <c r="C1279">
        <v>1</v>
      </c>
      <c r="D1279" t="s">
        <v>111</v>
      </c>
      <c r="E1279">
        <v>7</v>
      </c>
      <c r="F1279" t="str">
        <f t="shared" si="19"/>
        <v>Degradation of aromatic compounds</v>
      </c>
    </row>
    <row r="1280" spans="1:6" x14ac:dyDescent="0.45">
      <c r="A1280" t="s">
        <v>33</v>
      </c>
      <c r="B1280">
        <v>9</v>
      </c>
      <c r="C1280">
        <v>1</v>
      </c>
      <c r="D1280" t="s">
        <v>111</v>
      </c>
      <c r="E1280">
        <v>12</v>
      </c>
      <c r="F1280" t="str">
        <f t="shared" si="19"/>
        <v>Amino acid metabolism</v>
      </c>
    </row>
    <row r="1281" spans="1:6" x14ac:dyDescent="0.45">
      <c r="A1281" t="s">
        <v>58</v>
      </c>
      <c r="B1281">
        <v>9</v>
      </c>
      <c r="C1281">
        <v>1</v>
      </c>
      <c r="D1281" t="s">
        <v>111</v>
      </c>
      <c r="E1281">
        <v>5</v>
      </c>
      <c r="F1281" t="str">
        <f t="shared" si="19"/>
        <v>Amino acid metabolism</v>
      </c>
    </row>
    <row r="1282" spans="1:6" x14ac:dyDescent="0.45">
      <c r="A1282" t="s">
        <v>34</v>
      </c>
      <c r="B1282">
        <v>9</v>
      </c>
      <c r="C1282">
        <v>1</v>
      </c>
      <c r="D1282" t="s">
        <v>111</v>
      </c>
      <c r="E1282">
        <v>5</v>
      </c>
      <c r="F1282" t="str">
        <f t="shared" si="19"/>
        <v>Amino acid metabolism</v>
      </c>
    </row>
    <row r="1283" spans="1:6" x14ac:dyDescent="0.45">
      <c r="A1283" t="s">
        <v>54</v>
      </c>
      <c r="B1283">
        <v>9</v>
      </c>
      <c r="C1283">
        <v>1</v>
      </c>
      <c r="D1283" t="s">
        <v>111</v>
      </c>
      <c r="E1283">
        <v>4</v>
      </c>
      <c r="F1283" t="str">
        <f t="shared" si="19"/>
        <v>Amino acid metabolism</v>
      </c>
    </row>
    <row r="1284" spans="1:6" x14ac:dyDescent="0.45">
      <c r="A1284" t="s">
        <v>47</v>
      </c>
      <c r="B1284">
        <v>9</v>
      </c>
      <c r="C1284">
        <v>1</v>
      </c>
      <c r="D1284" t="s">
        <v>111</v>
      </c>
      <c r="E1284">
        <v>3</v>
      </c>
      <c r="F1284" t="str">
        <f t="shared" ref="F1284:F1347" si="20">_xlfn.XLOOKUP(A1284,$H$2:$H$200,$I$2:$I$200)</f>
        <v>Carbohydrate metabolism</v>
      </c>
    </row>
    <row r="1285" spans="1:6" x14ac:dyDescent="0.45">
      <c r="A1285" t="s">
        <v>60</v>
      </c>
      <c r="B1285">
        <v>9</v>
      </c>
      <c r="C1285">
        <v>1</v>
      </c>
      <c r="D1285" t="s">
        <v>111</v>
      </c>
      <c r="E1285">
        <v>4</v>
      </c>
      <c r="F1285" t="str">
        <f t="shared" si="20"/>
        <v>Metabolism of cofactors and vitamins</v>
      </c>
    </row>
    <row r="1286" spans="1:6" x14ac:dyDescent="0.45">
      <c r="A1286" t="s">
        <v>31</v>
      </c>
      <c r="B1286">
        <v>9</v>
      </c>
      <c r="C1286">
        <v>1</v>
      </c>
      <c r="D1286" t="s">
        <v>111</v>
      </c>
      <c r="E1286">
        <v>5</v>
      </c>
      <c r="F1286" t="str">
        <f t="shared" si="20"/>
        <v>Glucosinolate biosynthesis</v>
      </c>
    </row>
    <row r="1287" spans="1:6" x14ac:dyDescent="0.45">
      <c r="A1287" t="s">
        <v>15</v>
      </c>
      <c r="B1287">
        <v>9</v>
      </c>
      <c r="C1287">
        <v>1</v>
      </c>
      <c r="D1287" t="s">
        <v>111</v>
      </c>
      <c r="E1287">
        <v>2</v>
      </c>
      <c r="F1287" t="str">
        <f t="shared" si="20"/>
        <v>Carbon metabolism</v>
      </c>
    </row>
    <row r="1288" spans="1:6" x14ac:dyDescent="0.45">
      <c r="A1288" t="s">
        <v>10</v>
      </c>
      <c r="B1288">
        <v>9</v>
      </c>
      <c r="C1288">
        <v>1</v>
      </c>
      <c r="D1288" t="s">
        <v>111</v>
      </c>
      <c r="E1288">
        <v>2</v>
      </c>
      <c r="F1288" t="str">
        <f t="shared" si="20"/>
        <v>Nucleotide metabolism</v>
      </c>
    </row>
    <row r="1289" spans="1:6" x14ac:dyDescent="0.45">
      <c r="A1289" t="s">
        <v>43</v>
      </c>
      <c r="B1289">
        <v>9</v>
      </c>
      <c r="C1289">
        <v>1</v>
      </c>
      <c r="D1289" t="s">
        <v>111</v>
      </c>
      <c r="E1289">
        <v>2</v>
      </c>
      <c r="F1289" t="str">
        <f t="shared" si="20"/>
        <v>Amino acid metabolism</v>
      </c>
    </row>
    <row r="1290" spans="1:6" x14ac:dyDescent="0.45">
      <c r="A1290" t="s">
        <v>63</v>
      </c>
      <c r="B1290">
        <v>9</v>
      </c>
      <c r="C1290">
        <v>1</v>
      </c>
      <c r="D1290" t="s">
        <v>111</v>
      </c>
      <c r="E1290">
        <v>2</v>
      </c>
      <c r="F1290" t="str">
        <f t="shared" si="20"/>
        <v>Amino acid metabolism</v>
      </c>
    </row>
    <row r="1291" spans="1:6" x14ac:dyDescent="0.45">
      <c r="A1291" t="s">
        <v>67</v>
      </c>
      <c r="B1291">
        <v>9</v>
      </c>
      <c r="C1291">
        <v>1</v>
      </c>
      <c r="D1291" t="s">
        <v>111</v>
      </c>
      <c r="E1291">
        <v>2</v>
      </c>
      <c r="F1291" t="str">
        <f t="shared" si="20"/>
        <v>Carbohydrate metabolism</v>
      </c>
    </row>
    <row r="1292" spans="1:6" x14ac:dyDescent="0.45">
      <c r="A1292" t="s">
        <v>30</v>
      </c>
      <c r="B1292">
        <v>9</v>
      </c>
      <c r="C1292">
        <v>1</v>
      </c>
      <c r="D1292" t="s">
        <v>111</v>
      </c>
      <c r="E1292">
        <v>3</v>
      </c>
      <c r="F1292" t="str">
        <f t="shared" si="20"/>
        <v>Phenylpropanoid biosynthesis</v>
      </c>
    </row>
    <row r="1293" spans="1:6" x14ac:dyDescent="0.45">
      <c r="A1293" t="s">
        <v>14</v>
      </c>
      <c r="B1293">
        <v>9</v>
      </c>
      <c r="C1293">
        <v>1</v>
      </c>
      <c r="D1293" t="s">
        <v>111</v>
      </c>
      <c r="E1293">
        <v>2</v>
      </c>
      <c r="F1293" t="str">
        <f t="shared" si="20"/>
        <v>Alkaloid metabolism</v>
      </c>
    </row>
    <row r="1294" spans="1:6" x14ac:dyDescent="0.45">
      <c r="A1294" t="s">
        <v>32</v>
      </c>
      <c r="B1294">
        <v>9</v>
      </c>
      <c r="C1294">
        <v>1</v>
      </c>
      <c r="D1294" t="s">
        <v>111</v>
      </c>
      <c r="E1294">
        <v>2</v>
      </c>
      <c r="F1294" t="str">
        <f t="shared" si="20"/>
        <v xml:space="preserve">Carbon metabolism </v>
      </c>
    </row>
    <row r="1295" spans="1:6" x14ac:dyDescent="0.45">
      <c r="A1295" t="s">
        <v>36</v>
      </c>
      <c r="B1295">
        <v>9</v>
      </c>
      <c r="C1295">
        <v>1</v>
      </c>
      <c r="D1295" t="s">
        <v>111</v>
      </c>
      <c r="E1295">
        <v>3</v>
      </c>
      <c r="F1295" t="str">
        <f t="shared" si="20"/>
        <v>Phenylpropanoid metabolism</v>
      </c>
    </row>
    <row r="1296" spans="1:6" x14ac:dyDescent="0.45">
      <c r="A1296" t="s">
        <v>65</v>
      </c>
      <c r="B1296">
        <v>9</v>
      </c>
      <c r="C1296">
        <v>1</v>
      </c>
      <c r="D1296" t="s">
        <v>111</v>
      </c>
      <c r="E1296">
        <v>2</v>
      </c>
      <c r="F1296" t="str">
        <f t="shared" si="20"/>
        <v>Secondary metabolism</v>
      </c>
    </row>
    <row r="1297" spans="1:6" x14ac:dyDescent="0.45">
      <c r="A1297" t="s">
        <v>12</v>
      </c>
      <c r="B1297">
        <v>9</v>
      </c>
      <c r="C1297">
        <v>1</v>
      </c>
      <c r="D1297" t="s">
        <v>111</v>
      </c>
      <c r="E1297">
        <v>2</v>
      </c>
      <c r="F1297" t="str">
        <f t="shared" si="20"/>
        <v>Carbohydrate metabolism</v>
      </c>
    </row>
    <row r="1298" spans="1:6" x14ac:dyDescent="0.45">
      <c r="A1298" t="s">
        <v>82</v>
      </c>
      <c r="B1298">
        <v>9</v>
      </c>
      <c r="C1298">
        <v>1</v>
      </c>
      <c r="D1298" t="s">
        <v>111</v>
      </c>
      <c r="E1298">
        <v>7</v>
      </c>
      <c r="F1298" t="str">
        <f t="shared" si="20"/>
        <v>Amino acid metabolism</v>
      </c>
    </row>
    <row r="1299" spans="1:6" x14ac:dyDescent="0.45">
      <c r="A1299" t="s">
        <v>17</v>
      </c>
      <c r="B1299">
        <v>9</v>
      </c>
      <c r="C1299">
        <v>1</v>
      </c>
      <c r="D1299" t="s">
        <v>111</v>
      </c>
      <c r="E1299">
        <v>2</v>
      </c>
      <c r="F1299" t="str">
        <f t="shared" si="20"/>
        <v>Amino acid metabolism</v>
      </c>
    </row>
    <row r="1300" spans="1:6" x14ac:dyDescent="0.45">
      <c r="A1300" t="s">
        <v>11</v>
      </c>
      <c r="B1300">
        <v>9</v>
      </c>
      <c r="C1300">
        <v>1</v>
      </c>
      <c r="D1300" t="s">
        <v>111</v>
      </c>
      <c r="E1300">
        <v>2</v>
      </c>
      <c r="F1300" t="str">
        <f t="shared" si="20"/>
        <v>Carbohydrate metabolism</v>
      </c>
    </row>
    <row r="1301" spans="1:6" x14ac:dyDescent="0.45">
      <c r="A1301" t="s">
        <v>66</v>
      </c>
      <c r="B1301">
        <v>9</v>
      </c>
      <c r="C1301">
        <v>1</v>
      </c>
      <c r="D1301" t="s">
        <v>111</v>
      </c>
      <c r="E1301">
        <v>1</v>
      </c>
      <c r="F1301" t="str">
        <f t="shared" si="20"/>
        <v>Carbohydrate metabolism</v>
      </c>
    </row>
    <row r="1302" spans="1:6" x14ac:dyDescent="0.45">
      <c r="A1302" t="s">
        <v>7</v>
      </c>
      <c r="B1302">
        <v>9</v>
      </c>
      <c r="C1302">
        <v>1</v>
      </c>
      <c r="D1302" t="s">
        <v>111</v>
      </c>
      <c r="E1302">
        <v>1</v>
      </c>
      <c r="F1302" t="str">
        <f t="shared" si="20"/>
        <v>Nucleotide metabolism</v>
      </c>
    </row>
    <row r="1303" spans="1:6" x14ac:dyDescent="0.45">
      <c r="A1303" t="s">
        <v>42</v>
      </c>
      <c r="B1303">
        <v>9</v>
      </c>
      <c r="C1303">
        <v>1</v>
      </c>
      <c r="D1303" t="s">
        <v>111</v>
      </c>
      <c r="E1303">
        <v>1</v>
      </c>
      <c r="F1303" t="str">
        <f t="shared" si="20"/>
        <v>Amino acid metabolism</v>
      </c>
    </row>
    <row r="1304" spans="1:6" x14ac:dyDescent="0.45">
      <c r="A1304" t="s">
        <v>99</v>
      </c>
      <c r="B1304">
        <v>9</v>
      </c>
      <c r="C1304">
        <v>1</v>
      </c>
      <c r="D1304" t="s">
        <v>111</v>
      </c>
      <c r="E1304">
        <v>2</v>
      </c>
      <c r="F1304" t="str">
        <f t="shared" si="20"/>
        <v>Amino acid metabolism</v>
      </c>
    </row>
    <row r="1305" spans="1:6" x14ac:dyDescent="0.45">
      <c r="A1305" t="s">
        <v>100</v>
      </c>
      <c r="B1305">
        <v>9</v>
      </c>
      <c r="C1305">
        <v>1</v>
      </c>
      <c r="D1305" t="s">
        <v>111</v>
      </c>
      <c r="E1305">
        <v>2</v>
      </c>
      <c r="F1305" t="str">
        <f t="shared" si="20"/>
        <v>Amino acid metabolism</v>
      </c>
    </row>
    <row r="1306" spans="1:6" x14ac:dyDescent="0.45">
      <c r="A1306" t="s">
        <v>18</v>
      </c>
      <c r="B1306">
        <v>9</v>
      </c>
      <c r="C1306">
        <v>1</v>
      </c>
      <c r="D1306" t="s">
        <v>111</v>
      </c>
      <c r="E1306">
        <v>1</v>
      </c>
      <c r="F1306" t="str">
        <f t="shared" si="20"/>
        <v>Amino acid metabolism</v>
      </c>
    </row>
    <row r="1307" spans="1:6" x14ac:dyDescent="0.45">
      <c r="A1307" t="s">
        <v>19</v>
      </c>
      <c r="B1307">
        <v>9</v>
      </c>
      <c r="C1307">
        <v>1</v>
      </c>
      <c r="D1307" t="s">
        <v>111</v>
      </c>
      <c r="E1307">
        <v>1</v>
      </c>
      <c r="F1307" t="str">
        <f t="shared" si="20"/>
        <v>Amino acid metabolism</v>
      </c>
    </row>
    <row r="1308" spans="1:6" x14ac:dyDescent="0.45">
      <c r="A1308" t="s">
        <v>45</v>
      </c>
      <c r="B1308">
        <v>9</v>
      </c>
      <c r="C1308">
        <v>1</v>
      </c>
      <c r="D1308" t="s">
        <v>111</v>
      </c>
      <c r="E1308">
        <v>1</v>
      </c>
      <c r="F1308" t="str">
        <f t="shared" si="20"/>
        <v>Amino acid metabolism</v>
      </c>
    </row>
    <row r="1309" spans="1:6" x14ac:dyDescent="0.45">
      <c r="A1309" t="s">
        <v>88</v>
      </c>
      <c r="B1309">
        <v>9</v>
      </c>
      <c r="C1309">
        <v>1</v>
      </c>
      <c r="D1309" t="s">
        <v>111</v>
      </c>
      <c r="E1309">
        <v>1</v>
      </c>
      <c r="F1309" t="str">
        <f t="shared" si="20"/>
        <v>Lipid metabolism</v>
      </c>
    </row>
    <row r="1310" spans="1:6" x14ac:dyDescent="0.45">
      <c r="A1310" t="s">
        <v>78</v>
      </c>
      <c r="B1310">
        <v>9</v>
      </c>
      <c r="C1310">
        <v>1</v>
      </c>
      <c r="D1310" t="s">
        <v>111</v>
      </c>
      <c r="E1310">
        <v>1</v>
      </c>
      <c r="F1310" t="str">
        <f t="shared" si="20"/>
        <v>Lipid metabolism</v>
      </c>
    </row>
    <row r="1311" spans="1:6" x14ac:dyDescent="0.45">
      <c r="A1311" t="s">
        <v>83</v>
      </c>
      <c r="B1311">
        <v>9</v>
      </c>
      <c r="C1311">
        <v>1</v>
      </c>
      <c r="D1311" t="s">
        <v>111</v>
      </c>
      <c r="E1311">
        <v>1</v>
      </c>
      <c r="F1311" t="str">
        <f t="shared" si="20"/>
        <v>Carbohydrate metabolism</v>
      </c>
    </row>
    <row r="1312" spans="1:6" x14ac:dyDescent="0.45">
      <c r="A1312" t="s">
        <v>22</v>
      </c>
      <c r="B1312">
        <v>9</v>
      </c>
      <c r="C1312">
        <v>1</v>
      </c>
      <c r="D1312" t="s">
        <v>111</v>
      </c>
      <c r="E1312">
        <v>1</v>
      </c>
      <c r="F1312" t="str">
        <f t="shared" si="20"/>
        <v>Carbohydrate metabolism</v>
      </c>
    </row>
    <row r="1313" spans="1:6" x14ac:dyDescent="0.45">
      <c r="A1313" t="s">
        <v>89</v>
      </c>
      <c r="B1313">
        <v>9</v>
      </c>
      <c r="C1313">
        <v>1</v>
      </c>
      <c r="D1313" t="s">
        <v>111</v>
      </c>
      <c r="E1313">
        <v>1</v>
      </c>
      <c r="F1313" t="str">
        <f t="shared" si="20"/>
        <v>Metabolism of cofactors and vitamins</v>
      </c>
    </row>
    <row r="1314" spans="1:6" x14ac:dyDescent="0.45">
      <c r="A1314" t="s">
        <v>26</v>
      </c>
      <c r="B1314">
        <v>9</v>
      </c>
      <c r="C1314">
        <v>1</v>
      </c>
      <c r="D1314" t="s">
        <v>111</v>
      </c>
      <c r="E1314">
        <v>1</v>
      </c>
      <c r="F1314" t="str">
        <f t="shared" si="20"/>
        <v>Metabolism of cofactors and vitamins</v>
      </c>
    </row>
    <row r="1315" spans="1:6" x14ac:dyDescent="0.45">
      <c r="A1315" t="s">
        <v>90</v>
      </c>
      <c r="B1315">
        <v>9</v>
      </c>
      <c r="C1315">
        <v>1</v>
      </c>
      <c r="D1315" t="s">
        <v>111</v>
      </c>
      <c r="E1315">
        <v>1</v>
      </c>
      <c r="F1315" t="str">
        <f t="shared" si="20"/>
        <v>Metabolism of cofactors and vitamins</v>
      </c>
    </row>
    <row r="1316" spans="1:6" x14ac:dyDescent="0.45">
      <c r="A1316" t="s">
        <v>70</v>
      </c>
      <c r="B1316">
        <v>9</v>
      </c>
      <c r="C1316">
        <v>1</v>
      </c>
      <c r="D1316" t="s">
        <v>111</v>
      </c>
      <c r="E1316">
        <v>1</v>
      </c>
      <c r="F1316" t="str">
        <f t="shared" si="20"/>
        <v>Metabolism of terpenoids and polyketides</v>
      </c>
    </row>
    <row r="1317" spans="1:6" x14ac:dyDescent="0.45">
      <c r="A1317" t="s">
        <v>72</v>
      </c>
      <c r="B1317">
        <v>9</v>
      </c>
      <c r="C1317">
        <v>1</v>
      </c>
      <c r="D1317" t="s">
        <v>111</v>
      </c>
      <c r="E1317">
        <v>1</v>
      </c>
      <c r="F1317" t="str">
        <f t="shared" si="20"/>
        <v>Metabolism of terpenoids and polyketides</v>
      </c>
    </row>
    <row r="1318" spans="1:6" x14ac:dyDescent="0.45">
      <c r="A1318" t="s">
        <v>55</v>
      </c>
      <c r="B1318">
        <v>9</v>
      </c>
      <c r="C1318">
        <v>1</v>
      </c>
      <c r="D1318" t="s">
        <v>111</v>
      </c>
      <c r="E1318">
        <v>1</v>
      </c>
      <c r="F1318" t="str">
        <f t="shared" si="20"/>
        <v>Alkaloid metabolism</v>
      </c>
    </row>
    <row r="1319" spans="1:6" x14ac:dyDescent="0.45">
      <c r="A1319" t="s">
        <v>101</v>
      </c>
      <c r="B1319">
        <v>9</v>
      </c>
      <c r="C1319">
        <v>1</v>
      </c>
      <c r="D1319" t="s">
        <v>111</v>
      </c>
      <c r="E1319">
        <v>2</v>
      </c>
      <c r="F1319" t="str">
        <f t="shared" si="20"/>
        <v>Phenylpropanoid metabolism</v>
      </c>
    </row>
    <row r="1320" spans="1:6" x14ac:dyDescent="0.45">
      <c r="A1320" t="s">
        <v>37</v>
      </c>
      <c r="B1320">
        <v>9</v>
      </c>
      <c r="C1320">
        <v>1</v>
      </c>
      <c r="D1320" t="s">
        <v>111</v>
      </c>
      <c r="E1320">
        <v>1</v>
      </c>
      <c r="F1320" t="str">
        <f t="shared" si="20"/>
        <v>Primary metabolism</v>
      </c>
    </row>
    <row r="1321" spans="1:6" x14ac:dyDescent="0.45">
      <c r="A1321" t="s">
        <v>78</v>
      </c>
      <c r="B1321">
        <v>9</v>
      </c>
      <c r="C1321">
        <v>-1</v>
      </c>
      <c r="D1321" t="s">
        <v>111</v>
      </c>
      <c r="E1321">
        <v>3</v>
      </c>
      <c r="F1321" t="str">
        <f t="shared" si="20"/>
        <v>Lipid metabolism</v>
      </c>
    </row>
    <row r="1322" spans="1:6" x14ac:dyDescent="0.45">
      <c r="A1322" t="s">
        <v>40</v>
      </c>
      <c r="B1322">
        <v>9</v>
      </c>
      <c r="C1322">
        <v>-1</v>
      </c>
      <c r="D1322" t="s">
        <v>111</v>
      </c>
      <c r="E1322">
        <v>2</v>
      </c>
      <c r="F1322" t="str">
        <f t="shared" si="20"/>
        <v>Lipid metabolism</v>
      </c>
    </row>
    <row r="1323" spans="1:6" x14ac:dyDescent="0.45">
      <c r="A1323" t="s">
        <v>50</v>
      </c>
      <c r="B1323">
        <v>9</v>
      </c>
      <c r="C1323">
        <v>-1</v>
      </c>
      <c r="D1323" t="s">
        <v>111</v>
      </c>
      <c r="E1323">
        <v>2</v>
      </c>
      <c r="F1323" t="str">
        <f t="shared" si="20"/>
        <v>Lipid metabolism</v>
      </c>
    </row>
    <row r="1324" spans="1:6" x14ac:dyDescent="0.45">
      <c r="A1324" t="s">
        <v>33</v>
      </c>
      <c r="B1324">
        <v>9</v>
      </c>
      <c r="C1324">
        <v>-1</v>
      </c>
      <c r="D1324" t="s">
        <v>111</v>
      </c>
      <c r="E1324">
        <v>2</v>
      </c>
      <c r="F1324" t="str">
        <f t="shared" si="20"/>
        <v>Amino acid metabolism</v>
      </c>
    </row>
    <row r="1325" spans="1:6" x14ac:dyDescent="0.45">
      <c r="A1325" t="s">
        <v>38</v>
      </c>
      <c r="B1325">
        <v>9</v>
      </c>
      <c r="C1325">
        <v>-1</v>
      </c>
      <c r="D1325" t="s">
        <v>111</v>
      </c>
      <c r="E1325">
        <v>2</v>
      </c>
      <c r="F1325" t="str">
        <f t="shared" si="20"/>
        <v>Degradation of aromatic compounds</v>
      </c>
    </row>
    <row r="1326" spans="1:6" x14ac:dyDescent="0.45">
      <c r="A1326" t="s">
        <v>61</v>
      </c>
      <c r="B1326">
        <v>9</v>
      </c>
      <c r="C1326">
        <v>-1</v>
      </c>
      <c r="D1326" t="s">
        <v>111</v>
      </c>
      <c r="E1326">
        <v>1</v>
      </c>
      <c r="F1326" t="str">
        <f t="shared" si="20"/>
        <v>Lipid metabolism</v>
      </c>
    </row>
    <row r="1327" spans="1:6" x14ac:dyDescent="0.45">
      <c r="A1327" t="s">
        <v>116</v>
      </c>
      <c r="B1327">
        <v>9</v>
      </c>
      <c r="C1327">
        <v>-1</v>
      </c>
      <c r="D1327" t="s">
        <v>111</v>
      </c>
      <c r="E1327">
        <v>1</v>
      </c>
      <c r="F1327" t="str">
        <f t="shared" si="20"/>
        <v>Energy metabolism</v>
      </c>
    </row>
    <row r="1328" spans="1:6" x14ac:dyDescent="0.45">
      <c r="A1328" t="s">
        <v>99</v>
      </c>
      <c r="B1328">
        <v>9</v>
      </c>
      <c r="C1328">
        <v>-1</v>
      </c>
      <c r="D1328" t="s">
        <v>111</v>
      </c>
      <c r="E1328">
        <v>1</v>
      </c>
      <c r="F1328" t="str">
        <f t="shared" si="20"/>
        <v>Amino acid metabolism</v>
      </c>
    </row>
    <row r="1329" spans="1:6" x14ac:dyDescent="0.45">
      <c r="A1329" t="s">
        <v>63</v>
      </c>
      <c r="B1329">
        <v>9</v>
      </c>
      <c r="C1329">
        <v>-1</v>
      </c>
      <c r="D1329" t="s">
        <v>111</v>
      </c>
      <c r="E1329">
        <v>1</v>
      </c>
      <c r="F1329" t="str">
        <f t="shared" si="20"/>
        <v>Amino acid metabolism</v>
      </c>
    </row>
    <row r="1330" spans="1:6" x14ac:dyDescent="0.45">
      <c r="A1330" t="s">
        <v>18</v>
      </c>
      <c r="B1330">
        <v>9</v>
      </c>
      <c r="C1330">
        <v>-1</v>
      </c>
      <c r="D1330" t="s">
        <v>111</v>
      </c>
      <c r="E1330">
        <v>1</v>
      </c>
      <c r="F1330" t="str">
        <f t="shared" si="20"/>
        <v>Amino acid metabolism</v>
      </c>
    </row>
    <row r="1331" spans="1:6" x14ac:dyDescent="0.45">
      <c r="A1331" t="s">
        <v>26</v>
      </c>
      <c r="B1331">
        <v>9</v>
      </c>
      <c r="C1331">
        <v>-1</v>
      </c>
      <c r="D1331" t="s">
        <v>111</v>
      </c>
      <c r="E1331">
        <v>1</v>
      </c>
      <c r="F1331" t="str">
        <f t="shared" si="20"/>
        <v>Metabolism of cofactors and vitamins</v>
      </c>
    </row>
    <row r="1332" spans="1:6" x14ac:dyDescent="0.45">
      <c r="A1332" t="s">
        <v>64</v>
      </c>
      <c r="B1332">
        <v>9</v>
      </c>
      <c r="C1332">
        <v>-1</v>
      </c>
      <c r="D1332" t="s">
        <v>111</v>
      </c>
      <c r="E1332">
        <v>1</v>
      </c>
      <c r="F1332" t="str">
        <f t="shared" si="20"/>
        <v>Metabolism of cofactors and vitamins</v>
      </c>
    </row>
    <row r="1333" spans="1:6" x14ac:dyDescent="0.45">
      <c r="A1333" t="s">
        <v>51</v>
      </c>
      <c r="B1333">
        <v>9</v>
      </c>
      <c r="C1333">
        <v>-1</v>
      </c>
      <c r="D1333" t="s">
        <v>111</v>
      </c>
      <c r="E1333">
        <v>1</v>
      </c>
      <c r="F1333" t="str">
        <f t="shared" si="20"/>
        <v>Metabolism of terpenoids and polyketides</v>
      </c>
    </row>
    <row r="1334" spans="1:6" x14ac:dyDescent="0.45">
      <c r="A1334" t="s">
        <v>71</v>
      </c>
      <c r="B1334">
        <v>9</v>
      </c>
      <c r="C1334">
        <v>-1</v>
      </c>
      <c r="D1334" t="s">
        <v>111</v>
      </c>
      <c r="E1334">
        <v>1</v>
      </c>
      <c r="F1334" t="str">
        <f t="shared" si="20"/>
        <v>Metabolism of terpenoids and polyketides</v>
      </c>
    </row>
    <row r="1335" spans="1:6" x14ac:dyDescent="0.45">
      <c r="A1335" t="s">
        <v>79</v>
      </c>
      <c r="B1335">
        <v>9</v>
      </c>
      <c r="C1335">
        <v>-1</v>
      </c>
      <c r="D1335" t="s">
        <v>111</v>
      </c>
      <c r="E1335">
        <v>1</v>
      </c>
      <c r="F1335" t="str">
        <f t="shared" si="20"/>
        <v>Terpenoid metabolism</v>
      </c>
    </row>
    <row r="1336" spans="1:6" x14ac:dyDescent="0.45">
      <c r="A1336" t="s">
        <v>57</v>
      </c>
      <c r="B1336">
        <v>9</v>
      </c>
      <c r="C1336">
        <v>-1</v>
      </c>
      <c r="D1336" t="s">
        <v>111</v>
      </c>
      <c r="E1336">
        <v>1</v>
      </c>
      <c r="F1336" t="str">
        <f t="shared" si="20"/>
        <v>Phenylpropanoid metabolism</v>
      </c>
    </row>
    <row r="1337" spans="1:6" x14ac:dyDescent="0.45">
      <c r="A1337" t="s">
        <v>35</v>
      </c>
      <c r="B1337">
        <v>9</v>
      </c>
      <c r="C1337">
        <v>-1</v>
      </c>
      <c r="D1337" t="s">
        <v>111</v>
      </c>
      <c r="E1337">
        <v>1</v>
      </c>
      <c r="F1337" t="str">
        <f t="shared" si="20"/>
        <v>Membrane transport</v>
      </c>
    </row>
    <row r="1338" spans="1:6" x14ac:dyDescent="0.45">
      <c r="A1338" t="s">
        <v>80</v>
      </c>
      <c r="B1338">
        <v>9</v>
      </c>
      <c r="C1338">
        <v>-1</v>
      </c>
      <c r="D1338" t="s">
        <v>111</v>
      </c>
      <c r="E1338">
        <v>1</v>
      </c>
      <c r="F1338" t="str">
        <f t="shared" si="20"/>
        <v>Signal transduction</v>
      </c>
    </row>
    <row r="1339" spans="1:6" x14ac:dyDescent="0.45">
      <c r="A1339" t="s">
        <v>104</v>
      </c>
      <c r="B1339">
        <v>9</v>
      </c>
      <c r="C1339">
        <v>-1</v>
      </c>
      <c r="D1339" t="s">
        <v>111</v>
      </c>
      <c r="E1339">
        <v>1</v>
      </c>
      <c r="F1339" t="str">
        <f t="shared" si="20"/>
        <v>Abscisic Acid</v>
      </c>
    </row>
    <row r="1340" spans="1:6" x14ac:dyDescent="0.45">
      <c r="A1340" t="s">
        <v>52</v>
      </c>
      <c r="B1340">
        <v>9</v>
      </c>
      <c r="C1340">
        <v>-1</v>
      </c>
      <c r="D1340" t="s">
        <v>111</v>
      </c>
      <c r="E1340">
        <v>1</v>
      </c>
      <c r="F1340" t="str">
        <f t="shared" si="20"/>
        <v>Alkaloid metabolism</v>
      </c>
    </row>
    <row r="1341" spans="1:6" x14ac:dyDescent="0.45">
      <c r="A1341" t="s">
        <v>98</v>
      </c>
      <c r="B1341">
        <v>9</v>
      </c>
      <c r="C1341">
        <v>-1</v>
      </c>
      <c r="D1341" t="s">
        <v>111</v>
      </c>
      <c r="E1341">
        <v>1</v>
      </c>
      <c r="F1341">
        <f t="shared" si="20"/>
        <v>0</v>
      </c>
    </row>
    <row r="1342" spans="1:6" x14ac:dyDescent="0.45">
      <c r="A1342" t="s">
        <v>28</v>
      </c>
      <c r="B1342">
        <v>9</v>
      </c>
      <c r="C1342">
        <v>-1</v>
      </c>
      <c r="D1342" t="s">
        <v>111</v>
      </c>
      <c r="E1342">
        <v>1</v>
      </c>
      <c r="F1342" t="str">
        <f t="shared" si="20"/>
        <v>Metabolism of terpenoids and polyketides</v>
      </c>
    </row>
    <row r="1343" spans="1:6" x14ac:dyDescent="0.45">
      <c r="A1343" t="s">
        <v>33</v>
      </c>
      <c r="B1343">
        <v>10</v>
      </c>
      <c r="C1343">
        <v>1</v>
      </c>
      <c r="D1343" t="s">
        <v>111</v>
      </c>
      <c r="E1343">
        <v>6</v>
      </c>
      <c r="F1343" t="str">
        <f t="shared" si="20"/>
        <v>Amino acid metabolism</v>
      </c>
    </row>
    <row r="1344" spans="1:6" x14ac:dyDescent="0.45">
      <c r="A1344" t="s">
        <v>17</v>
      </c>
      <c r="B1344">
        <v>10</v>
      </c>
      <c r="C1344">
        <v>1</v>
      </c>
      <c r="D1344" t="s">
        <v>111</v>
      </c>
      <c r="E1344">
        <v>3</v>
      </c>
      <c r="F1344" t="str">
        <f t="shared" si="20"/>
        <v>Amino acid metabolism</v>
      </c>
    </row>
    <row r="1345" spans="1:6" x14ac:dyDescent="0.45">
      <c r="A1345" t="s">
        <v>82</v>
      </c>
      <c r="B1345">
        <v>10</v>
      </c>
      <c r="C1345">
        <v>1</v>
      </c>
      <c r="D1345" t="s">
        <v>111</v>
      </c>
      <c r="E1345">
        <v>5</v>
      </c>
      <c r="F1345" t="str">
        <f t="shared" si="20"/>
        <v>Amino acid metabolism</v>
      </c>
    </row>
    <row r="1346" spans="1:6" x14ac:dyDescent="0.45">
      <c r="A1346" t="s">
        <v>18</v>
      </c>
      <c r="B1346">
        <v>10</v>
      </c>
      <c r="C1346">
        <v>1</v>
      </c>
      <c r="D1346" t="s">
        <v>111</v>
      </c>
      <c r="E1346">
        <v>3</v>
      </c>
      <c r="F1346" t="str">
        <f t="shared" si="20"/>
        <v>Amino acid metabolism</v>
      </c>
    </row>
    <row r="1347" spans="1:6" x14ac:dyDescent="0.45">
      <c r="A1347" t="s">
        <v>31</v>
      </c>
      <c r="B1347">
        <v>10</v>
      </c>
      <c r="C1347">
        <v>1</v>
      </c>
      <c r="D1347" t="s">
        <v>111</v>
      </c>
      <c r="E1347">
        <v>3</v>
      </c>
      <c r="F1347" t="str">
        <f t="shared" si="20"/>
        <v>Glucosinolate biosynthesis</v>
      </c>
    </row>
    <row r="1348" spans="1:6" x14ac:dyDescent="0.45">
      <c r="A1348" t="s">
        <v>38</v>
      </c>
      <c r="B1348">
        <v>10</v>
      </c>
      <c r="C1348">
        <v>1</v>
      </c>
      <c r="D1348" t="s">
        <v>111</v>
      </c>
      <c r="E1348">
        <v>3</v>
      </c>
      <c r="F1348" t="str">
        <f t="shared" ref="F1348:F1411" si="21">_xlfn.XLOOKUP(A1348,$H$2:$H$200,$I$2:$I$200)</f>
        <v>Degradation of aromatic compounds</v>
      </c>
    </row>
    <row r="1349" spans="1:6" x14ac:dyDescent="0.45">
      <c r="A1349" t="s">
        <v>65</v>
      </c>
      <c r="B1349">
        <v>10</v>
      </c>
      <c r="C1349">
        <v>1</v>
      </c>
      <c r="D1349" t="s">
        <v>111</v>
      </c>
      <c r="E1349">
        <v>3</v>
      </c>
      <c r="F1349" t="str">
        <f t="shared" si="21"/>
        <v>Secondary metabolism</v>
      </c>
    </row>
    <row r="1350" spans="1:6" x14ac:dyDescent="0.45">
      <c r="A1350" t="s">
        <v>9</v>
      </c>
      <c r="B1350">
        <v>10</v>
      </c>
      <c r="C1350">
        <v>1</v>
      </c>
      <c r="D1350" t="s">
        <v>111</v>
      </c>
      <c r="E1350">
        <v>2</v>
      </c>
      <c r="F1350" t="str">
        <f t="shared" si="21"/>
        <v>Carbohydrate metabolism</v>
      </c>
    </row>
    <row r="1351" spans="1:6" x14ac:dyDescent="0.45">
      <c r="A1351" t="s">
        <v>62</v>
      </c>
      <c r="B1351">
        <v>10</v>
      </c>
      <c r="C1351">
        <v>1</v>
      </c>
      <c r="D1351" t="s">
        <v>111</v>
      </c>
      <c r="E1351">
        <v>2</v>
      </c>
      <c r="F1351" t="str">
        <f t="shared" si="21"/>
        <v>Metabolism of cofactors and vitamins</v>
      </c>
    </row>
    <row r="1352" spans="1:6" x14ac:dyDescent="0.45">
      <c r="A1352" t="s">
        <v>19</v>
      </c>
      <c r="B1352">
        <v>10</v>
      </c>
      <c r="C1352">
        <v>1</v>
      </c>
      <c r="D1352" t="s">
        <v>111</v>
      </c>
      <c r="E1352">
        <v>2</v>
      </c>
      <c r="F1352" t="str">
        <f t="shared" si="21"/>
        <v>Amino acid metabolism</v>
      </c>
    </row>
    <row r="1353" spans="1:6" x14ac:dyDescent="0.45">
      <c r="A1353" t="s">
        <v>88</v>
      </c>
      <c r="B1353">
        <v>10</v>
      </c>
      <c r="C1353">
        <v>1</v>
      </c>
      <c r="D1353" t="s">
        <v>111</v>
      </c>
      <c r="E1353">
        <v>2</v>
      </c>
      <c r="F1353" t="str">
        <f t="shared" si="21"/>
        <v>Lipid metabolism</v>
      </c>
    </row>
    <row r="1354" spans="1:6" x14ac:dyDescent="0.45">
      <c r="A1354" t="s">
        <v>90</v>
      </c>
      <c r="B1354">
        <v>10</v>
      </c>
      <c r="C1354">
        <v>1</v>
      </c>
      <c r="D1354" t="s">
        <v>111</v>
      </c>
      <c r="E1354">
        <v>3</v>
      </c>
      <c r="F1354" t="str">
        <f t="shared" si="21"/>
        <v>Metabolism of cofactors and vitamins</v>
      </c>
    </row>
    <row r="1355" spans="1:6" x14ac:dyDescent="0.45">
      <c r="A1355" t="s">
        <v>70</v>
      </c>
      <c r="B1355">
        <v>10</v>
      </c>
      <c r="C1355">
        <v>1</v>
      </c>
      <c r="D1355" t="s">
        <v>111</v>
      </c>
      <c r="E1355">
        <v>2</v>
      </c>
      <c r="F1355" t="str">
        <f t="shared" si="21"/>
        <v>Metabolism of terpenoids and polyketides</v>
      </c>
    </row>
    <row r="1356" spans="1:6" x14ac:dyDescent="0.45">
      <c r="A1356" t="s">
        <v>34</v>
      </c>
      <c r="B1356">
        <v>10</v>
      </c>
      <c r="C1356">
        <v>1</v>
      </c>
      <c r="D1356" t="s">
        <v>111</v>
      </c>
      <c r="E1356">
        <v>2</v>
      </c>
      <c r="F1356" t="str">
        <f t="shared" si="21"/>
        <v>Amino acid metabolism</v>
      </c>
    </row>
    <row r="1357" spans="1:6" x14ac:dyDescent="0.45">
      <c r="A1357" t="s">
        <v>58</v>
      </c>
      <c r="B1357">
        <v>10</v>
      </c>
      <c r="C1357">
        <v>1</v>
      </c>
      <c r="D1357" t="s">
        <v>111</v>
      </c>
      <c r="E1357">
        <v>2</v>
      </c>
      <c r="F1357" t="str">
        <f t="shared" si="21"/>
        <v>Amino acid metabolism</v>
      </c>
    </row>
    <row r="1358" spans="1:6" x14ac:dyDescent="0.45">
      <c r="A1358" t="s">
        <v>117</v>
      </c>
      <c r="B1358">
        <v>10</v>
      </c>
      <c r="C1358">
        <v>1</v>
      </c>
      <c r="D1358" t="s">
        <v>111</v>
      </c>
      <c r="E1358">
        <v>1</v>
      </c>
      <c r="F1358" t="str">
        <f t="shared" si="21"/>
        <v>Lipid metabolism</v>
      </c>
    </row>
    <row r="1359" spans="1:6" x14ac:dyDescent="0.45">
      <c r="A1359" t="s">
        <v>7</v>
      </c>
      <c r="B1359">
        <v>10</v>
      </c>
      <c r="C1359">
        <v>1</v>
      </c>
      <c r="D1359" t="s">
        <v>111</v>
      </c>
      <c r="E1359">
        <v>1</v>
      </c>
      <c r="F1359" t="str">
        <f t="shared" si="21"/>
        <v>Nucleotide metabolism</v>
      </c>
    </row>
    <row r="1360" spans="1:6" x14ac:dyDescent="0.45">
      <c r="A1360" t="s">
        <v>10</v>
      </c>
      <c r="B1360">
        <v>10</v>
      </c>
      <c r="C1360">
        <v>1</v>
      </c>
      <c r="D1360" t="s">
        <v>111</v>
      </c>
      <c r="E1360">
        <v>1</v>
      </c>
      <c r="F1360" t="str">
        <f t="shared" si="21"/>
        <v>Nucleotide metabolism</v>
      </c>
    </row>
    <row r="1361" spans="1:6" x14ac:dyDescent="0.45">
      <c r="A1361" t="s">
        <v>42</v>
      </c>
      <c r="B1361">
        <v>10</v>
      </c>
      <c r="C1361">
        <v>1</v>
      </c>
      <c r="D1361" t="s">
        <v>111</v>
      </c>
      <c r="E1361">
        <v>1</v>
      </c>
      <c r="F1361" t="str">
        <f t="shared" si="21"/>
        <v>Amino acid metabolism</v>
      </c>
    </row>
    <row r="1362" spans="1:6" x14ac:dyDescent="0.45">
      <c r="A1362" t="s">
        <v>54</v>
      </c>
      <c r="B1362">
        <v>10</v>
      </c>
      <c r="C1362">
        <v>1</v>
      </c>
      <c r="D1362" t="s">
        <v>111</v>
      </c>
      <c r="E1362">
        <v>1</v>
      </c>
      <c r="F1362" t="str">
        <f t="shared" si="21"/>
        <v>Amino acid metabolism</v>
      </c>
    </row>
    <row r="1363" spans="1:6" x14ac:dyDescent="0.45">
      <c r="A1363" t="s">
        <v>99</v>
      </c>
      <c r="B1363">
        <v>10</v>
      </c>
      <c r="C1363">
        <v>1</v>
      </c>
      <c r="D1363" t="s">
        <v>111</v>
      </c>
      <c r="E1363">
        <v>1</v>
      </c>
      <c r="F1363" t="str">
        <f t="shared" si="21"/>
        <v>Amino acid metabolism</v>
      </c>
    </row>
    <row r="1364" spans="1:6" x14ac:dyDescent="0.45">
      <c r="A1364" t="s">
        <v>43</v>
      </c>
      <c r="B1364">
        <v>10</v>
      </c>
      <c r="C1364">
        <v>1</v>
      </c>
      <c r="D1364" t="s">
        <v>111</v>
      </c>
      <c r="E1364">
        <v>1</v>
      </c>
      <c r="F1364" t="str">
        <f t="shared" si="21"/>
        <v>Amino acid metabolism</v>
      </c>
    </row>
    <row r="1365" spans="1:6" x14ac:dyDescent="0.45">
      <c r="A1365" t="s">
        <v>100</v>
      </c>
      <c r="B1365">
        <v>10</v>
      </c>
      <c r="C1365">
        <v>1</v>
      </c>
      <c r="D1365" t="s">
        <v>111</v>
      </c>
      <c r="E1365">
        <v>1</v>
      </c>
      <c r="F1365" t="str">
        <f t="shared" si="21"/>
        <v>Amino acid metabolism</v>
      </c>
    </row>
    <row r="1366" spans="1:6" x14ac:dyDescent="0.45">
      <c r="A1366" t="s">
        <v>44</v>
      </c>
      <c r="B1366">
        <v>10</v>
      </c>
      <c r="C1366">
        <v>1</v>
      </c>
      <c r="D1366" t="s">
        <v>111</v>
      </c>
      <c r="E1366">
        <v>1</v>
      </c>
      <c r="F1366" t="str">
        <f t="shared" si="21"/>
        <v>Amino acid metabolism</v>
      </c>
    </row>
    <row r="1367" spans="1:6" x14ac:dyDescent="0.45">
      <c r="A1367" t="s">
        <v>77</v>
      </c>
      <c r="B1367">
        <v>10</v>
      </c>
      <c r="C1367">
        <v>1</v>
      </c>
      <c r="D1367" t="s">
        <v>111</v>
      </c>
      <c r="E1367">
        <v>1</v>
      </c>
      <c r="F1367" t="str">
        <f t="shared" si="21"/>
        <v>Amino acid metabolism</v>
      </c>
    </row>
    <row r="1368" spans="1:6" x14ac:dyDescent="0.45">
      <c r="A1368" t="s">
        <v>20</v>
      </c>
      <c r="B1368">
        <v>10</v>
      </c>
      <c r="C1368">
        <v>1</v>
      </c>
      <c r="D1368" t="s">
        <v>111</v>
      </c>
      <c r="E1368">
        <v>1</v>
      </c>
      <c r="F1368" t="str">
        <f t="shared" si="21"/>
        <v>Carbohydrate metabolism</v>
      </c>
    </row>
    <row r="1369" spans="1:6" x14ac:dyDescent="0.45">
      <c r="A1369" t="s">
        <v>8</v>
      </c>
      <c r="B1369">
        <v>10</v>
      </c>
      <c r="C1369">
        <v>1</v>
      </c>
      <c r="D1369" t="s">
        <v>111</v>
      </c>
      <c r="E1369">
        <v>1</v>
      </c>
      <c r="F1369" t="str">
        <f t="shared" si="21"/>
        <v>Glycan biosynthesis and metabolism</v>
      </c>
    </row>
    <row r="1370" spans="1:6" x14ac:dyDescent="0.45">
      <c r="A1370" t="s">
        <v>105</v>
      </c>
      <c r="B1370">
        <v>10</v>
      </c>
      <c r="C1370">
        <v>1</v>
      </c>
      <c r="D1370" t="s">
        <v>111</v>
      </c>
      <c r="E1370">
        <v>1</v>
      </c>
      <c r="F1370" t="str">
        <f t="shared" si="21"/>
        <v>Lipid metabolism</v>
      </c>
    </row>
    <row r="1371" spans="1:6" x14ac:dyDescent="0.45">
      <c r="A1371" t="s">
        <v>60</v>
      </c>
      <c r="B1371">
        <v>10</v>
      </c>
      <c r="C1371">
        <v>1</v>
      </c>
      <c r="D1371" t="s">
        <v>111</v>
      </c>
      <c r="E1371">
        <v>1</v>
      </c>
      <c r="F1371" t="str">
        <f t="shared" si="21"/>
        <v>Metabolism of cofactors and vitamins</v>
      </c>
    </row>
    <row r="1372" spans="1:6" x14ac:dyDescent="0.45">
      <c r="A1372" t="s">
        <v>64</v>
      </c>
      <c r="B1372">
        <v>10</v>
      </c>
      <c r="C1372">
        <v>1</v>
      </c>
      <c r="D1372" t="s">
        <v>111</v>
      </c>
      <c r="E1372">
        <v>1</v>
      </c>
      <c r="F1372" t="str">
        <f t="shared" si="21"/>
        <v>Metabolism of cofactors and vitamins</v>
      </c>
    </row>
    <row r="1373" spans="1:6" x14ac:dyDescent="0.45">
      <c r="A1373" t="s">
        <v>79</v>
      </c>
      <c r="B1373">
        <v>10</v>
      </c>
      <c r="C1373">
        <v>1</v>
      </c>
      <c r="D1373" t="s">
        <v>111</v>
      </c>
      <c r="E1373">
        <v>1</v>
      </c>
      <c r="F1373" t="str">
        <f t="shared" si="21"/>
        <v>Terpenoid metabolism</v>
      </c>
    </row>
    <row r="1374" spans="1:6" x14ac:dyDescent="0.45">
      <c r="A1374" t="s">
        <v>72</v>
      </c>
      <c r="B1374">
        <v>10</v>
      </c>
      <c r="C1374">
        <v>1</v>
      </c>
      <c r="D1374" t="s">
        <v>111</v>
      </c>
      <c r="E1374">
        <v>1</v>
      </c>
      <c r="F1374" t="str">
        <f t="shared" si="21"/>
        <v>Metabolism of terpenoids and polyketides</v>
      </c>
    </row>
    <row r="1375" spans="1:6" x14ac:dyDescent="0.45">
      <c r="A1375" t="s">
        <v>73</v>
      </c>
      <c r="B1375">
        <v>10</v>
      </c>
      <c r="C1375">
        <v>1</v>
      </c>
      <c r="D1375" t="s">
        <v>111</v>
      </c>
      <c r="E1375">
        <v>1</v>
      </c>
      <c r="F1375" t="str">
        <f t="shared" si="21"/>
        <v>Energy metabolism</v>
      </c>
    </row>
    <row r="1376" spans="1:6" x14ac:dyDescent="0.45">
      <c r="A1376" t="s">
        <v>30</v>
      </c>
      <c r="B1376">
        <v>10</v>
      </c>
      <c r="C1376">
        <v>1</v>
      </c>
      <c r="D1376" t="s">
        <v>111</v>
      </c>
      <c r="E1376">
        <v>1</v>
      </c>
      <c r="F1376" t="str">
        <f t="shared" si="21"/>
        <v>Phenylpropanoid biosynthesis</v>
      </c>
    </row>
    <row r="1377" spans="1:6" x14ac:dyDescent="0.45">
      <c r="A1377" t="s">
        <v>14</v>
      </c>
      <c r="B1377">
        <v>10</v>
      </c>
      <c r="C1377">
        <v>1</v>
      </c>
      <c r="D1377" t="s">
        <v>111</v>
      </c>
      <c r="E1377">
        <v>1</v>
      </c>
      <c r="F1377" t="str">
        <f t="shared" si="21"/>
        <v>Alkaloid metabolism</v>
      </c>
    </row>
    <row r="1378" spans="1:6" x14ac:dyDescent="0.45">
      <c r="A1378" t="s">
        <v>91</v>
      </c>
      <c r="B1378">
        <v>10</v>
      </c>
      <c r="C1378">
        <v>1</v>
      </c>
      <c r="D1378" t="s">
        <v>111</v>
      </c>
      <c r="E1378">
        <v>1</v>
      </c>
      <c r="F1378" t="str">
        <f t="shared" si="21"/>
        <v>Genetic Information Processing</v>
      </c>
    </row>
    <row r="1379" spans="1:6" x14ac:dyDescent="0.45">
      <c r="A1379" t="s">
        <v>35</v>
      </c>
      <c r="B1379">
        <v>10</v>
      </c>
      <c r="C1379">
        <v>1</v>
      </c>
      <c r="D1379" t="s">
        <v>111</v>
      </c>
      <c r="E1379">
        <v>1</v>
      </c>
      <c r="F1379" t="str">
        <f t="shared" si="21"/>
        <v>Membrane transport</v>
      </c>
    </row>
    <row r="1380" spans="1:6" x14ac:dyDescent="0.45">
      <c r="A1380" t="s">
        <v>95</v>
      </c>
      <c r="B1380">
        <v>10</v>
      </c>
      <c r="C1380">
        <v>1</v>
      </c>
      <c r="D1380" t="s">
        <v>111</v>
      </c>
      <c r="E1380">
        <v>1</v>
      </c>
      <c r="F1380" t="str">
        <f t="shared" si="21"/>
        <v>Amino acid metabolism</v>
      </c>
    </row>
    <row r="1381" spans="1:6" x14ac:dyDescent="0.45">
      <c r="A1381" t="s">
        <v>36</v>
      </c>
      <c r="B1381">
        <v>10</v>
      </c>
      <c r="C1381">
        <v>1</v>
      </c>
      <c r="D1381" t="s">
        <v>111</v>
      </c>
      <c r="E1381">
        <v>1</v>
      </c>
      <c r="F1381" t="str">
        <f t="shared" si="21"/>
        <v>Phenylpropanoid metabolism</v>
      </c>
    </row>
    <row r="1382" spans="1:6" x14ac:dyDescent="0.45">
      <c r="A1382" t="s">
        <v>49</v>
      </c>
      <c r="B1382">
        <v>10</v>
      </c>
      <c r="C1382">
        <v>1</v>
      </c>
      <c r="D1382" t="s">
        <v>111</v>
      </c>
      <c r="E1382">
        <v>1</v>
      </c>
      <c r="F1382" t="str">
        <f t="shared" si="21"/>
        <v>Phenylpropanoid metabolism</v>
      </c>
    </row>
    <row r="1383" spans="1:6" x14ac:dyDescent="0.45">
      <c r="A1383" t="s">
        <v>7</v>
      </c>
      <c r="B1383">
        <v>10</v>
      </c>
      <c r="C1383">
        <v>-1</v>
      </c>
      <c r="D1383" t="s">
        <v>111</v>
      </c>
      <c r="E1383">
        <v>5</v>
      </c>
      <c r="F1383" t="str">
        <f t="shared" si="21"/>
        <v>Nucleotide metabolism</v>
      </c>
    </row>
    <row r="1384" spans="1:6" x14ac:dyDescent="0.45">
      <c r="A1384" t="s">
        <v>33</v>
      </c>
      <c r="B1384">
        <v>10</v>
      </c>
      <c r="C1384">
        <v>-1</v>
      </c>
      <c r="D1384" t="s">
        <v>111</v>
      </c>
      <c r="E1384">
        <v>6</v>
      </c>
      <c r="F1384" t="str">
        <f t="shared" si="21"/>
        <v>Amino acid metabolism</v>
      </c>
    </row>
    <row r="1385" spans="1:6" x14ac:dyDescent="0.45">
      <c r="A1385" t="s">
        <v>31</v>
      </c>
      <c r="B1385">
        <v>10</v>
      </c>
      <c r="C1385">
        <v>-1</v>
      </c>
      <c r="D1385" t="s">
        <v>111</v>
      </c>
      <c r="E1385">
        <v>5</v>
      </c>
      <c r="F1385" t="str">
        <f t="shared" si="21"/>
        <v>Glucosinolate biosynthesis</v>
      </c>
    </row>
    <row r="1386" spans="1:6" x14ac:dyDescent="0.45">
      <c r="A1386" t="s">
        <v>38</v>
      </c>
      <c r="B1386">
        <v>10</v>
      </c>
      <c r="C1386">
        <v>-1</v>
      </c>
      <c r="D1386" t="s">
        <v>111</v>
      </c>
      <c r="E1386">
        <v>3</v>
      </c>
      <c r="F1386" t="str">
        <f t="shared" si="21"/>
        <v>Degradation of aromatic compounds</v>
      </c>
    </row>
    <row r="1387" spans="1:6" x14ac:dyDescent="0.45">
      <c r="A1387" t="s">
        <v>52</v>
      </c>
      <c r="B1387">
        <v>10</v>
      </c>
      <c r="C1387">
        <v>-1</v>
      </c>
      <c r="D1387" t="s">
        <v>111</v>
      </c>
      <c r="E1387">
        <v>3</v>
      </c>
      <c r="F1387" t="str">
        <f t="shared" si="21"/>
        <v>Alkaloid metabolism</v>
      </c>
    </row>
    <row r="1388" spans="1:6" x14ac:dyDescent="0.45">
      <c r="A1388" t="s">
        <v>10</v>
      </c>
      <c r="B1388">
        <v>10</v>
      </c>
      <c r="C1388">
        <v>-1</v>
      </c>
      <c r="D1388" t="s">
        <v>111</v>
      </c>
      <c r="E1388">
        <v>2</v>
      </c>
      <c r="F1388" t="str">
        <f t="shared" si="21"/>
        <v>Nucleotide metabolism</v>
      </c>
    </row>
    <row r="1389" spans="1:6" x14ac:dyDescent="0.45">
      <c r="A1389" t="s">
        <v>100</v>
      </c>
      <c r="B1389">
        <v>10</v>
      </c>
      <c r="C1389">
        <v>-1</v>
      </c>
      <c r="D1389" t="s">
        <v>111</v>
      </c>
      <c r="E1389">
        <v>2</v>
      </c>
      <c r="F1389" t="str">
        <f t="shared" si="21"/>
        <v>Amino acid metabolism</v>
      </c>
    </row>
    <row r="1390" spans="1:6" x14ac:dyDescent="0.45">
      <c r="A1390" t="s">
        <v>63</v>
      </c>
      <c r="B1390">
        <v>10</v>
      </c>
      <c r="C1390">
        <v>-1</v>
      </c>
      <c r="D1390" t="s">
        <v>111</v>
      </c>
      <c r="E1390">
        <v>3</v>
      </c>
      <c r="F1390" t="str">
        <f t="shared" si="21"/>
        <v>Amino acid metabolism</v>
      </c>
    </row>
    <row r="1391" spans="1:6" x14ac:dyDescent="0.45">
      <c r="A1391" t="s">
        <v>18</v>
      </c>
      <c r="B1391">
        <v>10</v>
      </c>
      <c r="C1391">
        <v>-1</v>
      </c>
      <c r="D1391" t="s">
        <v>111</v>
      </c>
      <c r="E1391">
        <v>2</v>
      </c>
      <c r="F1391" t="str">
        <f t="shared" si="21"/>
        <v>Amino acid metabolism</v>
      </c>
    </row>
    <row r="1392" spans="1:6" x14ac:dyDescent="0.45">
      <c r="A1392" t="s">
        <v>25</v>
      </c>
      <c r="B1392">
        <v>10</v>
      </c>
      <c r="C1392">
        <v>-1</v>
      </c>
      <c r="D1392" t="s">
        <v>111</v>
      </c>
      <c r="E1392">
        <v>2</v>
      </c>
      <c r="F1392" t="str">
        <f t="shared" si="21"/>
        <v>Metabolism of cofactors and vitamins</v>
      </c>
    </row>
    <row r="1393" spans="1:6" x14ac:dyDescent="0.45">
      <c r="A1393" t="s">
        <v>90</v>
      </c>
      <c r="B1393">
        <v>10</v>
      </c>
      <c r="C1393">
        <v>-1</v>
      </c>
      <c r="D1393" t="s">
        <v>111</v>
      </c>
      <c r="E1393">
        <v>2</v>
      </c>
      <c r="F1393" t="str">
        <f t="shared" si="21"/>
        <v>Metabolism of cofactors and vitamins</v>
      </c>
    </row>
    <row r="1394" spans="1:6" x14ac:dyDescent="0.45">
      <c r="A1394" t="s">
        <v>55</v>
      </c>
      <c r="B1394">
        <v>10</v>
      </c>
      <c r="C1394">
        <v>-1</v>
      </c>
      <c r="D1394" t="s">
        <v>111</v>
      </c>
      <c r="E1394">
        <v>3</v>
      </c>
      <c r="F1394" t="str">
        <f t="shared" si="21"/>
        <v>Alkaloid metabolism</v>
      </c>
    </row>
    <row r="1395" spans="1:6" x14ac:dyDescent="0.45">
      <c r="A1395" t="s">
        <v>65</v>
      </c>
      <c r="B1395">
        <v>10</v>
      </c>
      <c r="C1395">
        <v>-1</v>
      </c>
      <c r="D1395" t="s">
        <v>111</v>
      </c>
      <c r="E1395">
        <v>2</v>
      </c>
      <c r="F1395" t="str">
        <f t="shared" si="21"/>
        <v>Secondary metabolism</v>
      </c>
    </row>
    <row r="1396" spans="1:6" x14ac:dyDescent="0.45">
      <c r="A1396" t="s">
        <v>62</v>
      </c>
      <c r="B1396">
        <v>10</v>
      </c>
      <c r="C1396">
        <v>-1</v>
      </c>
      <c r="D1396" t="s">
        <v>111</v>
      </c>
      <c r="E1396">
        <v>1</v>
      </c>
      <c r="F1396" t="str">
        <f t="shared" si="21"/>
        <v>Metabolism of cofactors and vitamins</v>
      </c>
    </row>
    <row r="1397" spans="1:6" x14ac:dyDescent="0.45">
      <c r="A1397" t="s">
        <v>42</v>
      </c>
      <c r="B1397">
        <v>10</v>
      </c>
      <c r="C1397">
        <v>-1</v>
      </c>
      <c r="D1397" t="s">
        <v>111</v>
      </c>
      <c r="E1397">
        <v>1</v>
      </c>
      <c r="F1397" t="str">
        <f t="shared" si="21"/>
        <v>Amino acid metabolism</v>
      </c>
    </row>
    <row r="1398" spans="1:6" x14ac:dyDescent="0.45">
      <c r="A1398" t="s">
        <v>54</v>
      </c>
      <c r="B1398">
        <v>10</v>
      </c>
      <c r="C1398">
        <v>-1</v>
      </c>
      <c r="D1398" t="s">
        <v>111</v>
      </c>
      <c r="E1398">
        <v>1</v>
      </c>
      <c r="F1398" t="str">
        <f t="shared" si="21"/>
        <v>Amino acid metabolism</v>
      </c>
    </row>
    <row r="1399" spans="1:6" x14ac:dyDescent="0.45">
      <c r="A1399" t="s">
        <v>43</v>
      </c>
      <c r="B1399">
        <v>10</v>
      </c>
      <c r="C1399">
        <v>-1</v>
      </c>
      <c r="D1399" t="s">
        <v>111</v>
      </c>
      <c r="E1399">
        <v>1</v>
      </c>
      <c r="F1399" t="str">
        <f t="shared" si="21"/>
        <v>Amino acid metabolism</v>
      </c>
    </row>
    <row r="1400" spans="1:6" x14ac:dyDescent="0.45">
      <c r="A1400" t="s">
        <v>44</v>
      </c>
      <c r="B1400">
        <v>10</v>
      </c>
      <c r="C1400">
        <v>-1</v>
      </c>
      <c r="D1400" t="s">
        <v>111</v>
      </c>
      <c r="E1400">
        <v>1</v>
      </c>
      <c r="F1400" t="str">
        <f t="shared" si="21"/>
        <v>Amino acid metabolism</v>
      </c>
    </row>
    <row r="1401" spans="1:6" x14ac:dyDescent="0.45">
      <c r="A1401" t="s">
        <v>17</v>
      </c>
      <c r="B1401">
        <v>10</v>
      </c>
      <c r="C1401">
        <v>-1</v>
      </c>
      <c r="D1401" t="s">
        <v>111</v>
      </c>
      <c r="E1401">
        <v>1</v>
      </c>
      <c r="F1401" t="str">
        <f t="shared" si="21"/>
        <v>Amino acid metabolism</v>
      </c>
    </row>
    <row r="1402" spans="1:6" x14ac:dyDescent="0.45">
      <c r="A1402" t="s">
        <v>19</v>
      </c>
      <c r="B1402">
        <v>10</v>
      </c>
      <c r="C1402">
        <v>-1</v>
      </c>
      <c r="D1402" t="s">
        <v>111</v>
      </c>
      <c r="E1402">
        <v>3</v>
      </c>
      <c r="F1402" t="str">
        <f t="shared" si="21"/>
        <v>Amino acid metabolism</v>
      </c>
    </row>
    <row r="1403" spans="1:6" x14ac:dyDescent="0.45">
      <c r="A1403" t="s">
        <v>45</v>
      </c>
      <c r="B1403">
        <v>10</v>
      </c>
      <c r="C1403">
        <v>-1</v>
      </c>
      <c r="D1403" t="s">
        <v>111</v>
      </c>
      <c r="E1403">
        <v>1</v>
      </c>
      <c r="F1403" t="str">
        <f t="shared" si="21"/>
        <v>Amino acid metabolism</v>
      </c>
    </row>
    <row r="1404" spans="1:6" x14ac:dyDescent="0.45">
      <c r="A1404" t="s">
        <v>69</v>
      </c>
      <c r="B1404">
        <v>10</v>
      </c>
      <c r="C1404">
        <v>-1</v>
      </c>
      <c r="D1404" t="s">
        <v>111</v>
      </c>
      <c r="E1404">
        <v>1</v>
      </c>
      <c r="F1404" t="str">
        <f t="shared" si="21"/>
        <v>Amino acid metabolism</v>
      </c>
    </row>
    <row r="1405" spans="1:6" x14ac:dyDescent="0.45">
      <c r="A1405" t="s">
        <v>77</v>
      </c>
      <c r="B1405">
        <v>10</v>
      </c>
      <c r="C1405">
        <v>-1</v>
      </c>
      <c r="D1405" t="s">
        <v>111</v>
      </c>
      <c r="E1405">
        <v>1</v>
      </c>
      <c r="F1405" t="str">
        <f t="shared" si="21"/>
        <v>Amino acid metabolism</v>
      </c>
    </row>
    <row r="1406" spans="1:6" x14ac:dyDescent="0.45">
      <c r="A1406" t="s">
        <v>26</v>
      </c>
      <c r="B1406">
        <v>10</v>
      </c>
      <c r="C1406">
        <v>-1</v>
      </c>
      <c r="D1406" t="s">
        <v>111</v>
      </c>
      <c r="E1406">
        <v>1</v>
      </c>
      <c r="F1406" t="str">
        <f t="shared" si="21"/>
        <v>Metabolism of cofactors and vitamins</v>
      </c>
    </row>
    <row r="1407" spans="1:6" x14ac:dyDescent="0.45">
      <c r="A1407" t="s">
        <v>27</v>
      </c>
      <c r="B1407">
        <v>10</v>
      </c>
      <c r="C1407">
        <v>-1</v>
      </c>
      <c r="D1407" t="s">
        <v>111</v>
      </c>
      <c r="E1407">
        <v>1</v>
      </c>
      <c r="F1407" t="str">
        <f t="shared" si="21"/>
        <v>Metabolism of cofactors and vitamins</v>
      </c>
    </row>
    <row r="1408" spans="1:6" x14ac:dyDescent="0.45">
      <c r="A1408" t="s">
        <v>71</v>
      </c>
      <c r="B1408">
        <v>10</v>
      </c>
      <c r="C1408">
        <v>-1</v>
      </c>
      <c r="D1408" t="s">
        <v>111</v>
      </c>
      <c r="E1408">
        <v>1</v>
      </c>
      <c r="F1408" t="str">
        <f t="shared" si="21"/>
        <v>Metabolism of terpenoids and polyketides</v>
      </c>
    </row>
    <row r="1409" spans="1:6" x14ac:dyDescent="0.45">
      <c r="A1409" t="s">
        <v>13</v>
      </c>
      <c r="B1409">
        <v>10</v>
      </c>
      <c r="C1409">
        <v>-1</v>
      </c>
      <c r="D1409" t="s">
        <v>111</v>
      </c>
      <c r="E1409">
        <v>1</v>
      </c>
      <c r="F1409" t="str">
        <f t="shared" si="21"/>
        <v>Terpenoid metabolism</v>
      </c>
    </row>
    <row r="1410" spans="1:6" x14ac:dyDescent="0.45">
      <c r="A1410" t="s">
        <v>30</v>
      </c>
      <c r="B1410">
        <v>10</v>
      </c>
      <c r="C1410">
        <v>-1</v>
      </c>
      <c r="D1410" t="s">
        <v>111</v>
      </c>
      <c r="E1410">
        <v>1</v>
      </c>
      <c r="F1410" t="str">
        <f t="shared" si="21"/>
        <v>Phenylpropanoid biosynthesis</v>
      </c>
    </row>
    <row r="1411" spans="1:6" x14ac:dyDescent="0.45">
      <c r="A1411" t="s">
        <v>57</v>
      </c>
      <c r="B1411">
        <v>10</v>
      </c>
      <c r="C1411">
        <v>-1</v>
      </c>
      <c r="D1411" t="s">
        <v>111</v>
      </c>
      <c r="E1411">
        <v>1</v>
      </c>
      <c r="F1411" t="str">
        <f t="shared" si="21"/>
        <v>Phenylpropanoid metabolism</v>
      </c>
    </row>
    <row r="1412" spans="1:6" x14ac:dyDescent="0.45">
      <c r="A1412" t="s">
        <v>84</v>
      </c>
      <c r="B1412">
        <v>10</v>
      </c>
      <c r="C1412">
        <v>-1</v>
      </c>
      <c r="D1412" t="s">
        <v>111</v>
      </c>
      <c r="E1412">
        <v>1</v>
      </c>
      <c r="F1412" t="str">
        <f t="shared" ref="F1412:F1419" si="22">_xlfn.XLOOKUP(A1412,$H$2:$H$200,$I$2:$I$200)</f>
        <v>Stilbenoid; diarylheptanoid and gingerol biosynthesis</v>
      </c>
    </row>
    <row r="1413" spans="1:6" x14ac:dyDescent="0.45">
      <c r="A1413" t="s">
        <v>91</v>
      </c>
      <c r="B1413">
        <v>10</v>
      </c>
      <c r="C1413">
        <v>-1</v>
      </c>
      <c r="D1413" t="s">
        <v>111</v>
      </c>
      <c r="E1413">
        <v>1</v>
      </c>
      <c r="F1413" t="str">
        <f t="shared" si="22"/>
        <v>Genetic Information Processing</v>
      </c>
    </row>
    <row r="1414" spans="1:6" x14ac:dyDescent="0.45">
      <c r="A1414" t="s">
        <v>56</v>
      </c>
      <c r="B1414">
        <v>10</v>
      </c>
      <c r="C1414">
        <v>-1</v>
      </c>
      <c r="D1414" t="s">
        <v>111</v>
      </c>
      <c r="E1414">
        <v>1</v>
      </c>
      <c r="F1414" t="str">
        <f t="shared" si="22"/>
        <v>Lipid metabolism</v>
      </c>
    </row>
    <row r="1415" spans="1:6" x14ac:dyDescent="0.45">
      <c r="A1415" t="s">
        <v>32</v>
      </c>
      <c r="B1415">
        <v>10</v>
      </c>
      <c r="C1415">
        <v>-1</v>
      </c>
      <c r="D1415" t="s">
        <v>111</v>
      </c>
      <c r="E1415">
        <v>1</v>
      </c>
      <c r="F1415" t="str">
        <f t="shared" si="22"/>
        <v xml:space="preserve">Carbon metabolism </v>
      </c>
    </row>
    <row r="1416" spans="1:6" x14ac:dyDescent="0.45">
      <c r="A1416" t="s">
        <v>34</v>
      </c>
      <c r="B1416">
        <v>10</v>
      </c>
      <c r="C1416">
        <v>-1</v>
      </c>
      <c r="D1416" t="s">
        <v>111</v>
      </c>
      <c r="E1416">
        <v>1</v>
      </c>
      <c r="F1416" t="str">
        <f t="shared" si="22"/>
        <v>Amino acid metabolism</v>
      </c>
    </row>
    <row r="1417" spans="1:6" x14ac:dyDescent="0.45">
      <c r="A1417" t="s">
        <v>35</v>
      </c>
      <c r="B1417">
        <v>10</v>
      </c>
      <c r="C1417">
        <v>-1</v>
      </c>
      <c r="D1417" t="s">
        <v>111</v>
      </c>
      <c r="E1417">
        <v>1</v>
      </c>
      <c r="F1417" t="str">
        <f t="shared" si="22"/>
        <v>Membrane transport</v>
      </c>
    </row>
    <row r="1418" spans="1:6" x14ac:dyDescent="0.45">
      <c r="A1418" t="s">
        <v>95</v>
      </c>
      <c r="B1418">
        <v>10</v>
      </c>
      <c r="C1418">
        <v>-1</v>
      </c>
      <c r="D1418" t="s">
        <v>111</v>
      </c>
      <c r="E1418">
        <v>1</v>
      </c>
      <c r="F1418" t="str">
        <f t="shared" si="22"/>
        <v>Amino acid metabolism</v>
      </c>
    </row>
    <row r="1419" spans="1:6" x14ac:dyDescent="0.45">
      <c r="A1419" t="s">
        <v>79</v>
      </c>
      <c r="B1419">
        <v>10</v>
      </c>
      <c r="C1419">
        <v>-1</v>
      </c>
      <c r="D1419" t="s">
        <v>111</v>
      </c>
      <c r="E1419">
        <v>1</v>
      </c>
      <c r="F1419" t="str">
        <f t="shared" si="22"/>
        <v>Terpenoid metabolism</v>
      </c>
    </row>
  </sheetData>
  <autoFilter ref="A2:F1419" xr:uid="{00000000-0001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B10D-2131-46E4-B812-FF4F7E2B3127}">
  <dimension ref="A3:AW67"/>
  <sheetViews>
    <sheetView zoomScale="53" zoomScaleNormal="70" workbookViewId="0">
      <selection activeCell="R42" sqref="R42"/>
    </sheetView>
  </sheetViews>
  <sheetFormatPr baseColWidth="10" defaultRowHeight="14.25" x14ac:dyDescent="0.45"/>
  <cols>
    <col min="1" max="1" width="45.9296875" bestFit="1" customWidth="1"/>
    <col min="2" max="2" width="21" bestFit="1" customWidth="1"/>
    <col min="3" max="3" width="3.73046875" bestFit="1" customWidth="1"/>
    <col min="4" max="4" width="6.33203125" bestFit="1" customWidth="1"/>
    <col min="5" max="5" width="3.53125" bestFit="1" customWidth="1"/>
    <col min="6" max="6" width="4.73046875" bestFit="1" customWidth="1"/>
    <col min="7" max="7" width="6.33203125" bestFit="1" customWidth="1"/>
    <col min="8" max="9" width="3.73046875" bestFit="1" customWidth="1"/>
    <col min="10" max="10" width="6.33203125" bestFit="1" customWidth="1"/>
    <col min="11" max="12" width="3.73046875" bestFit="1" customWidth="1"/>
    <col min="13" max="13" width="6.33203125" bestFit="1" customWidth="1"/>
    <col min="14" max="14" width="3.53125" bestFit="1" customWidth="1"/>
    <col min="15" max="15" width="3.73046875" bestFit="1" customWidth="1"/>
    <col min="16" max="16" width="6.33203125" bestFit="1" customWidth="1"/>
    <col min="17" max="17" width="3.73046875" bestFit="1" customWidth="1"/>
    <col min="18" max="18" width="2.73046875" bestFit="1" customWidth="1"/>
    <col min="19" max="19" width="6.33203125" bestFit="1" customWidth="1"/>
    <col min="20" max="21" width="3.73046875" bestFit="1" customWidth="1"/>
    <col min="22" max="22" width="6.33203125" bestFit="1" customWidth="1"/>
    <col min="23" max="23" width="4.53125" bestFit="1" customWidth="1"/>
    <col min="24" max="24" width="3.73046875" bestFit="1" customWidth="1"/>
    <col min="25" max="25" width="7.265625" bestFit="1" customWidth="1"/>
    <col min="26" max="26" width="11.73046875" bestFit="1" customWidth="1"/>
    <col min="27" max="27" width="14.73046875" bestFit="1" customWidth="1"/>
    <col min="28" max="28" width="11.6640625" bestFit="1" customWidth="1"/>
    <col min="32" max="32" width="48.06640625" bestFit="1" customWidth="1"/>
  </cols>
  <sheetData>
    <row r="3" spans="1:49" x14ac:dyDescent="0.45">
      <c r="A3" s="3" t="s">
        <v>160</v>
      </c>
      <c r="B3" s="3" t="s">
        <v>150</v>
      </c>
    </row>
    <row r="4" spans="1:49" x14ac:dyDescent="0.45">
      <c r="B4">
        <v>3</v>
      </c>
      <c r="D4" t="s">
        <v>151</v>
      </c>
      <c r="E4">
        <v>4</v>
      </c>
      <c r="G4" t="s">
        <v>152</v>
      </c>
      <c r="H4">
        <v>5</v>
      </c>
      <c r="J4" t="s">
        <v>153</v>
      </c>
      <c r="K4">
        <v>6</v>
      </c>
      <c r="M4" t="s">
        <v>154</v>
      </c>
      <c r="N4">
        <v>7</v>
      </c>
      <c r="P4" t="s">
        <v>155</v>
      </c>
      <c r="Q4">
        <v>8</v>
      </c>
      <c r="S4" t="s">
        <v>156</v>
      </c>
      <c r="T4">
        <v>9</v>
      </c>
      <c r="V4" t="s">
        <v>157</v>
      </c>
      <c r="W4">
        <v>10</v>
      </c>
      <c r="Y4" t="s">
        <v>158</v>
      </c>
      <c r="Z4" t="s">
        <v>149</v>
      </c>
      <c r="AA4" t="s">
        <v>159</v>
      </c>
      <c r="AB4" t="s">
        <v>145</v>
      </c>
      <c r="AF4" s="6"/>
      <c r="AG4" s="31">
        <v>3</v>
      </c>
      <c r="AH4" s="32"/>
      <c r="AI4" s="31">
        <v>4</v>
      </c>
      <c r="AJ4" s="32"/>
      <c r="AK4" s="31">
        <v>5</v>
      </c>
      <c r="AL4" s="32"/>
      <c r="AM4" s="31">
        <v>6</v>
      </c>
      <c r="AN4" s="32"/>
      <c r="AO4" s="31">
        <v>7</v>
      </c>
      <c r="AP4" s="32"/>
      <c r="AQ4" s="31">
        <v>8</v>
      </c>
      <c r="AR4" s="32"/>
      <c r="AS4" s="31">
        <v>9</v>
      </c>
      <c r="AT4" s="32"/>
      <c r="AU4" s="31">
        <v>10</v>
      </c>
      <c r="AV4" s="32"/>
      <c r="AW4" s="6" t="s">
        <v>145</v>
      </c>
    </row>
    <row r="5" spans="1:49" x14ac:dyDescent="0.45">
      <c r="A5" s="3" t="s">
        <v>148</v>
      </c>
      <c r="B5">
        <v>-1</v>
      </c>
      <c r="C5">
        <v>1</v>
      </c>
      <c r="E5">
        <v>-1</v>
      </c>
      <c r="F5">
        <v>1</v>
      </c>
      <c r="H5">
        <v>-1</v>
      </c>
      <c r="I5">
        <v>1</v>
      </c>
      <c r="K5">
        <v>-1</v>
      </c>
      <c r="L5">
        <v>1</v>
      </c>
      <c r="N5">
        <v>-1</v>
      </c>
      <c r="O5">
        <v>1</v>
      </c>
      <c r="Q5">
        <v>-1</v>
      </c>
      <c r="R5">
        <v>1</v>
      </c>
      <c r="T5">
        <v>-1</v>
      </c>
      <c r="U5">
        <v>1</v>
      </c>
      <c r="W5">
        <v>-1</v>
      </c>
      <c r="X5">
        <v>1</v>
      </c>
      <c r="Z5" t="s">
        <v>149</v>
      </c>
      <c r="AF5" s="7" t="s">
        <v>148</v>
      </c>
      <c r="AG5" s="8">
        <v>-1</v>
      </c>
      <c r="AH5" s="8">
        <v>1</v>
      </c>
      <c r="AI5" s="8">
        <v>-1</v>
      </c>
      <c r="AJ5" s="8">
        <v>1</v>
      </c>
      <c r="AK5" s="8">
        <v>-1</v>
      </c>
      <c r="AL5" s="8">
        <v>1</v>
      </c>
      <c r="AM5" s="8">
        <v>-1</v>
      </c>
      <c r="AN5" s="8">
        <v>1</v>
      </c>
      <c r="AO5" s="8">
        <v>-1</v>
      </c>
      <c r="AP5" s="8">
        <v>1</v>
      </c>
      <c r="AQ5" s="8">
        <v>-1</v>
      </c>
      <c r="AR5" s="8">
        <v>1</v>
      </c>
      <c r="AS5" s="8">
        <v>-1</v>
      </c>
      <c r="AT5" s="8">
        <v>1</v>
      </c>
      <c r="AU5" s="8">
        <v>-1</v>
      </c>
      <c r="AV5" s="8">
        <v>1</v>
      </c>
      <c r="AW5" s="7"/>
    </row>
    <row r="6" spans="1:49" x14ac:dyDescent="0.45">
      <c r="A6" s="1">
        <v>0</v>
      </c>
      <c r="B6">
        <v>1</v>
      </c>
      <c r="C6">
        <v>1</v>
      </c>
      <c r="D6">
        <v>2</v>
      </c>
      <c r="E6">
        <v>3</v>
      </c>
      <c r="F6">
        <v>1</v>
      </c>
      <c r="G6">
        <v>4</v>
      </c>
      <c r="H6">
        <v>4</v>
      </c>
      <c r="I6">
        <v>1</v>
      </c>
      <c r="J6">
        <v>5</v>
      </c>
      <c r="K6">
        <v>5</v>
      </c>
      <c r="M6">
        <v>5</v>
      </c>
      <c r="O6">
        <v>2</v>
      </c>
      <c r="P6">
        <v>2</v>
      </c>
      <c r="Q6">
        <v>1</v>
      </c>
      <c r="S6">
        <v>1</v>
      </c>
      <c r="T6">
        <v>7</v>
      </c>
      <c r="U6">
        <v>1</v>
      </c>
      <c r="V6">
        <v>8</v>
      </c>
      <c r="X6">
        <v>2</v>
      </c>
      <c r="Y6">
        <v>2</v>
      </c>
      <c r="AB6">
        <v>29</v>
      </c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</row>
    <row r="7" spans="1:49" x14ac:dyDescent="0.45">
      <c r="A7" s="1" t="s">
        <v>104</v>
      </c>
      <c r="I7">
        <v>1</v>
      </c>
      <c r="J7">
        <v>1</v>
      </c>
      <c r="K7">
        <v>3</v>
      </c>
      <c r="M7">
        <v>3</v>
      </c>
      <c r="T7">
        <v>2</v>
      </c>
      <c r="V7">
        <v>2</v>
      </c>
      <c r="AB7">
        <v>6</v>
      </c>
      <c r="AF7" s="6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6"/>
    </row>
    <row r="8" spans="1:49" x14ac:dyDescent="0.45">
      <c r="A8" s="1" t="s">
        <v>123</v>
      </c>
      <c r="B8">
        <v>4</v>
      </c>
      <c r="C8">
        <v>4</v>
      </c>
      <c r="D8">
        <v>8</v>
      </c>
      <c r="E8">
        <v>1</v>
      </c>
      <c r="F8">
        <v>51</v>
      </c>
      <c r="G8">
        <v>52</v>
      </c>
      <c r="H8">
        <v>12</v>
      </c>
      <c r="I8">
        <v>17</v>
      </c>
      <c r="J8">
        <v>29</v>
      </c>
      <c r="K8">
        <v>32</v>
      </c>
      <c r="L8">
        <v>14</v>
      </c>
      <c r="M8">
        <v>46</v>
      </c>
      <c r="N8">
        <v>2</v>
      </c>
      <c r="O8">
        <v>9</v>
      </c>
      <c r="P8">
        <v>11</v>
      </c>
      <c r="Q8">
        <v>9</v>
      </c>
      <c r="R8">
        <v>3</v>
      </c>
      <c r="S8">
        <v>12</v>
      </c>
      <c r="T8">
        <v>12</v>
      </c>
      <c r="U8">
        <v>7</v>
      </c>
      <c r="V8">
        <v>19</v>
      </c>
      <c r="W8">
        <v>7</v>
      </c>
      <c r="X8">
        <v>7</v>
      </c>
      <c r="Y8">
        <v>14</v>
      </c>
      <c r="AB8">
        <v>191</v>
      </c>
      <c r="AF8" s="4" t="s">
        <v>123</v>
      </c>
      <c r="AG8" s="5">
        <v>4</v>
      </c>
      <c r="AH8" s="5">
        <v>4</v>
      </c>
      <c r="AI8" s="5">
        <v>1</v>
      </c>
      <c r="AJ8" s="5">
        <v>51</v>
      </c>
      <c r="AK8" s="5">
        <v>12</v>
      </c>
      <c r="AL8" s="5">
        <v>17</v>
      </c>
      <c r="AM8" s="5">
        <v>32</v>
      </c>
      <c r="AN8" s="5">
        <v>14</v>
      </c>
      <c r="AO8" s="5">
        <v>2</v>
      </c>
      <c r="AP8" s="5">
        <v>9</v>
      </c>
      <c r="AQ8" s="5">
        <v>9</v>
      </c>
      <c r="AR8" s="5">
        <v>3</v>
      </c>
      <c r="AS8" s="5">
        <v>12</v>
      </c>
      <c r="AT8" s="5">
        <v>7</v>
      </c>
      <c r="AU8" s="5">
        <v>7</v>
      </c>
      <c r="AV8" s="5">
        <v>7</v>
      </c>
      <c r="AW8" s="4">
        <v>191</v>
      </c>
    </row>
    <row r="9" spans="1:49" x14ac:dyDescent="0.45">
      <c r="A9" s="1" t="s">
        <v>121</v>
      </c>
      <c r="B9">
        <v>16</v>
      </c>
      <c r="C9">
        <v>42</v>
      </c>
      <c r="D9">
        <v>58</v>
      </c>
      <c r="E9">
        <v>15</v>
      </c>
      <c r="F9">
        <v>305</v>
      </c>
      <c r="G9">
        <v>320</v>
      </c>
      <c r="H9">
        <v>27</v>
      </c>
      <c r="I9">
        <v>163</v>
      </c>
      <c r="J9">
        <v>190</v>
      </c>
      <c r="K9">
        <v>112</v>
      </c>
      <c r="L9">
        <v>81</v>
      </c>
      <c r="M9">
        <v>193</v>
      </c>
      <c r="N9">
        <v>9</v>
      </c>
      <c r="O9">
        <v>78</v>
      </c>
      <c r="P9">
        <v>87</v>
      </c>
      <c r="Q9">
        <v>62</v>
      </c>
      <c r="R9">
        <v>21</v>
      </c>
      <c r="S9">
        <v>83</v>
      </c>
      <c r="T9">
        <v>15</v>
      </c>
      <c r="U9">
        <v>74</v>
      </c>
      <c r="V9">
        <v>89</v>
      </c>
      <c r="W9">
        <v>40</v>
      </c>
      <c r="X9">
        <v>77</v>
      </c>
      <c r="Y9">
        <v>117</v>
      </c>
      <c r="AB9">
        <v>1137</v>
      </c>
      <c r="AF9" s="4" t="s">
        <v>121</v>
      </c>
      <c r="AG9" s="5">
        <v>16</v>
      </c>
      <c r="AH9" s="5">
        <v>42</v>
      </c>
      <c r="AI9" s="5">
        <v>15</v>
      </c>
      <c r="AJ9" s="5">
        <v>305</v>
      </c>
      <c r="AK9" s="5">
        <v>27</v>
      </c>
      <c r="AL9" s="5">
        <v>163</v>
      </c>
      <c r="AM9" s="5">
        <v>112</v>
      </c>
      <c r="AN9" s="5">
        <v>81</v>
      </c>
      <c r="AO9" s="5">
        <v>9</v>
      </c>
      <c r="AP9" s="5">
        <v>78</v>
      </c>
      <c r="AQ9" s="5">
        <v>62</v>
      </c>
      <c r="AR9" s="5">
        <v>21</v>
      </c>
      <c r="AS9" s="5">
        <v>15</v>
      </c>
      <c r="AT9" s="5">
        <v>74</v>
      </c>
      <c r="AU9" s="5">
        <v>40</v>
      </c>
      <c r="AV9" s="5">
        <v>77</v>
      </c>
      <c r="AW9" s="4">
        <v>1137</v>
      </c>
    </row>
    <row r="10" spans="1:49" x14ac:dyDescent="0.45">
      <c r="A10" s="1" t="s">
        <v>131</v>
      </c>
      <c r="F10">
        <v>2</v>
      </c>
      <c r="G10">
        <v>2</v>
      </c>
      <c r="H10">
        <v>1</v>
      </c>
      <c r="I10">
        <v>3</v>
      </c>
      <c r="J10">
        <v>4</v>
      </c>
      <c r="K10">
        <v>2</v>
      </c>
      <c r="L10">
        <v>1</v>
      </c>
      <c r="M10">
        <v>3</v>
      </c>
      <c r="N10">
        <v>1</v>
      </c>
      <c r="O10">
        <v>1</v>
      </c>
      <c r="P10">
        <v>2</v>
      </c>
      <c r="X10">
        <v>1</v>
      </c>
      <c r="Y10">
        <v>1</v>
      </c>
      <c r="AB10">
        <v>12</v>
      </c>
      <c r="AF10" s="4" t="s">
        <v>128</v>
      </c>
      <c r="AG10" s="5">
        <v>7</v>
      </c>
      <c r="AH10" s="5">
        <v>10</v>
      </c>
      <c r="AI10" s="5">
        <v>2</v>
      </c>
      <c r="AJ10" s="5">
        <v>147</v>
      </c>
      <c r="AK10" s="5">
        <v>14</v>
      </c>
      <c r="AL10" s="5">
        <v>89</v>
      </c>
      <c r="AM10" s="5">
        <v>50</v>
      </c>
      <c r="AN10" s="5">
        <v>60</v>
      </c>
      <c r="AO10" s="5">
        <v>5</v>
      </c>
      <c r="AP10" s="5">
        <v>49</v>
      </c>
      <c r="AQ10" s="5">
        <v>9</v>
      </c>
      <c r="AR10" s="5">
        <v>3</v>
      </c>
      <c r="AS10" s="5">
        <v>1</v>
      </c>
      <c r="AT10" s="5">
        <v>25</v>
      </c>
      <c r="AU10" s="5">
        <v>13</v>
      </c>
      <c r="AV10" s="5">
        <v>25</v>
      </c>
      <c r="AW10" s="4">
        <v>509</v>
      </c>
    </row>
    <row r="11" spans="1:49" x14ac:dyDescent="0.45">
      <c r="A11" s="1" t="s">
        <v>141</v>
      </c>
      <c r="F11">
        <v>1</v>
      </c>
      <c r="G11">
        <v>1</v>
      </c>
      <c r="K11">
        <v>2</v>
      </c>
      <c r="M11">
        <v>2</v>
      </c>
      <c r="AB11">
        <v>3</v>
      </c>
      <c r="AF11" s="4" t="s">
        <v>133</v>
      </c>
      <c r="AG11" s="5">
        <v>2</v>
      </c>
      <c r="AH11" s="5">
        <v>5</v>
      </c>
      <c r="AI11" s="5">
        <v>0</v>
      </c>
      <c r="AJ11" s="5">
        <v>38</v>
      </c>
      <c r="AK11" s="5">
        <v>5</v>
      </c>
      <c r="AL11" s="5">
        <v>28</v>
      </c>
      <c r="AM11" s="5">
        <v>13</v>
      </c>
      <c r="AN11" s="5">
        <v>22</v>
      </c>
      <c r="AO11" s="5">
        <v>3</v>
      </c>
      <c r="AP11" s="5">
        <v>17</v>
      </c>
      <c r="AQ11" s="5">
        <v>0</v>
      </c>
      <c r="AR11" s="5">
        <v>2</v>
      </c>
      <c r="AS11" s="5">
        <v>0</v>
      </c>
      <c r="AT11" s="5">
        <v>8</v>
      </c>
      <c r="AU11" s="5">
        <v>5</v>
      </c>
      <c r="AV11" s="5">
        <v>10</v>
      </c>
      <c r="AW11" s="4">
        <v>158</v>
      </c>
    </row>
    <row r="12" spans="1:49" x14ac:dyDescent="0.45">
      <c r="A12" s="1" t="s">
        <v>128</v>
      </c>
      <c r="B12">
        <v>7</v>
      </c>
      <c r="C12">
        <v>10</v>
      </c>
      <c r="D12">
        <v>17</v>
      </c>
      <c r="E12">
        <v>2</v>
      </c>
      <c r="F12">
        <v>147</v>
      </c>
      <c r="G12">
        <v>149</v>
      </c>
      <c r="H12">
        <v>14</v>
      </c>
      <c r="I12">
        <v>89</v>
      </c>
      <c r="J12">
        <v>103</v>
      </c>
      <c r="K12">
        <v>50</v>
      </c>
      <c r="L12">
        <v>60</v>
      </c>
      <c r="M12">
        <v>110</v>
      </c>
      <c r="N12">
        <v>5</v>
      </c>
      <c r="O12">
        <v>49</v>
      </c>
      <c r="P12">
        <v>54</v>
      </c>
      <c r="Q12">
        <v>9</v>
      </c>
      <c r="R12">
        <v>3</v>
      </c>
      <c r="S12">
        <v>12</v>
      </c>
      <c r="T12">
        <v>1</v>
      </c>
      <c r="U12">
        <v>25</v>
      </c>
      <c r="V12">
        <v>26</v>
      </c>
      <c r="W12">
        <v>13</v>
      </c>
      <c r="X12">
        <v>25</v>
      </c>
      <c r="Y12">
        <v>38</v>
      </c>
      <c r="AB12">
        <v>509</v>
      </c>
      <c r="AF12" s="4" t="s">
        <v>136</v>
      </c>
      <c r="AG12" s="5">
        <v>3</v>
      </c>
      <c r="AH12" s="5">
        <v>1</v>
      </c>
      <c r="AI12" s="5">
        <v>3</v>
      </c>
      <c r="AJ12" s="5">
        <v>71</v>
      </c>
      <c r="AK12" s="5">
        <v>5</v>
      </c>
      <c r="AL12" s="5">
        <v>20</v>
      </c>
      <c r="AM12" s="5">
        <v>25</v>
      </c>
      <c r="AN12" s="5">
        <v>20</v>
      </c>
      <c r="AO12" s="5">
        <v>1</v>
      </c>
      <c r="AP12" s="5">
        <v>12</v>
      </c>
      <c r="AQ12" s="5">
        <v>18</v>
      </c>
      <c r="AR12" s="5">
        <v>3</v>
      </c>
      <c r="AS12" s="5">
        <v>4</v>
      </c>
      <c r="AT12" s="5">
        <v>12</v>
      </c>
      <c r="AU12" s="5">
        <v>4</v>
      </c>
      <c r="AV12" s="5">
        <v>14</v>
      </c>
      <c r="AW12" s="4">
        <v>216</v>
      </c>
    </row>
    <row r="13" spans="1:49" x14ac:dyDescent="0.45">
      <c r="A13" s="1" t="s">
        <v>132</v>
      </c>
      <c r="B13">
        <v>1</v>
      </c>
      <c r="C13">
        <v>3</v>
      </c>
      <c r="D13">
        <v>4</v>
      </c>
      <c r="F13">
        <v>19</v>
      </c>
      <c r="G13">
        <v>19</v>
      </c>
      <c r="H13">
        <v>2</v>
      </c>
      <c r="I13">
        <v>14</v>
      </c>
      <c r="J13">
        <v>16</v>
      </c>
      <c r="K13">
        <v>7</v>
      </c>
      <c r="L13">
        <v>9</v>
      </c>
      <c r="M13">
        <v>16</v>
      </c>
      <c r="N13">
        <v>1</v>
      </c>
      <c r="O13">
        <v>9</v>
      </c>
      <c r="P13">
        <v>10</v>
      </c>
      <c r="R13">
        <v>1</v>
      </c>
      <c r="S13">
        <v>1</v>
      </c>
      <c r="U13">
        <v>5</v>
      </c>
      <c r="V13">
        <v>5</v>
      </c>
      <c r="W13">
        <v>2</v>
      </c>
      <c r="X13">
        <v>5</v>
      </c>
      <c r="Y13">
        <v>7</v>
      </c>
      <c r="AB13">
        <v>78</v>
      </c>
      <c r="AF13" s="4" t="s">
        <v>138</v>
      </c>
      <c r="AG13" s="5">
        <v>1</v>
      </c>
      <c r="AH13" s="5">
        <v>3</v>
      </c>
      <c r="AI13" s="5"/>
      <c r="AJ13" s="5">
        <v>14</v>
      </c>
      <c r="AK13" s="5">
        <v>1</v>
      </c>
      <c r="AL13" s="5">
        <v>3</v>
      </c>
      <c r="AM13" s="5">
        <v>1</v>
      </c>
      <c r="AN13" s="5">
        <v>1</v>
      </c>
      <c r="AO13" s="5"/>
      <c r="AP13" s="5">
        <v>3</v>
      </c>
      <c r="AQ13" s="5">
        <v>2</v>
      </c>
      <c r="AR13" s="5"/>
      <c r="AS13" s="5">
        <v>1</v>
      </c>
      <c r="AT13" s="5"/>
      <c r="AU13" s="5">
        <v>3</v>
      </c>
      <c r="AV13" s="5">
        <v>4</v>
      </c>
      <c r="AW13" s="4">
        <v>37</v>
      </c>
    </row>
    <row r="14" spans="1:49" x14ac:dyDescent="0.45">
      <c r="A14" s="1" t="s">
        <v>133</v>
      </c>
      <c r="B14">
        <v>1</v>
      </c>
      <c r="C14">
        <v>2</v>
      </c>
      <c r="D14">
        <v>3</v>
      </c>
      <c r="F14">
        <v>19</v>
      </c>
      <c r="G14">
        <v>19</v>
      </c>
      <c r="H14">
        <v>3</v>
      </c>
      <c r="I14">
        <v>14</v>
      </c>
      <c r="J14">
        <v>17</v>
      </c>
      <c r="K14">
        <v>6</v>
      </c>
      <c r="L14">
        <v>13</v>
      </c>
      <c r="M14">
        <v>19</v>
      </c>
      <c r="N14">
        <v>2</v>
      </c>
      <c r="O14">
        <v>8</v>
      </c>
      <c r="P14">
        <v>10</v>
      </c>
      <c r="R14">
        <v>1</v>
      </c>
      <c r="S14">
        <v>1</v>
      </c>
      <c r="U14">
        <v>3</v>
      </c>
      <c r="V14">
        <v>3</v>
      </c>
      <c r="W14">
        <v>3</v>
      </c>
      <c r="X14">
        <v>5</v>
      </c>
      <c r="Y14">
        <v>8</v>
      </c>
      <c r="AB14">
        <v>80</v>
      </c>
      <c r="AF14" s="4" t="s">
        <v>126</v>
      </c>
      <c r="AG14" s="5">
        <v>1</v>
      </c>
      <c r="AH14" s="5">
        <v>5</v>
      </c>
      <c r="AI14" s="5">
        <v>1</v>
      </c>
      <c r="AJ14" s="5">
        <v>3</v>
      </c>
      <c r="AK14" s="5"/>
      <c r="AL14" s="5">
        <v>7</v>
      </c>
      <c r="AM14" s="5">
        <v>2</v>
      </c>
      <c r="AN14" s="5">
        <v>2</v>
      </c>
      <c r="AO14" s="5"/>
      <c r="AP14" s="5">
        <v>1</v>
      </c>
      <c r="AQ14" s="5">
        <v>3</v>
      </c>
      <c r="AR14" s="5">
        <v>1</v>
      </c>
      <c r="AS14" s="5"/>
      <c r="AT14" s="5"/>
      <c r="AU14" s="5">
        <v>1</v>
      </c>
      <c r="AV14" s="5">
        <v>2</v>
      </c>
      <c r="AW14" s="4">
        <v>29</v>
      </c>
    </row>
    <row r="15" spans="1:49" x14ac:dyDescent="0.45">
      <c r="A15" s="1" t="s">
        <v>136</v>
      </c>
      <c r="B15">
        <v>3</v>
      </c>
      <c r="C15">
        <v>1</v>
      </c>
      <c r="D15">
        <v>4</v>
      </c>
      <c r="E15">
        <v>3</v>
      </c>
      <c r="F15">
        <v>71</v>
      </c>
      <c r="G15">
        <v>74</v>
      </c>
      <c r="H15">
        <v>5</v>
      </c>
      <c r="I15">
        <v>20</v>
      </c>
      <c r="J15">
        <v>25</v>
      </c>
      <c r="K15">
        <v>25</v>
      </c>
      <c r="L15">
        <v>20</v>
      </c>
      <c r="M15">
        <v>45</v>
      </c>
      <c r="N15">
        <v>1</v>
      </c>
      <c r="O15">
        <v>12</v>
      </c>
      <c r="P15">
        <v>13</v>
      </c>
      <c r="Q15">
        <v>18</v>
      </c>
      <c r="R15">
        <v>3</v>
      </c>
      <c r="S15">
        <v>21</v>
      </c>
      <c r="T15">
        <v>4</v>
      </c>
      <c r="U15">
        <v>12</v>
      </c>
      <c r="V15">
        <v>16</v>
      </c>
      <c r="W15">
        <v>4</v>
      </c>
      <c r="X15">
        <v>14</v>
      </c>
      <c r="Y15">
        <v>18</v>
      </c>
      <c r="AB15">
        <v>216</v>
      </c>
      <c r="AF15" s="4" t="s">
        <v>137</v>
      </c>
      <c r="AG15" s="5"/>
      <c r="AH15" s="5">
        <v>4</v>
      </c>
      <c r="AI15" s="5">
        <v>1</v>
      </c>
      <c r="AJ15" s="5">
        <v>30</v>
      </c>
      <c r="AK15" s="5">
        <v>1</v>
      </c>
      <c r="AL15" s="5">
        <v>13</v>
      </c>
      <c r="AM15" s="5">
        <v>11</v>
      </c>
      <c r="AN15" s="5">
        <v>3</v>
      </c>
      <c r="AO15" s="5">
        <v>5</v>
      </c>
      <c r="AP15" s="5">
        <v>7</v>
      </c>
      <c r="AQ15" s="5">
        <v>5</v>
      </c>
      <c r="AR15" s="5">
        <v>3</v>
      </c>
      <c r="AS15" s="5"/>
      <c r="AT15" s="5">
        <v>7</v>
      </c>
      <c r="AU15" s="5">
        <v>7</v>
      </c>
      <c r="AV15" s="5">
        <v>8</v>
      </c>
      <c r="AW15" s="4">
        <v>105</v>
      </c>
    </row>
    <row r="16" spans="1:49" x14ac:dyDescent="0.45">
      <c r="A16" s="1" t="s">
        <v>138</v>
      </c>
      <c r="B16">
        <v>1</v>
      </c>
      <c r="C16">
        <v>3</v>
      </c>
      <c r="D16">
        <v>4</v>
      </c>
      <c r="F16">
        <v>14</v>
      </c>
      <c r="G16">
        <v>14</v>
      </c>
      <c r="H16">
        <v>1</v>
      </c>
      <c r="I16">
        <v>3</v>
      </c>
      <c r="J16">
        <v>4</v>
      </c>
      <c r="K16">
        <v>1</v>
      </c>
      <c r="L16">
        <v>1</v>
      </c>
      <c r="M16">
        <v>2</v>
      </c>
      <c r="O16">
        <v>3</v>
      </c>
      <c r="P16">
        <v>3</v>
      </c>
      <c r="Q16">
        <v>2</v>
      </c>
      <c r="S16">
        <v>2</v>
      </c>
      <c r="T16">
        <v>1</v>
      </c>
      <c r="V16">
        <v>1</v>
      </c>
      <c r="W16">
        <v>3</v>
      </c>
      <c r="X16">
        <v>4</v>
      </c>
      <c r="Y16">
        <v>7</v>
      </c>
      <c r="AB16">
        <v>37</v>
      </c>
      <c r="AF16" s="4" t="s">
        <v>125</v>
      </c>
      <c r="AG16" s="5"/>
      <c r="AH16" s="5">
        <v>3</v>
      </c>
      <c r="AI16" s="5"/>
      <c r="AJ16" s="5">
        <v>16</v>
      </c>
      <c r="AK16" s="5">
        <v>1</v>
      </c>
      <c r="AL16" s="5">
        <v>3</v>
      </c>
      <c r="AM16" s="5">
        <v>2</v>
      </c>
      <c r="AN16" s="5">
        <v>1</v>
      </c>
      <c r="AO16" s="5"/>
      <c r="AP16" s="5">
        <v>3</v>
      </c>
      <c r="AQ16" s="5">
        <v>1</v>
      </c>
      <c r="AR16" s="5"/>
      <c r="AS16" s="5">
        <v>1</v>
      </c>
      <c r="AT16" s="5"/>
      <c r="AU16" s="5"/>
      <c r="AV16" s="5">
        <v>2</v>
      </c>
      <c r="AW16" s="4">
        <v>33</v>
      </c>
    </row>
    <row r="17" spans="1:49" x14ac:dyDescent="0.45">
      <c r="A17" s="1" t="s">
        <v>146</v>
      </c>
      <c r="F17">
        <v>4</v>
      </c>
      <c r="G17">
        <v>4</v>
      </c>
      <c r="I17">
        <v>4</v>
      </c>
      <c r="J17">
        <v>4</v>
      </c>
      <c r="L17">
        <v>4</v>
      </c>
      <c r="M17">
        <v>4</v>
      </c>
      <c r="O17">
        <v>4</v>
      </c>
      <c r="P17">
        <v>4</v>
      </c>
      <c r="U17">
        <v>1</v>
      </c>
      <c r="V17">
        <v>1</v>
      </c>
      <c r="X17">
        <v>1</v>
      </c>
      <c r="Y17">
        <v>1</v>
      </c>
      <c r="AB17">
        <v>18</v>
      </c>
      <c r="AF17" s="4" t="s">
        <v>124</v>
      </c>
      <c r="AG17" s="5">
        <v>3</v>
      </c>
      <c r="AH17" s="5">
        <v>1</v>
      </c>
      <c r="AI17" s="5">
        <v>2</v>
      </c>
      <c r="AJ17" s="5">
        <v>130</v>
      </c>
      <c r="AK17" s="5">
        <v>3</v>
      </c>
      <c r="AL17" s="5">
        <v>69</v>
      </c>
      <c r="AM17" s="5">
        <v>23</v>
      </c>
      <c r="AN17" s="5">
        <v>69</v>
      </c>
      <c r="AO17" s="5">
        <v>3</v>
      </c>
      <c r="AP17" s="5">
        <v>57</v>
      </c>
      <c r="AQ17" s="5">
        <v>14</v>
      </c>
      <c r="AR17" s="5">
        <v>1</v>
      </c>
      <c r="AS17" s="5">
        <v>24</v>
      </c>
      <c r="AT17" s="5">
        <v>18</v>
      </c>
      <c r="AU17" s="5">
        <v>1</v>
      </c>
      <c r="AV17" s="5">
        <v>28</v>
      </c>
      <c r="AW17" s="4">
        <v>446</v>
      </c>
    </row>
    <row r="18" spans="1:49" x14ac:dyDescent="0.45">
      <c r="A18" s="1" t="s">
        <v>126</v>
      </c>
      <c r="B18">
        <v>1</v>
      </c>
      <c r="C18">
        <v>5</v>
      </c>
      <c r="D18">
        <v>6</v>
      </c>
      <c r="E18">
        <v>1</v>
      </c>
      <c r="F18">
        <v>3</v>
      </c>
      <c r="G18">
        <v>4</v>
      </c>
      <c r="I18">
        <v>7</v>
      </c>
      <c r="J18">
        <v>7</v>
      </c>
      <c r="K18">
        <v>2</v>
      </c>
      <c r="L18">
        <v>2</v>
      </c>
      <c r="M18">
        <v>4</v>
      </c>
      <c r="O18">
        <v>1</v>
      </c>
      <c r="P18">
        <v>1</v>
      </c>
      <c r="Q18">
        <v>3</v>
      </c>
      <c r="R18">
        <v>1</v>
      </c>
      <c r="S18">
        <v>4</v>
      </c>
      <c r="W18">
        <v>1</v>
      </c>
      <c r="X18">
        <v>2</v>
      </c>
      <c r="Y18">
        <v>3</v>
      </c>
      <c r="AB18">
        <v>29</v>
      </c>
      <c r="AF18" s="4" t="s">
        <v>122</v>
      </c>
      <c r="AG18" s="5">
        <v>2</v>
      </c>
      <c r="AH18" s="5">
        <v>6</v>
      </c>
      <c r="AI18" s="5">
        <v>1</v>
      </c>
      <c r="AJ18" s="5">
        <v>14</v>
      </c>
      <c r="AK18" s="5">
        <v>4</v>
      </c>
      <c r="AL18" s="5">
        <v>6</v>
      </c>
      <c r="AM18" s="5">
        <v>7</v>
      </c>
      <c r="AN18" s="5">
        <v>1</v>
      </c>
      <c r="AO18" s="5">
        <v>2</v>
      </c>
      <c r="AP18" s="5">
        <v>3</v>
      </c>
      <c r="AQ18" s="5">
        <v>2</v>
      </c>
      <c r="AR18" s="5"/>
      <c r="AS18" s="5">
        <v>2</v>
      </c>
      <c r="AT18" s="5"/>
      <c r="AU18" s="5">
        <v>2</v>
      </c>
      <c r="AV18" s="5">
        <v>2</v>
      </c>
      <c r="AW18" s="4">
        <v>54</v>
      </c>
    </row>
    <row r="19" spans="1:49" x14ac:dyDescent="0.45">
      <c r="A19" s="1" t="s">
        <v>137</v>
      </c>
      <c r="C19">
        <v>4</v>
      </c>
      <c r="D19">
        <v>4</v>
      </c>
      <c r="E19">
        <v>1</v>
      </c>
      <c r="F19">
        <v>30</v>
      </c>
      <c r="G19">
        <v>31</v>
      </c>
      <c r="H19">
        <v>1</v>
      </c>
      <c r="I19">
        <v>13</v>
      </c>
      <c r="J19">
        <v>14</v>
      </c>
      <c r="K19">
        <v>11</v>
      </c>
      <c r="L19">
        <v>3</v>
      </c>
      <c r="M19">
        <v>14</v>
      </c>
      <c r="N19">
        <v>5</v>
      </c>
      <c r="O19">
        <v>7</v>
      </c>
      <c r="P19">
        <v>12</v>
      </c>
      <c r="Q19">
        <v>5</v>
      </c>
      <c r="R19">
        <v>3</v>
      </c>
      <c r="S19">
        <v>8</v>
      </c>
      <c r="U19">
        <v>7</v>
      </c>
      <c r="V19">
        <v>7</v>
      </c>
      <c r="W19">
        <v>7</v>
      </c>
      <c r="X19">
        <v>8</v>
      </c>
      <c r="Y19">
        <v>15</v>
      </c>
      <c r="AB19">
        <v>105</v>
      </c>
      <c r="AF19" s="4" t="s">
        <v>129</v>
      </c>
      <c r="AG19" s="5">
        <v>4</v>
      </c>
      <c r="AH19" s="5">
        <v>9</v>
      </c>
      <c r="AI19" s="5">
        <v>3</v>
      </c>
      <c r="AJ19" s="5">
        <v>90</v>
      </c>
      <c r="AK19" s="5">
        <v>7</v>
      </c>
      <c r="AL19" s="5">
        <v>38</v>
      </c>
      <c r="AM19" s="5">
        <v>26</v>
      </c>
      <c r="AN19" s="5">
        <v>34</v>
      </c>
      <c r="AO19" s="5">
        <v>4</v>
      </c>
      <c r="AP19" s="5">
        <v>28</v>
      </c>
      <c r="AQ19" s="5">
        <v>12</v>
      </c>
      <c r="AR19" s="5">
        <v>2</v>
      </c>
      <c r="AS19" s="5">
        <v>3</v>
      </c>
      <c r="AT19" s="5">
        <v>17</v>
      </c>
      <c r="AU19" s="5">
        <v>10</v>
      </c>
      <c r="AV19" s="5">
        <v>18</v>
      </c>
      <c r="AW19" s="4">
        <v>305</v>
      </c>
    </row>
    <row r="20" spans="1:49" x14ac:dyDescent="0.45">
      <c r="A20" s="1" t="s">
        <v>125</v>
      </c>
      <c r="C20">
        <v>3</v>
      </c>
      <c r="D20">
        <v>3</v>
      </c>
      <c r="F20">
        <v>16</v>
      </c>
      <c r="G20">
        <v>16</v>
      </c>
      <c r="H20">
        <v>1</v>
      </c>
      <c r="I20">
        <v>3</v>
      </c>
      <c r="J20">
        <v>4</v>
      </c>
      <c r="K20">
        <v>2</v>
      </c>
      <c r="L20">
        <v>1</v>
      </c>
      <c r="M20">
        <v>3</v>
      </c>
      <c r="O20">
        <v>3</v>
      </c>
      <c r="P20">
        <v>3</v>
      </c>
      <c r="Q20">
        <v>1</v>
      </c>
      <c r="S20">
        <v>1</v>
      </c>
      <c r="T20">
        <v>1</v>
      </c>
      <c r="V20">
        <v>1</v>
      </c>
      <c r="X20">
        <v>2</v>
      </c>
      <c r="Y20">
        <v>2</v>
      </c>
      <c r="AB20">
        <v>33</v>
      </c>
      <c r="AF20" s="4" t="s">
        <v>142</v>
      </c>
      <c r="AG20" s="5"/>
      <c r="AH20" s="5">
        <v>7</v>
      </c>
      <c r="AI20" s="5">
        <v>2</v>
      </c>
      <c r="AJ20" s="5">
        <v>43</v>
      </c>
      <c r="AK20" s="5"/>
      <c r="AL20" s="5">
        <v>21</v>
      </c>
      <c r="AM20" s="5">
        <v>9</v>
      </c>
      <c r="AN20" s="5">
        <v>16</v>
      </c>
      <c r="AO20" s="5">
        <v>3</v>
      </c>
      <c r="AP20" s="5">
        <v>20</v>
      </c>
      <c r="AQ20" s="5">
        <v>6</v>
      </c>
      <c r="AR20" s="5">
        <v>3</v>
      </c>
      <c r="AS20" s="5"/>
      <c r="AT20" s="5">
        <v>5</v>
      </c>
      <c r="AU20" s="5">
        <v>10</v>
      </c>
      <c r="AV20" s="5">
        <v>8</v>
      </c>
      <c r="AW20" s="4">
        <v>153</v>
      </c>
    </row>
    <row r="21" spans="1:49" x14ac:dyDescent="0.45">
      <c r="A21" s="1" t="s">
        <v>96</v>
      </c>
      <c r="F21">
        <v>3</v>
      </c>
      <c r="G21">
        <v>3</v>
      </c>
      <c r="I21">
        <v>2</v>
      </c>
      <c r="J21">
        <v>2</v>
      </c>
      <c r="K21">
        <v>3</v>
      </c>
      <c r="L21">
        <v>3</v>
      </c>
      <c r="M21">
        <v>6</v>
      </c>
      <c r="Q21">
        <v>2</v>
      </c>
      <c r="S21">
        <v>2</v>
      </c>
      <c r="AB21">
        <v>13</v>
      </c>
      <c r="AF21" s="4" t="s">
        <v>127</v>
      </c>
      <c r="AG21" s="5">
        <v>2</v>
      </c>
      <c r="AH21" s="5">
        <v>2</v>
      </c>
      <c r="AI21" s="5">
        <v>3</v>
      </c>
      <c r="AJ21" s="5">
        <v>112</v>
      </c>
      <c r="AK21" s="5">
        <v>12</v>
      </c>
      <c r="AL21" s="5">
        <v>42</v>
      </c>
      <c r="AM21" s="5">
        <v>34</v>
      </c>
      <c r="AN21" s="5">
        <v>45</v>
      </c>
      <c r="AO21" s="5">
        <v>1</v>
      </c>
      <c r="AP21" s="5">
        <v>40</v>
      </c>
      <c r="AQ21" s="5">
        <v>31</v>
      </c>
      <c r="AR21" s="5">
        <v>1</v>
      </c>
      <c r="AS21" s="5">
        <v>25</v>
      </c>
      <c r="AT21" s="5">
        <v>13</v>
      </c>
      <c r="AU21" s="5">
        <v>12</v>
      </c>
      <c r="AV21" s="5">
        <v>6</v>
      </c>
      <c r="AW21" s="4">
        <v>372</v>
      </c>
    </row>
    <row r="22" spans="1:49" x14ac:dyDescent="0.45">
      <c r="A22" s="1" t="s">
        <v>36</v>
      </c>
      <c r="H22">
        <v>3</v>
      </c>
      <c r="J22">
        <v>3</v>
      </c>
      <c r="K22">
        <v>2</v>
      </c>
      <c r="M22">
        <v>2</v>
      </c>
      <c r="T22">
        <v>4</v>
      </c>
      <c r="V22">
        <v>4</v>
      </c>
      <c r="AB22">
        <v>9</v>
      </c>
      <c r="AF22" s="4" t="s">
        <v>147</v>
      </c>
      <c r="AG22" s="5"/>
      <c r="AH22" s="5"/>
      <c r="AI22" s="5"/>
      <c r="AJ22" s="5">
        <v>2</v>
      </c>
      <c r="AK22" s="5"/>
      <c r="AL22" s="5">
        <v>1</v>
      </c>
      <c r="AM22" s="5">
        <v>2</v>
      </c>
      <c r="AN22" s="5">
        <v>2</v>
      </c>
      <c r="AO22" s="5"/>
      <c r="AP22" s="5"/>
      <c r="AQ22" s="5"/>
      <c r="AR22" s="5"/>
      <c r="AS22" s="5"/>
      <c r="AT22" s="5"/>
      <c r="AU22" s="5">
        <v>1</v>
      </c>
      <c r="AV22" s="5"/>
      <c r="AW22" s="4">
        <v>8</v>
      </c>
    </row>
    <row r="23" spans="1:49" x14ac:dyDescent="0.45">
      <c r="A23" s="1" t="s">
        <v>124</v>
      </c>
      <c r="B23">
        <v>3</v>
      </c>
      <c r="C23">
        <v>1</v>
      </c>
      <c r="D23">
        <v>4</v>
      </c>
      <c r="E23">
        <v>2</v>
      </c>
      <c r="F23">
        <v>123</v>
      </c>
      <c r="G23">
        <v>125</v>
      </c>
      <c r="H23">
        <v>3</v>
      </c>
      <c r="I23">
        <v>63</v>
      </c>
      <c r="J23">
        <v>66</v>
      </c>
      <c r="K23">
        <v>20</v>
      </c>
      <c r="L23">
        <v>62</v>
      </c>
      <c r="M23">
        <v>82</v>
      </c>
      <c r="N23">
        <v>3</v>
      </c>
      <c r="O23">
        <v>53</v>
      </c>
      <c r="P23">
        <v>56</v>
      </c>
      <c r="Q23">
        <v>12</v>
      </c>
      <c r="R23">
        <v>1</v>
      </c>
      <c r="S23">
        <v>13</v>
      </c>
      <c r="T23">
        <v>24</v>
      </c>
      <c r="U23">
        <v>17</v>
      </c>
      <c r="V23">
        <v>41</v>
      </c>
      <c r="W23">
        <v>1</v>
      </c>
      <c r="X23">
        <v>27</v>
      </c>
      <c r="Y23">
        <v>28</v>
      </c>
      <c r="AB23">
        <v>415</v>
      </c>
      <c r="AF23" s="4" t="s">
        <v>140</v>
      </c>
      <c r="AG23" s="5"/>
      <c r="AH23" s="5"/>
      <c r="AI23" s="5">
        <v>1</v>
      </c>
      <c r="AJ23" s="5">
        <v>7</v>
      </c>
      <c r="AK23" s="5">
        <v>2</v>
      </c>
      <c r="AL23" s="5">
        <v>5</v>
      </c>
      <c r="AM23" s="5">
        <v>10</v>
      </c>
      <c r="AN23" s="5">
        <v>5</v>
      </c>
      <c r="AO23" s="5"/>
      <c r="AP23" s="5">
        <v>1</v>
      </c>
      <c r="AQ23" s="5"/>
      <c r="AR23" s="5"/>
      <c r="AS23" s="5">
        <v>6</v>
      </c>
      <c r="AT23" s="5"/>
      <c r="AU23" s="5">
        <v>1</v>
      </c>
      <c r="AV23" s="5">
        <v>2</v>
      </c>
      <c r="AW23" s="4">
        <v>34</v>
      </c>
    </row>
    <row r="24" spans="1:49" x14ac:dyDescent="0.45">
      <c r="A24" s="1" t="s">
        <v>122</v>
      </c>
      <c r="B24">
        <v>2</v>
      </c>
      <c r="C24">
        <v>6</v>
      </c>
      <c r="D24">
        <v>8</v>
      </c>
      <c r="E24">
        <v>1</v>
      </c>
      <c r="F24">
        <v>14</v>
      </c>
      <c r="G24">
        <v>15</v>
      </c>
      <c r="H24">
        <v>4</v>
      </c>
      <c r="I24">
        <v>6</v>
      </c>
      <c r="J24">
        <v>10</v>
      </c>
      <c r="K24">
        <v>7</v>
      </c>
      <c r="L24">
        <v>1</v>
      </c>
      <c r="M24">
        <v>8</v>
      </c>
      <c r="N24">
        <v>2</v>
      </c>
      <c r="O24">
        <v>3</v>
      </c>
      <c r="P24">
        <v>5</v>
      </c>
      <c r="Q24">
        <v>2</v>
      </c>
      <c r="S24">
        <v>2</v>
      </c>
      <c r="T24">
        <v>2</v>
      </c>
      <c r="V24">
        <v>2</v>
      </c>
      <c r="W24">
        <v>2</v>
      </c>
      <c r="X24">
        <v>2</v>
      </c>
      <c r="Y24">
        <v>4</v>
      </c>
      <c r="AB24">
        <v>54</v>
      </c>
      <c r="AF24" s="4" t="s">
        <v>134</v>
      </c>
      <c r="AG24" s="4">
        <v>0</v>
      </c>
      <c r="AH24" s="4">
        <v>5</v>
      </c>
      <c r="AI24" s="4">
        <v>4</v>
      </c>
      <c r="AJ24" s="4">
        <v>86</v>
      </c>
      <c r="AK24" s="4">
        <v>3</v>
      </c>
      <c r="AL24" s="4">
        <v>21</v>
      </c>
      <c r="AM24" s="4">
        <v>24</v>
      </c>
      <c r="AN24" s="4">
        <v>21</v>
      </c>
      <c r="AO24" s="4">
        <v>4</v>
      </c>
      <c r="AP24" s="4">
        <v>25</v>
      </c>
      <c r="AQ24" s="4">
        <v>28</v>
      </c>
      <c r="AR24" s="4">
        <v>0</v>
      </c>
      <c r="AS24" s="4">
        <v>9</v>
      </c>
      <c r="AT24" s="4">
        <v>6</v>
      </c>
      <c r="AU24" s="4">
        <v>3</v>
      </c>
      <c r="AV24" s="4">
        <v>9</v>
      </c>
      <c r="AW24" s="4">
        <v>248</v>
      </c>
    </row>
    <row r="25" spans="1:49" x14ac:dyDescent="0.45">
      <c r="A25" s="1" t="s">
        <v>143</v>
      </c>
      <c r="B25">
        <v>2</v>
      </c>
      <c r="C25">
        <v>1</v>
      </c>
      <c r="D25">
        <v>3</v>
      </c>
      <c r="F25">
        <v>4</v>
      </c>
      <c r="G25">
        <v>4</v>
      </c>
      <c r="H25">
        <v>1</v>
      </c>
      <c r="I25">
        <v>3</v>
      </c>
      <c r="J25">
        <v>4</v>
      </c>
      <c r="K25">
        <v>2</v>
      </c>
      <c r="L25">
        <v>2</v>
      </c>
      <c r="M25">
        <v>4</v>
      </c>
      <c r="O25">
        <v>5</v>
      </c>
      <c r="P25">
        <v>5</v>
      </c>
      <c r="Q25">
        <v>2</v>
      </c>
      <c r="S25">
        <v>2</v>
      </c>
      <c r="U25">
        <v>1</v>
      </c>
      <c r="V25">
        <v>1</v>
      </c>
      <c r="X25">
        <v>1</v>
      </c>
      <c r="Y25">
        <v>1</v>
      </c>
      <c r="AB25">
        <v>24</v>
      </c>
    </row>
    <row r="26" spans="1:49" x14ac:dyDescent="0.45">
      <c r="A26" s="1" t="s">
        <v>129</v>
      </c>
      <c r="B26">
        <v>2</v>
      </c>
      <c r="C26">
        <v>8</v>
      </c>
      <c r="D26">
        <v>10</v>
      </c>
      <c r="E26">
        <v>3</v>
      </c>
      <c r="F26">
        <v>86</v>
      </c>
      <c r="G26">
        <v>89</v>
      </c>
      <c r="H26">
        <v>6</v>
      </c>
      <c r="I26">
        <v>35</v>
      </c>
      <c r="J26">
        <v>41</v>
      </c>
      <c r="K26">
        <v>24</v>
      </c>
      <c r="L26">
        <v>32</v>
      </c>
      <c r="M26">
        <v>56</v>
      </c>
      <c r="N26">
        <v>4</v>
      </c>
      <c r="O26">
        <v>23</v>
      </c>
      <c r="P26">
        <v>27</v>
      </c>
      <c r="Q26">
        <v>10</v>
      </c>
      <c r="R26">
        <v>2</v>
      </c>
      <c r="S26">
        <v>12</v>
      </c>
      <c r="T26">
        <v>3</v>
      </c>
      <c r="U26">
        <v>16</v>
      </c>
      <c r="V26">
        <v>19</v>
      </c>
      <c r="W26">
        <v>10</v>
      </c>
      <c r="X26">
        <v>17</v>
      </c>
      <c r="Y26">
        <v>27</v>
      </c>
      <c r="AB26">
        <v>281</v>
      </c>
    </row>
    <row r="27" spans="1:49" x14ac:dyDescent="0.45">
      <c r="A27" s="1" t="s">
        <v>130</v>
      </c>
      <c r="C27">
        <v>1</v>
      </c>
      <c r="D27">
        <v>1</v>
      </c>
      <c r="E27">
        <v>4</v>
      </c>
      <c r="F27">
        <v>61</v>
      </c>
      <c r="G27">
        <v>65</v>
      </c>
      <c r="H27">
        <v>2</v>
      </c>
      <c r="I27">
        <v>12</v>
      </c>
      <c r="J27">
        <v>14</v>
      </c>
      <c r="K27">
        <v>17</v>
      </c>
      <c r="L27">
        <v>13</v>
      </c>
      <c r="M27">
        <v>30</v>
      </c>
      <c r="N27">
        <v>4</v>
      </c>
      <c r="O27">
        <v>15</v>
      </c>
      <c r="P27">
        <v>19</v>
      </c>
      <c r="Q27">
        <v>22</v>
      </c>
      <c r="S27">
        <v>22</v>
      </c>
      <c r="T27">
        <v>7</v>
      </c>
      <c r="U27">
        <v>5</v>
      </c>
      <c r="V27">
        <v>12</v>
      </c>
      <c r="W27">
        <v>1</v>
      </c>
      <c r="X27">
        <v>5</v>
      </c>
      <c r="Y27">
        <v>6</v>
      </c>
      <c r="AB27">
        <v>169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 spans="1:49" x14ac:dyDescent="0.45">
      <c r="A28" s="1" t="s">
        <v>142</v>
      </c>
      <c r="C28">
        <v>7</v>
      </c>
      <c r="D28">
        <v>7</v>
      </c>
      <c r="E28">
        <v>2</v>
      </c>
      <c r="F28">
        <v>43</v>
      </c>
      <c r="G28">
        <v>45</v>
      </c>
      <c r="I28">
        <v>21</v>
      </c>
      <c r="J28">
        <v>21</v>
      </c>
      <c r="K28">
        <v>9</v>
      </c>
      <c r="L28">
        <v>16</v>
      </c>
      <c r="M28">
        <v>25</v>
      </c>
      <c r="N28">
        <v>3</v>
      </c>
      <c r="O28">
        <v>20</v>
      </c>
      <c r="P28">
        <v>23</v>
      </c>
      <c r="Q28">
        <v>6</v>
      </c>
      <c r="R28">
        <v>3</v>
      </c>
      <c r="S28">
        <v>9</v>
      </c>
      <c r="U28">
        <v>5</v>
      </c>
      <c r="V28">
        <v>5</v>
      </c>
      <c r="W28">
        <v>10</v>
      </c>
      <c r="X28">
        <v>8</v>
      </c>
      <c r="Y28">
        <v>18</v>
      </c>
      <c r="AB28">
        <v>153</v>
      </c>
      <c r="AF28" t="s">
        <v>170</v>
      </c>
    </row>
    <row r="29" spans="1:49" x14ac:dyDescent="0.45">
      <c r="A29" s="1" t="s">
        <v>139</v>
      </c>
      <c r="B29">
        <v>1</v>
      </c>
      <c r="C29">
        <v>1</v>
      </c>
      <c r="D29">
        <v>2</v>
      </c>
      <c r="F29">
        <v>42</v>
      </c>
      <c r="G29">
        <v>42</v>
      </c>
      <c r="I29">
        <v>17</v>
      </c>
      <c r="J29">
        <v>17</v>
      </c>
      <c r="K29">
        <v>12</v>
      </c>
      <c r="L29">
        <v>10</v>
      </c>
      <c r="M29">
        <v>22</v>
      </c>
      <c r="O29">
        <v>16</v>
      </c>
      <c r="P29">
        <v>16</v>
      </c>
      <c r="Q29">
        <v>6</v>
      </c>
      <c r="S29">
        <v>6</v>
      </c>
      <c r="T29">
        <v>4</v>
      </c>
      <c r="U29">
        <v>5</v>
      </c>
      <c r="V29">
        <v>9</v>
      </c>
      <c r="W29">
        <v>6</v>
      </c>
      <c r="X29">
        <v>1</v>
      </c>
      <c r="Y29">
        <v>7</v>
      </c>
      <c r="AB29">
        <v>121</v>
      </c>
      <c r="AF29" s="4" t="s">
        <v>161</v>
      </c>
      <c r="AG29" s="5" t="s">
        <v>162</v>
      </c>
      <c r="AH29" s="5" t="s">
        <v>163</v>
      </c>
      <c r="AI29" s="5" t="s">
        <v>164</v>
      </c>
      <c r="AJ29" s="5" t="s">
        <v>165</v>
      </c>
      <c r="AK29" s="5" t="s">
        <v>166</v>
      </c>
      <c r="AL29" s="5" t="s">
        <v>167</v>
      </c>
      <c r="AM29" s="5" t="s">
        <v>168</v>
      </c>
      <c r="AN29" s="5" t="s">
        <v>169</v>
      </c>
      <c r="AO29" s="9"/>
      <c r="AP29" s="9"/>
      <c r="AQ29" s="9"/>
      <c r="AR29" s="9"/>
      <c r="AS29" s="9"/>
      <c r="AT29" s="9"/>
      <c r="AU29" s="9"/>
      <c r="AV29" s="9"/>
    </row>
    <row r="30" spans="1:49" x14ac:dyDescent="0.45">
      <c r="A30" s="1" t="s">
        <v>127</v>
      </c>
      <c r="B30">
        <v>1</v>
      </c>
      <c r="C30">
        <v>1</v>
      </c>
      <c r="D30">
        <v>2</v>
      </c>
      <c r="E30">
        <v>3</v>
      </c>
      <c r="F30">
        <v>53</v>
      </c>
      <c r="G30">
        <v>56</v>
      </c>
      <c r="H30">
        <v>9</v>
      </c>
      <c r="I30">
        <v>23</v>
      </c>
      <c r="J30">
        <v>32</v>
      </c>
      <c r="K30">
        <v>20</v>
      </c>
      <c r="L30">
        <v>30</v>
      </c>
      <c r="M30">
        <v>50</v>
      </c>
      <c r="N30">
        <v>1</v>
      </c>
      <c r="O30">
        <v>21</v>
      </c>
      <c r="P30">
        <v>22</v>
      </c>
      <c r="Q30">
        <v>20</v>
      </c>
      <c r="R30">
        <v>1</v>
      </c>
      <c r="S30">
        <v>21</v>
      </c>
      <c r="T30">
        <v>13</v>
      </c>
      <c r="U30">
        <v>6</v>
      </c>
      <c r="V30">
        <v>19</v>
      </c>
      <c r="W30">
        <v>5</v>
      </c>
      <c r="X30">
        <v>5</v>
      </c>
      <c r="Y30">
        <v>10</v>
      </c>
      <c r="AB30">
        <v>212</v>
      </c>
      <c r="AF30" s="4" t="s">
        <v>123</v>
      </c>
      <c r="AG30" s="5">
        <f>AH8-AG8</f>
        <v>0</v>
      </c>
      <c r="AH30" s="5">
        <f t="shared" ref="AH30:AH46" si="0">AJ8-AI8</f>
        <v>50</v>
      </c>
      <c r="AI30" s="5">
        <f t="shared" ref="AI30:AI46" si="1">AL8-AK8</f>
        <v>5</v>
      </c>
      <c r="AJ30" s="5">
        <f t="shared" ref="AJ30:AJ46" si="2">AN8-AM8</f>
        <v>-18</v>
      </c>
      <c r="AK30" s="5">
        <f t="shared" ref="AK30:AK46" si="3">AP8-AO8</f>
        <v>7</v>
      </c>
      <c r="AL30" s="5">
        <f t="shared" ref="AL30:AL46" si="4">AR8-AQ8</f>
        <v>-6</v>
      </c>
      <c r="AM30" s="5">
        <f t="shared" ref="AM30:AM46" si="5">AT8-AS8</f>
        <v>-5</v>
      </c>
      <c r="AN30" s="5">
        <f t="shared" ref="AN30:AN46" si="6">AV8-AU8</f>
        <v>0</v>
      </c>
    </row>
    <row r="31" spans="1:49" x14ac:dyDescent="0.45">
      <c r="A31" s="1" t="s">
        <v>147</v>
      </c>
      <c r="F31">
        <v>2</v>
      </c>
      <c r="G31">
        <v>2</v>
      </c>
      <c r="I31">
        <v>1</v>
      </c>
      <c r="J31">
        <v>1</v>
      </c>
      <c r="K31">
        <v>2</v>
      </c>
      <c r="L31">
        <v>2</v>
      </c>
      <c r="M31">
        <v>4</v>
      </c>
      <c r="W31">
        <v>1</v>
      </c>
      <c r="Y31">
        <v>1</v>
      </c>
      <c r="AB31">
        <v>8</v>
      </c>
      <c r="AF31" s="4" t="s">
        <v>121</v>
      </c>
      <c r="AG31" s="5">
        <f t="shared" ref="AG31:AG46" si="7">AH9-AG9</f>
        <v>26</v>
      </c>
      <c r="AH31" s="5">
        <f t="shared" si="0"/>
        <v>290</v>
      </c>
      <c r="AI31" s="5">
        <f t="shared" si="1"/>
        <v>136</v>
      </c>
      <c r="AJ31" s="5">
        <f t="shared" si="2"/>
        <v>-31</v>
      </c>
      <c r="AK31" s="5">
        <f t="shared" si="3"/>
        <v>69</v>
      </c>
      <c r="AL31" s="5">
        <f t="shared" si="4"/>
        <v>-41</v>
      </c>
      <c r="AM31" s="5">
        <f t="shared" si="5"/>
        <v>59</v>
      </c>
      <c r="AN31" s="5">
        <f t="shared" si="6"/>
        <v>37</v>
      </c>
    </row>
    <row r="32" spans="1:49" x14ac:dyDescent="0.45">
      <c r="A32" s="1" t="s">
        <v>37</v>
      </c>
      <c r="B32">
        <v>1</v>
      </c>
      <c r="C32">
        <v>4</v>
      </c>
      <c r="D32">
        <v>5</v>
      </c>
      <c r="F32">
        <v>18</v>
      </c>
      <c r="G32">
        <v>18</v>
      </c>
      <c r="H32">
        <v>1</v>
      </c>
      <c r="I32">
        <v>14</v>
      </c>
      <c r="J32">
        <v>15</v>
      </c>
      <c r="K32">
        <v>8</v>
      </c>
      <c r="L32">
        <v>10</v>
      </c>
      <c r="M32">
        <v>18</v>
      </c>
      <c r="O32">
        <v>13</v>
      </c>
      <c r="P32">
        <v>13</v>
      </c>
      <c r="Q32">
        <v>3</v>
      </c>
      <c r="S32">
        <v>3</v>
      </c>
      <c r="U32">
        <v>3</v>
      </c>
      <c r="V32">
        <v>3</v>
      </c>
      <c r="W32">
        <v>1</v>
      </c>
      <c r="X32">
        <v>1</v>
      </c>
      <c r="Y32">
        <v>2</v>
      </c>
      <c r="AB32">
        <v>77</v>
      </c>
      <c r="AF32" s="4" t="s">
        <v>128</v>
      </c>
      <c r="AG32" s="5">
        <f t="shared" si="7"/>
        <v>3</v>
      </c>
      <c r="AH32" s="5">
        <f t="shared" si="0"/>
        <v>145</v>
      </c>
      <c r="AI32" s="5">
        <f t="shared" si="1"/>
        <v>75</v>
      </c>
      <c r="AJ32" s="5">
        <f t="shared" si="2"/>
        <v>10</v>
      </c>
      <c r="AK32" s="5">
        <f t="shared" si="3"/>
        <v>44</v>
      </c>
      <c r="AL32" s="5">
        <f t="shared" si="4"/>
        <v>-6</v>
      </c>
      <c r="AM32" s="5">
        <f t="shared" si="5"/>
        <v>24</v>
      </c>
      <c r="AN32" s="5">
        <f t="shared" si="6"/>
        <v>12</v>
      </c>
      <c r="AO32" s="9"/>
      <c r="AP32" s="9"/>
      <c r="AQ32" s="9"/>
      <c r="AR32" s="9"/>
      <c r="AS32" s="9"/>
      <c r="AT32" s="9"/>
      <c r="AU32" s="9"/>
      <c r="AV32" s="9"/>
    </row>
    <row r="33" spans="1:48" x14ac:dyDescent="0.45">
      <c r="A33" s="1" t="s">
        <v>65</v>
      </c>
      <c r="F33">
        <v>10</v>
      </c>
      <c r="G33">
        <v>10</v>
      </c>
      <c r="H33">
        <v>2</v>
      </c>
      <c r="I33">
        <v>2</v>
      </c>
      <c r="J33">
        <v>4</v>
      </c>
      <c r="K33">
        <v>4</v>
      </c>
      <c r="L33">
        <v>1</v>
      </c>
      <c r="M33">
        <v>5</v>
      </c>
      <c r="N33">
        <v>1</v>
      </c>
      <c r="O33">
        <v>1</v>
      </c>
      <c r="P33">
        <v>2</v>
      </c>
      <c r="Q33">
        <v>5</v>
      </c>
      <c r="S33">
        <v>5</v>
      </c>
      <c r="U33">
        <v>3</v>
      </c>
      <c r="V33">
        <v>3</v>
      </c>
      <c r="W33">
        <v>3</v>
      </c>
      <c r="X33">
        <v>6</v>
      </c>
      <c r="Y33">
        <v>9</v>
      </c>
      <c r="AB33">
        <v>38</v>
      </c>
      <c r="AF33" s="4" t="s">
        <v>133</v>
      </c>
      <c r="AG33" s="5">
        <f t="shared" si="7"/>
        <v>3</v>
      </c>
      <c r="AH33" s="5">
        <f t="shared" si="0"/>
        <v>38</v>
      </c>
      <c r="AI33" s="5">
        <f t="shared" si="1"/>
        <v>23</v>
      </c>
      <c r="AJ33" s="5">
        <f t="shared" si="2"/>
        <v>9</v>
      </c>
      <c r="AK33" s="5">
        <f t="shared" si="3"/>
        <v>14</v>
      </c>
      <c r="AL33" s="5">
        <f t="shared" si="4"/>
        <v>2</v>
      </c>
      <c r="AM33" s="5">
        <f t="shared" si="5"/>
        <v>8</v>
      </c>
      <c r="AN33" s="5">
        <f t="shared" si="6"/>
        <v>5</v>
      </c>
      <c r="AO33" s="9"/>
      <c r="AP33" s="9"/>
      <c r="AQ33" s="9"/>
      <c r="AR33" s="9"/>
      <c r="AS33" s="9"/>
      <c r="AT33" s="9"/>
      <c r="AU33" s="9"/>
      <c r="AV33" s="9"/>
    </row>
    <row r="34" spans="1:48" x14ac:dyDescent="0.45">
      <c r="A34" s="1" t="s">
        <v>140</v>
      </c>
      <c r="E34">
        <v>1</v>
      </c>
      <c r="F34">
        <v>7</v>
      </c>
      <c r="G34">
        <v>8</v>
      </c>
      <c r="H34">
        <v>2</v>
      </c>
      <c r="I34">
        <v>4</v>
      </c>
      <c r="J34">
        <v>6</v>
      </c>
      <c r="K34">
        <v>7</v>
      </c>
      <c r="L34">
        <v>5</v>
      </c>
      <c r="M34">
        <v>12</v>
      </c>
      <c r="O34">
        <v>1</v>
      </c>
      <c r="P34">
        <v>1</v>
      </c>
      <c r="T34">
        <v>4</v>
      </c>
      <c r="V34">
        <v>4</v>
      </c>
      <c r="W34">
        <v>1</v>
      </c>
      <c r="X34">
        <v>2</v>
      </c>
      <c r="Y34">
        <v>3</v>
      </c>
      <c r="AB34">
        <v>34</v>
      </c>
      <c r="AF34" s="4" t="s">
        <v>136</v>
      </c>
      <c r="AG34" s="5">
        <f t="shared" si="7"/>
        <v>-2</v>
      </c>
      <c r="AH34" s="5">
        <f t="shared" si="0"/>
        <v>68</v>
      </c>
      <c r="AI34" s="5">
        <f t="shared" si="1"/>
        <v>15</v>
      </c>
      <c r="AJ34" s="5">
        <f t="shared" si="2"/>
        <v>-5</v>
      </c>
      <c r="AK34" s="5">
        <f t="shared" si="3"/>
        <v>11</v>
      </c>
      <c r="AL34" s="5">
        <f t="shared" si="4"/>
        <v>-15</v>
      </c>
      <c r="AM34" s="5">
        <f t="shared" si="5"/>
        <v>8</v>
      </c>
      <c r="AN34" s="5">
        <f t="shared" si="6"/>
        <v>10</v>
      </c>
    </row>
    <row r="35" spans="1:48" x14ac:dyDescent="0.45">
      <c r="A35" s="1" t="s">
        <v>144</v>
      </c>
      <c r="F35">
        <v>17</v>
      </c>
      <c r="G35">
        <v>17</v>
      </c>
      <c r="I35">
        <v>2</v>
      </c>
      <c r="J35">
        <v>2</v>
      </c>
      <c r="L35">
        <v>5</v>
      </c>
      <c r="M35">
        <v>5</v>
      </c>
      <c r="O35">
        <v>3</v>
      </c>
      <c r="P35">
        <v>3</v>
      </c>
      <c r="Q35">
        <v>5</v>
      </c>
      <c r="S35">
        <v>5</v>
      </c>
      <c r="T35">
        <v>4</v>
      </c>
      <c r="U35">
        <v>2</v>
      </c>
      <c r="V35">
        <v>6</v>
      </c>
      <c r="W35">
        <v>1</v>
      </c>
      <c r="Y35">
        <v>1</v>
      </c>
      <c r="AB35">
        <v>39</v>
      </c>
      <c r="AF35" s="4" t="s">
        <v>138</v>
      </c>
      <c r="AG35" s="5">
        <f t="shared" si="7"/>
        <v>2</v>
      </c>
      <c r="AH35" s="5">
        <f t="shared" si="0"/>
        <v>14</v>
      </c>
      <c r="AI35" s="5">
        <f t="shared" si="1"/>
        <v>2</v>
      </c>
      <c r="AJ35" s="5">
        <f t="shared" si="2"/>
        <v>0</v>
      </c>
      <c r="AK35" s="5">
        <f t="shared" si="3"/>
        <v>3</v>
      </c>
      <c r="AL35" s="5">
        <f t="shared" si="4"/>
        <v>-2</v>
      </c>
      <c r="AM35" s="5">
        <f t="shared" si="5"/>
        <v>-1</v>
      </c>
      <c r="AN35" s="5">
        <f t="shared" si="6"/>
        <v>1</v>
      </c>
      <c r="AO35" s="9"/>
      <c r="AP35" s="9"/>
      <c r="AQ35" s="9"/>
      <c r="AR35" s="9"/>
      <c r="AS35" s="9"/>
      <c r="AT35" s="9"/>
      <c r="AU35" s="9"/>
      <c r="AV35" s="9"/>
    </row>
    <row r="36" spans="1:48" x14ac:dyDescent="0.45">
      <c r="A36" s="1" t="s">
        <v>134</v>
      </c>
      <c r="C36">
        <v>4</v>
      </c>
      <c r="D36">
        <v>4</v>
      </c>
      <c r="F36">
        <v>25</v>
      </c>
      <c r="G36">
        <v>25</v>
      </c>
      <c r="H36">
        <v>1</v>
      </c>
      <c r="I36">
        <v>9</v>
      </c>
      <c r="J36">
        <v>10</v>
      </c>
      <c r="K36">
        <v>7</v>
      </c>
      <c r="L36">
        <v>8</v>
      </c>
      <c r="M36">
        <v>15</v>
      </c>
      <c r="O36">
        <v>10</v>
      </c>
      <c r="P36">
        <v>10</v>
      </c>
      <c r="Q36">
        <v>6</v>
      </c>
      <c r="S36">
        <v>6</v>
      </c>
      <c r="T36">
        <v>2</v>
      </c>
      <c r="U36">
        <v>1</v>
      </c>
      <c r="V36">
        <v>3</v>
      </c>
      <c r="W36">
        <v>2</v>
      </c>
      <c r="X36">
        <v>4</v>
      </c>
      <c r="Y36">
        <v>6</v>
      </c>
      <c r="AB36">
        <v>79</v>
      </c>
      <c r="AF36" s="4" t="s">
        <v>126</v>
      </c>
      <c r="AG36" s="5">
        <f t="shared" si="7"/>
        <v>4</v>
      </c>
      <c r="AH36" s="5">
        <f t="shared" si="0"/>
        <v>2</v>
      </c>
      <c r="AI36" s="5">
        <f t="shared" si="1"/>
        <v>7</v>
      </c>
      <c r="AJ36" s="5">
        <f t="shared" si="2"/>
        <v>0</v>
      </c>
      <c r="AK36" s="5">
        <f t="shared" si="3"/>
        <v>1</v>
      </c>
      <c r="AL36" s="5">
        <f t="shared" si="4"/>
        <v>-2</v>
      </c>
      <c r="AM36" s="5">
        <f t="shared" si="5"/>
        <v>0</v>
      </c>
      <c r="AN36" s="5">
        <f t="shared" si="6"/>
        <v>1</v>
      </c>
    </row>
    <row r="37" spans="1:48" x14ac:dyDescent="0.45">
      <c r="A37" s="1" t="s">
        <v>149</v>
      </c>
      <c r="AF37" s="4" t="s">
        <v>137</v>
      </c>
      <c r="AG37" s="5">
        <f t="shared" si="7"/>
        <v>4</v>
      </c>
      <c r="AH37" s="5">
        <f t="shared" si="0"/>
        <v>29</v>
      </c>
      <c r="AI37" s="5">
        <f t="shared" si="1"/>
        <v>12</v>
      </c>
      <c r="AJ37" s="5">
        <f t="shared" si="2"/>
        <v>-8</v>
      </c>
      <c r="AK37" s="5">
        <f t="shared" si="3"/>
        <v>2</v>
      </c>
      <c r="AL37" s="5">
        <f t="shared" si="4"/>
        <v>-2</v>
      </c>
      <c r="AM37" s="5">
        <f t="shared" si="5"/>
        <v>7</v>
      </c>
      <c r="AN37" s="5">
        <f t="shared" si="6"/>
        <v>1</v>
      </c>
    </row>
    <row r="38" spans="1:48" x14ac:dyDescent="0.45">
      <c r="A38" s="1" t="s">
        <v>145</v>
      </c>
      <c r="B38">
        <v>47</v>
      </c>
      <c r="C38">
        <v>112</v>
      </c>
      <c r="D38">
        <v>159</v>
      </c>
      <c r="E38">
        <v>42</v>
      </c>
      <c r="F38">
        <v>1191</v>
      </c>
      <c r="G38">
        <v>1233</v>
      </c>
      <c r="H38">
        <v>105</v>
      </c>
      <c r="I38">
        <v>566</v>
      </c>
      <c r="J38">
        <v>671</v>
      </c>
      <c r="K38">
        <v>404</v>
      </c>
      <c r="L38">
        <v>409</v>
      </c>
      <c r="M38">
        <v>813</v>
      </c>
      <c r="N38">
        <v>44</v>
      </c>
      <c r="O38">
        <v>370</v>
      </c>
      <c r="P38">
        <v>414</v>
      </c>
      <c r="Q38">
        <v>211</v>
      </c>
      <c r="R38">
        <v>43</v>
      </c>
      <c r="S38">
        <v>254</v>
      </c>
      <c r="T38">
        <v>110</v>
      </c>
      <c r="U38">
        <v>199</v>
      </c>
      <c r="V38">
        <v>309</v>
      </c>
      <c r="W38">
        <v>124</v>
      </c>
      <c r="X38">
        <v>232</v>
      </c>
      <c r="Y38">
        <v>356</v>
      </c>
      <c r="AB38">
        <v>4209</v>
      </c>
      <c r="AF38" s="4" t="s">
        <v>125</v>
      </c>
      <c r="AG38" s="5">
        <f t="shared" si="7"/>
        <v>3</v>
      </c>
      <c r="AH38" s="5">
        <f t="shared" si="0"/>
        <v>16</v>
      </c>
      <c r="AI38" s="5">
        <f t="shared" si="1"/>
        <v>2</v>
      </c>
      <c r="AJ38" s="5">
        <f t="shared" si="2"/>
        <v>-1</v>
      </c>
      <c r="AK38" s="5">
        <f t="shared" si="3"/>
        <v>3</v>
      </c>
      <c r="AL38" s="5">
        <f t="shared" si="4"/>
        <v>-1</v>
      </c>
      <c r="AM38" s="5">
        <f t="shared" si="5"/>
        <v>-1</v>
      </c>
      <c r="AN38" s="5">
        <f t="shared" si="6"/>
        <v>2</v>
      </c>
    </row>
    <row r="39" spans="1:48" x14ac:dyDescent="0.45">
      <c r="AF39" s="4" t="s">
        <v>124</v>
      </c>
      <c r="AG39" s="5">
        <f t="shared" si="7"/>
        <v>-2</v>
      </c>
      <c r="AH39" s="5">
        <f t="shared" si="0"/>
        <v>128</v>
      </c>
      <c r="AI39" s="5">
        <f t="shared" si="1"/>
        <v>66</v>
      </c>
      <c r="AJ39" s="5">
        <f t="shared" si="2"/>
        <v>46</v>
      </c>
      <c r="AK39" s="5">
        <f t="shared" si="3"/>
        <v>54</v>
      </c>
      <c r="AL39" s="5">
        <f t="shared" si="4"/>
        <v>-13</v>
      </c>
      <c r="AM39" s="5">
        <f t="shared" si="5"/>
        <v>-6</v>
      </c>
      <c r="AN39" s="5">
        <f t="shared" si="6"/>
        <v>27</v>
      </c>
    </row>
    <row r="40" spans="1:48" x14ac:dyDescent="0.45">
      <c r="AF40" s="4" t="s">
        <v>122</v>
      </c>
      <c r="AG40" s="5">
        <f t="shared" si="7"/>
        <v>4</v>
      </c>
      <c r="AH40" s="5">
        <f t="shared" si="0"/>
        <v>13</v>
      </c>
      <c r="AI40" s="5">
        <f t="shared" si="1"/>
        <v>2</v>
      </c>
      <c r="AJ40" s="5">
        <f t="shared" si="2"/>
        <v>-6</v>
      </c>
      <c r="AK40" s="5">
        <f t="shared" si="3"/>
        <v>1</v>
      </c>
      <c r="AL40" s="5">
        <f t="shared" si="4"/>
        <v>-2</v>
      </c>
      <c r="AM40" s="5">
        <f t="shared" si="5"/>
        <v>-2</v>
      </c>
      <c r="AN40" s="5">
        <f t="shared" si="6"/>
        <v>0</v>
      </c>
      <c r="AO40" s="9"/>
      <c r="AP40" s="9"/>
      <c r="AQ40" s="9"/>
      <c r="AR40" s="9"/>
      <c r="AS40" s="9"/>
      <c r="AT40" s="9"/>
      <c r="AU40" s="9"/>
      <c r="AV40" s="9"/>
    </row>
    <row r="41" spans="1:48" x14ac:dyDescent="0.45">
      <c r="AF41" s="4" t="s">
        <v>129</v>
      </c>
      <c r="AG41" s="5">
        <f t="shared" si="7"/>
        <v>5</v>
      </c>
      <c r="AH41" s="5">
        <f t="shared" si="0"/>
        <v>87</v>
      </c>
      <c r="AI41" s="5">
        <f t="shared" si="1"/>
        <v>31</v>
      </c>
      <c r="AJ41" s="5">
        <f t="shared" si="2"/>
        <v>8</v>
      </c>
      <c r="AK41" s="5">
        <f t="shared" si="3"/>
        <v>24</v>
      </c>
      <c r="AL41" s="5">
        <f t="shared" si="4"/>
        <v>-10</v>
      </c>
      <c r="AM41" s="5">
        <f t="shared" si="5"/>
        <v>14</v>
      </c>
      <c r="AN41" s="5">
        <f t="shared" si="6"/>
        <v>8</v>
      </c>
      <c r="AO41" s="9"/>
      <c r="AP41" s="9"/>
      <c r="AQ41" s="9"/>
      <c r="AR41" s="9"/>
      <c r="AS41" s="9"/>
      <c r="AT41" s="9"/>
      <c r="AU41" s="9"/>
      <c r="AV41" s="9"/>
    </row>
    <row r="42" spans="1:48" x14ac:dyDescent="0.45">
      <c r="AF42" s="4" t="s">
        <v>142</v>
      </c>
      <c r="AG42" s="5">
        <f t="shared" si="7"/>
        <v>7</v>
      </c>
      <c r="AH42" s="5">
        <f t="shared" si="0"/>
        <v>41</v>
      </c>
      <c r="AI42" s="5">
        <f t="shared" si="1"/>
        <v>21</v>
      </c>
      <c r="AJ42" s="5">
        <f t="shared" si="2"/>
        <v>7</v>
      </c>
      <c r="AK42" s="5">
        <f t="shared" si="3"/>
        <v>17</v>
      </c>
      <c r="AL42" s="5">
        <f t="shared" si="4"/>
        <v>-3</v>
      </c>
      <c r="AM42" s="5">
        <f t="shared" si="5"/>
        <v>5</v>
      </c>
      <c r="AN42" s="5">
        <f t="shared" si="6"/>
        <v>-2</v>
      </c>
      <c r="AO42" s="9"/>
      <c r="AP42" s="9"/>
      <c r="AQ42" s="9"/>
      <c r="AR42" s="9"/>
      <c r="AS42" s="9"/>
      <c r="AT42" s="9"/>
      <c r="AU42" s="9"/>
      <c r="AV42" s="9"/>
    </row>
    <row r="43" spans="1:48" x14ac:dyDescent="0.45">
      <c r="AF43" s="4" t="s">
        <v>127</v>
      </c>
      <c r="AG43" s="5">
        <f t="shared" si="7"/>
        <v>0</v>
      </c>
      <c r="AH43" s="5">
        <f t="shared" si="0"/>
        <v>109</v>
      </c>
      <c r="AI43" s="5">
        <f t="shared" si="1"/>
        <v>30</v>
      </c>
      <c r="AJ43" s="5">
        <f t="shared" si="2"/>
        <v>11</v>
      </c>
      <c r="AK43" s="5">
        <f t="shared" si="3"/>
        <v>39</v>
      </c>
      <c r="AL43" s="5">
        <f t="shared" si="4"/>
        <v>-30</v>
      </c>
      <c r="AM43" s="5">
        <f t="shared" si="5"/>
        <v>-12</v>
      </c>
      <c r="AN43" s="5">
        <f t="shared" si="6"/>
        <v>-6</v>
      </c>
    </row>
    <row r="44" spans="1:48" x14ac:dyDescent="0.45">
      <c r="AF44" s="4" t="s">
        <v>147</v>
      </c>
      <c r="AG44" s="5">
        <f t="shared" si="7"/>
        <v>0</v>
      </c>
      <c r="AH44" s="5">
        <f t="shared" si="0"/>
        <v>2</v>
      </c>
      <c r="AI44" s="5">
        <f t="shared" si="1"/>
        <v>1</v>
      </c>
      <c r="AJ44" s="5">
        <f t="shared" si="2"/>
        <v>0</v>
      </c>
      <c r="AK44" s="5">
        <f t="shared" si="3"/>
        <v>0</v>
      </c>
      <c r="AL44" s="5">
        <f t="shared" si="4"/>
        <v>0</v>
      </c>
      <c r="AM44" s="5">
        <f t="shared" si="5"/>
        <v>0</v>
      </c>
      <c r="AN44" s="5">
        <f t="shared" si="6"/>
        <v>-1</v>
      </c>
    </row>
    <row r="45" spans="1:48" x14ac:dyDescent="0.45">
      <c r="AF45" s="4" t="s">
        <v>140</v>
      </c>
      <c r="AG45" s="5">
        <f t="shared" si="7"/>
        <v>0</v>
      </c>
      <c r="AH45" s="5">
        <f t="shared" si="0"/>
        <v>6</v>
      </c>
      <c r="AI45" s="5">
        <f t="shared" si="1"/>
        <v>3</v>
      </c>
      <c r="AJ45" s="5">
        <f t="shared" si="2"/>
        <v>-5</v>
      </c>
      <c r="AK45" s="5">
        <f t="shared" si="3"/>
        <v>1</v>
      </c>
      <c r="AL45" s="5">
        <f t="shared" si="4"/>
        <v>0</v>
      </c>
      <c r="AM45" s="5">
        <f t="shared" si="5"/>
        <v>-6</v>
      </c>
      <c r="AN45" s="5">
        <f t="shared" si="6"/>
        <v>1</v>
      </c>
    </row>
    <row r="46" spans="1:48" x14ac:dyDescent="0.45">
      <c r="AF46" s="4" t="s">
        <v>134</v>
      </c>
      <c r="AG46" s="5">
        <f t="shared" si="7"/>
        <v>5</v>
      </c>
      <c r="AH46" s="5">
        <f t="shared" si="0"/>
        <v>82</v>
      </c>
      <c r="AI46" s="5">
        <f t="shared" si="1"/>
        <v>18</v>
      </c>
      <c r="AJ46" s="5">
        <f t="shared" si="2"/>
        <v>-3</v>
      </c>
      <c r="AK46" s="5">
        <f t="shared" si="3"/>
        <v>21</v>
      </c>
      <c r="AL46" s="5">
        <f t="shared" si="4"/>
        <v>-28</v>
      </c>
      <c r="AM46" s="5">
        <f t="shared" si="5"/>
        <v>-3</v>
      </c>
      <c r="AN46" s="5">
        <f t="shared" si="6"/>
        <v>6</v>
      </c>
    </row>
    <row r="47" spans="1:48" x14ac:dyDescent="0.45">
      <c r="AO47" s="9"/>
      <c r="AP47" s="9"/>
      <c r="AQ47" s="9"/>
      <c r="AR47" s="9"/>
      <c r="AS47" s="9"/>
      <c r="AT47" s="9"/>
      <c r="AU47" s="9"/>
      <c r="AV47" s="9"/>
    </row>
    <row r="50" spans="32:48" x14ac:dyDescent="0.45">
      <c r="AF50" s="4" t="s">
        <v>161</v>
      </c>
      <c r="AG50" s="5" t="s">
        <v>163</v>
      </c>
      <c r="AO50" s="9"/>
      <c r="AP50" s="9"/>
      <c r="AQ50" s="9"/>
      <c r="AR50" s="9"/>
      <c r="AS50" s="9"/>
      <c r="AT50" s="9"/>
      <c r="AU50" s="9"/>
      <c r="AV50" s="9"/>
    </row>
    <row r="51" spans="32:48" x14ac:dyDescent="0.45">
      <c r="AF51" s="4" t="s">
        <v>133</v>
      </c>
      <c r="AG51" s="5">
        <v>38</v>
      </c>
      <c r="AO51" s="9"/>
      <c r="AP51" s="9"/>
      <c r="AQ51" s="9"/>
      <c r="AR51" s="9"/>
      <c r="AS51" s="9"/>
      <c r="AT51" s="9"/>
      <c r="AU51" s="9"/>
      <c r="AV51" s="9"/>
    </row>
    <row r="52" spans="32:48" x14ac:dyDescent="0.45">
      <c r="AF52" s="4" t="s">
        <v>128</v>
      </c>
      <c r="AG52" s="5">
        <v>145</v>
      </c>
    </row>
    <row r="53" spans="32:48" x14ac:dyDescent="0.45">
      <c r="AF53" s="4" t="s">
        <v>142</v>
      </c>
      <c r="AG53" s="5">
        <v>41</v>
      </c>
    </row>
    <row r="54" spans="32:48" x14ac:dyDescent="0.45">
      <c r="AF54" s="4" t="s">
        <v>134</v>
      </c>
      <c r="AG54" s="5">
        <v>82</v>
      </c>
    </row>
    <row r="55" spans="32:48" x14ac:dyDescent="0.45">
      <c r="AF55" s="4" t="s">
        <v>127</v>
      </c>
      <c r="AG55" s="5">
        <v>109</v>
      </c>
    </row>
    <row r="56" spans="32:48" x14ac:dyDescent="0.45">
      <c r="AF56" s="4" t="s">
        <v>124</v>
      </c>
      <c r="AG56" s="5">
        <v>128</v>
      </c>
    </row>
    <row r="57" spans="32:48" x14ac:dyDescent="0.45">
      <c r="AF57" s="4" t="s">
        <v>147</v>
      </c>
      <c r="AG57" s="5">
        <v>2</v>
      </c>
    </row>
    <row r="58" spans="32:48" x14ac:dyDescent="0.45">
      <c r="AF58" s="4" t="s">
        <v>129</v>
      </c>
      <c r="AG58" s="5">
        <v>87</v>
      </c>
    </row>
    <row r="59" spans="32:48" x14ac:dyDescent="0.45">
      <c r="AF59" s="4" t="s">
        <v>136</v>
      </c>
      <c r="AG59" s="5">
        <v>68</v>
      </c>
    </row>
    <row r="60" spans="32:48" x14ac:dyDescent="0.45">
      <c r="AF60" s="4" t="s">
        <v>121</v>
      </c>
      <c r="AG60" s="5">
        <v>290</v>
      </c>
    </row>
    <row r="61" spans="32:48" x14ac:dyDescent="0.45">
      <c r="AF61" s="4" t="s">
        <v>137</v>
      </c>
      <c r="AG61" s="5">
        <v>29</v>
      </c>
    </row>
    <row r="62" spans="32:48" x14ac:dyDescent="0.45">
      <c r="AF62" s="4" t="s">
        <v>125</v>
      </c>
      <c r="AG62" s="5">
        <v>16</v>
      </c>
    </row>
    <row r="63" spans="32:48" x14ac:dyDescent="0.45">
      <c r="AF63" s="4" t="s">
        <v>138</v>
      </c>
      <c r="AG63" s="5">
        <v>14</v>
      </c>
    </row>
    <row r="64" spans="32:48" x14ac:dyDescent="0.45">
      <c r="AF64" s="4" t="s">
        <v>123</v>
      </c>
      <c r="AG64" s="5">
        <v>50</v>
      </c>
    </row>
    <row r="65" spans="32:33" x14ac:dyDescent="0.45">
      <c r="AF65" s="4" t="s">
        <v>122</v>
      </c>
      <c r="AG65" s="5">
        <v>13</v>
      </c>
    </row>
    <row r="66" spans="32:33" x14ac:dyDescent="0.45">
      <c r="AF66" s="4" t="s">
        <v>140</v>
      </c>
      <c r="AG66" s="5">
        <v>6</v>
      </c>
    </row>
    <row r="67" spans="32:33" x14ac:dyDescent="0.45">
      <c r="AF67" s="4" t="s">
        <v>126</v>
      </c>
      <c r="AG67" s="5">
        <v>2</v>
      </c>
    </row>
  </sheetData>
  <mergeCells count="8">
    <mergeCell ref="AS4:AT4"/>
    <mergeCell ref="AU4:AV4"/>
    <mergeCell ref="AG4:AH4"/>
    <mergeCell ref="AI4:AJ4"/>
    <mergeCell ref="AK4:AL4"/>
    <mergeCell ref="AM4:AN4"/>
    <mergeCell ref="AO4:AP4"/>
    <mergeCell ref="AQ4:AR4"/>
  </mergeCells>
  <conditionalFormatting sqref="AF50:AG50">
    <cfRule type="colorScale" priority="1">
      <colorScale>
        <cfvo type="num" val="&quot;-&quot;"/>
        <cfvo type="num" val="0"/>
        <cfvo type="num" val="&quot;+&quot;"/>
        <color rgb="FFF8696B"/>
        <color rgb="FFFFEB84"/>
        <color rgb="FF63BE7B"/>
      </colorScale>
    </cfRule>
  </conditionalFormatting>
  <conditionalFormatting sqref="AO41:AP41 AF29:AN29">
    <cfRule type="colorScale" priority="2">
      <colorScale>
        <cfvo type="num" val="&quot;-&quot;"/>
        <cfvo type="num" val="0"/>
        <cfvo type="num" val="&quot;+&quot;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AD6F-823F-4B19-9B95-E31F1DBB4109}">
  <dimension ref="A3:AH118"/>
  <sheetViews>
    <sheetView tabSelected="1" zoomScale="77" zoomScaleNormal="77" workbookViewId="0">
      <selection activeCell="AE20" sqref="AE20"/>
    </sheetView>
  </sheetViews>
  <sheetFormatPr baseColWidth="10" defaultRowHeight="14.25" x14ac:dyDescent="0.45"/>
  <cols>
    <col min="1" max="1" width="70.46484375" bestFit="1" customWidth="1"/>
    <col min="2" max="2" width="20.59765625" bestFit="1" customWidth="1"/>
    <col min="3" max="3" width="3.73046875" bestFit="1" customWidth="1"/>
    <col min="4" max="4" width="6.265625" bestFit="1" customWidth="1"/>
    <col min="5" max="5" width="3.53125" bestFit="1" customWidth="1"/>
    <col min="6" max="6" width="4.73046875" bestFit="1" customWidth="1"/>
    <col min="7" max="7" width="6.265625" bestFit="1" customWidth="1"/>
    <col min="8" max="9" width="3.73046875" bestFit="1" customWidth="1"/>
    <col min="10" max="10" width="6.265625" bestFit="1" customWidth="1"/>
    <col min="11" max="12" width="3.73046875" bestFit="1" customWidth="1"/>
    <col min="13" max="13" width="6.265625" bestFit="1" customWidth="1"/>
    <col min="14" max="14" width="3.53125" bestFit="1" customWidth="1"/>
    <col min="15" max="15" width="3.73046875" bestFit="1" customWidth="1"/>
    <col min="16" max="16" width="6.265625" bestFit="1" customWidth="1"/>
    <col min="17" max="17" width="3.73046875" bestFit="1" customWidth="1"/>
    <col min="18" max="18" width="2.73046875" bestFit="1" customWidth="1"/>
    <col min="19" max="19" width="6.265625" bestFit="1" customWidth="1"/>
    <col min="20" max="21" width="3.73046875" bestFit="1" customWidth="1"/>
    <col min="22" max="22" width="6.265625" bestFit="1" customWidth="1"/>
    <col min="23" max="23" width="6.6640625" customWidth="1"/>
    <col min="24" max="24" width="3.73046875" bestFit="1" customWidth="1"/>
    <col min="25" max="25" width="7.265625" bestFit="1" customWidth="1"/>
    <col min="26" max="26" width="11.6640625" bestFit="1" customWidth="1"/>
    <col min="27" max="27" width="14.3984375" bestFit="1" customWidth="1"/>
    <col min="28" max="28" width="11.33203125" bestFit="1" customWidth="1"/>
    <col min="31" max="31" width="45.9296875" bestFit="1" customWidth="1"/>
    <col min="33" max="33" width="69.59765625" bestFit="1" customWidth="1"/>
  </cols>
  <sheetData>
    <row r="3" spans="1:34" x14ac:dyDescent="0.45">
      <c r="A3" s="3" t="s">
        <v>160</v>
      </c>
      <c r="B3" s="3" t="s">
        <v>150</v>
      </c>
    </row>
    <row r="4" spans="1:34" x14ac:dyDescent="0.45">
      <c r="B4">
        <v>3</v>
      </c>
      <c r="D4" t="s">
        <v>151</v>
      </c>
      <c r="E4">
        <v>4</v>
      </c>
      <c r="G4" t="s">
        <v>152</v>
      </c>
      <c r="H4">
        <v>5</v>
      </c>
      <c r="J4" t="s">
        <v>153</v>
      </c>
      <c r="K4">
        <v>6</v>
      </c>
      <c r="M4" t="s">
        <v>154</v>
      </c>
      <c r="N4">
        <v>7</v>
      </c>
      <c r="P4" t="s">
        <v>155</v>
      </c>
      <c r="Q4">
        <v>8</v>
      </c>
      <c r="S4" t="s">
        <v>156</v>
      </c>
      <c r="T4">
        <v>9</v>
      </c>
      <c r="V4" t="s">
        <v>157</v>
      </c>
      <c r="W4">
        <v>10</v>
      </c>
      <c r="Y4" t="s">
        <v>158</v>
      </c>
      <c r="Z4" t="s">
        <v>149</v>
      </c>
      <c r="AA4" t="s">
        <v>159</v>
      </c>
      <c r="AB4" t="s">
        <v>145</v>
      </c>
    </row>
    <row r="5" spans="1:34" x14ac:dyDescent="0.45">
      <c r="A5" s="3" t="s">
        <v>148</v>
      </c>
      <c r="B5">
        <v>-1</v>
      </c>
      <c r="C5">
        <v>1</v>
      </c>
      <c r="E5">
        <v>-1</v>
      </c>
      <c r="F5">
        <v>1</v>
      </c>
      <c r="H5">
        <v>-1</v>
      </c>
      <c r="I5">
        <v>1</v>
      </c>
      <c r="K5">
        <v>-1</v>
      </c>
      <c r="L5">
        <v>1</v>
      </c>
      <c r="N5">
        <v>-1</v>
      </c>
      <c r="O5">
        <v>1</v>
      </c>
      <c r="Q5">
        <v>-1</v>
      </c>
      <c r="R5">
        <v>1</v>
      </c>
      <c r="T5">
        <v>-1</v>
      </c>
      <c r="U5">
        <v>1</v>
      </c>
      <c r="W5">
        <v>-1</v>
      </c>
      <c r="X5">
        <v>1</v>
      </c>
      <c r="Z5" t="s">
        <v>149</v>
      </c>
      <c r="AC5" t="s">
        <v>171</v>
      </c>
      <c r="AG5" t="s">
        <v>119</v>
      </c>
      <c r="AH5" t="s">
        <v>120</v>
      </c>
    </row>
    <row r="6" spans="1:34" x14ac:dyDescent="0.45">
      <c r="A6" s="1" t="s">
        <v>33</v>
      </c>
      <c r="B6">
        <v>2</v>
      </c>
      <c r="C6">
        <v>5</v>
      </c>
      <c r="D6">
        <v>7</v>
      </c>
      <c r="E6">
        <v>2</v>
      </c>
      <c r="F6">
        <v>53</v>
      </c>
      <c r="G6">
        <v>55</v>
      </c>
      <c r="H6">
        <v>2</v>
      </c>
      <c r="I6">
        <v>25</v>
      </c>
      <c r="J6">
        <v>27</v>
      </c>
      <c r="K6">
        <v>21</v>
      </c>
      <c r="L6">
        <v>8</v>
      </c>
      <c r="M6">
        <v>29</v>
      </c>
      <c r="N6">
        <v>5</v>
      </c>
      <c r="O6">
        <v>12</v>
      </c>
      <c r="P6">
        <v>17</v>
      </c>
      <c r="Q6">
        <v>10</v>
      </c>
      <c r="R6">
        <v>4</v>
      </c>
      <c r="S6">
        <v>14</v>
      </c>
      <c r="T6">
        <v>2</v>
      </c>
      <c r="U6">
        <v>18</v>
      </c>
      <c r="V6">
        <v>20</v>
      </c>
      <c r="W6">
        <v>9</v>
      </c>
      <c r="X6">
        <v>12</v>
      </c>
      <c r="Y6">
        <v>21</v>
      </c>
      <c r="AB6">
        <v>190</v>
      </c>
      <c r="AC6" t="str">
        <f>_xlfn.XLOOKUP(A6,$AG$6:$AG$200,$AH$6:$AH$200)</f>
        <v>Amino acid metabolism</v>
      </c>
      <c r="AG6" s="1" t="s">
        <v>33</v>
      </c>
      <c r="AH6" t="s">
        <v>121</v>
      </c>
    </row>
    <row r="7" spans="1:34" x14ac:dyDescent="0.45">
      <c r="A7" s="1" t="s">
        <v>35</v>
      </c>
      <c r="B7">
        <v>2</v>
      </c>
      <c r="C7">
        <v>6</v>
      </c>
      <c r="D7">
        <v>8</v>
      </c>
      <c r="E7">
        <v>1</v>
      </c>
      <c r="F7">
        <v>14</v>
      </c>
      <c r="G7">
        <v>15</v>
      </c>
      <c r="H7">
        <v>4</v>
      </c>
      <c r="I7">
        <v>6</v>
      </c>
      <c r="J7">
        <v>10</v>
      </c>
      <c r="K7">
        <v>7</v>
      </c>
      <c r="L7">
        <v>1</v>
      </c>
      <c r="M7">
        <v>8</v>
      </c>
      <c r="N7">
        <v>2</v>
      </c>
      <c r="O7">
        <v>3</v>
      </c>
      <c r="P7">
        <v>5</v>
      </c>
      <c r="Q7">
        <v>2</v>
      </c>
      <c r="S7">
        <v>2</v>
      </c>
      <c r="T7">
        <v>2</v>
      </c>
      <c r="V7">
        <v>2</v>
      </c>
      <c r="W7">
        <v>2</v>
      </c>
      <c r="X7">
        <v>2</v>
      </c>
      <c r="Y7">
        <v>4</v>
      </c>
      <c r="AB7">
        <v>54</v>
      </c>
      <c r="AC7" t="str">
        <f t="shared" ref="AC7:AC70" si="0">_xlfn.XLOOKUP(A7,$AG$6:$AG$200,$AH$6:$AH$200)</f>
        <v>Membrane transport</v>
      </c>
      <c r="AG7" s="1" t="s">
        <v>35</v>
      </c>
      <c r="AH7" t="s">
        <v>122</v>
      </c>
    </row>
    <row r="8" spans="1:34" x14ac:dyDescent="0.45">
      <c r="A8" s="1" t="s">
        <v>104</v>
      </c>
      <c r="I8">
        <v>1</v>
      </c>
      <c r="J8">
        <v>1</v>
      </c>
      <c r="K8">
        <v>3</v>
      </c>
      <c r="M8">
        <v>3</v>
      </c>
      <c r="T8">
        <v>2</v>
      </c>
      <c r="V8">
        <v>2</v>
      </c>
      <c r="AB8">
        <v>6</v>
      </c>
      <c r="AC8" t="str">
        <f t="shared" si="0"/>
        <v>Abscisic Acid</v>
      </c>
      <c r="AG8" s="1" t="s">
        <v>42</v>
      </c>
      <c r="AH8" t="s">
        <v>121</v>
      </c>
    </row>
    <row r="9" spans="1:34" x14ac:dyDescent="0.45">
      <c r="A9" s="1" t="s">
        <v>42</v>
      </c>
      <c r="B9">
        <v>1</v>
      </c>
      <c r="C9">
        <v>1</v>
      </c>
      <c r="D9">
        <v>2</v>
      </c>
      <c r="F9">
        <v>14</v>
      </c>
      <c r="G9">
        <v>14</v>
      </c>
      <c r="I9">
        <v>8</v>
      </c>
      <c r="J9">
        <v>8</v>
      </c>
      <c r="K9">
        <v>4</v>
      </c>
      <c r="L9">
        <v>5</v>
      </c>
      <c r="M9">
        <v>9</v>
      </c>
      <c r="N9">
        <v>1</v>
      </c>
      <c r="O9">
        <v>4</v>
      </c>
      <c r="P9">
        <v>5</v>
      </c>
      <c r="U9">
        <v>2</v>
      </c>
      <c r="V9">
        <v>2</v>
      </c>
      <c r="W9">
        <v>2</v>
      </c>
      <c r="X9">
        <v>4</v>
      </c>
      <c r="Y9">
        <v>6</v>
      </c>
      <c r="AB9">
        <v>46</v>
      </c>
      <c r="AC9" t="str">
        <f t="shared" si="0"/>
        <v>Amino acid metabolism</v>
      </c>
      <c r="AG9" s="1" t="s">
        <v>52</v>
      </c>
      <c r="AH9" t="s">
        <v>123</v>
      </c>
    </row>
    <row r="10" spans="1:34" x14ac:dyDescent="0.45">
      <c r="A10" s="1" t="s">
        <v>52</v>
      </c>
      <c r="B10">
        <v>1</v>
      </c>
      <c r="D10">
        <v>1</v>
      </c>
      <c r="F10">
        <v>15</v>
      </c>
      <c r="G10">
        <v>15</v>
      </c>
      <c r="H10">
        <v>1</v>
      </c>
      <c r="I10">
        <v>2</v>
      </c>
      <c r="J10">
        <v>3</v>
      </c>
      <c r="K10">
        <v>10</v>
      </c>
      <c r="L10">
        <v>4</v>
      </c>
      <c r="M10">
        <v>14</v>
      </c>
      <c r="O10">
        <v>4</v>
      </c>
      <c r="P10">
        <v>4</v>
      </c>
      <c r="Q10">
        <v>5</v>
      </c>
      <c r="R10">
        <v>1</v>
      </c>
      <c r="S10">
        <v>6</v>
      </c>
      <c r="T10">
        <v>2</v>
      </c>
      <c r="U10">
        <v>2</v>
      </c>
      <c r="V10">
        <v>4</v>
      </c>
      <c r="W10">
        <v>3</v>
      </c>
      <c r="X10">
        <v>1</v>
      </c>
      <c r="Y10">
        <v>4</v>
      </c>
      <c r="AB10">
        <v>51</v>
      </c>
      <c r="AC10" t="str">
        <f t="shared" si="0"/>
        <v>Alkaloid metabolism</v>
      </c>
      <c r="AG10" s="1" t="s">
        <v>50</v>
      </c>
      <c r="AH10" t="s">
        <v>124</v>
      </c>
    </row>
    <row r="11" spans="1:34" x14ac:dyDescent="0.45">
      <c r="A11" s="1" t="s">
        <v>50</v>
      </c>
      <c r="B11">
        <v>1</v>
      </c>
      <c r="D11">
        <v>1</v>
      </c>
      <c r="F11">
        <v>27</v>
      </c>
      <c r="G11">
        <v>27</v>
      </c>
      <c r="I11">
        <v>14</v>
      </c>
      <c r="J11">
        <v>14</v>
      </c>
      <c r="K11">
        <v>4</v>
      </c>
      <c r="L11">
        <v>13</v>
      </c>
      <c r="M11">
        <v>17</v>
      </c>
      <c r="N11">
        <v>1</v>
      </c>
      <c r="O11">
        <v>5</v>
      </c>
      <c r="P11">
        <v>6</v>
      </c>
      <c r="Q11">
        <v>4</v>
      </c>
      <c r="S11">
        <v>4</v>
      </c>
      <c r="T11">
        <v>3</v>
      </c>
      <c r="U11">
        <v>1</v>
      </c>
      <c r="V11">
        <v>4</v>
      </c>
      <c r="AB11">
        <v>73</v>
      </c>
      <c r="AC11" t="str">
        <f t="shared" si="0"/>
        <v>Lipid metabolism</v>
      </c>
      <c r="AG11" s="1" t="s">
        <v>95</v>
      </c>
      <c r="AH11" t="s">
        <v>121</v>
      </c>
    </row>
    <row r="12" spans="1:34" x14ac:dyDescent="0.45">
      <c r="A12" s="1" t="s">
        <v>95</v>
      </c>
      <c r="B12">
        <v>1</v>
      </c>
      <c r="C12">
        <v>4</v>
      </c>
      <c r="D12">
        <v>5</v>
      </c>
      <c r="E12">
        <v>1</v>
      </c>
      <c r="F12">
        <v>3</v>
      </c>
      <c r="G12">
        <v>4</v>
      </c>
      <c r="I12">
        <v>6</v>
      </c>
      <c r="J12">
        <v>6</v>
      </c>
      <c r="K12">
        <v>2</v>
      </c>
      <c r="L12">
        <v>1</v>
      </c>
      <c r="M12">
        <v>3</v>
      </c>
      <c r="O12">
        <v>1</v>
      </c>
      <c r="P12">
        <v>1</v>
      </c>
      <c r="Q12">
        <v>3</v>
      </c>
      <c r="R12">
        <v>1</v>
      </c>
      <c r="S12">
        <v>4</v>
      </c>
      <c r="W12">
        <v>1</v>
      </c>
      <c r="X12">
        <v>2</v>
      </c>
      <c r="Y12">
        <v>3</v>
      </c>
      <c r="AB12">
        <v>26</v>
      </c>
      <c r="AC12" t="str">
        <f t="shared" si="0"/>
        <v>Amino acid metabolism</v>
      </c>
      <c r="AG12" s="1" t="s">
        <v>8</v>
      </c>
      <c r="AH12" t="s">
        <v>125</v>
      </c>
    </row>
    <row r="13" spans="1:34" x14ac:dyDescent="0.45">
      <c r="A13" s="1" t="s">
        <v>8</v>
      </c>
      <c r="C13">
        <v>3</v>
      </c>
      <c r="D13">
        <v>3</v>
      </c>
      <c r="F13">
        <v>16</v>
      </c>
      <c r="G13">
        <v>16</v>
      </c>
      <c r="H13">
        <v>1</v>
      </c>
      <c r="I13">
        <v>3</v>
      </c>
      <c r="J13">
        <v>4</v>
      </c>
      <c r="K13">
        <v>2</v>
      </c>
      <c r="L13">
        <v>1</v>
      </c>
      <c r="M13">
        <v>3</v>
      </c>
      <c r="O13">
        <v>3</v>
      </c>
      <c r="P13">
        <v>3</v>
      </c>
      <c r="Q13">
        <v>1</v>
      </c>
      <c r="S13">
        <v>1</v>
      </c>
      <c r="T13">
        <v>1</v>
      </c>
      <c r="V13">
        <v>1</v>
      </c>
      <c r="X13">
        <v>2</v>
      </c>
      <c r="Y13">
        <v>2</v>
      </c>
      <c r="AB13">
        <v>33</v>
      </c>
      <c r="AC13" t="str">
        <f t="shared" si="0"/>
        <v>Glycan biosynthesis and metabolism</v>
      </c>
      <c r="AG13" s="1" t="s">
        <v>91</v>
      </c>
      <c r="AH13" t="s">
        <v>126</v>
      </c>
    </row>
    <row r="14" spans="1:34" x14ac:dyDescent="0.45">
      <c r="A14" s="1" t="s">
        <v>91</v>
      </c>
      <c r="B14">
        <v>1</v>
      </c>
      <c r="C14">
        <v>5</v>
      </c>
      <c r="D14">
        <v>6</v>
      </c>
      <c r="E14">
        <v>1</v>
      </c>
      <c r="F14">
        <v>3</v>
      </c>
      <c r="G14">
        <v>4</v>
      </c>
      <c r="I14">
        <v>7</v>
      </c>
      <c r="J14">
        <v>7</v>
      </c>
      <c r="K14">
        <v>2</v>
      </c>
      <c r="L14">
        <v>2</v>
      </c>
      <c r="M14">
        <v>4</v>
      </c>
      <c r="O14">
        <v>1</v>
      </c>
      <c r="P14">
        <v>1</v>
      </c>
      <c r="Q14">
        <v>3</v>
      </c>
      <c r="R14">
        <v>1</v>
      </c>
      <c r="S14">
        <v>4</v>
      </c>
      <c r="W14">
        <v>1</v>
      </c>
      <c r="X14">
        <v>2</v>
      </c>
      <c r="Y14">
        <v>3</v>
      </c>
      <c r="AB14">
        <v>29</v>
      </c>
      <c r="AC14" t="str">
        <f t="shared" si="0"/>
        <v>Genetic Information Processing</v>
      </c>
      <c r="AG14" s="1" t="s">
        <v>74</v>
      </c>
      <c r="AH14" t="s">
        <v>127</v>
      </c>
    </row>
    <row r="15" spans="1:34" x14ac:dyDescent="0.45">
      <c r="A15" s="1" t="s">
        <v>74</v>
      </c>
      <c r="F15">
        <v>4</v>
      </c>
      <c r="G15">
        <v>4</v>
      </c>
      <c r="H15">
        <v>1</v>
      </c>
      <c r="I15">
        <v>3</v>
      </c>
      <c r="J15">
        <v>4</v>
      </c>
      <c r="L15">
        <v>5</v>
      </c>
      <c r="M15">
        <v>5</v>
      </c>
      <c r="O15">
        <v>4</v>
      </c>
      <c r="P15">
        <v>4</v>
      </c>
      <c r="Q15">
        <v>2</v>
      </c>
      <c r="S15">
        <v>2</v>
      </c>
      <c r="AB15">
        <v>19</v>
      </c>
      <c r="AC15" t="str">
        <f t="shared" si="0"/>
        <v>Phenylpropanoid metabolism</v>
      </c>
      <c r="AG15" s="1" t="s">
        <v>78</v>
      </c>
      <c r="AH15" t="s">
        <v>124</v>
      </c>
    </row>
    <row r="16" spans="1:34" x14ac:dyDescent="0.45">
      <c r="A16" s="1" t="s">
        <v>78</v>
      </c>
      <c r="F16">
        <v>6</v>
      </c>
      <c r="G16">
        <v>6</v>
      </c>
      <c r="H16">
        <v>2</v>
      </c>
      <c r="I16">
        <v>2</v>
      </c>
      <c r="J16">
        <v>4</v>
      </c>
      <c r="K16">
        <v>2</v>
      </c>
      <c r="L16">
        <v>1</v>
      </c>
      <c r="M16">
        <v>3</v>
      </c>
      <c r="Q16">
        <v>1</v>
      </c>
      <c r="S16">
        <v>1</v>
      </c>
      <c r="T16">
        <v>4</v>
      </c>
      <c r="U16">
        <v>1</v>
      </c>
      <c r="V16">
        <v>5</v>
      </c>
      <c r="AB16">
        <v>19</v>
      </c>
      <c r="AC16" t="str">
        <f t="shared" si="0"/>
        <v>Lipid metabolism</v>
      </c>
      <c r="AG16" s="1" t="s">
        <v>63</v>
      </c>
      <c r="AH16" t="s">
        <v>121</v>
      </c>
    </row>
    <row r="17" spans="1:34" x14ac:dyDescent="0.45">
      <c r="A17" s="1" t="s">
        <v>63</v>
      </c>
      <c r="B17">
        <v>1</v>
      </c>
      <c r="C17">
        <v>5</v>
      </c>
      <c r="D17">
        <v>6</v>
      </c>
      <c r="E17">
        <v>1</v>
      </c>
      <c r="F17">
        <v>11</v>
      </c>
      <c r="G17">
        <v>12</v>
      </c>
      <c r="H17">
        <v>2</v>
      </c>
      <c r="I17">
        <v>7</v>
      </c>
      <c r="J17">
        <v>9</v>
      </c>
      <c r="K17">
        <v>4</v>
      </c>
      <c r="L17">
        <v>8</v>
      </c>
      <c r="M17">
        <v>12</v>
      </c>
      <c r="N17">
        <v>1</v>
      </c>
      <c r="O17">
        <v>7</v>
      </c>
      <c r="P17">
        <v>8</v>
      </c>
      <c r="Q17">
        <v>2</v>
      </c>
      <c r="R17">
        <v>2</v>
      </c>
      <c r="S17">
        <v>4</v>
      </c>
      <c r="T17">
        <v>4</v>
      </c>
      <c r="U17">
        <v>4</v>
      </c>
      <c r="V17">
        <v>8</v>
      </c>
      <c r="W17">
        <v>3</v>
      </c>
      <c r="X17">
        <v>2</v>
      </c>
      <c r="Y17">
        <v>5</v>
      </c>
      <c r="AB17">
        <v>64</v>
      </c>
      <c r="AC17" t="str">
        <f t="shared" si="0"/>
        <v>Amino acid metabolism</v>
      </c>
      <c r="AG17" s="1" t="s">
        <v>12</v>
      </c>
      <c r="AH17" t="s">
        <v>128</v>
      </c>
    </row>
    <row r="18" spans="1:34" x14ac:dyDescent="0.45">
      <c r="A18" s="1" t="s">
        <v>12</v>
      </c>
      <c r="B18">
        <v>1</v>
      </c>
      <c r="C18">
        <v>2</v>
      </c>
      <c r="D18">
        <v>3</v>
      </c>
      <c r="F18">
        <v>20</v>
      </c>
      <c r="G18">
        <v>20</v>
      </c>
      <c r="H18">
        <v>1</v>
      </c>
      <c r="I18">
        <v>11</v>
      </c>
      <c r="J18">
        <v>12</v>
      </c>
      <c r="K18">
        <v>6</v>
      </c>
      <c r="L18">
        <v>6</v>
      </c>
      <c r="M18">
        <v>12</v>
      </c>
      <c r="N18">
        <v>1</v>
      </c>
      <c r="O18">
        <v>8</v>
      </c>
      <c r="P18">
        <v>9</v>
      </c>
      <c r="U18">
        <v>3</v>
      </c>
      <c r="V18">
        <v>3</v>
      </c>
      <c r="W18">
        <v>1</v>
      </c>
      <c r="X18">
        <v>3</v>
      </c>
      <c r="Y18">
        <v>4</v>
      </c>
      <c r="AB18">
        <v>63</v>
      </c>
      <c r="AC18" t="str">
        <f t="shared" si="0"/>
        <v>Carbohydrate metabolism</v>
      </c>
      <c r="AG18" s="1" t="s">
        <v>68</v>
      </c>
      <c r="AH18" t="s">
        <v>121</v>
      </c>
    </row>
    <row r="19" spans="1:34" x14ac:dyDescent="0.45">
      <c r="A19" s="1" t="s">
        <v>68</v>
      </c>
      <c r="C19">
        <v>1</v>
      </c>
      <c r="D19">
        <v>1</v>
      </c>
      <c r="F19">
        <v>10</v>
      </c>
      <c r="G19">
        <v>10</v>
      </c>
      <c r="I19">
        <v>5</v>
      </c>
      <c r="J19">
        <v>5</v>
      </c>
      <c r="K19">
        <v>1</v>
      </c>
      <c r="L19">
        <v>3</v>
      </c>
      <c r="M19">
        <v>4</v>
      </c>
      <c r="O19">
        <v>1</v>
      </c>
      <c r="P19">
        <v>1</v>
      </c>
      <c r="U19">
        <v>1</v>
      </c>
      <c r="V19">
        <v>1</v>
      </c>
      <c r="X19">
        <v>2</v>
      </c>
      <c r="Y19">
        <v>2</v>
      </c>
      <c r="AB19">
        <v>24</v>
      </c>
      <c r="AC19" t="str">
        <f t="shared" si="0"/>
        <v>Amino acid metabolism</v>
      </c>
      <c r="AG19" s="1" t="s">
        <v>34</v>
      </c>
      <c r="AH19" t="s">
        <v>121</v>
      </c>
    </row>
    <row r="20" spans="1:34" x14ac:dyDescent="0.45">
      <c r="A20" s="1" t="s">
        <v>34</v>
      </c>
      <c r="B20">
        <v>2</v>
      </c>
      <c r="C20">
        <v>5</v>
      </c>
      <c r="D20">
        <v>7</v>
      </c>
      <c r="E20">
        <v>2</v>
      </c>
      <c r="F20">
        <v>29</v>
      </c>
      <c r="G20">
        <v>31</v>
      </c>
      <c r="H20">
        <v>4</v>
      </c>
      <c r="I20">
        <v>20</v>
      </c>
      <c r="J20">
        <v>24</v>
      </c>
      <c r="K20">
        <v>12</v>
      </c>
      <c r="L20">
        <v>7</v>
      </c>
      <c r="M20">
        <v>19</v>
      </c>
      <c r="O20">
        <v>5</v>
      </c>
      <c r="P20">
        <v>5</v>
      </c>
      <c r="Q20">
        <v>9</v>
      </c>
      <c r="R20">
        <v>5</v>
      </c>
      <c r="S20">
        <v>14</v>
      </c>
      <c r="T20">
        <v>3</v>
      </c>
      <c r="U20">
        <v>7</v>
      </c>
      <c r="V20">
        <v>10</v>
      </c>
      <c r="W20">
        <v>3</v>
      </c>
      <c r="X20">
        <v>7</v>
      </c>
      <c r="Y20">
        <v>10</v>
      </c>
      <c r="AB20">
        <v>120</v>
      </c>
      <c r="AC20" t="str">
        <f t="shared" si="0"/>
        <v>Amino acid metabolism</v>
      </c>
      <c r="AG20" s="1" t="s">
        <v>56</v>
      </c>
      <c r="AH20" t="s">
        <v>124</v>
      </c>
    </row>
    <row r="21" spans="1:34" x14ac:dyDescent="0.45">
      <c r="A21" s="1" t="s">
        <v>56</v>
      </c>
      <c r="F21">
        <v>19</v>
      </c>
      <c r="G21">
        <v>19</v>
      </c>
      <c r="I21">
        <v>8</v>
      </c>
      <c r="J21">
        <v>8</v>
      </c>
      <c r="K21">
        <v>1</v>
      </c>
      <c r="L21">
        <v>9</v>
      </c>
      <c r="M21">
        <v>10</v>
      </c>
      <c r="O21">
        <v>14</v>
      </c>
      <c r="P21">
        <v>14</v>
      </c>
      <c r="T21">
        <v>1</v>
      </c>
      <c r="U21">
        <v>4</v>
      </c>
      <c r="V21">
        <v>5</v>
      </c>
      <c r="W21">
        <v>1</v>
      </c>
      <c r="X21">
        <v>8</v>
      </c>
      <c r="Y21">
        <v>9</v>
      </c>
      <c r="AB21">
        <v>65</v>
      </c>
      <c r="AC21" t="str">
        <f t="shared" si="0"/>
        <v>Lipid metabolism</v>
      </c>
      <c r="AG21" s="1" t="s">
        <v>27</v>
      </c>
      <c r="AH21" t="s">
        <v>129</v>
      </c>
    </row>
    <row r="22" spans="1:34" x14ac:dyDescent="0.45">
      <c r="A22" s="1" t="s">
        <v>27</v>
      </c>
      <c r="C22">
        <v>1</v>
      </c>
      <c r="D22">
        <v>1</v>
      </c>
      <c r="F22">
        <v>7</v>
      </c>
      <c r="G22">
        <v>7</v>
      </c>
      <c r="L22">
        <v>1</v>
      </c>
      <c r="M22">
        <v>1</v>
      </c>
      <c r="O22">
        <v>3</v>
      </c>
      <c r="P22">
        <v>3</v>
      </c>
      <c r="Q22">
        <v>2</v>
      </c>
      <c r="S22">
        <v>2</v>
      </c>
      <c r="U22">
        <v>2</v>
      </c>
      <c r="V22">
        <v>2</v>
      </c>
      <c r="W22">
        <v>1</v>
      </c>
      <c r="X22">
        <v>1</v>
      </c>
      <c r="Y22">
        <v>2</v>
      </c>
      <c r="AB22">
        <v>18</v>
      </c>
      <c r="AC22" t="str">
        <f t="shared" si="0"/>
        <v>Metabolism of cofactors and vitamins</v>
      </c>
      <c r="AG22" s="1" t="s">
        <v>103</v>
      </c>
      <c r="AH22" t="s">
        <v>130</v>
      </c>
    </row>
    <row r="23" spans="1:34" x14ac:dyDescent="0.45">
      <c r="A23" s="1" t="s">
        <v>103</v>
      </c>
      <c r="F23">
        <v>1</v>
      </c>
      <c r="G23">
        <v>1</v>
      </c>
      <c r="K23">
        <v>1</v>
      </c>
      <c r="L23">
        <v>1</v>
      </c>
      <c r="M23">
        <v>2</v>
      </c>
      <c r="AB23">
        <v>3</v>
      </c>
      <c r="AC23" t="str">
        <f t="shared" si="0"/>
        <v>Metabolism of terpenoids and polyketides</v>
      </c>
      <c r="AG23" s="1" t="s">
        <v>48</v>
      </c>
      <c r="AH23" t="s">
        <v>128</v>
      </c>
    </row>
    <row r="24" spans="1:34" x14ac:dyDescent="0.45">
      <c r="A24" s="1" t="s">
        <v>48</v>
      </c>
      <c r="B24">
        <v>1</v>
      </c>
      <c r="D24">
        <v>1</v>
      </c>
      <c r="F24">
        <v>16</v>
      </c>
      <c r="G24">
        <v>16</v>
      </c>
      <c r="I24">
        <v>13</v>
      </c>
      <c r="J24">
        <v>13</v>
      </c>
      <c r="K24">
        <v>6</v>
      </c>
      <c r="L24">
        <v>5</v>
      </c>
      <c r="M24">
        <v>11</v>
      </c>
      <c r="O24">
        <v>7</v>
      </c>
      <c r="P24">
        <v>7</v>
      </c>
      <c r="U24">
        <v>2</v>
      </c>
      <c r="V24">
        <v>2</v>
      </c>
      <c r="W24">
        <v>2</v>
      </c>
      <c r="X24">
        <v>1</v>
      </c>
      <c r="Y24">
        <v>3</v>
      </c>
      <c r="AB24">
        <v>53</v>
      </c>
      <c r="AC24" t="str">
        <f t="shared" si="0"/>
        <v>Carbohydrate metabolism</v>
      </c>
      <c r="AG24" s="1" t="s">
        <v>22</v>
      </c>
      <c r="AH24" t="s">
        <v>128</v>
      </c>
    </row>
    <row r="25" spans="1:34" x14ac:dyDescent="0.45">
      <c r="A25" s="1" t="s">
        <v>22</v>
      </c>
      <c r="B25">
        <v>2</v>
      </c>
      <c r="C25">
        <v>1</v>
      </c>
      <c r="D25">
        <v>3</v>
      </c>
      <c r="F25">
        <v>11</v>
      </c>
      <c r="G25">
        <v>11</v>
      </c>
      <c r="I25">
        <v>10</v>
      </c>
      <c r="J25">
        <v>10</v>
      </c>
      <c r="K25">
        <v>5</v>
      </c>
      <c r="L25">
        <v>5</v>
      </c>
      <c r="M25">
        <v>10</v>
      </c>
      <c r="O25">
        <v>4</v>
      </c>
      <c r="P25">
        <v>4</v>
      </c>
      <c r="U25">
        <v>2</v>
      </c>
      <c r="V25">
        <v>2</v>
      </c>
      <c r="W25">
        <v>2</v>
      </c>
      <c r="X25">
        <v>2</v>
      </c>
      <c r="Y25">
        <v>4</v>
      </c>
      <c r="AB25">
        <v>44</v>
      </c>
      <c r="AC25" t="str">
        <f t="shared" si="0"/>
        <v>Carbohydrate metabolism</v>
      </c>
      <c r="AG25" s="1" t="s">
        <v>76</v>
      </c>
      <c r="AH25" t="s">
        <v>131</v>
      </c>
    </row>
    <row r="26" spans="1:34" x14ac:dyDescent="0.45">
      <c r="A26" s="1" t="s">
        <v>76</v>
      </c>
      <c r="F26">
        <v>2</v>
      </c>
      <c r="G26">
        <v>2</v>
      </c>
      <c r="H26">
        <v>1</v>
      </c>
      <c r="I26">
        <v>3</v>
      </c>
      <c r="J26">
        <v>4</v>
      </c>
      <c r="K26">
        <v>2</v>
      </c>
      <c r="L26">
        <v>1</v>
      </c>
      <c r="M26">
        <v>3</v>
      </c>
      <c r="N26">
        <v>1</v>
      </c>
      <c r="O26">
        <v>1</v>
      </c>
      <c r="P26">
        <v>2</v>
      </c>
      <c r="X26">
        <v>1</v>
      </c>
      <c r="Y26">
        <v>1</v>
      </c>
      <c r="AB26">
        <v>12</v>
      </c>
      <c r="AC26" t="str">
        <f t="shared" si="0"/>
        <v>Biosynthesis of other secondary metabolites</v>
      </c>
      <c r="AG26" s="1" t="s">
        <v>23</v>
      </c>
      <c r="AH26" t="s">
        <v>132</v>
      </c>
    </row>
    <row r="27" spans="1:34" x14ac:dyDescent="0.45">
      <c r="A27" s="1" t="s">
        <v>23</v>
      </c>
      <c r="C27">
        <v>2</v>
      </c>
      <c r="D27">
        <v>2</v>
      </c>
      <c r="F27">
        <v>7</v>
      </c>
      <c r="G27">
        <v>7</v>
      </c>
      <c r="H27">
        <v>2</v>
      </c>
      <c r="I27">
        <v>5</v>
      </c>
      <c r="J27">
        <v>7</v>
      </c>
      <c r="K27">
        <v>3</v>
      </c>
      <c r="L27">
        <v>5</v>
      </c>
      <c r="M27">
        <v>8</v>
      </c>
      <c r="N27">
        <v>1</v>
      </c>
      <c r="O27">
        <v>4</v>
      </c>
      <c r="P27">
        <v>5</v>
      </c>
      <c r="R27">
        <v>1</v>
      </c>
      <c r="S27">
        <v>1</v>
      </c>
      <c r="U27">
        <v>1</v>
      </c>
      <c r="V27">
        <v>1</v>
      </c>
      <c r="W27">
        <v>1</v>
      </c>
      <c r="X27">
        <v>3</v>
      </c>
      <c r="Y27">
        <v>4</v>
      </c>
      <c r="AB27">
        <v>35</v>
      </c>
      <c r="AC27" t="str">
        <f t="shared" si="0"/>
        <v>Carbon metabolism</v>
      </c>
      <c r="AG27" s="1" t="s">
        <v>32</v>
      </c>
      <c r="AH27" t="s">
        <v>133</v>
      </c>
    </row>
    <row r="28" spans="1:34" x14ac:dyDescent="0.45">
      <c r="A28" s="1" t="s">
        <v>32</v>
      </c>
      <c r="B28">
        <v>1</v>
      </c>
      <c r="C28">
        <v>2</v>
      </c>
      <c r="D28">
        <v>3</v>
      </c>
      <c r="F28">
        <v>19</v>
      </c>
      <c r="G28">
        <v>19</v>
      </c>
      <c r="H28">
        <v>3</v>
      </c>
      <c r="I28">
        <v>14</v>
      </c>
      <c r="J28">
        <v>17</v>
      </c>
      <c r="K28">
        <v>6</v>
      </c>
      <c r="L28">
        <v>13</v>
      </c>
      <c r="M28">
        <v>19</v>
      </c>
      <c r="N28">
        <v>2</v>
      </c>
      <c r="O28">
        <v>8</v>
      </c>
      <c r="P28">
        <v>10</v>
      </c>
      <c r="R28">
        <v>1</v>
      </c>
      <c r="S28">
        <v>1</v>
      </c>
      <c r="U28">
        <v>3</v>
      </c>
      <c r="V28">
        <v>3</v>
      </c>
      <c r="W28">
        <v>3</v>
      </c>
      <c r="X28">
        <v>5</v>
      </c>
      <c r="Y28">
        <v>8</v>
      </c>
      <c r="AB28">
        <v>80</v>
      </c>
      <c r="AC28" t="str">
        <f t="shared" si="0"/>
        <v xml:space="preserve">Carbon metabolism </v>
      </c>
      <c r="AG28" s="1" t="s">
        <v>79</v>
      </c>
      <c r="AH28" t="s">
        <v>134</v>
      </c>
    </row>
    <row r="29" spans="1:34" x14ac:dyDescent="0.45">
      <c r="A29" s="1" t="s">
        <v>79</v>
      </c>
      <c r="F29">
        <v>6</v>
      </c>
      <c r="G29">
        <v>6</v>
      </c>
      <c r="I29">
        <v>1</v>
      </c>
      <c r="J29">
        <v>1</v>
      </c>
      <c r="K29">
        <v>5</v>
      </c>
      <c r="M29">
        <v>5</v>
      </c>
      <c r="O29">
        <v>3</v>
      </c>
      <c r="P29">
        <v>3</v>
      </c>
      <c r="Q29">
        <v>1</v>
      </c>
      <c r="S29">
        <v>1</v>
      </c>
      <c r="T29">
        <v>2</v>
      </c>
      <c r="U29">
        <v>1</v>
      </c>
      <c r="V29">
        <v>3</v>
      </c>
      <c r="W29">
        <v>1</v>
      </c>
      <c r="X29">
        <v>1</v>
      </c>
      <c r="Y29">
        <v>2</v>
      </c>
      <c r="AB29">
        <v>21</v>
      </c>
      <c r="AC29" t="str">
        <f t="shared" si="0"/>
        <v>Terpenoid metabolism</v>
      </c>
      <c r="AG29" s="1" t="s">
        <v>15</v>
      </c>
      <c r="AH29" t="s">
        <v>132</v>
      </c>
    </row>
    <row r="30" spans="1:34" x14ac:dyDescent="0.45">
      <c r="A30" s="1" t="s">
        <v>15</v>
      </c>
      <c r="B30">
        <v>1</v>
      </c>
      <c r="C30">
        <v>1</v>
      </c>
      <c r="D30">
        <v>2</v>
      </c>
      <c r="F30">
        <v>12</v>
      </c>
      <c r="G30">
        <v>12</v>
      </c>
      <c r="I30">
        <v>9</v>
      </c>
      <c r="J30">
        <v>9</v>
      </c>
      <c r="K30">
        <v>4</v>
      </c>
      <c r="L30">
        <v>4</v>
      </c>
      <c r="M30">
        <v>8</v>
      </c>
      <c r="O30">
        <v>5</v>
      </c>
      <c r="P30">
        <v>5</v>
      </c>
      <c r="U30">
        <v>4</v>
      </c>
      <c r="V30">
        <v>4</v>
      </c>
      <c r="W30">
        <v>1</v>
      </c>
      <c r="X30">
        <v>2</v>
      </c>
      <c r="Y30">
        <v>3</v>
      </c>
      <c r="AB30">
        <v>43</v>
      </c>
      <c r="AC30" t="str">
        <f t="shared" si="0"/>
        <v>Carbon metabolism</v>
      </c>
      <c r="AG30" s="1" t="s">
        <v>40</v>
      </c>
      <c r="AH30" t="s">
        <v>124</v>
      </c>
    </row>
    <row r="31" spans="1:34" x14ac:dyDescent="0.45">
      <c r="A31" s="1" t="s">
        <v>40</v>
      </c>
      <c r="B31">
        <v>1</v>
      </c>
      <c r="D31">
        <v>1</v>
      </c>
      <c r="F31">
        <v>16</v>
      </c>
      <c r="G31">
        <v>16</v>
      </c>
      <c r="I31">
        <v>12</v>
      </c>
      <c r="J31">
        <v>12</v>
      </c>
      <c r="K31">
        <v>2</v>
      </c>
      <c r="L31">
        <v>11</v>
      </c>
      <c r="M31">
        <v>13</v>
      </c>
      <c r="O31">
        <v>6</v>
      </c>
      <c r="P31">
        <v>6</v>
      </c>
      <c r="Q31">
        <v>3</v>
      </c>
      <c r="S31">
        <v>3</v>
      </c>
      <c r="T31">
        <v>7</v>
      </c>
      <c r="U31">
        <v>2</v>
      </c>
      <c r="V31">
        <v>9</v>
      </c>
      <c r="X31">
        <v>3</v>
      </c>
      <c r="Y31">
        <v>3</v>
      </c>
      <c r="AB31">
        <v>63</v>
      </c>
      <c r="AC31" t="str">
        <f t="shared" si="0"/>
        <v>Lipid metabolism</v>
      </c>
      <c r="AG31" s="1" t="s">
        <v>69</v>
      </c>
      <c r="AH31" t="s">
        <v>121</v>
      </c>
    </row>
    <row r="32" spans="1:34" x14ac:dyDescent="0.45">
      <c r="A32" s="1" t="s">
        <v>69</v>
      </c>
      <c r="B32">
        <v>1</v>
      </c>
      <c r="C32">
        <v>2</v>
      </c>
      <c r="D32">
        <v>3</v>
      </c>
      <c r="F32">
        <v>9</v>
      </c>
      <c r="G32">
        <v>9</v>
      </c>
      <c r="H32">
        <v>1</v>
      </c>
      <c r="I32">
        <v>7</v>
      </c>
      <c r="J32">
        <v>8</v>
      </c>
      <c r="K32">
        <v>2</v>
      </c>
      <c r="L32">
        <v>2</v>
      </c>
      <c r="M32">
        <v>4</v>
      </c>
      <c r="U32">
        <v>1</v>
      </c>
      <c r="V32">
        <v>1</v>
      </c>
      <c r="W32">
        <v>1</v>
      </c>
      <c r="X32">
        <v>1</v>
      </c>
      <c r="Y32">
        <v>2</v>
      </c>
      <c r="AB32">
        <v>27</v>
      </c>
      <c r="AC32" t="str">
        <f t="shared" si="0"/>
        <v>Amino acid metabolism</v>
      </c>
      <c r="AG32" s="1" t="s">
        <v>54</v>
      </c>
      <c r="AH32" t="s">
        <v>121</v>
      </c>
    </row>
    <row r="33" spans="1:34" x14ac:dyDescent="0.45">
      <c r="A33" s="1" t="s">
        <v>54</v>
      </c>
      <c r="B33">
        <v>1</v>
      </c>
      <c r="C33">
        <v>3</v>
      </c>
      <c r="D33">
        <v>4</v>
      </c>
      <c r="F33">
        <v>23</v>
      </c>
      <c r="G33">
        <v>23</v>
      </c>
      <c r="H33">
        <v>1</v>
      </c>
      <c r="I33">
        <v>8</v>
      </c>
      <c r="J33">
        <v>9</v>
      </c>
      <c r="K33">
        <v>7</v>
      </c>
      <c r="L33">
        <v>5</v>
      </c>
      <c r="M33">
        <v>12</v>
      </c>
      <c r="N33">
        <v>1</v>
      </c>
      <c r="O33">
        <v>4</v>
      </c>
      <c r="P33">
        <v>5</v>
      </c>
      <c r="Q33">
        <v>6</v>
      </c>
      <c r="S33">
        <v>6</v>
      </c>
      <c r="T33">
        <v>3</v>
      </c>
      <c r="U33">
        <v>5</v>
      </c>
      <c r="V33">
        <v>8</v>
      </c>
      <c r="W33">
        <v>3</v>
      </c>
      <c r="X33">
        <v>3</v>
      </c>
      <c r="Y33">
        <v>6</v>
      </c>
      <c r="AB33">
        <v>73</v>
      </c>
      <c r="AC33" t="str">
        <f t="shared" si="0"/>
        <v>Amino acid metabolism</v>
      </c>
      <c r="AG33" s="1" t="s">
        <v>135</v>
      </c>
    </row>
    <row r="34" spans="1:34" x14ac:dyDescent="0.45">
      <c r="A34" s="1" t="s">
        <v>109</v>
      </c>
      <c r="H34">
        <v>1</v>
      </c>
      <c r="J34">
        <v>1</v>
      </c>
      <c r="X34">
        <v>1</v>
      </c>
      <c r="Y34">
        <v>1</v>
      </c>
      <c r="AB34">
        <v>2</v>
      </c>
      <c r="AC34">
        <f t="shared" si="0"/>
        <v>0</v>
      </c>
      <c r="AG34" s="1" t="s">
        <v>109</v>
      </c>
    </row>
    <row r="35" spans="1:34" x14ac:dyDescent="0.45">
      <c r="A35" s="1" t="s">
        <v>38</v>
      </c>
      <c r="B35">
        <v>3</v>
      </c>
      <c r="C35">
        <v>1</v>
      </c>
      <c r="D35">
        <v>4</v>
      </c>
      <c r="E35">
        <v>3</v>
      </c>
      <c r="F35">
        <v>71</v>
      </c>
      <c r="G35">
        <v>74</v>
      </c>
      <c r="H35">
        <v>5</v>
      </c>
      <c r="I35">
        <v>20</v>
      </c>
      <c r="J35">
        <v>25</v>
      </c>
      <c r="K35">
        <v>25</v>
      </c>
      <c r="L35">
        <v>20</v>
      </c>
      <c r="M35">
        <v>45</v>
      </c>
      <c r="N35">
        <v>1</v>
      </c>
      <c r="O35">
        <v>12</v>
      </c>
      <c r="P35">
        <v>13</v>
      </c>
      <c r="Q35">
        <v>18</v>
      </c>
      <c r="R35">
        <v>3</v>
      </c>
      <c r="S35">
        <v>21</v>
      </c>
      <c r="T35">
        <v>4</v>
      </c>
      <c r="U35">
        <v>12</v>
      </c>
      <c r="V35">
        <v>16</v>
      </c>
      <c r="W35">
        <v>4</v>
      </c>
      <c r="X35">
        <v>14</v>
      </c>
      <c r="Y35">
        <v>18</v>
      </c>
      <c r="AB35">
        <v>216</v>
      </c>
      <c r="AC35" t="str">
        <f t="shared" si="0"/>
        <v>Degradation of aromatic compounds</v>
      </c>
      <c r="AG35" s="1" t="s">
        <v>38</v>
      </c>
      <c r="AH35" t="s">
        <v>136</v>
      </c>
    </row>
    <row r="36" spans="1:34" x14ac:dyDescent="0.45">
      <c r="A36" s="1" t="s">
        <v>98</v>
      </c>
      <c r="E36">
        <v>1</v>
      </c>
      <c r="F36">
        <v>1</v>
      </c>
      <c r="G36">
        <v>2</v>
      </c>
      <c r="H36">
        <v>3</v>
      </c>
      <c r="J36">
        <v>3</v>
      </c>
      <c r="K36">
        <v>5</v>
      </c>
      <c r="M36">
        <v>5</v>
      </c>
      <c r="O36">
        <v>1</v>
      </c>
      <c r="P36">
        <v>1</v>
      </c>
      <c r="Q36">
        <v>1</v>
      </c>
      <c r="S36">
        <v>1</v>
      </c>
      <c r="T36">
        <v>7</v>
      </c>
      <c r="V36">
        <v>7</v>
      </c>
      <c r="AB36">
        <v>19</v>
      </c>
      <c r="AC36">
        <f t="shared" si="0"/>
        <v>0</v>
      </c>
      <c r="AG36" s="1" t="s">
        <v>98</v>
      </c>
    </row>
    <row r="37" spans="1:34" x14ac:dyDescent="0.45">
      <c r="A37" s="1" t="s">
        <v>71</v>
      </c>
      <c r="E37">
        <v>4</v>
      </c>
      <c r="F37">
        <v>13</v>
      </c>
      <c r="G37">
        <v>17</v>
      </c>
      <c r="H37">
        <v>1</v>
      </c>
      <c r="I37">
        <v>3</v>
      </c>
      <c r="J37">
        <v>4</v>
      </c>
      <c r="K37">
        <v>6</v>
      </c>
      <c r="M37">
        <v>6</v>
      </c>
      <c r="N37">
        <v>4</v>
      </c>
      <c r="O37">
        <v>2</v>
      </c>
      <c r="P37">
        <v>6</v>
      </c>
      <c r="Q37">
        <v>1</v>
      </c>
      <c r="S37">
        <v>1</v>
      </c>
      <c r="T37">
        <v>3</v>
      </c>
      <c r="U37">
        <v>1</v>
      </c>
      <c r="V37">
        <v>4</v>
      </c>
      <c r="W37">
        <v>1</v>
      </c>
      <c r="Y37">
        <v>1</v>
      </c>
      <c r="AB37">
        <v>39</v>
      </c>
      <c r="AC37" t="str">
        <f t="shared" si="0"/>
        <v>Metabolism of terpenoids and polyketides</v>
      </c>
      <c r="AG37" s="1" t="s">
        <v>71</v>
      </c>
      <c r="AH37" t="s">
        <v>130</v>
      </c>
    </row>
    <row r="38" spans="1:34" x14ac:dyDescent="0.45">
      <c r="A38" s="1" t="s">
        <v>105</v>
      </c>
      <c r="K38">
        <v>1</v>
      </c>
      <c r="M38">
        <v>1</v>
      </c>
      <c r="N38">
        <v>1</v>
      </c>
      <c r="P38">
        <v>1</v>
      </c>
      <c r="T38">
        <v>1</v>
      </c>
      <c r="V38">
        <v>1</v>
      </c>
      <c r="X38">
        <v>1</v>
      </c>
      <c r="Y38">
        <v>1</v>
      </c>
      <c r="AB38">
        <v>4</v>
      </c>
      <c r="AC38" t="str">
        <f t="shared" si="0"/>
        <v>Lipid metabolism</v>
      </c>
      <c r="AG38" s="1" t="s">
        <v>105</v>
      </c>
      <c r="AH38" t="s">
        <v>124</v>
      </c>
    </row>
    <row r="39" spans="1:34" x14ac:dyDescent="0.45">
      <c r="A39" s="1" t="s">
        <v>61</v>
      </c>
      <c r="F39">
        <v>10</v>
      </c>
      <c r="G39">
        <v>10</v>
      </c>
      <c r="I39">
        <v>6</v>
      </c>
      <c r="J39">
        <v>6</v>
      </c>
      <c r="K39">
        <v>1</v>
      </c>
      <c r="L39">
        <v>7</v>
      </c>
      <c r="M39">
        <v>8</v>
      </c>
      <c r="O39">
        <v>6</v>
      </c>
      <c r="P39">
        <v>6</v>
      </c>
      <c r="T39">
        <v>1</v>
      </c>
      <c r="U39">
        <v>3</v>
      </c>
      <c r="V39">
        <v>4</v>
      </c>
      <c r="X39">
        <v>5</v>
      </c>
      <c r="Y39">
        <v>5</v>
      </c>
      <c r="AB39">
        <v>39</v>
      </c>
      <c r="AC39" t="str">
        <f t="shared" si="0"/>
        <v>Lipid metabolism</v>
      </c>
      <c r="AG39" s="1" t="s">
        <v>61</v>
      </c>
      <c r="AH39" t="s">
        <v>124</v>
      </c>
    </row>
    <row r="40" spans="1:34" x14ac:dyDescent="0.45">
      <c r="A40" s="1" t="s">
        <v>86</v>
      </c>
      <c r="F40">
        <v>5</v>
      </c>
      <c r="G40">
        <v>5</v>
      </c>
      <c r="I40">
        <v>5</v>
      </c>
      <c r="J40">
        <v>5</v>
      </c>
      <c r="L40">
        <v>4</v>
      </c>
      <c r="M40">
        <v>4</v>
      </c>
      <c r="O40">
        <v>4</v>
      </c>
      <c r="P40">
        <v>4</v>
      </c>
      <c r="Q40">
        <v>1</v>
      </c>
      <c r="R40">
        <v>1</v>
      </c>
      <c r="S40">
        <v>2</v>
      </c>
      <c r="U40">
        <v>1</v>
      </c>
      <c r="V40">
        <v>1</v>
      </c>
      <c r="X40">
        <v>1</v>
      </c>
      <c r="Y40">
        <v>1</v>
      </c>
      <c r="AB40">
        <v>22</v>
      </c>
      <c r="AC40" t="str">
        <f t="shared" si="0"/>
        <v>Lipid metabolism</v>
      </c>
      <c r="AG40" s="1" t="s">
        <v>86</v>
      </c>
      <c r="AH40" t="s">
        <v>124</v>
      </c>
    </row>
    <row r="41" spans="1:34" x14ac:dyDescent="0.45">
      <c r="A41" s="1" t="s">
        <v>85</v>
      </c>
      <c r="F41">
        <v>4</v>
      </c>
      <c r="G41">
        <v>4</v>
      </c>
      <c r="I41">
        <v>4</v>
      </c>
      <c r="J41">
        <v>4</v>
      </c>
      <c r="L41">
        <v>4</v>
      </c>
      <c r="M41">
        <v>4</v>
      </c>
      <c r="O41">
        <v>4</v>
      </c>
      <c r="P41">
        <v>4</v>
      </c>
      <c r="U41">
        <v>1</v>
      </c>
      <c r="V41">
        <v>1</v>
      </c>
      <c r="X41">
        <v>1</v>
      </c>
      <c r="Y41">
        <v>1</v>
      </c>
      <c r="AB41">
        <v>18</v>
      </c>
      <c r="AC41" t="str">
        <f t="shared" si="0"/>
        <v>Lipid metabolism</v>
      </c>
      <c r="AG41" s="1" t="s">
        <v>75</v>
      </c>
      <c r="AH41" t="s">
        <v>127</v>
      </c>
    </row>
    <row r="42" spans="1:34" x14ac:dyDescent="0.45">
      <c r="A42" s="1" t="s">
        <v>92</v>
      </c>
      <c r="F42">
        <v>4</v>
      </c>
      <c r="G42">
        <v>4</v>
      </c>
      <c r="I42">
        <v>4</v>
      </c>
      <c r="J42">
        <v>4</v>
      </c>
      <c r="L42">
        <v>4</v>
      </c>
      <c r="M42">
        <v>4</v>
      </c>
      <c r="O42">
        <v>4</v>
      </c>
      <c r="P42">
        <v>4</v>
      </c>
      <c r="U42">
        <v>1</v>
      </c>
      <c r="V42">
        <v>1</v>
      </c>
      <c r="X42">
        <v>1</v>
      </c>
      <c r="Y42">
        <v>1</v>
      </c>
      <c r="AB42">
        <v>18</v>
      </c>
      <c r="AC42" t="str">
        <f t="shared" si="0"/>
        <v>Fatty acid metabolism</v>
      </c>
      <c r="AG42" s="1" t="s">
        <v>57</v>
      </c>
      <c r="AH42" t="s">
        <v>127</v>
      </c>
    </row>
    <row r="43" spans="1:34" x14ac:dyDescent="0.45">
      <c r="A43" s="1" t="s">
        <v>75</v>
      </c>
      <c r="F43">
        <v>3</v>
      </c>
      <c r="G43">
        <v>3</v>
      </c>
      <c r="H43">
        <v>1</v>
      </c>
      <c r="I43">
        <v>4</v>
      </c>
      <c r="J43">
        <v>5</v>
      </c>
      <c r="L43">
        <v>6</v>
      </c>
      <c r="M43">
        <v>6</v>
      </c>
      <c r="O43">
        <v>3</v>
      </c>
      <c r="P43">
        <v>3</v>
      </c>
      <c r="Q43">
        <v>2</v>
      </c>
      <c r="S43">
        <v>2</v>
      </c>
      <c r="AB43">
        <v>19</v>
      </c>
      <c r="AC43" t="str">
        <f t="shared" si="0"/>
        <v>Phenylpropanoid metabolism</v>
      </c>
      <c r="AG43" s="1" t="s">
        <v>101</v>
      </c>
      <c r="AH43" t="s">
        <v>127</v>
      </c>
    </row>
    <row r="44" spans="1:34" x14ac:dyDescent="0.45">
      <c r="A44" s="1" t="s">
        <v>57</v>
      </c>
      <c r="F44">
        <v>14</v>
      </c>
      <c r="G44">
        <v>14</v>
      </c>
      <c r="H44">
        <v>1</v>
      </c>
      <c r="I44">
        <v>4</v>
      </c>
      <c r="J44">
        <v>5</v>
      </c>
      <c r="K44">
        <v>2</v>
      </c>
      <c r="L44">
        <v>7</v>
      </c>
      <c r="M44">
        <v>9</v>
      </c>
      <c r="O44">
        <v>2</v>
      </c>
      <c r="P44">
        <v>2</v>
      </c>
      <c r="Q44">
        <v>7</v>
      </c>
      <c r="S44">
        <v>7</v>
      </c>
      <c r="T44">
        <v>4</v>
      </c>
      <c r="U44">
        <v>1</v>
      </c>
      <c r="V44">
        <v>5</v>
      </c>
      <c r="W44">
        <v>1</v>
      </c>
      <c r="Y44">
        <v>1</v>
      </c>
      <c r="AB44">
        <v>43</v>
      </c>
      <c r="AC44" t="str">
        <f t="shared" si="0"/>
        <v>Phenylpropanoid metabolism</v>
      </c>
      <c r="AG44" s="1" t="s">
        <v>90</v>
      </c>
      <c r="AH44" t="s">
        <v>129</v>
      </c>
    </row>
    <row r="45" spans="1:34" x14ac:dyDescent="0.45">
      <c r="A45" s="1" t="s">
        <v>101</v>
      </c>
      <c r="F45">
        <v>1</v>
      </c>
      <c r="G45">
        <v>1</v>
      </c>
      <c r="H45">
        <v>1</v>
      </c>
      <c r="I45">
        <v>2</v>
      </c>
      <c r="J45">
        <v>3</v>
      </c>
      <c r="U45">
        <v>2</v>
      </c>
      <c r="V45">
        <v>2</v>
      </c>
      <c r="AB45">
        <v>6</v>
      </c>
      <c r="AC45" t="str">
        <f t="shared" si="0"/>
        <v>Phenylpropanoid metabolism</v>
      </c>
      <c r="AG45" s="1" t="s">
        <v>66</v>
      </c>
      <c r="AH45" t="s">
        <v>128</v>
      </c>
    </row>
    <row r="46" spans="1:34" x14ac:dyDescent="0.45">
      <c r="A46" s="1" t="s">
        <v>90</v>
      </c>
      <c r="F46">
        <v>2</v>
      </c>
      <c r="G46">
        <v>2</v>
      </c>
      <c r="I46">
        <v>2</v>
      </c>
      <c r="J46">
        <v>2</v>
      </c>
      <c r="K46">
        <v>1</v>
      </c>
      <c r="L46">
        <v>1</v>
      </c>
      <c r="M46">
        <v>2</v>
      </c>
      <c r="O46">
        <v>1</v>
      </c>
      <c r="P46">
        <v>1</v>
      </c>
      <c r="U46">
        <v>1</v>
      </c>
      <c r="V46">
        <v>1</v>
      </c>
      <c r="W46">
        <v>2</v>
      </c>
      <c r="X46">
        <v>3</v>
      </c>
      <c r="Y46">
        <v>5</v>
      </c>
      <c r="AB46">
        <v>13</v>
      </c>
      <c r="AC46" t="str">
        <f t="shared" si="0"/>
        <v>Metabolism of cofactors and vitamins</v>
      </c>
      <c r="AG46" s="1" t="s">
        <v>9</v>
      </c>
      <c r="AH46" t="s">
        <v>128</v>
      </c>
    </row>
    <row r="47" spans="1:34" x14ac:dyDescent="0.45">
      <c r="A47" s="1" t="s">
        <v>66</v>
      </c>
      <c r="F47">
        <v>9</v>
      </c>
      <c r="G47">
        <v>9</v>
      </c>
      <c r="H47">
        <v>2</v>
      </c>
      <c r="I47">
        <v>1</v>
      </c>
      <c r="J47">
        <v>3</v>
      </c>
      <c r="K47">
        <v>1</v>
      </c>
      <c r="L47">
        <v>3</v>
      </c>
      <c r="M47">
        <v>4</v>
      </c>
      <c r="O47">
        <v>2</v>
      </c>
      <c r="P47">
        <v>2</v>
      </c>
      <c r="Q47">
        <v>1</v>
      </c>
      <c r="S47">
        <v>1</v>
      </c>
      <c r="U47">
        <v>1</v>
      </c>
      <c r="V47">
        <v>1</v>
      </c>
      <c r="W47">
        <v>1</v>
      </c>
      <c r="Y47">
        <v>1</v>
      </c>
      <c r="AB47">
        <v>21</v>
      </c>
      <c r="AC47" t="str">
        <f t="shared" si="0"/>
        <v>Carbohydrate metabolism</v>
      </c>
      <c r="AG47" s="1" t="s">
        <v>31</v>
      </c>
      <c r="AH47" t="s">
        <v>137</v>
      </c>
    </row>
    <row r="48" spans="1:34" x14ac:dyDescent="0.45">
      <c r="A48" s="1" t="s">
        <v>9</v>
      </c>
      <c r="C48">
        <v>2</v>
      </c>
      <c r="D48">
        <v>2</v>
      </c>
      <c r="F48">
        <v>14</v>
      </c>
      <c r="G48">
        <v>14</v>
      </c>
      <c r="H48">
        <v>2</v>
      </c>
      <c r="I48">
        <v>5</v>
      </c>
      <c r="J48">
        <v>7</v>
      </c>
      <c r="K48">
        <v>2</v>
      </c>
      <c r="L48">
        <v>5</v>
      </c>
      <c r="M48">
        <v>7</v>
      </c>
      <c r="N48">
        <v>2</v>
      </c>
      <c r="O48">
        <v>5</v>
      </c>
      <c r="P48">
        <v>7</v>
      </c>
      <c r="Q48">
        <v>3</v>
      </c>
      <c r="S48">
        <v>3</v>
      </c>
      <c r="T48">
        <v>1</v>
      </c>
      <c r="V48">
        <v>1</v>
      </c>
      <c r="W48">
        <v>1</v>
      </c>
      <c r="X48">
        <v>5</v>
      </c>
      <c r="Y48">
        <v>6</v>
      </c>
      <c r="AB48">
        <v>47</v>
      </c>
      <c r="AC48" t="str">
        <f t="shared" si="0"/>
        <v>Carbohydrate metabolism</v>
      </c>
      <c r="AG48" s="1" t="s">
        <v>77</v>
      </c>
      <c r="AH48" t="s">
        <v>121</v>
      </c>
    </row>
    <row r="49" spans="1:34" x14ac:dyDescent="0.45">
      <c r="A49" s="1" t="s">
        <v>31</v>
      </c>
      <c r="C49">
        <v>4</v>
      </c>
      <c r="D49">
        <v>4</v>
      </c>
      <c r="E49">
        <v>1</v>
      </c>
      <c r="F49">
        <v>30</v>
      </c>
      <c r="G49">
        <v>31</v>
      </c>
      <c r="H49">
        <v>1</v>
      </c>
      <c r="I49">
        <v>13</v>
      </c>
      <c r="J49">
        <v>14</v>
      </c>
      <c r="K49">
        <v>11</v>
      </c>
      <c r="L49">
        <v>3</v>
      </c>
      <c r="M49">
        <v>14</v>
      </c>
      <c r="N49">
        <v>5</v>
      </c>
      <c r="O49">
        <v>7</v>
      </c>
      <c r="P49">
        <v>12</v>
      </c>
      <c r="Q49">
        <v>5</v>
      </c>
      <c r="R49">
        <v>3</v>
      </c>
      <c r="S49">
        <v>8</v>
      </c>
      <c r="U49">
        <v>7</v>
      </c>
      <c r="V49">
        <v>7</v>
      </c>
      <c r="W49">
        <v>7</v>
      </c>
      <c r="X49">
        <v>8</v>
      </c>
      <c r="Y49">
        <v>15</v>
      </c>
      <c r="AB49">
        <v>105</v>
      </c>
      <c r="AC49" t="str">
        <f t="shared" si="0"/>
        <v>Glucosinolate biosynthesis</v>
      </c>
      <c r="AG49" s="1" t="s">
        <v>21</v>
      </c>
      <c r="AH49" t="s">
        <v>124</v>
      </c>
    </row>
    <row r="50" spans="1:34" x14ac:dyDescent="0.45">
      <c r="A50" s="1" t="s">
        <v>77</v>
      </c>
      <c r="B50">
        <v>1</v>
      </c>
      <c r="C50">
        <v>1</v>
      </c>
      <c r="D50">
        <v>2</v>
      </c>
      <c r="F50">
        <v>2</v>
      </c>
      <c r="G50">
        <v>2</v>
      </c>
      <c r="H50">
        <v>2</v>
      </c>
      <c r="I50">
        <v>1</v>
      </c>
      <c r="J50">
        <v>3</v>
      </c>
      <c r="K50">
        <v>1</v>
      </c>
      <c r="L50">
        <v>2</v>
      </c>
      <c r="M50">
        <v>3</v>
      </c>
      <c r="U50">
        <v>1</v>
      </c>
      <c r="V50">
        <v>1</v>
      </c>
      <c r="W50">
        <v>1</v>
      </c>
      <c r="X50">
        <v>2</v>
      </c>
      <c r="Y50">
        <v>3</v>
      </c>
      <c r="AB50">
        <v>14</v>
      </c>
      <c r="AC50" t="str">
        <f t="shared" si="0"/>
        <v>Amino acid metabolism</v>
      </c>
      <c r="AG50" s="1" t="s">
        <v>88</v>
      </c>
      <c r="AH50" t="s">
        <v>124</v>
      </c>
    </row>
    <row r="51" spans="1:34" x14ac:dyDescent="0.45">
      <c r="A51" s="1" t="s">
        <v>21</v>
      </c>
      <c r="C51">
        <v>1</v>
      </c>
      <c r="D51">
        <v>1</v>
      </c>
      <c r="F51">
        <v>2</v>
      </c>
      <c r="G51">
        <v>2</v>
      </c>
      <c r="L51">
        <v>1</v>
      </c>
      <c r="M51">
        <v>1</v>
      </c>
      <c r="O51">
        <v>3</v>
      </c>
      <c r="P51">
        <v>3</v>
      </c>
      <c r="X51">
        <v>1</v>
      </c>
      <c r="Y51">
        <v>1</v>
      </c>
      <c r="AB51">
        <v>8</v>
      </c>
      <c r="AC51" t="str">
        <f t="shared" si="0"/>
        <v>Lipid metabolism</v>
      </c>
      <c r="AG51" s="1" t="s">
        <v>58</v>
      </c>
      <c r="AH51" t="s">
        <v>121</v>
      </c>
    </row>
    <row r="52" spans="1:34" x14ac:dyDescent="0.45">
      <c r="A52" s="1" t="s">
        <v>88</v>
      </c>
      <c r="E52">
        <v>1</v>
      </c>
      <c r="F52">
        <v>2</v>
      </c>
      <c r="G52">
        <v>3</v>
      </c>
      <c r="H52">
        <v>1</v>
      </c>
      <c r="J52">
        <v>1</v>
      </c>
      <c r="K52">
        <v>4</v>
      </c>
      <c r="M52">
        <v>4</v>
      </c>
      <c r="N52">
        <v>1</v>
      </c>
      <c r="O52">
        <v>2</v>
      </c>
      <c r="P52">
        <v>3</v>
      </c>
      <c r="Q52">
        <v>1</v>
      </c>
      <c r="S52">
        <v>1</v>
      </c>
      <c r="T52">
        <v>1</v>
      </c>
      <c r="U52">
        <v>3</v>
      </c>
      <c r="V52">
        <v>4</v>
      </c>
      <c r="X52">
        <v>2</v>
      </c>
      <c r="Y52">
        <v>2</v>
      </c>
      <c r="AB52">
        <v>18</v>
      </c>
      <c r="AC52" t="str">
        <f t="shared" si="0"/>
        <v>Lipid metabolism</v>
      </c>
      <c r="AG52" s="1" t="s">
        <v>39</v>
      </c>
      <c r="AH52" t="s">
        <v>128</v>
      </c>
    </row>
    <row r="53" spans="1:34" x14ac:dyDescent="0.45">
      <c r="A53" s="1" t="s">
        <v>58</v>
      </c>
      <c r="C53">
        <v>2</v>
      </c>
      <c r="D53">
        <v>2</v>
      </c>
      <c r="E53">
        <v>1</v>
      </c>
      <c r="F53">
        <v>12</v>
      </c>
      <c r="G53">
        <v>13</v>
      </c>
      <c r="H53">
        <v>1</v>
      </c>
      <c r="I53">
        <v>6</v>
      </c>
      <c r="J53">
        <v>7</v>
      </c>
      <c r="K53">
        <v>2</v>
      </c>
      <c r="L53">
        <v>4</v>
      </c>
      <c r="M53">
        <v>6</v>
      </c>
      <c r="O53">
        <v>3</v>
      </c>
      <c r="P53">
        <v>3</v>
      </c>
      <c r="Q53">
        <v>4</v>
      </c>
      <c r="R53">
        <v>1</v>
      </c>
      <c r="S53">
        <v>5</v>
      </c>
      <c r="U53">
        <v>7</v>
      </c>
      <c r="V53">
        <v>7</v>
      </c>
      <c r="X53">
        <v>3</v>
      </c>
      <c r="Y53">
        <v>3</v>
      </c>
      <c r="AB53">
        <v>46</v>
      </c>
      <c r="AC53" t="str">
        <f t="shared" si="0"/>
        <v>Amino acid metabolism</v>
      </c>
      <c r="AG53" s="1" t="s">
        <v>47</v>
      </c>
      <c r="AH53" t="s">
        <v>128</v>
      </c>
    </row>
    <row r="54" spans="1:34" x14ac:dyDescent="0.45">
      <c r="A54" s="1" t="s">
        <v>39</v>
      </c>
      <c r="B54">
        <v>1</v>
      </c>
      <c r="D54">
        <v>1</v>
      </c>
      <c r="F54">
        <v>6</v>
      </c>
      <c r="G54">
        <v>6</v>
      </c>
      <c r="H54">
        <v>2</v>
      </c>
      <c r="I54">
        <v>8</v>
      </c>
      <c r="J54">
        <v>10</v>
      </c>
      <c r="K54">
        <v>5</v>
      </c>
      <c r="L54">
        <v>6</v>
      </c>
      <c r="M54">
        <v>11</v>
      </c>
      <c r="O54">
        <v>2</v>
      </c>
      <c r="P54">
        <v>2</v>
      </c>
      <c r="U54">
        <v>2</v>
      </c>
      <c r="V54">
        <v>2</v>
      </c>
      <c r="W54">
        <v>1</v>
      </c>
      <c r="X54">
        <v>2</v>
      </c>
      <c r="Y54">
        <v>3</v>
      </c>
      <c r="AB54">
        <v>35</v>
      </c>
      <c r="AC54" t="str">
        <f t="shared" si="0"/>
        <v>Carbohydrate metabolism</v>
      </c>
      <c r="AG54" s="1" t="s">
        <v>44</v>
      </c>
      <c r="AH54" t="s">
        <v>121</v>
      </c>
    </row>
    <row r="55" spans="1:34" x14ac:dyDescent="0.45">
      <c r="A55" s="1" t="s">
        <v>47</v>
      </c>
      <c r="B55">
        <v>1</v>
      </c>
      <c r="D55">
        <v>1</v>
      </c>
      <c r="E55">
        <v>1</v>
      </c>
      <c r="F55">
        <v>13</v>
      </c>
      <c r="G55">
        <v>14</v>
      </c>
      <c r="I55">
        <v>7</v>
      </c>
      <c r="J55">
        <v>7</v>
      </c>
      <c r="K55">
        <v>4</v>
      </c>
      <c r="L55">
        <v>3</v>
      </c>
      <c r="M55">
        <v>7</v>
      </c>
      <c r="O55">
        <v>3</v>
      </c>
      <c r="P55">
        <v>3</v>
      </c>
      <c r="Q55">
        <v>2</v>
      </c>
      <c r="R55">
        <v>1</v>
      </c>
      <c r="S55">
        <v>3</v>
      </c>
      <c r="U55">
        <v>4</v>
      </c>
      <c r="V55">
        <v>4</v>
      </c>
      <c r="W55">
        <v>1</v>
      </c>
      <c r="X55">
        <v>1</v>
      </c>
      <c r="Y55">
        <v>2</v>
      </c>
      <c r="AB55">
        <v>41</v>
      </c>
      <c r="AC55" t="str">
        <f t="shared" si="0"/>
        <v>Carbohydrate metabolism</v>
      </c>
      <c r="AG55" s="1" t="s">
        <v>81</v>
      </c>
      <c r="AH55" t="s">
        <v>121</v>
      </c>
    </row>
    <row r="56" spans="1:34" x14ac:dyDescent="0.45">
      <c r="A56" s="1" t="s">
        <v>44</v>
      </c>
      <c r="B56">
        <v>1</v>
      </c>
      <c r="D56">
        <v>1</v>
      </c>
      <c r="E56">
        <v>1</v>
      </c>
      <c r="F56">
        <v>20</v>
      </c>
      <c r="G56">
        <v>21</v>
      </c>
      <c r="H56">
        <v>2</v>
      </c>
      <c r="I56">
        <v>6</v>
      </c>
      <c r="J56">
        <v>8</v>
      </c>
      <c r="K56">
        <v>5</v>
      </c>
      <c r="L56">
        <v>4</v>
      </c>
      <c r="M56">
        <v>9</v>
      </c>
      <c r="O56">
        <v>1</v>
      </c>
      <c r="P56">
        <v>1</v>
      </c>
      <c r="Q56">
        <v>4</v>
      </c>
      <c r="R56">
        <v>1</v>
      </c>
      <c r="S56">
        <v>5</v>
      </c>
      <c r="T56">
        <v>1</v>
      </c>
      <c r="V56">
        <v>1</v>
      </c>
      <c r="W56">
        <v>2</v>
      </c>
      <c r="X56">
        <v>3</v>
      </c>
      <c r="Y56">
        <v>5</v>
      </c>
      <c r="AB56">
        <v>51</v>
      </c>
      <c r="AC56" t="str">
        <f t="shared" si="0"/>
        <v>Amino acid metabolism</v>
      </c>
      <c r="AG56" s="1" t="s">
        <v>59</v>
      </c>
      <c r="AH56" t="s">
        <v>128</v>
      </c>
    </row>
    <row r="57" spans="1:34" x14ac:dyDescent="0.45">
      <c r="A57" s="1" t="s">
        <v>81</v>
      </c>
      <c r="E57">
        <v>2</v>
      </c>
      <c r="F57">
        <v>8</v>
      </c>
      <c r="G57">
        <v>10</v>
      </c>
      <c r="I57">
        <v>2</v>
      </c>
      <c r="J57">
        <v>2</v>
      </c>
      <c r="K57">
        <v>1</v>
      </c>
      <c r="L57">
        <v>2</v>
      </c>
      <c r="M57">
        <v>3</v>
      </c>
      <c r="O57">
        <v>2</v>
      </c>
      <c r="P57">
        <v>2</v>
      </c>
      <c r="R57">
        <v>1</v>
      </c>
      <c r="S57">
        <v>1</v>
      </c>
      <c r="AB57">
        <v>18</v>
      </c>
      <c r="AC57" t="str">
        <f t="shared" si="0"/>
        <v>Amino acid metabolism</v>
      </c>
      <c r="AG57" s="1" t="s">
        <v>14</v>
      </c>
      <c r="AH57" t="s">
        <v>123</v>
      </c>
    </row>
    <row r="58" spans="1:34" x14ac:dyDescent="0.45">
      <c r="A58" s="1" t="s">
        <v>59</v>
      </c>
      <c r="F58">
        <v>7</v>
      </c>
      <c r="G58">
        <v>7</v>
      </c>
      <c r="H58">
        <v>2</v>
      </c>
      <c r="I58">
        <v>5</v>
      </c>
      <c r="J58">
        <v>7</v>
      </c>
      <c r="K58">
        <v>3</v>
      </c>
      <c r="L58">
        <v>5</v>
      </c>
      <c r="M58">
        <v>8</v>
      </c>
      <c r="O58">
        <v>2</v>
      </c>
      <c r="P58">
        <v>2</v>
      </c>
      <c r="U58">
        <v>1</v>
      </c>
      <c r="V58">
        <v>1</v>
      </c>
      <c r="W58">
        <v>1</v>
      </c>
      <c r="X58">
        <v>1</v>
      </c>
      <c r="Y58">
        <v>2</v>
      </c>
      <c r="AB58">
        <v>27</v>
      </c>
      <c r="AC58" t="str">
        <f t="shared" si="0"/>
        <v>Carbohydrate metabolism</v>
      </c>
      <c r="AG58" s="1" t="s">
        <v>36</v>
      </c>
      <c r="AH58" t="s">
        <v>127</v>
      </c>
    </row>
    <row r="59" spans="1:34" x14ac:dyDescent="0.45">
      <c r="A59" s="1" t="s">
        <v>14</v>
      </c>
      <c r="B59">
        <v>2</v>
      </c>
      <c r="C59">
        <v>2</v>
      </c>
      <c r="D59">
        <v>4</v>
      </c>
      <c r="E59">
        <v>1</v>
      </c>
      <c r="F59">
        <v>21</v>
      </c>
      <c r="G59">
        <v>22</v>
      </c>
      <c r="H59">
        <v>10</v>
      </c>
      <c r="I59">
        <v>6</v>
      </c>
      <c r="J59">
        <v>16</v>
      </c>
      <c r="K59">
        <v>14</v>
      </c>
      <c r="L59">
        <v>6</v>
      </c>
      <c r="M59">
        <v>20</v>
      </c>
      <c r="N59">
        <v>1</v>
      </c>
      <c r="O59">
        <v>3</v>
      </c>
      <c r="P59">
        <v>4</v>
      </c>
      <c r="Q59">
        <v>2</v>
      </c>
      <c r="R59">
        <v>1</v>
      </c>
      <c r="S59">
        <v>3</v>
      </c>
      <c r="T59">
        <v>9</v>
      </c>
      <c r="U59">
        <v>4</v>
      </c>
      <c r="V59">
        <v>13</v>
      </c>
      <c r="W59">
        <v>1</v>
      </c>
      <c r="X59">
        <v>5</v>
      </c>
      <c r="Y59">
        <v>6</v>
      </c>
      <c r="AB59">
        <v>88</v>
      </c>
      <c r="AC59" t="str">
        <f t="shared" si="0"/>
        <v>Alkaloid metabolism</v>
      </c>
      <c r="AG59" s="1" t="s">
        <v>51</v>
      </c>
      <c r="AH59" t="s">
        <v>130</v>
      </c>
    </row>
    <row r="60" spans="1:34" x14ac:dyDescent="0.45">
      <c r="A60" s="1" t="s">
        <v>96</v>
      </c>
      <c r="F60">
        <v>3</v>
      </c>
      <c r="G60">
        <v>3</v>
      </c>
      <c r="I60">
        <v>2</v>
      </c>
      <c r="J60">
        <v>2</v>
      </c>
      <c r="K60">
        <v>3</v>
      </c>
      <c r="L60">
        <v>3</v>
      </c>
      <c r="M60">
        <v>6</v>
      </c>
      <c r="Q60">
        <v>2</v>
      </c>
      <c r="S60">
        <v>2</v>
      </c>
      <c r="AB60">
        <v>13</v>
      </c>
      <c r="AC60" t="str">
        <f t="shared" si="0"/>
        <v>JA biosynthesis</v>
      </c>
      <c r="AG60" s="1" t="s">
        <v>46</v>
      </c>
      <c r="AH60" t="s">
        <v>124</v>
      </c>
    </row>
    <row r="61" spans="1:34" x14ac:dyDescent="0.45">
      <c r="A61" s="1" t="s">
        <v>36</v>
      </c>
      <c r="C61">
        <v>1</v>
      </c>
      <c r="D61">
        <v>1</v>
      </c>
      <c r="E61">
        <v>3</v>
      </c>
      <c r="F61">
        <v>13</v>
      </c>
      <c r="G61">
        <v>16</v>
      </c>
      <c r="H61">
        <v>3</v>
      </c>
      <c r="I61">
        <v>3</v>
      </c>
      <c r="J61">
        <v>6</v>
      </c>
      <c r="K61">
        <v>10</v>
      </c>
      <c r="L61">
        <v>5</v>
      </c>
      <c r="M61">
        <v>15</v>
      </c>
      <c r="N61">
        <v>1</v>
      </c>
      <c r="O61">
        <v>6</v>
      </c>
      <c r="P61">
        <v>7</v>
      </c>
      <c r="Q61">
        <v>3</v>
      </c>
      <c r="R61">
        <v>1</v>
      </c>
      <c r="S61">
        <v>4</v>
      </c>
      <c r="T61">
        <v>7</v>
      </c>
      <c r="U61">
        <v>3</v>
      </c>
      <c r="V61">
        <v>10</v>
      </c>
      <c r="X61">
        <v>3</v>
      </c>
      <c r="Y61">
        <v>3</v>
      </c>
      <c r="AB61">
        <v>62</v>
      </c>
      <c r="AC61" t="str">
        <f t="shared" si="0"/>
        <v>Phenylpropanoid metabolism</v>
      </c>
      <c r="AG61" s="1" t="s">
        <v>43</v>
      </c>
      <c r="AH61" t="s">
        <v>121</v>
      </c>
    </row>
    <row r="62" spans="1:34" x14ac:dyDescent="0.45">
      <c r="A62" s="1" t="s">
        <v>51</v>
      </c>
      <c r="F62">
        <v>17</v>
      </c>
      <c r="G62">
        <v>17</v>
      </c>
      <c r="I62">
        <v>1</v>
      </c>
      <c r="J62">
        <v>1</v>
      </c>
      <c r="K62">
        <v>2</v>
      </c>
      <c r="L62">
        <v>4</v>
      </c>
      <c r="M62">
        <v>6</v>
      </c>
      <c r="Q62">
        <v>10</v>
      </c>
      <c r="S62">
        <v>10</v>
      </c>
      <c r="T62">
        <v>1</v>
      </c>
      <c r="V62">
        <v>1</v>
      </c>
      <c r="AB62">
        <v>35</v>
      </c>
      <c r="AC62" t="str">
        <f t="shared" si="0"/>
        <v>Metabolism of terpenoids and polyketides</v>
      </c>
      <c r="AG62" s="1" t="s">
        <v>100</v>
      </c>
      <c r="AH62" t="s">
        <v>121</v>
      </c>
    </row>
    <row r="63" spans="1:34" x14ac:dyDescent="0.45">
      <c r="A63" s="1" t="s">
        <v>46</v>
      </c>
      <c r="B63">
        <v>1</v>
      </c>
      <c r="D63">
        <v>1</v>
      </c>
      <c r="F63">
        <v>26</v>
      </c>
      <c r="G63">
        <v>26</v>
      </c>
      <c r="I63">
        <v>12</v>
      </c>
      <c r="J63">
        <v>12</v>
      </c>
      <c r="K63">
        <v>1</v>
      </c>
      <c r="L63">
        <v>12</v>
      </c>
      <c r="M63">
        <v>13</v>
      </c>
      <c r="O63">
        <v>9</v>
      </c>
      <c r="P63">
        <v>9</v>
      </c>
      <c r="Q63">
        <v>2</v>
      </c>
      <c r="S63">
        <v>2</v>
      </c>
      <c r="T63">
        <v>6</v>
      </c>
      <c r="U63">
        <v>1</v>
      </c>
      <c r="V63">
        <v>7</v>
      </c>
      <c r="X63">
        <v>4</v>
      </c>
      <c r="Y63">
        <v>4</v>
      </c>
      <c r="AB63">
        <v>74</v>
      </c>
      <c r="AC63" t="str">
        <f t="shared" si="0"/>
        <v>Lipid metabolism</v>
      </c>
      <c r="AG63" s="1" t="s">
        <v>114</v>
      </c>
    </row>
    <row r="64" spans="1:34" x14ac:dyDescent="0.45">
      <c r="A64" s="1" t="s">
        <v>107</v>
      </c>
      <c r="F64">
        <v>1</v>
      </c>
      <c r="G64">
        <v>1</v>
      </c>
      <c r="O64">
        <v>1</v>
      </c>
      <c r="P64">
        <v>1</v>
      </c>
      <c r="AB64">
        <v>2</v>
      </c>
      <c r="AC64" t="str">
        <f t="shared" si="0"/>
        <v>Metabolism of cofactors and vitamins</v>
      </c>
      <c r="AG64" s="1" t="s">
        <v>28</v>
      </c>
      <c r="AH64" t="s">
        <v>130</v>
      </c>
    </row>
    <row r="65" spans="1:34" x14ac:dyDescent="0.45">
      <c r="A65" s="1" t="s">
        <v>43</v>
      </c>
      <c r="B65">
        <v>1</v>
      </c>
      <c r="C65">
        <v>1</v>
      </c>
      <c r="D65">
        <v>2</v>
      </c>
      <c r="F65">
        <v>8</v>
      </c>
      <c r="G65">
        <v>8</v>
      </c>
      <c r="I65">
        <v>4</v>
      </c>
      <c r="J65">
        <v>4</v>
      </c>
      <c r="K65">
        <v>4</v>
      </c>
      <c r="L65">
        <v>2</v>
      </c>
      <c r="M65">
        <v>6</v>
      </c>
      <c r="O65">
        <v>2</v>
      </c>
      <c r="P65">
        <v>2</v>
      </c>
      <c r="Q65">
        <v>4</v>
      </c>
      <c r="S65">
        <v>4</v>
      </c>
      <c r="U65">
        <v>2</v>
      </c>
      <c r="V65">
        <v>2</v>
      </c>
      <c r="W65">
        <v>2</v>
      </c>
      <c r="X65">
        <v>1</v>
      </c>
      <c r="Y65">
        <v>3</v>
      </c>
      <c r="AB65">
        <v>31</v>
      </c>
      <c r="AC65" t="str">
        <f t="shared" si="0"/>
        <v>Amino acid metabolism</v>
      </c>
      <c r="AG65" s="1" t="s">
        <v>26</v>
      </c>
      <c r="AH65" t="s">
        <v>129</v>
      </c>
    </row>
    <row r="66" spans="1:34" x14ac:dyDescent="0.45">
      <c r="A66" s="1" t="s">
        <v>100</v>
      </c>
      <c r="F66">
        <v>5</v>
      </c>
      <c r="G66">
        <v>5</v>
      </c>
      <c r="H66">
        <v>1</v>
      </c>
      <c r="I66">
        <v>2</v>
      </c>
      <c r="J66">
        <v>3</v>
      </c>
      <c r="K66">
        <v>2</v>
      </c>
      <c r="L66">
        <v>1</v>
      </c>
      <c r="M66">
        <v>3</v>
      </c>
      <c r="N66">
        <v>1</v>
      </c>
      <c r="O66">
        <v>2</v>
      </c>
      <c r="P66">
        <v>3</v>
      </c>
      <c r="Q66">
        <v>1</v>
      </c>
      <c r="S66">
        <v>1</v>
      </c>
      <c r="U66">
        <v>2</v>
      </c>
      <c r="V66">
        <v>2</v>
      </c>
      <c r="W66">
        <v>2</v>
      </c>
      <c r="X66">
        <v>1</v>
      </c>
      <c r="Y66">
        <v>3</v>
      </c>
      <c r="AB66">
        <v>20</v>
      </c>
      <c r="AC66" t="str">
        <f t="shared" si="0"/>
        <v>Amino acid metabolism</v>
      </c>
      <c r="AG66" s="1" t="s">
        <v>112</v>
      </c>
      <c r="AH66" t="s">
        <v>129</v>
      </c>
    </row>
    <row r="67" spans="1:34" x14ac:dyDescent="0.45">
      <c r="A67" s="1" t="s">
        <v>114</v>
      </c>
      <c r="B67">
        <v>1</v>
      </c>
      <c r="D67">
        <v>1</v>
      </c>
      <c r="E67">
        <v>2</v>
      </c>
      <c r="G67">
        <v>2</v>
      </c>
      <c r="AB67">
        <v>3</v>
      </c>
      <c r="AC67">
        <f t="shared" si="0"/>
        <v>0</v>
      </c>
      <c r="AG67" s="1" t="s">
        <v>41</v>
      </c>
      <c r="AH67" t="s">
        <v>138</v>
      </c>
    </row>
    <row r="68" spans="1:34" x14ac:dyDescent="0.45">
      <c r="A68" s="1" t="s">
        <v>28</v>
      </c>
      <c r="C68">
        <v>1</v>
      </c>
      <c r="D68">
        <v>1</v>
      </c>
      <c r="F68">
        <v>13</v>
      </c>
      <c r="G68">
        <v>13</v>
      </c>
      <c r="H68">
        <v>1</v>
      </c>
      <c r="I68">
        <v>3</v>
      </c>
      <c r="J68">
        <v>4</v>
      </c>
      <c r="K68">
        <v>2</v>
      </c>
      <c r="L68">
        <v>5</v>
      </c>
      <c r="M68">
        <v>7</v>
      </c>
      <c r="O68">
        <v>5</v>
      </c>
      <c r="P68">
        <v>5</v>
      </c>
      <c r="Q68">
        <v>7</v>
      </c>
      <c r="S68">
        <v>7</v>
      </c>
      <c r="T68">
        <v>2</v>
      </c>
      <c r="U68">
        <v>1</v>
      </c>
      <c r="V68">
        <v>3</v>
      </c>
      <c r="X68">
        <v>1</v>
      </c>
      <c r="Y68">
        <v>1</v>
      </c>
      <c r="AB68">
        <v>41</v>
      </c>
      <c r="AC68" t="str">
        <f t="shared" si="0"/>
        <v>Metabolism of terpenoids and polyketides</v>
      </c>
      <c r="AG68" s="1" t="s">
        <v>60</v>
      </c>
      <c r="AH68" t="s">
        <v>129</v>
      </c>
    </row>
    <row r="69" spans="1:34" x14ac:dyDescent="0.45">
      <c r="A69" s="1" t="s">
        <v>26</v>
      </c>
      <c r="B69">
        <v>1</v>
      </c>
      <c r="C69">
        <v>2</v>
      </c>
      <c r="D69">
        <v>3</v>
      </c>
      <c r="F69">
        <v>13</v>
      </c>
      <c r="G69">
        <v>13</v>
      </c>
      <c r="H69">
        <v>1</v>
      </c>
      <c r="I69">
        <v>7</v>
      </c>
      <c r="J69">
        <v>8</v>
      </c>
      <c r="K69">
        <v>5</v>
      </c>
      <c r="L69">
        <v>8</v>
      </c>
      <c r="M69">
        <v>13</v>
      </c>
      <c r="O69">
        <v>4</v>
      </c>
      <c r="P69">
        <v>4</v>
      </c>
      <c r="Q69">
        <v>1</v>
      </c>
      <c r="R69">
        <v>1</v>
      </c>
      <c r="S69">
        <v>2</v>
      </c>
      <c r="T69">
        <v>1</v>
      </c>
      <c r="U69">
        <v>3</v>
      </c>
      <c r="V69">
        <v>4</v>
      </c>
      <c r="W69">
        <v>1</v>
      </c>
      <c r="X69">
        <v>1</v>
      </c>
      <c r="Y69">
        <v>2</v>
      </c>
      <c r="AB69">
        <v>49</v>
      </c>
      <c r="AC69" t="str">
        <f t="shared" si="0"/>
        <v>Metabolism of cofactors and vitamins</v>
      </c>
      <c r="AG69" s="1" t="s">
        <v>11</v>
      </c>
      <c r="AH69" t="s">
        <v>128</v>
      </c>
    </row>
    <row r="70" spans="1:34" x14ac:dyDescent="0.45">
      <c r="A70" s="1" t="s">
        <v>29</v>
      </c>
      <c r="C70">
        <v>1</v>
      </c>
      <c r="D70">
        <v>1</v>
      </c>
      <c r="O70">
        <v>1</v>
      </c>
      <c r="P70">
        <v>1</v>
      </c>
      <c r="AB70">
        <v>2</v>
      </c>
      <c r="AC70" t="str">
        <f t="shared" si="0"/>
        <v>Energy metabolism</v>
      </c>
      <c r="AG70" s="1" t="s">
        <v>16</v>
      </c>
      <c r="AH70" t="s">
        <v>128</v>
      </c>
    </row>
    <row r="71" spans="1:34" x14ac:dyDescent="0.45">
      <c r="A71" s="1" t="s">
        <v>112</v>
      </c>
      <c r="C71">
        <v>1</v>
      </c>
      <c r="D71">
        <v>1</v>
      </c>
      <c r="I71">
        <v>1</v>
      </c>
      <c r="J71">
        <v>1</v>
      </c>
      <c r="L71">
        <v>3</v>
      </c>
      <c r="M71">
        <v>3</v>
      </c>
      <c r="Q71">
        <v>1</v>
      </c>
      <c r="S71">
        <v>1</v>
      </c>
      <c r="AB71">
        <v>6</v>
      </c>
      <c r="AC71" t="str">
        <f t="shared" ref="AC71:AC108" si="1">_xlfn.XLOOKUP(A71,$AG$6:$AG$200,$AH$6:$AH$200)</f>
        <v>Metabolism of cofactors and vitamins</v>
      </c>
      <c r="AG71" s="1" t="s">
        <v>18</v>
      </c>
      <c r="AH71" t="s">
        <v>121</v>
      </c>
    </row>
    <row r="72" spans="1:34" x14ac:dyDescent="0.45">
      <c r="A72" s="1" t="s">
        <v>41</v>
      </c>
      <c r="B72">
        <v>1</v>
      </c>
      <c r="D72">
        <v>1</v>
      </c>
      <c r="F72">
        <v>5</v>
      </c>
      <c r="G72">
        <v>5</v>
      </c>
      <c r="I72">
        <v>1</v>
      </c>
      <c r="J72">
        <v>1</v>
      </c>
      <c r="L72">
        <v>1</v>
      </c>
      <c r="M72">
        <v>1</v>
      </c>
      <c r="O72">
        <v>2</v>
      </c>
      <c r="P72">
        <v>2</v>
      </c>
      <c r="Q72">
        <v>1</v>
      </c>
      <c r="S72">
        <v>1</v>
      </c>
      <c r="X72">
        <v>1</v>
      </c>
      <c r="Y72">
        <v>1</v>
      </c>
      <c r="AB72">
        <v>12</v>
      </c>
      <c r="AC72" t="str">
        <f t="shared" si="1"/>
        <v>Energy metabolism</v>
      </c>
      <c r="AG72" s="1" t="s">
        <v>53</v>
      </c>
      <c r="AH72" t="s">
        <v>121</v>
      </c>
    </row>
    <row r="73" spans="1:34" x14ac:dyDescent="0.45">
      <c r="A73" s="1" t="s">
        <v>60</v>
      </c>
      <c r="C73">
        <v>1</v>
      </c>
      <c r="D73">
        <v>1</v>
      </c>
      <c r="F73">
        <v>18</v>
      </c>
      <c r="G73">
        <v>18</v>
      </c>
      <c r="H73">
        <v>2</v>
      </c>
      <c r="I73">
        <v>6</v>
      </c>
      <c r="J73">
        <v>8</v>
      </c>
      <c r="K73">
        <v>4</v>
      </c>
      <c r="L73">
        <v>4</v>
      </c>
      <c r="M73">
        <v>8</v>
      </c>
      <c r="O73">
        <v>2</v>
      </c>
      <c r="P73">
        <v>2</v>
      </c>
      <c r="Q73">
        <v>2</v>
      </c>
      <c r="S73">
        <v>2</v>
      </c>
      <c r="U73">
        <v>6</v>
      </c>
      <c r="V73">
        <v>6</v>
      </c>
      <c r="W73">
        <v>1</v>
      </c>
      <c r="X73">
        <v>4</v>
      </c>
      <c r="Y73">
        <v>5</v>
      </c>
      <c r="AB73">
        <v>50</v>
      </c>
      <c r="AC73" t="str">
        <f t="shared" si="1"/>
        <v>Metabolism of cofactors and vitamins</v>
      </c>
      <c r="AG73" s="1" t="s">
        <v>30</v>
      </c>
      <c r="AH73" t="s">
        <v>139</v>
      </c>
    </row>
    <row r="74" spans="1:34" x14ac:dyDescent="0.45">
      <c r="A74" s="1" t="s">
        <v>11</v>
      </c>
      <c r="B74">
        <v>1</v>
      </c>
      <c r="C74">
        <v>2</v>
      </c>
      <c r="D74">
        <v>3</v>
      </c>
      <c r="F74">
        <v>16</v>
      </c>
      <c r="G74">
        <v>16</v>
      </c>
      <c r="I74">
        <v>11</v>
      </c>
      <c r="J74">
        <v>11</v>
      </c>
      <c r="K74">
        <v>5</v>
      </c>
      <c r="L74">
        <v>5</v>
      </c>
      <c r="M74">
        <v>10</v>
      </c>
      <c r="O74">
        <v>4</v>
      </c>
      <c r="P74">
        <v>4</v>
      </c>
      <c r="U74">
        <v>3</v>
      </c>
      <c r="V74">
        <v>3</v>
      </c>
      <c r="W74">
        <v>1</v>
      </c>
      <c r="X74">
        <v>3</v>
      </c>
      <c r="Y74">
        <v>4</v>
      </c>
      <c r="AB74">
        <v>51</v>
      </c>
      <c r="AC74" t="str">
        <f t="shared" si="1"/>
        <v>Carbohydrate metabolism</v>
      </c>
      <c r="AG74" s="1" t="s">
        <v>49</v>
      </c>
      <c r="AH74" t="s">
        <v>127</v>
      </c>
    </row>
    <row r="75" spans="1:34" x14ac:dyDescent="0.45">
      <c r="A75" s="1" t="s">
        <v>16</v>
      </c>
      <c r="C75">
        <v>1</v>
      </c>
      <c r="D75">
        <v>1</v>
      </c>
      <c r="F75">
        <v>12</v>
      </c>
      <c r="G75">
        <v>12</v>
      </c>
      <c r="H75">
        <v>3</v>
      </c>
      <c r="I75">
        <v>7</v>
      </c>
      <c r="J75">
        <v>10</v>
      </c>
      <c r="K75">
        <v>4</v>
      </c>
      <c r="L75">
        <v>7</v>
      </c>
      <c r="M75">
        <v>11</v>
      </c>
      <c r="O75">
        <v>5</v>
      </c>
      <c r="P75">
        <v>5</v>
      </c>
      <c r="R75">
        <v>1</v>
      </c>
      <c r="S75">
        <v>1</v>
      </c>
      <c r="U75">
        <v>1</v>
      </c>
      <c r="V75">
        <v>1</v>
      </c>
      <c r="W75">
        <v>1</v>
      </c>
      <c r="X75">
        <v>2</v>
      </c>
      <c r="Y75">
        <v>3</v>
      </c>
      <c r="AB75">
        <v>44</v>
      </c>
      <c r="AC75" t="str">
        <f t="shared" si="1"/>
        <v>Carbohydrate metabolism</v>
      </c>
      <c r="AG75" s="1" t="s">
        <v>93</v>
      </c>
      <c r="AH75" t="s">
        <v>140</v>
      </c>
    </row>
    <row r="76" spans="1:34" x14ac:dyDescent="0.45">
      <c r="A76" s="1" t="s">
        <v>18</v>
      </c>
      <c r="B76">
        <v>1</v>
      </c>
      <c r="C76">
        <v>2</v>
      </c>
      <c r="D76">
        <v>3</v>
      </c>
      <c r="E76">
        <v>1</v>
      </c>
      <c r="F76">
        <v>22</v>
      </c>
      <c r="G76">
        <v>23</v>
      </c>
      <c r="H76">
        <v>1</v>
      </c>
      <c r="I76">
        <v>13</v>
      </c>
      <c r="J76">
        <v>14</v>
      </c>
      <c r="K76">
        <v>16</v>
      </c>
      <c r="L76">
        <v>7</v>
      </c>
      <c r="M76">
        <v>23</v>
      </c>
      <c r="O76">
        <v>6</v>
      </c>
      <c r="P76">
        <v>6</v>
      </c>
      <c r="Q76">
        <v>2</v>
      </c>
      <c r="R76">
        <v>1</v>
      </c>
      <c r="S76">
        <v>3</v>
      </c>
      <c r="T76">
        <v>1</v>
      </c>
      <c r="U76">
        <v>3</v>
      </c>
      <c r="V76">
        <v>4</v>
      </c>
      <c r="W76">
        <v>3</v>
      </c>
      <c r="X76">
        <v>7</v>
      </c>
      <c r="Y76">
        <v>10</v>
      </c>
      <c r="AB76">
        <v>86</v>
      </c>
      <c r="AC76" t="str">
        <f t="shared" si="1"/>
        <v>Amino acid metabolism</v>
      </c>
      <c r="AG76" s="1" t="s">
        <v>116</v>
      </c>
      <c r="AH76" t="s">
        <v>138</v>
      </c>
    </row>
    <row r="77" spans="1:34" x14ac:dyDescent="0.45">
      <c r="A77" s="1" t="s">
        <v>53</v>
      </c>
      <c r="E77">
        <v>1</v>
      </c>
      <c r="F77">
        <v>20</v>
      </c>
      <c r="G77">
        <v>21</v>
      </c>
      <c r="H77">
        <v>3</v>
      </c>
      <c r="I77">
        <v>4</v>
      </c>
      <c r="J77">
        <v>7</v>
      </c>
      <c r="K77">
        <v>5</v>
      </c>
      <c r="L77">
        <v>4</v>
      </c>
      <c r="M77">
        <v>9</v>
      </c>
      <c r="O77">
        <v>3</v>
      </c>
      <c r="P77">
        <v>3</v>
      </c>
      <c r="Q77">
        <v>8</v>
      </c>
      <c r="R77">
        <v>2</v>
      </c>
      <c r="S77">
        <v>10</v>
      </c>
      <c r="W77">
        <v>1</v>
      </c>
      <c r="X77">
        <v>1</v>
      </c>
      <c r="Y77">
        <v>2</v>
      </c>
      <c r="AB77">
        <v>52</v>
      </c>
      <c r="AC77" t="str">
        <f t="shared" si="1"/>
        <v>Amino acid metabolism</v>
      </c>
      <c r="AG77" s="1" t="s">
        <v>80</v>
      </c>
      <c r="AH77" t="s">
        <v>140</v>
      </c>
    </row>
    <row r="78" spans="1:34" x14ac:dyDescent="0.45">
      <c r="A78" s="1" t="s">
        <v>30</v>
      </c>
      <c r="B78">
        <v>1</v>
      </c>
      <c r="C78">
        <v>1</v>
      </c>
      <c r="D78">
        <v>2</v>
      </c>
      <c r="F78">
        <v>42</v>
      </c>
      <c r="G78">
        <v>42</v>
      </c>
      <c r="I78">
        <v>17</v>
      </c>
      <c r="J78">
        <v>17</v>
      </c>
      <c r="K78">
        <v>12</v>
      </c>
      <c r="L78">
        <v>10</v>
      </c>
      <c r="M78">
        <v>22</v>
      </c>
      <c r="O78">
        <v>16</v>
      </c>
      <c r="P78">
        <v>16</v>
      </c>
      <c r="Q78">
        <v>6</v>
      </c>
      <c r="S78">
        <v>6</v>
      </c>
      <c r="T78">
        <v>4</v>
      </c>
      <c r="U78">
        <v>5</v>
      </c>
      <c r="V78">
        <v>9</v>
      </c>
      <c r="W78">
        <v>6</v>
      </c>
      <c r="X78">
        <v>1</v>
      </c>
      <c r="Y78">
        <v>7</v>
      </c>
      <c r="AB78">
        <v>121</v>
      </c>
      <c r="AC78" t="str">
        <f t="shared" si="1"/>
        <v>Phenylpropanoid biosynthesis</v>
      </c>
      <c r="AG78" s="1" t="s">
        <v>97</v>
      </c>
      <c r="AH78" t="s">
        <v>141</v>
      </c>
    </row>
    <row r="79" spans="1:34" x14ac:dyDescent="0.45">
      <c r="A79" s="1" t="s">
        <v>49</v>
      </c>
      <c r="B79">
        <v>1</v>
      </c>
      <c r="D79">
        <v>1</v>
      </c>
      <c r="F79">
        <v>18</v>
      </c>
      <c r="G79">
        <v>18</v>
      </c>
      <c r="H79">
        <v>2</v>
      </c>
      <c r="I79">
        <v>7</v>
      </c>
      <c r="J79">
        <v>9</v>
      </c>
      <c r="K79">
        <v>8</v>
      </c>
      <c r="L79">
        <v>7</v>
      </c>
      <c r="M79">
        <v>15</v>
      </c>
      <c r="O79">
        <v>6</v>
      </c>
      <c r="P79">
        <v>6</v>
      </c>
      <c r="Q79">
        <v>6</v>
      </c>
      <c r="S79">
        <v>6</v>
      </c>
      <c r="T79">
        <v>2</v>
      </c>
      <c r="V79">
        <v>2</v>
      </c>
      <c r="W79">
        <v>4</v>
      </c>
      <c r="X79">
        <v>2</v>
      </c>
      <c r="Y79">
        <v>6</v>
      </c>
      <c r="AB79">
        <v>63</v>
      </c>
      <c r="AC79" t="str">
        <f t="shared" si="1"/>
        <v>Phenylpropanoid metabolism</v>
      </c>
      <c r="AG79" s="1" t="s">
        <v>113</v>
      </c>
    </row>
    <row r="80" spans="1:34" x14ac:dyDescent="0.45">
      <c r="A80" s="1" t="s">
        <v>93</v>
      </c>
      <c r="F80">
        <v>1</v>
      </c>
      <c r="G80">
        <v>1</v>
      </c>
      <c r="H80">
        <v>2</v>
      </c>
      <c r="I80">
        <v>1</v>
      </c>
      <c r="J80">
        <v>3</v>
      </c>
      <c r="K80">
        <v>1</v>
      </c>
      <c r="L80">
        <v>2</v>
      </c>
      <c r="M80">
        <v>3</v>
      </c>
      <c r="O80">
        <v>1</v>
      </c>
      <c r="P80">
        <v>1</v>
      </c>
      <c r="W80">
        <v>1</v>
      </c>
      <c r="Y80">
        <v>1</v>
      </c>
      <c r="AB80">
        <v>9</v>
      </c>
      <c r="AC80" t="str">
        <f t="shared" si="1"/>
        <v>Signal transduction</v>
      </c>
      <c r="AG80" s="1" t="s">
        <v>64</v>
      </c>
      <c r="AH80" t="s">
        <v>129</v>
      </c>
    </row>
    <row r="81" spans="1:34" x14ac:dyDescent="0.45">
      <c r="A81" s="1" t="s">
        <v>116</v>
      </c>
      <c r="F81">
        <v>1</v>
      </c>
      <c r="G81">
        <v>1</v>
      </c>
      <c r="H81">
        <v>1</v>
      </c>
      <c r="J81">
        <v>1</v>
      </c>
      <c r="Q81">
        <v>1</v>
      </c>
      <c r="S81">
        <v>1</v>
      </c>
      <c r="T81">
        <v>1</v>
      </c>
      <c r="V81">
        <v>1</v>
      </c>
      <c r="AB81">
        <v>4</v>
      </c>
      <c r="AC81" t="str">
        <f t="shared" si="1"/>
        <v>Energy metabolism</v>
      </c>
      <c r="AG81" s="1" t="s">
        <v>37</v>
      </c>
      <c r="AH81" t="s">
        <v>37</v>
      </c>
    </row>
    <row r="82" spans="1:34" x14ac:dyDescent="0.45">
      <c r="A82" s="1" t="s">
        <v>80</v>
      </c>
      <c r="E82">
        <v>1</v>
      </c>
      <c r="F82">
        <v>6</v>
      </c>
      <c r="G82">
        <v>7</v>
      </c>
      <c r="I82">
        <v>3</v>
      </c>
      <c r="J82">
        <v>3</v>
      </c>
      <c r="K82">
        <v>6</v>
      </c>
      <c r="L82">
        <v>3</v>
      </c>
      <c r="M82">
        <v>9</v>
      </c>
      <c r="T82">
        <v>4</v>
      </c>
      <c r="V82">
        <v>4</v>
      </c>
      <c r="X82">
        <v>2</v>
      </c>
      <c r="Y82">
        <v>2</v>
      </c>
      <c r="AB82">
        <v>25</v>
      </c>
      <c r="AC82" t="str">
        <f t="shared" si="1"/>
        <v>Signal transduction</v>
      </c>
      <c r="AG82" s="1" t="s">
        <v>83</v>
      </c>
      <c r="AH82" t="s">
        <v>128</v>
      </c>
    </row>
    <row r="83" spans="1:34" x14ac:dyDescent="0.45">
      <c r="A83" s="1" t="s">
        <v>94</v>
      </c>
      <c r="F83">
        <v>2</v>
      </c>
      <c r="G83">
        <v>2</v>
      </c>
      <c r="I83">
        <v>1</v>
      </c>
      <c r="J83">
        <v>1</v>
      </c>
      <c r="K83">
        <v>2</v>
      </c>
      <c r="L83">
        <v>2</v>
      </c>
      <c r="M83">
        <v>4</v>
      </c>
      <c r="W83">
        <v>1</v>
      </c>
      <c r="Y83">
        <v>1</v>
      </c>
      <c r="AB83">
        <v>8</v>
      </c>
      <c r="AC83" t="str">
        <f t="shared" si="1"/>
        <v>Plant-pathogen interaction</v>
      </c>
      <c r="AG83" s="1" t="s">
        <v>7</v>
      </c>
      <c r="AH83" t="s">
        <v>142</v>
      </c>
    </row>
    <row r="84" spans="1:34" x14ac:dyDescent="0.45">
      <c r="A84" s="1" t="s">
        <v>97</v>
      </c>
      <c r="F84">
        <v>1</v>
      </c>
      <c r="G84">
        <v>1</v>
      </c>
      <c r="K84">
        <v>2</v>
      </c>
      <c r="M84">
        <v>2</v>
      </c>
      <c r="AB84">
        <v>3</v>
      </c>
      <c r="AC84" t="str">
        <f t="shared" si="1"/>
        <v>Biosynthesis of phenylpropanoids</v>
      </c>
      <c r="AG84" s="1" t="s">
        <v>10</v>
      </c>
      <c r="AH84" t="s">
        <v>142</v>
      </c>
    </row>
    <row r="85" spans="1:34" x14ac:dyDescent="0.45">
      <c r="A85" s="1" t="s">
        <v>113</v>
      </c>
      <c r="C85">
        <v>1</v>
      </c>
      <c r="D85">
        <v>1</v>
      </c>
      <c r="AB85">
        <v>1</v>
      </c>
      <c r="AC85">
        <f t="shared" si="1"/>
        <v>0</v>
      </c>
      <c r="AG85" s="1" t="s">
        <v>67</v>
      </c>
      <c r="AH85" t="s">
        <v>128</v>
      </c>
    </row>
    <row r="86" spans="1:34" x14ac:dyDescent="0.45">
      <c r="A86" s="1" t="s">
        <v>64</v>
      </c>
      <c r="C86">
        <v>1</v>
      </c>
      <c r="D86">
        <v>1</v>
      </c>
      <c r="E86">
        <v>1</v>
      </c>
      <c r="F86">
        <v>10</v>
      </c>
      <c r="G86">
        <v>11</v>
      </c>
      <c r="I86">
        <v>1</v>
      </c>
      <c r="J86">
        <v>1</v>
      </c>
      <c r="K86">
        <v>3</v>
      </c>
      <c r="L86">
        <v>2</v>
      </c>
      <c r="M86">
        <v>5</v>
      </c>
      <c r="N86">
        <v>2</v>
      </c>
      <c r="O86">
        <v>2</v>
      </c>
      <c r="P86">
        <v>4</v>
      </c>
      <c r="T86">
        <v>1</v>
      </c>
      <c r="V86">
        <v>1</v>
      </c>
      <c r="W86">
        <v>1</v>
      </c>
      <c r="X86">
        <v>1</v>
      </c>
      <c r="Y86">
        <v>2</v>
      </c>
      <c r="AB86">
        <v>25</v>
      </c>
      <c r="AC86" t="str">
        <f t="shared" si="1"/>
        <v>Metabolism of cofactors and vitamins</v>
      </c>
      <c r="AG86" s="1" t="s">
        <v>24</v>
      </c>
      <c r="AH86" t="s">
        <v>143</v>
      </c>
    </row>
    <row r="87" spans="1:34" x14ac:dyDescent="0.45">
      <c r="A87" s="1" t="s">
        <v>37</v>
      </c>
      <c r="B87">
        <v>1</v>
      </c>
      <c r="C87">
        <v>4</v>
      </c>
      <c r="D87">
        <v>5</v>
      </c>
      <c r="F87">
        <v>18</v>
      </c>
      <c r="G87">
        <v>18</v>
      </c>
      <c r="H87">
        <v>1</v>
      </c>
      <c r="I87">
        <v>14</v>
      </c>
      <c r="J87">
        <v>15</v>
      </c>
      <c r="K87">
        <v>8</v>
      </c>
      <c r="L87">
        <v>10</v>
      </c>
      <c r="M87">
        <v>18</v>
      </c>
      <c r="O87">
        <v>13</v>
      </c>
      <c r="P87">
        <v>13</v>
      </c>
      <c r="Q87">
        <v>3</v>
      </c>
      <c r="S87">
        <v>3</v>
      </c>
      <c r="U87">
        <v>3</v>
      </c>
      <c r="V87">
        <v>3</v>
      </c>
      <c r="W87">
        <v>1</v>
      </c>
      <c r="X87">
        <v>1</v>
      </c>
      <c r="Y87">
        <v>2</v>
      </c>
      <c r="AB87">
        <v>77</v>
      </c>
      <c r="AC87" t="str">
        <f t="shared" si="1"/>
        <v>Primary metabolism</v>
      </c>
      <c r="AG87" s="1" t="s">
        <v>65</v>
      </c>
      <c r="AH87" t="s">
        <v>65</v>
      </c>
    </row>
    <row r="88" spans="1:34" x14ac:dyDescent="0.45">
      <c r="A88" s="1" t="s">
        <v>83</v>
      </c>
      <c r="C88">
        <v>1</v>
      </c>
      <c r="D88">
        <v>1</v>
      </c>
      <c r="F88">
        <v>7</v>
      </c>
      <c r="G88">
        <v>7</v>
      </c>
      <c r="I88">
        <v>4</v>
      </c>
      <c r="J88">
        <v>4</v>
      </c>
      <c r="K88">
        <v>2</v>
      </c>
      <c r="L88">
        <v>4</v>
      </c>
      <c r="M88">
        <v>6</v>
      </c>
      <c r="O88">
        <v>2</v>
      </c>
      <c r="P88">
        <v>2</v>
      </c>
      <c r="U88">
        <v>2</v>
      </c>
      <c r="V88">
        <v>2</v>
      </c>
      <c r="X88">
        <v>2</v>
      </c>
      <c r="Y88">
        <v>2</v>
      </c>
      <c r="AB88">
        <v>24</v>
      </c>
      <c r="AC88" t="str">
        <f t="shared" si="1"/>
        <v>Carbohydrate metabolism</v>
      </c>
      <c r="AG88" s="1" t="s">
        <v>72</v>
      </c>
      <c r="AH88" t="s">
        <v>130</v>
      </c>
    </row>
    <row r="89" spans="1:34" x14ac:dyDescent="0.45">
      <c r="A89" s="1" t="s">
        <v>7</v>
      </c>
      <c r="C89">
        <v>4</v>
      </c>
      <c r="D89">
        <v>4</v>
      </c>
      <c r="E89">
        <v>1</v>
      </c>
      <c r="F89">
        <v>24</v>
      </c>
      <c r="G89">
        <v>25</v>
      </c>
      <c r="I89">
        <v>14</v>
      </c>
      <c r="J89">
        <v>14</v>
      </c>
      <c r="K89">
        <v>5</v>
      </c>
      <c r="L89">
        <v>9</v>
      </c>
      <c r="M89">
        <v>14</v>
      </c>
      <c r="N89">
        <v>1</v>
      </c>
      <c r="O89">
        <v>14</v>
      </c>
      <c r="P89">
        <v>15</v>
      </c>
      <c r="Q89">
        <v>5</v>
      </c>
      <c r="R89">
        <v>2</v>
      </c>
      <c r="S89">
        <v>7</v>
      </c>
      <c r="U89">
        <v>2</v>
      </c>
      <c r="V89">
        <v>2</v>
      </c>
      <c r="W89">
        <v>7</v>
      </c>
      <c r="X89">
        <v>3</v>
      </c>
      <c r="Y89">
        <v>10</v>
      </c>
      <c r="AB89">
        <v>91</v>
      </c>
      <c r="AC89" t="str">
        <f t="shared" si="1"/>
        <v>Nucleotide metabolism</v>
      </c>
      <c r="AG89" s="1" t="s">
        <v>20</v>
      </c>
      <c r="AH89" t="s">
        <v>128</v>
      </c>
    </row>
    <row r="90" spans="1:34" x14ac:dyDescent="0.45">
      <c r="A90" s="1" t="s">
        <v>102</v>
      </c>
      <c r="H90">
        <v>3</v>
      </c>
      <c r="J90">
        <v>3</v>
      </c>
      <c r="K90">
        <v>2</v>
      </c>
      <c r="M90">
        <v>2</v>
      </c>
      <c r="T90">
        <v>4</v>
      </c>
      <c r="V90">
        <v>4</v>
      </c>
      <c r="AB90">
        <v>9</v>
      </c>
      <c r="AC90" t="str">
        <f t="shared" si="1"/>
        <v>Lignans</v>
      </c>
      <c r="AG90" s="1" t="s">
        <v>117</v>
      </c>
      <c r="AH90" t="s">
        <v>124</v>
      </c>
    </row>
    <row r="91" spans="1:34" x14ac:dyDescent="0.45">
      <c r="A91" s="1" t="s">
        <v>10</v>
      </c>
      <c r="C91">
        <v>3</v>
      </c>
      <c r="D91">
        <v>3</v>
      </c>
      <c r="E91">
        <v>1</v>
      </c>
      <c r="F91">
        <v>19</v>
      </c>
      <c r="G91">
        <v>20</v>
      </c>
      <c r="I91">
        <v>7</v>
      </c>
      <c r="J91">
        <v>7</v>
      </c>
      <c r="K91">
        <v>4</v>
      </c>
      <c r="L91">
        <v>7</v>
      </c>
      <c r="M91">
        <v>11</v>
      </c>
      <c r="N91">
        <v>2</v>
      </c>
      <c r="O91">
        <v>6</v>
      </c>
      <c r="P91">
        <v>8</v>
      </c>
      <c r="Q91">
        <v>1</v>
      </c>
      <c r="R91">
        <v>1</v>
      </c>
      <c r="S91">
        <v>2</v>
      </c>
      <c r="U91">
        <v>3</v>
      </c>
      <c r="V91">
        <v>3</v>
      </c>
      <c r="W91">
        <v>3</v>
      </c>
      <c r="X91">
        <v>5</v>
      </c>
      <c r="Y91">
        <v>8</v>
      </c>
      <c r="AB91">
        <v>62</v>
      </c>
      <c r="AC91" t="str">
        <f t="shared" si="1"/>
        <v>Nucleotide metabolism</v>
      </c>
      <c r="AG91" s="1" t="s">
        <v>84</v>
      </c>
      <c r="AH91" t="s">
        <v>144</v>
      </c>
    </row>
    <row r="92" spans="1:34" x14ac:dyDescent="0.45">
      <c r="A92" s="1" t="s">
        <v>67</v>
      </c>
      <c r="E92">
        <v>1</v>
      </c>
      <c r="F92">
        <v>9</v>
      </c>
      <c r="G92">
        <v>10</v>
      </c>
      <c r="I92">
        <v>6</v>
      </c>
      <c r="J92">
        <v>6</v>
      </c>
      <c r="K92">
        <v>4</v>
      </c>
      <c r="L92">
        <v>3</v>
      </c>
      <c r="M92">
        <v>7</v>
      </c>
      <c r="O92">
        <v>3</v>
      </c>
      <c r="P92">
        <v>3</v>
      </c>
      <c r="Q92">
        <v>1</v>
      </c>
      <c r="R92">
        <v>1</v>
      </c>
      <c r="S92">
        <v>2</v>
      </c>
      <c r="U92">
        <v>4</v>
      </c>
      <c r="V92">
        <v>4</v>
      </c>
      <c r="X92">
        <v>1</v>
      </c>
      <c r="Y92">
        <v>1</v>
      </c>
      <c r="AB92">
        <v>33</v>
      </c>
      <c r="AC92" t="str">
        <f t="shared" si="1"/>
        <v>Carbohydrate metabolism</v>
      </c>
      <c r="AG92" s="1" t="s">
        <v>73</v>
      </c>
      <c r="AH92" t="s">
        <v>138</v>
      </c>
    </row>
    <row r="93" spans="1:34" x14ac:dyDescent="0.45">
      <c r="A93" s="1" t="s">
        <v>118</v>
      </c>
      <c r="I93">
        <v>1</v>
      </c>
      <c r="J93">
        <v>1</v>
      </c>
      <c r="AB93">
        <v>1</v>
      </c>
      <c r="AC93">
        <f t="shared" si="1"/>
        <v>0</v>
      </c>
      <c r="AG93" s="1" t="s">
        <v>110</v>
      </c>
      <c r="AH93" t="s">
        <v>138</v>
      </c>
    </row>
    <row r="94" spans="1:34" x14ac:dyDescent="0.45">
      <c r="A94" s="1" t="s">
        <v>24</v>
      </c>
      <c r="B94">
        <v>2</v>
      </c>
      <c r="C94">
        <v>1</v>
      </c>
      <c r="D94">
        <v>3</v>
      </c>
      <c r="F94">
        <v>4</v>
      </c>
      <c r="G94">
        <v>4</v>
      </c>
      <c r="H94">
        <v>1</v>
      </c>
      <c r="I94">
        <v>3</v>
      </c>
      <c r="J94">
        <v>4</v>
      </c>
      <c r="K94">
        <v>2</v>
      </c>
      <c r="L94">
        <v>2</v>
      </c>
      <c r="M94">
        <v>4</v>
      </c>
      <c r="O94">
        <v>5</v>
      </c>
      <c r="P94">
        <v>5</v>
      </c>
      <c r="Q94">
        <v>2</v>
      </c>
      <c r="S94">
        <v>2</v>
      </c>
      <c r="U94">
        <v>1</v>
      </c>
      <c r="V94">
        <v>1</v>
      </c>
      <c r="X94">
        <v>1</v>
      </c>
      <c r="Y94">
        <v>1</v>
      </c>
      <c r="AB94">
        <v>24</v>
      </c>
      <c r="AC94" t="str">
        <f t="shared" si="1"/>
        <v>Metabolism of cofactors and vitamin</v>
      </c>
      <c r="AG94" s="1" t="s">
        <v>45</v>
      </c>
      <c r="AH94" t="s">
        <v>121</v>
      </c>
    </row>
    <row r="95" spans="1:34" x14ac:dyDescent="0.45">
      <c r="A95" s="1" t="s">
        <v>108</v>
      </c>
      <c r="U95">
        <v>1</v>
      </c>
      <c r="V95">
        <v>1</v>
      </c>
      <c r="X95">
        <v>1</v>
      </c>
      <c r="Y95">
        <v>1</v>
      </c>
      <c r="AB95">
        <v>2</v>
      </c>
      <c r="AC95">
        <f t="shared" si="1"/>
        <v>0</v>
      </c>
      <c r="AG95" s="1" t="s">
        <v>70</v>
      </c>
      <c r="AH95" t="s">
        <v>130</v>
      </c>
    </row>
    <row r="96" spans="1:34" x14ac:dyDescent="0.45">
      <c r="A96" s="1" t="s">
        <v>65</v>
      </c>
      <c r="F96">
        <v>10</v>
      </c>
      <c r="G96">
        <v>10</v>
      </c>
      <c r="H96">
        <v>2</v>
      </c>
      <c r="I96">
        <v>2</v>
      </c>
      <c r="J96">
        <v>4</v>
      </c>
      <c r="K96">
        <v>4</v>
      </c>
      <c r="L96">
        <v>1</v>
      </c>
      <c r="M96">
        <v>5</v>
      </c>
      <c r="N96">
        <v>1</v>
      </c>
      <c r="O96">
        <v>1</v>
      </c>
      <c r="P96">
        <v>2</v>
      </c>
      <c r="Q96">
        <v>5</v>
      </c>
      <c r="S96">
        <v>5</v>
      </c>
      <c r="U96">
        <v>3</v>
      </c>
      <c r="V96">
        <v>3</v>
      </c>
      <c r="W96">
        <v>3</v>
      </c>
      <c r="X96">
        <v>6</v>
      </c>
      <c r="Y96">
        <v>9</v>
      </c>
      <c r="AB96">
        <v>38</v>
      </c>
      <c r="AC96" t="str">
        <f t="shared" si="1"/>
        <v>Secondary metabolism</v>
      </c>
      <c r="AG96" s="1" t="s">
        <v>89</v>
      </c>
      <c r="AH96" t="s">
        <v>129</v>
      </c>
    </row>
    <row r="97" spans="1:34" x14ac:dyDescent="0.45">
      <c r="A97" s="1" t="s">
        <v>87</v>
      </c>
      <c r="C97">
        <v>1</v>
      </c>
      <c r="D97">
        <v>1</v>
      </c>
      <c r="F97">
        <v>1</v>
      </c>
      <c r="G97">
        <v>1</v>
      </c>
      <c r="X97">
        <v>1</v>
      </c>
      <c r="Y97">
        <v>1</v>
      </c>
      <c r="AB97">
        <v>3</v>
      </c>
      <c r="AC97" t="str">
        <f t="shared" si="1"/>
        <v>Amino acid metabolism</v>
      </c>
      <c r="AG97" s="1" t="s">
        <v>55</v>
      </c>
      <c r="AH97" t="s">
        <v>123</v>
      </c>
    </row>
    <row r="98" spans="1:34" x14ac:dyDescent="0.45">
      <c r="A98" s="1" t="s">
        <v>72</v>
      </c>
      <c r="F98">
        <v>7</v>
      </c>
      <c r="G98">
        <v>7</v>
      </c>
      <c r="I98">
        <v>1</v>
      </c>
      <c r="J98">
        <v>1</v>
      </c>
      <c r="K98">
        <v>3</v>
      </c>
      <c r="M98">
        <v>3</v>
      </c>
      <c r="O98">
        <v>3</v>
      </c>
      <c r="P98">
        <v>3</v>
      </c>
      <c r="Q98">
        <v>3</v>
      </c>
      <c r="S98">
        <v>3</v>
      </c>
      <c r="T98">
        <v>1</v>
      </c>
      <c r="U98">
        <v>1</v>
      </c>
      <c r="V98">
        <v>2</v>
      </c>
      <c r="X98">
        <v>2</v>
      </c>
      <c r="Y98">
        <v>2</v>
      </c>
      <c r="AB98">
        <v>21</v>
      </c>
      <c r="AC98" t="str">
        <f t="shared" si="1"/>
        <v>Metabolism of terpenoids and polyketides</v>
      </c>
      <c r="AG98" s="1" t="s">
        <v>19</v>
      </c>
      <c r="AH98" t="s">
        <v>121</v>
      </c>
    </row>
    <row r="99" spans="1:34" x14ac:dyDescent="0.45">
      <c r="A99" s="1" t="s">
        <v>115</v>
      </c>
      <c r="F99">
        <v>6</v>
      </c>
      <c r="G99">
        <v>6</v>
      </c>
      <c r="K99">
        <v>3</v>
      </c>
      <c r="M99">
        <v>3</v>
      </c>
      <c r="AB99">
        <v>9</v>
      </c>
      <c r="AC99" t="str">
        <f t="shared" si="1"/>
        <v>Lipid metabolism</v>
      </c>
      <c r="AG99" s="1" t="s">
        <v>17</v>
      </c>
      <c r="AH99" t="s">
        <v>121</v>
      </c>
    </row>
    <row r="100" spans="1:34" x14ac:dyDescent="0.45">
      <c r="A100" s="1" t="s">
        <v>20</v>
      </c>
      <c r="C100">
        <v>1</v>
      </c>
      <c r="D100">
        <v>1</v>
      </c>
      <c r="F100">
        <v>7</v>
      </c>
      <c r="G100">
        <v>7</v>
      </c>
      <c r="H100">
        <v>2</v>
      </c>
      <c r="I100">
        <v>1</v>
      </c>
      <c r="J100">
        <v>3</v>
      </c>
      <c r="K100">
        <v>3</v>
      </c>
      <c r="L100">
        <v>3</v>
      </c>
      <c r="M100">
        <v>6</v>
      </c>
      <c r="N100">
        <v>2</v>
      </c>
      <c r="O100">
        <v>2</v>
      </c>
      <c r="P100">
        <v>4</v>
      </c>
      <c r="Q100">
        <v>2</v>
      </c>
      <c r="S100">
        <v>2</v>
      </c>
      <c r="W100">
        <v>1</v>
      </c>
      <c r="X100">
        <v>2</v>
      </c>
      <c r="Y100">
        <v>3</v>
      </c>
      <c r="AB100">
        <v>26</v>
      </c>
      <c r="AC100" t="str">
        <f t="shared" si="1"/>
        <v>Carbohydrate metabolism</v>
      </c>
      <c r="AG100" s="1" t="s">
        <v>62</v>
      </c>
      <c r="AH100" t="s">
        <v>129</v>
      </c>
    </row>
    <row r="101" spans="1:34" x14ac:dyDescent="0.45">
      <c r="A101" s="1" t="s">
        <v>117</v>
      </c>
      <c r="E101">
        <v>1</v>
      </c>
      <c r="G101">
        <v>1</v>
      </c>
      <c r="K101">
        <v>1</v>
      </c>
      <c r="M101">
        <v>1</v>
      </c>
      <c r="X101">
        <v>1</v>
      </c>
      <c r="Y101">
        <v>1</v>
      </c>
      <c r="AB101">
        <v>3</v>
      </c>
      <c r="AC101" t="str">
        <f t="shared" si="1"/>
        <v>Lipid metabolism</v>
      </c>
      <c r="AG101" s="1" t="s">
        <v>82</v>
      </c>
      <c r="AH101" t="s">
        <v>121</v>
      </c>
    </row>
    <row r="102" spans="1:34" x14ac:dyDescent="0.45">
      <c r="A102" s="1" t="s">
        <v>84</v>
      </c>
      <c r="F102">
        <v>17</v>
      </c>
      <c r="G102">
        <v>17</v>
      </c>
      <c r="I102">
        <v>2</v>
      </c>
      <c r="J102">
        <v>2</v>
      </c>
      <c r="L102">
        <v>5</v>
      </c>
      <c r="M102">
        <v>5</v>
      </c>
      <c r="O102">
        <v>3</v>
      </c>
      <c r="P102">
        <v>3</v>
      </c>
      <c r="Q102">
        <v>5</v>
      </c>
      <c r="S102">
        <v>5</v>
      </c>
      <c r="T102">
        <v>4</v>
      </c>
      <c r="U102">
        <v>2</v>
      </c>
      <c r="V102">
        <v>6</v>
      </c>
      <c r="W102">
        <v>1</v>
      </c>
      <c r="Y102">
        <v>1</v>
      </c>
      <c r="AB102">
        <v>39</v>
      </c>
      <c r="AC102" t="str">
        <f t="shared" si="1"/>
        <v>Stilbenoid; diarylheptanoid and gingerol biosynthesis</v>
      </c>
      <c r="AG102" s="1" t="s">
        <v>99</v>
      </c>
      <c r="AH102" t="s">
        <v>121</v>
      </c>
    </row>
    <row r="103" spans="1:34" x14ac:dyDescent="0.45">
      <c r="A103" s="1" t="s">
        <v>73</v>
      </c>
      <c r="C103">
        <v>1</v>
      </c>
      <c r="D103">
        <v>1</v>
      </c>
      <c r="F103">
        <v>8</v>
      </c>
      <c r="G103">
        <v>8</v>
      </c>
      <c r="I103">
        <v>2</v>
      </c>
      <c r="J103">
        <v>2</v>
      </c>
      <c r="K103">
        <v>1</v>
      </c>
      <c r="M103">
        <v>1</v>
      </c>
      <c r="W103">
        <v>3</v>
      </c>
      <c r="X103">
        <v>2</v>
      </c>
      <c r="Y103">
        <v>5</v>
      </c>
      <c r="AB103">
        <v>17</v>
      </c>
      <c r="AC103" t="str">
        <f t="shared" si="1"/>
        <v>Energy metabolism</v>
      </c>
      <c r="AG103" s="1" t="s">
        <v>25</v>
      </c>
      <c r="AH103" t="s">
        <v>129</v>
      </c>
    </row>
    <row r="104" spans="1:34" x14ac:dyDescent="0.45">
      <c r="A104" s="1" t="s">
        <v>110</v>
      </c>
      <c r="C104">
        <v>1</v>
      </c>
      <c r="D104">
        <v>1</v>
      </c>
      <c r="X104">
        <v>1</v>
      </c>
      <c r="Y104">
        <v>1</v>
      </c>
      <c r="AB104">
        <v>2</v>
      </c>
      <c r="AC104" t="str">
        <f t="shared" si="1"/>
        <v>Energy metabolism</v>
      </c>
      <c r="AG104" s="1" t="s">
        <v>13</v>
      </c>
      <c r="AH104" t="s">
        <v>134</v>
      </c>
    </row>
    <row r="105" spans="1:34" x14ac:dyDescent="0.45">
      <c r="A105" s="1" t="s">
        <v>106</v>
      </c>
      <c r="O105">
        <v>1</v>
      </c>
      <c r="P105">
        <v>1</v>
      </c>
      <c r="AB105">
        <v>1</v>
      </c>
      <c r="AC105">
        <f t="shared" si="1"/>
        <v>0</v>
      </c>
      <c r="AG105" s="2" t="s">
        <v>29</v>
      </c>
      <c r="AH105" t="s">
        <v>138</v>
      </c>
    </row>
    <row r="106" spans="1:34" x14ac:dyDescent="0.45">
      <c r="A106" s="1" t="s">
        <v>45</v>
      </c>
      <c r="B106">
        <v>1</v>
      </c>
      <c r="C106">
        <v>1</v>
      </c>
      <c r="D106">
        <v>2</v>
      </c>
      <c r="F106">
        <v>8</v>
      </c>
      <c r="G106">
        <v>8</v>
      </c>
      <c r="I106">
        <v>6</v>
      </c>
      <c r="J106">
        <v>6</v>
      </c>
      <c r="K106">
        <v>6</v>
      </c>
      <c r="L106">
        <v>3</v>
      </c>
      <c r="M106">
        <v>9</v>
      </c>
      <c r="O106">
        <v>1</v>
      </c>
      <c r="P106">
        <v>1</v>
      </c>
      <c r="U106">
        <v>2</v>
      </c>
      <c r="V106">
        <v>2</v>
      </c>
      <c r="W106">
        <v>2</v>
      </c>
      <c r="X106">
        <v>2</v>
      </c>
      <c r="Y106">
        <v>4</v>
      </c>
      <c r="AB106">
        <v>32</v>
      </c>
      <c r="AC106" t="str">
        <f t="shared" si="1"/>
        <v>Amino acid metabolism</v>
      </c>
      <c r="AG106" t="s">
        <v>85</v>
      </c>
      <c r="AH106" t="s">
        <v>124</v>
      </c>
    </row>
    <row r="107" spans="1:34" x14ac:dyDescent="0.45">
      <c r="A107" s="1" t="s">
        <v>70</v>
      </c>
      <c r="F107">
        <v>10</v>
      </c>
      <c r="G107">
        <v>10</v>
      </c>
      <c r="I107">
        <v>4</v>
      </c>
      <c r="J107">
        <v>4</v>
      </c>
      <c r="K107">
        <v>3</v>
      </c>
      <c r="L107">
        <v>3</v>
      </c>
      <c r="M107">
        <v>6</v>
      </c>
      <c r="O107">
        <v>5</v>
      </c>
      <c r="P107">
        <v>5</v>
      </c>
      <c r="Q107">
        <v>1</v>
      </c>
      <c r="S107">
        <v>1</v>
      </c>
      <c r="U107">
        <v>2</v>
      </c>
      <c r="V107">
        <v>2</v>
      </c>
      <c r="X107">
        <v>2</v>
      </c>
      <c r="Y107">
        <v>2</v>
      </c>
      <c r="AB107">
        <v>30</v>
      </c>
      <c r="AC107" t="str">
        <f t="shared" si="1"/>
        <v>Metabolism of terpenoids and polyketides</v>
      </c>
      <c r="AG107" t="s">
        <v>87</v>
      </c>
      <c r="AH107" t="s">
        <v>121</v>
      </c>
    </row>
    <row r="108" spans="1:34" x14ac:dyDescent="0.45">
      <c r="A108" s="1" t="s">
        <v>89</v>
      </c>
      <c r="F108">
        <v>6</v>
      </c>
      <c r="G108">
        <v>6</v>
      </c>
      <c r="I108">
        <v>6</v>
      </c>
      <c r="J108">
        <v>6</v>
      </c>
      <c r="K108">
        <v>1</v>
      </c>
      <c r="L108">
        <v>2</v>
      </c>
      <c r="M108">
        <v>3</v>
      </c>
      <c r="O108">
        <v>2</v>
      </c>
      <c r="P108">
        <v>2</v>
      </c>
      <c r="Q108">
        <v>1</v>
      </c>
      <c r="S108">
        <v>1</v>
      </c>
      <c r="U108">
        <v>3</v>
      </c>
      <c r="V108">
        <v>3</v>
      </c>
      <c r="AB108">
        <v>21</v>
      </c>
      <c r="AC108" t="str">
        <f t="shared" si="1"/>
        <v>Metabolism of cofactors and vitamins</v>
      </c>
      <c r="AG108" t="s">
        <v>92</v>
      </c>
      <c r="AH108" t="s">
        <v>146</v>
      </c>
    </row>
    <row r="109" spans="1:34" x14ac:dyDescent="0.45">
      <c r="A109" s="1" t="s">
        <v>55</v>
      </c>
      <c r="B109">
        <v>1</v>
      </c>
      <c r="C109">
        <v>2</v>
      </c>
      <c r="D109">
        <v>3</v>
      </c>
      <c r="F109">
        <v>15</v>
      </c>
      <c r="G109">
        <v>15</v>
      </c>
      <c r="H109">
        <v>1</v>
      </c>
      <c r="I109">
        <v>9</v>
      </c>
      <c r="J109">
        <v>10</v>
      </c>
      <c r="K109">
        <v>8</v>
      </c>
      <c r="L109">
        <v>4</v>
      </c>
      <c r="M109">
        <v>12</v>
      </c>
      <c r="N109">
        <v>1</v>
      </c>
      <c r="O109">
        <v>2</v>
      </c>
      <c r="P109">
        <v>3</v>
      </c>
      <c r="Q109">
        <v>2</v>
      </c>
      <c r="R109">
        <v>1</v>
      </c>
      <c r="S109">
        <v>3</v>
      </c>
      <c r="T109">
        <v>1</v>
      </c>
      <c r="U109">
        <v>1</v>
      </c>
      <c r="V109">
        <v>2</v>
      </c>
      <c r="W109">
        <v>3</v>
      </c>
      <c r="X109">
        <v>1</v>
      </c>
      <c r="Y109">
        <v>4</v>
      </c>
      <c r="AB109">
        <v>52</v>
      </c>
      <c r="AC109" t="str">
        <f>_xlfn.XLOOKUP(A109,$AG$6:$AG$200,$AH$6:$AH$200)</f>
        <v>Alkaloid metabolism</v>
      </c>
      <c r="AG109" t="s">
        <v>94</v>
      </c>
      <c r="AH109" t="s">
        <v>147</v>
      </c>
    </row>
    <row r="110" spans="1:34" x14ac:dyDescent="0.45">
      <c r="A110" s="1" t="s">
        <v>19</v>
      </c>
      <c r="C110">
        <v>4</v>
      </c>
      <c r="D110">
        <v>4</v>
      </c>
      <c r="E110">
        <v>1</v>
      </c>
      <c r="F110">
        <v>22</v>
      </c>
      <c r="G110">
        <v>23</v>
      </c>
      <c r="H110">
        <v>1</v>
      </c>
      <c r="I110">
        <v>11</v>
      </c>
      <c r="J110">
        <v>12</v>
      </c>
      <c r="K110">
        <v>4</v>
      </c>
      <c r="L110">
        <v>3</v>
      </c>
      <c r="M110">
        <v>7</v>
      </c>
      <c r="O110">
        <v>10</v>
      </c>
      <c r="P110">
        <v>10</v>
      </c>
      <c r="Q110">
        <v>6</v>
      </c>
      <c r="R110">
        <v>1</v>
      </c>
      <c r="S110">
        <v>7</v>
      </c>
      <c r="U110">
        <v>2</v>
      </c>
      <c r="V110">
        <v>2</v>
      </c>
      <c r="W110">
        <v>3</v>
      </c>
      <c r="X110">
        <v>8</v>
      </c>
      <c r="Y110">
        <v>11</v>
      </c>
      <c r="AB110">
        <v>76</v>
      </c>
      <c r="AC110" t="str">
        <f t="shared" ref="AC110:AC117" si="2">_xlfn.XLOOKUP(A110,$AG$6:$AG$200,$AH$6:$AH$200)</f>
        <v>Amino acid metabolism</v>
      </c>
      <c r="AG110" t="s">
        <v>96</v>
      </c>
      <c r="AH110" t="s">
        <v>96</v>
      </c>
    </row>
    <row r="111" spans="1:34" x14ac:dyDescent="0.45">
      <c r="A111" s="1" t="s">
        <v>17</v>
      </c>
      <c r="C111">
        <v>3</v>
      </c>
      <c r="D111">
        <v>3</v>
      </c>
      <c r="E111">
        <v>1</v>
      </c>
      <c r="F111">
        <v>14</v>
      </c>
      <c r="G111">
        <v>15</v>
      </c>
      <c r="H111">
        <v>3</v>
      </c>
      <c r="I111">
        <v>7</v>
      </c>
      <c r="J111">
        <v>10</v>
      </c>
      <c r="K111">
        <v>6</v>
      </c>
      <c r="L111">
        <v>6</v>
      </c>
      <c r="M111">
        <v>12</v>
      </c>
      <c r="O111">
        <v>10</v>
      </c>
      <c r="P111">
        <v>10</v>
      </c>
      <c r="Q111">
        <v>2</v>
      </c>
      <c r="R111">
        <v>1</v>
      </c>
      <c r="S111">
        <v>3</v>
      </c>
      <c r="U111">
        <v>5</v>
      </c>
      <c r="V111">
        <v>5</v>
      </c>
      <c r="W111">
        <v>2</v>
      </c>
      <c r="X111">
        <v>5</v>
      </c>
      <c r="Y111">
        <v>7</v>
      </c>
      <c r="AB111">
        <v>65</v>
      </c>
      <c r="AC111" t="str">
        <f t="shared" si="2"/>
        <v>Amino acid metabolism</v>
      </c>
      <c r="AG111" t="s">
        <v>102</v>
      </c>
      <c r="AH111" t="s">
        <v>36</v>
      </c>
    </row>
    <row r="112" spans="1:34" x14ac:dyDescent="0.45">
      <c r="A112" s="1" t="s">
        <v>62</v>
      </c>
      <c r="E112">
        <v>2</v>
      </c>
      <c r="F112">
        <v>13</v>
      </c>
      <c r="G112">
        <v>15</v>
      </c>
      <c r="H112">
        <v>2</v>
      </c>
      <c r="I112">
        <v>4</v>
      </c>
      <c r="J112">
        <v>6</v>
      </c>
      <c r="K112">
        <v>5</v>
      </c>
      <c r="L112">
        <v>4</v>
      </c>
      <c r="M112">
        <v>9</v>
      </c>
      <c r="N112">
        <v>2</v>
      </c>
      <c r="O112">
        <v>3</v>
      </c>
      <c r="P112">
        <v>5</v>
      </c>
      <c r="Q112">
        <v>3</v>
      </c>
      <c r="S112">
        <v>3</v>
      </c>
      <c r="T112">
        <v>1</v>
      </c>
      <c r="V112">
        <v>1</v>
      </c>
      <c r="W112">
        <v>1</v>
      </c>
      <c r="X112">
        <v>4</v>
      </c>
      <c r="Y112">
        <v>5</v>
      </c>
      <c r="AB112">
        <v>44</v>
      </c>
      <c r="AC112" t="str">
        <f t="shared" si="2"/>
        <v>Metabolism of cofactors and vitamins</v>
      </c>
      <c r="AG112" t="s">
        <v>104</v>
      </c>
      <c r="AH112" t="s">
        <v>104</v>
      </c>
    </row>
    <row r="113" spans="1:34" x14ac:dyDescent="0.45">
      <c r="A113" s="1" t="s">
        <v>82</v>
      </c>
      <c r="B113">
        <v>1</v>
      </c>
      <c r="C113">
        <v>1</v>
      </c>
      <c r="D113">
        <v>2</v>
      </c>
      <c r="E113">
        <v>1</v>
      </c>
      <c r="F113">
        <v>10</v>
      </c>
      <c r="G113">
        <v>11</v>
      </c>
      <c r="H113">
        <v>2</v>
      </c>
      <c r="I113">
        <v>10</v>
      </c>
      <c r="J113">
        <v>12</v>
      </c>
      <c r="K113">
        <v>5</v>
      </c>
      <c r="L113">
        <v>3</v>
      </c>
      <c r="M113">
        <v>8</v>
      </c>
      <c r="O113">
        <v>3</v>
      </c>
      <c r="P113">
        <v>3</v>
      </c>
      <c r="Q113">
        <v>1</v>
      </c>
      <c r="R113">
        <v>1</v>
      </c>
      <c r="S113">
        <v>2</v>
      </c>
      <c r="U113">
        <v>9</v>
      </c>
      <c r="V113">
        <v>9</v>
      </c>
      <c r="X113">
        <v>7</v>
      </c>
      <c r="Y113">
        <v>7</v>
      </c>
      <c r="AB113">
        <v>54</v>
      </c>
      <c r="AC113" t="str">
        <f t="shared" si="2"/>
        <v>Amino acid metabolism</v>
      </c>
      <c r="AG113" t="s">
        <v>106</v>
      </c>
    </row>
    <row r="114" spans="1:34" x14ac:dyDescent="0.45">
      <c r="A114" s="1" t="s">
        <v>99</v>
      </c>
      <c r="B114">
        <v>1</v>
      </c>
      <c r="D114">
        <v>1</v>
      </c>
      <c r="F114">
        <v>1</v>
      </c>
      <c r="G114">
        <v>1</v>
      </c>
      <c r="H114">
        <v>1</v>
      </c>
      <c r="I114">
        <v>5</v>
      </c>
      <c r="J114">
        <v>6</v>
      </c>
      <c r="K114">
        <v>2</v>
      </c>
      <c r="L114">
        <v>1</v>
      </c>
      <c r="M114">
        <v>3</v>
      </c>
      <c r="O114">
        <v>1</v>
      </c>
      <c r="P114">
        <v>1</v>
      </c>
      <c r="T114">
        <v>1</v>
      </c>
      <c r="U114">
        <v>3</v>
      </c>
      <c r="V114">
        <v>4</v>
      </c>
      <c r="X114">
        <v>3</v>
      </c>
      <c r="Y114">
        <v>3</v>
      </c>
      <c r="AB114">
        <v>19</v>
      </c>
      <c r="AC114" t="str">
        <f t="shared" si="2"/>
        <v>Amino acid metabolism</v>
      </c>
      <c r="AG114" t="s">
        <v>107</v>
      </c>
      <c r="AH114" t="s">
        <v>129</v>
      </c>
    </row>
    <row r="115" spans="1:34" x14ac:dyDescent="0.45">
      <c r="A115" s="1" t="s">
        <v>25</v>
      </c>
      <c r="B115">
        <v>1</v>
      </c>
      <c r="C115">
        <v>2</v>
      </c>
      <c r="D115">
        <v>3</v>
      </c>
      <c r="F115">
        <v>16</v>
      </c>
      <c r="G115">
        <v>16</v>
      </c>
      <c r="H115">
        <v>1</v>
      </c>
      <c r="I115">
        <v>8</v>
      </c>
      <c r="J115">
        <v>9</v>
      </c>
      <c r="K115">
        <v>5</v>
      </c>
      <c r="L115">
        <v>7</v>
      </c>
      <c r="M115">
        <v>12</v>
      </c>
      <c r="O115">
        <v>5</v>
      </c>
      <c r="P115">
        <v>5</v>
      </c>
      <c r="R115">
        <v>1</v>
      </c>
      <c r="S115">
        <v>1</v>
      </c>
      <c r="U115">
        <v>1</v>
      </c>
      <c r="V115">
        <v>1</v>
      </c>
      <c r="W115">
        <v>3</v>
      </c>
      <c r="X115">
        <v>3</v>
      </c>
      <c r="Y115">
        <v>6</v>
      </c>
      <c r="AB115">
        <v>53</v>
      </c>
      <c r="AC115" t="str">
        <f t="shared" si="2"/>
        <v>Metabolism of cofactors and vitamins</v>
      </c>
      <c r="AG115" t="s">
        <v>108</v>
      </c>
    </row>
    <row r="116" spans="1:34" x14ac:dyDescent="0.45">
      <c r="A116" s="1" t="s">
        <v>13</v>
      </c>
      <c r="C116">
        <v>4</v>
      </c>
      <c r="D116">
        <v>4</v>
      </c>
      <c r="F116">
        <v>19</v>
      </c>
      <c r="G116">
        <v>19</v>
      </c>
      <c r="H116">
        <v>1</v>
      </c>
      <c r="I116">
        <v>8</v>
      </c>
      <c r="J116">
        <v>9</v>
      </c>
      <c r="K116">
        <v>2</v>
      </c>
      <c r="L116">
        <v>8</v>
      </c>
      <c r="M116">
        <v>10</v>
      </c>
      <c r="O116">
        <v>7</v>
      </c>
      <c r="P116">
        <v>7</v>
      </c>
      <c r="Q116">
        <v>5</v>
      </c>
      <c r="S116">
        <v>5</v>
      </c>
      <c r="W116">
        <v>1</v>
      </c>
      <c r="X116">
        <v>3</v>
      </c>
      <c r="Y116">
        <v>4</v>
      </c>
      <c r="AB116">
        <v>58</v>
      </c>
      <c r="AC116" t="str">
        <f t="shared" si="2"/>
        <v>Terpenoid metabolism</v>
      </c>
      <c r="AG116" t="s">
        <v>115</v>
      </c>
      <c r="AH116" t="s">
        <v>124</v>
      </c>
    </row>
    <row r="117" spans="1:34" x14ac:dyDescent="0.45">
      <c r="A117" s="1" t="s">
        <v>149</v>
      </c>
      <c r="AC117" t="e">
        <f t="shared" si="2"/>
        <v>#N/A</v>
      </c>
      <c r="AG117" t="s">
        <v>118</v>
      </c>
    </row>
    <row r="118" spans="1:34" x14ac:dyDescent="0.45">
      <c r="A118" s="1" t="s">
        <v>145</v>
      </c>
      <c r="B118">
        <v>47</v>
      </c>
      <c r="C118">
        <v>112</v>
      </c>
      <c r="D118">
        <v>159</v>
      </c>
      <c r="E118">
        <v>42</v>
      </c>
      <c r="F118">
        <v>1191</v>
      </c>
      <c r="G118">
        <v>1233</v>
      </c>
      <c r="H118">
        <v>105</v>
      </c>
      <c r="I118">
        <v>566</v>
      </c>
      <c r="J118">
        <v>671</v>
      </c>
      <c r="K118">
        <v>404</v>
      </c>
      <c r="L118">
        <v>409</v>
      </c>
      <c r="M118">
        <v>813</v>
      </c>
      <c r="N118">
        <v>44</v>
      </c>
      <c r="O118">
        <v>370</v>
      </c>
      <c r="P118">
        <v>414</v>
      </c>
      <c r="Q118">
        <v>211</v>
      </c>
      <c r="R118">
        <v>43</v>
      </c>
      <c r="S118">
        <v>254</v>
      </c>
      <c r="T118">
        <v>110</v>
      </c>
      <c r="U118">
        <v>199</v>
      </c>
      <c r="V118">
        <v>309</v>
      </c>
      <c r="W118">
        <v>124</v>
      </c>
      <c r="X118">
        <v>232</v>
      </c>
      <c r="Y118">
        <v>356</v>
      </c>
      <c r="AB118">
        <v>4209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9C11-398B-4F6E-8916-7206ECF44FBC}">
  <dimension ref="A2:AP126"/>
  <sheetViews>
    <sheetView topLeftCell="A51" zoomScale="60" zoomScaleNormal="60" workbookViewId="0">
      <selection activeCell="J114" sqref="J114"/>
    </sheetView>
  </sheetViews>
  <sheetFormatPr baseColWidth="10" defaultRowHeight="14.25" x14ac:dyDescent="0.45"/>
  <cols>
    <col min="1" max="1" width="75.53125" bestFit="1" customWidth="1"/>
    <col min="15" max="15" width="10.796875" customWidth="1"/>
    <col min="18" max="18" width="45.9296875" bestFit="1" customWidth="1"/>
    <col min="24" max="24" width="73.796875" bestFit="1" customWidth="1"/>
    <col min="41" max="41" width="22.59765625" bestFit="1" customWidth="1"/>
  </cols>
  <sheetData>
    <row r="2" spans="1:42" ht="14.65" thickBot="1" x14ac:dyDescent="0.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42" x14ac:dyDescent="0.45">
      <c r="A3" s="11"/>
      <c r="B3" s="27">
        <v>3</v>
      </c>
      <c r="C3" s="28"/>
      <c r="D3" s="27">
        <v>4</v>
      </c>
      <c r="E3" s="28"/>
      <c r="F3" s="27">
        <v>5</v>
      </c>
      <c r="G3" s="28"/>
      <c r="H3" s="27">
        <v>6</v>
      </c>
      <c r="I3" s="28"/>
      <c r="J3" s="27">
        <v>7</v>
      </c>
      <c r="K3" s="28"/>
      <c r="L3" s="27">
        <v>8</v>
      </c>
      <c r="M3" s="28"/>
      <c r="N3" s="27">
        <v>9</v>
      </c>
      <c r="O3" s="28"/>
      <c r="P3" s="27">
        <v>10</v>
      </c>
      <c r="Q3" s="28"/>
    </row>
    <row r="4" spans="1:42" x14ac:dyDescent="0.45">
      <c r="A4" s="12"/>
      <c r="B4" s="17">
        <v>-1</v>
      </c>
      <c r="C4" s="17">
        <v>1</v>
      </c>
      <c r="D4" s="17">
        <v>-1</v>
      </c>
      <c r="E4" s="17">
        <v>1</v>
      </c>
      <c r="F4" s="17">
        <v>-1</v>
      </c>
      <c r="G4" s="17">
        <v>1</v>
      </c>
      <c r="H4" s="17">
        <v>-1</v>
      </c>
      <c r="I4" s="17">
        <v>1</v>
      </c>
      <c r="J4" s="17">
        <v>-1</v>
      </c>
      <c r="K4" s="17">
        <v>1</v>
      </c>
      <c r="L4" s="17">
        <v>-1</v>
      </c>
      <c r="M4" s="17">
        <v>1</v>
      </c>
      <c r="N4" s="17">
        <v>-1</v>
      </c>
      <c r="O4" s="17">
        <v>1</v>
      </c>
      <c r="P4" s="17">
        <v>-1</v>
      </c>
      <c r="Q4" s="17">
        <v>1</v>
      </c>
      <c r="R4" t="s">
        <v>172</v>
      </c>
    </row>
    <row r="5" spans="1:42" x14ac:dyDescent="0.45">
      <c r="A5" s="1" t="s">
        <v>52</v>
      </c>
      <c r="B5" s="15">
        <v>2</v>
      </c>
      <c r="C5" s="15">
        <v>2</v>
      </c>
      <c r="D5" s="15">
        <v>1</v>
      </c>
      <c r="E5" s="15">
        <v>21</v>
      </c>
      <c r="F5" s="15">
        <v>10</v>
      </c>
      <c r="G5" s="15">
        <v>6</v>
      </c>
      <c r="H5" s="15">
        <v>14</v>
      </c>
      <c r="I5" s="15">
        <v>6</v>
      </c>
      <c r="J5" s="15">
        <v>1</v>
      </c>
      <c r="K5" s="15">
        <v>3</v>
      </c>
      <c r="L5" s="15">
        <v>2</v>
      </c>
      <c r="M5" s="15">
        <v>1</v>
      </c>
      <c r="N5" s="15">
        <v>9</v>
      </c>
      <c r="O5" s="15">
        <v>4</v>
      </c>
      <c r="P5" s="15">
        <v>1</v>
      </c>
      <c r="Q5" s="15">
        <v>5</v>
      </c>
      <c r="R5" t="s">
        <v>123</v>
      </c>
    </row>
    <row r="6" spans="1:42" ht="14.65" thickBot="1" x14ac:dyDescent="0.5">
      <c r="A6" s="1" t="s">
        <v>14</v>
      </c>
      <c r="B6" s="15">
        <v>1</v>
      </c>
      <c r="C6" s="15">
        <v>2</v>
      </c>
      <c r="D6" s="15"/>
      <c r="E6" s="15">
        <v>15</v>
      </c>
      <c r="F6" s="15">
        <v>1</v>
      </c>
      <c r="G6" s="15">
        <v>9</v>
      </c>
      <c r="H6" s="15">
        <v>8</v>
      </c>
      <c r="I6" s="15">
        <v>4</v>
      </c>
      <c r="J6" s="15">
        <v>1</v>
      </c>
      <c r="K6" s="15">
        <v>2</v>
      </c>
      <c r="L6" s="15">
        <v>2</v>
      </c>
      <c r="M6" s="15">
        <v>1</v>
      </c>
      <c r="N6" s="15">
        <v>1</v>
      </c>
      <c r="O6" s="15">
        <v>1</v>
      </c>
      <c r="P6" s="15">
        <v>3</v>
      </c>
      <c r="Q6" s="15">
        <v>1</v>
      </c>
      <c r="R6" t="s">
        <v>123</v>
      </c>
    </row>
    <row r="7" spans="1:42" x14ac:dyDescent="0.45">
      <c r="A7" t="s">
        <v>55</v>
      </c>
      <c r="B7" s="15">
        <v>2</v>
      </c>
      <c r="C7" s="15">
        <v>5</v>
      </c>
      <c r="D7" s="15">
        <v>2</v>
      </c>
      <c r="E7" s="15">
        <v>53</v>
      </c>
      <c r="F7" s="15">
        <v>2</v>
      </c>
      <c r="G7" s="15">
        <v>25</v>
      </c>
      <c r="H7" s="15">
        <v>21</v>
      </c>
      <c r="I7" s="15">
        <v>8</v>
      </c>
      <c r="J7" s="15">
        <v>5</v>
      </c>
      <c r="K7" s="15">
        <v>12</v>
      </c>
      <c r="L7" s="15">
        <v>10</v>
      </c>
      <c r="M7" s="15">
        <v>4</v>
      </c>
      <c r="N7" s="15">
        <v>2</v>
      </c>
      <c r="O7" s="15">
        <v>18</v>
      </c>
      <c r="P7" s="15">
        <v>9</v>
      </c>
      <c r="Q7" s="15">
        <v>12</v>
      </c>
      <c r="R7" t="s">
        <v>123</v>
      </c>
      <c r="Y7" s="27">
        <v>3</v>
      </c>
      <c r="Z7" s="28"/>
      <c r="AA7" s="27">
        <v>4</v>
      </c>
      <c r="AB7" s="28"/>
      <c r="AC7" s="27">
        <v>5</v>
      </c>
      <c r="AD7" s="28"/>
      <c r="AE7" s="27">
        <v>6</v>
      </c>
      <c r="AF7" s="28"/>
      <c r="AG7" s="27">
        <v>7</v>
      </c>
      <c r="AH7" s="28"/>
      <c r="AI7" s="27">
        <v>8</v>
      </c>
      <c r="AJ7" s="28"/>
      <c r="AK7" s="27">
        <v>9</v>
      </c>
      <c r="AL7" s="28"/>
      <c r="AM7" s="27">
        <v>10</v>
      </c>
      <c r="AN7" s="28"/>
    </row>
    <row r="8" spans="1:42" ht="14.65" thickBot="1" x14ac:dyDescent="0.5">
      <c r="A8" s="1" t="s">
        <v>76</v>
      </c>
      <c r="B8" s="15"/>
      <c r="C8" s="15"/>
      <c r="D8" s="15"/>
      <c r="E8" s="15">
        <v>1</v>
      </c>
      <c r="F8" s="15"/>
      <c r="G8" s="15"/>
      <c r="H8" s="15">
        <v>2</v>
      </c>
      <c r="I8" s="15"/>
      <c r="J8" s="15"/>
      <c r="K8" s="15"/>
      <c r="L8" s="15"/>
      <c r="M8" s="15"/>
      <c r="N8" s="15"/>
      <c r="O8" s="15"/>
      <c r="P8" s="15"/>
      <c r="Q8" s="15"/>
      <c r="R8" t="s">
        <v>123</v>
      </c>
      <c r="Y8" s="18">
        <v>-1</v>
      </c>
      <c r="Z8" s="18">
        <v>1</v>
      </c>
      <c r="AA8" s="18">
        <v>-1</v>
      </c>
      <c r="AB8" s="18">
        <v>1</v>
      </c>
      <c r="AC8" s="18">
        <v>-1</v>
      </c>
      <c r="AD8" s="18">
        <v>1</v>
      </c>
      <c r="AE8" s="18">
        <v>-1</v>
      </c>
      <c r="AF8" s="18">
        <v>1</v>
      </c>
      <c r="AG8" s="18">
        <v>-1</v>
      </c>
      <c r="AH8" s="18">
        <v>1</v>
      </c>
      <c r="AI8" s="18">
        <v>-1</v>
      </c>
      <c r="AJ8" s="18">
        <v>1</v>
      </c>
      <c r="AK8" s="18">
        <v>-1</v>
      </c>
      <c r="AL8" s="18">
        <v>1</v>
      </c>
      <c r="AM8" s="18">
        <v>-1</v>
      </c>
      <c r="AN8" s="18">
        <v>1</v>
      </c>
      <c r="AO8" t="s">
        <v>172</v>
      </c>
    </row>
    <row r="9" spans="1:42" x14ac:dyDescent="0.45">
      <c r="A9" s="1" t="s">
        <v>33</v>
      </c>
      <c r="B9" s="15">
        <v>1</v>
      </c>
      <c r="C9" s="15">
        <v>1</v>
      </c>
      <c r="D9" s="15"/>
      <c r="E9" s="15">
        <v>14</v>
      </c>
      <c r="F9" s="15"/>
      <c r="G9" s="15">
        <v>8</v>
      </c>
      <c r="H9" s="15">
        <v>4</v>
      </c>
      <c r="I9" s="15">
        <v>5</v>
      </c>
      <c r="J9" s="15">
        <v>1</v>
      </c>
      <c r="K9" s="15">
        <v>4</v>
      </c>
      <c r="L9" s="15"/>
      <c r="M9" s="15"/>
      <c r="N9" s="15"/>
      <c r="O9" s="15">
        <v>2</v>
      </c>
      <c r="P9" s="15">
        <v>2</v>
      </c>
      <c r="Q9" s="15">
        <v>4</v>
      </c>
      <c r="R9" t="s">
        <v>121</v>
      </c>
      <c r="X9" s="19" t="s">
        <v>33</v>
      </c>
      <c r="Y9" s="20">
        <v>1</v>
      </c>
      <c r="Z9" s="20">
        <v>1</v>
      </c>
      <c r="AA9" s="20"/>
      <c r="AB9" s="20">
        <v>14</v>
      </c>
      <c r="AC9" s="20"/>
      <c r="AD9" s="20">
        <v>8</v>
      </c>
      <c r="AE9" s="20">
        <v>4</v>
      </c>
      <c r="AF9" s="20">
        <v>5</v>
      </c>
      <c r="AG9" s="20">
        <v>1</v>
      </c>
      <c r="AH9" s="20">
        <v>4</v>
      </c>
      <c r="AI9" s="20"/>
      <c r="AJ9" s="20"/>
      <c r="AK9" s="20"/>
      <c r="AL9" s="20">
        <v>2</v>
      </c>
      <c r="AM9" s="20">
        <v>2</v>
      </c>
      <c r="AN9" s="20">
        <v>4</v>
      </c>
      <c r="AO9" s="20" t="s">
        <v>121</v>
      </c>
      <c r="AP9" s="21"/>
    </row>
    <row r="10" spans="1:42" x14ac:dyDescent="0.45">
      <c r="A10" s="1" t="s">
        <v>42</v>
      </c>
      <c r="B10" s="15">
        <v>1</v>
      </c>
      <c r="C10" s="15">
        <v>4</v>
      </c>
      <c r="D10" s="15">
        <v>1</v>
      </c>
      <c r="E10" s="15">
        <v>3</v>
      </c>
      <c r="F10" s="15"/>
      <c r="G10" s="15">
        <v>6</v>
      </c>
      <c r="H10" s="15">
        <v>2</v>
      </c>
      <c r="I10" s="15">
        <v>1</v>
      </c>
      <c r="J10" s="15"/>
      <c r="K10" s="15">
        <v>1</v>
      </c>
      <c r="L10" s="15">
        <v>3</v>
      </c>
      <c r="M10" s="15">
        <v>1</v>
      </c>
      <c r="N10" s="15"/>
      <c r="O10" s="15"/>
      <c r="P10" s="15">
        <v>1</v>
      </c>
      <c r="Q10" s="15">
        <v>2</v>
      </c>
      <c r="R10" t="s">
        <v>121</v>
      </c>
      <c r="X10" s="22" t="s">
        <v>42</v>
      </c>
      <c r="Y10" s="15">
        <v>1</v>
      </c>
      <c r="Z10" s="15">
        <v>4</v>
      </c>
      <c r="AA10" s="15">
        <v>1</v>
      </c>
      <c r="AB10" s="15">
        <v>3</v>
      </c>
      <c r="AC10" s="15"/>
      <c r="AD10" s="15">
        <v>6</v>
      </c>
      <c r="AE10" s="15">
        <v>2</v>
      </c>
      <c r="AF10" s="15">
        <v>1</v>
      </c>
      <c r="AG10" s="15"/>
      <c r="AH10" s="15">
        <v>1</v>
      </c>
      <c r="AI10" s="15">
        <v>3</v>
      </c>
      <c r="AJ10" s="15">
        <v>1</v>
      </c>
      <c r="AK10" s="15"/>
      <c r="AL10" s="15"/>
      <c r="AM10" s="15">
        <v>1</v>
      </c>
      <c r="AN10" s="15">
        <v>2</v>
      </c>
      <c r="AO10" s="15" t="s">
        <v>121</v>
      </c>
      <c r="AP10" s="23"/>
    </row>
    <row r="11" spans="1:42" x14ac:dyDescent="0.45">
      <c r="A11" s="1" t="s">
        <v>95</v>
      </c>
      <c r="B11" s="15">
        <v>1</v>
      </c>
      <c r="C11" s="15">
        <v>5</v>
      </c>
      <c r="D11" s="15">
        <v>1</v>
      </c>
      <c r="E11" s="15">
        <v>11</v>
      </c>
      <c r="F11" s="15">
        <v>2</v>
      </c>
      <c r="G11" s="15">
        <v>7</v>
      </c>
      <c r="H11" s="15">
        <v>4</v>
      </c>
      <c r="I11" s="15">
        <v>8</v>
      </c>
      <c r="J11" s="15">
        <v>1</v>
      </c>
      <c r="K11" s="15">
        <v>7</v>
      </c>
      <c r="L11" s="15">
        <v>2</v>
      </c>
      <c r="M11" s="15">
        <v>2</v>
      </c>
      <c r="N11" s="15">
        <v>4</v>
      </c>
      <c r="O11" s="15">
        <v>4</v>
      </c>
      <c r="P11" s="15">
        <v>3</v>
      </c>
      <c r="Q11" s="15">
        <v>2</v>
      </c>
      <c r="R11" t="s">
        <v>121</v>
      </c>
      <c r="X11" s="22" t="s">
        <v>95</v>
      </c>
      <c r="Y11" s="15">
        <v>1</v>
      </c>
      <c r="Z11" s="15">
        <v>5</v>
      </c>
      <c r="AA11" s="15">
        <v>1</v>
      </c>
      <c r="AB11" s="15">
        <v>11</v>
      </c>
      <c r="AC11" s="15">
        <v>2</v>
      </c>
      <c r="AD11" s="15">
        <v>7</v>
      </c>
      <c r="AE11" s="15">
        <v>4</v>
      </c>
      <c r="AF11" s="15">
        <v>8</v>
      </c>
      <c r="AG11" s="15">
        <v>1</v>
      </c>
      <c r="AH11" s="15">
        <v>7</v>
      </c>
      <c r="AI11" s="15">
        <v>2</v>
      </c>
      <c r="AJ11" s="15">
        <v>2</v>
      </c>
      <c r="AK11" s="15">
        <v>4</v>
      </c>
      <c r="AL11" s="15">
        <v>4</v>
      </c>
      <c r="AM11" s="15">
        <v>3</v>
      </c>
      <c r="AN11" s="15">
        <v>2</v>
      </c>
      <c r="AO11" s="15" t="s">
        <v>121</v>
      </c>
      <c r="AP11" s="23"/>
    </row>
    <row r="12" spans="1:42" x14ac:dyDescent="0.45">
      <c r="A12" s="1" t="s">
        <v>63</v>
      </c>
      <c r="B12" s="15"/>
      <c r="C12" s="15">
        <v>1</v>
      </c>
      <c r="D12" s="15"/>
      <c r="E12" s="15">
        <v>10</v>
      </c>
      <c r="F12" s="15"/>
      <c r="G12" s="15">
        <v>5</v>
      </c>
      <c r="H12" s="15">
        <v>1</v>
      </c>
      <c r="I12" s="15">
        <v>3</v>
      </c>
      <c r="J12" s="15"/>
      <c r="K12" s="15">
        <v>1</v>
      </c>
      <c r="L12" s="15"/>
      <c r="M12" s="15"/>
      <c r="N12" s="15"/>
      <c r="O12" s="15">
        <v>1</v>
      </c>
      <c r="P12" s="15"/>
      <c r="Q12" s="15">
        <v>2</v>
      </c>
      <c r="R12" t="s">
        <v>121</v>
      </c>
      <c r="X12" s="22" t="s">
        <v>63</v>
      </c>
      <c r="Y12" s="15"/>
      <c r="Z12" s="15">
        <v>1</v>
      </c>
      <c r="AA12" s="15"/>
      <c r="AB12" s="15">
        <v>10</v>
      </c>
      <c r="AC12" s="15"/>
      <c r="AD12" s="15">
        <v>5</v>
      </c>
      <c r="AE12" s="15">
        <v>1</v>
      </c>
      <c r="AF12" s="15">
        <v>3</v>
      </c>
      <c r="AG12" s="15"/>
      <c r="AH12" s="15">
        <v>1</v>
      </c>
      <c r="AI12" s="15"/>
      <c r="AJ12" s="15"/>
      <c r="AK12" s="15"/>
      <c r="AL12" s="15">
        <v>1</v>
      </c>
      <c r="AM12" s="15"/>
      <c r="AN12" s="15">
        <v>2</v>
      </c>
      <c r="AO12" s="15" t="s">
        <v>121</v>
      </c>
      <c r="AP12" s="23"/>
    </row>
    <row r="13" spans="1:42" x14ac:dyDescent="0.45">
      <c r="A13" s="1" t="s">
        <v>68</v>
      </c>
      <c r="B13" s="15">
        <v>2</v>
      </c>
      <c r="C13" s="15">
        <v>5</v>
      </c>
      <c r="D13" s="15">
        <v>2</v>
      </c>
      <c r="E13" s="15">
        <v>29</v>
      </c>
      <c r="F13" s="15">
        <v>4</v>
      </c>
      <c r="G13" s="15">
        <v>20</v>
      </c>
      <c r="H13" s="15">
        <v>12</v>
      </c>
      <c r="I13" s="15">
        <v>7</v>
      </c>
      <c r="J13" s="15"/>
      <c r="K13" s="15">
        <v>5</v>
      </c>
      <c r="L13" s="15">
        <v>9</v>
      </c>
      <c r="M13" s="15">
        <v>5</v>
      </c>
      <c r="N13" s="15">
        <v>3</v>
      </c>
      <c r="O13" s="15">
        <v>7</v>
      </c>
      <c r="P13" s="15">
        <v>3</v>
      </c>
      <c r="Q13" s="15">
        <v>7</v>
      </c>
      <c r="R13" t="s">
        <v>121</v>
      </c>
      <c r="X13" s="22" t="s">
        <v>68</v>
      </c>
      <c r="Y13" s="15">
        <v>2</v>
      </c>
      <c r="Z13" s="15">
        <v>5</v>
      </c>
      <c r="AA13" s="15">
        <v>2</v>
      </c>
      <c r="AB13" s="15">
        <v>29</v>
      </c>
      <c r="AC13" s="15">
        <v>4</v>
      </c>
      <c r="AD13" s="15">
        <v>20</v>
      </c>
      <c r="AE13" s="15">
        <v>12</v>
      </c>
      <c r="AF13" s="15">
        <v>7</v>
      </c>
      <c r="AG13" s="15"/>
      <c r="AH13" s="15">
        <v>5</v>
      </c>
      <c r="AI13" s="15">
        <v>9</v>
      </c>
      <c r="AJ13" s="15">
        <v>5</v>
      </c>
      <c r="AK13" s="15">
        <v>3</v>
      </c>
      <c r="AL13" s="15">
        <v>7</v>
      </c>
      <c r="AM13" s="15">
        <v>3</v>
      </c>
      <c r="AN13" s="15">
        <v>7</v>
      </c>
      <c r="AO13" s="15" t="s">
        <v>121</v>
      </c>
      <c r="AP13" s="23"/>
    </row>
    <row r="14" spans="1:42" x14ac:dyDescent="0.45">
      <c r="A14" s="1" t="s">
        <v>34</v>
      </c>
      <c r="B14" s="15">
        <v>1</v>
      </c>
      <c r="C14" s="15">
        <v>2</v>
      </c>
      <c r="D14" s="15"/>
      <c r="E14" s="15">
        <v>9</v>
      </c>
      <c r="F14" s="15">
        <v>1</v>
      </c>
      <c r="G14" s="15">
        <v>7</v>
      </c>
      <c r="H14" s="15">
        <v>2</v>
      </c>
      <c r="I14" s="15">
        <v>2</v>
      </c>
      <c r="J14" s="15"/>
      <c r="K14" s="15"/>
      <c r="L14" s="15"/>
      <c r="M14" s="15"/>
      <c r="N14" s="15"/>
      <c r="O14" s="15">
        <v>1</v>
      </c>
      <c r="P14" s="15">
        <v>1</v>
      </c>
      <c r="Q14" s="15">
        <v>1</v>
      </c>
      <c r="R14" t="s">
        <v>121</v>
      </c>
      <c r="X14" s="22" t="s">
        <v>34</v>
      </c>
      <c r="Y14" s="15">
        <v>1</v>
      </c>
      <c r="Z14" s="15">
        <v>2</v>
      </c>
      <c r="AA14" s="15"/>
      <c r="AB14" s="15">
        <v>9</v>
      </c>
      <c r="AC14" s="15">
        <v>1</v>
      </c>
      <c r="AD14" s="15">
        <v>7</v>
      </c>
      <c r="AE14" s="15">
        <v>2</v>
      </c>
      <c r="AF14" s="15">
        <v>2</v>
      </c>
      <c r="AG14" s="15"/>
      <c r="AH14" s="15"/>
      <c r="AI14" s="15"/>
      <c r="AJ14" s="15"/>
      <c r="AK14" s="15"/>
      <c r="AL14" s="15">
        <v>1</v>
      </c>
      <c r="AM14" s="15">
        <v>1</v>
      </c>
      <c r="AN14" s="15">
        <v>1</v>
      </c>
      <c r="AO14" s="15" t="s">
        <v>121</v>
      </c>
      <c r="AP14" s="23"/>
    </row>
    <row r="15" spans="1:42" x14ac:dyDescent="0.45">
      <c r="A15" s="1" t="s">
        <v>69</v>
      </c>
      <c r="B15" s="15">
        <v>1</v>
      </c>
      <c r="C15" s="15">
        <v>3</v>
      </c>
      <c r="D15" s="15"/>
      <c r="E15" s="15">
        <v>23</v>
      </c>
      <c r="F15" s="15">
        <v>1</v>
      </c>
      <c r="G15" s="15">
        <v>8</v>
      </c>
      <c r="H15" s="15">
        <v>7</v>
      </c>
      <c r="I15" s="15">
        <v>5</v>
      </c>
      <c r="J15" s="15">
        <v>1</v>
      </c>
      <c r="K15" s="15">
        <v>4</v>
      </c>
      <c r="L15" s="15">
        <v>6</v>
      </c>
      <c r="M15" s="15"/>
      <c r="N15" s="15">
        <v>3</v>
      </c>
      <c r="O15" s="15">
        <v>5</v>
      </c>
      <c r="P15" s="15">
        <v>3</v>
      </c>
      <c r="Q15" s="15">
        <v>3</v>
      </c>
      <c r="R15" t="s">
        <v>121</v>
      </c>
      <c r="X15" s="22" t="s">
        <v>69</v>
      </c>
      <c r="Y15" s="15">
        <v>1</v>
      </c>
      <c r="Z15" s="15">
        <v>3</v>
      </c>
      <c r="AA15" s="15"/>
      <c r="AB15" s="15">
        <v>23</v>
      </c>
      <c r="AC15" s="15">
        <v>1</v>
      </c>
      <c r="AD15" s="15">
        <v>8</v>
      </c>
      <c r="AE15" s="15">
        <v>7</v>
      </c>
      <c r="AF15" s="15">
        <v>5</v>
      </c>
      <c r="AG15" s="15">
        <v>1</v>
      </c>
      <c r="AH15" s="15">
        <v>4</v>
      </c>
      <c r="AI15" s="15">
        <v>6</v>
      </c>
      <c r="AJ15" s="15"/>
      <c r="AK15" s="15">
        <v>3</v>
      </c>
      <c r="AL15" s="15">
        <v>5</v>
      </c>
      <c r="AM15" s="15">
        <v>3</v>
      </c>
      <c r="AN15" s="15">
        <v>3</v>
      </c>
      <c r="AO15" s="15" t="s">
        <v>121</v>
      </c>
      <c r="AP15" s="23"/>
    </row>
    <row r="16" spans="1:42" x14ac:dyDescent="0.45">
      <c r="A16" s="1" t="s">
        <v>54</v>
      </c>
      <c r="B16" s="15">
        <v>1</v>
      </c>
      <c r="C16" s="15">
        <v>1</v>
      </c>
      <c r="D16" s="15"/>
      <c r="E16" s="15">
        <v>2</v>
      </c>
      <c r="F16" s="15">
        <v>2</v>
      </c>
      <c r="G16" s="15">
        <v>1</v>
      </c>
      <c r="H16" s="15">
        <v>1</v>
      </c>
      <c r="I16" s="15">
        <v>2</v>
      </c>
      <c r="J16" s="15"/>
      <c r="K16" s="15"/>
      <c r="L16" s="15"/>
      <c r="M16" s="15"/>
      <c r="N16" s="15"/>
      <c r="O16" s="15">
        <v>1</v>
      </c>
      <c r="P16" s="15">
        <v>1</v>
      </c>
      <c r="Q16" s="15">
        <v>2</v>
      </c>
      <c r="R16" t="s">
        <v>121</v>
      </c>
      <c r="X16" s="22" t="s">
        <v>54</v>
      </c>
      <c r="Y16" s="15">
        <v>1</v>
      </c>
      <c r="Z16" s="15">
        <v>1</v>
      </c>
      <c r="AA16" s="15"/>
      <c r="AB16" s="15">
        <v>2</v>
      </c>
      <c r="AC16" s="15">
        <v>2</v>
      </c>
      <c r="AD16" s="15">
        <v>1</v>
      </c>
      <c r="AE16" s="15">
        <v>1</v>
      </c>
      <c r="AF16" s="15">
        <v>2</v>
      </c>
      <c r="AG16" s="15"/>
      <c r="AH16" s="15"/>
      <c r="AI16" s="15"/>
      <c r="AJ16" s="15"/>
      <c r="AK16" s="15"/>
      <c r="AL16" s="15">
        <v>1</v>
      </c>
      <c r="AM16" s="15">
        <v>1</v>
      </c>
      <c r="AN16" s="15">
        <v>2</v>
      </c>
      <c r="AO16" s="15" t="s">
        <v>121</v>
      </c>
      <c r="AP16" s="23"/>
    </row>
    <row r="17" spans="1:42" x14ac:dyDescent="0.45">
      <c r="A17" s="1" t="s">
        <v>77</v>
      </c>
      <c r="B17" s="15"/>
      <c r="C17" s="15">
        <v>2</v>
      </c>
      <c r="D17" s="15">
        <v>1</v>
      </c>
      <c r="E17" s="15">
        <v>12</v>
      </c>
      <c r="F17" s="15">
        <v>1</v>
      </c>
      <c r="G17" s="15">
        <v>6</v>
      </c>
      <c r="H17" s="15">
        <v>2</v>
      </c>
      <c r="I17" s="15">
        <v>4</v>
      </c>
      <c r="J17" s="15"/>
      <c r="K17" s="15">
        <v>3</v>
      </c>
      <c r="L17" s="15">
        <v>4</v>
      </c>
      <c r="M17" s="15">
        <v>1</v>
      </c>
      <c r="N17" s="15"/>
      <c r="O17" s="15">
        <v>7</v>
      </c>
      <c r="P17" s="15"/>
      <c r="Q17" s="15">
        <v>3</v>
      </c>
      <c r="R17" t="s">
        <v>121</v>
      </c>
      <c r="X17" s="22" t="s">
        <v>77</v>
      </c>
      <c r="Y17" s="15"/>
      <c r="Z17" s="15">
        <v>2</v>
      </c>
      <c r="AA17" s="15">
        <v>1</v>
      </c>
      <c r="AB17" s="15">
        <v>12</v>
      </c>
      <c r="AC17" s="15">
        <v>1</v>
      </c>
      <c r="AD17" s="15">
        <v>6</v>
      </c>
      <c r="AE17" s="15">
        <v>2</v>
      </c>
      <c r="AF17" s="15">
        <v>4</v>
      </c>
      <c r="AG17" s="15"/>
      <c r="AH17" s="15">
        <v>3</v>
      </c>
      <c r="AI17" s="15">
        <v>4</v>
      </c>
      <c r="AJ17" s="15">
        <v>1</v>
      </c>
      <c r="AK17" s="15"/>
      <c r="AL17" s="15">
        <v>7</v>
      </c>
      <c r="AM17" s="15"/>
      <c r="AN17" s="15">
        <v>3</v>
      </c>
      <c r="AO17" s="15" t="s">
        <v>121</v>
      </c>
      <c r="AP17" s="23"/>
    </row>
    <row r="18" spans="1:42" x14ac:dyDescent="0.45">
      <c r="A18" s="1" t="s">
        <v>58</v>
      </c>
      <c r="B18" s="15">
        <v>1</v>
      </c>
      <c r="C18" s="15"/>
      <c r="D18" s="15">
        <v>1</v>
      </c>
      <c r="E18" s="15">
        <v>20</v>
      </c>
      <c r="F18" s="15">
        <v>2</v>
      </c>
      <c r="G18" s="15">
        <v>6</v>
      </c>
      <c r="H18" s="15">
        <v>5</v>
      </c>
      <c r="I18" s="15">
        <v>4</v>
      </c>
      <c r="J18" s="15"/>
      <c r="K18" s="15">
        <v>1</v>
      </c>
      <c r="L18" s="15">
        <v>4</v>
      </c>
      <c r="M18" s="15">
        <v>1</v>
      </c>
      <c r="N18" s="15">
        <v>1</v>
      </c>
      <c r="O18" s="15"/>
      <c r="P18" s="15">
        <v>2</v>
      </c>
      <c r="Q18" s="15">
        <v>3</v>
      </c>
      <c r="R18" t="s">
        <v>121</v>
      </c>
      <c r="X18" s="22" t="s">
        <v>58</v>
      </c>
      <c r="Y18" s="15">
        <v>1</v>
      </c>
      <c r="Z18" s="15"/>
      <c r="AA18" s="15">
        <v>1</v>
      </c>
      <c r="AB18" s="15">
        <v>20</v>
      </c>
      <c r="AC18" s="15">
        <v>2</v>
      </c>
      <c r="AD18" s="15">
        <v>6</v>
      </c>
      <c r="AE18" s="15">
        <v>5</v>
      </c>
      <c r="AF18" s="15">
        <v>4</v>
      </c>
      <c r="AG18" s="15"/>
      <c r="AH18" s="15">
        <v>1</v>
      </c>
      <c r="AI18" s="15">
        <v>4</v>
      </c>
      <c r="AJ18" s="15">
        <v>1</v>
      </c>
      <c r="AK18" s="15">
        <v>1</v>
      </c>
      <c r="AL18" s="15"/>
      <c r="AM18" s="15">
        <v>2</v>
      </c>
      <c r="AN18" s="15">
        <v>3</v>
      </c>
      <c r="AO18" s="15" t="s">
        <v>121</v>
      </c>
      <c r="AP18" s="23"/>
    </row>
    <row r="19" spans="1:42" x14ac:dyDescent="0.45">
      <c r="A19" s="1" t="s">
        <v>44</v>
      </c>
      <c r="B19" s="15"/>
      <c r="C19" s="15"/>
      <c r="D19" s="15">
        <v>2</v>
      </c>
      <c r="E19" s="15">
        <v>8</v>
      </c>
      <c r="F19" s="15"/>
      <c r="G19" s="15">
        <v>2</v>
      </c>
      <c r="H19" s="15">
        <v>1</v>
      </c>
      <c r="I19" s="15">
        <v>2</v>
      </c>
      <c r="J19" s="15"/>
      <c r="K19" s="15">
        <v>2</v>
      </c>
      <c r="L19" s="15"/>
      <c r="M19" s="15">
        <v>1</v>
      </c>
      <c r="N19" s="15"/>
      <c r="O19" s="15"/>
      <c r="P19" s="15"/>
      <c r="Q19" s="15"/>
      <c r="R19" t="s">
        <v>121</v>
      </c>
      <c r="X19" s="22" t="s">
        <v>44</v>
      </c>
      <c r="Y19" s="15"/>
      <c r="Z19" s="15"/>
      <c r="AA19" s="15">
        <v>2</v>
      </c>
      <c r="AB19" s="15">
        <v>8</v>
      </c>
      <c r="AC19" s="15"/>
      <c r="AD19" s="15">
        <v>2</v>
      </c>
      <c r="AE19" s="15">
        <v>1</v>
      </c>
      <c r="AF19" s="15">
        <v>2</v>
      </c>
      <c r="AG19" s="15"/>
      <c r="AH19" s="15">
        <v>2</v>
      </c>
      <c r="AI19" s="15"/>
      <c r="AJ19" s="15">
        <v>1</v>
      </c>
      <c r="AK19" s="15"/>
      <c r="AL19" s="15"/>
      <c r="AM19" s="15"/>
      <c r="AN19" s="15"/>
      <c r="AO19" s="15" t="s">
        <v>121</v>
      </c>
      <c r="AP19" s="23"/>
    </row>
    <row r="20" spans="1:42" x14ac:dyDescent="0.45">
      <c r="A20" s="1" t="s">
        <v>81</v>
      </c>
      <c r="B20" s="15">
        <v>1</v>
      </c>
      <c r="C20" s="15">
        <v>1</v>
      </c>
      <c r="D20" s="15"/>
      <c r="E20" s="15">
        <v>8</v>
      </c>
      <c r="F20" s="15"/>
      <c r="G20" s="15">
        <v>4</v>
      </c>
      <c r="H20" s="15">
        <v>4</v>
      </c>
      <c r="I20" s="15">
        <v>2</v>
      </c>
      <c r="J20" s="15"/>
      <c r="K20" s="15">
        <v>2</v>
      </c>
      <c r="L20" s="15">
        <v>4</v>
      </c>
      <c r="M20" s="15"/>
      <c r="N20" s="15"/>
      <c r="O20" s="15">
        <v>2</v>
      </c>
      <c r="P20" s="15">
        <v>2</v>
      </c>
      <c r="Q20" s="15">
        <v>1</v>
      </c>
      <c r="R20" t="s">
        <v>121</v>
      </c>
      <c r="X20" s="22" t="s">
        <v>81</v>
      </c>
      <c r="Y20" s="15">
        <v>1</v>
      </c>
      <c r="Z20" s="15">
        <v>1</v>
      </c>
      <c r="AA20" s="15"/>
      <c r="AB20" s="15">
        <v>8</v>
      </c>
      <c r="AC20" s="15"/>
      <c r="AD20" s="15">
        <v>4</v>
      </c>
      <c r="AE20" s="15">
        <v>4</v>
      </c>
      <c r="AF20" s="15">
        <v>2</v>
      </c>
      <c r="AG20" s="15"/>
      <c r="AH20" s="15">
        <v>2</v>
      </c>
      <c r="AI20" s="15">
        <v>4</v>
      </c>
      <c r="AJ20" s="15"/>
      <c r="AK20" s="15"/>
      <c r="AL20" s="15">
        <v>2</v>
      </c>
      <c r="AM20" s="15">
        <v>2</v>
      </c>
      <c r="AN20" s="15">
        <v>1</v>
      </c>
      <c r="AO20" s="15" t="s">
        <v>121</v>
      </c>
      <c r="AP20" s="23"/>
    </row>
    <row r="21" spans="1:42" x14ac:dyDescent="0.45">
      <c r="A21" s="1" t="s">
        <v>43</v>
      </c>
      <c r="B21" s="15"/>
      <c r="C21" s="15"/>
      <c r="D21" s="15"/>
      <c r="E21" s="15">
        <v>5</v>
      </c>
      <c r="F21" s="15">
        <v>1</v>
      </c>
      <c r="G21" s="15">
        <v>2</v>
      </c>
      <c r="H21" s="15">
        <v>2</v>
      </c>
      <c r="I21" s="15">
        <v>1</v>
      </c>
      <c r="J21" s="15">
        <v>1</v>
      </c>
      <c r="K21" s="15">
        <v>2</v>
      </c>
      <c r="L21" s="15">
        <v>1</v>
      </c>
      <c r="M21" s="15"/>
      <c r="N21" s="15"/>
      <c r="O21" s="15">
        <v>2</v>
      </c>
      <c r="P21" s="15">
        <v>2</v>
      </c>
      <c r="Q21" s="15">
        <v>1</v>
      </c>
      <c r="R21" t="s">
        <v>121</v>
      </c>
      <c r="X21" s="22" t="s">
        <v>43</v>
      </c>
      <c r="Y21" s="15"/>
      <c r="Z21" s="15"/>
      <c r="AA21" s="15"/>
      <c r="AB21" s="15">
        <v>5</v>
      </c>
      <c r="AC21" s="15">
        <v>1</v>
      </c>
      <c r="AD21" s="15">
        <v>2</v>
      </c>
      <c r="AE21" s="15">
        <v>2</v>
      </c>
      <c r="AF21" s="15">
        <v>1</v>
      </c>
      <c r="AG21" s="15">
        <v>1</v>
      </c>
      <c r="AH21" s="15">
        <v>2</v>
      </c>
      <c r="AI21" s="15">
        <v>1</v>
      </c>
      <c r="AJ21" s="15"/>
      <c r="AK21" s="15"/>
      <c r="AL21" s="15">
        <v>2</v>
      </c>
      <c r="AM21" s="15">
        <v>2</v>
      </c>
      <c r="AN21" s="15">
        <v>1</v>
      </c>
      <c r="AO21" s="15" t="s">
        <v>121</v>
      </c>
      <c r="AP21" s="23"/>
    </row>
    <row r="22" spans="1:42" x14ac:dyDescent="0.45">
      <c r="A22" s="1" t="s">
        <v>100</v>
      </c>
      <c r="B22" s="15">
        <v>1</v>
      </c>
      <c r="C22" s="15">
        <v>2</v>
      </c>
      <c r="D22" s="15">
        <v>1</v>
      </c>
      <c r="E22" s="15">
        <v>22</v>
      </c>
      <c r="F22" s="15">
        <v>1</v>
      </c>
      <c r="G22" s="15">
        <v>13</v>
      </c>
      <c r="H22" s="15">
        <v>16</v>
      </c>
      <c r="I22" s="15">
        <v>7</v>
      </c>
      <c r="J22" s="15"/>
      <c r="K22" s="15">
        <v>6</v>
      </c>
      <c r="L22" s="15">
        <v>2</v>
      </c>
      <c r="M22" s="15">
        <v>1</v>
      </c>
      <c r="N22" s="15">
        <v>1</v>
      </c>
      <c r="O22" s="15">
        <v>3</v>
      </c>
      <c r="P22" s="15">
        <v>3</v>
      </c>
      <c r="Q22" s="15">
        <v>7</v>
      </c>
      <c r="R22" t="s">
        <v>121</v>
      </c>
      <c r="X22" s="22" t="s">
        <v>100</v>
      </c>
      <c r="Y22" s="15">
        <v>1</v>
      </c>
      <c r="Z22" s="15">
        <v>2</v>
      </c>
      <c r="AA22" s="15">
        <v>1</v>
      </c>
      <c r="AB22" s="15">
        <v>22</v>
      </c>
      <c r="AC22" s="15">
        <v>1</v>
      </c>
      <c r="AD22" s="15">
        <v>13</v>
      </c>
      <c r="AE22" s="15">
        <v>16</v>
      </c>
      <c r="AF22" s="15">
        <v>7</v>
      </c>
      <c r="AG22" s="15"/>
      <c r="AH22" s="15">
        <v>6</v>
      </c>
      <c r="AI22" s="15">
        <v>2</v>
      </c>
      <c r="AJ22" s="15">
        <v>1</v>
      </c>
      <c r="AK22" s="15">
        <v>1</v>
      </c>
      <c r="AL22" s="15">
        <v>3</v>
      </c>
      <c r="AM22" s="15">
        <v>3</v>
      </c>
      <c r="AN22" s="15">
        <v>7</v>
      </c>
      <c r="AO22" s="15" t="s">
        <v>121</v>
      </c>
      <c r="AP22" s="23"/>
    </row>
    <row r="23" spans="1:42" x14ac:dyDescent="0.45">
      <c r="A23" s="1" t="s">
        <v>18</v>
      </c>
      <c r="B23" s="15"/>
      <c r="C23" s="15"/>
      <c r="D23" s="15">
        <v>1</v>
      </c>
      <c r="E23" s="15">
        <v>20</v>
      </c>
      <c r="F23" s="15">
        <v>3</v>
      </c>
      <c r="G23" s="15">
        <v>4</v>
      </c>
      <c r="H23" s="15">
        <v>5</v>
      </c>
      <c r="I23" s="15">
        <v>4</v>
      </c>
      <c r="J23" s="15"/>
      <c r="K23" s="15">
        <v>3</v>
      </c>
      <c r="L23" s="15">
        <v>8</v>
      </c>
      <c r="M23" s="15">
        <v>2</v>
      </c>
      <c r="N23" s="15"/>
      <c r="O23" s="15"/>
      <c r="P23" s="15">
        <v>1</v>
      </c>
      <c r="Q23" s="15">
        <v>1</v>
      </c>
      <c r="R23" t="s">
        <v>121</v>
      </c>
      <c r="X23" s="22" t="s">
        <v>18</v>
      </c>
      <c r="Y23" s="15"/>
      <c r="Z23" s="15"/>
      <c r="AA23" s="15">
        <v>1</v>
      </c>
      <c r="AB23" s="15">
        <v>20</v>
      </c>
      <c r="AC23" s="15">
        <v>3</v>
      </c>
      <c r="AD23" s="15">
        <v>4</v>
      </c>
      <c r="AE23" s="15">
        <v>5</v>
      </c>
      <c r="AF23" s="15">
        <v>4</v>
      </c>
      <c r="AG23" s="15"/>
      <c r="AH23" s="15">
        <v>3</v>
      </c>
      <c r="AI23" s="15">
        <v>8</v>
      </c>
      <c r="AJ23" s="15">
        <v>2</v>
      </c>
      <c r="AK23" s="15"/>
      <c r="AL23" s="15"/>
      <c r="AM23" s="15">
        <v>1</v>
      </c>
      <c r="AN23" s="15">
        <v>1</v>
      </c>
      <c r="AO23" s="15" t="s">
        <v>121</v>
      </c>
      <c r="AP23" s="23"/>
    </row>
    <row r="24" spans="1:42" x14ac:dyDescent="0.45">
      <c r="A24" s="1" t="s">
        <v>53</v>
      </c>
      <c r="B24" s="15"/>
      <c r="C24" s="15">
        <v>1</v>
      </c>
      <c r="D24" s="15"/>
      <c r="E24" s="15">
        <v>1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>
        <v>1</v>
      </c>
      <c r="R24" t="s">
        <v>121</v>
      </c>
      <c r="X24" s="22" t="s">
        <v>53</v>
      </c>
      <c r="Y24" s="15"/>
      <c r="Z24" s="15">
        <v>1</v>
      </c>
      <c r="AA24" s="15"/>
      <c r="AB24" s="15">
        <v>1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>
        <v>1</v>
      </c>
      <c r="AO24" s="15" t="s">
        <v>121</v>
      </c>
      <c r="AP24" s="23"/>
    </row>
    <row r="25" spans="1:42" x14ac:dyDescent="0.45">
      <c r="A25" s="1" t="s">
        <v>87</v>
      </c>
      <c r="B25" s="15">
        <v>1</v>
      </c>
      <c r="C25" s="15">
        <v>1</v>
      </c>
      <c r="D25" s="15"/>
      <c r="E25" s="15">
        <v>8</v>
      </c>
      <c r="F25" s="15"/>
      <c r="G25" s="15">
        <v>6</v>
      </c>
      <c r="H25" s="15">
        <v>6</v>
      </c>
      <c r="I25" s="15">
        <v>3</v>
      </c>
      <c r="J25" s="15"/>
      <c r="K25" s="15">
        <v>1</v>
      </c>
      <c r="L25" s="15"/>
      <c r="M25" s="15"/>
      <c r="N25" s="15"/>
      <c r="O25" s="15">
        <v>2</v>
      </c>
      <c r="P25" s="15">
        <v>2</v>
      </c>
      <c r="Q25" s="15">
        <v>2</v>
      </c>
      <c r="R25" t="s">
        <v>121</v>
      </c>
      <c r="X25" s="22" t="s">
        <v>87</v>
      </c>
      <c r="Y25" s="15">
        <v>1</v>
      </c>
      <c r="Z25" s="15">
        <v>1</v>
      </c>
      <c r="AA25" s="15"/>
      <c r="AB25" s="15">
        <v>8</v>
      </c>
      <c r="AC25" s="15"/>
      <c r="AD25" s="15">
        <v>6</v>
      </c>
      <c r="AE25" s="15">
        <v>6</v>
      </c>
      <c r="AF25" s="15">
        <v>3</v>
      </c>
      <c r="AG25" s="15"/>
      <c r="AH25" s="15">
        <v>1</v>
      </c>
      <c r="AI25" s="15"/>
      <c r="AJ25" s="15"/>
      <c r="AK25" s="15"/>
      <c r="AL25" s="15">
        <v>2</v>
      </c>
      <c r="AM25" s="15">
        <v>2</v>
      </c>
      <c r="AN25" s="15">
        <v>2</v>
      </c>
      <c r="AO25" s="15" t="s">
        <v>121</v>
      </c>
      <c r="AP25" s="23"/>
    </row>
    <row r="26" spans="1:42" x14ac:dyDescent="0.45">
      <c r="A26" s="1" t="s">
        <v>45</v>
      </c>
      <c r="B26" s="15"/>
      <c r="C26" s="15">
        <v>4</v>
      </c>
      <c r="D26" s="15">
        <v>1</v>
      </c>
      <c r="E26" s="15">
        <v>22</v>
      </c>
      <c r="F26" s="15">
        <v>1</v>
      </c>
      <c r="G26" s="15">
        <v>11</v>
      </c>
      <c r="H26" s="15">
        <v>4</v>
      </c>
      <c r="I26" s="15">
        <v>3</v>
      </c>
      <c r="J26" s="15"/>
      <c r="K26" s="15">
        <v>10</v>
      </c>
      <c r="L26" s="15">
        <v>6</v>
      </c>
      <c r="M26" s="15">
        <v>1</v>
      </c>
      <c r="N26" s="15"/>
      <c r="O26" s="15">
        <v>2</v>
      </c>
      <c r="P26" s="15">
        <v>3</v>
      </c>
      <c r="Q26" s="15">
        <v>8</v>
      </c>
      <c r="R26" t="s">
        <v>121</v>
      </c>
      <c r="X26" s="22" t="s">
        <v>45</v>
      </c>
      <c r="Y26" s="15"/>
      <c r="Z26" s="15">
        <v>4</v>
      </c>
      <c r="AA26" s="15">
        <v>1</v>
      </c>
      <c r="AB26" s="15">
        <v>22</v>
      </c>
      <c r="AC26" s="15">
        <v>1</v>
      </c>
      <c r="AD26" s="15">
        <v>11</v>
      </c>
      <c r="AE26" s="15">
        <v>4</v>
      </c>
      <c r="AF26" s="15">
        <v>3</v>
      </c>
      <c r="AG26" s="15"/>
      <c r="AH26" s="15">
        <v>10</v>
      </c>
      <c r="AI26" s="15">
        <v>6</v>
      </c>
      <c r="AJ26" s="15">
        <v>1</v>
      </c>
      <c r="AK26" s="15"/>
      <c r="AL26" s="15">
        <v>2</v>
      </c>
      <c r="AM26" s="15">
        <v>3</v>
      </c>
      <c r="AN26" s="15">
        <v>8</v>
      </c>
      <c r="AO26" s="15" t="s">
        <v>121</v>
      </c>
      <c r="AP26" s="23"/>
    </row>
    <row r="27" spans="1:42" x14ac:dyDescent="0.45">
      <c r="A27" t="s">
        <v>19</v>
      </c>
      <c r="B27" s="15"/>
      <c r="C27" s="15">
        <v>3</v>
      </c>
      <c r="D27" s="15">
        <v>1</v>
      </c>
      <c r="E27" s="15">
        <v>14</v>
      </c>
      <c r="F27" s="15">
        <v>3</v>
      </c>
      <c r="G27" s="15">
        <v>7</v>
      </c>
      <c r="H27" s="15">
        <v>6</v>
      </c>
      <c r="I27" s="15">
        <v>6</v>
      </c>
      <c r="J27" s="15"/>
      <c r="K27" s="15">
        <v>10</v>
      </c>
      <c r="L27" s="15">
        <v>2</v>
      </c>
      <c r="M27" s="15">
        <v>1</v>
      </c>
      <c r="N27" s="15"/>
      <c r="O27" s="15">
        <v>5</v>
      </c>
      <c r="P27" s="15">
        <v>2</v>
      </c>
      <c r="Q27" s="15">
        <v>5</v>
      </c>
      <c r="R27" t="s">
        <v>121</v>
      </c>
      <c r="X27" s="22" t="s">
        <v>19</v>
      </c>
      <c r="Y27" s="15"/>
      <c r="Z27" s="15">
        <v>3</v>
      </c>
      <c r="AA27" s="15">
        <v>1</v>
      </c>
      <c r="AB27" s="15">
        <v>14</v>
      </c>
      <c r="AC27" s="15">
        <v>3</v>
      </c>
      <c r="AD27" s="15">
        <v>7</v>
      </c>
      <c r="AE27" s="15">
        <v>6</v>
      </c>
      <c r="AF27" s="15">
        <v>6</v>
      </c>
      <c r="AG27" s="15"/>
      <c r="AH27" s="15">
        <v>10</v>
      </c>
      <c r="AI27" s="15">
        <v>2</v>
      </c>
      <c r="AJ27" s="15">
        <v>1</v>
      </c>
      <c r="AK27" s="15"/>
      <c r="AL27" s="15">
        <v>5</v>
      </c>
      <c r="AM27" s="15">
        <v>2</v>
      </c>
      <c r="AN27" s="15">
        <v>5</v>
      </c>
      <c r="AO27" s="15" t="s">
        <v>121</v>
      </c>
      <c r="AP27" s="23"/>
    </row>
    <row r="28" spans="1:42" x14ac:dyDescent="0.45">
      <c r="A28" t="s">
        <v>17</v>
      </c>
      <c r="B28" s="15">
        <v>1</v>
      </c>
      <c r="C28" s="15">
        <v>1</v>
      </c>
      <c r="D28" s="15">
        <v>1</v>
      </c>
      <c r="E28" s="15">
        <v>10</v>
      </c>
      <c r="F28" s="15">
        <v>2</v>
      </c>
      <c r="G28" s="15">
        <v>10</v>
      </c>
      <c r="H28" s="15">
        <v>5</v>
      </c>
      <c r="I28" s="15">
        <v>3</v>
      </c>
      <c r="J28" s="15"/>
      <c r="K28" s="15">
        <v>3</v>
      </c>
      <c r="L28" s="15">
        <v>1</v>
      </c>
      <c r="M28" s="15">
        <v>1</v>
      </c>
      <c r="N28" s="15"/>
      <c r="O28" s="15">
        <v>9</v>
      </c>
      <c r="P28" s="15"/>
      <c r="Q28" s="15">
        <v>7</v>
      </c>
      <c r="R28" t="s">
        <v>121</v>
      </c>
      <c r="X28" s="22" t="s">
        <v>17</v>
      </c>
      <c r="Y28" s="15">
        <v>1</v>
      </c>
      <c r="Z28" s="15">
        <v>1</v>
      </c>
      <c r="AA28" s="15">
        <v>1</v>
      </c>
      <c r="AB28" s="15">
        <v>10</v>
      </c>
      <c r="AC28" s="15">
        <v>2</v>
      </c>
      <c r="AD28" s="15">
        <v>10</v>
      </c>
      <c r="AE28" s="15">
        <v>5</v>
      </c>
      <c r="AF28" s="15">
        <v>3</v>
      </c>
      <c r="AG28" s="15"/>
      <c r="AH28" s="15">
        <v>3</v>
      </c>
      <c r="AI28" s="15">
        <v>1</v>
      </c>
      <c r="AJ28" s="15">
        <v>1</v>
      </c>
      <c r="AK28" s="15"/>
      <c r="AL28" s="15">
        <v>9</v>
      </c>
      <c r="AM28" s="15"/>
      <c r="AN28" s="15">
        <v>7</v>
      </c>
      <c r="AO28" s="15" t="s">
        <v>121</v>
      </c>
      <c r="AP28" s="23"/>
    </row>
    <row r="29" spans="1:42" x14ac:dyDescent="0.45">
      <c r="A29" t="s">
        <v>82</v>
      </c>
      <c r="B29" s="15">
        <v>1</v>
      </c>
      <c r="C29" s="15"/>
      <c r="D29" s="15"/>
      <c r="E29" s="15">
        <v>1</v>
      </c>
      <c r="F29" s="15">
        <v>1</v>
      </c>
      <c r="G29" s="15">
        <v>5</v>
      </c>
      <c r="H29" s="15">
        <v>2</v>
      </c>
      <c r="I29" s="15">
        <v>1</v>
      </c>
      <c r="J29" s="15"/>
      <c r="K29" s="15">
        <v>1</v>
      </c>
      <c r="L29" s="15"/>
      <c r="M29" s="15"/>
      <c r="N29" s="15">
        <v>1</v>
      </c>
      <c r="O29" s="15">
        <v>3</v>
      </c>
      <c r="P29" s="15"/>
      <c r="Q29" s="15">
        <v>3</v>
      </c>
      <c r="R29" t="s">
        <v>121</v>
      </c>
      <c r="X29" s="22" t="s">
        <v>82</v>
      </c>
      <c r="Y29" s="15">
        <v>1</v>
      </c>
      <c r="Z29" s="15"/>
      <c r="AA29" s="15"/>
      <c r="AB29" s="15">
        <v>1</v>
      </c>
      <c r="AC29" s="15">
        <v>1</v>
      </c>
      <c r="AD29" s="15">
        <v>5</v>
      </c>
      <c r="AE29" s="15">
        <v>2</v>
      </c>
      <c r="AF29" s="15">
        <v>1</v>
      </c>
      <c r="AG29" s="15"/>
      <c r="AH29" s="15">
        <v>1</v>
      </c>
      <c r="AI29" s="15"/>
      <c r="AJ29" s="15"/>
      <c r="AK29" s="15">
        <v>1</v>
      </c>
      <c r="AL29" s="15">
        <v>3</v>
      </c>
      <c r="AM29" s="15"/>
      <c r="AN29" s="15">
        <v>3</v>
      </c>
      <c r="AO29" s="15" t="s">
        <v>121</v>
      </c>
      <c r="AP29" s="23"/>
    </row>
    <row r="30" spans="1:42" ht="14.65" thickBot="1" x14ac:dyDescent="0.5">
      <c r="A30" t="s">
        <v>99</v>
      </c>
      <c r="B30" s="15"/>
      <c r="C30" s="15"/>
      <c r="D30" s="15"/>
      <c r="E30" s="15">
        <v>2</v>
      </c>
      <c r="F30" s="15">
        <v>1</v>
      </c>
      <c r="G30" s="15">
        <v>3</v>
      </c>
      <c r="H30" s="15">
        <v>2</v>
      </c>
      <c r="I30" s="15">
        <v>1</v>
      </c>
      <c r="J30" s="15">
        <v>1</v>
      </c>
      <c r="K30" s="15">
        <v>1</v>
      </c>
      <c r="L30" s="15"/>
      <c r="M30" s="15"/>
      <c r="N30" s="15"/>
      <c r="O30" s="15"/>
      <c r="P30" s="15"/>
      <c r="Q30" s="15">
        <v>1</v>
      </c>
      <c r="R30" t="s">
        <v>121</v>
      </c>
      <c r="X30" s="13" t="s">
        <v>99</v>
      </c>
      <c r="Y30" s="16"/>
      <c r="Z30" s="16"/>
      <c r="AA30" s="16"/>
      <c r="AB30" s="16">
        <v>2</v>
      </c>
      <c r="AC30" s="16">
        <v>1</v>
      </c>
      <c r="AD30" s="16">
        <v>3</v>
      </c>
      <c r="AE30" s="16">
        <v>2</v>
      </c>
      <c r="AF30" s="16">
        <v>1</v>
      </c>
      <c r="AG30" s="16">
        <v>1</v>
      </c>
      <c r="AH30" s="16">
        <v>1</v>
      </c>
      <c r="AI30" s="16"/>
      <c r="AJ30" s="16"/>
      <c r="AK30" s="16"/>
      <c r="AL30" s="16"/>
      <c r="AM30" s="16"/>
      <c r="AN30" s="16">
        <v>1</v>
      </c>
      <c r="AO30" s="16" t="s">
        <v>121</v>
      </c>
      <c r="AP30" s="14"/>
    </row>
    <row r="31" spans="1:42" x14ac:dyDescent="0.45">
      <c r="A31" s="1" t="s">
        <v>12</v>
      </c>
      <c r="B31" s="15">
        <v>1</v>
      </c>
      <c r="C31" s="15"/>
      <c r="D31" s="15"/>
      <c r="E31" s="15">
        <v>16</v>
      </c>
      <c r="F31" s="15"/>
      <c r="G31" s="15">
        <v>13</v>
      </c>
      <c r="H31" s="15">
        <v>6</v>
      </c>
      <c r="I31" s="15">
        <v>5</v>
      </c>
      <c r="J31" s="15"/>
      <c r="K31" s="15">
        <v>7</v>
      </c>
      <c r="L31" s="15"/>
      <c r="M31" s="15"/>
      <c r="N31" s="15"/>
      <c r="O31" s="15">
        <v>2</v>
      </c>
      <c r="P31" s="15">
        <v>2</v>
      </c>
      <c r="Q31" s="15">
        <v>1</v>
      </c>
      <c r="R31" t="s">
        <v>128</v>
      </c>
    </row>
    <row r="32" spans="1:42" ht="14.65" thickBot="1" x14ac:dyDescent="0.5">
      <c r="A32" s="1" t="s">
        <v>48</v>
      </c>
      <c r="B32" s="15">
        <v>2</v>
      </c>
      <c r="C32" s="15">
        <v>1</v>
      </c>
      <c r="D32" s="15"/>
      <c r="E32" s="15">
        <v>11</v>
      </c>
      <c r="F32" s="15"/>
      <c r="G32" s="15">
        <v>10</v>
      </c>
      <c r="H32" s="15">
        <v>5</v>
      </c>
      <c r="I32" s="15">
        <v>5</v>
      </c>
      <c r="J32" s="15"/>
      <c r="K32" s="15">
        <v>4</v>
      </c>
      <c r="L32" s="15"/>
      <c r="M32" s="15"/>
      <c r="N32" s="15"/>
      <c r="O32" s="15">
        <v>2</v>
      </c>
      <c r="P32" s="15">
        <v>2</v>
      </c>
      <c r="Q32" s="15">
        <v>2</v>
      </c>
      <c r="R32" t="s">
        <v>128</v>
      </c>
    </row>
    <row r="33" spans="1:42" ht="14.65" thickBot="1" x14ac:dyDescent="0.5">
      <c r="A33" s="1" t="s">
        <v>22</v>
      </c>
      <c r="B33" s="15"/>
      <c r="C33" s="15"/>
      <c r="D33" s="15"/>
      <c r="E33" s="15">
        <v>9</v>
      </c>
      <c r="F33" s="15">
        <v>2</v>
      </c>
      <c r="G33" s="15">
        <v>1</v>
      </c>
      <c r="H33" s="15">
        <v>1</v>
      </c>
      <c r="I33" s="15">
        <v>3</v>
      </c>
      <c r="J33" s="15"/>
      <c r="K33" s="15">
        <v>2</v>
      </c>
      <c r="L33" s="15">
        <v>1</v>
      </c>
      <c r="M33" s="15"/>
      <c r="N33" s="15"/>
      <c r="O33" s="15">
        <v>1</v>
      </c>
      <c r="P33" s="15">
        <v>1</v>
      </c>
      <c r="Q33" s="15"/>
      <c r="R33" t="s">
        <v>128</v>
      </c>
      <c r="Y33" s="27">
        <v>3</v>
      </c>
      <c r="Z33" s="28"/>
      <c r="AA33" s="27">
        <v>4</v>
      </c>
      <c r="AB33" s="28"/>
      <c r="AC33" s="27">
        <v>5</v>
      </c>
      <c r="AD33" s="28"/>
      <c r="AE33" s="27">
        <v>6</v>
      </c>
      <c r="AF33" s="28"/>
      <c r="AG33" s="27">
        <v>7</v>
      </c>
      <c r="AH33" s="28"/>
      <c r="AI33" s="27">
        <v>8</v>
      </c>
      <c r="AJ33" s="28"/>
      <c r="AK33" s="27">
        <v>9</v>
      </c>
      <c r="AL33" s="28"/>
      <c r="AM33" s="27">
        <v>10</v>
      </c>
      <c r="AN33" s="28"/>
    </row>
    <row r="34" spans="1:42" ht="14.65" thickBot="1" x14ac:dyDescent="0.5">
      <c r="A34" s="1" t="s">
        <v>66</v>
      </c>
      <c r="B34" s="15"/>
      <c r="C34" s="15">
        <v>2</v>
      </c>
      <c r="D34" s="15"/>
      <c r="E34" s="15">
        <v>14</v>
      </c>
      <c r="F34" s="15">
        <v>2</v>
      </c>
      <c r="G34" s="15">
        <v>5</v>
      </c>
      <c r="H34" s="15">
        <v>2</v>
      </c>
      <c r="I34" s="15">
        <v>5</v>
      </c>
      <c r="J34" s="15">
        <v>2</v>
      </c>
      <c r="K34" s="15">
        <v>5</v>
      </c>
      <c r="L34" s="15">
        <v>3</v>
      </c>
      <c r="M34" s="15"/>
      <c r="N34" s="15">
        <v>1</v>
      </c>
      <c r="O34" s="15"/>
      <c r="P34" s="15">
        <v>1</v>
      </c>
      <c r="Q34" s="15">
        <v>5</v>
      </c>
      <c r="R34" t="s">
        <v>128</v>
      </c>
      <c r="Y34" s="18">
        <v>-1</v>
      </c>
      <c r="Z34" s="18">
        <v>1</v>
      </c>
      <c r="AA34" s="18">
        <v>-1</v>
      </c>
      <c r="AB34" s="18">
        <v>1</v>
      </c>
      <c r="AC34" s="18">
        <v>-1</v>
      </c>
      <c r="AD34" s="18">
        <v>1</v>
      </c>
      <c r="AE34" s="18">
        <v>-1</v>
      </c>
      <c r="AF34" s="18">
        <v>1</v>
      </c>
      <c r="AG34" s="18">
        <v>-1</v>
      </c>
      <c r="AH34" s="18">
        <v>1</v>
      </c>
      <c r="AI34" s="18">
        <v>-1</v>
      </c>
      <c r="AJ34" s="18">
        <v>1</v>
      </c>
      <c r="AK34" s="18">
        <v>-1</v>
      </c>
      <c r="AL34" s="18">
        <v>1</v>
      </c>
      <c r="AM34" s="18">
        <v>-1</v>
      </c>
      <c r="AN34" s="18">
        <v>1</v>
      </c>
      <c r="AO34" s="20" t="s">
        <v>172</v>
      </c>
    </row>
    <row r="35" spans="1:42" x14ac:dyDescent="0.45">
      <c r="A35" s="1" t="s">
        <v>9</v>
      </c>
      <c r="B35" s="15">
        <v>1</v>
      </c>
      <c r="C35" s="15"/>
      <c r="D35" s="15"/>
      <c r="E35" s="15">
        <v>6</v>
      </c>
      <c r="F35" s="15">
        <v>2</v>
      </c>
      <c r="G35" s="15">
        <v>8</v>
      </c>
      <c r="H35" s="15">
        <v>5</v>
      </c>
      <c r="I35" s="15">
        <v>6</v>
      </c>
      <c r="J35" s="15"/>
      <c r="K35" s="15">
        <v>2</v>
      </c>
      <c r="L35" s="15"/>
      <c r="M35" s="15"/>
      <c r="N35" s="15"/>
      <c r="O35" s="15">
        <v>2</v>
      </c>
      <c r="P35" s="15">
        <v>1</v>
      </c>
      <c r="Q35" s="15">
        <v>2</v>
      </c>
      <c r="R35" t="s">
        <v>128</v>
      </c>
      <c r="X35" s="24" t="s">
        <v>12</v>
      </c>
      <c r="Y35" s="20">
        <v>1</v>
      </c>
      <c r="Z35" s="20"/>
      <c r="AA35" s="20"/>
      <c r="AB35" s="20">
        <v>16</v>
      </c>
      <c r="AC35" s="20"/>
      <c r="AD35" s="20">
        <v>13</v>
      </c>
      <c r="AE35" s="20">
        <v>6</v>
      </c>
      <c r="AF35" s="20">
        <v>5</v>
      </c>
      <c r="AG35" s="20"/>
      <c r="AH35" s="20">
        <v>7</v>
      </c>
      <c r="AI35" s="20"/>
      <c r="AJ35" s="20"/>
      <c r="AK35" s="20"/>
      <c r="AL35" s="20">
        <v>2</v>
      </c>
      <c r="AM35" s="20">
        <v>2</v>
      </c>
      <c r="AN35" s="20">
        <v>1</v>
      </c>
      <c r="AO35" s="20" t="s">
        <v>128</v>
      </c>
      <c r="AP35" s="21"/>
    </row>
    <row r="36" spans="1:42" x14ac:dyDescent="0.45">
      <c r="A36" s="1" t="s">
        <v>39</v>
      </c>
      <c r="B36" s="15">
        <v>1</v>
      </c>
      <c r="C36" s="15"/>
      <c r="D36" s="15">
        <v>1</v>
      </c>
      <c r="E36" s="15">
        <v>13</v>
      </c>
      <c r="F36" s="15"/>
      <c r="G36" s="15">
        <v>7</v>
      </c>
      <c r="H36" s="15">
        <v>4</v>
      </c>
      <c r="I36" s="15">
        <v>3</v>
      </c>
      <c r="J36" s="15"/>
      <c r="K36" s="15">
        <v>3</v>
      </c>
      <c r="L36" s="15">
        <v>2</v>
      </c>
      <c r="M36" s="15">
        <v>1</v>
      </c>
      <c r="N36" s="15"/>
      <c r="O36" s="15">
        <v>4</v>
      </c>
      <c r="P36" s="15">
        <v>1</v>
      </c>
      <c r="Q36" s="15">
        <v>1</v>
      </c>
      <c r="R36" t="s">
        <v>128</v>
      </c>
      <c r="X36" s="25" t="s">
        <v>48</v>
      </c>
      <c r="Y36" s="15">
        <v>2</v>
      </c>
      <c r="Z36" s="15">
        <v>1</v>
      </c>
      <c r="AA36" s="15"/>
      <c r="AB36" s="15">
        <v>11</v>
      </c>
      <c r="AC36" s="15"/>
      <c r="AD36" s="15">
        <v>10</v>
      </c>
      <c r="AE36" s="15">
        <v>5</v>
      </c>
      <c r="AF36" s="15">
        <v>5</v>
      </c>
      <c r="AG36" s="15"/>
      <c r="AH36" s="15">
        <v>4</v>
      </c>
      <c r="AI36" s="15"/>
      <c r="AJ36" s="15"/>
      <c r="AK36" s="15"/>
      <c r="AL36" s="15">
        <v>2</v>
      </c>
      <c r="AM36" s="15">
        <v>2</v>
      </c>
      <c r="AN36" s="15">
        <v>2</v>
      </c>
      <c r="AO36" s="15" t="s">
        <v>128</v>
      </c>
      <c r="AP36" s="23"/>
    </row>
    <row r="37" spans="1:42" x14ac:dyDescent="0.45">
      <c r="A37" s="1" t="s">
        <v>47</v>
      </c>
      <c r="B37" s="15"/>
      <c r="C37" s="15"/>
      <c r="D37" s="15"/>
      <c r="E37" s="15">
        <v>7</v>
      </c>
      <c r="F37" s="15">
        <v>2</v>
      </c>
      <c r="G37" s="15">
        <v>5</v>
      </c>
      <c r="H37" s="15">
        <v>3</v>
      </c>
      <c r="I37" s="15">
        <v>5</v>
      </c>
      <c r="J37" s="15"/>
      <c r="K37" s="15">
        <v>2</v>
      </c>
      <c r="L37" s="15"/>
      <c r="M37" s="15"/>
      <c r="N37" s="15"/>
      <c r="O37" s="15">
        <v>1</v>
      </c>
      <c r="P37" s="15">
        <v>1</v>
      </c>
      <c r="Q37" s="15">
        <v>1</v>
      </c>
      <c r="R37" t="s">
        <v>128</v>
      </c>
      <c r="X37" s="25" t="s">
        <v>22</v>
      </c>
      <c r="Y37" s="15"/>
      <c r="Z37" s="15"/>
      <c r="AA37" s="15"/>
      <c r="AB37" s="15">
        <v>9</v>
      </c>
      <c r="AC37" s="15">
        <v>2</v>
      </c>
      <c r="AD37" s="15">
        <v>1</v>
      </c>
      <c r="AE37" s="15">
        <v>1</v>
      </c>
      <c r="AF37" s="15">
        <v>3</v>
      </c>
      <c r="AG37" s="15"/>
      <c r="AH37" s="15">
        <v>2</v>
      </c>
      <c r="AI37" s="15">
        <v>1</v>
      </c>
      <c r="AJ37" s="15"/>
      <c r="AK37" s="15"/>
      <c r="AL37" s="15">
        <v>1</v>
      </c>
      <c r="AM37" s="15">
        <v>1</v>
      </c>
      <c r="AN37" s="15"/>
      <c r="AO37" s="15" t="s">
        <v>128</v>
      </c>
      <c r="AP37" s="23"/>
    </row>
    <row r="38" spans="1:42" x14ac:dyDescent="0.45">
      <c r="A38" s="1" t="s">
        <v>59</v>
      </c>
      <c r="B38" s="15">
        <v>1</v>
      </c>
      <c r="C38" s="15">
        <v>2</v>
      </c>
      <c r="D38" s="15"/>
      <c r="E38" s="15">
        <v>16</v>
      </c>
      <c r="F38" s="15"/>
      <c r="G38" s="15">
        <v>11</v>
      </c>
      <c r="H38" s="15">
        <v>5</v>
      </c>
      <c r="I38" s="15">
        <v>5</v>
      </c>
      <c r="J38" s="15"/>
      <c r="K38" s="15">
        <v>4</v>
      </c>
      <c r="L38" s="15"/>
      <c r="M38" s="15"/>
      <c r="N38" s="15"/>
      <c r="O38" s="15">
        <v>3</v>
      </c>
      <c r="P38" s="15">
        <v>1</v>
      </c>
      <c r="Q38" s="15">
        <v>3</v>
      </c>
      <c r="R38" t="s">
        <v>128</v>
      </c>
      <c r="X38" s="25" t="s">
        <v>66</v>
      </c>
      <c r="Y38" s="15"/>
      <c r="Z38" s="15">
        <v>2</v>
      </c>
      <c r="AA38" s="15"/>
      <c r="AB38" s="15">
        <v>14</v>
      </c>
      <c r="AC38" s="15">
        <v>2</v>
      </c>
      <c r="AD38" s="15">
        <v>5</v>
      </c>
      <c r="AE38" s="15">
        <v>2</v>
      </c>
      <c r="AF38" s="15">
        <v>5</v>
      </c>
      <c r="AG38" s="15">
        <v>2</v>
      </c>
      <c r="AH38" s="15">
        <v>5</v>
      </c>
      <c r="AI38" s="15">
        <v>3</v>
      </c>
      <c r="AJ38" s="15"/>
      <c r="AK38" s="15">
        <v>1</v>
      </c>
      <c r="AL38" s="15"/>
      <c r="AM38" s="15">
        <v>1</v>
      </c>
      <c r="AN38" s="15">
        <v>5</v>
      </c>
      <c r="AO38" s="15" t="s">
        <v>128</v>
      </c>
      <c r="AP38" s="23"/>
    </row>
    <row r="39" spans="1:42" x14ac:dyDescent="0.45">
      <c r="A39" s="1" t="s">
        <v>11</v>
      </c>
      <c r="B39" s="15"/>
      <c r="C39" s="15">
        <v>1</v>
      </c>
      <c r="D39" s="15"/>
      <c r="E39" s="15">
        <v>12</v>
      </c>
      <c r="F39" s="15">
        <v>3</v>
      </c>
      <c r="G39" s="15">
        <v>7</v>
      </c>
      <c r="H39" s="15">
        <v>4</v>
      </c>
      <c r="I39" s="15">
        <v>7</v>
      </c>
      <c r="J39" s="15"/>
      <c r="K39" s="15">
        <v>5</v>
      </c>
      <c r="L39" s="15"/>
      <c r="M39" s="15">
        <v>1</v>
      </c>
      <c r="N39" s="15"/>
      <c r="O39" s="15">
        <v>1</v>
      </c>
      <c r="P39" s="15">
        <v>1</v>
      </c>
      <c r="Q39" s="15">
        <v>2</v>
      </c>
      <c r="R39" t="s">
        <v>128</v>
      </c>
      <c r="X39" s="25" t="s">
        <v>9</v>
      </c>
      <c r="Y39" s="15">
        <v>1</v>
      </c>
      <c r="Z39" s="15"/>
      <c r="AA39" s="15"/>
      <c r="AB39" s="15">
        <v>6</v>
      </c>
      <c r="AC39" s="15">
        <v>2</v>
      </c>
      <c r="AD39" s="15">
        <v>8</v>
      </c>
      <c r="AE39" s="15">
        <v>5</v>
      </c>
      <c r="AF39" s="15">
        <v>6</v>
      </c>
      <c r="AG39" s="15"/>
      <c r="AH39" s="15">
        <v>2</v>
      </c>
      <c r="AI39" s="15"/>
      <c r="AJ39" s="15"/>
      <c r="AK39" s="15"/>
      <c r="AL39" s="15">
        <v>2</v>
      </c>
      <c r="AM39" s="15">
        <v>1</v>
      </c>
      <c r="AN39" s="15">
        <v>2</v>
      </c>
      <c r="AO39" s="15" t="s">
        <v>128</v>
      </c>
      <c r="AP39" s="23"/>
    </row>
    <row r="40" spans="1:42" x14ac:dyDescent="0.45">
      <c r="A40" s="1" t="s">
        <v>16</v>
      </c>
      <c r="B40" s="15"/>
      <c r="C40" s="15">
        <v>1</v>
      </c>
      <c r="D40" s="15"/>
      <c r="E40" s="15">
        <v>7</v>
      </c>
      <c r="F40" s="15"/>
      <c r="G40" s="15">
        <v>4</v>
      </c>
      <c r="H40" s="15">
        <v>2</v>
      </c>
      <c r="I40" s="15">
        <v>4</v>
      </c>
      <c r="J40" s="15"/>
      <c r="K40" s="15">
        <v>2</v>
      </c>
      <c r="L40" s="15"/>
      <c r="M40" s="15"/>
      <c r="N40" s="15"/>
      <c r="O40" s="15">
        <v>2</v>
      </c>
      <c r="P40" s="15"/>
      <c r="Q40" s="15">
        <v>2</v>
      </c>
      <c r="R40" t="s">
        <v>128</v>
      </c>
      <c r="X40" s="25" t="s">
        <v>39</v>
      </c>
      <c r="Y40" s="15">
        <v>1</v>
      </c>
      <c r="Z40" s="15"/>
      <c r="AA40" s="15">
        <v>1</v>
      </c>
      <c r="AB40" s="15">
        <v>13</v>
      </c>
      <c r="AC40" s="15"/>
      <c r="AD40" s="15">
        <v>7</v>
      </c>
      <c r="AE40" s="15">
        <v>4</v>
      </c>
      <c r="AF40" s="15">
        <v>3</v>
      </c>
      <c r="AG40" s="15"/>
      <c r="AH40" s="15">
        <v>3</v>
      </c>
      <c r="AI40" s="15">
        <v>2</v>
      </c>
      <c r="AJ40" s="15">
        <v>1</v>
      </c>
      <c r="AK40" s="15"/>
      <c r="AL40" s="15">
        <v>4</v>
      </c>
      <c r="AM40" s="15">
        <v>1</v>
      </c>
      <c r="AN40" s="15">
        <v>1</v>
      </c>
      <c r="AO40" s="15" t="s">
        <v>128</v>
      </c>
      <c r="AP40" s="23"/>
    </row>
    <row r="41" spans="1:42" x14ac:dyDescent="0.45">
      <c r="A41" s="1" t="s">
        <v>83</v>
      </c>
      <c r="B41" s="15"/>
      <c r="C41" s="15"/>
      <c r="D41" s="15">
        <v>1</v>
      </c>
      <c r="E41" s="15">
        <v>9</v>
      </c>
      <c r="F41" s="15"/>
      <c r="G41" s="15">
        <v>6</v>
      </c>
      <c r="H41" s="15">
        <v>4</v>
      </c>
      <c r="I41" s="15">
        <v>3</v>
      </c>
      <c r="J41" s="15"/>
      <c r="K41" s="15">
        <v>3</v>
      </c>
      <c r="L41" s="15">
        <v>1</v>
      </c>
      <c r="M41" s="15">
        <v>1</v>
      </c>
      <c r="N41" s="15"/>
      <c r="O41" s="15">
        <v>4</v>
      </c>
      <c r="P41" s="15"/>
      <c r="Q41" s="15">
        <v>1</v>
      </c>
      <c r="R41" t="s">
        <v>128</v>
      </c>
      <c r="X41" s="25" t="s">
        <v>47</v>
      </c>
      <c r="Y41" s="15"/>
      <c r="Z41" s="15"/>
      <c r="AA41" s="15"/>
      <c r="AB41" s="15">
        <v>7</v>
      </c>
      <c r="AC41" s="15">
        <v>2</v>
      </c>
      <c r="AD41" s="15">
        <v>5</v>
      </c>
      <c r="AE41" s="15">
        <v>3</v>
      </c>
      <c r="AF41" s="15">
        <v>5</v>
      </c>
      <c r="AG41" s="15"/>
      <c r="AH41" s="15">
        <v>2</v>
      </c>
      <c r="AI41" s="15"/>
      <c r="AJ41" s="15"/>
      <c r="AK41" s="15"/>
      <c r="AL41" s="15">
        <v>1</v>
      </c>
      <c r="AM41" s="15">
        <v>1</v>
      </c>
      <c r="AN41" s="15">
        <v>1</v>
      </c>
      <c r="AO41" s="15" t="s">
        <v>128</v>
      </c>
      <c r="AP41" s="23"/>
    </row>
    <row r="42" spans="1:42" x14ac:dyDescent="0.45">
      <c r="A42" s="1" t="s">
        <v>67</v>
      </c>
      <c r="B42" s="15"/>
      <c r="C42" s="15">
        <v>1</v>
      </c>
      <c r="D42" s="15"/>
      <c r="E42" s="15">
        <v>7</v>
      </c>
      <c r="F42" s="15">
        <v>2</v>
      </c>
      <c r="G42" s="15">
        <v>1</v>
      </c>
      <c r="H42" s="15">
        <v>3</v>
      </c>
      <c r="I42" s="15">
        <v>3</v>
      </c>
      <c r="J42" s="15">
        <v>2</v>
      </c>
      <c r="K42" s="15">
        <v>2</v>
      </c>
      <c r="L42" s="15">
        <v>2</v>
      </c>
      <c r="M42" s="15"/>
      <c r="N42" s="15"/>
      <c r="O42" s="15"/>
      <c r="P42" s="15">
        <v>1</v>
      </c>
      <c r="Q42" s="15">
        <v>2</v>
      </c>
      <c r="R42" t="s">
        <v>128</v>
      </c>
      <c r="X42" s="25" t="s">
        <v>59</v>
      </c>
      <c r="Y42" s="15">
        <v>1</v>
      </c>
      <c r="Z42" s="15">
        <v>2</v>
      </c>
      <c r="AA42" s="15"/>
      <c r="AB42" s="15">
        <v>16</v>
      </c>
      <c r="AC42" s="15"/>
      <c r="AD42" s="15">
        <v>11</v>
      </c>
      <c r="AE42" s="15">
        <v>5</v>
      </c>
      <c r="AF42" s="15">
        <v>5</v>
      </c>
      <c r="AG42" s="15"/>
      <c r="AH42" s="15">
        <v>4</v>
      </c>
      <c r="AI42" s="15"/>
      <c r="AJ42" s="15"/>
      <c r="AK42" s="15"/>
      <c r="AL42" s="15">
        <v>3</v>
      </c>
      <c r="AM42" s="15">
        <v>1</v>
      </c>
      <c r="AN42" s="15">
        <v>3</v>
      </c>
      <c r="AO42" s="15" t="s">
        <v>128</v>
      </c>
      <c r="AP42" s="23"/>
    </row>
    <row r="43" spans="1:42" x14ac:dyDescent="0.45">
      <c r="A43" s="1" t="s">
        <v>20</v>
      </c>
      <c r="B43" s="15"/>
      <c r="C43" s="15">
        <v>2</v>
      </c>
      <c r="D43" s="15"/>
      <c r="E43" s="15">
        <v>7</v>
      </c>
      <c r="F43" s="15">
        <v>2</v>
      </c>
      <c r="G43" s="15">
        <v>5</v>
      </c>
      <c r="H43" s="15">
        <v>3</v>
      </c>
      <c r="I43" s="15">
        <v>5</v>
      </c>
      <c r="J43" s="15">
        <v>1</v>
      </c>
      <c r="K43" s="15">
        <v>4</v>
      </c>
      <c r="L43" s="15"/>
      <c r="M43" s="15">
        <v>1</v>
      </c>
      <c r="N43" s="15"/>
      <c r="O43" s="15">
        <v>1</v>
      </c>
      <c r="P43" s="15">
        <v>1</v>
      </c>
      <c r="Q43" s="15">
        <v>3</v>
      </c>
      <c r="R43" t="s">
        <v>128</v>
      </c>
      <c r="X43" s="25" t="s">
        <v>11</v>
      </c>
      <c r="Y43" s="15"/>
      <c r="Z43" s="15">
        <v>1</v>
      </c>
      <c r="AA43" s="15"/>
      <c r="AB43" s="15">
        <v>12</v>
      </c>
      <c r="AC43" s="15">
        <v>3</v>
      </c>
      <c r="AD43" s="15">
        <v>7</v>
      </c>
      <c r="AE43" s="15">
        <v>4</v>
      </c>
      <c r="AF43" s="15">
        <v>7</v>
      </c>
      <c r="AG43" s="15"/>
      <c r="AH43" s="15">
        <v>5</v>
      </c>
      <c r="AI43" s="15"/>
      <c r="AJ43" s="15">
        <v>1</v>
      </c>
      <c r="AK43" s="15"/>
      <c r="AL43" s="15">
        <v>1</v>
      </c>
      <c r="AM43" s="15">
        <v>1</v>
      </c>
      <c r="AN43" s="15">
        <v>2</v>
      </c>
      <c r="AO43" s="15" t="s">
        <v>128</v>
      </c>
      <c r="AP43" s="23"/>
    </row>
    <row r="44" spans="1:42" x14ac:dyDescent="0.45">
      <c r="A44" s="1" t="s">
        <v>23</v>
      </c>
      <c r="B44" s="15">
        <v>1</v>
      </c>
      <c r="C44" s="15">
        <v>1</v>
      </c>
      <c r="D44" s="15"/>
      <c r="E44" s="15">
        <v>12</v>
      </c>
      <c r="F44" s="15"/>
      <c r="G44" s="15">
        <v>9</v>
      </c>
      <c r="H44" s="15">
        <v>4</v>
      </c>
      <c r="I44" s="15">
        <v>4</v>
      </c>
      <c r="J44" s="15"/>
      <c r="K44" s="15">
        <v>5</v>
      </c>
      <c r="L44" s="15"/>
      <c r="M44" s="15"/>
      <c r="N44" s="15"/>
      <c r="O44" s="15">
        <v>4</v>
      </c>
      <c r="P44" s="15">
        <v>1</v>
      </c>
      <c r="Q44" s="15">
        <v>2</v>
      </c>
      <c r="R44" t="s">
        <v>132</v>
      </c>
      <c r="X44" s="25" t="s">
        <v>16</v>
      </c>
      <c r="Y44" s="15"/>
      <c r="Z44" s="15">
        <v>1</v>
      </c>
      <c r="AA44" s="15"/>
      <c r="AB44" s="15">
        <v>7</v>
      </c>
      <c r="AC44" s="15"/>
      <c r="AD44" s="15">
        <v>4</v>
      </c>
      <c r="AE44" s="15">
        <v>2</v>
      </c>
      <c r="AF44" s="15">
        <v>4</v>
      </c>
      <c r="AG44" s="15"/>
      <c r="AH44" s="15">
        <v>2</v>
      </c>
      <c r="AI44" s="15"/>
      <c r="AJ44" s="15"/>
      <c r="AK44" s="15"/>
      <c r="AL44" s="15">
        <v>2</v>
      </c>
      <c r="AM44" s="15"/>
      <c r="AN44" s="15">
        <v>2</v>
      </c>
      <c r="AO44" s="15" t="s">
        <v>128</v>
      </c>
      <c r="AP44" s="23"/>
    </row>
    <row r="45" spans="1:42" x14ac:dyDescent="0.45">
      <c r="A45" s="1" t="s">
        <v>15</v>
      </c>
      <c r="B45" s="15">
        <v>1</v>
      </c>
      <c r="C45" s="15">
        <v>2</v>
      </c>
      <c r="D45" s="15"/>
      <c r="E45" s="15">
        <v>19</v>
      </c>
      <c r="F45" s="15">
        <v>3</v>
      </c>
      <c r="G45" s="15">
        <v>14</v>
      </c>
      <c r="H45" s="15">
        <v>6</v>
      </c>
      <c r="I45" s="15">
        <v>13</v>
      </c>
      <c r="J45" s="15">
        <v>2</v>
      </c>
      <c r="K45" s="15">
        <v>8</v>
      </c>
      <c r="L45" s="15"/>
      <c r="M45" s="15">
        <v>1</v>
      </c>
      <c r="N45" s="15"/>
      <c r="O45" s="15">
        <v>3</v>
      </c>
      <c r="P45" s="15">
        <v>3</v>
      </c>
      <c r="Q45" s="15">
        <v>5</v>
      </c>
      <c r="R45" t="s">
        <v>132</v>
      </c>
      <c r="X45" s="25" t="s">
        <v>83</v>
      </c>
      <c r="Y45" s="15"/>
      <c r="Z45" s="15"/>
      <c r="AA45" s="15">
        <v>1</v>
      </c>
      <c r="AB45" s="15">
        <v>9</v>
      </c>
      <c r="AC45" s="15"/>
      <c r="AD45" s="15">
        <v>6</v>
      </c>
      <c r="AE45" s="15">
        <v>4</v>
      </c>
      <c r="AF45" s="15">
        <v>3</v>
      </c>
      <c r="AG45" s="15"/>
      <c r="AH45" s="15">
        <v>3</v>
      </c>
      <c r="AI45" s="15">
        <v>1</v>
      </c>
      <c r="AJ45" s="15">
        <v>1</v>
      </c>
      <c r="AK45" s="15"/>
      <c r="AL45" s="15">
        <v>4</v>
      </c>
      <c r="AM45" s="15"/>
      <c r="AN45" s="15">
        <v>1</v>
      </c>
      <c r="AO45" s="15" t="s">
        <v>128</v>
      </c>
      <c r="AP45" s="23"/>
    </row>
    <row r="46" spans="1:42" x14ac:dyDescent="0.45">
      <c r="A46" s="1" t="s">
        <v>32</v>
      </c>
      <c r="B46" s="15">
        <v>3</v>
      </c>
      <c r="C46" s="15">
        <v>1</v>
      </c>
      <c r="D46" s="15">
        <v>3</v>
      </c>
      <c r="E46" s="15">
        <v>71</v>
      </c>
      <c r="F46" s="15">
        <v>5</v>
      </c>
      <c r="G46" s="15">
        <v>20</v>
      </c>
      <c r="H46" s="15">
        <v>25</v>
      </c>
      <c r="I46" s="15">
        <v>20</v>
      </c>
      <c r="J46" s="15">
        <v>1</v>
      </c>
      <c r="K46" s="15">
        <v>12</v>
      </c>
      <c r="L46" s="15">
        <v>18</v>
      </c>
      <c r="M46" s="15">
        <v>3</v>
      </c>
      <c r="N46" s="15">
        <v>4</v>
      </c>
      <c r="O46" s="15">
        <v>12</v>
      </c>
      <c r="P46" s="15">
        <v>4</v>
      </c>
      <c r="Q46" s="15">
        <v>14</v>
      </c>
      <c r="R46" t="s">
        <v>133</v>
      </c>
      <c r="X46" s="25" t="s">
        <v>67</v>
      </c>
      <c r="Y46" s="15"/>
      <c r="Z46" s="15">
        <v>1</v>
      </c>
      <c r="AA46" s="15"/>
      <c r="AB46" s="15">
        <v>7</v>
      </c>
      <c r="AC46" s="15">
        <v>2</v>
      </c>
      <c r="AD46" s="15">
        <v>1</v>
      </c>
      <c r="AE46" s="15">
        <v>3</v>
      </c>
      <c r="AF46" s="15">
        <v>3</v>
      </c>
      <c r="AG46" s="15">
        <v>2</v>
      </c>
      <c r="AH46" s="15">
        <v>2</v>
      </c>
      <c r="AI46" s="15">
        <v>2</v>
      </c>
      <c r="AJ46" s="15"/>
      <c r="AK46" s="15"/>
      <c r="AL46" s="15"/>
      <c r="AM46" s="15">
        <v>1</v>
      </c>
      <c r="AN46" s="15">
        <v>2</v>
      </c>
      <c r="AO46" s="15" t="s">
        <v>128</v>
      </c>
      <c r="AP46" s="23"/>
    </row>
    <row r="47" spans="1:42" ht="14.65" thickBot="1" x14ac:dyDescent="0.5">
      <c r="A47" s="1" t="s">
        <v>38</v>
      </c>
      <c r="B47" s="15"/>
      <c r="C47" s="15">
        <v>1</v>
      </c>
      <c r="D47" s="15"/>
      <c r="E47" s="15"/>
      <c r="F47" s="15"/>
      <c r="G47" s="15"/>
      <c r="H47" s="15"/>
      <c r="I47" s="15"/>
      <c r="J47" s="15"/>
      <c r="K47" s="15">
        <v>1</v>
      </c>
      <c r="L47" s="15"/>
      <c r="M47" s="15"/>
      <c r="N47" s="15"/>
      <c r="O47" s="15"/>
      <c r="P47" s="15"/>
      <c r="Q47" s="15"/>
      <c r="R47" t="s">
        <v>136</v>
      </c>
      <c r="X47" s="26" t="s">
        <v>20</v>
      </c>
      <c r="Y47" s="16"/>
      <c r="Z47" s="16">
        <v>2</v>
      </c>
      <c r="AA47" s="16"/>
      <c r="AB47" s="16">
        <v>7</v>
      </c>
      <c r="AC47" s="16">
        <v>2</v>
      </c>
      <c r="AD47" s="16">
        <v>5</v>
      </c>
      <c r="AE47" s="16">
        <v>3</v>
      </c>
      <c r="AF47" s="16">
        <v>5</v>
      </c>
      <c r="AG47" s="16">
        <v>1</v>
      </c>
      <c r="AH47" s="16">
        <v>4</v>
      </c>
      <c r="AI47" s="16"/>
      <c r="AJ47" s="16">
        <v>1</v>
      </c>
      <c r="AK47" s="16"/>
      <c r="AL47" s="16">
        <v>1</v>
      </c>
      <c r="AM47" s="16">
        <v>1</v>
      </c>
      <c r="AN47" s="16">
        <v>3</v>
      </c>
      <c r="AO47" s="16" t="s">
        <v>128</v>
      </c>
      <c r="AP47" s="14"/>
    </row>
    <row r="48" spans="1:42" ht="14.65" thickBot="1" x14ac:dyDescent="0.5">
      <c r="A48" s="1" t="s">
        <v>29</v>
      </c>
      <c r="B48" s="15">
        <v>1</v>
      </c>
      <c r="C48" s="15"/>
      <c r="D48" s="15"/>
      <c r="E48" s="15">
        <v>5</v>
      </c>
      <c r="F48" s="15"/>
      <c r="G48" s="15">
        <v>1</v>
      </c>
      <c r="H48" s="15"/>
      <c r="I48" s="15">
        <v>1</v>
      </c>
      <c r="J48" s="15"/>
      <c r="K48" s="15">
        <v>2</v>
      </c>
      <c r="L48" s="15">
        <v>1</v>
      </c>
      <c r="M48" s="15"/>
      <c r="N48" s="15"/>
      <c r="O48" s="15"/>
      <c r="P48" s="15"/>
      <c r="Q48" s="15">
        <v>1</v>
      </c>
      <c r="R48" t="s">
        <v>138</v>
      </c>
    </row>
    <row r="49" spans="1:41" ht="14.65" thickBot="1" x14ac:dyDescent="0.5">
      <c r="A49" s="1" t="s">
        <v>41</v>
      </c>
      <c r="B49" s="15"/>
      <c r="C49" s="15"/>
      <c r="D49" s="15"/>
      <c r="E49" s="15">
        <v>1</v>
      </c>
      <c r="F49" s="15">
        <v>1</v>
      </c>
      <c r="G49" s="15"/>
      <c r="H49" s="15"/>
      <c r="I49" s="15"/>
      <c r="J49" s="15"/>
      <c r="K49" s="15"/>
      <c r="L49" s="15">
        <v>1</v>
      </c>
      <c r="M49" s="15"/>
      <c r="N49" s="15">
        <v>1</v>
      </c>
      <c r="O49" s="15"/>
      <c r="P49" s="15"/>
      <c r="Q49" s="15"/>
      <c r="R49" t="s">
        <v>138</v>
      </c>
      <c r="Y49" s="27">
        <v>3</v>
      </c>
      <c r="Z49" s="28"/>
      <c r="AA49" s="27">
        <v>4</v>
      </c>
      <c r="AB49" s="28"/>
      <c r="AC49" s="27">
        <v>5</v>
      </c>
      <c r="AD49" s="28"/>
      <c r="AE49" s="27">
        <v>6</v>
      </c>
      <c r="AF49" s="28"/>
      <c r="AG49" s="27">
        <v>7</v>
      </c>
      <c r="AH49" s="28"/>
      <c r="AI49" s="27">
        <v>8</v>
      </c>
      <c r="AJ49" s="28"/>
      <c r="AK49" s="27">
        <v>9</v>
      </c>
      <c r="AL49" s="28"/>
      <c r="AM49" s="27">
        <v>10</v>
      </c>
      <c r="AN49" s="28"/>
    </row>
    <row r="50" spans="1:41" ht="14.65" thickBot="1" x14ac:dyDescent="0.5">
      <c r="A50" s="1" t="s">
        <v>116</v>
      </c>
      <c r="B50" s="15"/>
      <c r="C50" s="15">
        <v>1</v>
      </c>
      <c r="D50" s="15"/>
      <c r="E50" s="15">
        <v>8</v>
      </c>
      <c r="F50" s="15"/>
      <c r="G50" s="15">
        <v>2</v>
      </c>
      <c r="H50" s="15">
        <v>1</v>
      </c>
      <c r="I50" s="15"/>
      <c r="J50" s="15"/>
      <c r="K50" s="15"/>
      <c r="L50" s="15"/>
      <c r="M50" s="15"/>
      <c r="N50" s="15"/>
      <c r="O50" s="15"/>
      <c r="P50" s="15">
        <v>3</v>
      </c>
      <c r="Q50" s="15">
        <v>2</v>
      </c>
      <c r="R50" t="s">
        <v>138</v>
      </c>
      <c r="Y50" s="18">
        <v>-1</v>
      </c>
      <c r="Z50" s="18">
        <v>1</v>
      </c>
      <c r="AA50" s="18">
        <v>-1</v>
      </c>
      <c r="AB50" s="18">
        <v>1</v>
      </c>
      <c r="AC50" s="18">
        <v>-1</v>
      </c>
      <c r="AD50" s="18">
        <v>1</v>
      </c>
      <c r="AE50" s="18">
        <v>-1</v>
      </c>
      <c r="AF50" s="18">
        <v>1</v>
      </c>
      <c r="AG50" s="18">
        <v>-1</v>
      </c>
      <c r="AH50" s="18">
        <v>1</v>
      </c>
      <c r="AI50" s="18">
        <v>-1</v>
      </c>
      <c r="AJ50" s="18">
        <v>1</v>
      </c>
      <c r="AK50" s="18">
        <v>-1</v>
      </c>
      <c r="AL50" s="18">
        <v>1</v>
      </c>
      <c r="AM50" s="18">
        <v>-1</v>
      </c>
      <c r="AN50" s="18">
        <v>1</v>
      </c>
      <c r="AO50" s="20" t="s">
        <v>172</v>
      </c>
    </row>
    <row r="51" spans="1:41" x14ac:dyDescent="0.45">
      <c r="A51" s="1" t="s">
        <v>73</v>
      </c>
      <c r="B51" s="15"/>
      <c r="C51" s="15">
        <v>1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>
        <v>1</v>
      </c>
      <c r="R51" t="s">
        <v>138</v>
      </c>
      <c r="X51" s="24" t="s">
        <v>92</v>
      </c>
      <c r="Y51" s="20">
        <v>1</v>
      </c>
      <c r="Z51" s="20">
        <v>5</v>
      </c>
      <c r="AA51" s="20">
        <v>1</v>
      </c>
      <c r="AB51" s="20">
        <v>3</v>
      </c>
      <c r="AC51" s="20"/>
      <c r="AD51" s="20">
        <v>7</v>
      </c>
      <c r="AE51" s="20">
        <v>2</v>
      </c>
      <c r="AF51" s="20">
        <v>2</v>
      </c>
      <c r="AG51" s="20"/>
      <c r="AH51" s="20">
        <v>1</v>
      </c>
      <c r="AI51" s="20">
        <v>3</v>
      </c>
      <c r="AJ51" s="20">
        <v>1</v>
      </c>
      <c r="AK51" s="20"/>
      <c r="AL51" s="20"/>
      <c r="AM51" s="20">
        <v>1</v>
      </c>
      <c r="AN51" s="20">
        <v>2</v>
      </c>
      <c r="AO51" s="21" t="s">
        <v>124</v>
      </c>
    </row>
    <row r="52" spans="1:41" x14ac:dyDescent="0.45">
      <c r="A52" s="1" t="s">
        <v>110</v>
      </c>
      <c r="B52" s="15"/>
      <c r="C52" s="15"/>
      <c r="D52" s="15"/>
      <c r="E52" s="15">
        <v>4</v>
      </c>
      <c r="F52" s="15"/>
      <c r="G52" s="15">
        <v>4</v>
      </c>
      <c r="H52" s="15"/>
      <c r="I52" s="15">
        <v>4</v>
      </c>
      <c r="J52" s="15"/>
      <c r="K52" s="15">
        <v>4</v>
      </c>
      <c r="L52" s="15"/>
      <c r="M52" s="15"/>
      <c r="N52" s="15"/>
      <c r="O52" s="15">
        <v>1</v>
      </c>
      <c r="P52" s="15"/>
      <c r="Q52" s="15">
        <v>1</v>
      </c>
      <c r="R52" t="s">
        <v>138</v>
      </c>
      <c r="X52" s="25" t="s">
        <v>50</v>
      </c>
      <c r="Y52" s="15"/>
      <c r="Z52" s="15"/>
      <c r="AA52" s="15"/>
      <c r="AB52" s="15">
        <v>6</v>
      </c>
      <c r="AC52" s="15">
        <v>2</v>
      </c>
      <c r="AD52" s="15">
        <v>2</v>
      </c>
      <c r="AE52" s="15">
        <v>2</v>
      </c>
      <c r="AF52" s="15">
        <v>1</v>
      </c>
      <c r="AG52" s="15"/>
      <c r="AH52" s="15"/>
      <c r="AI52" s="15">
        <v>1</v>
      </c>
      <c r="AJ52" s="15"/>
      <c r="AK52" s="15">
        <v>4</v>
      </c>
      <c r="AL52" s="15">
        <v>1</v>
      </c>
      <c r="AM52" s="15"/>
      <c r="AN52" s="15"/>
      <c r="AO52" s="23" t="s">
        <v>124</v>
      </c>
    </row>
    <row r="53" spans="1:41" x14ac:dyDescent="0.45">
      <c r="A53" s="1" t="s">
        <v>91</v>
      </c>
      <c r="B53" s="15"/>
      <c r="C53" s="15">
        <v>4</v>
      </c>
      <c r="D53" s="15">
        <v>1</v>
      </c>
      <c r="E53" s="15">
        <v>30</v>
      </c>
      <c r="F53" s="15">
        <v>1</v>
      </c>
      <c r="G53" s="15">
        <v>13</v>
      </c>
      <c r="H53" s="15">
        <v>11</v>
      </c>
      <c r="I53" s="15">
        <v>3</v>
      </c>
      <c r="J53" s="15">
        <v>5</v>
      </c>
      <c r="K53" s="15">
        <v>7</v>
      </c>
      <c r="L53" s="15">
        <v>5</v>
      </c>
      <c r="M53" s="15">
        <v>3</v>
      </c>
      <c r="N53" s="15"/>
      <c r="O53" s="15">
        <v>7</v>
      </c>
      <c r="P53" s="15">
        <v>7</v>
      </c>
      <c r="Q53" s="15">
        <v>8</v>
      </c>
      <c r="R53" t="s">
        <v>126</v>
      </c>
      <c r="X53" s="25" t="s">
        <v>78</v>
      </c>
      <c r="Y53" s="15"/>
      <c r="Z53" s="15"/>
      <c r="AA53" s="15"/>
      <c r="AB53" s="15">
        <v>19</v>
      </c>
      <c r="AC53" s="15"/>
      <c r="AD53" s="15">
        <v>8</v>
      </c>
      <c r="AE53" s="15">
        <v>1</v>
      </c>
      <c r="AF53" s="15">
        <v>9</v>
      </c>
      <c r="AG53" s="15"/>
      <c r="AH53" s="15">
        <v>14</v>
      </c>
      <c r="AI53" s="15"/>
      <c r="AJ53" s="15"/>
      <c r="AK53" s="15">
        <v>1</v>
      </c>
      <c r="AL53" s="15">
        <v>4</v>
      </c>
      <c r="AM53" s="15">
        <v>1</v>
      </c>
      <c r="AN53" s="15">
        <v>8</v>
      </c>
      <c r="AO53" s="23" t="s">
        <v>124</v>
      </c>
    </row>
    <row r="54" spans="1:41" x14ac:dyDescent="0.45">
      <c r="A54" s="1" t="s">
        <v>31</v>
      </c>
      <c r="B54" s="15"/>
      <c r="C54" s="15">
        <v>3</v>
      </c>
      <c r="D54" s="15"/>
      <c r="E54" s="15">
        <v>16</v>
      </c>
      <c r="F54" s="15">
        <v>1</v>
      </c>
      <c r="G54" s="15">
        <v>3</v>
      </c>
      <c r="H54" s="15">
        <v>2</v>
      </c>
      <c r="I54" s="15">
        <v>1</v>
      </c>
      <c r="J54" s="15"/>
      <c r="K54" s="15">
        <v>3</v>
      </c>
      <c r="L54" s="15">
        <v>1</v>
      </c>
      <c r="M54" s="15"/>
      <c r="N54" s="15">
        <v>1</v>
      </c>
      <c r="O54" s="15"/>
      <c r="P54" s="15"/>
      <c r="Q54" s="15">
        <v>2</v>
      </c>
      <c r="R54" t="s">
        <v>137</v>
      </c>
      <c r="X54" s="25" t="s">
        <v>56</v>
      </c>
      <c r="Y54" s="15">
        <v>1</v>
      </c>
      <c r="Z54" s="15"/>
      <c r="AA54" s="15"/>
      <c r="AB54" s="15">
        <v>16</v>
      </c>
      <c r="AC54" s="15"/>
      <c r="AD54" s="15">
        <v>12</v>
      </c>
      <c r="AE54" s="15">
        <v>2</v>
      </c>
      <c r="AF54" s="15">
        <v>11</v>
      </c>
      <c r="AG54" s="15"/>
      <c r="AH54" s="15">
        <v>6</v>
      </c>
      <c r="AI54" s="15">
        <v>3</v>
      </c>
      <c r="AJ54" s="15"/>
      <c r="AK54" s="15">
        <v>7</v>
      </c>
      <c r="AL54" s="15">
        <v>2</v>
      </c>
      <c r="AM54" s="15"/>
      <c r="AN54" s="15">
        <v>3</v>
      </c>
      <c r="AO54" s="23" t="s">
        <v>124</v>
      </c>
    </row>
    <row r="55" spans="1:41" x14ac:dyDescent="0.45">
      <c r="A55" s="1" t="s">
        <v>8</v>
      </c>
      <c r="B55" s="15"/>
      <c r="C55" s="15"/>
      <c r="D55" s="15"/>
      <c r="E55" s="15">
        <v>3</v>
      </c>
      <c r="F55" s="15"/>
      <c r="G55" s="15">
        <v>2</v>
      </c>
      <c r="H55" s="15">
        <v>3</v>
      </c>
      <c r="I55" s="15">
        <v>3</v>
      </c>
      <c r="J55" s="15"/>
      <c r="K55" s="15"/>
      <c r="L55" s="15">
        <v>2</v>
      </c>
      <c r="M55" s="15"/>
      <c r="N55" s="15"/>
      <c r="O55" s="15"/>
      <c r="P55" s="15"/>
      <c r="Q55" s="15"/>
      <c r="R55" t="s">
        <v>125</v>
      </c>
      <c r="X55" s="25" t="s">
        <v>40</v>
      </c>
      <c r="Y55" s="15"/>
      <c r="Z55" s="15"/>
      <c r="AA55" s="15"/>
      <c r="AB55" s="15"/>
      <c r="AC55" s="15"/>
      <c r="AD55" s="15"/>
      <c r="AE55" s="15">
        <v>1</v>
      </c>
      <c r="AF55" s="15"/>
      <c r="AG55" s="15">
        <v>1</v>
      </c>
      <c r="AH55" s="15"/>
      <c r="AI55" s="15"/>
      <c r="AJ55" s="15"/>
      <c r="AK55" s="15">
        <v>1</v>
      </c>
      <c r="AL55" s="15"/>
      <c r="AM55" s="15"/>
      <c r="AN55" s="15">
        <v>1</v>
      </c>
      <c r="AO55" s="23" t="s">
        <v>124</v>
      </c>
    </row>
    <row r="56" spans="1:41" x14ac:dyDescent="0.45">
      <c r="A56" s="1" t="s">
        <v>92</v>
      </c>
      <c r="B56" s="15">
        <v>1</v>
      </c>
      <c r="C56" s="15">
        <v>5</v>
      </c>
      <c r="D56" s="15">
        <v>1</v>
      </c>
      <c r="E56" s="15">
        <v>3</v>
      </c>
      <c r="F56" s="15"/>
      <c r="G56" s="15">
        <v>7</v>
      </c>
      <c r="H56" s="15">
        <v>2</v>
      </c>
      <c r="I56" s="15">
        <v>2</v>
      </c>
      <c r="J56" s="15"/>
      <c r="K56" s="15">
        <v>1</v>
      </c>
      <c r="L56" s="15">
        <v>3</v>
      </c>
      <c r="M56" s="15">
        <v>1</v>
      </c>
      <c r="N56" s="15"/>
      <c r="O56" s="15"/>
      <c r="P56" s="15">
        <v>1</v>
      </c>
      <c r="Q56" s="15">
        <v>2</v>
      </c>
      <c r="R56" t="s">
        <v>124</v>
      </c>
      <c r="X56" s="25" t="s">
        <v>105</v>
      </c>
      <c r="Y56" s="15"/>
      <c r="Z56" s="15"/>
      <c r="AA56" s="15"/>
      <c r="AB56" s="15">
        <v>10</v>
      </c>
      <c r="AC56" s="15"/>
      <c r="AD56" s="15">
        <v>6</v>
      </c>
      <c r="AE56" s="15">
        <v>1</v>
      </c>
      <c r="AF56" s="15">
        <v>7</v>
      </c>
      <c r="AG56" s="15"/>
      <c r="AH56" s="15">
        <v>6</v>
      </c>
      <c r="AI56" s="15"/>
      <c r="AJ56" s="15"/>
      <c r="AK56" s="15">
        <v>1</v>
      </c>
      <c r="AL56" s="15">
        <v>3</v>
      </c>
      <c r="AM56" s="15"/>
      <c r="AN56" s="15">
        <v>5</v>
      </c>
      <c r="AO56" s="23" t="s">
        <v>124</v>
      </c>
    </row>
    <row r="57" spans="1:41" x14ac:dyDescent="0.45">
      <c r="A57" s="1" t="s">
        <v>50</v>
      </c>
      <c r="B57" s="15"/>
      <c r="C57" s="15"/>
      <c r="D57" s="15"/>
      <c r="E57" s="15">
        <v>6</v>
      </c>
      <c r="F57" s="15">
        <v>2</v>
      </c>
      <c r="G57" s="15">
        <v>2</v>
      </c>
      <c r="H57" s="15">
        <v>2</v>
      </c>
      <c r="I57" s="15">
        <v>1</v>
      </c>
      <c r="J57" s="15"/>
      <c r="K57" s="15"/>
      <c r="L57" s="15">
        <v>1</v>
      </c>
      <c r="M57" s="15"/>
      <c r="N57" s="15">
        <v>4</v>
      </c>
      <c r="O57" s="15">
        <v>1</v>
      </c>
      <c r="P57" s="15"/>
      <c r="Q57" s="15"/>
      <c r="R57" t="s">
        <v>124</v>
      </c>
      <c r="X57" s="25" t="s">
        <v>61</v>
      </c>
      <c r="Y57" s="15"/>
      <c r="Z57" s="15"/>
      <c r="AA57" s="15"/>
      <c r="AB57" s="15">
        <v>5</v>
      </c>
      <c r="AC57" s="15"/>
      <c r="AD57" s="15">
        <v>5</v>
      </c>
      <c r="AE57" s="15"/>
      <c r="AF57" s="15">
        <v>4</v>
      </c>
      <c r="AG57" s="15"/>
      <c r="AH57" s="15">
        <v>4</v>
      </c>
      <c r="AI57" s="15">
        <v>1</v>
      </c>
      <c r="AJ57" s="15">
        <v>1</v>
      </c>
      <c r="AK57" s="15"/>
      <c r="AL57" s="15">
        <v>1</v>
      </c>
      <c r="AM57" s="15"/>
      <c r="AN57" s="15">
        <v>1</v>
      </c>
      <c r="AO57" s="23" t="s">
        <v>124</v>
      </c>
    </row>
    <row r="58" spans="1:41" x14ac:dyDescent="0.45">
      <c r="A58" s="1" t="s">
        <v>78</v>
      </c>
      <c r="B58" s="15"/>
      <c r="C58" s="15"/>
      <c r="D58" s="15"/>
      <c r="E58" s="15">
        <v>19</v>
      </c>
      <c r="F58" s="15"/>
      <c r="G58" s="15">
        <v>8</v>
      </c>
      <c r="H58" s="15">
        <v>1</v>
      </c>
      <c r="I58" s="15">
        <v>9</v>
      </c>
      <c r="J58" s="15"/>
      <c r="K58" s="15">
        <v>14</v>
      </c>
      <c r="L58" s="15"/>
      <c r="M58" s="15"/>
      <c r="N58" s="15">
        <v>1</v>
      </c>
      <c r="O58" s="15">
        <v>4</v>
      </c>
      <c r="P58" s="15">
        <v>1</v>
      </c>
      <c r="Q58" s="15">
        <v>8</v>
      </c>
      <c r="R58" t="s">
        <v>124</v>
      </c>
      <c r="X58" s="25" t="s">
        <v>86</v>
      </c>
      <c r="Y58" s="15"/>
      <c r="Z58" s="15"/>
      <c r="AA58" s="15"/>
      <c r="AB58" s="15">
        <v>4</v>
      </c>
      <c r="AC58" s="15"/>
      <c r="AD58" s="15">
        <v>4</v>
      </c>
      <c r="AE58" s="15"/>
      <c r="AF58" s="15">
        <v>4</v>
      </c>
      <c r="AG58" s="15"/>
      <c r="AH58" s="15">
        <v>4</v>
      </c>
      <c r="AI58" s="15"/>
      <c r="AJ58" s="15"/>
      <c r="AK58" s="15"/>
      <c r="AL58" s="15">
        <v>1</v>
      </c>
      <c r="AM58" s="15"/>
      <c r="AN58" s="15">
        <v>1</v>
      </c>
      <c r="AO58" s="23" t="s">
        <v>124</v>
      </c>
    </row>
    <row r="59" spans="1:41" x14ac:dyDescent="0.45">
      <c r="A59" s="1" t="s">
        <v>56</v>
      </c>
      <c r="B59" s="15">
        <v>1</v>
      </c>
      <c r="C59" s="15"/>
      <c r="D59" s="15"/>
      <c r="E59" s="15">
        <v>16</v>
      </c>
      <c r="F59" s="15"/>
      <c r="G59" s="15">
        <v>12</v>
      </c>
      <c r="H59" s="15">
        <v>2</v>
      </c>
      <c r="I59" s="15">
        <v>11</v>
      </c>
      <c r="J59" s="15"/>
      <c r="K59" s="15">
        <v>6</v>
      </c>
      <c r="L59" s="15">
        <v>3</v>
      </c>
      <c r="M59" s="15"/>
      <c r="N59" s="15">
        <v>7</v>
      </c>
      <c r="O59" s="15">
        <v>2</v>
      </c>
      <c r="P59" s="15"/>
      <c r="Q59" s="15">
        <v>3</v>
      </c>
      <c r="R59" t="s">
        <v>124</v>
      </c>
      <c r="X59" s="25" t="s">
        <v>85</v>
      </c>
      <c r="Y59" s="15"/>
      <c r="Z59" s="15">
        <v>1</v>
      </c>
      <c r="AA59" s="15"/>
      <c r="AB59" s="15">
        <v>2</v>
      </c>
      <c r="AC59" s="15"/>
      <c r="AD59" s="15"/>
      <c r="AE59" s="15"/>
      <c r="AF59" s="15">
        <v>1</v>
      </c>
      <c r="AG59" s="15"/>
      <c r="AH59" s="15">
        <v>3</v>
      </c>
      <c r="AI59" s="15"/>
      <c r="AJ59" s="15"/>
      <c r="AK59" s="15"/>
      <c r="AL59" s="15"/>
      <c r="AM59" s="15"/>
      <c r="AN59" s="15">
        <v>1</v>
      </c>
      <c r="AO59" s="23" t="s">
        <v>124</v>
      </c>
    </row>
    <row r="60" spans="1:41" x14ac:dyDescent="0.45">
      <c r="A60" s="1" t="s">
        <v>40</v>
      </c>
      <c r="B60" s="15"/>
      <c r="C60" s="15"/>
      <c r="D60" s="15"/>
      <c r="E60" s="15"/>
      <c r="F60" s="15"/>
      <c r="G60" s="15"/>
      <c r="H60" s="15">
        <v>1</v>
      </c>
      <c r="I60" s="15"/>
      <c r="J60" s="15">
        <v>1</v>
      </c>
      <c r="K60" s="15"/>
      <c r="L60" s="15"/>
      <c r="M60" s="15"/>
      <c r="N60" s="15">
        <v>1</v>
      </c>
      <c r="O60" s="15"/>
      <c r="P60" s="15"/>
      <c r="Q60" s="15">
        <v>1</v>
      </c>
      <c r="R60" t="s">
        <v>124</v>
      </c>
      <c r="X60" s="25" t="s">
        <v>21</v>
      </c>
      <c r="Y60" s="15"/>
      <c r="Z60" s="15"/>
      <c r="AA60" s="15">
        <v>1</v>
      </c>
      <c r="AB60" s="15">
        <v>2</v>
      </c>
      <c r="AC60" s="15">
        <v>1</v>
      </c>
      <c r="AD60" s="15"/>
      <c r="AE60" s="15">
        <v>4</v>
      </c>
      <c r="AF60" s="15"/>
      <c r="AG60" s="15">
        <v>1</v>
      </c>
      <c r="AH60" s="15">
        <v>2</v>
      </c>
      <c r="AI60" s="15">
        <v>1</v>
      </c>
      <c r="AJ60" s="15"/>
      <c r="AK60" s="15">
        <v>1</v>
      </c>
      <c r="AL60" s="15">
        <v>3</v>
      </c>
      <c r="AM60" s="15"/>
      <c r="AN60" s="15">
        <v>2</v>
      </c>
      <c r="AO60" s="23" t="s">
        <v>124</v>
      </c>
    </row>
    <row r="61" spans="1:41" x14ac:dyDescent="0.45">
      <c r="A61" s="1" t="s">
        <v>105</v>
      </c>
      <c r="B61" s="15"/>
      <c r="C61" s="15"/>
      <c r="D61" s="15"/>
      <c r="E61" s="15">
        <v>10</v>
      </c>
      <c r="F61" s="15"/>
      <c r="G61" s="15">
        <v>6</v>
      </c>
      <c r="H61" s="15">
        <v>1</v>
      </c>
      <c r="I61" s="15">
        <v>7</v>
      </c>
      <c r="J61" s="15"/>
      <c r="K61" s="15">
        <v>6</v>
      </c>
      <c r="L61" s="15"/>
      <c r="M61" s="15"/>
      <c r="N61" s="15">
        <v>1</v>
      </c>
      <c r="O61" s="15">
        <v>3</v>
      </c>
      <c r="P61" s="15"/>
      <c r="Q61" s="15">
        <v>5</v>
      </c>
      <c r="R61" t="s">
        <v>124</v>
      </c>
      <c r="X61" s="25" t="s">
        <v>88</v>
      </c>
      <c r="Y61" s="15">
        <v>1</v>
      </c>
      <c r="Z61" s="15"/>
      <c r="AA61" s="15"/>
      <c r="AB61" s="15">
        <v>26</v>
      </c>
      <c r="AC61" s="15"/>
      <c r="AD61" s="15">
        <v>12</v>
      </c>
      <c r="AE61" s="15">
        <v>1</v>
      </c>
      <c r="AF61" s="15">
        <v>12</v>
      </c>
      <c r="AG61" s="15"/>
      <c r="AH61" s="15">
        <v>9</v>
      </c>
      <c r="AI61" s="15">
        <v>2</v>
      </c>
      <c r="AJ61" s="15"/>
      <c r="AK61" s="15">
        <v>6</v>
      </c>
      <c r="AL61" s="15">
        <v>1</v>
      </c>
      <c r="AM61" s="15"/>
      <c r="AN61" s="15">
        <v>4</v>
      </c>
      <c r="AO61" s="23" t="s">
        <v>124</v>
      </c>
    </row>
    <row r="62" spans="1:41" x14ac:dyDescent="0.45">
      <c r="A62" s="1" t="s">
        <v>61</v>
      </c>
      <c r="B62" s="15"/>
      <c r="C62" s="15"/>
      <c r="D62" s="15"/>
      <c r="E62" s="15">
        <v>5</v>
      </c>
      <c r="F62" s="15"/>
      <c r="G62" s="15">
        <v>5</v>
      </c>
      <c r="H62" s="15"/>
      <c r="I62" s="15">
        <v>4</v>
      </c>
      <c r="J62" s="15"/>
      <c r="K62" s="15">
        <v>4</v>
      </c>
      <c r="L62" s="15">
        <v>1</v>
      </c>
      <c r="M62" s="15">
        <v>1</v>
      </c>
      <c r="N62" s="15"/>
      <c r="O62" s="15">
        <v>1</v>
      </c>
      <c r="P62" s="15"/>
      <c r="Q62" s="15">
        <v>1</v>
      </c>
      <c r="R62" t="s">
        <v>124</v>
      </c>
      <c r="X62" s="25" t="s">
        <v>46</v>
      </c>
      <c r="Y62" s="15"/>
      <c r="Z62" s="15"/>
      <c r="AA62" s="15"/>
      <c r="AB62" s="15">
        <v>6</v>
      </c>
      <c r="AC62" s="15"/>
      <c r="AD62" s="15"/>
      <c r="AE62" s="15">
        <v>3</v>
      </c>
      <c r="AF62" s="15"/>
      <c r="AG62" s="15"/>
      <c r="AH62" s="15"/>
      <c r="AI62" s="15"/>
      <c r="AJ62" s="15"/>
      <c r="AK62" s="15"/>
      <c r="AL62" s="15"/>
      <c r="AM62" s="15"/>
      <c r="AN62" s="15"/>
      <c r="AO62" s="23" t="s">
        <v>124</v>
      </c>
    </row>
    <row r="63" spans="1:41" x14ac:dyDescent="0.45">
      <c r="A63" s="1" t="s">
        <v>86</v>
      </c>
      <c r="B63" s="15"/>
      <c r="C63" s="15"/>
      <c r="D63" s="15"/>
      <c r="E63" s="15">
        <v>4</v>
      </c>
      <c r="F63" s="15"/>
      <c r="G63" s="15">
        <v>4</v>
      </c>
      <c r="H63" s="15"/>
      <c r="I63" s="15">
        <v>4</v>
      </c>
      <c r="J63" s="15"/>
      <c r="K63" s="15">
        <v>4</v>
      </c>
      <c r="L63" s="15"/>
      <c r="M63" s="15"/>
      <c r="N63" s="15"/>
      <c r="O63" s="15">
        <v>1</v>
      </c>
      <c r="P63" s="15"/>
      <c r="Q63" s="15">
        <v>1</v>
      </c>
      <c r="R63" t="s">
        <v>124</v>
      </c>
      <c r="X63" s="25" t="s">
        <v>115</v>
      </c>
      <c r="Y63" s="15"/>
      <c r="Z63" s="15"/>
      <c r="AA63" s="15">
        <v>1</v>
      </c>
      <c r="AB63" s="15"/>
      <c r="AC63" s="15"/>
      <c r="AD63" s="15"/>
      <c r="AE63" s="15">
        <v>1</v>
      </c>
      <c r="AF63" s="15"/>
      <c r="AG63" s="15"/>
      <c r="AH63" s="15"/>
      <c r="AI63" s="15"/>
      <c r="AJ63" s="15"/>
      <c r="AK63" s="15"/>
      <c r="AL63" s="15"/>
      <c r="AM63" s="15"/>
      <c r="AN63" s="15">
        <v>1</v>
      </c>
      <c r="AO63" s="23" t="s">
        <v>124</v>
      </c>
    </row>
    <row r="64" spans="1:41" ht="14.65" thickBot="1" x14ac:dyDescent="0.5">
      <c r="A64" s="1" t="s">
        <v>85</v>
      </c>
      <c r="B64" s="15"/>
      <c r="C64" s="15">
        <v>1</v>
      </c>
      <c r="D64" s="15"/>
      <c r="E64" s="15">
        <v>2</v>
      </c>
      <c r="F64" s="15"/>
      <c r="G64" s="15"/>
      <c r="H64" s="15"/>
      <c r="I64" s="15">
        <v>1</v>
      </c>
      <c r="J64" s="15"/>
      <c r="K64" s="15">
        <v>3</v>
      </c>
      <c r="L64" s="15"/>
      <c r="M64" s="15"/>
      <c r="N64" s="15"/>
      <c r="O64" s="15"/>
      <c r="P64" s="15"/>
      <c r="Q64" s="15">
        <v>1</v>
      </c>
      <c r="R64" t="s">
        <v>124</v>
      </c>
      <c r="X64" s="26" t="s">
        <v>117</v>
      </c>
      <c r="Y64" s="16">
        <v>2</v>
      </c>
      <c r="Z64" s="16">
        <v>6</v>
      </c>
      <c r="AA64" s="16">
        <v>1</v>
      </c>
      <c r="AB64" s="16">
        <v>14</v>
      </c>
      <c r="AC64" s="16">
        <v>4</v>
      </c>
      <c r="AD64" s="16">
        <v>6</v>
      </c>
      <c r="AE64" s="16">
        <v>7</v>
      </c>
      <c r="AF64" s="16">
        <v>1</v>
      </c>
      <c r="AG64" s="16">
        <v>2</v>
      </c>
      <c r="AH64" s="16">
        <v>3</v>
      </c>
      <c r="AI64" s="16">
        <v>2</v>
      </c>
      <c r="AJ64" s="16"/>
      <c r="AK64" s="16">
        <v>2</v>
      </c>
      <c r="AL64" s="16"/>
      <c r="AM64" s="16">
        <v>2</v>
      </c>
      <c r="AN64" s="16">
        <v>2</v>
      </c>
      <c r="AO64" s="14" t="s">
        <v>124</v>
      </c>
    </row>
    <row r="65" spans="1:41" ht="14.65" thickBot="1" x14ac:dyDescent="0.5">
      <c r="A65" s="1" t="s">
        <v>21</v>
      </c>
      <c r="B65" s="15"/>
      <c r="C65" s="15"/>
      <c r="D65" s="15">
        <v>1</v>
      </c>
      <c r="E65" s="15">
        <v>2</v>
      </c>
      <c r="F65" s="15">
        <v>1</v>
      </c>
      <c r="G65" s="15"/>
      <c r="H65" s="15">
        <v>4</v>
      </c>
      <c r="I65" s="15"/>
      <c r="J65" s="15">
        <v>1</v>
      </c>
      <c r="K65" s="15">
        <v>2</v>
      </c>
      <c r="L65" s="15">
        <v>1</v>
      </c>
      <c r="M65" s="15"/>
      <c r="N65" s="15">
        <v>1</v>
      </c>
      <c r="O65" s="15">
        <v>3</v>
      </c>
      <c r="P65" s="15"/>
      <c r="Q65" s="15">
        <v>2</v>
      </c>
      <c r="R65" t="s">
        <v>124</v>
      </c>
    </row>
    <row r="66" spans="1:41" ht="14.65" thickBot="1" x14ac:dyDescent="0.5">
      <c r="A66" s="1" t="s">
        <v>88</v>
      </c>
      <c r="B66" s="15">
        <v>1</v>
      </c>
      <c r="C66" s="15"/>
      <c r="D66" s="15"/>
      <c r="E66" s="15">
        <v>26</v>
      </c>
      <c r="F66" s="15"/>
      <c r="G66" s="15">
        <v>12</v>
      </c>
      <c r="H66" s="15">
        <v>1</v>
      </c>
      <c r="I66" s="15">
        <v>12</v>
      </c>
      <c r="J66" s="15"/>
      <c r="K66" s="15">
        <v>9</v>
      </c>
      <c r="L66" s="15">
        <v>2</v>
      </c>
      <c r="M66" s="15"/>
      <c r="N66" s="15">
        <v>6</v>
      </c>
      <c r="O66" s="15">
        <v>1</v>
      </c>
      <c r="P66" s="15"/>
      <c r="Q66" s="15">
        <v>4</v>
      </c>
      <c r="R66" t="s">
        <v>124</v>
      </c>
      <c r="Y66" s="27">
        <v>3</v>
      </c>
      <c r="Z66" s="28"/>
      <c r="AA66" s="27">
        <v>4</v>
      </c>
      <c r="AB66" s="28"/>
      <c r="AC66" s="27">
        <v>5</v>
      </c>
      <c r="AD66" s="28"/>
      <c r="AE66" s="27">
        <v>6</v>
      </c>
      <c r="AF66" s="28"/>
      <c r="AG66" s="27">
        <v>7</v>
      </c>
      <c r="AH66" s="28"/>
      <c r="AI66" s="27">
        <v>8</v>
      </c>
      <c r="AJ66" s="28"/>
      <c r="AK66" s="27">
        <v>9</v>
      </c>
      <c r="AL66" s="28"/>
      <c r="AM66" s="27">
        <v>10</v>
      </c>
      <c r="AN66" s="28"/>
    </row>
    <row r="67" spans="1:41" ht="14.65" thickBot="1" x14ac:dyDescent="0.5">
      <c r="A67" s="1" t="s">
        <v>46</v>
      </c>
      <c r="B67" s="15"/>
      <c r="C67" s="15"/>
      <c r="D67" s="15"/>
      <c r="E67" s="15">
        <v>6</v>
      </c>
      <c r="F67" s="15"/>
      <c r="G67" s="15"/>
      <c r="H67" s="15">
        <v>3</v>
      </c>
      <c r="I67" s="15"/>
      <c r="J67" s="15"/>
      <c r="K67" s="15"/>
      <c r="L67" s="15"/>
      <c r="M67" s="15"/>
      <c r="N67" s="15"/>
      <c r="O67" s="15"/>
      <c r="P67" s="15"/>
      <c r="Q67" s="15"/>
      <c r="R67" t="s">
        <v>124</v>
      </c>
      <c r="Y67" s="18">
        <v>-1</v>
      </c>
      <c r="Z67" s="18">
        <v>1</v>
      </c>
      <c r="AA67" s="18">
        <v>-1</v>
      </c>
      <c r="AB67" s="18">
        <v>1</v>
      </c>
      <c r="AC67" s="18">
        <v>-1</v>
      </c>
      <c r="AD67" s="18">
        <v>1</v>
      </c>
      <c r="AE67" s="18">
        <v>-1</v>
      </c>
      <c r="AF67" s="18">
        <v>1</v>
      </c>
      <c r="AG67" s="18">
        <v>-1</v>
      </c>
      <c r="AH67" s="18">
        <v>1</v>
      </c>
      <c r="AI67" s="18">
        <v>-1</v>
      </c>
      <c r="AJ67" s="18">
        <v>1</v>
      </c>
      <c r="AK67" s="18">
        <v>-1</v>
      </c>
      <c r="AL67" s="18">
        <v>1</v>
      </c>
      <c r="AM67" s="18">
        <v>-1</v>
      </c>
      <c r="AN67" s="18">
        <v>1</v>
      </c>
      <c r="AO67" s="20" t="s">
        <v>172</v>
      </c>
    </row>
    <row r="68" spans="1:41" x14ac:dyDescent="0.45">
      <c r="A68" s="1" t="s">
        <v>115</v>
      </c>
      <c r="B68" s="15"/>
      <c r="C68" s="15"/>
      <c r="D68" s="15">
        <v>1</v>
      </c>
      <c r="E68" s="15"/>
      <c r="F68" s="15"/>
      <c r="G68" s="15"/>
      <c r="H68" s="15">
        <v>1</v>
      </c>
      <c r="I68" s="15"/>
      <c r="J68" s="15"/>
      <c r="K68" s="15"/>
      <c r="L68" s="15"/>
      <c r="M68" s="15"/>
      <c r="N68" s="15"/>
      <c r="O68" s="15"/>
      <c r="P68" s="15"/>
      <c r="Q68" s="15">
        <v>1</v>
      </c>
      <c r="R68" t="s">
        <v>124</v>
      </c>
      <c r="X68" s="24" t="s">
        <v>24</v>
      </c>
      <c r="Y68" s="20"/>
      <c r="Z68" s="20">
        <v>1</v>
      </c>
      <c r="AA68" s="20"/>
      <c r="AB68" s="20">
        <v>7</v>
      </c>
      <c r="AC68" s="20"/>
      <c r="AD68" s="20"/>
      <c r="AE68" s="20"/>
      <c r="AF68" s="20">
        <v>1</v>
      </c>
      <c r="AG68" s="20"/>
      <c r="AH68" s="20">
        <v>3</v>
      </c>
      <c r="AI68" s="20">
        <v>2</v>
      </c>
      <c r="AJ68" s="20"/>
      <c r="AK68" s="20"/>
      <c r="AL68" s="20">
        <v>2</v>
      </c>
      <c r="AM68" s="20">
        <v>1</v>
      </c>
      <c r="AN68" s="20">
        <v>1</v>
      </c>
      <c r="AO68" s="21" t="s">
        <v>129</v>
      </c>
    </row>
    <row r="69" spans="1:41" x14ac:dyDescent="0.45">
      <c r="A69" s="1" t="s">
        <v>117</v>
      </c>
      <c r="B69" s="15">
        <v>2</v>
      </c>
      <c r="C69" s="15">
        <v>6</v>
      </c>
      <c r="D69" s="15">
        <v>1</v>
      </c>
      <c r="E69" s="15">
        <v>14</v>
      </c>
      <c r="F69" s="15">
        <v>4</v>
      </c>
      <c r="G69" s="15">
        <v>6</v>
      </c>
      <c r="H69" s="15">
        <v>7</v>
      </c>
      <c r="I69" s="15">
        <v>1</v>
      </c>
      <c r="J69" s="15">
        <v>2</v>
      </c>
      <c r="K69" s="15">
        <v>3</v>
      </c>
      <c r="L69" s="15">
        <v>2</v>
      </c>
      <c r="M69" s="15"/>
      <c r="N69" s="15">
        <v>2</v>
      </c>
      <c r="O69" s="15"/>
      <c r="P69" s="15">
        <v>2</v>
      </c>
      <c r="Q69" s="15">
        <v>2</v>
      </c>
      <c r="R69" t="s">
        <v>124</v>
      </c>
      <c r="X69" s="25" t="s">
        <v>27</v>
      </c>
      <c r="Y69" s="15"/>
      <c r="Z69" s="15"/>
      <c r="AA69" s="15"/>
      <c r="AB69" s="15">
        <v>2</v>
      </c>
      <c r="AC69" s="15"/>
      <c r="AD69" s="15">
        <v>2</v>
      </c>
      <c r="AE69" s="15">
        <v>1</v>
      </c>
      <c r="AF69" s="15">
        <v>1</v>
      </c>
      <c r="AG69" s="15"/>
      <c r="AH69" s="15">
        <v>1</v>
      </c>
      <c r="AI69" s="15"/>
      <c r="AJ69" s="15"/>
      <c r="AK69" s="15"/>
      <c r="AL69" s="15">
        <v>1</v>
      </c>
      <c r="AM69" s="15">
        <v>2</v>
      </c>
      <c r="AN69" s="15">
        <v>3</v>
      </c>
      <c r="AO69" s="23" t="s">
        <v>129</v>
      </c>
    </row>
    <row r="70" spans="1:41" x14ac:dyDescent="0.45">
      <c r="A70" s="1" t="s">
        <v>35</v>
      </c>
      <c r="B70" s="15">
        <v>2</v>
      </c>
      <c r="C70" s="15">
        <v>1</v>
      </c>
      <c r="D70" s="15"/>
      <c r="E70" s="15">
        <v>4</v>
      </c>
      <c r="F70" s="15">
        <v>1</v>
      </c>
      <c r="G70" s="15">
        <v>3</v>
      </c>
      <c r="H70" s="15">
        <v>2</v>
      </c>
      <c r="I70" s="15">
        <v>2</v>
      </c>
      <c r="J70" s="15"/>
      <c r="K70" s="15">
        <v>5</v>
      </c>
      <c r="L70" s="15">
        <v>2</v>
      </c>
      <c r="M70" s="15"/>
      <c r="N70" s="15"/>
      <c r="O70" s="15">
        <v>1</v>
      </c>
      <c r="P70" s="15"/>
      <c r="Q70" s="15">
        <v>1</v>
      </c>
      <c r="R70" t="s">
        <v>122</v>
      </c>
      <c r="X70" s="25" t="s">
        <v>90</v>
      </c>
      <c r="Y70" s="15"/>
      <c r="Z70" s="15"/>
      <c r="AA70" s="15"/>
      <c r="AB70" s="15">
        <v>1</v>
      </c>
      <c r="AC70" s="15"/>
      <c r="AD70" s="15"/>
      <c r="AE70" s="15"/>
      <c r="AF70" s="15"/>
      <c r="AG70" s="15"/>
      <c r="AH70" s="15">
        <v>1</v>
      </c>
      <c r="AI70" s="15"/>
      <c r="AJ70" s="15"/>
      <c r="AK70" s="15"/>
      <c r="AL70" s="15"/>
      <c r="AM70" s="15"/>
      <c r="AN70" s="15"/>
      <c r="AO70" s="23" t="s">
        <v>129</v>
      </c>
    </row>
    <row r="71" spans="1:41" x14ac:dyDescent="0.45">
      <c r="A71" s="1" t="s">
        <v>24</v>
      </c>
      <c r="B71" s="15"/>
      <c r="C71" s="15">
        <v>1</v>
      </c>
      <c r="D71" s="15"/>
      <c r="E71" s="15">
        <v>7</v>
      </c>
      <c r="F71" s="15"/>
      <c r="G71" s="15"/>
      <c r="H71" s="15"/>
      <c r="I71" s="15">
        <v>1</v>
      </c>
      <c r="J71" s="15"/>
      <c r="K71" s="15">
        <v>3</v>
      </c>
      <c r="L71" s="15">
        <v>2</v>
      </c>
      <c r="M71" s="15"/>
      <c r="N71" s="15"/>
      <c r="O71" s="15">
        <v>2</v>
      </c>
      <c r="P71" s="15">
        <v>1</v>
      </c>
      <c r="Q71" s="15">
        <v>1</v>
      </c>
      <c r="R71" t="s">
        <v>129</v>
      </c>
      <c r="X71" s="25" t="s">
        <v>107</v>
      </c>
      <c r="Y71" s="15">
        <v>1</v>
      </c>
      <c r="Z71" s="15">
        <v>2</v>
      </c>
      <c r="AA71" s="15"/>
      <c r="AB71" s="15">
        <v>13</v>
      </c>
      <c r="AC71" s="15">
        <v>1</v>
      </c>
      <c r="AD71" s="15">
        <v>7</v>
      </c>
      <c r="AE71" s="15">
        <v>5</v>
      </c>
      <c r="AF71" s="15">
        <v>8</v>
      </c>
      <c r="AG71" s="15"/>
      <c r="AH71" s="15">
        <v>4</v>
      </c>
      <c r="AI71" s="15">
        <v>1</v>
      </c>
      <c r="AJ71" s="15">
        <v>1</v>
      </c>
      <c r="AK71" s="15">
        <v>1</v>
      </c>
      <c r="AL71" s="15">
        <v>3</v>
      </c>
      <c r="AM71" s="15">
        <v>1</v>
      </c>
      <c r="AN71" s="15">
        <v>1</v>
      </c>
      <c r="AO71" s="23" t="s">
        <v>129</v>
      </c>
    </row>
    <row r="72" spans="1:41" x14ac:dyDescent="0.45">
      <c r="A72" s="1" t="s">
        <v>27</v>
      </c>
      <c r="B72" s="15"/>
      <c r="C72" s="15"/>
      <c r="D72" s="15"/>
      <c r="E72" s="15">
        <v>2</v>
      </c>
      <c r="F72" s="15"/>
      <c r="G72" s="15">
        <v>2</v>
      </c>
      <c r="H72" s="15">
        <v>1</v>
      </c>
      <c r="I72" s="15">
        <v>1</v>
      </c>
      <c r="J72" s="15"/>
      <c r="K72" s="15">
        <v>1</v>
      </c>
      <c r="L72" s="15"/>
      <c r="M72" s="15"/>
      <c r="N72" s="15"/>
      <c r="O72" s="15">
        <v>1</v>
      </c>
      <c r="P72" s="15">
        <v>2</v>
      </c>
      <c r="Q72" s="15">
        <v>3</v>
      </c>
      <c r="R72" t="s">
        <v>129</v>
      </c>
      <c r="X72" s="25" t="s">
        <v>26</v>
      </c>
      <c r="Y72" s="15"/>
      <c r="Z72" s="15">
        <v>1</v>
      </c>
      <c r="AA72" s="15"/>
      <c r="AB72" s="15"/>
      <c r="AC72" s="15"/>
      <c r="AD72" s="15">
        <v>1</v>
      </c>
      <c r="AE72" s="15"/>
      <c r="AF72" s="15">
        <v>3</v>
      </c>
      <c r="AG72" s="15"/>
      <c r="AH72" s="15"/>
      <c r="AI72" s="15">
        <v>1</v>
      </c>
      <c r="AJ72" s="15"/>
      <c r="AK72" s="15"/>
      <c r="AL72" s="15"/>
      <c r="AM72" s="15"/>
      <c r="AN72" s="15"/>
      <c r="AO72" s="23" t="s">
        <v>129</v>
      </c>
    </row>
    <row r="73" spans="1:41" x14ac:dyDescent="0.45">
      <c r="A73" s="1" t="s">
        <v>90</v>
      </c>
      <c r="B73" s="15"/>
      <c r="C73" s="15"/>
      <c r="D73" s="15"/>
      <c r="E73" s="15">
        <v>1</v>
      </c>
      <c r="F73" s="15"/>
      <c r="G73" s="15"/>
      <c r="H73" s="15"/>
      <c r="I73" s="15"/>
      <c r="J73" s="15"/>
      <c r="K73" s="15">
        <v>1</v>
      </c>
      <c r="L73" s="15"/>
      <c r="M73" s="15"/>
      <c r="N73" s="15"/>
      <c r="O73" s="15"/>
      <c r="P73" s="15"/>
      <c r="Q73" s="15"/>
      <c r="R73" t="s">
        <v>129</v>
      </c>
      <c r="X73" s="25" t="s">
        <v>112</v>
      </c>
      <c r="Y73" s="15"/>
      <c r="Z73" s="15">
        <v>1</v>
      </c>
      <c r="AA73" s="15"/>
      <c r="AB73" s="15">
        <v>18</v>
      </c>
      <c r="AC73" s="15">
        <v>2</v>
      </c>
      <c r="AD73" s="15">
        <v>6</v>
      </c>
      <c r="AE73" s="15">
        <v>4</v>
      </c>
      <c r="AF73" s="15">
        <v>4</v>
      </c>
      <c r="AG73" s="15"/>
      <c r="AH73" s="15">
        <v>2</v>
      </c>
      <c r="AI73" s="15">
        <v>2</v>
      </c>
      <c r="AJ73" s="15"/>
      <c r="AK73" s="15"/>
      <c r="AL73" s="15">
        <v>6</v>
      </c>
      <c r="AM73" s="15">
        <v>1</v>
      </c>
      <c r="AN73" s="15">
        <v>4</v>
      </c>
      <c r="AO73" s="23" t="s">
        <v>129</v>
      </c>
    </row>
    <row r="74" spans="1:41" x14ac:dyDescent="0.45">
      <c r="A74" s="1" t="s">
        <v>107</v>
      </c>
      <c r="B74" s="15">
        <v>1</v>
      </c>
      <c r="C74" s="15">
        <v>2</v>
      </c>
      <c r="D74" s="15"/>
      <c r="E74" s="15">
        <v>13</v>
      </c>
      <c r="F74" s="15">
        <v>1</v>
      </c>
      <c r="G74" s="15">
        <v>7</v>
      </c>
      <c r="H74" s="15">
        <v>5</v>
      </c>
      <c r="I74" s="15">
        <v>8</v>
      </c>
      <c r="J74" s="15"/>
      <c r="K74" s="15">
        <v>4</v>
      </c>
      <c r="L74" s="15">
        <v>1</v>
      </c>
      <c r="M74" s="15">
        <v>1</v>
      </c>
      <c r="N74" s="15">
        <v>1</v>
      </c>
      <c r="O74" s="15">
        <v>3</v>
      </c>
      <c r="P74" s="15">
        <v>1</v>
      </c>
      <c r="Q74" s="15">
        <v>1</v>
      </c>
      <c r="R74" t="s">
        <v>129</v>
      </c>
      <c r="X74" s="25" t="s">
        <v>60</v>
      </c>
      <c r="Y74" s="15"/>
      <c r="Z74" s="15">
        <v>1</v>
      </c>
      <c r="AA74" s="15">
        <v>1</v>
      </c>
      <c r="AB74" s="15">
        <v>10</v>
      </c>
      <c r="AC74" s="15"/>
      <c r="AD74" s="15">
        <v>1</v>
      </c>
      <c r="AE74" s="15">
        <v>3</v>
      </c>
      <c r="AF74" s="15">
        <v>2</v>
      </c>
      <c r="AG74" s="15">
        <v>2</v>
      </c>
      <c r="AH74" s="15">
        <v>2</v>
      </c>
      <c r="AI74" s="15"/>
      <c r="AJ74" s="15"/>
      <c r="AK74" s="15">
        <v>1</v>
      </c>
      <c r="AL74" s="15"/>
      <c r="AM74" s="15">
        <v>1</v>
      </c>
      <c r="AN74" s="15">
        <v>1</v>
      </c>
      <c r="AO74" s="23" t="s">
        <v>129</v>
      </c>
    </row>
    <row r="75" spans="1:41" x14ac:dyDescent="0.45">
      <c r="A75" s="1" t="s">
        <v>26</v>
      </c>
      <c r="B75" s="15"/>
      <c r="C75" s="15">
        <v>1</v>
      </c>
      <c r="D75" s="15"/>
      <c r="E75" s="15"/>
      <c r="F75" s="15"/>
      <c r="G75" s="15">
        <v>1</v>
      </c>
      <c r="H75" s="15"/>
      <c r="I75" s="15">
        <v>3</v>
      </c>
      <c r="J75" s="15"/>
      <c r="K75" s="15"/>
      <c r="L75" s="15">
        <v>1</v>
      </c>
      <c r="M75" s="15"/>
      <c r="N75" s="15"/>
      <c r="O75" s="15"/>
      <c r="P75" s="15"/>
      <c r="Q75" s="15"/>
      <c r="R75" t="s">
        <v>129</v>
      </c>
      <c r="X75" s="25" t="s">
        <v>64</v>
      </c>
      <c r="Y75" s="15"/>
      <c r="Z75" s="15"/>
      <c r="AA75" s="15"/>
      <c r="AB75" s="15">
        <v>6</v>
      </c>
      <c r="AC75" s="15"/>
      <c r="AD75" s="15">
        <v>6</v>
      </c>
      <c r="AE75" s="15">
        <v>1</v>
      </c>
      <c r="AF75" s="15">
        <v>2</v>
      </c>
      <c r="AG75" s="15"/>
      <c r="AH75" s="15">
        <v>2</v>
      </c>
      <c r="AI75" s="15">
        <v>1</v>
      </c>
      <c r="AJ75" s="15"/>
      <c r="AK75" s="15"/>
      <c r="AL75" s="15">
        <v>3</v>
      </c>
      <c r="AM75" s="15"/>
      <c r="AN75" s="15"/>
      <c r="AO75" s="23" t="s">
        <v>129</v>
      </c>
    </row>
    <row r="76" spans="1:41" x14ac:dyDescent="0.45">
      <c r="A76" s="1" t="s">
        <v>112</v>
      </c>
      <c r="B76" s="15"/>
      <c r="C76" s="15">
        <v>1</v>
      </c>
      <c r="D76" s="15"/>
      <c r="E76" s="15">
        <v>18</v>
      </c>
      <c r="F76" s="15">
        <v>2</v>
      </c>
      <c r="G76" s="15">
        <v>6</v>
      </c>
      <c r="H76" s="15">
        <v>4</v>
      </c>
      <c r="I76" s="15">
        <v>4</v>
      </c>
      <c r="J76" s="15"/>
      <c r="K76" s="15">
        <v>2</v>
      </c>
      <c r="L76" s="15">
        <v>2</v>
      </c>
      <c r="M76" s="15"/>
      <c r="N76" s="15"/>
      <c r="O76" s="15">
        <v>6</v>
      </c>
      <c r="P76" s="15">
        <v>1</v>
      </c>
      <c r="Q76" s="15">
        <v>4</v>
      </c>
      <c r="R76" t="s">
        <v>129</v>
      </c>
      <c r="X76" s="22" t="s">
        <v>89</v>
      </c>
      <c r="Y76" s="15"/>
      <c r="Z76" s="15"/>
      <c r="AA76" s="15">
        <v>2</v>
      </c>
      <c r="AB76" s="15">
        <v>13</v>
      </c>
      <c r="AC76" s="15">
        <v>2</v>
      </c>
      <c r="AD76" s="15">
        <v>4</v>
      </c>
      <c r="AE76" s="15">
        <v>5</v>
      </c>
      <c r="AF76" s="15">
        <v>4</v>
      </c>
      <c r="AG76" s="15">
        <v>2</v>
      </c>
      <c r="AH76" s="15">
        <v>3</v>
      </c>
      <c r="AI76" s="15">
        <v>3</v>
      </c>
      <c r="AJ76" s="15"/>
      <c r="AK76" s="15">
        <v>1</v>
      </c>
      <c r="AL76" s="15"/>
      <c r="AM76" s="15">
        <v>1</v>
      </c>
      <c r="AN76" s="15">
        <v>4</v>
      </c>
      <c r="AO76" s="23" t="s">
        <v>129</v>
      </c>
    </row>
    <row r="77" spans="1:41" x14ac:dyDescent="0.45">
      <c r="A77" s="1" t="s">
        <v>60</v>
      </c>
      <c r="B77" s="15"/>
      <c r="C77" s="15">
        <v>1</v>
      </c>
      <c r="D77" s="15">
        <v>1</v>
      </c>
      <c r="E77" s="15">
        <v>10</v>
      </c>
      <c r="F77" s="15"/>
      <c r="G77" s="15">
        <v>1</v>
      </c>
      <c r="H77" s="15">
        <v>3</v>
      </c>
      <c r="I77" s="15">
        <v>2</v>
      </c>
      <c r="J77" s="15">
        <v>2</v>
      </c>
      <c r="K77" s="15">
        <v>2</v>
      </c>
      <c r="L77" s="15"/>
      <c r="M77" s="15"/>
      <c r="N77" s="15">
        <v>1</v>
      </c>
      <c r="O77" s="15"/>
      <c r="P77" s="15">
        <v>1</v>
      </c>
      <c r="Q77" s="15">
        <v>1</v>
      </c>
      <c r="R77" t="s">
        <v>129</v>
      </c>
      <c r="X77" s="22" t="s">
        <v>62</v>
      </c>
      <c r="Y77" s="15">
        <v>1</v>
      </c>
      <c r="Z77" s="15">
        <v>2</v>
      </c>
      <c r="AA77" s="15"/>
      <c r="AB77" s="15">
        <v>16</v>
      </c>
      <c r="AC77" s="15">
        <v>1</v>
      </c>
      <c r="AD77" s="15">
        <v>8</v>
      </c>
      <c r="AE77" s="15">
        <v>5</v>
      </c>
      <c r="AF77" s="15">
        <v>7</v>
      </c>
      <c r="AG77" s="15"/>
      <c r="AH77" s="15">
        <v>5</v>
      </c>
      <c r="AI77" s="15"/>
      <c r="AJ77" s="15">
        <v>1</v>
      </c>
      <c r="AK77" s="15"/>
      <c r="AL77" s="15">
        <v>1</v>
      </c>
      <c r="AM77" s="15">
        <v>3</v>
      </c>
      <c r="AN77" s="15">
        <v>3</v>
      </c>
      <c r="AO77" s="23" t="s">
        <v>129</v>
      </c>
    </row>
    <row r="78" spans="1:41" ht="14.65" thickBot="1" x14ac:dyDescent="0.5">
      <c r="A78" s="1" t="s">
        <v>64</v>
      </c>
      <c r="B78" s="15"/>
      <c r="C78" s="15"/>
      <c r="D78" s="15"/>
      <c r="E78" s="15">
        <v>6</v>
      </c>
      <c r="F78" s="15"/>
      <c r="G78" s="15">
        <v>6</v>
      </c>
      <c r="H78" s="15">
        <v>1</v>
      </c>
      <c r="I78" s="15">
        <v>2</v>
      </c>
      <c r="J78" s="15"/>
      <c r="K78" s="15">
        <v>2</v>
      </c>
      <c r="L78" s="15">
        <v>1</v>
      </c>
      <c r="M78" s="15"/>
      <c r="N78" s="15"/>
      <c r="O78" s="15">
        <v>3</v>
      </c>
      <c r="P78" s="15"/>
      <c r="Q78" s="15"/>
      <c r="R78" t="s">
        <v>129</v>
      </c>
      <c r="X78" s="13" t="s">
        <v>25</v>
      </c>
      <c r="Y78" s="16"/>
      <c r="Z78" s="16"/>
      <c r="AA78" s="16"/>
      <c r="AB78" s="16">
        <v>1</v>
      </c>
      <c r="AC78" s="16"/>
      <c r="AD78" s="16"/>
      <c r="AE78" s="16">
        <v>1</v>
      </c>
      <c r="AF78" s="16">
        <v>1</v>
      </c>
      <c r="AG78" s="16"/>
      <c r="AH78" s="16"/>
      <c r="AI78" s="16"/>
      <c r="AJ78" s="16"/>
      <c r="AK78" s="16"/>
      <c r="AL78" s="16"/>
      <c r="AM78" s="16"/>
      <c r="AN78" s="16"/>
      <c r="AO78" s="14" t="s">
        <v>129</v>
      </c>
    </row>
    <row r="79" spans="1:41" ht="14.65" thickBot="1" x14ac:dyDescent="0.5">
      <c r="A79" t="s">
        <v>89</v>
      </c>
      <c r="B79" s="15"/>
      <c r="C79" s="15"/>
      <c r="D79" s="15">
        <v>2</v>
      </c>
      <c r="E79" s="15">
        <v>13</v>
      </c>
      <c r="F79" s="15">
        <v>2</v>
      </c>
      <c r="G79" s="15">
        <v>4</v>
      </c>
      <c r="H79" s="15">
        <v>5</v>
      </c>
      <c r="I79" s="15">
        <v>4</v>
      </c>
      <c r="J79" s="15">
        <v>2</v>
      </c>
      <c r="K79" s="15">
        <v>3</v>
      </c>
      <c r="L79" s="15">
        <v>3</v>
      </c>
      <c r="M79" s="15"/>
      <c r="N79" s="15">
        <v>1</v>
      </c>
      <c r="O79" s="15"/>
      <c r="P79" s="15">
        <v>1</v>
      </c>
      <c r="Q79" s="15">
        <v>4</v>
      </c>
      <c r="R79" t="s">
        <v>129</v>
      </c>
    </row>
    <row r="80" spans="1:41" ht="14.65" thickBot="1" x14ac:dyDescent="0.5">
      <c r="A80" t="s">
        <v>62</v>
      </c>
      <c r="B80" s="15">
        <v>1</v>
      </c>
      <c r="C80" s="15">
        <v>2</v>
      </c>
      <c r="D80" s="15"/>
      <c r="E80" s="15">
        <v>16</v>
      </c>
      <c r="F80" s="15">
        <v>1</v>
      </c>
      <c r="G80" s="15">
        <v>8</v>
      </c>
      <c r="H80" s="15">
        <v>5</v>
      </c>
      <c r="I80" s="15">
        <v>7</v>
      </c>
      <c r="J80" s="15"/>
      <c r="K80" s="15">
        <v>5</v>
      </c>
      <c r="L80" s="15"/>
      <c r="M80" s="15">
        <v>1</v>
      </c>
      <c r="N80" s="15"/>
      <c r="O80" s="15">
        <v>1</v>
      </c>
      <c r="P80" s="15">
        <v>3</v>
      </c>
      <c r="Q80" s="15">
        <v>3</v>
      </c>
      <c r="R80" t="s">
        <v>129</v>
      </c>
      <c r="Y80" s="27">
        <v>3</v>
      </c>
      <c r="Z80" s="28"/>
      <c r="AA80" s="27">
        <v>4</v>
      </c>
      <c r="AB80" s="28"/>
      <c r="AC80" s="27">
        <v>5</v>
      </c>
      <c r="AD80" s="28"/>
      <c r="AE80" s="27">
        <v>6</v>
      </c>
      <c r="AF80" s="28"/>
      <c r="AG80" s="27">
        <v>7</v>
      </c>
      <c r="AH80" s="28"/>
      <c r="AI80" s="27">
        <v>8</v>
      </c>
      <c r="AJ80" s="28"/>
      <c r="AK80" s="27">
        <v>9</v>
      </c>
      <c r="AL80" s="28"/>
      <c r="AM80" s="27">
        <v>10</v>
      </c>
      <c r="AN80" s="28"/>
    </row>
    <row r="81" spans="1:41" ht="14.65" thickBot="1" x14ac:dyDescent="0.5">
      <c r="A81" t="s">
        <v>25</v>
      </c>
      <c r="B81" s="15"/>
      <c r="C81" s="15"/>
      <c r="D81" s="15"/>
      <c r="E81" s="15">
        <v>1</v>
      </c>
      <c r="F81" s="15"/>
      <c r="G81" s="15"/>
      <c r="H81" s="15">
        <v>1</v>
      </c>
      <c r="I81" s="15">
        <v>1</v>
      </c>
      <c r="J81" s="15"/>
      <c r="K81" s="15"/>
      <c r="L81" s="15"/>
      <c r="M81" s="15"/>
      <c r="N81" s="15"/>
      <c r="O81" s="15"/>
      <c r="P81" s="15"/>
      <c r="Q81" s="15"/>
      <c r="R81" t="s">
        <v>129</v>
      </c>
      <c r="Y81" s="18">
        <v>-1</v>
      </c>
      <c r="Z81" s="18">
        <v>1</v>
      </c>
      <c r="AA81" s="18">
        <v>-1</v>
      </c>
      <c r="AB81" s="18">
        <v>1</v>
      </c>
      <c r="AC81" s="18">
        <v>-1</v>
      </c>
      <c r="AD81" s="18">
        <v>1</v>
      </c>
      <c r="AE81" s="18">
        <v>-1</v>
      </c>
      <c r="AF81" s="18">
        <v>1</v>
      </c>
      <c r="AG81" s="18">
        <v>-1</v>
      </c>
      <c r="AH81" s="18">
        <v>1</v>
      </c>
      <c r="AI81" s="18">
        <v>-1</v>
      </c>
      <c r="AJ81" s="18">
        <v>1</v>
      </c>
      <c r="AK81" s="18">
        <v>-1</v>
      </c>
      <c r="AL81" s="18">
        <v>1</v>
      </c>
      <c r="AM81" s="18">
        <v>-1</v>
      </c>
      <c r="AN81" s="18">
        <v>1</v>
      </c>
      <c r="AO81" s="20" t="s">
        <v>172</v>
      </c>
    </row>
    <row r="82" spans="1:41" x14ac:dyDescent="0.45">
      <c r="A82" s="1" t="s">
        <v>7</v>
      </c>
      <c r="B82" s="15"/>
      <c r="C82" s="15">
        <v>3</v>
      </c>
      <c r="D82" s="15">
        <v>1</v>
      </c>
      <c r="E82" s="15">
        <v>19</v>
      </c>
      <c r="F82" s="15"/>
      <c r="G82" s="15">
        <v>7</v>
      </c>
      <c r="H82" s="15">
        <v>4</v>
      </c>
      <c r="I82" s="15">
        <v>7</v>
      </c>
      <c r="J82" s="15">
        <v>2</v>
      </c>
      <c r="K82" s="15">
        <v>6</v>
      </c>
      <c r="L82" s="15">
        <v>1</v>
      </c>
      <c r="M82" s="15">
        <v>1</v>
      </c>
      <c r="N82" s="15"/>
      <c r="O82" s="15">
        <v>3</v>
      </c>
      <c r="P82" s="15">
        <v>3</v>
      </c>
      <c r="Q82" s="15">
        <v>5</v>
      </c>
      <c r="R82" t="s">
        <v>142</v>
      </c>
      <c r="X82" s="24" t="s">
        <v>97</v>
      </c>
      <c r="Y82" s="20">
        <v>1</v>
      </c>
      <c r="Z82" s="20">
        <v>2</v>
      </c>
      <c r="AA82" s="20"/>
      <c r="AB82" s="20">
        <v>20</v>
      </c>
      <c r="AC82" s="20">
        <v>1</v>
      </c>
      <c r="AD82" s="20">
        <v>11</v>
      </c>
      <c r="AE82" s="20">
        <v>6</v>
      </c>
      <c r="AF82" s="20">
        <v>6</v>
      </c>
      <c r="AG82" s="20">
        <v>1</v>
      </c>
      <c r="AH82" s="20">
        <v>8</v>
      </c>
      <c r="AI82" s="20"/>
      <c r="AJ82" s="20"/>
      <c r="AK82" s="20"/>
      <c r="AL82" s="20">
        <v>3</v>
      </c>
      <c r="AM82" s="20">
        <v>1</v>
      </c>
      <c r="AN82" s="20">
        <v>3</v>
      </c>
      <c r="AO82" s="21" t="s">
        <v>127</v>
      </c>
    </row>
    <row r="83" spans="1:41" x14ac:dyDescent="0.45">
      <c r="A83" s="1" t="s">
        <v>10</v>
      </c>
      <c r="B83" s="15">
        <v>1</v>
      </c>
      <c r="C83" s="15">
        <v>1</v>
      </c>
      <c r="D83" s="15"/>
      <c r="E83" s="15">
        <v>42</v>
      </c>
      <c r="F83" s="15"/>
      <c r="G83" s="15">
        <v>17</v>
      </c>
      <c r="H83" s="15">
        <v>12</v>
      </c>
      <c r="I83" s="15">
        <v>10</v>
      </c>
      <c r="J83" s="15"/>
      <c r="K83" s="15">
        <v>16</v>
      </c>
      <c r="L83" s="15">
        <v>6</v>
      </c>
      <c r="M83" s="15"/>
      <c r="N83" s="15">
        <v>4</v>
      </c>
      <c r="O83" s="15">
        <v>5</v>
      </c>
      <c r="P83" s="15">
        <v>6</v>
      </c>
      <c r="Q83" s="15">
        <v>1</v>
      </c>
      <c r="R83" t="s">
        <v>142</v>
      </c>
      <c r="X83" s="25" t="s">
        <v>30</v>
      </c>
      <c r="Y83" s="15"/>
      <c r="Z83" s="15"/>
      <c r="AA83" s="15"/>
      <c r="AB83" s="15">
        <v>4</v>
      </c>
      <c r="AC83" s="15">
        <v>1</v>
      </c>
      <c r="AD83" s="15">
        <v>3</v>
      </c>
      <c r="AE83" s="15"/>
      <c r="AF83" s="15">
        <v>5</v>
      </c>
      <c r="AG83" s="15"/>
      <c r="AH83" s="15">
        <v>4</v>
      </c>
      <c r="AI83" s="15">
        <v>2</v>
      </c>
      <c r="AJ83" s="15"/>
      <c r="AK83" s="15"/>
      <c r="AL83" s="15"/>
      <c r="AM83" s="15"/>
      <c r="AN83" s="15"/>
      <c r="AO83" s="23" t="s">
        <v>127</v>
      </c>
    </row>
    <row r="84" spans="1:41" x14ac:dyDescent="0.45">
      <c r="A84" s="1" t="s">
        <v>97</v>
      </c>
      <c r="B84" s="15">
        <v>1</v>
      </c>
      <c r="C84" s="15">
        <v>2</v>
      </c>
      <c r="D84" s="15"/>
      <c r="E84" s="15">
        <v>20</v>
      </c>
      <c r="F84" s="15">
        <v>1</v>
      </c>
      <c r="G84" s="15">
        <v>11</v>
      </c>
      <c r="H84" s="15">
        <v>6</v>
      </c>
      <c r="I84" s="15">
        <v>6</v>
      </c>
      <c r="J84" s="15">
        <v>1</v>
      </c>
      <c r="K84" s="15">
        <v>8</v>
      </c>
      <c r="L84" s="15"/>
      <c r="M84" s="15"/>
      <c r="N84" s="15"/>
      <c r="O84" s="15">
        <v>3</v>
      </c>
      <c r="P84" s="15">
        <v>1</v>
      </c>
      <c r="Q84" s="15">
        <v>3</v>
      </c>
      <c r="R84" t="s">
        <v>127</v>
      </c>
      <c r="X84" s="25" t="s">
        <v>74</v>
      </c>
      <c r="Y84" s="15"/>
      <c r="Z84" s="15"/>
      <c r="AA84" s="15"/>
      <c r="AB84" s="15">
        <v>3</v>
      </c>
      <c r="AC84" s="15">
        <v>1</v>
      </c>
      <c r="AD84" s="15">
        <v>4</v>
      </c>
      <c r="AE84" s="15"/>
      <c r="AF84" s="15">
        <v>6</v>
      </c>
      <c r="AG84" s="15"/>
      <c r="AH84" s="15">
        <v>3</v>
      </c>
      <c r="AI84" s="15">
        <v>2</v>
      </c>
      <c r="AJ84" s="15"/>
      <c r="AK84" s="15"/>
      <c r="AL84" s="15"/>
      <c r="AM84" s="15"/>
      <c r="AN84" s="15"/>
      <c r="AO84" s="23" t="s">
        <v>127</v>
      </c>
    </row>
    <row r="85" spans="1:41" x14ac:dyDescent="0.45">
      <c r="A85" s="1" t="s">
        <v>30</v>
      </c>
      <c r="B85" s="15"/>
      <c r="C85" s="15"/>
      <c r="D85" s="15"/>
      <c r="E85" s="15">
        <v>4</v>
      </c>
      <c r="F85" s="15">
        <v>1</v>
      </c>
      <c r="G85" s="15">
        <v>3</v>
      </c>
      <c r="H85" s="15"/>
      <c r="I85" s="15">
        <v>5</v>
      </c>
      <c r="J85" s="15"/>
      <c r="K85" s="15">
        <v>4</v>
      </c>
      <c r="L85" s="15">
        <v>2</v>
      </c>
      <c r="M85" s="15"/>
      <c r="N85" s="15"/>
      <c r="O85" s="15"/>
      <c r="P85" s="15"/>
      <c r="Q85" s="15"/>
      <c r="R85" t="s">
        <v>127</v>
      </c>
      <c r="X85" s="25" t="s">
        <v>75</v>
      </c>
      <c r="Y85" s="15"/>
      <c r="Z85" s="15"/>
      <c r="AA85" s="15"/>
      <c r="AB85" s="15">
        <v>14</v>
      </c>
      <c r="AC85" s="15">
        <v>1</v>
      </c>
      <c r="AD85" s="15">
        <v>4</v>
      </c>
      <c r="AE85" s="15">
        <v>2</v>
      </c>
      <c r="AF85" s="15">
        <v>7</v>
      </c>
      <c r="AG85" s="15"/>
      <c r="AH85" s="15">
        <v>2</v>
      </c>
      <c r="AI85" s="15">
        <v>7</v>
      </c>
      <c r="AJ85" s="15"/>
      <c r="AK85" s="15">
        <v>4</v>
      </c>
      <c r="AL85" s="15">
        <v>1</v>
      </c>
      <c r="AM85" s="15">
        <v>1</v>
      </c>
      <c r="AN85" s="15"/>
      <c r="AO85" s="23" t="s">
        <v>127</v>
      </c>
    </row>
    <row r="86" spans="1:41" x14ac:dyDescent="0.45">
      <c r="A86" s="1" t="s">
        <v>74</v>
      </c>
      <c r="B86" s="15"/>
      <c r="C86" s="15"/>
      <c r="D86" s="15"/>
      <c r="E86" s="15">
        <v>3</v>
      </c>
      <c r="F86" s="15">
        <v>1</v>
      </c>
      <c r="G86" s="15">
        <v>4</v>
      </c>
      <c r="H86" s="15"/>
      <c r="I86" s="15">
        <v>6</v>
      </c>
      <c r="J86" s="15"/>
      <c r="K86" s="15">
        <v>3</v>
      </c>
      <c r="L86" s="15">
        <v>2</v>
      </c>
      <c r="M86" s="15"/>
      <c r="N86" s="15"/>
      <c r="O86" s="15"/>
      <c r="P86" s="15"/>
      <c r="Q86" s="15"/>
      <c r="R86" t="s">
        <v>127</v>
      </c>
      <c r="X86" s="25" t="s">
        <v>57</v>
      </c>
      <c r="Y86" s="15"/>
      <c r="Z86" s="15"/>
      <c r="AA86" s="15"/>
      <c r="AB86" s="15">
        <v>1</v>
      </c>
      <c r="AC86" s="15">
        <v>1</v>
      </c>
      <c r="AD86" s="15">
        <v>2</v>
      </c>
      <c r="AE86" s="15"/>
      <c r="AF86" s="15"/>
      <c r="AG86" s="15"/>
      <c r="AH86" s="15"/>
      <c r="AI86" s="15"/>
      <c r="AJ86" s="15"/>
      <c r="AK86" s="15"/>
      <c r="AL86" s="15">
        <v>2</v>
      </c>
      <c r="AM86" s="15"/>
      <c r="AN86" s="15"/>
      <c r="AO86" s="23" t="s">
        <v>127</v>
      </c>
    </row>
    <row r="87" spans="1:41" x14ac:dyDescent="0.45">
      <c r="A87" s="1" t="s">
        <v>75</v>
      </c>
      <c r="B87" s="15"/>
      <c r="C87" s="15"/>
      <c r="D87" s="15"/>
      <c r="E87" s="15">
        <v>14</v>
      </c>
      <c r="F87" s="15">
        <v>1</v>
      </c>
      <c r="G87" s="15">
        <v>4</v>
      </c>
      <c r="H87" s="15">
        <v>2</v>
      </c>
      <c r="I87" s="15">
        <v>7</v>
      </c>
      <c r="J87" s="15"/>
      <c r="K87" s="15">
        <v>2</v>
      </c>
      <c r="L87" s="15">
        <v>7</v>
      </c>
      <c r="M87" s="15"/>
      <c r="N87" s="15">
        <v>4</v>
      </c>
      <c r="O87" s="15">
        <v>1</v>
      </c>
      <c r="P87" s="15">
        <v>1</v>
      </c>
      <c r="Q87" s="15"/>
      <c r="R87" t="s">
        <v>127</v>
      </c>
      <c r="X87" s="25" t="s">
        <v>101</v>
      </c>
      <c r="Y87" s="15"/>
      <c r="Z87" s="15">
        <v>1</v>
      </c>
      <c r="AA87" s="15">
        <v>3</v>
      </c>
      <c r="AB87" s="15">
        <v>13</v>
      </c>
      <c r="AC87" s="15">
        <v>3</v>
      </c>
      <c r="AD87" s="15">
        <v>3</v>
      </c>
      <c r="AE87" s="15">
        <v>10</v>
      </c>
      <c r="AF87" s="15">
        <v>5</v>
      </c>
      <c r="AG87" s="15">
        <v>1</v>
      </c>
      <c r="AH87" s="15">
        <v>6</v>
      </c>
      <c r="AI87" s="15">
        <v>3</v>
      </c>
      <c r="AJ87" s="15">
        <v>1</v>
      </c>
      <c r="AK87" s="15">
        <v>7</v>
      </c>
      <c r="AL87" s="15">
        <v>3</v>
      </c>
      <c r="AM87" s="15"/>
      <c r="AN87" s="15">
        <v>3</v>
      </c>
      <c r="AO87" s="23" t="s">
        <v>127</v>
      </c>
    </row>
    <row r="88" spans="1:41" x14ac:dyDescent="0.45">
      <c r="A88" s="1" t="s">
        <v>57</v>
      </c>
      <c r="B88" s="15"/>
      <c r="C88" s="15"/>
      <c r="D88" s="15"/>
      <c r="E88" s="15">
        <v>1</v>
      </c>
      <c r="F88" s="15">
        <v>1</v>
      </c>
      <c r="G88" s="15">
        <v>2</v>
      </c>
      <c r="H88" s="15"/>
      <c r="I88" s="15"/>
      <c r="J88" s="15"/>
      <c r="K88" s="15"/>
      <c r="L88" s="15"/>
      <c r="M88" s="15"/>
      <c r="N88" s="15"/>
      <c r="O88" s="15">
        <v>2</v>
      </c>
      <c r="P88" s="15"/>
      <c r="Q88" s="15"/>
      <c r="R88" t="s">
        <v>127</v>
      </c>
      <c r="X88" s="25" t="s">
        <v>36</v>
      </c>
      <c r="Y88" s="15">
        <v>2</v>
      </c>
      <c r="Z88" s="15">
        <v>0</v>
      </c>
      <c r="AA88" s="15">
        <v>0</v>
      </c>
      <c r="AB88" s="15">
        <v>45</v>
      </c>
      <c r="AC88" s="15">
        <v>2</v>
      </c>
      <c r="AD88" s="15">
        <v>21</v>
      </c>
      <c r="AE88" s="15">
        <v>12</v>
      </c>
      <c r="AF88" s="15">
        <v>20</v>
      </c>
      <c r="AG88" s="15">
        <v>1</v>
      </c>
      <c r="AH88" s="15">
        <v>11</v>
      </c>
      <c r="AI88" s="15">
        <v>10</v>
      </c>
      <c r="AJ88" s="15">
        <v>0</v>
      </c>
      <c r="AK88" s="15">
        <v>5</v>
      </c>
      <c r="AL88" s="15">
        <v>1</v>
      </c>
      <c r="AM88" s="15">
        <v>4</v>
      </c>
      <c r="AN88" s="15">
        <v>2</v>
      </c>
      <c r="AO88" s="23" t="s">
        <v>127</v>
      </c>
    </row>
    <row r="89" spans="1:41" x14ac:dyDescent="0.45">
      <c r="A89" s="1" t="s">
        <v>101</v>
      </c>
      <c r="B89" s="15"/>
      <c r="C89" s="15">
        <v>1</v>
      </c>
      <c r="D89" s="15">
        <v>3</v>
      </c>
      <c r="E89" s="15">
        <v>13</v>
      </c>
      <c r="F89" s="15">
        <v>3</v>
      </c>
      <c r="G89" s="15">
        <v>3</v>
      </c>
      <c r="H89" s="15">
        <v>10</v>
      </c>
      <c r="I89" s="15">
        <v>5</v>
      </c>
      <c r="J89" s="15">
        <v>1</v>
      </c>
      <c r="K89" s="15">
        <v>6</v>
      </c>
      <c r="L89" s="15">
        <v>3</v>
      </c>
      <c r="M89" s="15">
        <v>1</v>
      </c>
      <c r="N89" s="15">
        <v>7</v>
      </c>
      <c r="O89" s="15">
        <v>3</v>
      </c>
      <c r="P89" s="15"/>
      <c r="Q89" s="15">
        <v>3</v>
      </c>
      <c r="R89" t="s">
        <v>127</v>
      </c>
      <c r="X89" s="25" t="s">
        <v>49</v>
      </c>
      <c r="Y89" s="15"/>
      <c r="Z89" s="15"/>
      <c r="AA89" s="15"/>
      <c r="AB89" s="15">
        <v>2</v>
      </c>
      <c r="AC89" s="15"/>
      <c r="AD89" s="15">
        <v>1</v>
      </c>
      <c r="AE89" s="15">
        <v>2</v>
      </c>
      <c r="AF89" s="15">
        <v>2</v>
      </c>
      <c r="AG89" s="15"/>
      <c r="AH89" s="15"/>
      <c r="AI89" s="15"/>
      <c r="AJ89" s="15"/>
      <c r="AK89" s="15"/>
      <c r="AL89" s="15"/>
      <c r="AM89" s="15">
        <v>1</v>
      </c>
      <c r="AN89" s="15"/>
      <c r="AO89" s="23" t="s">
        <v>127</v>
      </c>
    </row>
    <row r="90" spans="1:41" ht="14.65" thickBot="1" x14ac:dyDescent="0.5">
      <c r="A90" s="1" t="s">
        <v>36</v>
      </c>
      <c r="B90" s="15">
        <v>2</v>
      </c>
      <c r="C90" s="15">
        <v>0</v>
      </c>
      <c r="D90" s="15">
        <v>0</v>
      </c>
      <c r="E90" s="15">
        <v>45</v>
      </c>
      <c r="F90" s="15">
        <v>2</v>
      </c>
      <c r="G90" s="15">
        <v>21</v>
      </c>
      <c r="H90" s="15">
        <v>12</v>
      </c>
      <c r="I90" s="15">
        <v>20</v>
      </c>
      <c r="J90" s="15">
        <v>1</v>
      </c>
      <c r="K90" s="15">
        <v>11</v>
      </c>
      <c r="L90" s="15">
        <v>10</v>
      </c>
      <c r="M90" s="15">
        <v>0</v>
      </c>
      <c r="N90" s="15">
        <v>5</v>
      </c>
      <c r="O90" s="15">
        <v>1</v>
      </c>
      <c r="P90" s="15">
        <v>4</v>
      </c>
      <c r="Q90" s="15">
        <v>2</v>
      </c>
      <c r="R90" t="s">
        <v>127</v>
      </c>
      <c r="X90" s="26" t="s">
        <v>84</v>
      </c>
      <c r="Y90" s="16"/>
      <c r="Z90" s="16"/>
      <c r="AA90" s="16"/>
      <c r="AB90" s="16">
        <v>6</v>
      </c>
      <c r="AC90" s="16"/>
      <c r="AD90" s="16">
        <v>1</v>
      </c>
      <c r="AE90" s="16">
        <v>5</v>
      </c>
      <c r="AF90" s="16"/>
      <c r="AG90" s="16"/>
      <c r="AH90" s="16">
        <v>3</v>
      </c>
      <c r="AI90" s="16">
        <v>1</v>
      </c>
      <c r="AJ90" s="16"/>
      <c r="AK90" s="16">
        <v>2</v>
      </c>
      <c r="AL90" s="16">
        <v>1</v>
      </c>
      <c r="AM90" s="16">
        <v>1</v>
      </c>
      <c r="AN90" s="16">
        <v>1</v>
      </c>
      <c r="AO90" s="14" t="s">
        <v>127</v>
      </c>
    </row>
    <row r="91" spans="1:41" x14ac:dyDescent="0.45">
      <c r="A91" s="1" t="s">
        <v>49</v>
      </c>
      <c r="B91" s="15"/>
      <c r="C91" s="15"/>
      <c r="D91" s="15"/>
      <c r="E91" s="15">
        <v>2</v>
      </c>
      <c r="F91" s="15"/>
      <c r="G91" s="15">
        <v>1</v>
      </c>
      <c r="H91" s="15">
        <v>2</v>
      </c>
      <c r="I91" s="15">
        <v>2</v>
      </c>
      <c r="J91" s="15"/>
      <c r="K91" s="15"/>
      <c r="L91" s="15"/>
      <c r="M91" s="15"/>
      <c r="N91" s="15"/>
      <c r="O91" s="15"/>
      <c r="P91" s="15">
        <v>1</v>
      </c>
      <c r="Q91" s="15"/>
      <c r="R91" t="s">
        <v>127</v>
      </c>
    </row>
    <row r="92" spans="1:41" ht="14.65" thickBot="1" x14ac:dyDescent="0.5">
      <c r="A92" s="1" t="s">
        <v>84</v>
      </c>
      <c r="B92" s="15"/>
      <c r="C92" s="15"/>
      <c r="D92" s="15"/>
      <c r="E92" s="15">
        <v>6</v>
      </c>
      <c r="F92" s="15"/>
      <c r="G92" s="15">
        <v>1</v>
      </c>
      <c r="H92" s="15">
        <v>5</v>
      </c>
      <c r="I92" s="15"/>
      <c r="J92" s="15"/>
      <c r="K92" s="15">
        <v>3</v>
      </c>
      <c r="L92" s="15">
        <v>1</v>
      </c>
      <c r="M92" s="15"/>
      <c r="N92" s="15">
        <v>2</v>
      </c>
      <c r="O92" s="15">
        <v>1</v>
      </c>
      <c r="P92" s="15">
        <v>1</v>
      </c>
      <c r="Q92" s="15">
        <v>1</v>
      </c>
      <c r="R92" t="s">
        <v>127</v>
      </c>
    </row>
    <row r="93" spans="1:41" ht="14.65" thickBot="1" x14ac:dyDescent="0.5">
      <c r="A93" s="1" t="s">
        <v>94</v>
      </c>
      <c r="B93" s="15">
        <v>1</v>
      </c>
      <c r="C93" s="15">
        <v>4</v>
      </c>
      <c r="D93" s="15"/>
      <c r="E93" s="15">
        <v>18</v>
      </c>
      <c r="F93" s="15">
        <v>1</v>
      </c>
      <c r="G93" s="15">
        <v>14</v>
      </c>
      <c r="H93" s="15">
        <v>8</v>
      </c>
      <c r="I93" s="15">
        <v>10</v>
      </c>
      <c r="J93" s="15"/>
      <c r="K93" s="15">
        <v>13</v>
      </c>
      <c r="L93" s="15">
        <v>3</v>
      </c>
      <c r="M93" s="15"/>
      <c r="N93" s="15"/>
      <c r="O93" s="15">
        <v>3</v>
      </c>
      <c r="P93" s="15">
        <v>1</v>
      </c>
      <c r="Q93" s="15">
        <v>1</v>
      </c>
      <c r="R93" t="s">
        <v>147</v>
      </c>
      <c r="Y93" s="29">
        <v>3</v>
      </c>
      <c r="Z93" s="30"/>
      <c r="AA93" s="29">
        <v>4</v>
      </c>
      <c r="AB93" s="30"/>
      <c r="AC93" s="29">
        <v>5</v>
      </c>
      <c r="AD93" s="30"/>
      <c r="AE93" s="29">
        <v>6</v>
      </c>
      <c r="AF93" s="30"/>
      <c r="AG93" s="29">
        <v>7</v>
      </c>
      <c r="AH93" s="30"/>
      <c r="AI93" s="29">
        <v>8</v>
      </c>
      <c r="AJ93" s="30"/>
      <c r="AK93" s="29">
        <v>9</v>
      </c>
      <c r="AL93" s="30"/>
      <c r="AM93" s="29">
        <v>10</v>
      </c>
      <c r="AN93" s="30"/>
    </row>
    <row r="94" spans="1:41" ht="14.65" thickBot="1" x14ac:dyDescent="0.5">
      <c r="A94" s="1" t="s">
        <v>104</v>
      </c>
      <c r="B94" s="15">
        <v>1</v>
      </c>
      <c r="C94" s="15"/>
      <c r="D94" s="15"/>
      <c r="E94" s="15">
        <v>15</v>
      </c>
      <c r="F94" s="15">
        <v>1</v>
      </c>
      <c r="G94" s="15">
        <v>2</v>
      </c>
      <c r="H94" s="15">
        <v>10</v>
      </c>
      <c r="I94" s="15">
        <v>4</v>
      </c>
      <c r="J94" s="15"/>
      <c r="K94" s="15">
        <v>4</v>
      </c>
      <c r="L94" s="15">
        <v>5</v>
      </c>
      <c r="M94" s="15">
        <v>1</v>
      </c>
      <c r="N94" s="15">
        <v>2</v>
      </c>
      <c r="O94" s="15">
        <v>2</v>
      </c>
      <c r="P94" s="15">
        <v>3</v>
      </c>
      <c r="Q94" s="15">
        <v>1</v>
      </c>
      <c r="R94" t="s">
        <v>140</v>
      </c>
      <c r="X94" s="19"/>
      <c r="Y94" s="20">
        <v>-1</v>
      </c>
      <c r="Z94" s="20">
        <v>1</v>
      </c>
      <c r="AA94" s="20">
        <v>-1</v>
      </c>
      <c r="AB94" s="20">
        <v>1</v>
      </c>
      <c r="AC94" s="20">
        <v>-1</v>
      </c>
      <c r="AD94" s="20">
        <v>1</v>
      </c>
      <c r="AE94" s="20">
        <v>-1</v>
      </c>
      <c r="AF94" s="20">
        <v>1</v>
      </c>
      <c r="AG94" s="20">
        <v>-1</v>
      </c>
      <c r="AH94" s="20">
        <v>1</v>
      </c>
      <c r="AI94" s="20">
        <v>-1</v>
      </c>
      <c r="AJ94" s="20">
        <v>1</v>
      </c>
      <c r="AK94" s="20">
        <v>-1</v>
      </c>
      <c r="AL94" s="20">
        <v>1</v>
      </c>
      <c r="AM94" s="20">
        <v>-1</v>
      </c>
      <c r="AN94" s="20">
        <v>1</v>
      </c>
      <c r="AO94" s="20" t="s">
        <v>172</v>
      </c>
    </row>
    <row r="95" spans="1:41" x14ac:dyDescent="0.45">
      <c r="A95" s="1" t="s">
        <v>96</v>
      </c>
      <c r="B95" s="15"/>
      <c r="C95" s="15"/>
      <c r="D95" s="15"/>
      <c r="E95" s="15"/>
      <c r="F95" s="15">
        <v>3</v>
      </c>
      <c r="G95" s="15"/>
      <c r="H95" s="15">
        <v>2</v>
      </c>
      <c r="I95" s="15"/>
      <c r="J95" s="15"/>
      <c r="K95" s="15"/>
      <c r="L95" s="15"/>
      <c r="M95" s="15"/>
      <c r="N95" s="15">
        <v>4</v>
      </c>
      <c r="O95" s="15"/>
      <c r="P95" s="15"/>
      <c r="Q95" s="15"/>
      <c r="R95" t="s">
        <v>140</v>
      </c>
      <c r="X95" s="24" t="s">
        <v>103</v>
      </c>
      <c r="Y95" s="20"/>
      <c r="Z95" s="20"/>
      <c r="AA95" s="20">
        <v>4</v>
      </c>
      <c r="AB95" s="20">
        <v>13</v>
      </c>
      <c r="AC95" s="20">
        <v>1</v>
      </c>
      <c r="AD95" s="20">
        <v>3</v>
      </c>
      <c r="AE95" s="20">
        <v>6</v>
      </c>
      <c r="AF95" s="20"/>
      <c r="AG95" s="20">
        <v>4</v>
      </c>
      <c r="AH95" s="20">
        <v>2</v>
      </c>
      <c r="AI95" s="20">
        <v>1</v>
      </c>
      <c r="AJ95" s="20"/>
      <c r="AK95" s="20">
        <v>3</v>
      </c>
      <c r="AL95" s="20">
        <v>1</v>
      </c>
      <c r="AM95" s="20">
        <v>1</v>
      </c>
      <c r="AN95" s="20"/>
      <c r="AO95" s="21" t="s">
        <v>134</v>
      </c>
    </row>
    <row r="96" spans="1:41" x14ac:dyDescent="0.45">
      <c r="A96" s="1" t="s">
        <v>93</v>
      </c>
      <c r="B96" s="15"/>
      <c r="C96" s="15"/>
      <c r="D96" s="15">
        <v>1</v>
      </c>
      <c r="E96" s="15">
        <v>6</v>
      </c>
      <c r="F96" s="15"/>
      <c r="G96" s="15">
        <v>3</v>
      </c>
      <c r="H96" s="15">
        <v>6</v>
      </c>
      <c r="I96" s="15">
        <v>3</v>
      </c>
      <c r="J96" s="15"/>
      <c r="K96" s="15"/>
      <c r="L96" s="15"/>
      <c r="M96" s="15"/>
      <c r="N96" s="15">
        <v>4</v>
      </c>
      <c r="O96" s="15"/>
      <c r="P96" s="15"/>
      <c r="Q96" s="15">
        <v>2</v>
      </c>
      <c r="R96" t="s">
        <v>140</v>
      </c>
      <c r="X96" s="25" t="s">
        <v>71</v>
      </c>
      <c r="Y96" s="15"/>
      <c r="Z96" s="15"/>
      <c r="AA96" s="15"/>
      <c r="AB96" s="15">
        <v>17</v>
      </c>
      <c r="AC96" s="15"/>
      <c r="AD96" s="15">
        <v>1</v>
      </c>
      <c r="AE96" s="15">
        <v>2</v>
      </c>
      <c r="AF96" s="15">
        <v>4</v>
      </c>
      <c r="AG96" s="15"/>
      <c r="AH96" s="15"/>
      <c r="AI96" s="15">
        <v>10</v>
      </c>
      <c r="AJ96" s="15"/>
      <c r="AK96" s="15">
        <v>1</v>
      </c>
      <c r="AL96" s="15"/>
      <c r="AM96" s="15"/>
      <c r="AN96" s="15"/>
      <c r="AO96" s="23" t="s">
        <v>134</v>
      </c>
    </row>
    <row r="97" spans="1:41" x14ac:dyDescent="0.45">
      <c r="A97" s="1" t="s">
        <v>80</v>
      </c>
      <c r="B97" s="15"/>
      <c r="C97" s="15"/>
      <c r="D97" s="15"/>
      <c r="E97" s="15">
        <v>17</v>
      </c>
      <c r="F97" s="15"/>
      <c r="G97" s="15">
        <v>2</v>
      </c>
      <c r="H97" s="15"/>
      <c r="I97" s="15">
        <v>5</v>
      </c>
      <c r="J97" s="15"/>
      <c r="K97" s="15">
        <v>3</v>
      </c>
      <c r="L97" s="15">
        <v>5</v>
      </c>
      <c r="M97" s="15"/>
      <c r="N97" s="15">
        <v>4</v>
      </c>
      <c r="O97" s="15">
        <v>2</v>
      </c>
      <c r="P97" s="15">
        <v>1</v>
      </c>
      <c r="Q97" s="15"/>
      <c r="R97" t="s">
        <v>140</v>
      </c>
      <c r="X97" s="25" t="s">
        <v>51</v>
      </c>
      <c r="Y97" s="15"/>
      <c r="Z97" s="15">
        <v>1</v>
      </c>
      <c r="AA97" s="15"/>
      <c r="AB97" s="15">
        <v>13</v>
      </c>
      <c r="AC97" s="15">
        <v>1</v>
      </c>
      <c r="AD97" s="15">
        <v>3</v>
      </c>
      <c r="AE97" s="15">
        <v>2</v>
      </c>
      <c r="AF97" s="15">
        <v>5</v>
      </c>
      <c r="AG97" s="15"/>
      <c r="AH97" s="15">
        <v>5</v>
      </c>
      <c r="AI97" s="15">
        <v>7</v>
      </c>
      <c r="AJ97" s="15"/>
      <c r="AK97" s="15">
        <v>2</v>
      </c>
      <c r="AL97" s="15">
        <v>1</v>
      </c>
      <c r="AM97" s="15"/>
      <c r="AN97" s="15">
        <v>1</v>
      </c>
      <c r="AO97" s="23" t="s">
        <v>134</v>
      </c>
    </row>
    <row r="98" spans="1:41" x14ac:dyDescent="0.45">
      <c r="A98" s="1" t="s">
        <v>103</v>
      </c>
      <c r="B98" s="15"/>
      <c r="C98" s="15"/>
      <c r="D98" s="15">
        <v>4</v>
      </c>
      <c r="E98" s="15">
        <v>13</v>
      </c>
      <c r="F98" s="15">
        <v>1</v>
      </c>
      <c r="G98" s="15">
        <v>3</v>
      </c>
      <c r="H98" s="15">
        <v>6</v>
      </c>
      <c r="I98" s="15"/>
      <c r="J98" s="15">
        <v>4</v>
      </c>
      <c r="K98" s="15">
        <v>2</v>
      </c>
      <c r="L98" s="15">
        <v>1</v>
      </c>
      <c r="M98" s="15"/>
      <c r="N98" s="15">
        <v>3</v>
      </c>
      <c r="O98" s="15">
        <v>1</v>
      </c>
      <c r="P98" s="15">
        <v>1</v>
      </c>
      <c r="Q98" s="15"/>
      <c r="R98" t="s">
        <v>134</v>
      </c>
      <c r="X98" s="25" t="s">
        <v>28</v>
      </c>
      <c r="Y98" s="15"/>
      <c r="Z98" s="15"/>
      <c r="AA98" s="15"/>
      <c r="AB98" s="15">
        <v>7</v>
      </c>
      <c r="AC98" s="15"/>
      <c r="AD98" s="15">
        <v>1</v>
      </c>
      <c r="AE98" s="15">
        <v>3</v>
      </c>
      <c r="AF98" s="15"/>
      <c r="AG98" s="15"/>
      <c r="AH98" s="15">
        <v>3</v>
      </c>
      <c r="AI98" s="15">
        <v>3</v>
      </c>
      <c r="AJ98" s="15"/>
      <c r="AK98" s="15">
        <v>1</v>
      </c>
      <c r="AL98" s="15">
        <v>1</v>
      </c>
      <c r="AM98" s="15"/>
      <c r="AN98" s="15">
        <v>2</v>
      </c>
      <c r="AO98" s="23" t="s">
        <v>134</v>
      </c>
    </row>
    <row r="99" spans="1:41" x14ac:dyDescent="0.45">
      <c r="A99" s="1" t="s">
        <v>71</v>
      </c>
      <c r="B99" s="15"/>
      <c r="C99" s="15"/>
      <c r="D99" s="15"/>
      <c r="E99" s="15">
        <v>17</v>
      </c>
      <c r="F99" s="15"/>
      <c r="G99" s="15">
        <v>1</v>
      </c>
      <c r="H99" s="15">
        <v>2</v>
      </c>
      <c r="I99" s="15">
        <v>4</v>
      </c>
      <c r="J99" s="15"/>
      <c r="K99" s="15"/>
      <c r="L99" s="15">
        <v>10</v>
      </c>
      <c r="M99" s="15"/>
      <c r="N99" s="15">
        <v>1</v>
      </c>
      <c r="O99" s="15"/>
      <c r="P99" s="15"/>
      <c r="Q99" s="15"/>
      <c r="R99" t="s">
        <v>134</v>
      </c>
      <c r="X99" s="25" t="s">
        <v>72</v>
      </c>
      <c r="Y99" s="15"/>
      <c r="Z99" s="15"/>
      <c r="AA99" s="15"/>
      <c r="AB99" s="15">
        <v>10</v>
      </c>
      <c r="AC99" s="15"/>
      <c r="AD99" s="15">
        <v>4</v>
      </c>
      <c r="AE99" s="15">
        <v>3</v>
      </c>
      <c r="AF99" s="15">
        <v>3</v>
      </c>
      <c r="AG99" s="15"/>
      <c r="AH99" s="15">
        <v>5</v>
      </c>
      <c r="AI99" s="15">
        <v>1</v>
      </c>
      <c r="AJ99" s="15"/>
      <c r="AK99" s="15"/>
      <c r="AL99" s="15">
        <v>2</v>
      </c>
      <c r="AM99" s="15"/>
      <c r="AN99" s="15">
        <v>2</v>
      </c>
      <c r="AO99" s="23" t="s">
        <v>134</v>
      </c>
    </row>
    <row r="100" spans="1:41" x14ac:dyDescent="0.45">
      <c r="A100" s="1" t="s">
        <v>51</v>
      </c>
      <c r="B100" s="15"/>
      <c r="C100" s="15">
        <v>1</v>
      </c>
      <c r="D100" s="15"/>
      <c r="E100" s="15">
        <v>13</v>
      </c>
      <c r="F100" s="15">
        <v>1</v>
      </c>
      <c r="G100" s="15">
        <v>3</v>
      </c>
      <c r="H100" s="15">
        <v>2</v>
      </c>
      <c r="I100" s="15">
        <v>5</v>
      </c>
      <c r="J100" s="15"/>
      <c r="K100" s="15">
        <v>5</v>
      </c>
      <c r="L100" s="15">
        <v>7</v>
      </c>
      <c r="M100" s="15"/>
      <c r="N100" s="15">
        <v>2</v>
      </c>
      <c r="O100" s="15">
        <v>1</v>
      </c>
      <c r="P100" s="15"/>
      <c r="Q100" s="15">
        <v>1</v>
      </c>
      <c r="R100" t="s">
        <v>134</v>
      </c>
      <c r="X100" s="25" t="s">
        <v>70</v>
      </c>
      <c r="Y100" s="15"/>
      <c r="Z100" s="15">
        <v>4</v>
      </c>
      <c r="AA100" s="15">
        <v>1</v>
      </c>
      <c r="AB100" s="15">
        <v>24</v>
      </c>
      <c r="AC100" s="15"/>
      <c r="AD100" s="15">
        <v>14</v>
      </c>
      <c r="AE100" s="15">
        <v>5</v>
      </c>
      <c r="AF100" s="15">
        <v>9</v>
      </c>
      <c r="AG100" s="15">
        <v>1</v>
      </c>
      <c r="AH100" s="15">
        <v>14</v>
      </c>
      <c r="AI100" s="15">
        <v>5</v>
      </c>
      <c r="AJ100" s="15">
        <v>2</v>
      </c>
      <c r="AK100" s="15"/>
      <c r="AL100" s="15">
        <v>2</v>
      </c>
      <c r="AM100" s="15">
        <v>7</v>
      </c>
      <c r="AN100" s="15">
        <v>3</v>
      </c>
      <c r="AO100" s="23" t="s">
        <v>134</v>
      </c>
    </row>
    <row r="101" spans="1:41" x14ac:dyDescent="0.45">
      <c r="A101" s="1" t="s">
        <v>28</v>
      </c>
      <c r="B101" s="15"/>
      <c r="C101" s="15"/>
      <c r="D101" s="15"/>
      <c r="E101" s="15">
        <v>7</v>
      </c>
      <c r="F101" s="15"/>
      <c r="G101" s="15">
        <v>1</v>
      </c>
      <c r="H101" s="15">
        <v>3</v>
      </c>
      <c r="I101" s="15"/>
      <c r="J101" s="15"/>
      <c r="K101" s="15">
        <v>3</v>
      </c>
      <c r="L101" s="15">
        <v>3</v>
      </c>
      <c r="M101" s="15"/>
      <c r="N101" s="15">
        <v>1</v>
      </c>
      <c r="O101" s="15">
        <v>1</v>
      </c>
      <c r="P101" s="15"/>
      <c r="Q101" s="15">
        <v>2</v>
      </c>
      <c r="R101" t="s">
        <v>134</v>
      </c>
      <c r="X101" s="25" t="s">
        <v>79</v>
      </c>
      <c r="Y101" s="15"/>
      <c r="Z101" s="15">
        <v>4</v>
      </c>
      <c r="AA101" s="15"/>
      <c r="AB101" s="15">
        <v>19</v>
      </c>
      <c r="AC101" s="15">
        <v>1</v>
      </c>
      <c r="AD101" s="15">
        <v>8</v>
      </c>
      <c r="AE101" s="15">
        <v>2</v>
      </c>
      <c r="AF101" s="15">
        <v>8</v>
      </c>
      <c r="AG101" s="15"/>
      <c r="AH101" s="15">
        <v>7</v>
      </c>
      <c r="AI101" s="15">
        <v>5</v>
      </c>
      <c r="AJ101" s="15"/>
      <c r="AK101" s="15"/>
      <c r="AL101" s="15"/>
      <c r="AM101" s="15">
        <v>1</v>
      </c>
      <c r="AN101" s="15">
        <v>3</v>
      </c>
      <c r="AO101" s="23" t="s">
        <v>134</v>
      </c>
    </row>
    <row r="102" spans="1:41" ht="14.65" thickBot="1" x14ac:dyDescent="0.5">
      <c r="A102" s="1" t="s">
        <v>72</v>
      </c>
      <c r="B102" s="15"/>
      <c r="C102" s="15"/>
      <c r="D102" s="15"/>
      <c r="E102" s="15">
        <v>10</v>
      </c>
      <c r="F102" s="15"/>
      <c r="G102" s="15">
        <v>4</v>
      </c>
      <c r="H102" s="15">
        <v>3</v>
      </c>
      <c r="I102" s="15">
        <v>3</v>
      </c>
      <c r="J102" s="15"/>
      <c r="K102" s="15">
        <v>5</v>
      </c>
      <c r="L102" s="15">
        <v>1</v>
      </c>
      <c r="M102" s="15"/>
      <c r="N102" s="15"/>
      <c r="O102" s="15">
        <v>2</v>
      </c>
      <c r="P102" s="15"/>
      <c r="Q102" s="15">
        <v>2</v>
      </c>
      <c r="R102" t="s">
        <v>134</v>
      </c>
      <c r="X102" s="13" t="s">
        <v>13</v>
      </c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4" t="s">
        <v>134</v>
      </c>
    </row>
    <row r="103" spans="1:41" x14ac:dyDescent="0.45">
      <c r="A103" s="1" t="s">
        <v>70</v>
      </c>
      <c r="B103" s="15"/>
      <c r="C103" s="15">
        <v>4</v>
      </c>
      <c r="D103" s="15">
        <v>1</v>
      </c>
      <c r="E103" s="15">
        <v>24</v>
      </c>
      <c r="F103" s="15"/>
      <c r="G103" s="15">
        <v>14</v>
      </c>
      <c r="H103" s="15">
        <v>5</v>
      </c>
      <c r="I103" s="15">
        <v>9</v>
      </c>
      <c r="J103" s="15">
        <v>1</v>
      </c>
      <c r="K103" s="15">
        <v>14</v>
      </c>
      <c r="L103" s="15">
        <v>5</v>
      </c>
      <c r="M103" s="15">
        <v>2</v>
      </c>
      <c r="N103" s="15"/>
      <c r="O103" s="15">
        <v>2</v>
      </c>
      <c r="P103" s="15">
        <v>7</v>
      </c>
      <c r="Q103" s="15">
        <v>3</v>
      </c>
      <c r="R103" t="s">
        <v>134</v>
      </c>
    </row>
    <row r="104" spans="1:41" x14ac:dyDescent="0.45">
      <c r="A104" s="1" t="s">
        <v>79</v>
      </c>
      <c r="B104" s="15"/>
      <c r="C104" s="15">
        <v>4</v>
      </c>
      <c r="D104" s="15"/>
      <c r="E104" s="15">
        <v>19</v>
      </c>
      <c r="F104" s="15">
        <v>1</v>
      </c>
      <c r="G104" s="15">
        <v>8</v>
      </c>
      <c r="H104" s="15">
        <v>2</v>
      </c>
      <c r="I104" s="15">
        <v>8</v>
      </c>
      <c r="J104" s="15"/>
      <c r="K104" s="15">
        <v>7</v>
      </c>
      <c r="L104" s="15">
        <v>5</v>
      </c>
      <c r="M104" s="15"/>
      <c r="N104" s="15"/>
      <c r="O104" s="15"/>
      <c r="P104" s="15">
        <v>1</v>
      </c>
      <c r="Q104" s="15">
        <v>3</v>
      </c>
      <c r="R104" t="s">
        <v>134</v>
      </c>
    </row>
    <row r="105" spans="1:41" ht="14.65" thickBot="1" x14ac:dyDescent="0.5">
      <c r="A105" t="s">
        <v>13</v>
      </c>
      <c r="R105" t="s">
        <v>134</v>
      </c>
    </row>
    <row r="106" spans="1:41" ht="14.65" thickBot="1" x14ac:dyDescent="0.5">
      <c r="Y106" s="27">
        <v>3</v>
      </c>
      <c r="Z106" s="28"/>
      <c r="AA106" s="27">
        <v>4</v>
      </c>
      <c r="AB106" s="28"/>
      <c r="AC106" s="27">
        <v>5</v>
      </c>
      <c r="AD106" s="28"/>
      <c r="AE106" s="27">
        <v>6</v>
      </c>
      <c r="AF106" s="28"/>
      <c r="AG106" s="27">
        <v>7</v>
      </c>
      <c r="AH106" s="28"/>
      <c r="AI106" s="27">
        <v>8</v>
      </c>
      <c r="AJ106" s="28"/>
      <c r="AK106" s="27">
        <v>9</v>
      </c>
      <c r="AL106" s="28"/>
      <c r="AM106" s="27">
        <v>10</v>
      </c>
      <c r="AN106" s="28"/>
    </row>
    <row r="107" spans="1:41" ht="14.65" thickBot="1" x14ac:dyDescent="0.5">
      <c r="Y107" s="18">
        <v>-1</v>
      </c>
      <c r="Z107" s="18">
        <v>1</v>
      </c>
      <c r="AA107" s="18">
        <v>-1</v>
      </c>
      <c r="AB107" s="18">
        <v>1</v>
      </c>
      <c r="AC107" s="18">
        <v>-1</v>
      </c>
      <c r="AD107" s="18">
        <v>1</v>
      </c>
      <c r="AE107" s="18">
        <v>-1</v>
      </c>
      <c r="AF107" s="18">
        <v>1</v>
      </c>
      <c r="AG107" s="18">
        <v>-1</v>
      </c>
      <c r="AH107" s="18">
        <v>1</v>
      </c>
      <c r="AI107" s="18">
        <v>-1</v>
      </c>
      <c r="AJ107" s="18">
        <v>1</v>
      </c>
      <c r="AK107" s="18">
        <v>-1</v>
      </c>
      <c r="AL107" s="18">
        <v>1</v>
      </c>
      <c r="AM107" s="18">
        <v>-1</v>
      </c>
      <c r="AN107" s="18">
        <v>1</v>
      </c>
      <c r="AO107" s="20" t="s">
        <v>172</v>
      </c>
    </row>
    <row r="108" spans="1:41" x14ac:dyDescent="0.45">
      <c r="X108" s="19" t="s">
        <v>52</v>
      </c>
      <c r="Y108" s="20">
        <v>2</v>
      </c>
      <c r="Z108" s="20">
        <v>2</v>
      </c>
      <c r="AA108" s="20">
        <v>1</v>
      </c>
      <c r="AB108" s="20">
        <v>21</v>
      </c>
      <c r="AC108" s="20">
        <v>10</v>
      </c>
      <c r="AD108" s="20">
        <v>6</v>
      </c>
      <c r="AE108" s="20">
        <v>14</v>
      </c>
      <c r="AF108" s="20">
        <v>6</v>
      </c>
      <c r="AG108" s="20">
        <v>1</v>
      </c>
      <c r="AH108" s="20">
        <v>3</v>
      </c>
      <c r="AI108" s="20">
        <v>2</v>
      </c>
      <c r="AJ108" s="20">
        <v>1</v>
      </c>
      <c r="AK108" s="20">
        <v>9</v>
      </c>
      <c r="AL108" s="20">
        <v>4</v>
      </c>
      <c r="AM108" s="20">
        <v>1</v>
      </c>
      <c r="AN108" s="20">
        <v>5</v>
      </c>
      <c r="AO108" s="20" t="s">
        <v>123</v>
      </c>
    </row>
    <row r="109" spans="1:41" x14ac:dyDescent="0.45">
      <c r="X109" s="22" t="s">
        <v>14</v>
      </c>
      <c r="Y109" s="15">
        <v>1</v>
      </c>
      <c r="Z109" s="15">
        <v>2</v>
      </c>
      <c r="AA109" s="15"/>
      <c r="AB109" s="15">
        <v>15</v>
      </c>
      <c r="AC109" s="15">
        <v>1</v>
      </c>
      <c r="AD109" s="15">
        <v>9</v>
      </c>
      <c r="AE109" s="15">
        <v>8</v>
      </c>
      <c r="AF109" s="15">
        <v>4</v>
      </c>
      <c r="AG109" s="15">
        <v>1</v>
      </c>
      <c r="AH109" s="15">
        <v>2</v>
      </c>
      <c r="AI109" s="15">
        <v>2</v>
      </c>
      <c r="AJ109" s="15">
        <v>1</v>
      </c>
      <c r="AK109" s="15">
        <v>1</v>
      </c>
      <c r="AL109" s="15">
        <v>1</v>
      </c>
      <c r="AM109" s="15">
        <v>3</v>
      </c>
      <c r="AN109" s="15">
        <v>1</v>
      </c>
      <c r="AO109" s="15" t="s">
        <v>123</v>
      </c>
    </row>
    <row r="110" spans="1:41" x14ac:dyDescent="0.45">
      <c r="X110" s="22" t="s">
        <v>55</v>
      </c>
      <c r="Y110" s="15">
        <v>2</v>
      </c>
      <c r="Z110" s="15">
        <v>5</v>
      </c>
      <c r="AA110" s="15">
        <v>2</v>
      </c>
      <c r="AB110" s="15">
        <v>53</v>
      </c>
      <c r="AC110" s="15">
        <v>2</v>
      </c>
      <c r="AD110" s="15">
        <v>25</v>
      </c>
      <c r="AE110" s="15">
        <v>21</v>
      </c>
      <c r="AF110" s="15">
        <v>8</v>
      </c>
      <c r="AG110" s="15">
        <v>5</v>
      </c>
      <c r="AH110" s="15">
        <v>12</v>
      </c>
      <c r="AI110" s="15">
        <v>10</v>
      </c>
      <c r="AJ110" s="15">
        <v>4</v>
      </c>
      <c r="AK110" s="15">
        <v>2</v>
      </c>
      <c r="AL110" s="15">
        <v>18</v>
      </c>
      <c r="AM110" s="15">
        <v>9</v>
      </c>
      <c r="AN110" s="15">
        <v>12</v>
      </c>
      <c r="AO110" s="15" t="s">
        <v>123</v>
      </c>
    </row>
    <row r="111" spans="1:41" x14ac:dyDescent="0.45">
      <c r="X111" s="22" t="s">
        <v>76</v>
      </c>
      <c r="Y111" s="15"/>
      <c r="Z111" s="15"/>
      <c r="AA111" s="15"/>
      <c r="AB111" s="15">
        <v>1</v>
      </c>
      <c r="AC111" s="15"/>
      <c r="AD111" s="15"/>
      <c r="AE111" s="15">
        <v>2</v>
      </c>
      <c r="AF111" s="15"/>
      <c r="AG111" s="15"/>
      <c r="AH111" s="15"/>
      <c r="AI111" s="15"/>
      <c r="AJ111" s="15"/>
      <c r="AK111" s="15"/>
      <c r="AL111" s="15"/>
      <c r="AM111" s="15"/>
      <c r="AN111" s="15"/>
      <c r="AO111" s="15" t="s">
        <v>123</v>
      </c>
    </row>
    <row r="112" spans="1:41" x14ac:dyDescent="0.45">
      <c r="X112" s="22" t="s">
        <v>23</v>
      </c>
      <c r="Y112" s="15">
        <v>1</v>
      </c>
      <c r="Z112" s="15">
        <v>1</v>
      </c>
      <c r="AA112" s="15"/>
      <c r="AB112" s="15">
        <v>12</v>
      </c>
      <c r="AC112" s="15"/>
      <c r="AD112" s="15">
        <v>9</v>
      </c>
      <c r="AE112" s="15">
        <v>4</v>
      </c>
      <c r="AF112" s="15">
        <v>4</v>
      </c>
      <c r="AG112" s="15"/>
      <c r="AH112" s="15">
        <v>5</v>
      </c>
      <c r="AI112" s="15"/>
      <c r="AJ112" s="15"/>
      <c r="AK112" s="15"/>
      <c r="AL112" s="15">
        <v>4</v>
      </c>
      <c r="AM112" s="15">
        <v>1</v>
      </c>
      <c r="AN112" s="15">
        <v>2</v>
      </c>
      <c r="AO112" s="15" t="s">
        <v>132</v>
      </c>
    </row>
    <row r="113" spans="24:41" x14ac:dyDescent="0.45">
      <c r="X113" s="22" t="s">
        <v>15</v>
      </c>
      <c r="Y113" s="15">
        <v>1</v>
      </c>
      <c r="Z113" s="15">
        <v>2</v>
      </c>
      <c r="AA113" s="15"/>
      <c r="AB113" s="15">
        <v>19</v>
      </c>
      <c r="AC113" s="15">
        <v>3</v>
      </c>
      <c r="AD113" s="15">
        <v>14</v>
      </c>
      <c r="AE113" s="15">
        <v>6</v>
      </c>
      <c r="AF113" s="15">
        <v>13</v>
      </c>
      <c r="AG113" s="15">
        <v>2</v>
      </c>
      <c r="AH113" s="15">
        <v>8</v>
      </c>
      <c r="AI113" s="15"/>
      <c r="AJ113" s="15">
        <v>1</v>
      </c>
      <c r="AK113" s="15"/>
      <c r="AL113" s="15">
        <v>3</v>
      </c>
      <c r="AM113" s="15">
        <v>3</v>
      </c>
      <c r="AN113" s="15">
        <v>5</v>
      </c>
      <c r="AO113" s="15" t="s">
        <v>132</v>
      </c>
    </row>
    <row r="114" spans="24:41" x14ac:dyDescent="0.45">
      <c r="X114" s="22" t="s">
        <v>32</v>
      </c>
      <c r="Y114" s="15">
        <v>3</v>
      </c>
      <c r="Z114" s="15">
        <v>1</v>
      </c>
      <c r="AA114" s="15">
        <v>3</v>
      </c>
      <c r="AB114" s="15">
        <v>71</v>
      </c>
      <c r="AC114" s="15">
        <v>5</v>
      </c>
      <c r="AD114" s="15">
        <v>20</v>
      </c>
      <c r="AE114" s="15">
        <v>25</v>
      </c>
      <c r="AF114" s="15">
        <v>20</v>
      </c>
      <c r="AG114" s="15">
        <v>1</v>
      </c>
      <c r="AH114" s="15">
        <v>12</v>
      </c>
      <c r="AI114" s="15">
        <v>18</v>
      </c>
      <c r="AJ114" s="15">
        <v>3</v>
      </c>
      <c r="AK114" s="15">
        <v>4</v>
      </c>
      <c r="AL114" s="15">
        <v>12</v>
      </c>
      <c r="AM114" s="15">
        <v>4</v>
      </c>
      <c r="AN114" s="15">
        <v>14</v>
      </c>
      <c r="AO114" s="15" t="s">
        <v>133</v>
      </c>
    </row>
    <row r="115" spans="24:41" ht="14.65" thickBot="1" x14ac:dyDescent="0.5">
      <c r="X115" s="22" t="s">
        <v>38</v>
      </c>
      <c r="Y115" s="15"/>
      <c r="Z115" s="15">
        <v>1</v>
      </c>
      <c r="AA115" s="15"/>
      <c r="AB115" s="15"/>
      <c r="AC115" s="15"/>
      <c r="AD115" s="15"/>
      <c r="AE115" s="15"/>
      <c r="AF115" s="15"/>
      <c r="AG115" s="15"/>
      <c r="AH115" s="15">
        <v>1</v>
      </c>
      <c r="AI115" s="15"/>
      <c r="AJ115" s="15"/>
      <c r="AK115" s="15"/>
      <c r="AL115" s="15"/>
      <c r="AM115" s="15"/>
      <c r="AN115" s="15"/>
      <c r="AO115" s="16" t="s">
        <v>136</v>
      </c>
    </row>
    <row r="116" spans="24:41" ht="14.65" thickBot="1" x14ac:dyDescent="0.5">
      <c r="X116" s="22" t="s">
        <v>91</v>
      </c>
      <c r="Y116" s="15"/>
      <c r="Z116" s="15">
        <v>4</v>
      </c>
      <c r="AA116" s="15">
        <v>1</v>
      </c>
      <c r="AB116" s="15">
        <v>30</v>
      </c>
      <c r="AC116" s="15">
        <v>1</v>
      </c>
      <c r="AD116" s="15">
        <v>13</v>
      </c>
      <c r="AE116" s="15">
        <v>11</v>
      </c>
      <c r="AF116" s="15">
        <v>3</v>
      </c>
      <c r="AG116" s="15">
        <v>5</v>
      </c>
      <c r="AH116" s="15">
        <v>7</v>
      </c>
      <c r="AI116" s="15">
        <v>5</v>
      </c>
      <c r="AJ116" s="15">
        <v>3</v>
      </c>
      <c r="AK116" s="15"/>
      <c r="AL116" s="15">
        <v>7</v>
      </c>
      <c r="AM116" s="15">
        <v>7</v>
      </c>
      <c r="AN116" s="15">
        <v>8</v>
      </c>
      <c r="AO116" s="20" t="s">
        <v>126</v>
      </c>
    </row>
    <row r="117" spans="24:41" x14ac:dyDescent="0.45">
      <c r="X117" s="22" t="s">
        <v>31</v>
      </c>
      <c r="Y117" s="15"/>
      <c r="Z117" s="15">
        <v>3</v>
      </c>
      <c r="AA117" s="15"/>
      <c r="AB117" s="15">
        <v>16</v>
      </c>
      <c r="AC117" s="15">
        <v>1</v>
      </c>
      <c r="AD117" s="15">
        <v>3</v>
      </c>
      <c r="AE117" s="15">
        <v>2</v>
      </c>
      <c r="AF117" s="15">
        <v>1</v>
      </c>
      <c r="AG117" s="15"/>
      <c r="AH117" s="15">
        <v>3</v>
      </c>
      <c r="AI117" s="15">
        <v>1</v>
      </c>
      <c r="AJ117" s="15"/>
      <c r="AK117" s="15">
        <v>1</v>
      </c>
      <c r="AL117" s="15"/>
      <c r="AM117" s="15"/>
      <c r="AN117" s="15">
        <v>2</v>
      </c>
      <c r="AO117" s="20" t="s">
        <v>137</v>
      </c>
    </row>
    <row r="118" spans="24:41" x14ac:dyDescent="0.45">
      <c r="X118" s="22" t="s">
        <v>8</v>
      </c>
      <c r="Y118" s="15"/>
      <c r="Z118" s="15"/>
      <c r="AA118" s="15"/>
      <c r="AB118" s="15">
        <v>3</v>
      </c>
      <c r="AC118" s="15"/>
      <c r="AD118" s="15">
        <v>2</v>
      </c>
      <c r="AE118" s="15">
        <v>3</v>
      </c>
      <c r="AF118" s="15">
        <v>3</v>
      </c>
      <c r="AG118" s="15"/>
      <c r="AH118" s="15"/>
      <c r="AI118" s="15">
        <v>2</v>
      </c>
      <c r="AJ118" s="15"/>
      <c r="AK118" s="15"/>
      <c r="AL118" s="15"/>
      <c r="AM118" s="15"/>
      <c r="AN118" s="15"/>
      <c r="AO118" s="15" t="s">
        <v>125</v>
      </c>
    </row>
    <row r="119" spans="24:41" x14ac:dyDescent="0.45">
      <c r="X119" s="22" t="s">
        <v>35</v>
      </c>
      <c r="Y119" s="15">
        <v>2</v>
      </c>
      <c r="Z119" s="15">
        <v>1</v>
      </c>
      <c r="AA119" s="15"/>
      <c r="AB119" s="15">
        <v>4</v>
      </c>
      <c r="AC119" s="15">
        <v>1</v>
      </c>
      <c r="AD119" s="15">
        <v>3</v>
      </c>
      <c r="AE119" s="15">
        <v>2</v>
      </c>
      <c r="AF119" s="15">
        <v>2</v>
      </c>
      <c r="AG119" s="15"/>
      <c r="AH119" s="15">
        <v>5</v>
      </c>
      <c r="AI119" s="15">
        <v>2</v>
      </c>
      <c r="AJ119" s="15"/>
      <c r="AK119" s="15"/>
      <c r="AL119" s="15">
        <v>1</v>
      </c>
      <c r="AM119" s="15"/>
      <c r="AN119" s="15">
        <v>1</v>
      </c>
      <c r="AO119" s="15" t="s">
        <v>122</v>
      </c>
    </row>
    <row r="120" spans="24:41" x14ac:dyDescent="0.45">
      <c r="X120" s="22" t="s">
        <v>94</v>
      </c>
      <c r="Y120" s="15">
        <v>1</v>
      </c>
      <c r="Z120" s="15">
        <v>4</v>
      </c>
      <c r="AA120" s="15"/>
      <c r="AB120" s="15">
        <v>18</v>
      </c>
      <c r="AC120" s="15">
        <v>1</v>
      </c>
      <c r="AD120" s="15">
        <v>14</v>
      </c>
      <c r="AE120" s="15">
        <v>8</v>
      </c>
      <c r="AF120" s="15">
        <v>10</v>
      </c>
      <c r="AG120" s="15"/>
      <c r="AH120" s="15">
        <v>13</v>
      </c>
      <c r="AI120" s="15">
        <v>3</v>
      </c>
      <c r="AJ120" s="15"/>
      <c r="AK120" s="15"/>
      <c r="AL120" s="15">
        <v>3</v>
      </c>
      <c r="AM120" s="15">
        <v>1</v>
      </c>
      <c r="AN120" s="15">
        <v>1</v>
      </c>
      <c r="AO120" s="15" t="s">
        <v>147</v>
      </c>
    </row>
    <row r="121" spans="24:41" x14ac:dyDescent="0.45">
      <c r="X121" s="22" t="s">
        <v>104</v>
      </c>
      <c r="Y121" s="15">
        <v>1</v>
      </c>
      <c r="Z121" s="15"/>
      <c r="AA121" s="15"/>
      <c r="AB121" s="15">
        <v>15</v>
      </c>
      <c r="AC121" s="15">
        <v>1</v>
      </c>
      <c r="AD121" s="15">
        <v>2</v>
      </c>
      <c r="AE121" s="15">
        <v>10</v>
      </c>
      <c r="AF121" s="15">
        <v>4</v>
      </c>
      <c r="AG121" s="15"/>
      <c r="AH121" s="15">
        <v>4</v>
      </c>
      <c r="AI121" s="15">
        <v>5</v>
      </c>
      <c r="AJ121" s="15">
        <v>1</v>
      </c>
      <c r="AK121" s="15">
        <v>2</v>
      </c>
      <c r="AL121" s="15">
        <v>2</v>
      </c>
      <c r="AM121" s="15">
        <v>3</v>
      </c>
      <c r="AN121" s="15">
        <v>1</v>
      </c>
      <c r="AO121" s="15" t="s">
        <v>140</v>
      </c>
    </row>
    <row r="122" spans="24:41" x14ac:dyDescent="0.45">
      <c r="X122" s="22" t="s">
        <v>96</v>
      </c>
      <c r="Y122" s="15"/>
      <c r="Z122" s="15"/>
      <c r="AA122" s="15"/>
      <c r="AB122" s="15"/>
      <c r="AC122" s="15">
        <v>3</v>
      </c>
      <c r="AD122" s="15"/>
      <c r="AE122" s="15">
        <v>2</v>
      </c>
      <c r="AF122" s="15"/>
      <c r="AG122" s="15"/>
      <c r="AH122" s="15"/>
      <c r="AI122" s="15"/>
      <c r="AJ122" s="15"/>
      <c r="AK122" s="15">
        <v>4</v>
      </c>
      <c r="AL122" s="15"/>
      <c r="AM122" s="15"/>
      <c r="AN122" s="15"/>
      <c r="AO122" s="15" t="s">
        <v>140</v>
      </c>
    </row>
    <row r="123" spans="24:41" x14ac:dyDescent="0.45">
      <c r="X123" s="22" t="s">
        <v>93</v>
      </c>
      <c r="Y123" s="15"/>
      <c r="Z123" s="15"/>
      <c r="AA123" s="15">
        <v>1</v>
      </c>
      <c r="AB123" s="15">
        <v>6</v>
      </c>
      <c r="AC123" s="15"/>
      <c r="AD123" s="15">
        <v>3</v>
      </c>
      <c r="AE123" s="15">
        <v>6</v>
      </c>
      <c r="AF123" s="15">
        <v>3</v>
      </c>
      <c r="AG123" s="15"/>
      <c r="AH123" s="15"/>
      <c r="AI123" s="15"/>
      <c r="AJ123" s="15"/>
      <c r="AK123" s="15">
        <v>4</v>
      </c>
      <c r="AL123" s="15"/>
      <c r="AM123" s="15"/>
      <c r="AN123" s="15">
        <v>2</v>
      </c>
      <c r="AO123" s="15" t="s">
        <v>140</v>
      </c>
    </row>
    <row r="124" spans="24:41" ht="14.65" thickBot="1" x14ac:dyDescent="0.5">
      <c r="X124" s="22" t="s">
        <v>80</v>
      </c>
      <c r="Y124" s="15"/>
      <c r="Z124" s="15"/>
      <c r="AA124" s="15"/>
      <c r="AB124" s="15">
        <v>17</v>
      </c>
      <c r="AC124" s="15"/>
      <c r="AD124" s="15">
        <v>2</v>
      </c>
      <c r="AE124" s="15"/>
      <c r="AF124" s="15">
        <v>5</v>
      </c>
      <c r="AG124" s="15"/>
      <c r="AH124" s="15">
        <v>3</v>
      </c>
      <c r="AI124" s="15">
        <v>5</v>
      </c>
      <c r="AJ124" s="15"/>
      <c r="AK124" s="15">
        <v>4</v>
      </c>
      <c r="AL124" s="15">
        <v>2</v>
      </c>
      <c r="AM124" s="15">
        <v>1</v>
      </c>
      <c r="AN124" s="15"/>
      <c r="AO124" s="16" t="s">
        <v>140</v>
      </c>
    </row>
    <row r="125" spans="24:41" ht="14.65" thickBot="1" x14ac:dyDescent="0.5">
      <c r="X125" s="22" t="s">
        <v>7</v>
      </c>
      <c r="Y125" s="15"/>
      <c r="Z125" s="15">
        <v>3</v>
      </c>
      <c r="AA125" s="15">
        <v>1</v>
      </c>
      <c r="AB125" s="15">
        <v>19</v>
      </c>
      <c r="AC125" s="15"/>
      <c r="AD125" s="15">
        <v>7</v>
      </c>
      <c r="AE125" s="15">
        <v>4</v>
      </c>
      <c r="AF125" s="15">
        <v>7</v>
      </c>
      <c r="AG125" s="15">
        <v>2</v>
      </c>
      <c r="AH125" s="15">
        <v>6</v>
      </c>
      <c r="AI125" s="15">
        <v>1</v>
      </c>
      <c r="AJ125" s="15">
        <v>1</v>
      </c>
      <c r="AK125" s="15"/>
      <c r="AL125" s="15">
        <v>3</v>
      </c>
      <c r="AM125" s="15">
        <v>3</v>
      </c>
      <c r="AN125" s="15">
        <v>5</v>
      </c>
      <c r="AO125" s="20" t="s">
        <v>142</v>
      </c>
    </row>
    <row r="126" spans="24:41" x14ac:dyDescent="0.45">
      <c r="X126" s="22" t="s">
        <v>10</v>
      </c>
      <c r="Y126" s="15">
        <v>1</v>
      </c>
      <c r="Z126" s="15">
        <v>1</v>
      </c>
      <c r="AA126" s="15"/>
      <c r="AB126" s="15">
        <v>42</v>
      </c>
      <c r="AC126" s="15"/>
      <c r="AD126" s="15">
        <v>17</v>
      </c>
      <c r="AE126" s="15">
        <v>12</v>
      </c>
      <c r="AF126" s="15">
        <v>10</v>
      </c>
      <c r="AG126" s="15"/>
      <c r="AH126" s="15">
        <v>16</v>
      </c>
      <c r="AI126" s="15">
        <v>6</v>
      </c>
      <c r="AJ126" s="15"/>
      <c r="AK126" s="15">
        <v>4</v>
      </c>
      <c r="AL126" s="15">
        <v>5</v>
      </c>
      <c r="AM126" s="15">
        <v>6</v>
      </c>
      <c r="AN126" s="15">
        <v>1</v>
      </c>
      <c r="AO126" s="20" t="s">
        <v>142</v>
      </c>
    </row>
  </sheetData>
  <autoFilter ref="R4:R105" xr:uid="{F9E19C11-398B-4F6E-8916-7206ECF44FBC}">
    <sortState xmlns:xlrd2="http://schemas.microsoft.com/office/spreadsheetml/2017/richdata2" ref="A5:R105">
      <sortCondition ref="R4:R105"/>
    </sortState>
  </autoFilter>
  <mergeCells count="64">
    <mergeCell ref="AK93:AL93"/>
    <mergeCell ref="AM93:AN93"/>
    <mergeCell ref="Y93:Z93"/>
    <mergeCell ref="AA93:AB93"/>
    <mergeCell ref="AC93:AD93"/>
    <mergeCell ref="AE93:AF93"/>
    <mergeCell ref="AG93:AH93"/>
    <mergeCell ref="AI93:AJ93"/>
    <mergeCell ref="AI80:AJ80"/>
    <mergeCell ref="AK80:AL80"/>
    <mergeCell ref="AM80:AN80"/>
    <mergeCell ref="Y66:Z66"/>
    <mergeCell ref="AA66:AB66"/>
    <mergeCell ref="AC66:AD66"/>
    <mergeCell ref="AE66:AF66"/>
    <mergeCell ref="AG66:AH66"/>
    <mergeCell ref="AI66:AJ66"/>
    <mergeCell ref="Y80:Z80"/>
    <mergeCell ref="AA80:AB80"/>
    <mergeCell ref="AC80:AD80"/>
    <mergeCell ref="AE80:AF80"/>
    <mergeCell ref="AG80:AH80"/>
    <mergeCell ref="AI49:AJ49"/>
    <mergeCell ref="AK49:AL49"/>
    <mergeCell ref="AM49:AN49"/>
    <mergeCell ref="AK66:AL66"/>
    <mergeCell ref="AM66:AN66"/>
    <mergeCell ref="Y49:Z49"/>
    <mergeCell ref="AA49:AB49"/>
    <mergeCell ref="AC49:AD49"/>
    <mergeCell ref="AE49:AF49"/>
    <mergeCell ref="AG49:AH49"/>
    <mergeCell ref="AI7:AJ7"/>
    <mergeCell ref="AK7:AL7"/>
    <mergeCell ref="AM7:AN7"/>
    <mergeCell ref="Y33:Z33"/>
    <mergeCell ref="AA33:AB33"/>
    <mergeCell ref="AC33:AD33"/>
    <mergeCell ref="AE33:AF33"/>
    <mergeCell ref="AG33:AH33"/>
    <mergeCell ref="AI33:AJ33"/>
    <mergeCell ref="AK33:AL33"/>
    <mergeCell ref="Y7:Z7"/>
    <mergeCell ref="AA7:AB7"/>
    <mergeCell ref="AC7:AD7"/>
    <mergeCell ref="AE7:AF7"/>
    <mergeCell ref="AG7:AH7"/>
    <mergeCell ref="AM33:AN33"/>
    <mergeCell ref="L3:M3"/>
    <mergeCell ref="N3:O3"/>
    <mergeCell ref="P3:Q3"/>
    <mergeCell ref="B3:C3"/>
    <mergeCell ref="D3:E3"/>
    <mergeCell ref="F3:G3"/>
    <mergeCell ref="H3:I3"/>
    <mergeCell ref="J3:K3"/>
    <mergeCell ref="AI106:AJ106"/>
    <mergeCell ref="AK106:AL106"/>
    <mergeCell ref="AM106:AN106"/>
    <mergeCell ref="Y106:Z106"/>
    <mergeCell ref="AA106:AB106"/>
    <mergeCell ref="AC106:AD106"/>
    <mergeCell ref="AE106:AF106"/>
    <mergeCell ref="AG106:AH1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raw data</vt:lpstr>
      <vt:lpstr>Tabla dinamica superrutas</vt:lpstr>
      <vt:lpstr>dinamic table</vt:lpstr>
      <vt:lpstr>subpathways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orero bayo</dc:creator>
  <cp:lastModifiedBy>Marta Orero Bayo</cp:lastModifiedBy>
  <dcterms:created xsi:type="dcterms:W3CDTF">2015-06-05T18:19:34Z</dcterms:created>
  <dcterms:modified xsi:type="dcterms:W3CDTF">2026-05-19T10:09:10Z</dcterms:modified>
</cp:coreProperties>
</file>