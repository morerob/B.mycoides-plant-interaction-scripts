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theme/themeOverride8.xml" ContentType="application/vnd.openxmlformats-officedocument.themeOverrid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theme/themeOverride9.xml" ContentType="application/vnd.openxmlformats-officedocument.themeOverrid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theme/themeOverride11.xml" ContentType="application/vnd.openxmlformats-officedocument.themeOverrid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theme/themeOverride1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rta\Documents\TESIS MARTA (propio)\3. BM-PLANT\Datos definitivos\"/>
    </mc:Choice>
  </mc:AlternateContent>
  <xr:revisionPtr revIDLastSave="0" documentId="13_ncr:1_{347C18A3-D246-43AA-9697-AEE78D31C996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weights" sheetId="1" r:id="rId1"/>
    <sheet name="Leaf" sheetId="10" r:id="rId2"/>
    <sheet name="Root" sheetId="11" r:id="rId3"/>
    <sheet name="ABA " sheetId="2" r:id="rId4"/>
    <sheet name="SA" sheetId="4" r:id="rId5"/>
    <sheet name="JA" sheetId="6" r:id="rId6"/>
    <sheet name="OPDA" sheetId="7" r:id="rId7"/>
    <sheet name="JA-ILE" sheetId="5" r:id="rId8"/>
    <sheet name="IAA" sheetId="8" r:id="rId9"/>
    <sheet name="I3CA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7" l="1"/>
  <c r="G18" i="7"/>
  <c r="G119" i="7" l="1"/>
  <c r="G111" i="7"/>
  <c r="G99" i="7"/>
  <c r="G87" i="7"/>
  <c r="G78" i="7"/>
  <c r="C72" i="7"/>
  <c r="G72" i="7"/>
  <c r="G64" i="7"/>
  <c r="G45" i="7"/>
  <c r="G27" i="7"/>
  <c r="G24" i="7"/>
  <c r="G5" i="7"/>
  <c r="AI441" i="10"/>
  <c r="AI382" i="10"/>
  <c r="G65" i="7"/>
  <c r="G107" i="5"/>
  <c r="G92" i="5"/>
  <c r="G91" i="5"/>
  <c r="G78" i="5"/>
  <c r="G77" i="5"/>
  <c r="G76" i="5"/>
  <c r="G75" i="5"/>
  <c r="G71" i="5"/>
  <c r="G69" i="5"/>
  <c r="G68" i="5"/>
  <c r="G67" i="5"/>
  <c r="G63" i="5"/>
  <c r="H68" i="5" s="1"/>
  <c r="G64" i="5"/>
  <c r="G65" i="5"/>
  <c r="G66" i="5"/>
  <c r="G70" i="5"/>
  <c r="G72" i="5"/>
  <c r="G73" i="5"/>
  <c r="G74" i="5"/>
  <c r="G79" i="5"/>
  <c r="G80" i="5"/>
  <c r="G81" i="5"/>
  <c r="G82" i="5"/>
  <c r="G83" i="5"/>
  <c r="G84" i="5"/>
  <c r="G85" i="5"/>
  <c r="G86" i="5"/>
  <c r="G87" i="5"/>
  <c r="G88" i="5"/>
  <c r="G89" i="5"/>
  <c r="G90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G129" i="4"/>
  <c r="C50" i="7"/>
  <c r="G50" i="7" s="1"/>
  <c r="G49" i="7"/>
  <c r="C49" i="7"/>
  <c r="G122" i="7"/>
  <c r="G39" i="7"/>
  <c r="G38" i="7"/>
  <c r="G26" i="7"/>
  <c r="C26" i="7"/>
  <c r="G25" i="7"/>
  <c r="G248" i="9" l="1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I230" i="9" s="1"/>
  <c r="V132" i="9" s="1"/>
  <c r="G224" i="9"/>
  <c r="G223" i="9"/>
  <c r="G222" i="9"/>
  <c r="G221" i="9"/>
  <c r="G220" i="9"/>
  <c r="G219" i="9"/>
  <c r="G218" i="9"/>
  <c r="G217" i="9"/>
  <c r="G216" i="9"/>
  <c r="G215" i="9"/>
  <c r="G214" i="9"/>
  <c r="G213" i="9"/>
  <c r="I218" i="9" s="1"/>
  <c r="U132" i="9" s="1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I182" i="9" s="1"/>
  <c r="R132" i="9" s="1"/>
  <c r="G176" i="9"/>
  <c r="I176" i="9" s="1"/>
  <c r="Q134" i="9" s="1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I104" i="9" s="1"/>
  <c r="V6" i="9" s="1"/>
  <c r="G98" i="9"/>
  <c r="G97" i="9"/>
  <c r="G96" i="9"/>
  <c r="G95" i="9"/>
  <c r="G94" i="9"/>
  <c r="G93" i="9"/>
  <c r="G92" i="9"/>
  <c r="G91" i="9"/>
  <c r="G90" i="9"/>
  <c r="G89" i="9"/>
  <c r="G88" i="9"/>
  <c r="G87" i="9"/>
  <c r="I92" i="9" s="1"/>
  <c r="U6" i="9" s="1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I56" i="9" s="1"/>
  <c r="R6" i="9" s="1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I20" i="9" s="1"/>
  <c r="O6" i="9" s="1"/>
  <c r="G14" i="9"/>
  <c r="G13" i="9"/>
  <c r="G12" i="9"/>
  <c r="G11" i="9"/>
  <c r="G10" i="9"/>
  <c r="G9" i="9"/>
  <c r="G8" i="9"/>
  <c r="G7" i="9"/>
  <c r="G6" i="9"/>
  <c r="G5" i="9"/>
  <c r="G4" i="9"/>
  <c r="G3" i="9"/>
  <c r="I8" i="9" s="1"/>
  <c r="N6" i="9" s="1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I212" i="8" s="1"/>
  <c r="T134" i="8" s="1"/>
  <c r="G206" i="8"/>
  <c r="G205" i="8"/>
  <c r="G204" i="8"/>
  <c r="G203" i="8"/>
  <c r="G202" i="8"/>
  <c r="G201" i="8"/>
  <c r="I206" i="8" s="1"/>
  <c r="T132" i="8" s="1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I158" i="8" s="1"/>
  <c r="P132" i="8" s="1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I104" i="8" s="1"/>
  <c r="V6" i="8" s="1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I8" i="8" s="1"/>
  <c r="N6" i="8" s="1"/>
  <c r="G248" i="7"/>
  <c r="G247" i="7"/>
  <c r="G246" i="7"/>
  <c r="G245" i="7"/>
  <c r="G244" i="7"/>
  <c r="G243" i="7"/>
  <c r="I248" i="7" s="1"/>
  <c r="W134" i="7" s="1"/>
  <c r="G242" i="7"/>
  <c r="G241" i="7"/>
  <c r="G240" i="7"/>
  <c r="G239" i="7"/>
  <c r="G238" i="7"/>
  <c r="G237" i="7"/>
  <c r="I242" i="7" s="1"/>
  <c r="W132" i="7" s="1"/>
  <c r="G236" i="7"/>
  <c r="G235" i="7"/>
  <c r="H236" i="7" s="1"/>
  <c r="V133" i="7" s="1"/>
  <c r="G234" i="7"/>
  <c r="G233" i="7"/>
  <c r="G232" i="7"/>
  <c r="G231" i="7"/>
  <c r="G230" i="7"/>
  <c r="G229" i="7"/>
  <c r="G228" i="7"/>
  <c r="G227" i="7"/>
  <c r="G226" i="7"/>
  <c r="G225" i="7"/>
  <c r="I230" i="7" s="1"/>
  <c r="V132" i="7" s="1"/>
  <c r="G224" i="7"/>
  <c r="G223" i="7"/>
  <c r="G222" i="7"/>
  <c r="G221" i="7"/>
  <c r="G220" i="7"/>
  <c r="H224" i="7" s="1"/>
  <c r="U133" i="7" s="1"/>
  <c r="G219" i="7"/>
  <c r="G218" i="7"/>
  <c r="G217" i="7"/>
  <c r="G216" i="7"/>
  <c r="G215" i="7"/>
  <c r="G214" i="7"/>
  <c r="G213" i="7"/>
  <c r="I218" i="7" s="1"/>
  <c r="U132" i="7" s="1"/>
  <c r="G212" i="7"/>
  <c r="G211" i="7"/>
  <c r="G210" i="7"/>
  <c r="G209" i="7"/>
  <c r="G208" i="7"/>
  <c r="G207" i="7"/>
  <c r="I212" i="7" s="1"/>
  <c r="T134" i="7" s="1"/>
  <c r="G206" i="7"/>
  <c r="G205" i="7"/>
  <c r="G204" i="7"/>
  <c r="G203" i="7"/>
  <c r="G202" i="7"/>
  <c r="G201" i="7"/>
  <c r="G200" i="7"/>
  <c r="G199" i="7"/>
  <c r="G198" i="7"/>
  <c r="G197" i="7"/>
  <c r="G196" i="7"/>
  <c r="G195" i="7"/>
  <c r="I200" i="7" s="1"/>
  <c r="S134" i="7" s="1"/>
  <c r="G194" i="7"/>
  <c r="G193" i="7"/>
  <c r="G192" i="7"/>
  <c r="G191" i="7"/>
  <c r="G190" i="7"/>
  <c r="G189" i="7"/>
  <c r="G188" i="7"/>
  <c r="G187" i="7"/>
  <c r="G186" i="7"/>
  <c r="G185" i="7"/>
  <c r="G184" i="7"/>
  <c r="G183" i="7"/>
  <c r="H188" i="7" s="1"/>
  <c r="R133" i="7" s="1"/>
  <c r="G182" i="7"/>
  <c r="G181" i="7"/>
  <c r="G180" i="7"/>
  <c r="G179" i="7"/>
  <c r="G178" i="7"/>
  <c r="G177" i="7"/>
  <c r="H176" i="7"/>
  <c r="Q133" i="7" s="1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I152" i="7" s="1"/>
  <c r="O134" i="7" s="1"/>
  <c r="G146" i="7"/>
  <c r="G145" i="7"/>
  <c r="G144" i="7"/>
  <c r="G143" i="7"/>
  <c r="G142" i="7"/>
  <c r="G141" i="7"/>
  <c r="H140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1" i="7"/>
  <c r="G120" i="7"/>
  <c r="G118" i="7"/>
  <c r="G117" i="7"/>
  <c r="I122" i="7" s="1"/>
  <c r="W8" i="7" s="1"/>
  <c r="G116" i="7"/>
  <c r="G115" i="7"/>
  <c r="G114" i="7"/>
  <c r="G113" i="7"/>
  <c r="G112" i="7"/>
  <c r="G110" i="7"/>
  <c r="G109" i="7"/>
  <c r="G108" i="7"/>
  <c r="G107" i="7"/>
  <c r="G106" i="7"/>
  <c r="G105" i="7"/>
  <c r="H110" i="7" s="1"/>
  <c r="V7" i="7" s="1"/>
  <c r="G104" i="7"/>
  <c r="G103" i="7"/>
  <c r="G102" i="7"/>
  <c r="G101" i="7"/>
  <c r="G100" i="7"/>
  <c r="G98" i="7"/>
  <c r="G97" i="7"/>
  <c r="G96" i="7"/>
  <c r="G95" i="7"/>
  <c r="G94" i="7"/>
  <c r="G93" i="7"/>
  <c r="I98" i="7" s="1"/>
  <c r="U8" i="7" s="1"/>
  <c r="G92" i="7"/>
  <c r="G91" i="7"/>
  <c r="G90" i="7"/>
  <c r="G89" i="7"/>
  <c r="G88" i="7"/>
  <c r="I92" i="7"/>
  <c r="U6" i="7" s="1"/>
  <c r="H86" i="7"/>
  <c r="T7" i="7" s="1"/>
  <c r="G86" i="7"/>
  <c r="G85" i="7"/>
  <c r="G84" i="7"/>
  <c r="G83" i="7"/>
  <c r="G82" i="7"/>
  <c r="G81" i="7"/>
  <c r="G80" i="7"/>
  <c r="G79" i="7"/>
  <c r="G77" i="7"/>
  <c r="G76" i="7"/>
  <c r="G75" i="7"/>
  <c r="G74" i="7"/>
  <c r="G73" i="7"/>
  <c r="G71" i="7"/>
  <c r="G70" i="7"/>
  <c r="G69" i="7"/>
  <c r="G68" i="7"/>
  <c r="G67" i="7"/>
  <c r="G66" i="7"/>
  <c r="G63" i="7"/>
  <c r="I68" i="7" s="1"/>
  <c r="S6" i="7" s="1"/>
  <c r="G62" i="7"/>
  <c r="G61" i="7"/>
  <c r="G60" i="7"/>
  <c r="G59" i="7"/>
  <c r="G58" i="7"/>
  <c r="G57" i="7"/>
  <c r="G56" i="7"/>
  <c r="G55" i="7"/>
  <c r="G54" i="7"/>
  <c r="G53" i="7"/>
  <c r="G52" i="7"/>
  <c r="G51" i="7"/>
  <c r="G48" i="7"/>
  <c r="G47" i="7"/>
  <c r="G46" i="7"/>
  <c r="H50" i="7" s="1"/>
  <c r="Q7" i="7" s="1"/>
  <c r="G44" i="7"/>
  <c r="G43" i="7"/>
  <c r="G42" i="7"/>
  <c r="G41" i="7"/>
  <c r="G40" i="7"/>
  <c r="G37" i="7"/>
  <c r="G36" i="7"/>
  <c r="G35" i="7"/>
  <c r="G34" i="7"/>
  <c r="G33" i="7"/>
  <c r="G32" i="7"/>
  <c r="G31" i="7"/>
  <c r="G30" i="7"/>
  <c r="G29" i="7"/>
  <c r="G28" i="7"/>
  <c r="G23" i="7"/>
  <c r="G22" i="7"/>
  <c r="G21" i="7"/>
  <c r="I26" i="7" s="1"/>
  <c r="O8" i="7" s="1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4" i="7"/>
  <c r="G3" i="7"/>
  <c r="I8" i="7" s="1"/>
  <c r="N6" i="7" s="1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I230" i="6" s="1"/>
  <c r="V132" i="6" s="1"/>
  <c r="G224" i="6"/>
  <c r="G223" i="6"/>
  <c r="G222" i="6"/>
  <c r="G221" i="6"/>
  <c r="G220" i="6"/>
  <c r="G219" i="6"/>
  <c r="G218" i="6"/>
  <c r="G217" i="6"/>
  <c r="G216" i="6"/>
  <c r="G215" i="6"/>
  <c r="G214" i="6"/>
  <c r="G213" i="6"/>
  <c r="I218" i="6" s="1"/>
  <c r="U132" i="6" s="1"/>
  <c r="G212" i="6"/>
  <c r="G211" i="6"/>
  <c r="G210" i="6"/>
  <c r="G209" i="6"/>
  <c r="G208" i="6"/>
  <c r="G207" i="6"/>
  <c r="G206" i="6"/>
  <c r="G205" i="6"/>
  <c r="G204" i="6"/>
  <c r="G203" i="6"/>
  <c r="G202" i="6"/>
  <c r="G201" i="6"/>
  <c r="I206" i="6" s="1"/>
  <c r="T132" i="6" s="1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I170" i="6" s="1"/>
  <c r="Q132" i="6" s="1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I146" i="6" s="1"/>
  <c r="O132" i="6" s="1"/>
  <c r="G140" i="6"/>
  <c r="G139" i="6"/>
  <c r="G138" i="6"/>
  <c r="G137" i="6"/>
  <c r="G136" i="6"/>
  <c r="G135" i="6"/>
  <c r="G134" i="6"/>
  <c r="G133" i="6"/>
  <c r="G132" i="6"/>
  <c r="G131" i="6"/>
  <c r="G130" i="6"/>
  <c r="G129" i="6"/>
  <c r="G122" i="6"/>
  <c r="G121" i="6"/>
  <c r="G120" i="6"/>
  <c r="G119" i="6"/>
  <c r="G118" i="6"/>
  <c r="I122" i="6" s="1"/>
  <c r="W8" i="6" s="1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I80" i="6" s="1"/>
  <c r="T6" i="6" s="1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I62" i="6" s="1"/>
  <c r="R8" i="6" s="1"/>
  <c r="G57" i="6"/>
  <c r="G56" i="6"/>
  <c r="G55" i="6"/>
  <c r="G54" i="6"/>
  <c r="G53" i="6"/>
  <c r="G52" i="6"/>
  <c r="G51" i="6"/>
  <c r="I56" i="6" s="1"/>
  <c r="R6" i="6" s="1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I32" i="6" s="1"/>
  <c r="P6" i="6" s="1"/>
  <c r="G26" i="6"/>
  <c r="G25" i="6"/>
  <c r="G24" i="6"/>
  <c r="G23" i="6"/>
  <c r="G22" i="6"/>
  <c r="I26" i="6" s="1"/>
  <c r="O8" i="6" s="1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I8" i="6" s="1"/>
  <c r="N6" i="6" s="1"/>
  <c r="G248" i="5"/>
  <c r="G247" i="5"/>
  <c r="G246" i="5"/>
  <c r="G245" i="5"/>
  <c r="G244" i="5"/>
  <c r="G243" i="5"/>
  <c r="I248" i="5" s="1"/>
  <c r="W134" i="5" s="1"/>
  <c r="G242" i="5"/>
  <c r="G241" i="5"/>
  <c r="G240" i="5"/>
  <c r="G239" i="5"/>
  <c r="G238" i="5"/>
  <c r="G237" i="5"/>
  <c r="G236" i="5"/>
  <c r="G235" i="5"/>
  <c r="G234" i="5"/>
  <c r="G233" i="5"/>
  <c r="G232" i="5"/>
  <c r="G231" i="5"/>
  <c r="I236" i="5" s="1"/>
  <c r="V134" i="5" s="1"/>
  <c r="G230" i="5"/>
  <c r="G229" i="5"/>
  <c r="G228" i="5"/>
  <c r="G227" i="5"/>
  <c r="G226" i="5"/>
  <c r="G225" i="5"/>
  <c r="I230" i="5" s="1"/>
  <c r="V132" i="5" s="1"/>
  <c r="G224" i="5"/>
  <c r="G223" i="5"/>
  <c r="G222" i="5"/>
  <c r="G221" i="5"/>
  <c r="G220" i="5"/>
  <c r="G219" i="5"/>
  <c r="I224" i="5" s="1"/>
  <c r="U134" i="5" s="1"/>
  <c r="G218" i="5"/>
  <c r="G217" i="5"/>
  <c r="G216" i="5"/>
  <c r="G215" i="5"/>
  <c r="G214" i="5"/>
  <c r="G213" i="5"/>
  <c r="I218" i="5" s="1"/>
  <c r="U132" i="5" s="1"/>
  <c r="G212" i="5"/>
  <c r="G211" i="5"/>
  <c r="H212" i="5" s="1"/>
  <c r="T133" i="5" s="1"/>
  <c r="G210" i="5"/>
  <c r="G209" i="5"/>
  <c r="G208" i="5"/>
  <c r="G207" i="5"/>
  <c r="G206" i="5"/>
  <c r="G205" i="5"/>
  <c r="G204" i="5"/>
  <c r="G203" i="5"/>
  <c r="G202" i="5"/>
  <c r="G201" i="5"/>
  <c r="I206" i="5" s="1"/>
  <c r="T132" i="5" s="1"/>
  <c r="G200" i="5"/>
  <c r="G199" i="5"/>
  <c r="G198" i="5"/>
  <c r="G197" i="5"/>
  <c r="G196" i="5"/>
  <c r="H200" i="5" s="1"/>
  <c r="S133" i="5" s="1"/>
  <c r="G195" i="5"/>
  <c r="G194" i="5"/>
  <c r="G193" i="5"/>
  <c r="G192" i="5"/>
  <c r="G191" i="5"/>
  <c r="G190" i="5"/>
  <c r="G189" i="5"/>
  <c r="I194" i="5" s="1"/>
  <c r="S132" i="5" s="1"/>
  <c r="G188" i="5"/>
  <c r="G187" i="5"/>
  <c r="G186" i="5"/>
  <c r="G185" i="5"/>
  <c r="G184" i="5"/>
  <c r="H188" i="5" s="1"/>
  <c r="R133" i="5" s="1"/>
  <c r="G183" i="5"/>
  <c r="G182" i="5"/>
  <c r="G181" i="5"/>
  <c r="G180" i="5"/>
  <c r="G179" i="5"/>
  <c r="G178" i="5"/>
  <c r="G177" i="5"/>
  <c r="G176" i="5"/>
  <c r="G175" i="5"/>
  <c r="G174" i="5"/>
  <c r="H176" i="5" s="1"/>
  <c r="Q133" i="5" s="1"/>
  <c r="G173" i="5"/>
  <c r="G172" i="5"/>
  <c r="G171" i="5"/>
  <c r="G170" i="5"/>
  <c r="G169" i="5"/>
  <c r="G168" i="5"/>
  <c r="G167" i="5"/>
  <c r="G166" i="5"/>
  <c r="G165" i="5"/>
  <c r="I170" i="5" s="1"/>
  <c r="Q132" i="5" s="1"/>
  <c r="G164" i="5"/>
  <c r="G163" i="5"/>
  <c r="G162" i="5"/>
  <c r="G161" i="5"/>
  <c r="G160" i="5"/>
  <c r="G159" i="5"/>
  <c r="I164" i="5" s="1"/>
  <c r="P134" i="5" s="1"/>
  <c r="G158" i="5"/>
  <c r="G157" i="5"/>
  <c r="G156" i="5"/>
  <c r="G155" i="5"/>
  <c r="G154" i="5"/>
  <c r="G153" i="5"/>
  <c r="G152" i="5"/>
  <c r="G151" i="5"/>
  <c r="H152" i="5" s="1"/>
  <c r="O133" i="5" s="1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H140" i="5" s="1"/>
  <c r="G134" i="5"/>
  <c r="G133" i="5"/>
  <c r="G132" i="5"/>
  <c r="G131" i="5"/>
  <c r="G130" i="5"/>
  <c r="G129" i="5"/>
  <c r="I134" i="5" s="1"/>
  <c r="N132" i="5" s="1"/>
  <c r="H122" i="5"/>
  <c r="W7" i="5" s="1"/>
  <c r="I116" i="5"/>
  <c r="W6" i="5" s="1"/>
  <c r="I110" i="5"/>
  <c r="V8" i="5" s="1"/>
  <c r="H98" i="5"/>
  <c r="U7" i="5" s="1"/>
  <c r="H86" i="5"/>
  <c r="T7" i="5" s="1"/>
  <c r="I80" i="5"/>
  <c r="T6" i="5" s="1"/>
  <c r="G62" i="5"/>
  <c r="H62" i="5" s="1"/>
  <c r="R7" i="5" s="1"/>
  <c r="G61" i="5"/>
  <c r="G60" i="5"/>
  <c r="G59" i="5"/>
  <c r="G58" i="5"/>
  <c r="G57" i="5"/>
  <c r="G56" i="5"/>
  <c r="G55" i="5"/>
  <c r="G54" i="5"/>
  <c r="G53" i="5"/>
  <c r="G52" i="5"/>
  <c r="G51" i="5"/>
  <c r="I56" i="5" s="1"/>
  <c r="R6" i="5" s="1"/>
  <c r="G50" i="5"/>
  <c r="G49" i="5"/>
  <c r="G48" i="5"/>
  <c r="G47" i="5"/>
  <c r="H50" i="5" s="1"/>
  <c r="Q7" i="5" s="1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H38" i="5" s="1"/>
  <c r="P7" i="5" s="1"/>
  <c r="G32" i="5"/>
  <c r="G31" i="5"/>
  <c r="G30" i="5"/>
  <c r="G29" i="5"/>
  <c r="G28" i="5"/>
  <c r="G27" i="5"/>
  <c r="G26" i="5"/>
  <c r="G25" i="5"/>
  <c r="G24" i="5"/>
  <c r="G23" i="5"/>
  <c r="G22" i="5"/>
  <c r="H26" i="5" s="1"/>
  <c r="O7" i="5" s="1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I230" i="4" s="1"/>
  <c r="V132" i="4" s="1"/>
  <c r="G224" i="4"/>
  <c r="G223" i="4"/>
  <c r="G222" i="4"/>
  <c r="G221" i="4"/>
  <c r="G220" i="4"/>
  <c r="G219" i="4"/>
  <c r="G218" i="4"/>
  <c r="G217" i="4"/>
  <c r="G216" i="4"/>
  <c r="G215" i="4"/>
  <c r="G214" i="4"/>
  <c r="G213" i="4"/>
  <c r="I218" i="4" s="1"/>
  <c r="U132" i="4" s="1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I176" i="4" s="1"/>
  <c r="Q134" i="4" s="1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I158" i="4" s="1"/>
  <c r="P132" i="4" s="1"/>
  <c r="G152" i="4"/>
  <c r="H152" i="4" s="1"/>
  <c r="O133" i="4" s="1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I134" i="4" s="1"/>
  <c r="N132" i="4" s="1"/>
  <c r="G133" i="4"/>
  <c r="G132" i="4"/>
  <c r="G131" i="4"/>
  <c r="G130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I98" i="4" s="1"/>
  <c r="U8" i="4" s="1"/>
  <c r="G92" i="4"/>
  <c r="G91" i="4"/>
  <c r="G90" i="4"/>
  <c r="G89" i="4"/>
  <c r="G88" i="4"/>
  <c r="G87" i="4"/>
  <c r="I92" i="4" s="1"/>
  <c r="U6" i="4" s="1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I8" i="4" s="1"/>
  <c r="N6" i="4" s="1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3" i="2"/>
  <c r="I8" i="2" s="1"/>
  <c r="N6" i="2" s="1"/>
  <c r="I206" i="9" l="1"/>
  <c r="T132" i="9" s="1"/>
  <c r="I224" i="9"/>
  <c r="U134" i="9" s="1"/>
  <c r="I212" i="9"/>
  <c r="T134" i="9" s="1"/>
  <c r="I236" i="9"/>
  <c r="V134" i="9" s="1"/>
  <c r="I194" i="9"/>
  <c r="S132" i="9" s="1"/>
  <c r="I242" i="9"/>
  <c r="W132" i="9" s="1"/>
  <c r="I200" i="9"/>
  <c r="S134" i="9" s="1"/>
  <c r="I248" i="9"/>
  <c r="W134" i="9" s="1"/>
  <c r="H212" i="7"/>
  <c r="T133" i="7" s="1"/>
  <c r="H200" i="7"/>
  <c r="S133" i="7" s="1"/>
  <c r="I206" i="7"/>
  <c r="T132" i="7" s="1"/>
  <c r="I236" i="7"/>
  <c r="V134" i="7" s="1"/>
  <c r="I194" i="7"/>
  <c r="S132" i="7" s="1"/>
  <c r="I224" i="7"/>
  <c r="U134" i="7" s="1"/>
  <c r="H248" i="7"/>
  <c r="W133" i="7" s="1"/>
  <c r="I236" i="6"/>
  <c r="V134" i="6" s="1"/>
  <c r="I194" i="6"/>
  <c r="S132" i="6" s="1"/>
  <c r="I242" i="6"/>
  <c r="W132" i="6" s="1"/>
  <c r="I212" i="6"/>
  <c r="T134" i="6" s="1"/>
  <c r="I200" i="6"/>
  <c r="S134" i="6" s="1"/>
  <c r="I248" i="6"/>
  <c r="W134" i="6" s="1"/>
  <c r="I224" i="6"/>
  <c r="U134" i="6" s="1"/>
  <c r="I242" i="5"/>
  <c r="W132" i="5" s="1"/>
  <c r="H248" i="5"/>
  <c r="W133" i="5" s="1"/>
  <c r="I212" i="5"/>
  <c r="T134" i="5" s="1"/>
  <c r="H236" i="5"/>
  <c r="V133" i="5" s="1"/>
  <c r="I200" i="5"/>
  <c r="S134" i="5" s="1"/>
  <c r="H224" i="5"/>
  <c r="U133" i="5" s="1"/>
  <c r="H224" i="4"/>
  <c r="U133" i="4" s="1"/>
  <c r="I212" i="4"/>
  <c r="T134" i="4" s="1"/>
  <c r="I248" i="4"/>
  <c r="W134" i="4" s="1"/>
  <c r="I206" i="4"/>
  <c r="T132" i="4" s="1"/>
  <c r="I236" i="4"/>
  <c r="V134" i="4" s="1"/>
  <c r="H236" i="4"/>
  <c r="V133" i="4" s="1"/>
  <c r="H212" i="4"/>
  <c r="T133" i="4" s="1"/>
  <c r="I200" i="4"/>
  <c r="S134" i="4" s="1"/>
  <c r="I194" i="4"/>
  <c r="S132" i="4" s="1"/>
  <c r="I224" i="4"/>
  <c r="U134" i="4" s="1"/>
  <c r="I242" i="4"/>
  <c r="W132" i="4" s="1"/>
  <c r="I218" i="2"/>
  <c r="U132" i="2" s="1"/>
  <c r="I50" i="9"/>
  <c r="Q8" i="9" s="1"/>
  <c r="I38" i="9"/>
  <c r="P8" i="9" s="1"/>
  <c r="I44" i="9"/>
  <c r="Q6" i="9" s="1"/>
  <c r="I26" i="9"/>
  <c r="O8" i="9" s="1"/>
  <c r="I32" i="9"/>
  <c r="P6" i="9" s="1"/>
  <c r="I14" i="9"/>
  <c r="N8" i="9" s="1"/>
  <c r="I62" i="9"/>
  <c r="R8" i="9" s="1"/>
  <c r="I86" i="9"/>
  <c r="T8" i="9" s="1"/>
  <c r="I74" i="9"/>
  <c r="S8" i="9" s="1"/>
  <c r="I122" i="9"/>
  <c r="W8" i="9" s="1"/>
  <c r="I68" i="9"/>
  <c r="S6" i="9" s="1"/>
  <c r="I116" i="9"/>
  <c r="W6" i="9" s="1"/>
  <c r="I98" i="9"/>
  <c r="U8" i="9" s="1"/>
  <c r="I80" i="9"/>
  <c r="T6" i="9" s="1"/>
  <c r="I110" i="9"/>
  <c r="V8" i="9" s="1"/>
  <c r="I164" i="9"/>
  <c r="P134" i="9" s="1"/>
  <c r="I170" i="9"/>
  <c r="Q132" i="9" s="1"/>
  <c r="I152" i="9"/>
  <c r="O134" i="9" s="1"/>
  <c r="I158" i="9"/>
  <c r="P132" i="9" s="1"/>
  <c r="I140" i="9"/>
  <c r="N134" i="9" s="1"/>
  <c r="I188" i="9"/>
  <c r="R134" i="9" s="1"/>
  <c r="I146" i="9"/>
  <c r="O132" i="9" s="1"/>
  <c r="I134" i="9"/>
  <c r="N132" i="9" s="1"/>
  <c r="I164" i="8"/>
  <c r="P134" i="8" s="1"/>
  <c r="I134" i="7"/>
  <c r="N132" i="7" s="1"/>
  <c r="I164" i="7"/>
  <c r="P134" i="7" s="1"/>
  <c r="I182" i="7"/>
  <c r="R132" i="7" s="1"/>
  <c r="I140" i="7"/>
  <c r="N134" i="7" s="1"/>
  <c r="H164" i="7"/>
  <c r="P133" i="7" s="1"/>
  <c r="I170" i="7"/>
  <c r="Q132" i="7" s="1"/>
  <c r="H152" i="7"/>
  <c r="O133" i="7" s="1"/>
  <c r="I158" i="7"/>
  <c r="P132" i="7" s="1"/>
  <c r="I188" i="7"/>
  <c r="R134" i="7" s="1"/>
  <c r="I146" i="7"/>
  <c r="O132" i="7" s="1"/>
  <c r="I176" i="7"/>
  <c r="Q134" i="7" s="1"/>
  <c r="I134" i="6"/>
  <c r="N132" i="6" s="1"/>
  <c r="I182" i="6"/>
  <c r="R132" i="6" s="1"/>
  <c r="I164" i="6"/>
  <c r="P134" i="6" s="1"/>
  <c r="I140" i="6"/>
  <c r="N134" i="6" s="1"/>
  <c r="I188" i="6"/>
  <c r="R134" i="6" s="1"/>
  <c r="I152" i="6"/>
  <c r="O134" i="6" s="1"/>
  <c r="I158" i="6"/>
  <c r="P132" i="6" s="1"/>
  <c r="I176" i="6"/>
  <c r="Q134" i="6" s="1"/>
  <c r="I158" i="5"/>
  <c r="P132" i="5" s="1"/>
  <c r="I188" i="5"/>
  <c r="R134" i="5" s="1"/>
  <c r="I146" i="5"/>
  <c r="O132" i="5" s="1"/>
  <c r="I176" i="5"/>
  <c r="Q134" i="5" s="1"/>
  <c r="I152" i="5"/>
  <c r="O134" i="5" s="1"/>
  <c r="I182" i="5"/>
  <c r="R132" i="5" s="1"/>
  <c r="I140" i="5"/>
  <c r="N134" i="5" s="1"/>
  <c r="H164" i="5"/>
  <c r="P133" i="5" s="1"/>
  <c r="I140" i="4"/>
  <c r="N134" i="4" s="1"/>
  <c r="H188" i="4"/>
  <c r="R133" i="4" s="1"/>
  <c r="I146" i="4"/>
  <c r="O132" i="4" s="1"/>
  <c r="I188" i="4"/>
  <c r="R134" i="4" s="1"/>
  <c r="H176" i="4"/>
  <c r="Q133" i="4" s="1"/>
  <c r="I164" i="4"/>
  <c r="P134" i="4" s="1"/>
  <c r="I182" i="4"/>
  <c r="R132" i="4" s="1"/>
  <c r="H164" i="4"/>
  <c r="P133" i="4" s="1"/>
  <c r="I152" i="4"/>
  <c r="O134" i="4" s="1"/>
  <c r="I170" i="4"/>
  <c r="Q132" i="4" s="1"/>
  <c r="I38" i="7"/>
  <c r="P8" i="7" s="1"/>
  <c r="H74" i="7"/>
  <c r="S7" i="7" s="1"/>
  <c r="H62" i="7"/>
  <c r="R7" i="7" s="1"/>
  <c r="I110" i="8"/>
  <c r="V8" i="8" s="1"/>
  <c r="I68" i="8"/>
  <c r="S6" i="8" s="1"/>
  <c r="I116" i="8"/>
  <c r="W6" i="8" s="1"/>
  <c r="I170" i="8"/>
  <c r="Q132" i="8" s="1"/>
  <c r="I218" i="8"/>
  <c r="U132" i="8" s="1"/>
  <c r="I86" i="8"/>
  <c r="T8" i="8" s="1"/>
  <c r="I140" i="8"/>
  <c r="N134" i="8" s="1"/>
  <c r="I188" i="8"/>
  <c r="R134" i="8" s="1"/>
  <c r="I236" i="8"/>
  <c r="V134" i="8" s="1"/>
  <c r="I74" i="8"/>
  <c r="S8" i="8" s="1"/>
  <c r="I122" i="8"/>
  <c r="W8" i="8" s="1"/>
  <c r="I176" i="8"/>
  <c r="Q134" i="8" s="1"/>
  <c r="I224" i="8"/>
  <c r="U134" i="8" s="1"/>
  <c r="I92" i="8"/>
  <c r="U6" i="8" s="1"/>
  <c r="I146" i="8"/>
  <c r="O132" i="8" s="1"/>
  <c r="I194" i="8"/>
  <c r="S132" i="8" s="1"/>
  <c r="I242" i="8"/>
  <c r="W132" i="8" s="1"/>
  <c r="I80" i="8"/>
  <c r="T6" i="8" s="1"/>
  <c r="I134" i="8"/>
  <c r="N132" i="8" s="1"/>
  <c r="I182" i="8"/>
  <c r="R132" i="8" s="1"/>
  <c r="I230" i="8"/>
  <c r="V132" i="8" s="1"/>
  <c r="I98" i="8"/>
  <c r="U8" i="8" s="1"/>
  <c r="I152" i="8"/>
  <c r="O134" i="8" s="1"/>
  <c r="I200" i="8"/>
  <c r="S134" i="8" s="1"/>
  <c r="I248" i="8"/>
  <c r="W134" i="8" s="1"/>
  <c r="I20" i="8"/>
  <c r="O6" i="8" s="1"/>
  <c r="I38" i="8"/>
  <c r="P8" i="8" s="1"/>
  <c r="I56" i="8"/>
  <c r="R6" i="8" s="1"/>
  <c r="I26" i="8"/>
  <c r="O8" i="8" s="1"/>
  <c r="I14" i="8"/>
  <c r="N8" i="8" s="1"/>
  <c r="I62" i="8"/>
  <c r="R8" i="8" s="1"/>
  <c r="I44" i="8"/>
  <c r="Q6" i="8" s="1"/>
  <c r="I32" i="8"/>
  <c r="P6" i="8" s="1"/>
  <c r="I50" i="8"/>
  <c r="Q8" i="8" s="1"/>
  <c r="I86" i="7"/>
  <c r="T8" i="7" s="1"/>
  <c r="H122" i="7"/>
  <c r="W7" i="7" s="1"/>
  <c r="I116" i="7"/>
  <c r="W6" i="7" s="1"/>
  <c r="I74" i="7"/>
  <c r="S8" i="7" s="1"/>
  <c r="H98" i="7"/>
  <c r="U7" i="7" s="1"/>
  <c r="I104" i="7"/>
  <c r="V6" i="7" s="1"/>
  <c r="I80" i="7"/>
  <c r="T6" i="7" s="1"/>
  <c r="I110" i="7"/>
  <c r="V8" i="7" s="1"/>
  <c r="I56" i="7"/>
  <c r="R6" i="7" s="1"/>
  <c r="I14" i="7"/>
  <c r="N8" i="7" s="1"/>
  <c r="H38" i="7"/>
  <c r="P7" i="7" s="1"/>
  <c r="I44" i="7"/>
  <c r="Q6" i="7" s="1"/>
  <c r="H26" i="7"/>
  <c r="O7" i="7" s="1"/>
  <c r="I32" i="7"/>
  <c r="P6" i="7" s="1"/>
  <c r="I62" i="7"/>
  <c r="R8" i="7" s="1"/>
  <c r="H14" i="7"/>
  <c r="I20" i="7"/>
  <c r="O6" i="7" s="1"/>
  <c r="I50" i="7"/>
  <c r="Q8" i="7" s="1"/>
  <c r="I104" i="6"/>
  <c r="V6" i="6" s="1"/>
  <c r="I74" i="6"/>
  <c r="S8" i="6" s="1"/>
  <c r="I92" i="6"/>
  <c r="U6" i="6" s="1"/>
  <c r="I110" i="6"/>
  <c r="V8" i="6" s="1"/>
  <c r="I98" i="6"/>
  <c r="U8" i="6" s="1"/>
  <c r="I116" i="6"/>
  <c r="W6" i="6" s="1"/>
  <c r="I68" i="6"/>
  <c r="S6" i="6" s="1"/>
  <c r="I86" i="6"/>
  <c r="T8" i="6" s="1"/>
  <c r="I44" i="6"/>
  <c r="Q6" i="6" s="1"/>
  <c r="I14" i="6"/>
  <c r="N8" i="6" s="1"/>
  <c r="I50" i="6"/>
  <c r="Q8" i="6" s="1"/>
  <c r="I20" i="6"/>
  <c r="O6" i="6" s="1"/>
  <c r="I38" i="6"/>
  <c r="P8" i="6" s="1"/>
  <c r="I86" i="5"/>
  <c r="T8" i="5" s="1"/>
  <c r="H110" i="5"/>
  <c r="V7" i="5" s="1"/>
  <c r="I74" i="5"/>
  <c r="S8" i="5" s="1"/>
  <c r="I104" i="5"/>
  <c r="V6" i="5" s="1"/>
  <c r="I92" i="5"/>
  <c r="U6" i="5" s="1"/>
  <c r="I122" i="5"/>
  <c r="W8" i="5" s="1"/>
  <c r="H74" i="5"/>
  <c r="S7" i="5" s="1"/>
  <c r="I68" i="5"/>
  <c r="S6" i="5" s="1"/>
  <c r="I98" i="5"/>
  <c r="U8" i="5" s="1"/>
  <c r="I14" i="5"/>
  <c r="N8" i="5" s="1"/>
  <c r="I44" i="5"/>
  <c r="Q6" i="5" s="1"/>
  <c r="I32" i="5"/>
  <c r="P6" i="5" s="1"/>
  <c r="I62" i="5"/>
  <c r="R8" i="5" s="1"/>
  <c r="H14" i="5"/>
  <c r="I20" i="5"/>
  <c r="O6" i="5" s="1"/>
  <c r="I50" i="5"/>
  <c r="Q8" i="5" s="1"/>
  <c r="I8" i="5"/>
  <c r="N6" i="5" s="1"/>
  <c r="I38" i="5"/>
  <c r="P8" i="5" s="1"/>
  <c r="I26" i="5"/>
  <c r="O8" i="5" s="1"/>
  <c r="I122" i="4"/>
  <c r="W8" i="4" s="1"/>
  <c r="I110" i="4"/>
  <c r="V8" i="4" s="1"/>
  <c r="H122" i="4"/>
  <c r="W7" i="4" s="1"/>
  <c r="I80" i="4"/>
  <c r="T6" i="4" s="1"/>
  <c r="H74" i="4"/>
  <c r="S7" i="4" s="1"/>
  <c r="H110" i="4"/>
  <c r="V7" i="4" s="1"/>
  <c r="I68" i="4"/>
  <c r="S6" i="4" s="1"/>
  <c r="I116" i="4"/>
  <c r="W6" i="4" s="1"/>
  <c r="H98" i="4"/>
  <c r="U7" i="4" s="1"/>
  <c r="I104" i="4"/>
  <c r="V6" i="4" s="1"/>
  <c r="I86" i="4"/>
  <c r="T8" i="4" s="1"/>
  <c r="I74" i="4"/>
  <c r="S8" i="4" s="1"/>
  <c r="H86" i="4"/>
  <c r="T7" i="4" s="1"/>
  <c r="I44" i="4"/>
  <c r="Q6" i="4" s="1"/>
  <c r="I14" i="4"/>
  <c r="N8" i="4" s="1"/>
  <c r="I62" i="4"/>
  <c r="R8" i="4" s="1"/>
  <c r="I32" i="4"/>
  <c r="P6" i="4" s="1"/>
  <c r="I50" i="4"/>
  <c r="Q8" i="4" s="1"/>
  <c r="H62" i="4"/>
  <c r="R7" i="4" s="1"/>
  <c r="I20" i="4"/>
  <c r="O6" i="4" s="1"/>
  <c r="I38" i="4"/>
  <c r="P8" i="4" s="1"/>
  <c r="I56" i="4"/>
  <c r="R6" i="4" s="1"/>
  <c r="I26" i="4"/>
  <c r="O8" i="4" s="1"/>
  <c r="H8" i="9"/>
  <c r="N5" i="9" s="1"/>
  <c r="H20" i="9"/>
  <c r="H32" i="9"/>
  <c r="P5" i="9" s="1"/>
  <c r="H44" i="9"/>
  <c r="Q5" i="9" s="1"/>
  <c r="H56" i="9"/>
  <c r="R5" i="9" s="1"/>
  <c r="H68" i="9"/>
  <c r="S5" i="9" s="1"/>
  <c r="H80" i="9"/>
  <c r="T5" i="9" s="1"/>
  <c r="H92" i="9"/>
  <c r="U5" i="9" s="1"/>
  <c r="H104" i="9"/>
  <c r="V5" i="9" s="1"/>
  <c r="H116" i="9"/>
  <c r="W5" i="9" s="1"/>
  <c r="H134" i="9"/>
  <c r="N131" i="9" s="1"/>
  <c r="H146" i="9"/>
  <c r="H158" i="9"/>
  <c r="P131" i="9" s="1"/>
  <c r="H170" i="9"/>
  <c r="Q131" i="9" s="1"/>
  <c r="H182" i="9"/>
  <c r="R131" i="9" s="1"/>
  <c r="H194" i="9"/>
  <c r="S131" i="9" s="1"/>
  <c r="H206" i="9"/>
  <c r="T131" i="9" s="1"/>
  <c r="H218" i="9"/>
  <c r="U131" i="9" s="1"/>
  <c r="H230" i="9"/>
  <c r="V131" i="9" s="1"/>
  <c r="H242" i="9"/>
  <c r="W131" i="9" s="1"/>
  <c r="H14" i="9"/>
  <c r="H26" i="9"/>
  <c r="O7" i="9" s="1"/>
  <c r="H38" i="9"/>
  <c r="P7" i="9" s="1"/>
  <c r="H50" i="9"/>
  <c r="Q7" i="9" s="1"/>
  <c r="H62" i="9"/>
  <c r="R7" i="9" s="1"/>
  <c r="H74" i="9"/>
  <c r="S7" i="9" s="1"/>
  <c r="H86" i="9"/>
  <c r="T7" i="9" s="1"/>
  <c r="H98" i="9"/>
  <c r="U7" i="9" s="1"/>
  <c r="H110" i="9"/>
  <c r="V7" i="9" s="1"/>
  <c r="H122" i="9"/>
  <c r="W7" i="9" s="1"/>
  <c r="H140" i="9"/>
  <c r="H152" i="9"/>
  <c r="O133" i="9" s="1"/>
  <c r="H164" i="9"/>
  <c r="P133" i="9" s="1"/>
  <c r="H176" i="9"/>
  <c r="Q133" i="9" s="1"/>
  <c r="H188" i="9"/>
  <c r="R133" i="9" s="1"/>
  <c r="H200" i="9"/>
  <c r="S133" i="9" s="1"/>
  <c r="H212" i="9"/>
  <c r="T133" i="9" s="1"/>
  <c r="H224" i="9"/>
  <c r="U133" i="9" s="1"/>
  <c r="H236" i="9"/>
  <c r="V133" i="9" s="1"/>
  <c r="H248" i="9"/>
  <c r="W133" i="9" s="1"/>
  <c r="H8" i="8"/>
  <c r="N5" i="8" s="1"/>
  <c r="H20" i="8"/>
  <c r="H32" i="8"/>
  <c r="P5" i="8" s="1"/>
  <c r="H44" i="8"/>
  <c r="Q5" i="8" s="1"/>
  <c r="H56" i="8"/>
  <c r="R5" i="8" s="1"/>
  <c r="H68" i="8"/>
  <c r="S5" i="8" s="1"/>
  <c r="H80" i="8"/>
  <c r="T5" i="8" s="1"/>
  <c r="H92" i="8"/>
  <c r="U5" i="8" s="1"/>
  <c r="H104" i="8"/>
  <c r="V5" i="8" s="1"/>
  <c r="H116" i="8"/>
  <c r="W5" i="8" s="1"/>
  <c r="H134" i="8"/>
  <c r="N131" i="8" s="1"/>
  <c r="H146" i="8"/>
  <c r="H158" i="8"/>
  <c r="P131" i="8" s="1"/>
  <c r="H170" i="8"/>
  <c r="Q131" i="8" s="1"/>
  <c r="H182" i="8"/>
  <c r="R131" i="8" s="1"/>
  <c r="H194" i="8"/>
  <c r="S131" i="8" s="1"/>
  <c r="H206" i="8"/>
  <c r="T131" i="8" s="1"/>
  <c r="H218" i="8"/>
  <c r="U131" i="8" s="1"/>
  <c r="H230" i="8"/>
  <c r="V131" i="8" s="1"/>
  <c r="H242" i="8"/>
  <c r="W131" i="8" s="1"/>
  <c r="H14" i="8"/>
  <c r="H26" i="8"/>
  <c r="O7" i="8" s="1"/>
  <c r="H38" i="8"/>
  <c r="P7" i="8" s="1"/>
  <c r="H50" i="8"/>
  <c r="Q7" i="8" s="1"/>
  <c r="H62" i="8"/>
  <c r="R7" i="8" s="1"/>
  <c r="H74" i="8"/>
  <c r="S7" i="8" s="1"/>
  <c r="H86" i="8"/>
  <c r="T7" i="8" s="1"/>
  <c r="H98" i="8"/>
  <c r="U7" i="8" s="1"/>
  <c r="H110" i="8"/>
  <c r="V7" i="8" s="1"/>
  <c r="H122" i="8"/>
  <c r="W7" i="8" s="1"/>
  <c r="H140" i="8"/>
  <c r="H152" i="8"/>
  <c r="O133" i="8" s="1"/>
  <c r="H164" i="8"/>
  <c r="P133" i="8" s="1"/>
  <c r="H176" i="8"/>
  <c r="Q133" i="8" s="1"/>
  <c r="H188" i="8"/>
  <c r="R133" i="8" s="1"/>
  <c r="H200" i="8"/>
  <c r="S133" i="8" s="1"/>
  <c r="H212" i="8"/>
  <c r="T133" i="8" s="1"/>
  <c r="H224" i="8"/>
  <c r="U133" i="8" s="1"/>
  <c r="H236" i="8"/>
  <c r="V133" i="8" s="1"/>
  <c r="H248" i="8"/>
  <c r="W133" i="8" s="1"/>
  <c r="H8" i="7"/>
  <c r="N5" i="7" s="1"/>
  <c r="H20" i="7"/>
  <c r="H32" i="7"/>
  <c r="P5" i="7" s="1"/>
  <c r="H44" i="7"/>
  <c r="Q5" i="7" s="1"/>
  <c r="H56" i="7"/>
  <c r="R5" i="7" s="1"/>
  <c r="H68" i="7"/>
  <c r="S5" i="7" s="1"/>
  <c r="H80" i="7"/>
  <c r="T5" i="7" s="1"/>
  <c r="H92" i="7"/>
  <c r="U5" i="7" s="1"/>
  <c r="H104" i="7"/>
  <c r="V5" i="7" s="1"/>
  <c r="H116" i="7"/>
  <c r="W5" i="7" s="1"/>
  <c r="H134" i="7"/>
  <c r="N131" i="7" s="1"/>
  <c r="H146" i="7"/>
  <c r="H158" i="7"/>
  <c r="P131" i="7" s="1"/>
  <c r="H170" i="7"/>
  <c r="Q131" i="7" s="1"/>
  <c r="H182" i="7"/>
  <c r="R131" i="7" s="1"/>
  <c r="H194" i="7"/>
  <c r="S131" i="7" s="1"/>
  <c r="H206" i="7"/>
  <c r="T131" i="7" s="1"/>
  <c r="H218" i="7"/>
  <c r="U131" i="7" s="1"/>
  <c r="H230" i="7"/>
  <c r="V131" i="7" s="1"/>
  <c r="H242" i="7"/>
  <c r="W131" i="7" s="1"/>
  <c r="H8" i="6"/>
  <c r="N5" i="6" s="1"/>
  <c r="H20" i="6"/>
  <c r="H32" i="6"/>
  <c r="P5" i="6" s="1"/>
  <c r="H44" i="6"/>
  <c r="Q5" i="6" s="1"/>
  <c r="H56" i="6"/>
  <c r="R5" i="6" s="1"/>
  <c r="H68" i="6"/>
  <c r="S5" i="6" s="1"/>
  <c r="H80" i="6"/>
  <c r="T5" i="6" s="1"/>
  <c r="H92" i="6"/>
  <c r="U5" i="6" s="1"/>
  <c r="H104" i="6"/>
  <c r="V5" i="6" s="1"/>
  <c r="H116" i="6"/>
  <c r="W5" i="6" s="1"/>
  <c r="H134" i="6"/>
  <c r="N131" i="6" s="1"/>
  <c r="H146" i="6"/>
  <c r="H158" i="6"/>
  <c r="P131" i="6" s="1"/>
  <c r="H170" i="6"/>
  <c r="Q131" i="6" s="1"/>
  <c r="H182" i="6"/>
  <c r="R131" i="6" s="1"/>
  <c r="H194" i="6"/>
  <c r="S131" i="6" s="1"/>
  <c r="H206" i="6"/>
  <c r="T131" i="6" s="1"/>
  <c r="H218" i="6"/>
  <c r="U131" i="6" s="1"/>
  <c r="H230" i="6"/>
  <c r="V131" i="6" s="1"/>
  <c r="H242" i="6"/>
  <c r="W131" i="6" s="1"/>
  <c r="H14" i="6"/>
  <c r="H26" i="6"/>
  <c r="O7" i="6" s="1"/>
  <c r="H38" i="6"/>
  <c r="P7" i="6" s="1"/>
  <c r="H50" i="6"/>
  <c r="Q7" i="6" s="1"/>
  <c r="H62" i="6"/>
  <c r="R7" i="6" s="1"/>
  <c r="H74" i="6"/>
  <c r="S7" i="6" s="1"/>
  <c r="H86" i="6"/>
  <c r="T7" i="6" s="1"/>
  <c r="H98" i="6"/>
  <c r="U7" i="6" s="1"/>
  <c r="H110" i="6"/>
  <c r="V7" i="6" s="1"/>
  <c r="H122" i="6"/>
  <c r="W7" i="6" s="1"/>
  <c r="H140" i="6"/>
  <c r="H152" i="6"/>
  <c r="O133" i="6" s="1"/>
  <c r="H164" i="6"/>
  <c r="P133" i="6" s="1"/>
  <c r="H176" i="6"/>
  <c r="Q133" i="6" s="1"/>
  <c r="H188" i="6"/>
  <c r="R133" i="6" s="1"/>
  <c r="H200" i="6"/>
  <c r="S133" i="6" s="1"/>
  <c r="H212" i="6"/>
  <c r="T133" i="6" s="1"/>
  <c r="H224" i="6"/>
  <c r="U133" i="6" s="1"/>
  <c r="H236" i="6"/>
  <c r="V133" i="6" s="1"/>
  <c r="H248" i="6"/>
  <c r="W133" i="6" s="1"/>
  <c r="H8" i="5"/>
  <c r="N5" i="5" s="1"/>
  <c r="H20" i="5"/>
  <c r="H32" i="5"/>
  <c r="P5" i="5" s="1"/>
  <c r="H44" i="5"/>
  <c r="Q5" i="5" s="1"/>
  <c r="H56" i="5"/>
  <c r="R5" i="5" s="1"/>
  <c r="S5" i="5"/>
  <c r="H80" i="5"/>
  <c r="T5" i="5" s="1"/>
  <c r="H92" i="5"/>
  <c r="U5" i="5" s="1"/>
  <c r="H104" i="5"/>
  <c r="V5" i="5" s="1"/>
  <c r="H116" i="5"/>
  <c r="W5" i="5" s="1"/>
  <c r="H134" i="5"/>
  <c r="N131" i="5" s="1"/>
  <c r="H146" i="5"/>
  <c r="H158" i="5"/>
  <c r="P131" i="5" s="1"/>
  <c r="H170" i="5"/>
  <c r="Q131" i="5" s="1"/>
  <c r="H182" i="5"/>
  <c r="R131" i="5" s="1"/>
  <c r="H194" i="5"/>
  <c r="S131" i="5" s="1"/>
  <c r="H206" i="5"/>
  <c r="T131" i="5" s="1"/>
  <c r="H218" i="5"/>
  <c r="U131" i="5" s="1"/>
  <c r="H230" i="5"/>
  <c r="V131" i="5" s="1"/>
  <c r="H242" i="5"/>
  <c r="W131" i="5" s="1"/>
  <c r="H8" i="4"/>
  <c r="N5" i="4" s="1"/>
  <c r="H20" i="4"/>
  <c r="H32" i="4"/>
  <c r="P5" i="4" s="1"/>
  <c r="H44" i="4"/>
  <c r="Q5" i="4" s="1"/>
  <c r="H56" i="4"/>
  <c r="R5" i="4" s="1"/>
  <c r="H68" i="4"/>
  <c r="S5" i="4" s="1"/>
  <c r="H80" i="4"/>
  <c r="T5" i="4" s="1"/>
  <c r="H92" i="4"/>
  <c r="U5" i="4" s="1"/>
  <c r="H104" i="4"/>
  <c r="V5" i="4" s="1"/>
  <c r="H116" i="4"/>
  <c r="W5" i="4" s="1"/>
  <c r="H134" i="4"/>
  <c r="N131" i="4" s="1"/>
  <c r="H146" i="4"/>
  <c r="H158" i="4"/>
  <c r="P131" i="4" s="1"/>
  <c r="H170" i="4"/>
  <c r="Q131" i="4" s="1"/>
  <c r="H182" i="4"/>
  <c r="R131" i="4" s="1"/>
  <c r="H194" i="4"/>
  <c r="S131" i="4" s="1"/>
  <c r="H206" i="4"/>
  <c r="T131" i="4" s="1"/>
  <c r="H218" i="4"/>
  <c r="U131" i="4" s="1"/>
  <c r="H230" i="4"/>
  <c r="V131" i="4" s="1"/>
  <c r="H242" i="4"/>
  <c r="W131" i="4" s="1"/>
  <c r="H14" i="4"/>
  <c r="H26" i="4"/>
  <c r="O7" i="4" s="1"/>
  <c r="H38" i="4"/>
  <c r="P7" i="4" s="1"/>
  <c r="H50" i="4"/>
  <c r="Q7" i="4" s="1"/>
  <c r="H140" i="4"/>
  <c r="H200" i="4"/>
  <c r="S133" i="4" s="1"/>
  <c r="H248" i="4"/>
  <c r="W133" i="4" s="1"/>
  <c r="I80" i="2"/>
  <c r="T6" i="2" s="1"/>
  <c r="H32" i="2"/>
  <c r="P5" i="2" s="1"/>
  <c r="I110" i="2"/>
  <c r="V8" i="2" s="1"/>
  <c r="I44" i="2"/>
  <c r="Q6" i="2" s="1"/>
  <c r="I86" i="2"/>
  <c r="T8" i="2" s="1"/>
  <c r="H68" i="2"/>
  <c r="S5" i="2" s="1"/>
  <c r="I38" i="2"/>
  <c r="P8" i="2" s="1"/>
  <c r="H62" i="2"/>
  <c r="R7" i="2" s="1"/>
  <c r="I104" i="2"/>
  <c r="V6" i="2" s="1"/>
  <c r="I56" i="2"/>
  <c r="R6" i="2" s="1"/>
  <c r="H38" i="2"/>
  <c r="P7" i="2" s="1"/>
  <c r="H56" i="2"/>
  <c r="R5" i="2" s="1"/>
  <c r="I116" i="2"/>
  <c r="W6" i="2" s="1"/>
  <c r="I20" i="2"/>
  <c r="O6" i="2" s="1"/>
  <c r="H116" i="2"/>
  <c r="W5" i="2" s="1"/>
  <c r="H20" i="2"/>
  <c r="I68" i="2"/>
  <c r="S6" i="2" s="1"/>
  <c r="I32" i="2"/>
  <c r="P6" i="2" s="1"/>
  <c r="I98" i="2"/>
  <c r="U8" i="2" s="1"/>
  <c r="H50" i="2"/>
  <c r="Q7" i="2" s="1"/>
  <c r="I14" i="2"/>
  <c r="N8" i="2" s="1"/>
  <c r="H110" i="2"/>
  <c r="V7" i="2" s="1"/>
  <c r="H122" i="2"/>
  <c r="W7" i="2" s="1"/>
  <c r="I92" i="2"/>
  <c r="U6" i="2" s="1"/>
  <c r="I74" i="2"/>
  <c r="S8" i="2" s="1"/>
  <c r="H44" i="2"/>
  <c r="Q5" i="2" s="1"/>
  <c r="H26" i="2"/>
  <c r="O7" i="2" s="1"/>
  <c r="I122" i="2"/>
  <c r="W8" i="2" s="1"/>
  <c r="I26" i="2"/>
  <c r="O8" i="2" s="1"/>
  <c r="H158" i="2"/>
  <c r="P131" i="2" s="1"/>
  <c r="H170" i="2"/>
  <c r="Q131" i="2" s="1"/>
  <c r="I158" i="2"/>
  <c r="P132" i="2" s="1"/>
  <c r="I140" i="2"/>
  <c r="N134" i="2" s="1"/>
  <c r="H140" i="2"/>
  <c r="I188" i="2"/>
  <c r="R134" i="2" s="1"/>
  <c r="I206" i="2"/>
  <c r="T132" i="2" s="1"/>
  <c r="I236" i="2"/>
  <c r="V134" i="2" s="1"/>
  <c r="H188" i="2"/>
  <c r="R133" i="2" s="1"/>
  <c r="H236" i="2"/>
  <c r="V133" i="2" s="1"/>
  <c r="H146" i="2"/>
  <c r="I176" i="2"/>
  <c r="Q134" i="2" s="1"/>
  <c r="I194" i="2"/>
  <c r="S132" i="2" s="1"/>
  <c r="I224" i="2"/>
  <c r="U134" i="2" s="1"/>
  <c r="I242" i="2"/>
  <c r="W132" i="2" s="1"/>
  <c r="I152" i="2"/>
  <c r="O134" i="2" s="1"/>
  <c r="H176" i="2"/>
  <c r="Q133" i="2" s="1"/>
  <c r="H224" i="2"/>
  <c r="U133" i="2" s="1"/>
  <c r="I230" i="2"/>
  <c r="V132" i="2" s="1"/>
  <c r="I134" i="2"/>
  <c r="N132" i="2" s="1"/>
  <c r="I164" i="2"/>
  <c r="P134" i="2" s="1"/>
  <c r="I182" i="2"/>
  <c r="R132" i="2" s="1"/>
  <c r="I212" i="2"/>
  <c r="T134" i="2" s="1"/>
  <c r="H164" i="2"/>
  <c r="P133" i="2" s="1"/>
  <c r="H212" i="2"/>
  <c r="T133" i="2" s="1"/>
  <c r="H152" i="2"/>
  <c r="O133" i="2" s="1"/>
  <c r="I200" i="2"/>
  <c r="S134" i="2" s="1"/>
  <c r="I248" i="2"/>
  <c r="W134" i="2" s="1"/>
  <c r="H200" i="2"/>
  <c r="S133" i="2" s="1"/>
  <c r="H248" i="2"/>
  <c r="W133" i="2" s="1"/>
  <c r="H134" i="2"/>
  <c r="N131" i="2" s="1"/>
  <c r="H194" i="2"/>
  <c r="S131" i="2" s="1"/>
  <c r="H206" i="2"/>
  <c r="T131" i="2" s="1"/>
  <c r="H218" i="2"/>
  <c r="U131" i="2" s="1"/>
  <c r="H230" i="2"/>
  <c r="V131" i="2" s="1"/>
  <c r="H242" i="2"/>
  <c r="W131" i="2" s="1"/>
  <c r="H182" i="2"/>
  <c r="R131" i="2" s="1"/>
  <c r="I146" i="2"/>
  <c r="O132" i="2" s="1"/>
  <c r="I170" i="2"/>
  <c r="Q132" i="2" s="1"/>
  <c r="H74" i="2"/>
  <c r="S7" i="2" s="1"/>
  <c r="I50" i="2"/>
  <c r="Q8" i="2" s="1"/>
  <c r="H80" i="2"/>
  <c r="T5" i="2" s="1"/>
  <c r="H86" i="2"/>
  <c r="T7" i="2" s="1"/>
  <c r="I62" i="2"/>
  <c r="R8" i="2" s="1"/>
  <c r="H92" i="2"/>
  <c r="U5" i="2" s="1"/>
  <c r="H98" i="2"/>
  <c r="U7" i="2" s="1"/>
  <c r="H8" i="2"/>
  <c r="N5" i="2" s="1"/>
  <c r="H104" i="2"/>
  <c r="V5" i="2" s="1"/>
  <c r="H14" i="2"/>
  <c r="F73" i="1"/>
  <c r="F62" i="1"/>
  <c r="F63" i="1"/>
  <c r="F64" i="1"/>
  <c r="F65" i="1"/>
  <c r="F66" i="1"/>
  <c r="F67" i="1"/>
  <c r="F68" i="1"/>
  <c r="F69" i="1"/>
  <c r="F70" i="1"/>
  <c r="F71" i="1"/>
  <c r="F72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2" i="1"/>
  <c r="O5" i="9" l="1"/>
  <c r="N7" i="9"/>
  <c r="O131" i="9"/>
  <c r="N133" i="9"/>
  <c r="N133" i="7"/>
  <c r="O131" i="7"/>
  <c r="N133" i="6"/>
  <c r="O131" i="6"/>
  <c r="N133" i="5"/>
  <c r="O131" i="5"/>
  <c r="N133" i="4"/>
  <c r="O131" i="4"/>
  <c r="N133" i="2"/>
  <c r="O131" i="2"/>
  <c r="N133" i="8"/>
  <c r="O131" i="8"/>
  <c r="N7" i="8"/>
  <c r="O5" i="8"/>
  <c r="N7" i="7"/>
  <c r="O5" i="7"/>
  <c r="N7" i="6"/>
  <c r="O5" i="6"/>
  <c r="N7" i="5"/>
  <c r="O5" i="5"/>
  <c r="N7" i="4"/>
  <c r="O5" i="4"/>
  <c r="N7" i="2"/>
  <c r="O5" i="2"/>
</calcChain>
</file>

<file path=xl/sharedStrings.xml><?xml version="1.0" encoding="utf-8"?>
<sst xmlns="http://schemas.openxmlformats.org/spreadsheetml/2006/main" count="23847" uniqueCount="745">
  <si>
    <t>Hoja Muestras</t>
  </si>
  <si>
    <t>Raiz Muestras</t>
  </si>
  <si>
    <t>C1.1 1d</t>
  </si>
  <si>
    <t>C1.2 1d</t>
  </si>
  <si>
    <t>C2.1 1d</t>
  </si>
  <si>
    <t>C3.1 1d</t>
  </si>
  <si>
    <t>C3.2 1d</t>
  </si>
  <si>
    <t>C2.2 1d</t>
  </si>
  <si>
    <t>Bm1.2 1d</t>
  </si>
  <si>
    <t>Bm 2.1 1d</t>
  </si>
  <si>
    <t>Bm 2.2 1d</t>
  </si>
  <si>
    <t>Bm 3.1 1d</t>
  </si>
  <si>
    <t>Bm 3.2 1d</t>
  </si>
  <si>
    <t>Bm1.1 1d</t>
  </si>
  <si>
    <t>C1.1 2d</t>
  </si>
  <si>
    <t>C1.2 2d</t>
  </si>
  <si>
    <t>C2.1 2d</t>
  </si>
  <si>
    <t>C2.2 2d</t>
  </si>
  <si>
    <t>C3.1 2d</t>
  </si>
  <si>
    <t>C3.2 2d</t>
  </si>
  <si>
    <t>Bm1.1 2d</t>
  </si>
  <si>
    <t>Bm1.2 2d</t>
  </si>
  <si>
    <t>Bm 2.1 2d</t>
  </si>
  <si>
    <t>Bm 2.2 2d</t>
  </si>
  <si>
    <t>Bm 3.1 2d</t>
  </si>
  <si>
    <t>Bm 3.2 2d</t>
  </si>
  <si>
    <t>C1.1 3d</t>
  </si>
  <si>
    <t>C1.2 3d</t>
  </si>
  <si>
    <t>C2.1 3d</t>
  </si>
  <si>
    <t>C2.2 3d</t>
  </si>
  <si>
    <t>C3.1 3d</t>
  </si>
  <si>
    <t>C3.2 3d</t>
  </si>
  <si>
    <t>Bm1.1 3d</t>
  </si>
  <si>
    <t>Bm1.2 3d</t>
  </si>
  <si>
    <t>Bm 2.1 3d</t>
  </si>
  <si>
    <t>Bm 2.2 3d</t>
  </si>
  <si>
    <t>Bm 3.1 3d</t>
  </si>
  <si>
    <t>Bm 3.2 3d</t>
  </si>
  <si>
    <t>C1.1 4d</t>
  </si>
  <si>
    <t>C1.2 4d</t>
  </si>
  <si>
    <t>C2.1 4d</t>
  </si>
  <si>
    <t>C2.2 4d</t>
  </si>
  <si>
    <t>C3.1 4d</t>
  </si>
  <si>
    <t>C3.2 4d</t>
  </si>
  <si>
    <t>Bm1.1 4d</t>
  </si>
  <si>
    <t>Bm1.2 4d</t>
  </si>
  <si>
    <t>Bm 2.1 4d</t>
  </si>
  <si>
    <t>Bm 2.2 4d</t>
  </si>
  <si>
    <t>Bm 3.1 4d</t>
  </si>
  <si>
    <t>Bm 3.2 4d</t>
  </si>
  <si>
    <t>C1.1 5d</t>
  </si>
  <si>
    <t>C1.2 5d</t>
  </si>
  <si>
    <t>C2.1 5d</t>
  </si>
  <si>
    <t>C2.2 5d</t>
  </si>
  <si>
    <t>C3.1 5d</t>
  </si>
  <si>
    <t>C3.2 5d</t>
  </si>
  <si>
    <t>Bm1.1 5d</t>
  </si>
  <si>
    <t>Bm1.2 5d</t>
  </si>
  <si>
    <t>Bm 2.1 5d</t>
  </si>
  <si>
    <t>Bm 2.2 5d</t>
  </si>
  <si>
    <t>Bm 3.1 5d</t>
  </si>
  <si>
    <t>Bm 3.2 5d</t>
  </si>
  <si>
    <t>C1.1 6d</t>
  </si>
  <si>
    <t>C1.2 6d</t>
  </si>
  <si>
    <t>C2.1 6d</t>
  </si>
  <si>
    <t>C2.2 6d</t>
  </si>
  <si>
    <t>C3.1 6d</t>
  </si>
  <si>
    <t>C3.2 6d</t>
  </si>
  <si>
    <t>Bm1.1 6d</t>
  </si>
  <si>
    <t>Bm1.2 6d</t>
  </si>
  <si>
    <t>Bm 2.1 6d</t>
  </si>
  <si>
    <t>Bm 2.2 6d</t>
  </si>
  <si>
    <t>Bm 3.1 6d</t>
  </si>
  <si>
    <t>Bm 3.2 6d</t>
  </si>
  <si>
    <t>C1.1 7d</t>
  </si>
  <si>
    <t>C1.2 7d</t>
  </si>
  <si>
    <t>C2.1 7d</t>
  </si>
  <si>
    <t>C2.2 7d</t>
  </si>
  <si>
    <t>C3.1 7d</t>
  </si>
  <si>
    <t>C3.2 7d</t>
  </si>
  <si>
    <t>Bm1.1 7d</t>
  </si>
  <si>
    <t>Bm1.2 7d</t>
  </si>
  <si>
    <t>Bm 2.1 7d</t>
  </si>
  <si>
    <t>Bm 2.2 7d</t>
  </si>
  <si>
    <t>Bm 3.1 7d</t>
  </si>
  <si>
    <t>Bm 3.2 7d</t>
  </si>
  <si>
    <t>C1.1 8d</t>
  </si>
  <si>
    <t>C1.2 8d</t>
  </si>
  <si>
    <t>C2.1 8d</t>
  </si>
  <si>
    <t>C2.2 8d</t>
  </si>
  <si>
    <t>C3.1 8d</t>
  </si>
  <si>
    <t>C3.2 8d</t>
  </si>
  <si>
    <t>Bm1.1 8d</t>
  </si>
  <si>
    <t>Bm1.2 8d</t>
  </si>
  <si>
    <t>Bm 2.1 8d</t>
  </si>
  <si>
    <t>Bm 2.2 8d</t>
  </si>
  <si>
    <t>Bm 3.1 8d</t>
  </si>
  <si>
    <t>Bm 3.2 8d</t>
  </si>
  <si>
    <t>C1.1 9d</t>
  </si>
  <si>
    <t>C1.2 9d</t>
  </si>
  <si>
    <t>C2.1 9d</t>
  </si>
  <si>
    <t>C2.2 9d</t>
  </si>
  <si>
    <t>C3.1 9d</t>
  </si>
  <si>
    <t>C3.2 9d</t>
  </si>
  <si>
    <t>Bm1.1 9d</t>
  </si>
  <si>
    <t>Bm1.2 9d</t>
  </si>
  <si>
    <t>Bm 2.1 9d</t>
  </si>
  <si>
    <t>Bm 2.2 9d</t>
  </si>
  <si>
    <t>Bm 3.1 9d</t>
  </si>
  <si>
    <t>Bm 3.2 9d</t>
  </si>
  <si>
    <t>C1.1 10d</t>
  </si>
  <si>
    <t>C1.2 10d</t>
  </si>
  <si>
    <t>C2.1 10d</t>
  </si>
  <si>
    <t>C2.2 10d</t>
  </si>
  <si>
    <t>C3.1 10d</t>
  </si>
  <si>
    <t>C3.2 10d</t>
  </si>
  <si>
    <t>Bm1.1 10d</t>
  </si>
  <si>
    <t>Bm1.2 10d</t>
  </si>
  <si>
    <t>Bm 2.1 10d</t>
  </si>
  <si>
    <t>Bm 2.2 10d</t>
  </si>
  <si>
    <t>Bm 3.1 10d</t>
  </si>
  <si>
    <t>Bm 3.2 10d</t>
  </si>
  <si>
    <t>Peso g</t>
  </si>
  <si>
    <t>Name</t>
  </si>
  <si>
    <t>Sample text</t>
  </si>
  <si>
    <t>Conc (ng/ml)</t>
  </si>
  <si>
    <t>Peso</t>
  </si>
  <si>
    <t>mL usado para la extracción</t>
  </si>
  <si>
    <t>Factor dilución</t>
  </si>
  <si>
    <t>ng/g peso fresco</t>
  </si>
  <si>
    <t>Promedio</t>
  </si>
  <si>
    <t>Error</t>
  </si>
  <si>
    <t>HOJA</t>
  </si>
  <si>
    <t>RAIZ</t>
  </si>
  <si>
    <t>C1.1 1d R</t>
  </si>
  <si>
    <t>1 R</t>
  </si>
  <si>
    <t>C1.2 1d R</t>
  </si>
  <si>
    <t>2 R</t>
  </si>
  <si>
    <t>C2.1 1d R</t>
  </si>
  <si>
    <t>3 R</t>
  </si>
  <si>
    <t>C2.2 1d R</t>
  </si>
  <si>
    <t>4 R</t>
  </si>
  <si>
    <t>C3.1 1d R</t>
  </si>
  <si>
    <t>5 R</t>
  </si>
  <si>
    <t>C3.2 1d R</t>
  </si>
  <si>
    <t>6 R</t>
  </si>
  <si>
    <t>Bm1.1 1d R</t>
  </si>
  <si>
    <t>7 R</t>
  </si>
  <si>
    <t>Bm1.2 1d R</t>
  </si>
  <si>
    <t>8 R</t>
  </si>
  <si>
    <t>Bm 2.1 1d R</t>
  </si>
  <si>
    <t>9 R</t>
  </si>
  <si>
    <t>Bm 2.2 1d R</t>
  </si>
  <si>
    <t>10 R</t>
  </si>
  <si>
    <t>Bm 3.1 1d R</t>
  </si>
  <si>
    <t>11 R</t>
  </si>
  <si>
    <t>Bm 3.2 1d R</t>
  </si>
  <si>
    <t>12 R</t>
  </si>
  <si>
    <t>C1.1 2d R</t>
  </si>
  <si>
    <t>13 R</t>
  </si>
  <si>
    <t>C1.2 2d R</t>
  </si>
  <si>
    <t>14 R</t>
  </si>
  <si>
    <t>C2.1 2d R</t>
  </si>
  <si>
    <t>15 R</t>
  </si>
  <si>
    <t>C2.2 2d R</t>
  </si>
  <si>
    <t>16 R</t>
  </si>
  <si>
    <t>C3.1 2d R</t>
  </si>
  <si>
    <t>17 R</t>
  </si>
  <si>
    <t>C3.2 2d R</t>
  </si>
  <si>
    <t>18 R</t>
  </si>
  <si>
    <t>Bm1.1 2d R</t>
  </si>
  <si>
    <t>19 R</t>
  </si>
  <si>
    <t>Bm1.2 2d R</t>
  </si>
  <si>
    <t>20 R</t>
  </si>
  <si>
    <t>Bm 2.1 2d R</t>
  </si>
  <si>
    <t>21 R</t>
  </si>
  <si>
    <t>Bm 2.2 2d R</t>
  </si>
  <si>
    <t>22 R</t>
  </si>
  <si>
    <t>Bm 3.1 2d R</t>
  </si>
  <si>
    <t>23 R</t>
  </si>
  <si>
    <t>Bm 3.2 2d R</t>
  </si>
  <si>
    <t>24 R</t>
  </si>
  <si>
    <t>C1.1 3d R</t>
  </si>
  <si>
    <t>25 R</t>
  </si>
  <si>
    <t>C1.2 3d R</t>
  </si>
  <si>
    <t>26 R</t>
  </si>
  <si>
    <t>C2.1 3d R</t>
  </si>
  <si>
    <t>27 R</t>
  </si>
  <si>
    <t>C2.2 3d R</t>
  </si>
  <si>
    <t>28 R</t>
  </si>
  <si>
    <t>C3.1 3d R</t>
  </si>
  <si>
    <t>29 R</t>
  </si>
  <si>
    <t>C3.2 3d R</t>
  </si>
  <si>
    <t>30 R</t>
  </si>
  <si>
    <t>Bm1.1 3d R</t>
  </si>
  <si>
    <t>31 R</t>
  </si>
  <si>
    <t>Bm1.2 3d R</t>
  </si>
  <si>
    <t>32 R</t>
  </si>
  <si>
    <t>Bm 2.1 3d R</t>
  </si>
  <si>
    <t>33 R</t>
  </si>
  <si>
    <t>Bm 2.2 3d R</t>
  </si>
  <si>
    <t>34 R</t>
  </si>
  <si>
    <t>Bm 3.1 3d R</t>
  </si>
  <si>
    <t>35 R</t>
  </si>
  <si>
    <t>Bm 3.2 3d R</t>
  </si>
  <si>
    <t>36 R</t>
  </si>
  <si>
    <t>C1.1 4d R</t>
  </si>
  <si>
    <t>37 R</t>
  </si>
  <si>
    <t>C1.2 4d R</t>
  </si>
  <si>
    <t>38 R</t>
  </si>
  <si>
    <t>C2.1 4d R</t>
  </si>
  <si>
    <t>39 R</t>
  </si>
  <si>
    <t>C2.2 4d R</t>
  </si>
  <si>
    <t>40 R</t>
  </si>
  <si>
    <t>C3.1 4d R</t>
  </si>
  <si>
    <t>41 R</t>
  </si>
  <si>
    <t>C3.2 4d R</t>
  </si>
  <si>
    <t>42 R</t>
  </si>
  <si>
    <t>Bm1.1 4d R</t>
  </si>
  <si>
    <t>43 R</t>
  </si>
  <si>
    <t>Bm1.2 4d R</t>
  </si>
  <si>
    <t>44 R</t>
  </si>
  <si>
    <t>Bm 2.1 4d R</t>
  </si>
  <si>
    <t>45 R</t>
  </si>
  <si>
    <t>Bm 2.2 4d R</t>
  </si>
  <si>
    <t>46 R</t>
  </si>
  <si>
    <t>Bm 3.1 4d R</t>
  </si>
  <si>
    <t>47 R</t>
  </si>
  <si>
    <t>Bm 3.2 4d R</t>
  </si>
  <si>
    <t>48 R</t>
  </si>
  <si>
    <t>C1.1 5d R</t>
  </si>
  <si>
    <t>49 R</t>
  </si>
  <si>
    <t>C1.2 5d R</t>
  </si>
  <si>
    <t>50 R</t>
  </si>
  <si>
    <t>C2.1 5d R</t>
  </si>
  <si>
    <t>51 R</t>
  </si>
  <si>
    <t>C2.2 5d R</t>
  </si>
  <si>
    <t>52 R</t>
  </si>
  <si>
    <t>C3.1 5d R</t>
  </si>
  <si>
    <t>53 R</t>
  </si>
  <si>
    <t>C3.2 5d R</t>
  </si>
  <si>
    <t>54 R</t>
  </si>
  <si>
    <t>Bm1.1 5d R</t>
  </si>
  <si>
    <t>55 R</t>
  </si>
  <si>
    <t>Bm1.2 5d R</t>
  </si>
  <si>
    <t>56 R</t>
  </si>
  <si>
    <t>Bm 2.1 5d R</t>
  </si>
  <si>
    <t>57 R</t>
  </si>
  <si>
    <t>Bm 2.2 5d R</t>
  </si>
  <si>
    <t>58 R</t>
  </si>
  <si>
    <t>Bm 3.1 5d R</t>
  </si>
  <si>
    <t>59 R</t>
  </si>
  <si>
    <t>Bm 3.2 5d R</t>
  </si>
  <si>
    <t>60 R</t>
  </si>
  <si>
    <t>C1.1 6d R</t>
  </si>
  <si>
    <t>61 R</t>
  </si>
  <si>
    <t>C1.2 6d R</t>
  </si>
  <si>
    <t>62 R</t>
  </si>
  <si>
    <t>C2.1 6d R</t>
  </si>
  <si>
    <t>63 R</t>
  </si>
  <si>
    <t>C2.2 6d R</t>
  </si>
  <si>
    <t>64 R</t>
  </si>
  <si>
    <t>C3.1 6d R</t>
  </si>
  <si>
    <t>65 R</t>
  </si>
  <si>
    <t>C3.2 6d R</t>
  </si>
  <si>
    <t>66 R</t>
  </si>
  <si>
    <t>Bm1.1 6d R</t>
  </si>
  <si>
    <t>67 R</t>
  </si>
  <si>
    <t>Bm1.2 6d R</t>
  </si>
  <si>
    <t>68 R</t>
  </si>
  <si>
    <t>Bm 2.1 6d R</t>
  </si>
  <si>
    <t>69 R</t>
  </si>
  <si>
    <t>Bm 2.2 6d R</t>
  </si>
  <si>
    <t>70 R</t>
  </si>
  <si>
    <t>Bm 3.1 6d R</t>
  </si>
  <si>
    <t>71 R</t>
  </si>
  <si>
    <t>Bm 3.2 6d R</t>
  </si>
  <si>
    <t>72 R</t>
  </si>
  <si>
    <t>C1.1 7d R</t>
  </si>
  <si>
    <t>73 R</t>
  </si>
  <si>
    <t>C1.2 7d R</t>
  </si>
  <si>
    <t>74 R</t>
  </si>
  <si>
    <t>C2.1 7d R</t>
  </si>
  <si>
    <t>75 R</t>
  </si>
  <si>
    <t>C2.2 7d R</t>
  </si>
  <si>
    <t>76 R</t>
  </si>
  <si>
    <t>C3.1 7d R</t>
  </si>
  <si>
    <t>77 R</t>
  </si>
  <si>
    <t>C3.2 7d R</t>
  </si>
  <si>
    <t>78 R</t>
  </si>
  <si>
    <t>Bm1.1 7d R</t>
  </si>
  <si>
    <t>79 R</t>
  </si>
  <si>
    <t>Bm1.2 7d R</t>
  </si>
  <si>
    <t>80 R</t>
  </si>
  <si>
    <t>Bm 2.1 7d R</t>
  </si>
  <si>
    <t>81 R</t>
  </si>
  <si>
    <t>Bm 2.2 7d R</t>
  </si>
  <si>
    <t>82 R</t>
  </si>
  <si>
    <t>Bm 3.1 7d R</t>
  </si>
  <si>
    <t>83 R</t>
  </si>
  <si>
    <t>Bm 3.2 7d R</t>
  </si>
  <si>
    <t>84 R</t>
  </si>
  <si>
    <t>C1.1 8d R</t>
  </si>
  <si>
    <t>85 R</t>
  </si>
  <si>
    <t>C1.2 8d R</t>
  </si>
  <si>
    <t>86 R</t>
  </si>
  <si>
    <t>C2.1 8d R</t>
  </si>
  <si>
    <t>87 R</t>
  </si>
  <si>
    <t>C2.2 8d R</t>
  </si>
  <si>
    <t>88 R</t>
  </si>
  <si>
    <t>C3.1 8d R</t>
  </si>
  <si>
    <t>89 R</t>
  </si>
  <si>
    <t>C3.2 8d R</t>
  </si>
  <si>
    <t>90 R</t>
  </si>
  <si>
    <t>Bm1.1 8d R</t>
  </si>
  <si>
    <t>91 R</t>
  </si>
  <si>
    <t>Bm1.2 8d R</t>
  </si>
  <si>
    <t>92 R</t>
  </si>
  <si>
    <t>Bm 2.1 8d R</t>
  </si>
  <si>
    <t>93 R</t>
  </si>
  <si>
    <t>Bm 2.2 8d R</t>
  </si>
  <si>
    <t>94 R</t>
  </si>
  <si>
    <t>Bm 3.1 8d R</t>
  </si>
  <si>
    <t>95 R</t>
  </si>
  <si>
    <t>Bm 3.2 8d R</t>
  </si>
  <si>
    <t>96 R</t>
  </si>
  <si>
    <t>C1.1 9d R</t>
  </si>
  <si>
    <t>97 R</t>
  </si>
  <si>
    <t>C1.2 9d R</t>
  </si>
  <si>
    <t>98 R</t>
  </si>
  <si>
    <t>C2.1 9d R</t>
  </si>
  <si>
    <t>99 R</t>
  </si>
  <si>
    <t>C2.2 9d R</t>
  </si>
  <si>
    <t>100 R</t>
  </si>
  <si>
    <t>C3.1 9d R</t>
  </si>
  <si>
    <t>101 R</t>
  </si>
  <si>
    <t>C3.2 9d R</t>
  </si>
  <si>
    <t>102 R</t>
  </si>
  <si>
    <t>Bm1.1 9d R</t>
  </si>
  <si>
    <t>103 R</t>
  </si>
  <si>
    <t>Bm1.2 9d R</t>
  </si>
  <si>
    <t>104 R</t>
  </si>
  <si>
    <t>Bm 2.1 9d R</t>
  </si>
  <si>
    <t>105 R</t>
  </si>
  <si>
    <t>Bm 2.2 9d R</t>
  </si>
  <si>
    <t>106 R</t>
  </si>
  <si>
    <t>Bm 3.1 9d R</t>
  </si>
  <si>
    <t>107 R</t>
  </si>
  <si>
    <t>Bm 3.2 9d R</t>
  </si>
  <si>
    <t>108 R</t>
  </si>
  <si>
    <t>C1.1 10d R</t>
  </si>
  <si>
    <t>109 R</t>
  </si>
  <si>
    <t>C1.2 10d R</t>
  </si>
  <si>
    <t>110 R</t>
  </si>
  <si>
    <t>C2.1 10d R</t>
  </si>
  <si>
    <t>111 R</t>
  </si>
  <si>
    <t>C2.2 10d R</t>
  </si>
  <si>
    <t>112 R</t>
  </si>
  <si>
    <t>C3.1 10d R</t>
  </si>
  <si>
    <t>113 R</t>
  </si>
  <si>
    <t>C3.2 10d R</t>
  </si>
  <si>
    <t>114 R</t>
  </si>
  <si>
    <t>Bm1.1 10d R</t>
  </si>
  <si>
    <t>115 R</t>
  </si>
  <si>
    <t>Bm1.2 10d R</t>
  </si>
  <si>
    <t>116 R</t>
  </si>
  <si>
    <t>Bm 2.1 10d R</t>
  </si>
  <si>
    <t>117 R</t>
  </si>
  <si>
    <t>Bm 2.2 10d R</t>
  </si>
  <si>
    <t>118 R</t>
  </si>
  <si>
    <t>Bm 3.1 10d R</t>
  </si>
  <si>
    <t>119 R</t>
  </si>
  <si>
    <t>Bm 3.2 10d R</t>
  </si>
  <si>
    <t>120 R</t>
  </si>
  <si>
    <t>1d</t>
  </si>
  <si>
    <t>2d</t>
  </si>
  <si>
    <t>3d</t>
  </si>
  <si>
    <t>4d</t>
  </si>
  <si>
    <t>5d</t>
  </si>
  <si>
    <t>6d</t>
  </si>
  <si>
    <t>7d</t>
  </si>
  <si>
    <t>8d</t>
  </si>
  <si>
    <t>C</t>
  </si>
  <si>
    <t>Bm</t>
  </si>
  <si>
    <t>9d</t>
  </si>
  <si>
    <t>10d</t>
  </si>
  <si>
    <t xml:space="preserve">Quantify Compound Summary Report </t>
  </si>
  <si>
    <t>Printed Mon Oct 27 16:59:41 2025</t>
  </si>
  <si>
    <t>Compound 1:  ABA</t>
  </si>
  <si>
    <t>#</t>
  </si>
  <si>
    <t>Type</t>
  </si>
  <si>
    <t>Std. Conc</t>
  </si>
  <si>
    <t>RT</t>
  </si>
  <si>
    <t>Area</t>
  </si>
  <si>
    <t>IS Area</t>
  </si>
  <si>
    <t>Response</t>
  </si>
  <si>
    <t>Primary Flags</t>
  </si>
  <si>
    <t>Conc.</t>
  </si>
  <si>
    <t>%Dev</t>
  </si>
  <si>
    <t>Bm774</t>
  </si>
  <si>
    <t>Standard</t>
  </si>
  <si>
    <t>bd</t>
  </si>
  <si>
    <t>Bm775</t>
  </si>
  <si>
    <t>dd</t>
  </si>
  <si>
    <t>Bm776</t>
  </si>
  <si>
    <t>Bm777</t>
  </si>
  <si>
    <t>Bm778</t>
  </si>
  <si>
    <t>Bm779</t>
  </si>
  <si>
    <t>Bm780</t>
  </si>
  <si>
    <t>Bm781</t>
  </si>
  <si>
    <t>Blank</t>
  </si>
  <si>
    <t>Bm782</t>
  </si>
  <si>
    <t>db</t>
  </si>
  <si>
    <t>Bm783</t>
  </si>
  <si>
    <t>Analyte</t>
  </si>
  <si>
    <t>bb</t>
  </si>
  <si>
    <t>Bm784</t>
  </si>
  <si>
    <t>Bm785</t>
  </si>
  <si>
    <t>Bm786</t>
  </si>
  <si>
    <t>Bm787</t>
  </si>
  <si>
    <t>Bm788</t>
  </si>
  <si>
    <t>Bm789</t>
  </si>
  <si>
    <t>Bm790</t>
  </si>
  <si>
    <t>Bm791</t>
  </si>
  <si>
    <t>Bm792</t>
  </si>
  <si>
    <t>Bm793</t>
  </si>
  <si>
    <t>Bm794</t>
  </si>
  <si>
    <t>Bm795</t>
  </si>
  <si>
    <t>Bm796</t>
  </si>
  <si>
    <t>Bm797</t>
  </si>
  <si>
    <t>Bm798</t>
  </si>
  <si>
    <t>Bm799</t>
  </si>
  <si>
    <t>Bm800</t>
  </si>
  <si>
    <t>Bm801</t>
  </si>
  <si>
    <t>Bm802</t>
  </si>
  <si>
    <t>Bm803</t>
  </si>
  <si>
    <t>Bm804</t>
  </si>
  <si>
    <t>Bm805</t>
  </si>
  <si>
    <t>Bm806</t>
  </si>
  <si>
    <t>Bm807</t>
  </si>
  <si>
    <t>Bm808</t>
  </si>
  <si>
    <t>Bm809</t>
  </si>
  <si>
    <t>Bm810</t>
  </si>
  <si>
    <t>Bm811</t>
  </si>
  <si>
    <t>Bm812</t>
  </si>
  <si>
    <t>Bm813</t>
  </si>
  <si>
    <t>Bm814</t>
  </si>
  <si>
    <t>Bm815</t>
  </si>
  <si>
    <t>Bm816</t>
  </si>
  <si>
    <t>Bm817</t>
  </si>
  <si>
    <t>Bm818</t>
  </si>
  <si>
    <t>Bm819</t>
  </si>
  <si>
    <t>Bm820</t>
  </si>
  <si>
    <t>Bm821</t>
  </si>
  <si>
    <t>Bm822</t>
  </si>
  <si>
    <t>Bm823</t>
  </si>
  <si>
    <t>Bm824</t>
  </si>
  <si>
    <t>Bm825</t>
  </si>
  <si>
    <t>Bm826</t>
  </si>
  <si>
    <t>Bm827</t>
  </si>
  <si>
    <t>Bm828</t>
  </si>
  <si>
    <t>Bm829</t>
  </si>
  <si>
    <t>Bm830</t>
  </si>
  <si>
    <t>Bm831</t>
  </si>
  <si>
    <t>Bm832</t>
  </si>
  <si>
    <t>Bm833</t>
  </si>
  <si>
    <t>Bm834</t>
  </si>
  <si>
    <t>Bm835</t>
  </si>
  <si>
    <t>Bm836</t>
  </si>
  <si>
    <t>Bm837</t>
  </si>
  <si>
    <t>Bm838</t>
  </si>
  <si>
    <t>Bm839</t>
  </si>
  <si>
    <t>Bm840</t>
  </si>
  <si>
    <t>Bm841</t>
  </si>
  <si>
    <t>Bm842</t>
  </si>
  <si>
    <t>Compound 2:  ABA-Glu</t>
  </si>
  <si>
    <t>bdI</t>
  </si>
  <si>
    <t>dbI</t>
  </si>
  <si>
    <t>ddI</t>
  </si>
  <si>
    <t>bbI</t>
  </si>
  <si>
    <t>Compound 3:  SGE</t>
  </si>
  <si>
    <t>Compound 4:  SAG</t>
  </si>
  <si>
    <t>Compound 5:  SA</t>
  </si>
  <si>
    <t>MMI</t>
  </si>
  <si>
    <t>MMXI</t>
  </si>
  <si>
    <t>bbX</t>
  </si>
  <si>
    <t>bdX</t>
  </si>
  <si>
    <t>Compound 6:  JA-Ile</t>
  </si>
  <si>
    <t>MM</t>
  </si>
  <si>
    <t>Compound 7:  JA</t>
  </si>
  <si>
    <t>dbX</t>
  </si>
  <si>
    <t>ddX</t>
  </si>
  <si>
    <t>Compound 8:  OPDA</t>
  </si>
  <si>
    <t>MMX</t>
  </si>
  <si>
    <t>Compound 9:  Kinetin</t>
  </si>
  <si>
    <t>Compound 10:  BAP</t>
  </si>
  <si>
    <t>Compound 11:  Camalexin</t>
  </si>
  <si>
    <t>Compound 12:  IAA neg</t>
  </si>
  <si>
    <t>Compound 13:  IAA pos</t>
  </si>
  <si>
    <t>Compound 14:  I3CA</t>
  </si>
  <si>
    <t>Compound 15:  ABA-d6</t>
  </si>
  <si>
    <t>Compound 16:  SA-d5</t>
  </si>
  <si>
    <t>Compound 17:  dhJA</t>
  </si>
  <si>
    <t>Compound 18:  IAA-d5 neg</t>
  </si>
  <si>
    <t>Compound 19:  IAA-d5 pos</t>
  </si>
  <si>
    <t>Compound 20:  kinetin  N4</t>
  </si>
  <si>
    <t>Compound 21:  Pr-Paraben</t>
  </si>
  <si>
    <t>Compound 22:  JA-Ile c6</t>
  </si>
  <si>
    <t>Compound 23:  JA-d5</t>
  </si>
  <si>
    <t>Compound 24:  GA3</t>
  </si>
  <si>
    <t>Printed Mon Oct 27 17:25:10 2025</t>
  </si>
  <si>
    <t>Bm849</t>
  </si>
  <si>
    <t>Bm850</t>
  </si>
  <si>
    <t>Bm851</t>
  </si>
  <si>
    <t>Bm852</t>
  </si>
  <si>
    <t>Bm853</t>
  </si>
  <si>
    <t>Bm854</t>
  </si>
  <si>
    <t>Bm855</t>
  </si>
  <si>
    <t>Bm856</t>
  </si>
  <si>
    <t>Bm857</t>
  </si>
  <si>
    <t>Bm858</t>
  </si>
  <si>
    <t>Bm859</t>
  </si>
  <si>
    <t>Bm860</t>
  </si>
  <si>
    <t>Bm861</t>
  </si>
  <si>
    <t>Bm862</t>
  </si>
  <si>
    <t>Bm863</t>
  </si>
  <si>
    <t>Bm864</t>
  </si>
  <si>
    <t>Bm865</t>
  </si>
  <si>
    <t>Bm866</t>
  </si>
  <si>
    <t>Bm867</t>
  </si>
  <si>
    <t>Bm868</t>
  </si>
  <si>
    <t>Bm869</t>
  </si>
  <si>
    <t>Bm870</t>
  </si>
  <si>
    <t>Bm871</t>
  </si>
  <si>
    <t>Bm872</t>
  </si>
  <si>
    <t>Bm873</t>
  </si>
  <si>
    <t>Bm874</t>
  </si>
  <si>
    <t>Bm875</t>
  </si>
  <si>
    <t>Bm876</t>
  </si>
  <si>
    <t>Bm877</t>
  </si>
  <si>
    <t>Bm878</t>
  </si>
  <si>
    <t>Bm879</t>
  </si>
  <si>
    <t>Bm880</t>
  </si>
  <si>
    <t>Bm881</t>
  </si>
  <si>
    <t>Bm882</t>
  </si>
  <si>
    <t>Bm883</t>
  </si>
  <si>
    <t>Bm884</t>
  </si>
  <si>
    <t>Bm885</t>
  </si>
  <si>
    <t>Bm886</t>
  </si>
  <si>
    <t>Bm887</t>
  </si>
  <si>
    <t>Bm888</t>
  </si>
  <si>
    <t>Bm889</t>
  </si>
  <si>
    <t>Bm890</t>
  </si>
  <si>
    <t>Bm891</t>
  </si>
  <si>
    <t>Bm892</t>
  </si>
  <si>
    <t>Bm893</t>
  </si>
  <si>
    <t>Bm894</t>
  </si>
  <si>
    <t>Bm895</t>
  </si>
  <si>
    <t>Bm896</t>
  </si>
  <si>
    <t>Bm897</t>
  </si>
  <si>
    <t>Bm898</t>
  </si>
  <si>
    <t>Bm899</t>
  </si>
  <si>
    <t>Bm900</t>
  </si>
  <si>
    <t>Bm901</t>
  </si>
  <si>
    <t>Bm902</t>
  </si>
  <si>
    <t>Bm903</t>
  </si>
  <si>
    <t>Bm904</t>
  </si>
  <si>
    <t>Bm905</t>
  </si>
  <si>
    <t>Bm906</t>
  </si>
  <si>
    <t>Bm907</t>
  </si>
  <si>
    <t>Bm908</t>
  </si>
  <si>
    <t>Bm909</t>
  </si>
  <si>
    <t>Bm910</t>
  </si>
  <si>
    <t>Bm911</t>
  </si>
  <si>
    <t>Bm912</t>
  </si>
  <si>
    <t>Bm913</t>
  </si>
  <si>
    <t>Bm914</t>
  </si>
  <si>
    <t>Bm915</t>
  </si>
  <si>
    <t>Bm916</t>
  </si>
  <si>
    <t>Bm917</t>
  </si>
  <si>
    <t>ddXI</t>
  </si>
  <si>
    <t>Printed Tue Oct 28 13:10:52 2025</t>
  </si>
  <si>
    <t>Bm920</t>
  </si>
  <si>
    <t>Bm921</t>
  </si>
  <si>
    <t>Bm922</t>
  </si>
  <si>
    <t>Bm923</t>
  </si>
  <si>
    <t>Bm924</t>
  </si>
  <si>
    <t>Bm925</t>
  </si>
  <si>
    <t>Bm926</t>
  </si>
  <si>
    <t>Bm927</t>
  </si>
  <si>
    <t>Bm928</t>
  </si>
  <si>
    <t>Bm929</t>
  </si>
  <si>
    <t>Bm930</t>
  </si>
  <si>
    <t>Bm931</t>
  </si>
  <si>
    <t>Bm932</t>
  </si>
  <si>
    <t>Bm933</t>
  </si>
  <si>
    <t>Bm934</t>
  </si>
  <si>
    <t>Bm935</t>
  </si>
  <si>
    <t>Bm936</t>
  </si>
  <si>
    <t>Bm937</t>
  </si>
  <si>
    <t>Bm938</t>
  </si>
  <si>
    <t>Bm939</t>
  </si>
  <si>
    <t>Bm940</t>
  </si>
  <si>
    <t>Bm941</t>
  </si>
  <si>
    <t>Bm942</t>
  </si>
  <si>
    <t>Bm943</t>
  </si>
  <si>
    <t>Bm944</t>
  </si>
  <si>
    <t>Bm945</t>
  </si>
  <si>
    <t>Bm946</t>
  </si>
  <si>
    <t>Bm947</t>
  </si>
  <si>
    <t>Bm948</t>
  </si>
  <si>
    <t>Bm949</t>
  </si>
  <si>
    <t>Bm950</t>
  </si>
  <si>
    <t>Bm951</t>
  </si>
  <si>
    <t>Bm952</t>
  </si>
  <si>
    <t>Bm953</t>
  </si>
  <si>
    <t>Bm954</t>
  </si>
  <si>
    <t>Bm955</t>
  </si>
  <si>
    <t>Bm956</t>
  </si>
  <si>
    <t>Bm957</t>
  </si>
  <si>
    <t>Bm958</t>
  </si>
  <si>
    <t>Bm959</t>
  </si>
  <si>
    <t>Bm960</t>
  </si>
  <si>
    <t>Bm961</t>
  </si>
  <si>
    <t>Bm962</t>
  </si>
  <si>
    <t>Bm963</t>
  </si>
  <si>
    <t>Bm964</t>
  </si>
  <si>
    <t>Bm965</t>
  </si>
  <si>
    <t>Bm966</t>
  </si>
  <si>
    <t>Bm967</t>
  </si>
  <si>
    <t>Bm968</t>
  </si>
  <si>
    <t>Bm969</t>
  </si>
  <si>
    <t>Bm970</t>
  </si>
  <si>
    <t>Bm971</t>
  </si>
  <si>
    <t>Bm972</t>
  </si>
  <si>
    <t>Bm973</t>
  </si>
  <si>
    <t>Bm974</t>
  </si>
  <si>
    <t>Bm975</t>
  </si>
  <si>
    <t>Bm976</t>
  </si>
  <si>
    <t>Bm977</t>
  </si>
  <si>
    <t>Bm978</t>
  </si>
  <si>
    <t>Bm979</t>
  </si>
  <si>
    <t>Bm980</t>
  </si>
  <si>
    <t>Bm981</t>
  </si>
  <si>
    <t>Bm982</t>
  </si>
  <si>
    <t>Bm983</t>
  </si>
  <si>
    <t>Bm984</t>
  </si>
  <si>
    <t>Bm985</t>
  </si>
  <si>
    <t>Bm986</t>
  </si>
  <si>
    <t>Bm987</t>
  </si>
  <si>
    <t>Bm988</t>
  </si>
  <si>
    <t>conce</t>
  </si>
  <si>
    <t>Printed Tue Oct 28 15:17:25 2025</t>
  </si>
  <si>
    <t>Printed Tue Oct 28 15:20:32 2025</t>
  </si>
  <si>
    <t>Printed Wed Oct 29 10:09:48 2025</t>
  </si>
  <si>
    <t>Bm991</t>
  </si>
  <si>
    <t>Bm992</t>
  </si>
  <si>
    <t>Bm993</t>
  </si>
  <si>
    <t>Bm994</t>
  </si>
  <si>
    <t>Bm995</t>
  </si>
  <si>
    <t>Bm996</t>
  </si>
  <si>
    <t>Bm997</t>
  </si>
  <si>
    <t>Bm1000</t>
  </si>
  <si>
    <t>Bm1001</t>
  </si>
  <si>
    <t>Bm1002</t>
  </si>
  <si>
    <t>Bm1003</t>
  </si>
  <si>
    <t>Bm1004</t>
  </si>
  <si>
    <t>Bm1005</t>
  </si>
  <si>
    <t>Bm1006</t>
  </si>
  <si>
    <t>Bm1007</t>
  </si>
  <si>
    <t>Bm1008</t>
  </si>
  <si>
    <t>Bm1009</t>
  </si>
  <si>
    <t>Bm1010</t>
  </si>
  <si>
    <t>Bm1011</t>
  </si>
  <si>
    <t>Bm1012</t>
  </si>
  <si>
    <t>Bm1013</t>
  </si>
  <si>
    <t>Bm1014</t>
  </si>
  <si>
    <t>Bm1015</t>
  </si>
  <si>
    <t>Bm1016</t>
  </si>
  <si>
    <t>Bm1017</t>
  </si>
  <si>
    <t>Bm1018</t>
  </si>
  <si>
    <t>Bm1019</t>
  </si>
  <si>
    <t>Bm1020</t>
  </si>
  <si>
    <t>Bm1021</t>
  </si>
  <si>
    <t>Bm1022</t>
  </si>
  <si>
    <t>Bm1023</t>
  </si>
  <si>
    <t>Bm1024</t>
  </si>
  <si>
    <t>Bm1025</t>
  </si>
  <si>
    <t>Bm1026</t>
  </si>
  <si>
    <t>Bm1027</t>
  </si>
  <si>
    <t>Bm1028</t>
  </si>
  <si>
    <t>Bm1029</t>
  </si>
  <si>
    <t>Bm1030</t>
  </si>
  <si>
    <t>Bm1031</t>
  </si>
  <si>
    <t>Bm1032</t>
  </si>
  <si>
    <t>Bm1033</t>
  </si>
  <si>
    <t>Bm1034</t>
  </si>
  <si>
    <t>Bm1035</t>
  </si>
  <si>
    <t>Bm1036</t>
  </si>
  <si>
    <t>Bm1037</t>
  </si>
  <si>
    <t>Bm1038</t>
  </si>
  <si>
    <t>Bm1039</t>
  </si>
  <si>
    <t>Bm1040</t>
  </si>
  <si>
    <t>Bm1041</t>
  </si>
  <si>
    <t>Bm1042</t>
  </si>
  <si>
    <t>Bm1043</t>
  </si>
  <si>
    <t>Bm1044</t>
  </si>
  <si>
    <t>Bm1045</t>
  </si>
  <si>
    <t>Bm1046</t>
  </si>
  <si>
    <t>Bm1047</t>
  </si>
  <si>
    <t>Bm1048</t>
  </si>
  <si>
    <t>Bm1049</t>
  </si>
  <si>
    <t>Bm1050</t>
  </si>
  <si>
    <t>Bm1051</t>
  </si>
  <si>
    <t>Bm1052</t>
  </si>
  <si>
    <t>Bm1053</t>
  </si>
  <si>
    <t>Bm1054</t>
  </si>
  <si>
    <t>Bm1055</t>
  </si>
  <si>
    <t>Bm1056</t>
  </si>
  <si>
    <t>Bm1057</t>
  </si>
  <si>
    <t>Bm1058</t>
  </si>
  <si>
    <t>Bm1059</t>
  </si>
  <si>
    <t xml:space="preserve"> </t>
  </si>
  <si>
    <t>p_value</t>
  </si>
  <si>
    <t>ns</t>
  </si>
  <si>
    <t>*</t>
  </si>
  <si>
    <t>n_C</t>
  </si>
  <si>
    <t>n_Bm</t>
  </si>
  <si>
    <t>test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</si>
  <si>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</si>
  <si>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</si>
  <si>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</si>
  <si>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</si>
  <si>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</si>
  <si>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</si>
  <si>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</si>
  <si>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</si>
  <si>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</si>
  <si>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</si>
  <si>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**</t>
  </si>
  <si>
    <t>Day</t>
  </si>
  <si>
    <t>median_C</t>
  </si>
  <si>
    <t>median_Bm</t>
  </si>
  <si>
    <t>significance</t>
  </si>
  <si>
    <t>Mann-Whitney U test (non-parametric)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</si>
</sst>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Leaf!$AC$372</c:f>
              <c:strCache>
                <c:ptCount val="1"/>
                <c:pt idx="0">
                  <c:v>Response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7598425196850396E-3"/>
                  <c:y val="-0.171964858559346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Leaf!$AB$373:$AB$379</c:f>
              <c:numCache>
                <c:formatCode>General</c:formatCode>
                <c:ptCount val="7"/>
                <c:pt idx="0">
                  <c:v>0.1</c:v>
                </c:pt>
                <c:pt idx="1">
                  <c:v>0.5</c:v>
                </c:pt>
                <c:pt idx="2">
                  <c:v>1.3</c:v>
                </c:pt>
                <c:pt idx="3">
                  <c:v>2.6</c:v>
                </c:pt>
                <c:pt idx="4">
                  <c:v>3.2</c:v>
                </c:pt>
                <c:pt idx="5">
                  <c:v>5</c:v>
                </c:pt>
                <c:pt idx="6">
                  <c:v>7.1</c:v>
                </c:pt>
              </c:numCache>
            </c:numRef>
          </c:xVal>
          <c:yVal>
            <c:numRef>
              <c:f>Leaf!$AC$373:$AC$379</c:f>
              <c:numCache>
                <c:formatCode>General</c:formatCode>
                <c:ptCount val="7"/>
                <c:pt idx="0">
                  <c:v>1.534</c:v>
                </c:pt>
                <c:pt idx="1">
                  <c:v>12.834</c:v>
                </c:pt>
                <c:pt idx="2">
                  <c:v>32.439</c:v>
                </c:pt>
                <c:pt idx="3">
                  <c:v>61.970999999999997</c:v>
                </c:pt>
                <c:pt idx="4">
                  <c:v>77.165999999999997</c:v>
                </c:pt>
                <c:pt idx="5">
                  <c:v>120.84099999999999</c:v>
                </c:pt>
                <c:pt idx="6">
                  <c:v>172.96299999999999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22-48F5-A8FC-B2DA3E52D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383167"/>
        <c:axId val="528378367"/>
      </c:scatterChart>
      <c:valAx>
        <c:axId val="52838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8378367"/>
        <c:crosses val="autoZero"/>
        <c:crossBetween val="midCat"/>
      </c:valAx>
      <c:valAx>
        <c:axId val="52837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838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'ABA '!$M$5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5BB0B00-8BF7-413C-89B2-37679E61817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A74-43BC-91A1-97A9864FAB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DA57F75-4773-49DD-A3BE-6F4DEC179B15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54-4E2C-B464-CCEE1E80455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8868A2C-B0A7-4A16-9526-3F454D72FC0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54-4E2C-B464-CCEE1E80455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102289-C63F-4DFA-B87F-261AC9C2848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54-4E2C-B464-CCEE1E804558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7C98D184-7A6B-4BE2-8BB8-5BA33A857A58}" type="CELLRANGE">
                      <a:rPr lang="en-US"/>
                      <a:pPr>
                        <a:defRPr/>
                      </a:pPr>
                      <a:t>[CELLRANGE]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984241188891369E-2"/>
                      <c:h val="0.1872387976067033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A74-43BC-91A1-97A9864FAB5D}"/>
                </c:ext>
              </c:extLst>
            </c:dLbl>
            <c:dLbl>
              <c:idx val="5"/>
              <c:layout>
                <c:manualLayout>
                  <c:x val="-3.665988626421697E-2"/>
                  <c:y val="-0.10423430375358494"/>
                </c:manualLayout>
              </c:layout>
              <c:tx>
                <c:rich>
                  <a:bodyPr/>
                  <a:lstStyle/>
                  <a:p>
                    <a:fld id="{40BD5D20-63DE-4E2F-BAD5-35323894E8D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54-4E2C-B464-CCEE1E804558}"/>
                </c:ext>
              </c:extLst>
            </c:dLbl>
            <c:dLbl>
              <c:idx val="6"/>
              <c:layout>
                <c:manualLayout>
                  <c:x val="-3.665988626421697E-2"/>
                  <c:y val="-9.9565345743693329E-2"/>
                </c:manualLayout>
              </c:layout>
              <c:tx>
                <c:rich>
                  <a:bodyPr/>
                  <a:lstStyle/>
                  <a:p>
                    <a:fld id="{BEE7B194-6A22-42A8-8A32-4D51B738A04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A74-43BC-91A1-97A9864FAB5D}"/>
                </c:ext>
              </c:extLst>
            </c:dLbl>
            <c:dLbl>
              <c:idx val="7"/>
              <c:layout>
                <c:manualLayout>
                  <c:x val="-3.665988626421697E-2"/>
                  <c:y val="-7.6220555694235456E-2"/>
                </c:manualLayout>
              </c:layout>
              <c:tx>
                <c:rich>
                  <a:bodyPr/>
                  <a:lstStyle/>
                  <a:p>
                    <a:fld id="{4B4B0942-95FB-42E2-99EC-D1716FC1FCC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54-4E2C-B464-CCEE1E804558}"/>
                </c:ext>
              </c:extLst>
            </c:dLbl>
            <c:dLbl>
              <c:idx val="8"/>
              <c:layout>
                <c:manualLayout>
                  <c:x val="-2.9132108486439295E-2"/>
                  <c:y val="-4.8206807634886016E-2"/>
                </c:manualLayout>
              </c:layout>
              <c:tx>
                <c:rich>
                  <a:bodyPr/>
                  <a:lstStyle/>
                  <a:p>
                    <a:fld id="{727ACA94-44DB-4085-B83A-28FDA6FDD9A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54-4E2C-B464-CCEE1E804558}"/>
                </c:ext>
              </c:extLst>
            </c:dLbl>
            <c:dLbl>
              <c:idx val="9"/>
              <c:layout>
                <c:manualLayout>
                  <c:x val="-3.6659989506799932E-2"/>
                  <c:y val="-9.9188271003818732E-2"/>
                </c:manualLayout>
              </c:layout>
              <c:tx>
                <c:rich>
                  <a:bodyPr/>
                  <a:lstStyle/>
                  <a:p>
                    <a:fld id="{D85DEC1B-1692-4605-B53F-011F80794F5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A74-43BC-91A1-97A9864FAB5D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'ABA '!$N$6:$W$6</c:f>
                <c:numCache>
                  <c:formatCode>General</c:formatCode>
                  <c:ptCount val="10"/>
                  <c:pt idx="0">
                    <c:v>44.936125349909233</c:v>
                  </c:pt>
                  <c:pt idx="1">
                    <c:v>24.212157944540614</c:v>
                  </c:pt>
                  <c:pt idx="2">
                    <c:v>112.53548001233993</c:v>
                  </c:pt>
                  <c:pt idx="3">
                    <c:v>90.846561691171345</c:v>
                  </c:pt>
                  <c:pt idx="4">
                    <c:v>84.380071391251477</c:v>
                  </c:pt>
                  <c:pt idx="5">
                    <c:v>83.816045689605389</c:v>
                  </c:pt>
                  <c:pt idx="6">
                    <c:v>261.31431391811338</c:v>
                  </c:pt>
                  <c:pt idx="7">
                    <c:v>144.58028012047782</c:v>
                  </c:pt>
                  <c:pt idx="8">
                    <c:v>41.818249177840244</c:v>
                  </c:pt>
                  <c:pt idx="9">
                    <c:v>164.17065420149734</c:v>
                  </c:pt>
                </c:numCache>
              </c:numRef>
            </c:plus>
            <c:minus>
              <c:numRef>
                <c:f>'ABA '!$N$6:$W$6</c:f>
                <c:numCache>
                  <c:formatCode>General</c:formatCode>
                  <c:ptCount val="10"/>
                  <c:pt idx="0">
                    <c:v>44.936125349909233</c:v>
                  </c:pt>
                  <c:pt idx="1">
                    <c:v>24.212157944540614</c:v>
                  </c:pt>
                  <c:pt idx="2">
                    <c:v>112.53548001233993</c:v>
                  </c:pt>
                  <c:pt idx="3">
                    <c:v>90.846561691171345</c:v>
                  </c:pt>
                  <c:pt idx="4">
                    <c:v>84.380071391251477</c:v>
                  </c:pt>
                  <c:pt idx="5">
                    <c:v>83.816045689605389</c:v>
                  </c:pt>
                  <c:pt idx="6">
                    <c:v>261.31431391811338</c:v>
                  </c:pt>
                  <c:pt idx="7">
                    <c:v>144.58028012047782</c:v>
                  </c:pt>
                  <c:pt idx="8">
                    <c:v>41.818249177840244</c:v>
                  </c:pt>
                  <c:pt idx="9">
                    <c:v>164.17065420149734</c:v>
                  </c:pt>
                </c:numCache>
              </c:numRef>
            </c:minus>
          </c:errBars>
          <c:cat>
            <c:strRef>
              <c:f>'ABA '!$N$4:$W$4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'ABA '!$N$5:$W$5</c:f>
              <c:numCache>
                <c:formatCode>General</c:formatCode>
                <c:ptCount val="10"/>
                <c:pt idx="0">
                  <c:v>3015.3493277468747</c:v>
                </c:pt>
                <c:pt idx="1">
                  <c:v>2560.7817423366832</c:v>
                </c:pt>
                <c:pt idx="2">
                  <c:v>2972.9939354312614</c:v>
                </c:pt>
                <c:pt idx="3">
                  <c:v>3326.293500146845</c:v>
                </c:pt>
                <c:pt idx="4">
                  <c:v>2329.4944551596222</c:v>
                </c:pt>
                <c:pt idx="5">
                  <c:v>2387.1071116507374</c:v>
                </c:pt>
                <c:pt idx="6">
                  <c:v>2889.8050436042072</c:v>
                </c:pt>
                <c:pt idx="7">
                  <c:v>3647.5711962044752</c:v>
                </c:pt>
                <c:pt idx="8">
                  <c:v>4386.0647899137884</c:v>
                </c:pt>
                <c:pt idx="9">
                  <c:v>4142.4607276180968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'ABA '!$AE$14:$AE$23</c15:f>
                <c15:dlblRangeCache>
                  <c:ptCount val="10"/>
                  <c:pt idx="0">
                    <c:v>*</c:v>
                  </c:pt>
                  <c:pt idx="1">
                    <c:v>ns</c:v>
                  </c:pt>
                  <c:pt idx="2">
                    <c:v>*</c:v>
                  </c:pt>
                  <c:pt idx="3">
                    <c:v>*</c:v>
                  </c:pt>
                  <c:pt idx="4">
                    <c:v>*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  <c:pt idx="8">
                    <c:v>*</c:v>
                  </c:pt>
                  <c:pt idx="9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'ABA '!$M$7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'ABA '!$N$8:$W$8</c:f>
                <c:numCache>
                  <c:formatCode>General</c:formatCode>
                  <c:ptCount val="10"/>
                  <c:pt idx="0">
                    <c:v>120.46791331186084</c:v>
                  </c:pt>
                  <c:pt idx="1">
                    <c:v>325.03007208947008</c:v>
                  </c:pt>
                  <c:pt idx="2">
                    <c:v>168.39676840719386</c:v>
                  </c:pt>
                  <c:pt idx="3">
                    <c:v>83.768352345083969</c:v>
                  </c:pt>
                  <c:pt idx="4">
                    <c:v>106.75502556730115</c:v>
                  </c:pt>
                  <c:pt idx="5">
                    <c:v>75.745251414005594</c:v>
                  </c:pt>
                  <c:pt idx="6">
                    <c:v>108.47081334344732</c:v>
                  </c:pt>
                  <c:pt idx="7">
                    <c:v>117.16084368945231</c:v>
                  </c:pt>
                  <c:pt idx="8">
                    <c:v>142.6527560129141</c:v>
                  </c:pt>
                  <c:pt idx="9">
                    <c:v>150.16816914759369</c:v>
                  </c:pt>
                </c:numCache>
              </c:numRef>
            </c:plus>
            <c:minus>
              <c:numRef>
                <c:f>'ABA '!$N$8:$W$8</c:f>
                <c:numCache>
                  <c:formatCode>General</c:formatCode>
                  <c:ptCount val="10"/>
                  <c:pt idx="0">
                    <c:v>120.46791331186084</c:v>
                  </c:pt>
                  <c:pt idx="1">
                    <c:v>325.03007208947008</c:v>
                  </c:pt>
                  <c:pt idx="2">
                    <c:v>168.39676840719386</c:v>
                  </c:pt>
                  <c:pt idx="3">
                    <c:v>83.768352345083969</c:v>
                  </c:pt>
                  <c:pt idx="4">
                    <c:v>106.75502556730115</c:v>
                  </c:pt>
                  <c:pt idx="5">
                    <c:v>75.745251414005594</c:v>
                  </c:pt>
                  <c:pt idx="6">
                    <c:v>108.47081334344732</c:v>
                  </c:pt>
                  <c:pt idx="7">
                    <c:v>117.16084368945231</c:v>
                  </c:pt>
                  <c:pt idx="8">
                    <c:v>142.6527560129141</c:v>
                  </c:pt>
                  <c:pt idx="9">
                    <c:v>150.16816914759369</c:v>
                  </c:pt>
                </c:numCache>
              </c:numRef>
            </c:minus>
          </c:errBars>
          <c:cat>
            <c:strRef>
              <c:f>'ABA '!$N$4:$W$4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'ABA '!$N$7:$W$7</c:f>
              <c:numCache>
                <c:formatCode>General</c:formatCode>
                <c:ptCount val="10"/>
                <c:pt idx="0">
                  <c:v>2560.7817423366832</c:v>
                </c:pt>
                <c:pt idx="1">
                  <c:v>2405.4292991555799</c:v>
                </c:pt>
                <c:pt idx="2">
                  <c:v>2320.313352864805</c:v>
                </c:pt>
                <c:pt idx="3">
                  <c:v>3080.1691251514644</c:v>
                </c:pt>
                <c:pt idx="4">
                  <c:v>2840.458189349778</c:v>
                </c:pt>
                <c:pt idx="5">
                  <c:v>2353.0946179307107</c:v>
                </c:pt>
                <c:pt idx="6">
                  <c:v>3143.1599427366104</c:v>
                </c:pt>
                <c:pt idx="7">
                  <c:v>3690.1291097073604</c:v>
                </c:pt>
                <c:pt idx="8">
                  <c:v>4048.9344134716139</c:v>
                </c:pt>
                <c:pt idx="9">
                  <c:v>4358.6488199050082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ABA (ng/g Dw)</a:t>
                </a:r>
              </a:p>
            </c:rich>
          </c:tx>
          <c:layout>
            <c:manualLayout>
              <c:xMode val="edge"/>
              <c:yMode val="edge"/>
              <c:x val="4.0473315835520558E-2"/>
              <c:y val="0.304052355485358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686701662292217"/>
          <c:y val="9.5655330043128886E-2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'ABA '!$M$131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layout>
                <c:manualLayout>
                  <c:x val="-2.9132108486439171E-2"/>
                  <c:y val="-8.0748120267639875E-2"/>
                </c:manualLayout>
              </c:layout>
              <c:tx>
                <c:rich>
                  <a:bodyPr/>
                  <a:lstStyle/>
                  <a:p>
                    <a:fld id="{3A2A4692-A8FF-4482-B15D-789E3BADB70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1C7-4A3E-892F-8E47C78220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B43BB96-0905-4B27-ABDE-EAEFAFB42ACC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1C7-4A3E-892F-8E47C78220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04C842-A404-4A74-AAA0-FA5D1E9AAEF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1C7-4A3E-892F-8E47C78220D6}"/>
                </c:ext>
              </c:extLst>
            </c:dLbl>
            <c:dLbl>
              <c:idx val="3"/>
              <c:layout>
                <c:manualLayout>
                  <c:x val="-2.7792369382019396E-2"/>
                  <c:y val="-0.19152213282926273"/>
                </c:manualLayout>
              </c:layout>
              <c:tx>
                <c:rich>
                  <a:bodyPr/>
                  <a:lstStyle/>
                  <a:p>
                    <a:fld id="{E98CD09D-EEB4-4864-ADB9-4D5DE91FEA9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1C7-4A3E-892F-8E47C78220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C97867C-689C-4E4A-8B3D-AC217C5A216A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1C7-4A3E-892F-8E47C78220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9AC8A9E-AFA2-4613-AAE1-95CD3D19135C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1C7-4A3E-892F-8E47C78220D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7EDCC88-63B6-4373-B956-54388C2EA72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1C7-4A3E-892F-8E47C78220D6}"/>
                </c:ext>
              </c:extLst>
            </c:dLbl>
            <c:dLbl>
              <c:idx val="7"/>
              <c:layout>
                <c:manualLayout>
                  <c:x val="-3.6659886264217074E-2"/>
                  <c:y val="-9.0069713775700486E-2"/>
                </c:manualLayout>
              </c:layout>
              <c:tx>
                <c:rich>
                  <a:bodyPr/>
                  <a:lstStyle/>
                  <a:p>
                    <a:fld id="{1AEFF3C2-61C5-438D-9BCC-18502C7097EB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1C7-4A3E-892F-8E47C78220D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E8EA765-0E85-4495-A350-0DD2539297AD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1C7-4A3E-892F-8E47C78220D6}"/>
                </c:ext>
              </c:extLst>
            </c:dLbl>
            <c:dLbl>
              <c:idx val="9"/>
              <c:layout>
                <c:manualLayout>
                  <c:x val="-3.665988626421697E-2"/>
                  <c:y val="-9.4730510529730749E-2"/>
                </c:manualLayout>
              </c:layout>
              <c:tx>
                <c:rich>
                  <a:bodyPr/>
                  <a:lstStyle/>
                  <a:p>
                    <a:fld id="{F05BD05A-0B47-4DE1-BF10-C21543F4CBA5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1C7-4A3E-892F-8E47C78220D6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'ABA '!$N$132:$W$132</c:f>
                <c:numCache>
                  <c:formatCode>General</c:formatCode>
                  <c:ptCount val="10"/>
                  <c:pt idx="0">
                    <c:v>29.897397118589886</c:v>
                  </c:pt>
                  <c:pt idx="1">
                    <c:v>5.5214273369637752</c:v>
                  </c:pt>
                  <c:pt idx="2">
                    <c:v>8.6477598815401748</c:v>
                  </c:pt>
                  <c:pt idx="3">
                    <c:v>10.510472313164861</c:v>
                  </c:pt>
                  <c:pt idx="4">
                    <c:v>7.9561490979694911</c:v>
                  </c:pt>
                  <c:pt idx="5">
                    <c:v>8.8395609663410806</c:v>
                  </c:pt>
                  <c:pt idx="6">
                    <c:v>9.1078546265928431</c:v>
                  </c:pt>
                  <c:pt idx="7">
                    <c:v>7.1491011627146674</c:v>
                  </c:pt>
                  <c:pt idx="8">
                    <c:v>14.56168236210725</c:v>
                  </c:pt>
                  <c:pt idx="9">
                    <c:v>14.093975006294466</c:v>
                  </c:pt>
                </c:numCache>
              </c:numRef>
            </c:plus>
            <c:minus>
              <c:numRef>
                <c:f>'ABA '!$N$132:$W$132</c:f>
                <c:numCache>
                  <c:formatCode>General</c:formatCode>
                  <c:ptCount val="10"/>
                  <c:pt idx="0">
                    <c:v>29.897397118589886</c:v>
                  </c:pt>
                  <c:pt idx="1">
                    <c:v>5.5214273369637752</c:v>
                  </c:pt>
                  <c:pt idx="2">
                    <c:v>8.6477598815401748</c:v>
                  </c:pt>
                  <c:pt idx="3">
                    <c:v>10.510472313164861</c:v>
                  </c:pt>
                  <c:pt idx="4">
                    <c:v>7.9561490979694911</c:v>
                  </c:pt>
                  <c:pt idx="5">
                    <c:v>8.8395609663410806</c:v>
                  </c:pt>
                  <c:pt idx="6">
                    <c:v>9.1078546265928431</c:v>
                  </c:pt>
                  <c:pt idx="7">
                    <c:v>7.1491011627146674</c:v>
                  </c:pt>
                  <c:pt idx="8">
                    <c:v>14.56168236210725</c:v>
                  </c:pt>
                  <c:pt idx="9">
                    <c:v>14.093975006294466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'ABA '!$N$130:$W$130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'ABA '!$N$131:$W$131</c:f>
              <c:numCache>
                <c:formatCode>General</c:formatCode>
                <c:ptCount val="10"/>
                <c:pt idx="0">
                  <c:v>216.59142227579434</c:v>
                </c:pt>
                <c:pt idx="1">
                  <c:v>124.79725198188122</c:v>
                </c:pt>
                <c:pt idx="2">
                  <c:v>126.63765944090062</c:v>
                </c:pt>
                <c:pt idx="3">
                  <c:v>166.60288605455926</c:v>
                </c:pt>
                <c:pt idx="4">
                  <c:v>121.19493017180145</c:v>
                </c:pt>
                <c:pt idx="5">
                  <c:v>93.282935058691635</c:v>
                </c:pt>
                <c:pt idx="6">
                  <c:v>102.54124819295065</c:v>
                </c:pt>
                <c:pt idx="7">
                  <c:v>131.74311199704275</c:v>
                </c:pt>
                <c:pt idx="8">
                  <c:v>222.59518805076559</c:v>
                </c:pt>
                <c:pt idx="9">
                  <c:v>82.700632933327583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'ABA '!$AC$139:$AC$148</c15:f>
                <c15:dlblRangeCache>
                  <c:ptCount val="10"/>
                  <c:pt idx="0">
                    <c:v>*</c:v>
                  </c:pt>
                  <c:pt idx="1">
                    <c:v>ns</c:v>
                  </c:pt>
                  <c:pt idx="2">
                    <c:v>*</c:v>
                  </c:pt>
                  <c:pt idx="3">
                    <c:v>ns</c:v>
                  </c:pt>
                  <c:pt idx="4">
                    <c:v>*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  <c:pt idx="8">
                    <c:v>*</c:v>
                  </c:pt>
                  <c:pt idx="9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'ABA '!$M$133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'ABA '!$N$134:$W$134</c:f>
                <c:numCache>
                  <c:formatCode>General</c:formatCode>
                  <c:ptCount val="10"/>
                  <c:pt idx="0">
                    <c:v>13.748197934935924</c:v>
                  </c:pt>
                  <c:pt idx="1">
                    <c:v>7.5582482234409243</c:v>
                  </c:pt>
                  <c:pt idx="2">
                    <c:v>7.803537427036467</c:v>
                  </c:pt>
                  <c:pt idx="3">
                    <c:v>13.168024158338666</c:v>
                  </c:pt>
                  <c:pt idx="4">
                    <c:v>3.9236387727989204</c:v>
                  </c:pt>
                  <c:pt idx="5">
                    <c:v>7.164172118178314</c:v>
                  </c:pt>
                  <c:pt idx="6">
                    <c:v>8.1313848082110756</c:v>
                  </c:pt>
                  <c:pt idx="7">
                    <c:v>8.6017661006926271</c:v>
                  </c:pt>
                  <c:pt idx="8">
                    <c:v>10.841050836915469</c:v>
                  </c:pt>
                  <c:pt idx="9">
                    <c:v>2.5651128646392447</c:v>
                  </c:pt>
                </c:numCache>
              </c:numRef>
            </c:plus>
            <c:minus>
              <c:numRef>
                <c:f>'ABA '!$N$134:$W$134</c:f>
                <c:numCache>
                  <c:formatCode>General</c:formatCode>
                  <c:ptCount val="10"/>
                  <c:pt idx="0">
                    <c:v>13.748197934935924</c:v>
                  </c:pt>
                  <c:pt idx="1">
                    <c:v>7.5582482234409243</c:v>
                  </c:pt>
                  <c:pt idx="2">
                    <c:v>7.803537427036467</c:v>
                  </c:pt>
                  <c:pt idx="3">
                    <c:v>13.168024158338666</c:v>
                  </c:pt>
                  <c:pt idx="4">
                    <c:v>3.9236387727989204</c:v>
                  </c:pt>
                  <c:pt idx="5">
                    <c:v>7.164172118178314</c:v>
                  </c:pt>
                  <c:pt idx="6">
                    <c:v>8.1313848082110756</c:v>
                  </c:pt>
                  <c:pt idx="7">
                    <c:v>8.6017661006926271</c:v>
                  </c:pt>
                  <c:pt idx="8">
                    <c:v>10.841050836915469</c:v>
                  </c:pt>
                  <c:pt idx="9">
                    <c:v>2.5651128646392447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'ABA '!$N$133:$W$133</c:f>
              <c:numCache>
                <c:formatCode>General</c:formatCode>
                <c:ptCount val="10"/>
                <c:pt idx="0">
                  <c:v>124.79725198188122</c:v>
                </c:pt>
                <c:pt idx="1">
                  <c:v>106.87495865593742</c:v>
                </c:pt>
                <c:pt idx="2">
                  <c:v>91.826437909152915</c:v>
                </c:pt>
                <c:pt idx="3">
                  <c:v>205.8683284529279</c:v>
                </c:pt>
                <c:pt idx="4">
                  <c:v>97.917648628813268</c:v>
                </c:pt>
                <c:pt idx="5">
                  <c:v>95.824457369978234</c:v>
                </c:pt>
                <c:pt idx="6">
                  <c:v>94.194089446682355</c:v>
                </c:pt>
                <c:pt idx="7">
                  <c:v>139.23171572401353</c:v>
                </c:pt>
                <c:pt idx="8">
                  <c:v>155.77190221843216</c:v>
                </c:pt>
                <c:pt idx="9">
                  <c:v>67.261992045753814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ABA (ng/g Dw)</a:t>
                </a:r>
              </a:p>
            </c:rich>
          </c:tx>
          <c:layout>
            <c:manualLayout>
              <c:xMode val="edge"/>
              <c:yMode val="edge"/>
              <c:x val="6.2746062992125984E-2"/>
              <c:y val="0.27129934058456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SA!$M$5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layout>
                <c:manualLayout>
                  <c:x val="-3.3984434986787437E-2"/>
                  <c:y val="-0.10333702207427994"/>
                </c:manualLayout>
              </c:layout>
              <c:tx>
                <c:rich>
                  <a:bodyPr/>
                  <a:lstStyle/>
                  <a:p>
                    <a:fld id="{95BBC5CD-0C94-4166-B335-184C64D90CA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79-49C6-B6A8-CBC805F000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B1A47B-0721-4D1E-B29E-40AD0C6BF963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C79-49C6-B6A8-CBC805F000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774A06E-9BCC-49B5-8F7C-94B8EB719A0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C79-49C6-B6A8-CBC805F0005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6CD9567-941B-4F17-98FE-D1FB916C078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C79-49C6-B6A8-CBC805F0005F}"/>
                </c:ext>
              </c:extLst>
            </c:dLbl>
            <c:dLbl>
              <c:idx val="4"/>
              <c:layout>
                <c:manualLayout>
                  <c:x val="-3.3984434986787514E-2"/>
                  <c:y val="-9.8661671772738255E-2"/>
                </c:manualLayout>
              </c:layout>
              <c:tx>
                <c:rich>
                  <a:bodyPr/>
                  <a:lstStyle/>
                  <a:p>
                    <a:fld id="{5849D986-693A-4CAB-AAD7-8F699F36FA9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79-49C6-B6A8-CBC805F0005F}"/>
                </c:ext>
              </c:extLst>
            </c:dLbl>
            <c:dLbl>
              <c:idx val="5"/>
              <c:layout>
                <c:manualLayout>
                  <c:x val="-3.398443498678741E-2"/>
                  <c:y val="-0.11736307297890497"/>
                </c:manualLayout>
              </c:layout>
              <c:tx>
                <c:rich>
                  <a:bodyPr/>
                  <a:lstStyle/>
                  <a:p>
                    <a:fld id="{2D68FB7F-0C3B-43F4-ABB6-7DFEA28694B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79-49C6-B6A8-CBC805F0005F}"/>
                </c:ext>
              </c:extLst>
            </c:dLbl>
            <c:dLbl>
              <c:idx val="6"/>
              <c:layout>
                <c:manualLayout>
                  <c:x val="-3.398443498678741E-2"/>
                  <c:y val="-9.8661671772738255E-2"/>
                </c:manualLayout>
              </c:layout>
              <c:tx>
                <c:rich>
                  <a:bodyPr/>
                  <a:lstStyle/>
                  <a:p>
                    <a:fld id="{0F29F7EF-9B3D-4881-B336-4249013E6A1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79-49C6-B6A8-CBC805F0005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084E90E-4228-4996-9480-3DC5CF09EDD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C79-49C6-B6A8-CBC805F0005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77BF018-4553-4AF3-9CB1-EE5E477A80F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C79-49C6-B6A8-CBC805F0005F}"/>
                </c:ext>
              </c:extLst>
            </c:dLbl>
            <c:dLbl>
              <c:idx val="9"/>
              <c:layout>
                <c:manualLayout>
                  <c:x val="-3.398443498678741E-2"/>
                  <c:y val="-9.3986321471196524E-2"/>
                </c:manualLayout>
              </c:layout>
              <c:tx>
                <c:rich>
                  <a:bodyPr/>
                  <a:lstStyle/>
                  <a:p>
                    <a:fld id="{6275B6BC-42AC-424B-A78E-692D8BCBD2D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79-49C6-B6A8-CBC805F0005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SA!$N$6:$W$6</c:f>
                <c:numCache>
                  <c:formatCode>General</c:formatCode>
                  <c:ptCount val="10"/>
                  <c:pt idx="0">
                    <c:v>130.09702066268926</c:v>
                  </c:pt>
                  <c:pt idx="1">
                    <c:v>73.565416341715604</c:v>
                  </c:pt>
                  <c:pt idx="2">
                    <c:v>141.25099171075053</c:v>
                  </c:pt>
                  <c:pt idx="3">
                    <c:v>106.20398591946136</c:v>
                  </c:pt>
                  <c:pt idx="4">
                    <c:v>95.904803335756171</c:v>
                  </c:pt>
                  <c:pt idx="5">
                    <c:v>259.0162731632102</c:v>
                  </c:pt>
                  <c:pt idx="6">
                    <c:v>201.28378898315037</c:v>
                  </c:pt>
                  <c:pt idx="7">
                    <c:v>180.0469097926115</c:v>
                  </c:pt>
                  <c:pt idx="8">
                    <c:v>157.04620009011788</c:v>
                  </c:pt>
                  <c:pt idx="9">
                    <c:v>178.34029442034009</c:v>
                  </c:pt>
                </c:numCache>
              </c:numRef>
            </c:plus>
            <c:minus>
              <c:numRef>
                <c:f>SA!$N$6:$W$6</c:f>
                <c:numCache>
                  <c:formatCode>General</c:formatCode>
                  <c:ptCount val="10"/>
                  <c:pt idx="0">
                    <c:v>130.09702066268926</c:v>
                  </c:pt>
                  <c:pt idx="1">
                    <c:v>73.565416341715604</c:v>
                  </c:pt>
                  <c:pt idx="2">
                    <c:v>141.25099171075053</c:v>
                  </c:pt>
                  <c:pt idx="3">
                    <c:v>106.20398591946136</c:v>
                  </c:pt>
                  <c:pt idx="4">
                    <c:v>95.904803335756171</c:v>
                  </c:pt>
                  <c:pt idx="5">
                    <c:v>259.0162731632102</c:v>
                  </c:pt>
                  <c:pt idx="6">
                    <c:v>201.28378898315037</c:v>
                  </c:pt>
                  <c:pt idx="7">
                    <c:v>180.0469097926115</c:v>
                  </c:pt>
                  <c:pt idx="8">
                    <c:v>157.04620009011788</c:v>
                  </c:pt>
                  <c:pt idx="9">
                    <c:v>178.34029442034009</c:v>
                  </c:pt>
                </c:numCache>
              </c:numRef>
            </c:minus>
          </c:errBars>
          <c:cat>
            <c:strRef>
              <c:f>SA!$N$4:$W$4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SA!$N$5:$W$5</c:f>
              <c:numCache>
                <c:formatCode>General</c:formatCode>
                <c:ptCount val="10"/>
                <c:pt idx="0">
                  <c:v>1856.2513232516021</c:v>
                </c:pt>
                <c:pt idx="1">
                  <c:v>2003.7192909067126</c:v>
                </c:pt>
                <c:pt idx="2">
                  <c:v>2405.1139737797093</c:v>
                </c:pt>
                <c:pt idx="3">
                  <c:v>2955.6240989019147</c:v>
                </c:pt>
                <c:pt idx="4">
                  <c:v>1713.3717156807063</c:v>
                </c:pt>
                <c:pt idx="5">
                  <c:v>1884.6348383788663</c:v>
                </c:pt>
                <c:pt idx="6">
                  <c:v>1899.2313920588203</c:v>
                </c:pt>
                <c:pt idx="7">
                  <c:v>1791.5075465991376</c:v>
                </c:pt>
                <c:pt idx="8">
                  <c:v>2251.9558312101617</c:v>
                </c:pt>
                <c:pt idx="9">
                  <c:v>1695.1277356676585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SA!$AC$14:$AC$23</c15:f>
                <c15:dlblRangeCache>
                  <c:ptCount val="10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*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  <c:pt idx="8">
                    <c:v>*</c:v>
                  </c:pt>
                  <c:pt idx="9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SA!$M$7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SA!$N$8:$W$8</c:f>
                <c:numCache>
                  <c:formatCode>General</c:formatCode>
                  <c:ptCount val="10"/>
                  <c:pt idx="0">
                    <c:v>173.02440467509669</c:v>
                  </c:pt>
                  <c:pt idx="1">
                    <c:v>255.05006485838351</c:v>
                  </c:pt>
                  <c:pt idx="2">
                    <c:v>202.67413981835091</c:v>
                  </c:pt>
                  <c:pt idx="3">
                    <c:v>130.9028608347077</c:v>
                  </c:pt>
                  <c:pt idx="4">
                    <c:v>132.93277126402873</c:v>
                  </c:pt>
                  <c:pt idx="5">
                    <c:v>205.16207446656594</c:v>
                  </c:pt>
                  <c:pt idx="6">
                    <c:v>138.61715950579185</c:v>
                  </c:pt>
                  <c:pt idx="7">
                    <c:v>116.45984470206173</c:v>
                  </c:pt>
                  <c:pt idx="8">
                    <c:v>155.14844215528629</c:v>
                  </c:pt>
                  <c:pt idx="9">
                    <c:v>155.34625884381828</c:v>
                  </c:pt>
                </c:numCache>
              </c:numRef>
            </c:plus>
            <c:minus>
              <c:numRef>
                <c:f>SA!$N$8:$W$8</c:f>
                <c:numCache>
                  <c:formatCode>General</c:formatCode>
                  <c:ptCount val="10"/>
                  <c:pt idx="0">
                    <c:v>173.02440467509669</c:v>
                  </c:pt>
                  <c:pt idx="1">
                    <c:v>255.05006485838351</c:v>
                  </c:pt>
                  <c:pt idx="2">
                    <c:v>202.67413981835091</c:v>
                  </c:pt>
                  <c:pt idx="3">
                    <c:v>130.9028608347077</c:v>
                  </c:pt>
                  <c:pt idx="4">
                    <c:v>132.93277126402873</c:v>
                  </c:pt>
                  <c:pt idx="5">
                    <c:v>205.16207446656594</c:v>
                  </c:pt>
                  <c:pt idx="6">
                    <c:v>138.61715950579185</c:v>
                  </c:pt>
                  <c:pt idx="7">
                    <c:v>116.45984470206173</c:v>
                  </c:pt>
                  <c:pt idx="8">
                    <c:v>155.14844215528629</c:v>
                  </c:pt>
                  <c:pt idx="9">
                    <c:v>155.34625884381828</c:v>
                  </c:pt>
                </c:numCache>
              </c:numRef>
            </c:minus>
          </c:errBars>
          <c:cat>
            <c:strRef>
              <c:f>SA!$N$4:$W$4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SA!$N$7:$W$7</c:f>
              <c:numCache>
                <c:formatCode>General</c:formatCode>
                <c:ptCount val="10"/>
                <c:pt idx="0">
                  <c:v>2003.7192909067126</c:v>
                </c:pt>
                <c:pt idx="1">
                  <c:v>1911.021455815099</c:v>
                </c:pt>
                <c:pt idx="2">
                  <c:v>2003.1254664610531</c:v>
                </c:pt>
                <c:pt idx="3">
                  <c:v>2441.6104276955593</c:v>
                </c:pt>
                <c:pt idx="4">
                  <c:v>1650.4799722397538</c:v>
                </c:pt>
                <c:pt idx="5">
                  <c:v>2037.3486465935109</c:v>
                </c:pt>
                <c:pt idx="6">
                  <c:v>1958.935309260213</c:v>
                </c:pt>
                <c:pt idx="7">
                  <c:v>1724.4441281089651</c:v>
                </c:pt>
                <c:pt idx="8">
                  <c:v>1694.6094987305103</c:v>
                </c:pt>
                <c:pt idx="9">
                  <c:v>1787.8784053990978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SA (ng/g Dw)</a:t>
                </a:r>
              </a:p>
            </c:rich>
          </c:tx>
          <c:layout>
            <c:manualLayout>
              <c:xMode val="edge"/>
              <c:yMode val="edge"/>
              <c:x val="4.0440557286214894E-2"/>
              <c:y val="0.29143007434578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88171798386"/>
          <c:y val="9.1013209663205974E-2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SA!$M$131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layout>
                <c:manualLayout>
                  <c:x val="-3.6954721797784293E-2"/>
                  <c:y val="-0.12236244420889628"/>
                </c:manualLayout>
              </c:layout>
              <c:tx>
                <c:rich>
                  <a:bodyPr/>
                  <a:lstStyle/>
                  <a:p>
                    <a:fld id="{69F5BFA2-8822-4FB5-9C0F-47858A7DAA4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EB3-47FB-8A7E-3554A20472D5}"/>
                </c:ext>
              </c:extLst>
            </c:dLbl>
            <c:dLbl>
              <c:idx val="1"/>
              <c:layout>
                <c:manualLayout>
                  <c:x val="-3.695472428624292E-2"/>
                  <c:y val="-0.23519710031681093"/>
                </c:manualLayout>
              </c:layout>
              <c:tx>
                <c:rich>
                  <a:bodyPr/>
                  <a:lstStyle/>
                  <a:p>
                    <a:fld id="{0420896F-19E8-4EF0-95E5-21DE0BE9A4F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EB3-47FB-8A7E-3554A20472D5}"/>
                </c:ext>
              </c:extLst>
            </c:dLbl>
            <c:dLbl>
              <c:idx val="2"/>
              <c:layout>
                <c:manualLayout>
                  <c:x val="-3.8985826020665471E-2"/>
                  <c:y val="-9.0031806331525702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E6EE87B6-C774-45FC-8DB1-500807D11617}" type="CELLRANGE">
                      <a:rPr lang="en-US"/>
                      <a:pPr>
                        <a:defRPr/>
                      </a:pPr>
                      <a:t>[CELLRANGE]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993694498737259E-2"/>
                      <c:h val="7.744827075963803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EB3-47FB-8A7E-3554A20472D5}"/>
                </c:ext>
              </c:extLst>
            </c:dLbl>
            <c:dLbl>
              <c:idx val="3"/>
              <c:layout>
                <c:manualLayout>
                  <c:x val="-3.4165688491054717E-2"/>
                  <c:y val="-0.17417098180342344"/>
                </c:manualLayout>
              </c:layout>
              <c:tx>
                <c:rich>
                  <a:bodyPr/>
                  <a:lstStyle/>
                  <a:p>
                    <a:fld id="{A76478FD-3EC6-4BF9-B8AD-D6396DABC83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EB3-47FB-8A7E-3554A20472D5}"/>
                </c:ext>
              </c:extLst>
            </c:dLbl>
            <c:dLbl>
              <c:idx val="4"/>
              <c:layout>
                <c:manualLayout>
                  <c:x val="-3.1376652695866626E-2"/>
                  <c:y val="-0.10845054648131389"/>
                </c:manualLayout>
              </c:layout>
              <c:tx>
                <c:rich>
                  <a:bodyPr/>
                  <a:lstStyle/>
                  <a:p>
                    <a:fld id="{7F4712F2-BF04-4610-A438-CC65652553B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EB3-47FB-8A7E-3554A20472D5}"/>
                </c:ext>
              </c:extLst>
            </c:dLbl>
            <c:dLbl>
              <c:idx val="5"/>
              <c:layout>
                <c:manualLayout>
                  <c:x val="-3.4165688491054773E-2"/>
                  <c:y val="-0.11783918009875811"/>
                </c:manualLayout>
              </c:layout>
              <c:tx>
                <c:rich>
                  <a:bodyPr/>
                  <a:lstStyle/>
                  <a:p>
                    <a:fld id="{2E1BA8F0-256A-49C2-858E-35A3F2DF3E4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EB3-47FB-8A7E-3554A20472D5}"/>
                </c:ext>
              </c:extLst>
            </c:dLbl>
            <c:dLbl>
              <c:idx val="6"/>
              <c:layout>
                <c:manualLayout>
                  <c:x val="-3.666443905101386E-2"/>
                  <c:y val="-8.0587882388361023E-2"/>
                </c:manualLayout>
              </c:layout>
              <c:tx>
                <c:rich>
                  <a:bodyPr/>
                  <a:lstStyle/>
                  <a:p>
                    <a:fld id="{47F55212-DD29-4CCE-8146-37E56116567B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EB3-47FB-8A7E-3554A20472D5}"/>
                </c:ext>
              </c:extLst>
            </c:dLbl>
            <c:dLbl>
              <c:idx val="7"/>
              <c:layout>
                <c:manualLayout>
                  <c:x val="-2.7862467593929564E-2"/>
                  <c:y val="-9.4367596055147551E-2"/>
                </c:manualLayout>
              </c:layout>
              <c:tx>
                <c:rich>
                  <a:bodyPr/>
                  <a:lstStyle/>
                  <a:p>
                    <a:fld id="{5F042D7B-9CE4-4815-AC9F-24AC790A60E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EB3-47FB-8A7E-3554A20472D5}"/>
                </c:ext>
              </c:extLst>
            </c:dLbl>
            <c:dLbl>
              <c:idx val="8"/>
              <c:layout>
                <c:manualLayout>
                  <c:x val="-2.0220509515113946E-2"/>
                  <c:y val="-0.11314486329003597"/>
                </c:manualLayout>
              </c:layout>
              <c:tx>
                <c:rich>
                  <a:bodyPr/>
                  <a:lstStyle/>
                  <a:p>
                    <a:fld id="{8989AD3F-08F0-4BA7-8E24-C45DDD294C7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EB3-47FB-8A7E-3554A20472D5}"/>
                </c:ext>
              </c:extLst>
            </c:dLbl>
            <c:dLbl>
              <c:idx val="9"/>
              <c:layout>
                <c:manualLayout>
                  <c:x val="-2.579858110549044E-2"/>
                  <c:y val="-8.9673279246425389E-2"/>
                </c:manualLayout>
              </c:layout>
              <c:tx>
                <c:rich>
                  <a:bodyPr/>
                  <a:lstStyle/>
                  <a:p>
                    <a:fld id="{3157F2FC-8155-4AFD-AFBF-045E8B55B6B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EB3-47FB-8A7E-3554A20472D5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SA!$N$132:$W$132</c:f>
                <c:numCache>
                  <c:formatCode>General</c:formatCode>
                  <c:ptCount val="10"/>
                  <c:pt idx="0">
                    <c:v>322.42419212303253</c:v>
                  </c:pt>
                  <c:pt idx="1">
                    <c:v>145.34780685277585</c:v>
                  </c:pt>
                  <c:pt idx="2">
                    <c:v>276.19941216255745</c:v>
                  </c:pt>
                  <c:pt idx="3">
                    <c:v>99.46661998591</c:v>
                  </c:pt>
                  <c:pt idx="4">
                    <c:v>115.15116345493738</c:v>
                  </c:pt>
                  <c:pt idx="5">
                    <c:v>58.56126328618798</c:v>
                  </c:pt>
                  <c:pt idx="6">
                    <c:v>185.43228853554581</c:v>
                  </c:pt>
                  <c:pt idx="7">
                    <c:v>174.94486775701168</c:v>
                  </c:pt>
                  <c:pt idx="8">
                    <c:v>99.404724942132376</c:v>
                  </c:pt>
                  <c:pt idx="9">
                    <c:v>101.11260183883766</c:v>
                  </c:pt>
                </c:numCache>
              </c:numRef>
            </c:plus>
            <c:minus>
              <c:numRef>
                <c:f>SA!$N$132:$W$132</c:f>
                <c:numCache>
                  <c:formatCode>General</c:formatCode>
                  <c:ptCount val="10"/>
                  <c:pt idx="0">
                    <c:v>322.42419212303253</c:v>
                  </c:pt>
                  <c:pt idx="1">
                    <c:v>145.34780685277585</c:v>
                  </c:pt>
                  <c:pt idx="2">
                    <c:v>276.19941216255745</c:v>
                  </c:pt>
                  <c:pt idx="3">
                    <c:v>99.46661998591</c:v>
                  </c:pt>
                  <c:pt idx="4">
                    <c:v>115.15116345493738</c:v>
                  </c:pt>
                  <c:pt idx="5">
                    <c:v>58.56126328618798</c:v>
                  </c:pt>
                  <c:pt idx="6">
                    <c:v>185.43228853554581</c:v>
                  </c:pt>
                  <c:pt idx="7">
                    <c:v>174.94486775701168</c:v>
                  </c:pt>
                  <c:pt idx="8">
                    <c:v>99.404724942132376</c:v>
                  </c:pt>
                  <c:pt idx="9">
                    <c:v>101.11260183883766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SA!$N$131:$W$131</c:f>
              <c:numCache>
                <c:formatCode>General</c:formatCode>
                <c:ptCount val="10"/>
                <c:pt idx="0">
                  <c:v>1839.9093275346447</c:v>
                </c:pt>
                <c:pt idx="1">
                  <c:v>1371.7173997223347</c:v>
                </c:pt>
                <c:pt idx="2">
                  <c:v>2089.2190259624608</c:v>
                </c:pt>
                <c:pt idx="3">
                  <c:v>1239.0881688051302</c:v>
                </c:pt>
                <c:pt idx="4">
                  <c:v>1191.259260755686</c:v>
                </c:pt>
                <c:pt idx="5">
                  <c:v>1335.2461835790507</c:v>
                </c:pt>
                <c:pt idx="6">
                  <c:v>1990.0568672647785</c:v>
                </c:pt>
                <c:pt idx="7">
                  <c:v>1679.4835762060977</c:v>
                </c:pt>
                <c:pt idx="8">
                  <c:v>882.48552763973157</c:v>
                </c:pt>
                <c:pt idx="9">
                  <c:v>968.40842056556266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SA!$AB$138:$AB$147</c15:f>
                <c15:dlblRangeCache>
                  <c:ptCount val="10"/>
                  <c:pt idx="0">
                    <c:v>ns</c:v>
                  </c:pt>
                  <c:pt idx="1">
                    <c:v>ns</c:v>
                  </c:pt>
                  <c:pt idx="2">
                    <c:v>*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*</c:v>
                  </c:pt>
                  <c:pt idx="8">
                    <c:v>ns</c:v>
                  </c:pt>
                  <c:pt idx="9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SA!$M$133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SA!$N$134:$W$134</c:f>
                <c:numCache>
                  <c:formatCode>General</c:formatCode>
                  <c:ptCount val="10"/>
                  <c:pt idx="0">
                    <c:v>403.5264640819446</c:v>
                  </c:pt>
                  <c:pt idx="1">
                    <c:v>179.16540835118622</c:v>
                  </c:pt>
                  <c:pt idx="2">
                    <c:v>150.80206495970563</c:v>
                  </c:pt>
                  <c:pt idx="3">
                    <c:v>207.99237978192841</c:v>
                  </c:pt>
                  <c:pt idx="4">
                    <c:v>152.29285630602794</c:v>
                  </c:pt>
                  <c:pt idx="5">
                    <c:v>202.87561566895667</c:v>
                  </c:pt>
                  <c:pt idx="6">
                    <c:v>229.12195221561387</c:v>
                  </c:pt>
                  <c:pt idx="7">
                    <c:v>112.78625755349775</c:v>
                  </c:pt>
                  <c:pt idx="8">
                    <c:v>202.60553760969248</c:v>
                  </c:pt>
                  <c:pt idx="9">
                    <c:v>190.53671054642686</c:v>
                  </c:pt>
                </c:numCache>
              </c:numRef>
            </c:plus>
            <c:minus>
              <c:numRef>
                <c:f>SA!$N$134:$W$134</c:f>
                <c:numCache>
                  <c:formatCode>General</c:formatCode>
                  <c:ptCount val="10"/>
                  <c:pt idx="0">
                    <c:v>403.5264640819446</c:v>
                  </c:pt>
                  <c:pt idx="1">
                    <c:v>179.16540835118622</c:v>
                  </c:pt>
                  <c:pt idx="2">
                    <c:v>150.80206495970563</c:v>
                  </c:pt>
                  <c:pt idx="3">
                    <c:v>207.99237978192841</c:v>
                  </c:pt>
                  <c:pt idx="4">
                    <c:v>152.29285630602794</c:v>
                  </c:pt>
                  <c:pt idx="5">
                    <c:v>202.87561566895667</c:v>
                  </c:pt>
                  <c:pt idx="6">
                    <c:v>229.12195221561387</c:v>
                  </c:pt>
                  <c:pt idx="7">
                    <c:v>112.78625755349775</c:v>
                  </c:pt>
                  <c:pt idx="8">
                    <c:v>202.60553760969248</c:v>
                  </c:pt>
                  <c:pt idx="9">
                    <c:v>190.53671054642686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SA!$N$133:$W$133</c:f>
              <c:numCache>
                <c:formatCode>General</c:formatCode>
                <c:ptCount val="10"/>
                <c:pt idx="0">
                  <c:v>1371.7173997223347</c:v>
                </c:pt>
                <c:pt idx="1">
                  <c:v>1830.7547064930141</c:v>
                </c:pt>
                <c:pt idx="2">
                  <c:v>1282.2480108544094</c:v>
                </c:pt>
                <c:pt idx="3">
                  <c:v>1388.2190843713179</c:v>
                </c:pt>
                <c:pt idx="4">
                  <c:v>1260.0400209831723</c:v>
                </c:pt>
                <c:pt idx="5">
                  <c:v>1405.3192594527318</c:v>
                </c:pt>
                <c:pt idx="6">
                  <c:v>1633.2954962294295</c:v>
                </c:pt>
                <c:pt idx="7">
                  <c:v>1100.74672189884</c:v>
                </c:pt>
                <c:pt idx="8">
                  <c:v>883.00728109928298</c:v>
                </c:pt>
                <c:pt idx="9">
                  <c:v>952.11423987626006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SA (ng/g Dw)</a:t>
                </a:r>
              </a:p>
            </c:rich>
          </c:tx>
          <c:layout>
            <c:manualLayout>
              <c:xMode val="edge"/>
              <c:yMode val="edge"/>
              <c:x val="4.0439481766403974E-2"/>
              <c:y val="0.328749697272856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JA!$M$5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layout>
                <c:manualLayout>
                  <c:x val="-3.6659886264216998E-2"/>
                  <c:y val="-7.6557792498165744E-2"/>
                </c:manualLayout>
              </c:layout>
              <c:tx>
                <c:rich>
                  <a:bodyPr/>
                  <a:lstStyle/>
                  <a:p>
                    <a:fld id="{6E947F1C-ACD0-4B24-B3DE-23B15941651C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97B-4C5E-B40A-17BFD898CE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6B2FA5-ABED-4E4F-81B5-7F7B88B7321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97B-4C5E-B40A-17BFD898CE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BC8A6F0-8821-4446-8B8A-357CA03FA8A3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97B-4C5E-B40A-17BFD898CEE8}"/>
                </c:ext>
              </c:extLst>
            </c:dLbl>
            <c:dLbl>
              <c:idx val="3"/>
              <c:layout>
                <c:manualLayout>
                  <c:x val="-3.3967554462713358E-2"/>
                  <c:y val="-0.12505622410875253"/>
                </c:manualLayout>
              </c:layout>
              <c:tx>
                <c:rich>
                  <a:bodyPr/>
                  <a:lstStyle/>
                  <a:p>
                    <a:fld id="{5A623A72-C173-43E7-AB45-98C2C6BF519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97B-4C5E-B40A-17BFD898CEE8}"/>
                </c:ext>
              </c:extLst>
            </c:dLbl>
            <c:dLbl>
              <c:idx val="4"/>
              <c:layout>
                <c:manualLayout>
                  <c:x val="-3.3967554462713309E-2"/>
                  <c:y val="-9.7371073304611463E-2"/>
                </c:manualLayout>
              </c:layout>
              <c:tx>
                <c:rich>
                  <a:bodyPr/>
                  <a:lstStyle/>
                  <a:p>
                    <a:fld id="{DFD19AF7-9CCA-4C5A-B652-BF560305AC9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97B-4C5E-B40A-17BFD898CEE8}"/>
                </c:ext>
              </c:extLst>
            </c:dLbl>
            <c:dLbl>
              <c:idx val="5"/>
              <c:layout>
                <c:manualLayout>
                  <c:x val="-3.1194692873920384E-2"/>
                  <c:y val="-8.8142689703231247E-2"/>
                </c:manualLayout>
              </c:layout>
              <c:tx>
                <c:rich>
                  <a:bodyPr/>
                  <a:lstStyle/>
                  <a:p>
                    <a:fld id="{52403D75-CFC2-4E50-8207-F81784CC734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97B-4C5E-B40A-17BFD898CEE8}"/>
                </c:ext>
              </c:extLst>
            </c:dLbl>
            <c:dLbl>
              <c:idx val="6"/>
              <c:layout>
                <c:manualLayout>
                  <c:x val="-3.3967554462713309E-2"/>
                  <c:y val="-8.8142689703231247E-2"/>
                </c:manualLayout>
              </c:layout>
              <c:tx>
                <c:rich>
                  <a:bodyPr/>
                  <a:lstStyle/>
                  <a:p>
                    <a:fld id="{FBAFE29A-A800-433D-B890-72013D5D6E9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97B-4C5E-B40A-17BFD898CEE8}"/>
                </c:ext>
              </c:extLst>
            </c:dLbl>
            <c:dLbl>
              <c:idx val="7"/>
              <c:layout>
                <c:manualLayout>
                  <c:x val="-3.665988626421697E-2"/>
                  <c:y val="-9.5316255500605407E-2"/>
                </c:manualLayout>
              </c:layout>
              <c:tx>
                <c:rich>
                  <a:bodyPr/>
                  <a:lstStyle/>
                  <a:p>
                    <a:fld id="{39284AD4-CEC5-4D55-A04D-60F5C5518CE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97B-4C5E-B40A-17BFD898CEE8}"/>
                </c:ext>
              </c:extLst>
            </c:dLbl>
            <c:dLbl>
              <c:idx val="8"/>
              <c:layout>
                <c:manualLayout>
                  <c:x val="-3.3967554462713413E-2"/>
                  <c:y val="-0.12044203230806234"/>
                </c:manualLayout>
              </c:layout>
              <c:tx>
                <c:rich>
                  <a:bodyPr/>
                  <a:lstStyle/>
                  <a:p>
                    <a:fld id="{4DF6B034-DC2F-4F11-9F69-B3A0718CD26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97B-4C5E-B40A-17BFD898CEE8}"/>
                </c:ext>
              </c:extLst>
            </c:dLbl>
            <c:dLbl>
              <c:idx val="9"/>
              <c:layout>
                <c:manualLayout>
                  <c:x val="-3.3967554462713309E-2"/>
                  <c:y val="-0.21734006012255583"/>
                </c:manualLayout>
              </c:layout>
              <c:tx>
                <c:rich>
                  <a:bodyPr/>
                  <a:lstStyle/>
                  <a:p>
                    <a:fld id="{EE7B71FA-9810-4D81-9C52-15B86DEAE0A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97B-4C5E-B40A-17BFD898CEE8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JA!$N$6:$W$6</c:f>
                <c:numCache>
                  <c:formatCode>General</c:formatCode>
                  <c:ptCount val="10"/>
                  <c:pt idx="0">
                    <c:v>4.7563019791987289</c:v>
                  </c:pt>
                  <c:pt idx="1">
                    <c:v>1.9401802379015303</c:v>
                  </c:pt>
                  <c:pt idx="2">
                    <c:v>2.8014189246054646</c:v>
                  </c:pt>
                  <c:pt idx="3">
                    <c:v>8.9575287982682212</c:v>
                  </c:pt>
                  <c:pt idx="4">
                    <c:v>4.212866780308679</c:v>
                  </c:pt>
                  <c:pt idx="5">
                    <c:v>2.3035873984626449</c:v>
                  </c:pt>
                  <c:pt idx="6">
                    <c:v>3.398939797104755</c:v>
                  </c:pt>
                  <c:pt idx="7">
                    <c:v>6.1815723456346747</c:v>
                  </c:pt>
                  <c:pt idx="8">
                    <c:v>7.7102722673622015</c:v>
                  </c:pt>
                  <c:pt idx="9">
                    <c:v>13.758210603939641</c:v>
                  </c:pt>
                </c:numCache>
              </c:numRef>
            </c:plus>
            <c:minus>
              <c:numRef>
                <c:f>JA!$N$6:$W$6</c:f>
                <c:numCache>
                  <c:formatCode>General</c:formatCode>
                  <c:ptCount val="10"/>
                  <c:pt idx="0">
                    <c:v>4.7563019791987289</c:v>
                  </c:pt>
                  <c:pt idx="1">
                    <c:v>1.9401802379015303</c:v>
                  </c:pt>
                  <c:pt idx="2">
                    <c:v>2.8014189246054646</c:v>
                  </c:pt>
                  <c:pt idx="3">
                    <c:v>8.9575287982682212</c:v>
                  </c:pt>
                  <c:pt idx="4">
                    <c:v>4.212866780308679</c:v>
                  </c:pt>
                  <c:pt idx="5">
                    <c:v>2.3035873984626449</c:v>
                  </c:pt>
                  <c:pt idx="6">
                    <c:v>3.398939797104755</c:v>
                  </c:pt>
                  <c:pt idx="7">
                    <c:v>6.1815723456346747</c:v>
                  </c:pt>
                  <c:pt idx="8">
                    <c:v>7.7102722673622015</c:v>
                  </c:pt>
                  <c:pt idx="9">
                    <c:v>13.758210603939641</c:v>
                  </c:pt>
                </c:numCache>
              </c:numRef>
            </c:minus>
          </c:errBars>
          <c:cat>
            <c:strRef>
              <c:f>JA!$N$4:$W$4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JA!$N$5:$W$5</c:f>
              <c:numCache>
                <c:formatCode>General</c:formatCode>
                <c:ptCount val="10"/>
                <c:pt idx="0">
                  <c:v>41.650497227581141</c:v>
                </c:pt>
                <c:pt idx="1">
                  <c:v>39.909057653899289</c:v>
                </c:pt>
                <c:pt idx="2">
                  <c:v>50.536624543955377</c:v>
                </c:pt>
                <c:pt idx="3">
                  <c:v>59.598051998744324</c:v>
                </c:pt>
                <c:pt idx="4">
                  <c:v>42.754948119591667</c:v>
                </c:pt>
                <c:pt idx="5">
                  <c:v>17.921418834167138</c:v>
                </c:pt>
                <c:pt idx="6">
                  <c:v>26.300375832577291</c:v>
                </c:pt>
                <c:pt idx="7">
                  <c:v>25.714428282802604</c:v>
                </c:pt>
                <c:pt idx="8">
                  <c:v>32.737103021998038</c:v>
                </c:pt>
                <c:pt idx="9">
                  <c:v>51.544212701705526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JA!$AA$14:$AA$23</c15:f>
                <c15:dlblRangeCache>
                  <c:ptCount val="10"/>
                  <c:pt idx="0">
                    <c:v>ns</c:v>
                  </c:pt>
                  <c:pt idx="1">
                    <c:v>ns</c:v>
                  </c:pt>
                  <c:pt idx="2">
                    <c:v>*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JA!$M$7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JA!$N$8:$W$8</c:f>
                <c:numCache>
                  <c:formatCode>General</c:formatCode>
                  <c:ptCount val="10"/>
                  <c:pt idx="0">
                    <c:v>3.4026289200140862</c:v>
                  </c:pt>
                  <c:pt idx="1">
                    <c:v>4.0001853671565302</c:v>
                  </c:pt>
                  <c:pt idx="2">
                    <c:v>4.1627254542058774</c:v>
                  </c:pt>
                  <c:pt idx="3">
                    <c:v>10.7326955737595</c:v>
                  </c:pt>
                  <c:pt idx="4">
                    <c:v>3.0771200502306657</c:v>
                  </c:pt>
                  <c:pt idx="5">
                    <c:v>0.67411883526350314</c:v>
                  </c:pt>
                  <c:pt idx="6">
                    <c:v>3.8282286847151239</c:v>
                  </c:pt>
                  <c:pt idx="7">
                    <c:v>1.9419402999182953</c:v>
                  </c:pt>
                  <c:pt idx="8">
                    <c:v>2.3398356517514918</c:v>
                  </c:pt>
                  <c:pt idx="9">
                    <c:v>14.51138992710678</c:v>
                  </c:pt>
                </c:numCache>
              </c:numRef>
            </c:plus>
            <c:minus>
              <c:numRef>
                <c:f>JA!$N$8:$W$8</c:f>
                <c:numCache>
                  <c:formatCode>General</c:formatCode>
                  <c:ptCount val="10"/>
                  <c:pt idx="0">
                    <c:v>3.4026289200140862</c:v>
                  </c:pt>
                  <c:pt idx="1">
                    <c:v>4.0001853671565302</c:v>
                  </c:pt>
                  <c:pt idx="2">
                    <c:v>4.1627254542058774</c:v>
                  </c:pt>
                  <c:pt idx="3">
                    <c:v>10.7326955737595</c:v>
                  </c:pt>
                  <c:pt idx="4">
                    <c:v>3.0771200502306657</c:v>
                  </c:pt>
                  <c:pt idx="5">
                    <c:v>0.67411883526350314</c:v>
                  </c:pt>
                  <c:pt idx="6">
                    <c:v>3.8282286847151239</c:v>
                  </c:pt>
                  <c:pt idx="7">
                    <c:v>1.9419402999182953</c:v>
                  </c:pt>
                  <c:pt idx="8">
                    <c:v>2.3398356517514918</c:v>
                  </c:pt>
                  <c:pt idx="9">
                    <c:v>14.51138992710678</c:v>
                  </c:pt>
                </c:numCache>
              </c:numRef>
            </c:minus>
          </c:errBars>
          <c:cat>
            <c:strRef>
              <c:f>JA!$N$4:$W$4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JA!$N$7:$W$7</c:f>
              <c:numCache>
                <c:formatCode>General</c:formatCode>
                <c:ptCount val="10"/>
                <c:pt idx="0">
                  <c:v>39.909057653899289</c:v>
                </c:pt>
                <c:pt idx="1">
                  <c:v>38.20225619324291</c:v>
                </c:pt>
                <c:pt idx="2">
                  <c:v>37.327060880928627</c:v>
                </c:pt>
                <c:pt idx="3">
                  <c:v>52.891437284577343</c:v>
                </c:pt>
                <c:pt idx="4">
                  <c:v>40.357741668511089</c:v>
                </c:pt>
                <c:pt idx="5">
                  <c:v>16.099253200077428</c:v>
                </c:pt>
                <c:pt idx="6">
                  <c:v>28.348743591372614</c:v>
                </c:pt>
                <c:pt idx="7">
                  <c:v>30.969693563918067</c:v>
                </c:pt>
                <c:pt idx="8">
                  <c:v>25.370820834061458</c:v>
                </c:pt>
                <c:pt idx="9">
                  <c:v>58.210777479938066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>
                    <a:solidFill>
                      <a:schemeClr val="tx1"/>
                    </a:solidFill>
                  </a:defRPr>
                </a:pPr>
                <a:r>
                  <a:rPr lang="en-US" b="0">
                    <a:solidFill>
                      <a:schemeClr val="tx1"/>
                    </a:solidFill>
                  </a:rPr>
                  <a:t>JA (ng/g Dw)</a:t>
                </a:r>
              </a:p>
            </c:rich>
          </c:tx>
          <c:layout>
            <c:manualLayout>
              <c:xMode val="edge"/>
              <c:yMode val="edge"/>
              <c:x val="7.3806649168853891E-2"/>
              <c:y val="0.31012187605331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JA!$M$131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JA!$N$132:$W$132</c:f>
                <c:numCache>
                  <c:formatCode>General</c:formatCode>
                  <c:ptCount val="10"/>
                  <c:pt idx="0">
                    <c:v>32.221610806319028</c:v>
                  </c:pt>
                  <c:pt idx="1">
                    <c:v>20.934158122821014</c:v>
                  </c:pt>
                  <c:pt idx="2">
                    <c:v>15.180833275680563</c:v>
                  </c:pt>
                  <c:pt idx="3">
                    <c:v>20.116653321575615</c:v>
                  </c:pt>
                  <c:pt idx="4">
                    <c:v>13.187642500118882</c:v>
                  </c:pt>
                  <c:pt idx="5">
                    <c:v>19.067396674812514</c:v>
                  </c:pt>
                  <c:pt idx="6">
                    <c:v>41.385846411149913</c:v>
                  </c:pt>
                  <c:pt idx="7">
                    <c:v>30.195668416694495</c:v>
                  </c:pt>
                  <c:pt idx="8">
                    <c:v>6.9577585769711803</c:v>
                  </c:pt>
                  <c:pt idx="9">
                    <c:v>24.719790017624835</c:v>
                  </c:pt>
                </c:numCache>
              </c:numRef>
            </c:plus>
            <c:minus>
              <c:numRef>
                <c:f>JA!$N$132:$W$132</c:f>
                <c:numCache>
                  <c:formatCode>General</c:formatCode>
                  <c:ptCount val="10"/>
                  <c:pt idx="0">
                    <c:v>32.221610806319028</c:v>
                  </c:pt>
                  <c:pt idx="1">
                    <c:v>20.934158122821014</c:v>
                  </c:pt>
                  <c:pt idx="2">
                    <c:v>15.180833275680563</c:v>
                  </c:pt>
                  <c:pt idx="3">
                    <c:v>20.116653321575615</c:v>
                  </c:pt>
                  <c:pt idx="4">
                    <c:v>13.187642500118882</c:v>
                  </c:pt>
                  <c:pt idx="5">
                    <c:v>19.067396674812514</c:v>
                  </c:pt>
                  <c:pt idx="6">
                    <c:v>41.385846411149913</c:v>
                  </c:pt>
                  <c:pt idx="7">
                    <c:v>30.195668416694495</c:v>
                  </c:pt>
                  <c:pt idx="8">
                    <c:v>6.9577585769711803</c:v>
                  </c:pt>
                  <c:pt idx="9">
                    <c:v>24.719790017624835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JA!$N$130:$W$130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JA!$N$131:$W$131</c:f>
              <c:numCache>
                <c:formatCode>General</c:formatCode>
                <c:ptCount val="10"/>
                <c:pt idx="0">
                  <c:v>134.03063441087062</c:v>
                </c:pt>
                <c:pt idx="1">
                  <c:v>97.937130931136736</c:v>
                </c:pt>
                <c:pt idx="2">
                  <c:v>140.31902788424409</c:v>
                </c:pt>
                <c:pt idx="3">
                  <c:v>143.78614516806573</c:v>
                </c:pt>
                <c:pt idx="4">
                  <c:v>95.019055602465826</c:v>
                </c:pt>
                <c:pt idx="5">
                  <c:v>123.87680227111395</c:v>
                </c:pt>
                <c:pt idx="6">
                  <c:v>166.72560303711364</c:v>
                </c:pt>
                <c:pt idx="7">
                  <c:v>249.08360732897532</c:v>
                </c:pt>
                <c:pt idx="8">
                  <c:v>151.45531463453679</c:v>
                </c:pt>
                <c:pt idx="9">
                  <c:v>114.49228606161229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JA!$M$133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dLbls>
            <c:dLbl>
              <c:idx val="0"/>
              <c:layout>
                <c:manualLayout>
                  <c:x val="-3.6659886264216998E-2"/>
                  <c:y val="-0.15916564250521947"/>
                </c:manualLayout>
              </c:layout>
              <c:tx>
                <c:rich>
                  <a:bodyPr/>
                  <a:lstStyle/>
                  <a:p>
                    <a:fld id="{55372431-0F12-4F61-B5D5-8FABC33FCCD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0D4-4030-A0F5-EDBE8B394ABF}"/>
                </c:ext>
              </c:extLst>
            </c:dLbl>
            <c:dLbl>
              <c:idx val="1"/>
              <c:layout>
                <c:manualLayout>
                  <c:x val="-3.402777777777783E-2"/>
                  <c:y val="-0.11278355058425256"/>
                </c:manualLayout>
              </c:layout>
              <c:tx>
                <c:rich>
                  <a:bodyPr/>
                  <a:lstStyle/>
                  <a:p>
                    <a:fld id="{3660F499-435D-4A2E-A28C-5CA09672B79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0D4-4030-A0F5-EDBE8B394ABF}"/>
                </c:ext>
              </c:extLst>
            </c:dLbl>
            <c:dLbl>
              <c:idx val="2"/>
              <c:layout>
                <c:manualLayout>
                  <c:x val="-2.775E-2"/>
                  <c:y val="-0.150218159764722"/>
                </c:manualLayout>
              </c:layout>
              <c:tx>
                <c:rich>
                  <a:bodyPr/>
                  <a:lstStyle/>
                  <a:p>
                    <a:fld id="{4D08F8DE-EEAD-4CC7-86C6-661CF59A258B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0D4-4030-A0F5-EDBE8B394ABF}"/>
                </c:ext>
              </c:extLst>
            </c:dLbl>
            <c:dLbl>
              <c:idx val="3"/>
              <c:layout>
                <c:manualLayout>
                  <c:x val="-2.7750000000000052E-2"/>
                  <c:y val="-0.10300179712037201"/>
                </c:manualLayout>
              </c:layout>
              <c:tx>
                <c:rich>
                  <a:bodyPr/>
                  <a:lstStyle/>
                  <a:p>
                    <a:fld id="{BBA53535-4E02-42E2-AEFD-9A4C544712D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0D4-4030-A0F5-EDBE8B394ABF}"/>
                </c:ext>
              </c:extLst>
            </c:dLbl>
            <c:dLbl>
              <c:idx val="4"/>
              <c:layout>
                <c:manualLayout>
                  <c:x val="-2.8472222222222222E-2"/>
                  <c:y val="-9.4066245994017833E-2"/>
                </c:manualLayout>
              </c:layout>
              <c:tx>
                <c:rich>
                  <a:bodyPr/>
                  <a:lstStyle/>
                  <a:p>
                    <a:fld id="{CB3D42EE-799B-4F5C-A15B-F3ECC216D0A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0D4-4030-A0F5-EDBE8B394AB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2A8C728-726F-452F-BEA0-23E0D5929A0D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0D4-4030-A0F5-EDBE8B394AB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B8B8B7F-E55C-4ABC-B847-0A111572609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0D4-4030-A0F5-EDBE8B394ABF}"/>
                </c:ext>
              </c:extLst>
            </c:dLbl>
            <c:dLbl>
              <c:idx val="7"/>
              <c:layout>
                <c:manualLayout>
                  <c:x val="-3.6805555555555661E-2"/>
                  <c:y val="-0.17361479050251546"/>
                </c:manualLayout>
              </c:layout>
              <c:tx>
                <c:rich>
                  <a:bodyPr/>
                  <a:lstStyle/>
                  <a:p>
                    <a:fld id="{22BDC4E3-979A-479F-94C6-474B1239885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0D4-4030-A0F5-EDBE8B394ABF}"/>
                </c:ext>
              </c:extLst>
            </c:dLbl>
            <c:dLbl>
              <c:idx val="8"/>
              <c:layout>
                <c:manualLayout>
                  <c:x val="-2.775E-2"/>
                  <c:y val="-0.12682152902692861"/>
                </c:manualLayout>
              </c:layout>
              <c:tx>
                <c:rich>
                  <a:bodyPr/>
                  <a:lstStyle/>
                  <a:p>
                    <a:fld id="{27B648EA-2BD3-488A-A57F-11A8711C3DFC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092-4465-AE9A-C23993CA79E3}"/>
                </c:ext>
              </c:extLst>
            </c:dLbl>
            <c:dLbl>
              <c:idx val="9"/>
              <c:layout>
                <c:manualLayout>
                  <c:x val="-3.6805555555555557E-2"/>
                  <c:y val="-0.13618018132204596"/>
                </c:manualLayout>
              </c:layout>
              <c:tx>
                <c:rich>
                  <a:bodyPr/>
                  <a:lstStyle/>
                  <a:p>
                    <a:fld id="{54A98871-8BEA-4D8A-B16B-DBCD5B1B1F1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092-4465-AE9A-C23993CA79E3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JA!$N$134:$W$134</c:f>
                <c:numCache>
                  <c:formatCode>General</c:formatCode>
                  <c:ptCount val="10"/>
                  <c:pt idx="0">
                    <c:v>12.220224635275809</c:v>
                  </c:pt>
                  <c:pt idx="1">
                    <c:v>18.544716589487514</c:v>
                  </c:pt>
                  <c:pt idx="2">
                    <c:v>14.529647258851851</c:v>
                  </c:pt>
                  <c:pt idx="3">
                    <c:v>52.429524186516112</c:v>
                  </c:pt>
                  <c:pt idx="4">
                    <c:v>11.718836373135385</c:v>
                  </c:pt>
                  <c:pt idx="5">
                    <c:v>22.622875072127165</c:v>
                  </c:pt>
                  <c:pt idx="6">
                    <c:v>19.178019186753534</c:v>
                  </c:pt>
                  <c:pt idx="7">
                    <c:v>24.136658296170488</c:v>
                  </c:pt>
                  <c:pt idx="8">
                    <c:v>43.281040344678722</c:v>
                  </c:pt>
                  <c:pt idx="9">
                    <c:v>26.42461645396348</c:v>
                  </c:pt>
                </c:numCache>
              </c:numRef>
            </c:plus>
            <c:minus>
              <c:numRef>
                <c:f>JA!$N$134:$W$134</c:f>
                <c:numCache>
                  <c:formatCode>General</c:formatCode>
                  <c:ptCount val="10"/>
                  <c:pt idx="0">
                    <c:v>12.220224635275809</c:v>
                  </c:pt>
                  <c:pt idx="1">
                    <c:v>18.544716589487514</c:v>
                  </c:pt>
                  <c:pt idx="2">
                    <c:v>14.529647258851851</c:v>
                  </c:pt>
                  <c:pt idx="3">
                    <c:v>52.429524186516112</c:v>
                  </c:pt>
                  <c:pt idx="4">
                    <c:v>11.718836373135385</c:v>
                  </c:pt>
                  <c:pt idx="5">
                    <c:v>22.622875072127165</c:v>
                  </c:pt>
                  <c:pt idx="6">
                    <c:v>19.178019186753534</c:v>
                  </c:pt>
                  <c:pt idx="7">
                    <c:v>24.136658296170488</c:v>
                  </c:pt>
                  <c:pt idx="8">
                    <c:v>43.281040344678722</c:v>
                  </c:pt>
                  <c:pt idx="9">
                    <c:v>26.42461645396348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JA!$N$130:$W$130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JA!$N$133:$W$133</c:f>
              <c:numCache>
                <c:formatCode>General</c:formatCode>
                <c:ptCount val="10"/>
                <c:pt idx="0">
                  <c:v>97.937130931136736</c:v>
                </c:pt>
                <c:pt idx="1">
                  <c:v>88.233074438775986</c:v>
                </c:pt>
                <c:pt idx="2">
                  <c:v>81.476052487585875</c:v>
                </c:pt>
                <c:pt idx="3">
                  <c:v>327.72901895209941</c:v>
                </c:pt>
                <c:pt idx="4">
                  <c:v>107.53113542089477</c:v>
                </c:pt>
                <c:pt idx="5">
                  <c:v>121.29021971865608</c:v>
                </c:pt>
                <c:pt idx="6">
                  <c:v>191.06028312037108</c:v>
                </c:pt>
                <c:pt idx="7">
                  <c:v>211.79429791432355</c:v>
                </c:pt>
                <c:pt idx="8">
                  <c:v>274.86215134990988</c:v>
                </c:pt>
                <c:pt idx="9">
                  <c:v>121.15936826029746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JA!$AC$139:$AC$148</c15:f>
                <c15:dlblRangeCache>
                  <c:ptCount val="10"/>
                  <c:pt idx="0">
                    <c:v>ns</c:v>
                  </c:pt>
                  <c:pt idx="1">
                    <c:v>ns</c:v>
                  </c:pt>
                  <c:pt idx="2">
                    <c:v>*</c:v>
                  </c:pt>
                  <c:pt idx="3">
                    <c:v>*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  <c:pt idx="8">
                    <c:v>*</c:v>
                  </c:pt>
                  <c:pt idx="9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JA (ng/g Dw)</a:t>
                </a:r>
              </a:p>
            </c:rich>
          </c:tx>
          <c:layout>
            <c:manualLayout>
              <c:xMode val="edge"/>
              <c:yMode val="edge"/>
              <c:x val="4.8806649168853897E-2"/>
              <c:y val="0.3099983567090851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OPDA!$M$5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OPDA!$N$6:$W$6</c:f>
                <c:numCache>
                  <c:formatCode>General</c:formatCode>
                  <c:ptCount val="10"/>
                  <c:pt idx="0">
                    <c:v>504.83957074763254</c:v>
                  </c:pt>
                  <c:pt idx="1">
                    <c:v>441.30441339691902</c:v>
                  </c:pt>
                  <c:pt idx="2">
                    <c:v>763.41141824832812</c:v>
                  </c:pt>
                  <c:pt idx="3">
                    <c:v>532.1014639305381</c:v>
                  </c:pt>
                  <c:pt idx="4">
                    <c:v>352.58819537122065</c:v>
                  </c:pt>
                  <c:pt idx="5">
                    <c:v>797.88950560324008</c:v>
                  </c:pt>
                  <c:pt idx="6">
                    <c:v>573.25154569551671</c:v>
                  </c:pt>
                  <c:pt idx="7">
                    <c:v>904.6478292194671</c:v>
                  </c:pt>
                  <c:pt idx="8">
                    <c:v>890.85086894779749</c:v>
                  </c:pt>
                  <c:pt idx="9">
                    <c:v>2324.3949067101803</c:v>
                  </c:pt>
                </c:numCache>
              </c:numRef>
            </c:plus>
            <c:minus>
              <c:numRef>
                <c:f>OPDA!$N$6:$W$6</c:f>
                <c:numCache>
                  <c:formatCode>General</c:formatCode>
                  <c:ptCount val="10"/>
                  <c:pt idx="0">
                    <c:v>504.83957074763254</c:v>
                  </c:pt>
                  <c:pt idx="1">
                    <c:v>441.30441339691902</c:v>
                  </c:pt>
                  <c:pt idx="2">
                    <c:v>763.41141824832812</c:v>
                  </c:pt>
                  <c:pt idx="3">
                    <c:v>532.1014639305381</c:v>
                  </c:pt>
                  <c:pt idx="4">
                    <c:v>352.58819537122065</c:v>
                  </c:pt>
                  <c:pt idx="5">
                    <c:v>797.88950560324008</c:v>
                  </c:pt>
                  <c:pt idx="6">
                    <c:v>573.25154569551671</c:v>
                  </c:pt>
                  <c:pt idx="7">
                    <c:v>904.6478292194671</c:v>
                  </c:pt>
                  <c:pt idx="8">
                    <c:v>890.85086894779749</c:v>
                  </c:pt>
                  <c:pt idx="9">
                    <c:v>2324.3949067101803</c:v>
                  </c:pt>
                </c:numCache>
              </c:numRef>
            </c:minus>
          </c:errBars>
          <c:cat>
            <c:strRef>
              <c:f>OPDA!$N$4:$W$4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OPDA!$N$5:$W$5</c:f>
              <c:numCache>
                <c:formatCode>General</c:formatCode>
                <c:ptCount val="10"/>
                <c:pt idx="0">
                  <c:v>3395.7689572144541</c:v>
                </c:pt>
                <c:pt idx="1">
                  <c:v>4224.666005213192</c:v>
                </c:pt>
                <c:pt idx="2">
                  <c:v>3800.6363811354981</c:v>
                </c:pt>
                <c:pt idx="3">
                  <c:v>3426.7614991337791</c:v>
                </c:pt>
                <c:pt idx="4">
                  <c:v>3747.1561968201718</c:v>
                </c:pt>
                <c:pt idx="5">
                  <c:v>6029.7976928628159</c:v>
                </c:pt>
                <c:pt idx="6">
                  <c:v>7534.3272821865694</c:v>
                </c:pt>
                <c:pt idx="7">
                  <c:v>5945.2069257418007</c:v>
                </c:pt>
                <c:pt idx="8">
                  <c:v>3874.061814116963</c:v>
                </c:pt>
                <c:pt idx="9">
                  <c:v>12668.214639382888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OPDA!$M$7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dLbls>
            <c:dLbl>
              <c:idx val="0"/>
              <c:layout>
                <c:manualLayout>
                  <c:x val="-3.6805555555555584E-2"/>
                  <c:y val="-6.0871171591355959E-2"/>
                </c:manualLayout>
              </c:layout>
              <c:tx>
                <c:rich>
                  <a:bodyPr/>
                  <a:lstStyle/>
                  <a:p>
                    <a:fld id="{A647E4CC-1845-4991-8352-CFE63C8D33B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0D4-4030-A0F5-EDBE8B394ABF}"/>
                </c:ext>
              </c:extLst>
            </c:dLbl>
            <c:dLbl>
              <c:idx val="1"/>
              <c:layout>
                <c:manualLayout>
                  <c:x val="-3.402777777777783E-2"/>
                  <c:y val="-9.3391496794607995E-2"/>
                </c:manualLayout>
              </c:layout>
              <c:tx>
                <c:rich>
                  <a:bodyPr/>
                  <a:lstStyle/>
                  <a:p>
                    <a:fld id="{F583EE98-FDE1-405D-A25A-86A3D30A11F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0D4-4030-A0F5-EDBE8B394ABF}"/>
                </c:ext>
              </c:extLst>
            </c:dLbl>
            <c:dLbl>
              <c:idx val="2"/>
              <c:layout>
                <c:manualLayout>
                  <c:x val="-3.402777777777783E-2"/>
                  <c:y val="-8.409997530796455E-2"/>
                </c:manualLayout>
              </c:layout>
              <c:tx>
                <c:rich>
                  <a:bodyPr/>
                  <a:lstStyle/>
                  <a:p>
                    <a:fld id="{659C3767-EB8A-44D6-9EFA-E003E18EF8E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0D4-4030-A0F5-EDBE8B394AB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9178B33-F1D5-41CE-B976-A251142941F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0D4-4030-A0F5-EDBE8B394ABF}"/>
                </c:ext>
              </c:extLst>
            </c:dLbl>
            <c:dLbl>
              <c:idx val="4"/>
              <c:layout>
                <c:manualLayout>
                  <c:x val="-3.4027777777777775E-2"/>
                  <c:y val="-9.8037257537929801E-2"/>
                </c:manualLayout>
              </c:layout>
              <c:tx>
                <c:rich>
                  <a:bodyPr/>
                  <a:lstStyle/>
                  <a:p>
                    <a:fld id="{A162089B-C96D-426D-88C1-F83E0DE2715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0D4-4030-A0F5-EDBE8B394ABF}"/>
                </c:ext>
              </c:extLst>
            </c:dLbl>
            <c:dLbl>
              <c:idx val="5"/>
              <c:layout>
                <c:manualLayout>
                  <c:x val="-3.6805555555555557E-2"/>
                  <c:y val="-0.12591182199786002"/>
                </c:manualLayout>
              </c:layout>
              <c:tx>
                <c:rich>
                  <a:bodyPr/>
                  <a:lstStyle/>
                  <a:p>
                    <a:fld id="{0CE424E9-E22B-4C40-9F81-712C224F1A0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0D4-4030-A0F5-EDBE8B394ABF}"/>
                </c:ext>
              </c:extLst>
            </c:dLbl>
            <c:dLbl>
              <c:idx val="6"/>
              <c:layout>
                <c:manualLayout>
                  <c:x val="-2.7750000000000101E-2"/>
                  <c:y val="-0.11662030051121661"/>
                </c:manualLayout>
              </c:layout>
              <c:tx>
                <c:rich>
                  <a:bodyPr/>
                  <a:lstStyle/>
                  <a:p>
                    <a:fld id="{084F8D3A-D71C-470A-9DBC-B675B1C2637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0D4-4030-A0F5-EDBE8B394ABF}"/>
                </c:ext>
              </c:extLst>
            </c:dLbl>
            <c:dLbl>
              <c:idx val="7"/>
              <c:layout>
                <c:manualLayout>
                  <c:x val="-3.4027777777777879E-2"/>
                  <c:y val="-0.11197453976789487"/>
                </c:manualLayout>
              </c:layout>
              <c:tx>
                <c:rich>
                  <a:bodyPr/>
                  <a:lstStyle/>
                  <a:p>
                    <a:fld id="{D69763E2-CEC8-4626-914B-B904D2850EC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0D4-4030-A0F5-EDBE8B394ABF}"/>
                </c:ext>
              </c:extLst>
            </c:dLbl>
            <c:dLbl>
              <c:idx val="8"/>
              <c:layout>
                <c:manualLayout>
                  <c:x val="-3.4027777777777879E-2"/>
                  <c:y val="-0.10268301828125151"/>
                </c:manualLayout>
              </c:layout>
              <c:tx>
                <c:rich>
                  <a:bodyPr/>
                  <a:lstStyle/>
                  <a:p>
                    <a:fld id="{7A8EF50A-C644-40B6-A380-F28C14E0228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177-4B9B-A553-D53C92EFCB24}"/>
                </c:ext>
              </c:extLst>
            </c:dLbl>
            <c:dLbl>
              <c:idx val="9"/>
              <c:layout>
                <c:manualLayout>
                  <c:x val="-3.6805457522952743E-2"/>
                  <c:y val="-0.30102603164214808"/>
                </c:manualLayout>
              </c:layout>
              <c:tx>
                <c:rich>
                  <a:bodyPr/>
                  <a:lstStyle/>
                  <a:p>
                    <a:fld id="{2E6DF67F-4B19-42B7-9417-B38A7E2A436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177-4B9B-A553-D53C92EFCB24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OPDA!$N$8:$W$8</c:f>
                <c:numCache>
                  <c:formatCode>General</c:formatCode>
                  <c:ptCount val="10"/>
                  <c:pt idx="0">
                    <c:v>355.18383452641103</c:v>
                  </c:pt>
                  <c:pt idx="1">
                    <c:v>759.75474217176532</c:v>
                  </c:pt>
                  <c:pt idx="2">
                    <c:v>415.52552015910942</c:v>
                  </c:pt>
                  <c:pt idx="3">
                    <c:v>445.53269269860544</c:v>
                  </c:pt>
                  <c:pt idx="4">
                    <c:v>430.78014597166646</c:v>
                  </c:pt>
                  <c:pt idx="5">
                    <c:v>465.1822915287097</c:v>
                  </c:pt>
                  <c:pt idx="6">
                    <c:v>1270.6849211888859</c:v>
                  </c:pt>
                  <c:pt idx="7">
                    <c:v>690.2705825261736</c:v>
                  </c:pt>
                  <c:pt idx="8">
                    <c:v>682.03721555448328</c:v>
                  </c:pt>
                  <c:pt idx="9">
                    <c:v>1020.1486089042849</c:v>
                  </c:pt>
                </c:numCache>
              </c:numRef>
            </c:plus>
            <c:minus>
              <c:numRef>
                <c:f>OPDA!$N$8:$W$8</c:f>
                <c:numCache>
                  <c:formatCode>General</c:formatCode>
                  <c:ptCount val="10"/>
                  <c:pt idx="0">
                    <c:v>355.18383452641103</c:v>
                  </c:pt>
                  <c:pt idx="1">
                    <c:v>759.75474217176532</c:v>
                  </c:pt>
                  <c:pt idx="2">
                    <c:v>415.52552015910942</c:v>
                  </c:pt>
                  <c:pt idx="3">
                    <c:v>445.53269269860544</c:v>
                  </c:pt>
                  <c:pt idx="4">
                    <c:v>430.78014597166646</c:v>
                  </c:pt>
                  <c:pt idx="5">
                    <c:v>465.1822915287097</c:v>
                  </c:pt>
                  <c:pt idx="6">
                    <c:v>1270.6849211888859</c:v>
                  </c:pt>
                  <c:pt idx="7">
                    <c:v>690.2705825261736</c:v>
                  </c:pt>
                  <c:pt idx="8">
                    <c:v>682.03721555448328</c:v>
                  </c:pt>
                  <c:pt idx="9">
                    <c:v>1020.1486089042849</c:v>
                  </c:pt>
                </c:numCache>
              </c:numRef>
            </c:minus>
          </c:errBars>
          <c:cat>
            <c:strRef>
              <c:f>OPDA!$N$4:$W$4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OPDA!$N$7:$W$7</c:f>
              <c:numCache>
                <c:formatCode>General</c:formatCode>
                <c:ptCount val="10"/>
                <c:pt idx="0">
                  <c:v>4224.666005213192</c:v>
                </c:pt>
                <c:pt idx="1">
                  <c:v>4538.3722051890936</c:v>
                </c:pt>
                <c:pt idx="2">
                  <c:v>3565.4804978422148</c:v>
                </c:pt>
                <c:pt idx="3">
                  <c:v>5251.8832405933781</c:v>
                </c:pt>
                <c:pt idx="4">
                  <c:v>4283.7601656471006</c:v>
                </c:pt>
                <c:pt idx="5">
                  <c:v>4803.3795881950255</c:v>
                </c:pt>
                <c:pt idx="6">
                  <c:v>11902.53367953343</c:v>
                </c:pt>
                <c:pt idx="7">
                  <c:v>5609.7446652459475</c:v>
                </c:pt>
                <c:pt idx="8">
                  <c:v>5134.565727864815</c:v>
                </c:pt>
                <c:pt idx="9">
                  <c:v>8850.311469965689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OPDA!$T$13:$T$22</c15:f>
                <c15:dlblRangeCache>
                  <c:ptCount val="10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*</c:v>
                  </c:pt>
                  <c:pt idx="4">
                    <c:v>ns</c:v>
                  </c:pt>
                  <c:pt idx="5">
                    <c:v>ns</c:v>
                  </c:pt>
                  <c:pt idx="6">
                    <c:v>*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OPDA (ng/g Dw)</a:t>
                </a:r>
              </a:p>
            </c:rich>
          </c:tx>
          <c:layout>
            <c:manualLayout>
              <c:xMode val="edge"/>
              <c:yMode val="edge"/>
              <c:x val="2.9380523160974909E-2"/>
              <c:y val="0.2538464578935745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OPDA!$M$131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layout>
                <c:manualLayout>
                  <c:x val="-3.1250000000000049E-2"/>
                  <c:y val="-0.101172212476712"/>
                </c:manualLayout>
              </c:layout>
              <c:tx>
                <c:rich>
                  <a:bodyPr/>
                  <a:lstStyle/>
                  <a:p>
                    <a:fld id="{55A3476F-18A7-41EF-83D6-EE7524A3D49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69E-4AC8-A0A8-895AE0CF3E93}"/>
                </c:ext>
              </c:extLst>
            </c:dLbl>
            <c:dLbl>
              <c:idx val="1"/>
              <c:layout>
                <c:manualLayout>
                  <c:x val="-3.402777777777783E-2"/>
                  <c:y val="-6.9130368495622804E-2"/>
                </c:manualLayout>
              </c:layout>
              <c:tx>
                <c:rich>
                  <a:bodyPr/>
                  <a:lstStyle/>
                  <a:p>
                    <a:fld id="{6FE459C9-5FE4-442C-8F9F-4C580C6418B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69E-4AC8-A0A8-895AE0CF3E93}"/>
                </c:ext>
              </c:extLst>
            </c:dLbl>
            <c:dLbl>
              <c:idx val="2"/>
              <c:layout>
                <c:manualLayout>
                  <c:x val="-3.125E-2"/>
                  <c:y val="-8.2862587344661037E-2"/>
                </c:manualLayout>
              </c:layout>
              <c:tx>
                <c:rich>
                  <a:bodyPr/>
                  <a:lstStyle/>
                  <a:p>
                    <a:fld id="{E4A4B889-0928-4FC5-9D06-DFCAB37731E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69E-4AC8-A0A8-895AE0CF3E93}"/>
                </c:ext>
              </c:extLst>
            </c:dLbl>
            <c:dLbl>
              <c:idx val="3"/>
              <c:layout>
                <c:manualLayout>
                  <c:x val="-3.402777777777783E-2"/>
                  <c:y val="-0.16983330672190311"/>
                </c:manualLayout>
              </c:layout>
              <c:tx>
                <c:rich>
                  <a:bodyPr/>
                  <a:lstStyle/>
                  <a:p>
                    <a:fld id="{A7CE1BBD-5C09-4D68-A996-1EAE9ABBEF2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69E-4AC8-A0A8-895AE0CF3E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A16AAC9-9B7D-4F95-A5E2-928FBAED4AB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69E-4AC8-A0A8-895AE0CF3E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589D3BA-FCF4-4A59-9EB0-9F0BEB7BED7A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69E-4AC8-A0A8-895AE0CF3E93}"/>
                </c:ext>
              </c:extLst>
            </c:dLbl>
            <c:dLbl>
              <c:idx val="6"/>
              <c:layout>
                <c:manualLayout>
                  <c:x val="-3.4027777777777775E-2"/>
                  <c:y val="-0.10574961875972473"/>
                </c:manualLayout>
              </c:layout>
              <c:tx>
                <c:rich>
                  <a:bodyPr/>
                  <a:lstStyle/>
                  <a:p>
                    <a:fld id="{026A99C7-ED43-47B1-B861-A4E8DA0000F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69E-4AC8-A0A8-895AE0CF3E93}"/>
                </c:ext>
              </c:extLst>
            </c:dLbl>
            <c:dLbl>
              <c:idx val="7"/>
              <c:layout>
                <c:manualLayout>
                  <c:x val="-2.7750013002219E-2"/>
                  <c:y val="-0.2612137910076805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fld id="{4F91217F-5307-4464-826E-2A7D4B4C6B99}" type="CELLRANGE">
                      <a:rPr lang="en-US"/>
                      <a:pPr>
                        <a:defRPr/>
                      </a:pPr>
                      <a:t>[CELLRANGE]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768314444787771E-2"/>
                      <c:h val="6.36234481336130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69E-4AC8-A0A8-895AE0CF3E93}"/>
                </c:ext>
              </c:extLst>
            </c:dLbl>
            <c:dLbl>
              <c:idx val="8"/>
              <c:layout>
                <c:manualLayout>
                  <c:x val="-2.775E-2"/>
                  <c:y val="-0.12405924389177574"/>
                </c:manualLayout>
              </c:layout>
              <c:tx>
                <c:rich>
                  <a:bodyPr/>
                  <a:lstStyle/>
                  <a:p>
                    <a:fld id="{A1093ABF-C265-4CF1-951C-76B22579770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69E-4AC8-A0A8-895AE0CF3E93}"/>
                </c:ext>
              </c:extLst>
            </c:dLbl>
            <c:dLbl>
              <c:idx val="9"/>
              <c:layout>
                <c:manualLayout>
                  <c:x val="-3.6805555555555557E-2"/>
                  <c:y val="-9.2017399910686512E-2"/>
                </c:manualLayout>
              </c:layout>
              <c:tx>
                <c:rich>
                  <a:bodyPr/>
                  <a:lstStyle/>
                  <a:p>
                    <a:fld id="{26CAED08-A23D-4DE0-A50E-BC86168636F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69E-4AC8-A0A8-895AE0CF3E93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OPDA!$N$132:$W$132</c:f>
                <c:numCache>
                  <c:formatCode>General</c:formatCode>
                  <c:ptCount val="10"/>
                  <c:pt idx="0">
                    <c:v>435.82180766577056</c:v>
                  </c:pt>
                  <c:pt idx="1">
                    <c:v>160.18864670019065</c:v>
                  </c:pt>
                  <c:pt idx="2">
                    <c:v>157.12507635638204</c:v>
                  </c:pt>
                  <c:pt idx="3">
                    <c:v>251.40973449573875</c:v>
                  </c:pt>
                  <c:pt idx="4">
                    <c:v>600.37337905275729</c:v>
                  </c:pt>
                  <c:pt idx="5">
                    <c:v>366.24146816049546</c:v>
                  </c:pt>
                  <c:pt idx="6">
                    <c:v>809.33501814441831</c:v>
                  </c:pt>
                  <c:pt idx="7">
                    <c:v>478.60742202412973</c:v>
                  </c:pt>
                  <c:pt idx="8">
                    <c:v>646.85451566155803</c:v>
                  </c:pt>
                  <c:pt idx="9">
                    <c:v>471.06529012784779</c:v>
                  </c:pt>
                </c:numCache>
              </c:numRef>
            </c:plus>
            <c:minus>
              <c:numRef>
                <c:f>OPDA!$N$132:$W$132</c:f>
                <c:numCache>
                  <c:formatCode>General</c:formatCode>
                  <c:ptCount val="10"/>
                  <c:pt idx="0">
                    <c:v>435.82180766577056</c:v>
                  </c:pt>
                  <c:pt idx="1">
                    <c:v>160.18864670019065</c:v>
                  </c:pt>
                  <c:pt idx="2">
                    <c:v>157.12507635638204</c:v>
                  </c:pt>
                  <c:pt idx="3">
                    <c:v>251.40973449573875</c:v>
                  </c:pt>
                  <c:pt idx="4">
                    <c:v>600.37337905275729</c:v>
                  </c:pt>
                  <c:pt idx="5">
                    <c:v>366.24146816049546</c:v>
                  </c:pt>
                  <c:pt idx="6">
                    <c:v>809.33501814441831</c:v>
                  </c:pt>
                  <c:pt idx="7">
                    <c:v>478.60742202412973</c:v>
                  </c:pt>
                  <c:pt idx="8">
                    <c:v>646.85451566155803</c:v>
                  </c:pt>
                  <c:pt idx="9">
                    <c:v>471.06529012784779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OPDA!$N$130:$W$130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OPDA!$N$131:$W$131</c:f>
              <c:numCache>
                <c:formatCode>General</c:formatCode>
                <c:ptCount val="10"/>
                <c:pt idx="0">
                  <c:v>2432.8340034188859</c:v>
                </c:pt>
                <c:pt idx="1">
                  <c:v>2120.7263677440183</c:v>
                </c:pt>
                <c:pt idx="2">
                  <c:v>2626.4923910010843</c:v>
                </c:pt>
                <c:pt idx="3">
                  <c:v>2607.8352215274399</c:v>
                </c:pt>
                <c:pt idx="4">
                  <c:v>3475.0473001356695</c:v>
                </c:pt>
                <c:pt idx="5">
                  <c:v>5025.8666126868593</c:v>
                </c:pt>
                <c:pt idx="6">
                  <c:v>4099.1602534741587</c:v>
                </c:pt>
                <c:pt idx="7">
                  <c:v>4793.0436584492827</c:v>
                </c:pt>
                <c:pt idx="8">
                  <c:v>5025.8072022324404</c:v>
                </c:pt>
                <c:pt idx="9">
                  <c:v>4072.0866097412159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OPDA!$AC$139:$AC$148</c15:f>
                <c15:dlblRangeCache>
                  <c:ptCount val="10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**</c:v>
                  </c:pt>
                  <c:pt idx="5">
                    <c:v>*</c:v>
                  </c:pt>
                  <c:pt idx="6">
                    <c:v>ns</c:v>
                  </c:pt>
                  <c:pt idx="7">
                    <c:v>*</c:v>
                  </c:pt>
                  <c:pt idx="8">
                    <c:v>*</c:v>
                  </c:pt>
                  <c:pt idx="9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OPDA!$M$133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OPDA!$N$134:$W$134</c:f>
                <c:numCache>
                  <c:formatCode>General</c:formatCode>
                  <c:ptCount val="10"/>
                  <c:pt idx="0">
                    <c:v>580.40645570774859</c:v>
                  </c:pt>
                  <c:pt idx="1">
                    <c:v>203.16884437916752</c:v>
                  </c:pt>
                  <c:pt idx="2">
                    <c:v>298.61060388889126</c:v>
                  </c:pt>
                  <c:pt idx="3">
                    <c:v>617.43502822341293</c:v>
                  </c:pt>
                  <c:pt idx="4">
                    <c:v>170.41113393205404</c:v>
                  </c:pt>
                  <c:pt idx="5">
                    <c:v>419.15235747775802</c:v>
                  </c:pt>
                  <c:pt idx="6">
                    <c:v>478.20338973712347</c:v>
                  </c:pt>
                  <c:pt idx="7">
                    <c:v>654.13774355421515</c:v>
                  </c:pt>
                  <c:pt idx="8">
                    <c:v>241.52560886567716</c:v>
                  </c:pt>
                  <c:pt idx="9">
                    <c:v>645.12058162948415</c:v>
                  </c:pt>
                </c:numCache>
              </c:numRef>
            </c:plus>
            <c:minus>
              <c:numRef>
                <c:f>OPDA!$N$134:$W$134</c:f>
                <c:numCache>
                  <c:formatCode>General</c:formatCode>
                  <c:ptCount val="10"/>
                  <c:pt idx="0">
                    <c:v>580.40645570774859</c:v>
                  </c:pt>
                  <c:pt idx="1">
                    <c:v>203.16884437916752</c:v>
                  </c:pt>
                  <c:pt idx="2">
                    <c:v>298.61060388889126</c:v>
                  </c:pt>
                  <c:pt idx="3">
                    <c:v>617.43502822341293</c:v>
                  </c:pt>
                  <c:pt idx="4">
                    <c:v>170.41113393205404</c:v>
                  </c:pt>
                  <c:pt idx="5">
                    <c:v>419.15235747775802</c:v>
                  </c:pt>
                  <c:pt idx="6">
                    <c:v>478.20338973712347</c:v>
                  </c:pt>
                  <c:pt idx="7">
                    <c:v>654.13774355421515</c:v>
                  </c:pt>
                  <c:pt idx="8">
                    <c:v>241.52560886567716</c:v>
                  </c:pt>
                  <c:pt idx="9">
                    <c:v>645.12058162948415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OPDA!$N$130:$W$130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OPDA!$N$133:$W$133</c:f>
              <c:numCache>
                <c:formatCode>General</c:formatCode>
                <c:ptCount val="10"/>
                <c:pt idx="0">
                  <c:v>2120.7263677440183</c:v>
                </c:pt>
                <c:pt idx="1">
                  <c:v>2326.0001370687246</c:v>
                </c:pt>
                <c:pt idx="2">
                  <c:v>2645.8347594727634</c:v>
                </c:pt>
                <c:pt idx="3">
                  <c:v>3236.9148583917299</c:v>
                </c:pt>
                <c:pt idx="4">
                  <c:v>1701.0308364994296</c:v>
                </c:pt>
                <c:pt idx="5">
                  <c:v>3481.6791872052604</c:v>
                </c:pt>
                <c:pt idx="6">
                  <c:v>4095.6737604739033</c:v>
                </c:pt>
                <c:pt idx="7">
                  <c:v>6914.9904267747652</c:v>
                </c:pt>
                <c:pt idx="8">
                  <c:v>3347.3919989853234</c:v>
                </c:pt>
                <c:pt idx="9">
                  <c:v>3641.5254694995406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OPDA (ng/g Dw)</a:t>
                </a:r>
              </a:p>
            </c:rich>
          </c:tx>
          <c:layout>
            <c:manualLayout>
              <c:xMode val="edge"/>
              <c:yMode val="edge"/>
              <c:x val="4.8806659989294468E-2"/>
              <c:y val="0.25384649675186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'JA-ILE'!$M$131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'JA-ILE'!$N$130:$W$130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'JA-ILE'!$N$131:$W$131</c:f>
              <c:numCache>
                <c:formatCode>General</c:formatCode>
                <c:ptCount val="10"/>
                <c:pt idx="0">
                  <c:v>11.961071381646866</c:v>
                </c:pt>
                <c:pt idx="1">
                  <c:v>15.482137575731747</c:v>
                </c:pt>
                <c:pt idx="2">
                  <c:v>38.47847357784741</c:v>
                </c:pt>
                <c:pt idx="3">
                  <c:v>39.044817746562117</c:v>
                </c:pt>
                <c:pt idx="4">
                  <c:v>2.0449897750511252</c:v>
                </c:pt>
                <c:pt idx="5">
                  <c:v>35.413151303230684</c:v>
                </c:pt>
                <c:pt idx="6">
                  <c:v>37.21943559364869</c:v>
                </c:pt>
                <c:pt idx="7">
                  <c:v>105.1057305394059</c:v>
                </c:pt>
                <c:pt idx="8">
                  <c:v>57.45423399822463</c:v>
                </c:pt>
                <c:pt idx="9">
                  <c:v>26.842440468703519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5E-4AC9-B7AC-A6A561840C68}"/>
            </c:ext>
          </c:extLst>
        </c:ser>
        <c:ser>
          <c:idx val="2"/>
          <c:order val="1"/>
          <c:tx>
            <c:strRef>
              <c:f>'JA-ILE'!$M$133</c:f>
              <c:strCache>
                <c:ptCount val="1"/>
                <c:pt idx="0">
                  <c:v>Bm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'JA-ILE'!$N$130:$W$130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'JA-ILE'!$N$133:$W$133</c:f>
              <c:numCache>
                <c:formatCode>General</c:formatCode>
                <c:ptCount val="10"/>
                <c:pt idx="0">
                  <c:v>15.482137575731747</c:v>
                </c:pt>
                <c:pt idx="1">
                  <c:v>8.0094537815126046</c:v>
                </c:pt>
                <c:pt idx="2">
                  <c:v>2.2371364653243853</c:v>
                </c:pt>
                <c:pt idx="3">
                  <c:v>83.596700748044086</c:v>
                </c:pt>
                <c:pt idx="4">
                  <c:v>26.443242445642682</c:v>
                </c:pt>
                <c:pt idx="5">
                  <c:v>28.44309108070718</c:v>
                </c:pt>
                <c:pt idx="6">
                  <c:v>66.168781699459259</c:v>
                </c:pt>
                <c:pt idx="7">
                  <c:v>82.266157035091567</c:v>
                </c:pt>
                <c:pt idx="8">
                  <c:v>101.03955468272984</c:v>
                </c:pt>
                <c:pt idx="9">
                  <c:v>28.931793548502526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5E-4AC9-B7AC-A6A561840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45055"/>
        <c:axId val="199941695"/>
      </c:lineChart>
      <c:catAx>
        <c:axId val="19994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941695"/>
        <c:crosses val="autoZero"/>
        <c:auto val="1"/>
        <c:lblAlgn val="ctr"/>
        <c:lblOffset val="100"/>
        <c:noMultiLvlLbl val="0"/>
      </c:catAx>
      <c:valAx>
        <c:axId val="19994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94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'JA-ILE'!$M$5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4D4276D-634D-43CB-89DD-C5076D89C3A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90A-4D02-AA14-7470B01660B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8F7F19F-B200-4C8A-B741-AD62ED87771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90A-4D02-AA14-7470B01660B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EB4369A-0976-4126-B9E4-F9A2079681E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90A-4D02-AA14-7470B01660BE}"/>
                </c:ext>
              </c:extLst>
            </c:dLbl>
            <c:dLbl>
              <c:idx val="3"/>
              <c:layout>
                <c:manualLayout>
                  <c:x val="-3.3967554462713358E-2"/>
                  <c:y val="-0.12505622410875253"/>
                </c:manualLayout>
              </c:layout>
              <c:tx>
                <c:rich>
                  <a:bodyPr/>
                  <a:lstStyle/>
                  <a:p>
                    <a:fld id="{6777C372-79DD-44CB-92BB-F208B09AAE0B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90A-4D02-AA14-7470B01660BE}"/>
                </c:ext>
              </c:extLst>
            </c:dLbl>
            <c:dLbl>
              <c:idx val="4"/>
              <c:layout>
                <c:manualLayout>
                  <c:x val="-3.3967554462713309E-2"/>
                  <c:y val="-9.7371073304611463E-2"/>
                </c:manualLayout>
              </c:layout>
              <c:tx>
                <c:rich>
                  <a:bodyPr/>
                  <a:lstStyle/>
                  <a:p>
                    <a:fld id="{BFA1DDB2-219E-4F7A-80E8-6B66B7C49E25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90A-4D02-AA14-7470B01660BE}"/>
                </c:ext>
              </c:extLst>
            </c:dLbl>
            <c:dLbl>
              <c:idx val="5"/>
              <c:layout>
                <c:manualLayout>
                  <c:x val="-3.1194692873920384E-2"/>
                  <c:y val="-8.8142689703231247E-2"/>
                </c:manualLayout>
              </c:layout>
              <c:tx>
                <c:rich>
                  <a:bodyPr/>
                  <a:lstStyle/>
                  <a:p>
                    <a:fld id="{66A109A4-29B5-4249-B5A3-3631446F36F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90A-4D02-AA14-7470B01660BE}"/>
                </c:ext>
              </c:extLst>
            </c:dLbl>
            <c:dLbl>
              <c:idx val="6"/>
              <c:layout>
                <c:manualLayout>
                  <c:x val="-3.3967554462713309E-2"/>
                  <c:y val="-8.8142689703231247E-2"/>
                </c:manualLayout>
              </c:layout>
              <c:tx>
                <c:rich>
                  <a:bodyPr/>
                  <a:lstStyle/>
                  <a:p>
                    <a:fld id="{E3C24042-2525-465F-9CD5-B16A5BDFA11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90A-4D02-AA14-7470B01660B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5AAB54B-E1AA-4AA1-B44B-D1FC1E256F7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90A-4D02-AA14-7470B01660BE}"/>
                </c:ext>
              </c:extLst>
            </c:dLbl>
            <c:dLbl>
              <c:idx val="8"/>
              <c:layout>
                <c:manualLayout>
                  <c:x val="-3.3967554462713413E-2"/>
                  <c:y val="-0.12044203230806234"/>
                </c:manualLayout>
              </c:layout>
              <c:tx>
                <c:rich>
                  <a:bodyPr/>
                  <a:lstStyle/>
                  <a:p>
                    <a:fld id="{2344FA5C-D95D-4A1A-A0B4-9E2CA2C1877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90A-4D02-AA14-7470B01660BE}"/>
                </c:ext>
              </c:extLst>
            </c:dLbl>
            <c:dLbl>
              <c:idx val="9"/>
              <c:layout>
                <c:manualLayout>
                  <c:x val="-3.3967554462713309E-2"/>
                  <c:y val="-0.21734006012255583"/>
                </c:manualLayout>
              </c:layout>
              <c:tx>
                <c:rich>
                  <a:bodyPr/>
                  <a:lstStyle/>
                  <a:p>
                    <a:fld id="{2D1BF508-CE6C-4567-848D-E1C50B145C8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90A-4D02-AA14-7470B01660BE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'JA-ILE'!$N$6:$W$6</c:f>
                <c:numCache>
                  <c:formatCode>General</c:formatCode>
                  <c:ptCount val="10"/>
                  <c:pt idx="0">
                    <c:v>1.5482306525559535</c:v>
                  </c:pt>
                  <c:pt idx="1">
                    <c:v>0.6885340222900157</c:v>
                  </c:pt>
                  <c:pt idx="2">
                    <c:v>0.45105942931377874</c:v>
                  </c:pt>
                  <c:pt idx="3">
                    <c:v>0.62821136248795595</c:v>
                  </c:pt>
                  <c:pt idx="4">
                    <c:v>0.29301520007298848</c:v>
                  </c:pt>
                  <c:pt idx="5">
                    <c:v>0.39133177049595441</c:v>
                  </c:pt>
                  <c:pt idx="6">
                    <c:v>0.46678259170527031</c:v>
                  </c:pt>
                  <c:pt idx="7">
                    <c:v>0.78541449971589705</c:v>
                  </c:pt>
                  <c:pt idx="8">
                    <c:v>0.44361661929763541</c:v>
                  </c:pt>
                  <c:pt idx="9">
                    <c:v>1.0147491841042964</c:v>
                  </c:pt>
                </c:numCache>
              </c:numRef>
            </c:plus>
            <c:minus>
              <c:numRef>
                <c:f>'JA-ILE'!$N$6:$W$6</c:f>
                <c:numCache>
                  <c:formatCode>General</c:formatCode>
                  <c:ptCount val="10"/>
                  <c:pt idx="0">
                    <c:v>1.5482306525559535</c:v>
                  </c:pt>
                  <c:pt idx="1">
                    <c:v>0.6885340222900157</c:v>
                  </c:pt>
                  <c:pt idx="2">
                    <c:v>0.45105942931377874</c:v>
                  </c:pt>
                  <c:pt idx="3">
                    <c:v>0.62821136248795595</c:v>
                  </c:pt>
                  <c:pt idx="4">
                    <c:v>0.29301520007298848</c:v>
                  </c:pt>
                  <c:pt idx="5">
                    <c:v>0.39133177049595441</c:v>
                  </c:pt>
                  <c:pt idx="6">
                    <c:v>0.46678259170527031</c:v>
                  </c:pt>
                  <c:pt idx="7">
                    <c:v>0.78541449971589705</c:v>
                  </c:pt>
                  <c:pt idx="8">
                    <c:v>0.44361661929763541</c:v>
                  </c:pt>
                  <c:pt idx="9">
                    <c:v>1.0147491841042964</c:v>
                  </c:pt>
                </c:numCache>
              </c:numRef>
            </c:minus>
          </c:errBars>
          <c:cat>
            <c:strRef>
              <c:f>JA!$N$4:$W$4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'JA-ILE'!$N$5:$W$5</c:f>
              <c:numCache>
                <c:formatCode>General</c:formatCode>
                <c:ptCount val="10"/>
                <c:pt idx="0">
                  <c:v>17.933091751045474</c:v>
                </c:pt>
                <c:pt idx="1">
                  <c:v>15.20793618312436</c:v>
                </c:pt>
                <c:pt idx="2">
                  <c:v>15.972941165611651</c:v>
                </c:pt>
                <c:pt idx="3">
                  <c:v>16.434647926817092</c:v>
                </c:pt>
                <c:pt idx="4">
                  <c:v>17.038384152816391</c:v>
                </c:pt>
                <c:pt idx="5">
                  <c:v>2.9167984754786143</c:v>
                </c:pt>
                <c:pt idx="6">
                  <c:v>4.5826915418243495</c:v>
                </c:pt>
                <c:pt idx="7">
                  <c:v>8.0728394587030312</c:v>
                </c:pt>
                <c:pt idx="8">
                  <c:v>4.2964125137919682</c:v>
                </c:pt>
                <c:pt idx="9">
                  <c:v>5.5226164379342642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'JA-ILE'!$AG$6:$AG$15</c15:f>
                <c15:dlblRangeCache>
                  <c:ptCount val="10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F90A-4D02-AA14-7470B01660BE}"/>
            </c:ext>
          </c:extLst>
        </c:ser>
        <c:ser>
          <c:idx val="1"/>
          <c:order val="1"/>
          <c:tx>
            <c:strRef>
              <c:f>'JA-ILE'!$M$7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'JA-ILE'!$N$8:$W$8</c:f>
                <c:numCache>
                  <c:formatCode>General</c:formatCode>
                  <c:ptCount val="10"/>
                  <c:pt idx="0">
                    <c:v>0.7961903851257095</c:v>
                  </c:pt>
                  <c:pt idx="1">
                    <c:v>0.80537018774058422</c:v>
                  </c:pt>
                  <c:pt idx="2">
                    <c:v>0.63572117430236808</c:v>
                  </c:pt>
                  <c:pt idx="3">
                    <c:v>2.0754171990989705</c:v>
                  </c:pt>
                  <c:pt idx="4">
                    <c:v>2.5165255340201544</c:v>
                  </c:pt>
                  <c:pt idx="5">
                    <c:v>0.42257923399543251</c:v>
                  </c:pt>
                  <c:pt idx="6">
                    <c:v>1.0759134377974593</c:v>
                  </c:pt>
                  <c:pt idx="7">
                    <c:v>0.70241034769454003</c:v>
                  </c:pt>
                  <c:pt idx="8">
                    <c:v>1.5268918382181025</c:v>
                  </c:pt>
                  <c:pt idx="9">
                    <c:v>2.7095956849773728</c:v>
                  </c:pt>
                </c:numCache>
              </c:numRef>
            </c:plus>
            <c:minus>
              <c:numRef>
                <c:f>'JA-ILE'!$N$8:$W$8</c:f>
                <c:numCache>
                  <c:formatCode>General</c:formatCode>
                  <c:ptCount val="10"/>
                  <c:pt idx="0">
                    <c:v>0.7961903851257095</c:v>
                  </c:pt>
                  <c:pt idx="1">
                    <c:v>0.80537018774058422</c:v>
                  </c:pt>
                  <c:pt idx="2">
                    <c:v>0.63572117430236808</c:v>
                  </c:pt>
                  <c:pt idx="3">
                    <c:v>2.0754171990989705</c:v>
                  </c:pt>
                  <c:pt idx="4">
                    <c:v>2.5165255340201544</c:v>
                  </c:pt>
                  <c:pt idx="5">
                    <c:v>0.42257923399543251</c:v>
                  </c:pt>
                  <c:pt idx="6">
                    <c:v>1.0759134377974593</c:v>
                  </c:pt>
                  <c:pt idx="7">
                    <c:v>0.70241034769454003</c:v>
                  </c:pt>
                  <c:pt idx="8">
                    <c:v>1.5268918382181025</c:v>
                  </c:pt>
                  <c:pt idx="9">
                    <c:v>2.7095956849773728</c:v>
                  </c:pt>
                </c:numCache>
              </c:numRef>
            </c:minus>
          </c:errBars>
          <c:cat>
            <c:strRef>
              <c:f>JA!$N$4:$W$4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'JA-ILE'!$N$7:$W$7</c:f>
              <c:numCache>
                <c:formatCode>General</c:formatCode>
                <c:ptCount val="10"/>
                <c:pt idx="0">
                  <c:v>15.20793618312436</c:v>
                </c:pt>
                <c:pt idx="1">
                  <c:v>16.336587529661536</c:v>
                </c:pt>
                <c:pt idx="2">
                  <c:v>15.907506344078774</c:v>
                </c:pt>
                <c:pt idx="3">
                  <c:v>17.873958001665091</c:v>
                </c:pt>
                <c:pt idx="4">
                  <c:v>17.693929905412116</c:v>
                </c:pt>
                <c:pt idx="5">
                  <c:v>3.1394878901529899</c:v>
                </c:pt>
                <c:pt idx="6">
                  <c:v>5.9156649145472899</c:v>
                </c:pt>
                <c:pt idx="7">
                  <c:v>6.9700470251857141</c:v>
                </c:pt>
                <c:pt idx="8">
                  <c:v>6.2869493302115957</c:v>
                </c:pt>
                <c:pt idx="9">
                  <c:v>10.296148377094314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90A-4D02-AA14-7470B0166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JA-Ile (ng/gdw)</a:t>
                </a:r>
              </a:p>
            </c:rich>
          </c:tx>
          <c:layout>
            <c:manualLayout>
              <c:xMode val="edge"/>
              <c:yMode val="edge"/>
              <c:x val="7.6469242246145194E-2"/>
              <c:y val="0.2963978156850469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5650969076288624"/>
          <c:y val="0.88866925136810859"/>
          <c:w val="0.3019213258321306"/>
          <c:h val="8.148539347117649E-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84799326997"/>
          <c:y val="0.10031637413875626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IAA!$M$131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IAA!$N$134:$W$134</c:f>
                <c:numCache>
                  <c:formatCode>General</c:formatCode>
                  <c:ptCount val="10"/>
                  <c:pt idx="0">
                    <c:v>33.982218483224123</c:v>
                  </c:pt>
                  <c:pt idx="1">
                    <c:v>20.812739301698777</c:v>
                  </c:pt>
                  <c:pt idx="2">
                    <c:v>33.082417967612095</c:v>
                  </c:pt>
                  <c:pt idx="3">
                    <c:v>21.845162482209901</c:v>
                  </c:pt>
                  <c:pt idx="4">
                    <c:v>36.873485841916754</c:v>
                  </c:pt>
                  <c:pt idx="5">
                    <c:v>10.934066669523622</c:v>
                  </c:pt>
                  <c:pt idx="6">
                    <c:v>30.513404030667289</c:v>
                  </c:pt>
                  <c:pt idx="7">
                    <c:v>23.246349359808804</c:v>
                  </c:pt>
                  <c:pt idx="8">
                    <c:v>24.72178507988944</c:v>
                  </c:pt>
                  <c:pt idx="9">
                    <c:v>19.343353326911142</c:v>
                  </c:pt>
                </c:numCache>
              </c:numRef>
            </c:plus>
            <c:minus>
              <c:numRef>
                <c:f>IAA!$N$134:$W$134</c:f>
                <c:numCache>
                  <c:formatCode>General</c:formatCode>
                  <c:ptCount val="10"/>
                  <c:pt idx="0">
                    <c:v>33.982218483224123</c:v>
                  </c:pt>
                  <c:pt idx="1">
                    <c:v>20.812739301698777</c:v>
                  </c:pt>
                  <c:pt idx="2">
                    <c:v>33.082417967612095</c:v>
                  </c:pt>
                  <c:pt idx="3">
                    <c:v>21.845162482209901</c:v>
                  </c:pt>
                  <c:pt idx="4">
                    <c:v>36.873485841916754</c:v>
                  </c:pt>
                  <c:pt idx="5">
                    <c:v>10.934066669523622</c:v>
                  </c:pt>
                  <c:pt idx="6">
                    <c:v>30.513404030667289</c:v>
                  </c:pt>
                  <c:pt idx="7">
                    <c:v>23.246349359808804</c:v>
                  </c:pt>
                  <c:pt idx="8">
                    <c:v>24.72178507988944</c:v>
                  </c:pt>
                  <c:pt idx="9">
                    <c:v>19.343353326911142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IAA!$N$130:$W$130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IAA!$N$131:$W$131</c:f>
              <c:numCache>
                <c:formatCode>General</c:formatCode>
                <c:ptCount val="10"/>
                <c:pt idx="0">
                  <c:v>337.33852979045963</c:v>
                </c:pt>
                <c:pt idx="1">
                  <c:v>343.83185540492218</c:v>
                </c:pt>
                <c:pt idx="2">
                  <c:v>311.99651455548729</c:v>
                </c:pt>
                <c:pt idx="3">
                  <c:v>331.35645203023915</c:v>
                </c:pt>
                <c:pt idx="4">
                  <c:v>315.43599231982898</c:v>
                </c:pt>
                <c:pt idx="5">
                  <c:v>240.35163921792875</c:v>
                </c:pt>
                <c:pt idx="6">
                  <c:v>279.74192193218209</c:v>
                </c:pt>
                <c:pt idx="7">
                  <c:v>369.92967775059748</c:v>
                </c:pt>
                <c:pt idx="8">
                  <c:v>337.97805958933162</c:v>
                </c:pt>
                <c:pt idx="9">
                  <c:v>259.80404528473792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IAA!$M$133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dLbls>
            <c:dLbl>
              <c:idx val="0"/>
              <c:layout>
                <c:manualLayout>
                  <c:x val="-3.6642791103800434E-2"/>
                  <c:y val="-0.12187166342661737"/>
                </c:manualLayout>
              </c:layout>
              <c:tx>
                <c:rich>
                  <a:bodyPr/>
                  <a:lstStyle/>
                  <a:p>
                    <a:fld id="{48C83CC6-94DD-4BD4-915D-DC4250C80CD5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0D4-4030-A0F5-EDBE8B394ABF}"/>
                </c:ext>
              </c:extLst>
            </c:dLbl>
            <c:dLbl>
              <c:idx val="1"/>
              <c:layout>
                <c:manualLayout>
                  <c:x val="-3.664279110380049E-2"/>
                  <c:y val="-8.0206075156264184E-2"/>
                </c:manualLayout>
              </c:layout>
              <c:tx>
                <c:rich>
                  <a:bodyPr/>
                  <a:lstStyle/>
                  <a:p>
                    <a:fld id="{BE1866D6-7D31-412F-A700-BAE0D3DC114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0D4-4030-A0F5-EDBE8B394AB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D8E97F5-29A0-4BCB-93ED-A072656A166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0D4-4030-A0F5-EDBE8B394AB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BD84E07-25B5-47D7-AB43-64FF8EBA8775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0D4-4030-A0F5-EDBE8B394ABF}"/>
                </c:ext>
              </c:extLst>
            </c:dLbl>
            <c:dLbl>
              <c:idx val="4"/>
              <c:layout>
                <c:manualLayout>
                  <c:x val="-3.6642791103800434E-2"/>
                  <c:y val="-7.5576565348447158E-2"/>
                </c:manualLayout>
              </c:layout>
              <c:tx>
                <c:rich>
                  <a:bodyPr/>
                  <a:lstStyle/>
                  <a:p>
                    <a:fld id="{0971850F-9065-425C-B08B-481D4709CF3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0D4-4030-A0F5-EDBE8B394AB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8303E03-EB1A-4008-A86B-1345765AA76B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0D4-4030-A0F5-EDBE8B394ABF}"/>
                </c:ext>
              </c:extLst>
            </c:dLbl>
            <c:dLbl>
              <c:idx val="6"/>
              <c:layout>
                <c:manualLayout>
                  <c:x val="-3.6642791103800539E-2"/>
                  <c:y val="-7.5576565348447158E-2"/>
                </c:manualLayout>
              </c:layout>
              <c:tx>
                <c:rich>
                  <a:bodyPr/>
                  <a:lstStyle/>
                  <a:p>
                    <a:fld id="{EEAAAE6F-5C4C-4F6B-AD1C-5D83BE6447B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0D4-4030-A0F5-EDBE8B394ABF}"/>
                </c:ext>
              </c:extLst>
            </c:dLbl>
            <c:dLbl>
              <c:idx val="7"/>
              <c:layout>
                <c:manualLayout>
                  <c:x val="-3.6642791103800539E-2"/>
                  <c:y val="-0.13113068304225139"/>
                </c:manualLayout>
              </c:layout>
              <c:tx>
                <c:rich>
                  <a:bodyPr/>
                  <a:lstStyle/>
                  <a:p>
                    <a:fld id="{A3C66DD4-2C3C-402B-BCF8-D312E341C79C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0D4-4030-A0F5-EDBE8B394ABF}"/>
                </c:ext>
              </c:extLst>
            </c:dLbl>
            <c:dLbl>
              <c:idx val="8"/>
              <c:layout>
                <c:manualLayout>
                  <c:x val="-3.6642791103800434E-2"/>
                  <c:y val="-6.6317545732813121E-2"/>
                </c:manualLayout>
              </c:layout>
              <c:tx>
                <c:rich>
                  <a:bodyPr/>
                  <a:lstStyle/>
                  <a:p>
                    <a:fld id="{C66DCF32-E95A-4FFE-8490-6CE073FDE98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050-4B43-953D-644EDB813793}"/>
                </c:ext>
              </c:extLst>
            </c:dLbl>
            <c:dLbl>
              <c:idx val="9"/>
              <c:layout>
                <c:manualLayout>
                  <c:x val="-3.6642791103800434E-2"/>
                  <c:y val="-8.9465094771898221E-2"/>
                </c:manualLayout>
              </c:layout>
              <c:tx>
                <c:rich>
                  <a:bodyPr/>
                  <a:lstStyle/>
                  <a:p>
                    <a:fld id="{65C3B953-FF91-4A84-A888-85EC75D0675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050-4B43-953D-644EDB813793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IAA!$N$132:$W$132</c:f>
                <c:numCache>
                  <c:formatCode>General</c:formatCode>
                  <c:ptCount val="10"/>
                  <c:pt idx="0">
                    <c:v>58.11518000272082</c:v>
                  </c:pt>
                  <c:pt idx="1">
                    <c:v>20.384302923474859</c:v>
                  </c:pt>
                  <c:pt idx="2">
                    <c:v>11.296821112645988</c:v>
                  </c:pt>
                  <c:pt idx="3">
                    <c:v>23.58302570793607</c:v>
                  </c:pt>
                  <c:pt idx="4">
                    <c:v>21.180972879395313</c:v>
                  </c:pt>
                  <c:pt idx="5">
                    <c:v>19.039163254247018</c:v>
                  </c:pt>
                  <c:pt idx="6">
                    <c:v>34.488095273187334</c:v>
                  </c:pt>
                  <c:pt idx="7">
                    <c:v>30.942210529823129</c:v>
                  </c:pt>
                  <c:pt idx="8">
                    <c:v>28.630203980914541</c:v>
                  </c:pt>
                  <c:pt idx="9">
                    <c:v>44.09280820979334</c:v>
                  </c:pt>
                </c:numCache>
              </c:numRef>
            </c:plus>
            <c:minus>
              <c:numRef>
                <c:f>IAA!$N$132:$W$132</c:f>
                <c:numCache>
                  <c:formatCode>General</c:formatCode>
                  <c:ptCount val="10"/>
                  <c:pt idx="0">
                    <c:v>58.11518000272082</c:v>
                  </c:pt>
                  <c:pt idx="1">
                    <c:v>20.384302923474859</c:v>
                  </c:pt>
                  <c:pt idx="2">
                    <c:v>11.296821112645988</c:v>
                  </c:pt>
                  <c:pt idx="3">
                    <c:v>23.58302570793607</c:v>
                  </c:pt>
                  <c:pt idx="4">
                    <c:v>21.180972879395313</c:v>
                  </c:pt>
                  <c:pt idx="5">
                    <c:v>19.039163254247018</c:v>
                  </c:pt>
                  <c:pt idx="6">
                    <c:v>34.488095273187334</c:v>
                  </c:pt>
                  <c:pt idx="7">
                    <c:v>30.942210529823129</c:v>
                  </c:pt>
                  <c:pt idx="8">
                    <c:v>28.630203980914541</c:v>
                  </c:pt>
                  <c:pt idx="9">
                    <c:v>44.09280820979334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IAA!$N$130:$W$130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IAA!$N$133:$W$133</c:f>
              <c:numCache>
                <c:formatCode>General</c:formatCode>
                <c:ptCount val="10"/>
                <c:pt idx="0">
                  <c:v>343.83185540492218</c:v>
                </c:pt>
                <c:pt idx="1">
                  <c:v>328.44392238979998</c:v>
                </c:pt>
                <c:pt idx="2">
                  <c:v>335.70600688712972</c:v>
                </c:pt>
                <c:pt idx="3">
                  <c:v>412.64853479678703</c:v>
                </c:pt>
                <c:pt idx="4">
                  <c:v>321.13105409676353</c:v>
                </c:pt>
                <c:pt idx="5">
                  <c:v>254.21138867602312</c:v>
                </c:pt>
                <c:pt idx="6">
                  <c:v>288.76734199262961</c:v>
                </c:pt>
                <c:pt idx="7">
                  <c:v>325.4908983471243</c:v>
                </c:pt>
                <c:pt idx="8">
                  <c:v>356.53593277189583</c:v>
                </c:pt>
                <c:pt idx="9">
                  <c:v>251.32564961864125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IAA!$AC$138:$AC$147</c15:f>
                <c15:dlblRangeCache>
                  <c:ptCount val="10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IAA (ng/g Dw)</a:t>
                </a:r>
              </a:p>
            </c:rich>
          </c:tx>
          <c:layout>
            <c:manualLayout>
              <c:xMode val="edge"/>
              <c:yMode val="edge"/>
              <c:x val="5.9917760279965003E-2"/>
              <c:y val="0.277165568048205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  <c:majorUnit val="100"/>
        <c:minorUnit val="50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IAA!$M$5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IAA!$N$6:$W$6</c:f>
                <c:numCache>
                  <c:formatCode>General</c:formatCode>
                  <c:ptCount val="10"/>
                  <c:pt idx="0">
                    <c:v>5.6182334148286746</c:v>
                  </c:pt>
                  <c:pt idx="1">
                    <c:v>3.6491607651350924</c:v>
                  </c:pt>
                  <c:pt idx="2">
                    <c:v>11.56512489838145</c:v>
                  </c:pt>
                  <c:pt idx="3">
                    <c:v>7.7857756084930614</c:v>
                  </c:pt>
                  <c:pt idx="4">
                    <c:v>7.8339102551283535</c:v>
                  </c:pt>
                  <c:pt idx="5">
                    <c:v>8.0356979366606147</c:v>
                  </c:pt>
                  <c:pt idx="6">
                    <c:v>7.7964191225674897</c:v>
                  </c:pt>
                  <c:pt idx="7">
                    <c:v>5.4487808721454245</c:v>
                  </c:pt>
                  <c:pt idx="8">
                    <c:v>3.8931325432520643</c:v>
                  </c:pt>
                  <c:pt idx="9">
                    <c:v>4.0956311252307573</c:v>
                  </c:pt>
                </c:numCache>
              </c:numRef>
            </c:plus>
            <c:minus>
              <c:numRef>
                <c:f>IAA!$N$6:$W$6</c:f>
                <c:numCache>
                  <c:formatCode>General</c:formatCode>
                  <c:ptCount val="10"/>
                  <c:pt idx="0">
                    <c:v>5.6182334148286746</c:v>
                  </c:pt>
                  <c:pt idx="1">
                    <c:v>3.6491607651350924</c:v>
                  </c:pt>
                  <c:pt idx="2">
                    <c:v>11.56512489838145</c:v>
                  </c:pt>
                  <c:pt idx="3">
                    <c:v>7.7857756084930614</c:v>
                  </c:pt>
                  <c:pt idx="4">
                    <c:v>7.8339102551283535</c:v>
                  </c:pt>
                  <c:pt idx="5">
                    <c:v>8.0356979366606147</c:v>
                  </c:pt>
                  <c:pt idx="6">
                    <c:v>7.7964191225674897</c:v>
                  </c:pt>
                  <c:pt idx="7">
                    <c:v>5.4487808721454245</c:v>
                  </c:pt>
                  <c:pt idx="8">
                    <c:v>3.8931325432520643</c:v>
                  </c:pt>
                  <c:pt idx="9">
                    <c:v>4.0956311252307573</c:v>
                  </c:pt>
                </c:numCache>
              </c:numRef>
            </c:minus>
          </c:errBars>
          <c:cat>
            <c:strRef>
              <c:f>IAA!$N$4:$W$4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IAA!$N$5:$W$5</c:f>
              <c:numCache>
                <c:formatCode>General</c:formatCode>
                <c:ptCount val="10"/>
                <c:pt idx="0">
                  <c:v>135.69797005955357</c:v>
                </c:pt>
                <c:pt idx="1">
                  <c:v>121.03239365317616</c:v>
                </c:pt>
                <c:pt idx="2">
                  <c:v>139.95461797867944</c:v>
                </c:pt>
                <c:pt idx="3">
                  <c:v>139.15508317833883</c:v>
                </c:pt>
                <c:pt idx="4">
                  <c:v>161.88684894842581</c:v>
                </c:pt>
                <c:pt idx="5">
                  <c:v>112.46287403692484</c:v>
                </c:pt>
                <c:pt idx="6">
                  <c:v>112.42230187326159</c:v>
                </c:pt>
                <c:pt idx="7">
                  <c:v>107.15199513061539</c:v>
                </c:pt>
                <c:pt idx="8">
                  <c:v>95.907464568796627</c:v>
                </c:pt>
                <c:pt idx="9">
                  <c:v>111.47066941778604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IAA!$M$7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dLbls>
            <c:dLbl>
              <c:idx val="0"/>
              <c:layout>
                <c:manualLayout>
                  <c:x val="-3.4326889028221341E-2"/>
                  <c:y val="-9.6275806573289491E-2"/>
                </c:manualLayout>
              </c:layout>
              <c:tx>
                <c:rich>
                  <a:bodyPr/>
                  <a:lstStyle/>
                  <a:p>
                    <a:fld id="{66B38716-5CE6-46C2-83B6-B75F2FEC758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0D4-4030-A0F5-EDBE8B394AB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7FB38EF-CB40-4C47-8DFA-A59A47AE25EA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0D4-4030-A0F5-EDBE8B394ABF}"/>
                </c:ext>
              </c:extLst>
            </c:dLbl>
            <c:dLbl>
              <c:idx val="2"/>
              <c:layout>
                <c:manualLayout>
                  <c:x val="-3.3694262066964027E-2"/>
                  <c:y val="-0.10083809619605634"/>
                </c:manualLayout>
              </c:layout>
              <c:tx>
                <c:rich>
                  <a:bodyPr/>
                  <a:lstStyle/>
                  <a:p>
                    <a:fld id="{64B3B160-3F7A-4AE0-BED2-EADD478E538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0D4-4030-A0F5-EDBE8B394AB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9E695B3-D909-434A-8F12-64E076C48D77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0D4-4030-A0F5-EDBE8B394AB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/>
                    </a:pPr>
                    <a:fld id="{2A46CEC9-B027-4202-8077-204889996EAE}" type="CELLRANGE">
                      <a:rPr lang="en-US"/>
                      <a:pPr>
                        <a:defRPr/>
                      </a:pPr>
                      <a:t>[CELLRANGE]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637972128461604E-2"/>
                      <c:h val="0.1378041376733759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0D4-4030-A0F5-EDBE8B394AB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DF420E9-F223-4EB4-88D3-D0FF21CD386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0D4-4030-A0F5-EDBE8B394AB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10A7ACF-8F08-4333-B37F-587EBB1B2AA5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0D4-4030-A0F5-EDBE8B394AB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CB55B9C-FFBB-4B92-85A4-4A6B21030DB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0D4-4030-A0F5-EDBE8B394AB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B0AF6BF-691F-4AB2-B3DD-1DB3D7E2E8E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894-42E2-ACAC-9E26605DC8C0}"/>
                </c:ext>
              </c:extLst>
            </c:dLbl>
            <c:dLbl>
              <c:idx val="9"/>
              <c:layout>
                <c:manualLayout>
                  <c:x val="-3.4326889028221515E-2"/>
                  <c:y val="-0.13733641317819154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fld id="{E3E9FCFD-38D4-4427-98BC-A232D6AC91CD}" type="CELLRANGE">
                      <a:rPr lang="en-US"/>
                      <a:pPr>
                        <a:defRPr/>
                      </a:pPr>
                      <a:t>[CELLRANGE]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3898810007244563E-2"/>
                      <c:h val="0.1241172688050752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894-42E2-ACAC-9E26605DC8C0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IAA!$N$8:$W$8</c:f>
                <c:numCache>
                  <c:formatCode>General</c:formatCode>
                  <c:ptCount val="10"/>
                  <c:pt idx="0">
                    <c:v>5.8166956774622385</c:v>
                  </c:pt>
                  <c:pt idx="1">
                    <c:v>12.068312580650922</c:v>
                  </c:pt>
                  <c:pt idx="2">
                    <c:v>20.157769399866638</c:v>
                  </c:pt>
                  <c:pt idx="3">
                    <c:v>6.6672760783060561</c:v>
                  </c:pt>
                  <c:pt idx="4">
                    <c:v>8.6358052523901758</c:v>
                  </c:pt>
                  <c:pt idx="5">
                    <c:v>6.3955324402167486</c:v>
                  </c:pt>
                  <c:pt idx="6">
                    <c:v>7.5094480609447665</c:v>
                  </c:pt>
                  <c:pt idx="7">
                    <c:v>6.0693961311528053</c:v>
                  </c:pt>
                  <c:pt idx="8">
                    <c:v>5.3020215087846951</c:v>
                  </c:pt>
                  <c:pt idx="9">
                    <c:v>4.3328794211865489</c:v>
                  </c:pt>
                </c:numCache>
              </c:numRef>
            </c:plus>
            <c:minus>
              <c:numRef>
                <c:f>IAA!$N$8:$W$8</c:f>
                <c:numCache>
                  <c:formatCode>General</c:formatCode>
                  <c:ptCount val="10"/>
                  <c:pt idx="0">
                    <c:v>5.8166956774622385</c:v>
                  </c:pt>
                  <c:pt idx="1">
                    <c:v>12.068312580650922</c:v>
                  </c:pt>
                  <c:pt idx="2">
                    <c:v>20.157769399866638</c:v>
                  </c:pt>
                  <c:pt idx="3">
                    <c:v>6.6672760783060561</c:v>
                  </c:pt>
                  <c:pt idx="4">
                    <c:v>8.6358052523901758</c:v>
                  </c:pt>
                  <c:pt idx="5">
                    <c:v>6.3955324402167486</c:v>
                  </c:pt>
                  <c:pt idx="6">
                    <c:v>7.5094480609447665</c:v>
                  </c:pt>
                  <c:pt idx="7">
                    <c:v>6.0693961311528053</c:v>
                  </c:pt>
                  <c:pt idx="8">
                    <c:v>5.3020215087846951</c:v>
                  </c:pt>
                  <c:pt idx="9">
                    <c:v>4.3328794211865489</c:v>
                  </c:pt>
                </c:numCache>
              </c:numRef>
            </c:minus>
          </c:errBars>
          <c:cat>
            <c:strRef>
              <c:f>IAA!$N$4:$W$4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IAA!$N$7:$W$7</c:f>
              <c:numCache>
                <c:formatCode>General</c:formatCode>
                <c:ptCount val="10"/>
                <c:pt idx="0">
                  <c:v>121.03239365317616</c:v>
                </c:pt>
                <c:pt idx="1">
                  <c:v>115.48999753458958</c:v>
                </c:pt>
                <c:pt idx="2">
                  <c:v>182.32783158953819</c:v>
                </c:pt>
                <c:pt idx="3">
                  <c:v>175.4707794105428</c:v>
                </c:pt>
                <c:pt idx="4">
                  <c:v>151.72923522526676</c:v>
                </c:pt>
                <c:pt idx="5">
                  <c:v>128.3824239030431</c:v>
                </c:pt>
                <c:pt idx="6">
                  <c:v>126.94611521576087</c:v>
                </c:pt>
                <c:pt idx="7">
                  <c:v>128.50102490434122</c:v>
                </c:pt>
                <c:pt idx="8">
                  <c:v>99.373418046786185</c:v>
                </c:pt>
                <c:pt idx="9">
                  <c:v>89.360275913338754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IAA!$AE$14:$AE$23</c15:f>
                <c15:dlblRangeCache>
                  <c:ptCount val="10"/>
                  <c:pt idx="0">
                    <c:v>**</c:v>
                  </c:pt>
                  <c:pt idx="1">
                    <c:v>ns</c:v>
                  </c:pt>
                  <c:pt idx="2">
                    <c:v>ns</c:v>
                  </c:pt>
                  <c:pt idx="3">
                    <c:v>**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*</c:v>
                  </c:pt>
                  <c:pt idx="8">
                    <c:v>ns</c:v>
                  </c:pt>
                  <c:pt idx="9">
                    <c:v>*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IAA (ng/g Dw)</a:t>
                </a:r>
              </a:p>
            </c:rich>
          </c:tx>
          <c:layout>
            <c:manualLayout>
              <c:xMode val="edge"/>
              <c:yMode val="edge"/>
              <c:x val="6.5334669451692598E-2"/>
              <c:y val="0.2863684741769846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Título del gráfico</a:t>
            </a:r>
          </a:p>
        </c:rich>
      </c:tx>
      <c:layout>
        <c:manualLayout>
          <c:xMode val="edge"/>
          <c:yMode val="edge"/>
          <c:x val="0.44492654404616883"/>
          <c:y val="4.828730260663985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I3CA!$M$131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ptCount val="0"/>
              </c:numLit>
            </c:plus>
            <c:minus>
              <c:numLit>
                <c:ptCount val="0"/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I3CA!$N$130:$W$130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I3CA!$N$131:$W$131</c:f>
              <c:numCache>
                <c:formatCode>General</c:formatCode>
                <c:ptCount val="10"/>
                <c:pt idx="0">
                  <c:v>25.073712882817386</c:v>
                </c:pt>
                <c:pt idx="1">
                  <c:v>21.789004553547773</c:v>
                </c:pt>
                <c:pt idx="2">
                  <c:v>67.165248468868796</c:v>
                </c:pt>
                <c:pt idx="3">
                  <c:v>29.03262492126446</c:v>
                </c:pt>
                <c:pt idx="4">
                  <c:v>30.042148709073654</c:v>
                </c:pt>
                <c:pt idx="5">
                  <c:v>72.88739578029309</c:v>
                </c:pt>
                <c:pt idx="6">
                  <c:v>218.87611463004745</c:v>
                </c:pt>
                <c:pt idx="7">
                  <c:v>209.63720947112105</c:v>
                </c:pt>
                <c:pt idx="8">
                  <c:v>16.203703703703706</c:v>
                </c:pt>
                <c:pt idx="9">
                  <c:v>41.011421351868286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I3CA!$M$133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Agregar texto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0D4-4030-A0F5-EDBE8B394AB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Agregar texto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0D4-4030-A0F5-EDBE8B394AB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Agregar texto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0D4-4030-A0F5-EDBE8B394AB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Agregar texto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0D4-4030-A0F5-EDBE8B394ABF}"/>
                </c:ext>
              </c:extLst>
            </c:dLbl>
            <c:dLbl>
              <c:idx val="4"/>
              <c:layout>
                <c:manualLayout>
                  <c:x val="-4.2395881256432399E-2"/>
                  <c:y val="-7.126299810025767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Agregar texto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0D4-4030-A0F5-EDBE8B394AB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Agregar texto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0D4-4030-A0F5-EDBE8B394AB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Agregar texto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0D4-4030-A0F5-EDBE8B394AB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Agregar texto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D0D4-4030-A0F5-EDBE8B394A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44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Lit>
                <c:ptCount val="0"/>
              </c:numLit>
            </c:plus>
            <c:minus>
              <c:numLit>
                <c:ptCount val="0"/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I3CA!$N$130:$W$130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I3CA!$N$133:$W$133</c:f>
              <c:numCache>
                <c:formatCode>General</c:formatCode>
                <c:ptCount val="10"/>
                <c:pt idx="0">
                  <c:v>21.789004553547773</c:v>
                </c:pt>
                <c:pt idx="1">
                  <c:v>34.207622442916566</c:v>
                </c:pt>
                <c:pt idx="2">
                  <c:v>31.497025710977308</c:v>
                </c:pt>
                <c:pt idx="3">
                  <c:v>34.493884846600302</c:v>
                </c:pt>
                <c:pt idx="4">
                  <c:v>22.150848544057425</c:v>
                </c:pt>
                <c:pt idx="5">
                  <c:v>106.90319102691383</c:v>
                </c:pt>
                <c:pt idx="6">
                  <c:v>152.8117940683849</c:v>
                </c:pt>
                <c:pt idx="7">
                  <c:v>51.256242331338605</c:v>
                </c:pt>
                <c:pt idx="8">
                  <c:v>30.1155150927829</c:v>
                </c:pt>
                <c:pt idx="9">
                  <c:v>70.759479731899901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Título</a:t>
                </a:r>
              </a:p>
            </c:rich>
          </c:tx>
          <c:layout>
            <c:manualLayout>
              <c:xMode val="edge"/>
              <c:yMode val="edge"/>
              <c:x val="4.8806659989294468E-2"/>
              <c:y val="0.25384649675186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5650969076288624"/>
          <c:y val="0.88866925136810859"/>
          <c:w val="0.3019213258321306"/>
          <c:h val="8.1485393471176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38191069055290616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I3CA!$M$5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933C0B9-925E-44A6-9221-61FF05623D2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432-46BC-841E-E95E699AB6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245B06E-19A0-420F-A2C1-908038E148DA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432-46BC-841E-E95E699AB6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37CD1B-0303-467D-8A2E-84D15DE4166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432-46BC-841E-E95E699AB6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70EADD5-C844-450E-B6CD-92609649A3A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432-46BC-841E-E95E699AB6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A19796B-C3C8-4D83-AA60-FB1E188861F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432-46BC-841E-E95E699AB6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D2C306E-BFC0-418E-B076-E8DFE9516A6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432-46BC-841E-E95E699AB64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C153C33-1BD0-43E9-9A95-11D8D5C1E838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432-46BC-841E-E95E699AB64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0E30EFD-17D6-45C0-A25F-74597601861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432-46BC-841E-E95E699AB64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DAC67D9-A5F2-49E4-91FE-878D1E6F2099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432-46BC-841E-E95E699AB64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06B81AB-60D6-4D39-8C13-E8C292FA47A1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432-46BC-841E-E95E699AB649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I3CA!$N$6:$W$6</c:f>
                <c:numCache>
                  <c:formatCode>General</c:formatCode>
                  <c:ptCount val="10"/>
                  <c:pt idx="0">
                    <c:v>30.753767271653391</c:v>
                  </c:pt>
                  <c:pt idx="1">
                    <c:v>31.82212222788263</c:v>
                  </c:pt>
                  <c:pt idx="2">
                    <c:v>16.532300370410734</c:v>
                  </c:pt>
                  <c:pt idx="3">
                    <c:v>13.477715414507093</c:v>
                  </c:pt>
                  <c:pt idx="4">
                    <c:v>26.054138115851341</c:v>
                  </c:pt>
                  <c:pt idx="5">
                    <c:v>29.234921216652165</c:v>
                  </c:pt>
                  <c:pt idx="6">
                    <c:v>31.04374602632786</c:v>
                  </c:pt>
                  <c:pt idx="7">
                    <c:v>45.772738651998488</c:v>
                  </c:pt>
                  <c:pt idx="8">
                    <c:v>4.8677595641789626</c:v>
                  </c:pt>
                  <c:pt idx="9">
                    <c:v>32.165075388301624</c:v>
                  </c:pt>
                </c:numCache>
              </c:numRef>
            </c:plus>
            <c:minus>
              <c:numRef>
                <c:f>I3CA!$N$6:$W$6</c:f>
                <c:numCache>
                  <c:formatCode>General</c:formatCode>
                  <c:ptCount val="10"/>
                  <c:pt idx="0">
                    <c:v>30.753767271653391</c:v>
                  </c:pt>
                  <c:pt idx="1">
                    <c:v>31.82212222788263</c:v>
                  </c:pt>
                  <c:pt idx="2">
                    <c:v>16.532300370410734</c:v>
                  </c:pt>
                  <c:pt idx="3">
                    <c:v>13.477715414507093</c:v>
                  </c:pt>
                  <c:pt idx="4">
                    <c:v>26.054138115851341</c:v>
                  </c:pt>
                  <c:pt idx="5">
                    <c:v>29.234921216652165</c:v>
                  </c:pt>
                  <c:pt idx="6">
                    <c:v>31.04374602632786</c:v>
                  </c:pt>
                  <c:pt idx="7">
                    <c:v>45.772738651998488</c:v>
                  </c:pt>
                  <c:pt idx="8">
                    <c:v>4.8677595641789626</c:v>
                  </c:pt>
                  <c:pt idx="9">
                    <c:v>32.165075388301624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I3CA!$N$4:$W$4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I3CA!$N$5:$W$5</c:f>
              <c:numCache>
                <c:formatCode>General</c:formatCode>
                <c:ptCount val="10"/>
                <c:pt idx="0">
                  <c:v>106.5274399732164</c:v>
                </c:pt>
                <c:pt idx="1">
                  <c:v>139.01978293544133</c:v>
                </c:pt>
                <c:pt idx="2">
                  <c:v>129.88033723718897</c:v>
                </c:pt>
                <c:pt idx="3">
                  <c:v>56.190070554265098</c:v>
                </c:pt>
                <c:pt idx="4">
                  <c:v>98.452983934487023</c:v>
                </c:pt>
                <c:pt idx="5">
                  <c:v>243.57883088081732</c:v>
                </c:pt>
                <c:pt idx="6">
                  <c:v>234.19331513504119</c:v>
                </c:pt>
                <c:pt idx="7">
                  <c:v>226.2321546893952</c:v>
                </c:pt>
                <c:pt idx="8">
                  <c:v>118.2454540256644</c:v>
                </c:pt>
                <c:pt idx="9">
                  <c:v>219.0288088813887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I3CA!$AE$11:$AE$20</c15:f>
                <c15:dlblRangeCache>
                  <c:ptCount val="10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I3CA!$M$7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I3CA!$N$8:$W$8</c:f>
                <c:numCache>
                  <c:formatCode>General</c:formatCode>
                  <c:ptCount val="10"/>
                  <c:pt idx="0">
                    <c:v>16.314853558517679</c:v>
                  </c:pt>
                  <c:pt idx="1">
                    <c:v>23.854104708565206</c:v>
                  </c:pt>
                  <c:pt idx="2">
                    <c:v>13.473236084336692</c:v>
                  </c:pt>
                  <c:pt idx="3">
                    <c:v>18.017698520487688</c:v>
                  </c:pt>
                  <c:pt idx="4">
                    <c:v>23.800316811609097</c:v>
                  </c:pt>
                  <c:pt idx="5">
                    <c:v>45.192815305434927</c:v>
                  </c:pt>
                  <c:pt idx="6">
                    <c:v>36.760740888616759</c:v>
                  </c:pt>
                  <c:pt idx="7">
                    <c:v>5.9479376937380328</c:v>
                  </c:pt>
                  <c:pt idx="8">
                    <c:v>35.243586638059909</c:v>
                  </c:pt>
                  <c:pt idx="9">
                    <c:v>54.615865635216757</c:v>
                  </c:pt>
                </c:numCache>
              </c:numRef>
            </c:plus>
            <c:minus>
              <c:numRef>
                <c:f>I3CA!$N$8:$W$8</c:f>
                <c:numCache>
                  <c:formatCode>General</c:formatCode>
                  <c:ptCount val="10"/>
                  <c:pt idx="0">
                    <c:v>16.314853558517679</c:v>
                  </c:pt>
                  <c:pt idx="1">
                    <c:v>23.854104708565206</c:v>
                  </c:pt>
                  <c:pt idx="2">
                    <c:v>13.473236084336692</c:v>
                  </c:pt>
                  <c:pt idx="3">
                    <c:v>18.017698520487688</c:v>
                  </c:pt>
                  <c:pt idx="4">
                    <c:v>23.800316811609097</c:v>
                  </c:pt>
                  <c:pt idx="5">
                    <c:v>45.192815305434927</c:v>
                  </c:pt>
                  <c:pt idx="6">
                    <c:v>36.760740888616759</c:v>
                  </c:pt>
                  <c:pt idx="7">
                    <c:v>5.9479376937380328</c:v>
                  </c:pt>
                  <c:pt idx="8">
                    <c:v>35.243586638059909</c:v>
                  </c:pt>
                  <c:pt idx="9">
                    <c:v>54.615865635216757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I3CA!$N$4:$W$4</c:f>
              <c:strCache>
                <c:ptCount val="10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  <c:pt idx="8">
                  <c:v>9d</c:v>
                </c:pt>
                <c:pt idx="9">
                  <c:v>10d</c:v>
                </c:pt>
              </c:strCache>
            </c:strRef>
          </c:cat>
          <c:val>
            <c:numRef>
              <c:f>I3CA!$N$7:$W$7</c:f>
              <c:numCache>
                <c:formatCode>General</c:formatCode>
                <c:ptCount val="10"/>
                <c:pt idx="0">
                  <c:v>139.01978293544133</c:v>
                </c:pt>
                <c:pt idx="1">
                  <c:v>97.962228144865719</c:v>
                </c:pt>
                <c:pt idx="2">
                  <c:v>101.6222690967649</c:v>
                </c:pt>
                <c:pt idx="3">
                  <c:v>66.065714455101386</c:v>
                </c:pt>
                <c:pt idx="4">
                  <c:v>116.74905036227091</c:v>
                </c:pt>
                <c:pt idx="5">
                  <c:v>217.01938121907483</c:v>
                </c:pt>
                <c:pt idx="6">
                  <c:v>230.87596679339012</c:v>
                </c:pt>
                <c:pt idx="7">
                  <c:v>140.66664205237052</c:v>
                </c:pt>
                <c:pt idx="8">
                  <c:v>177.28142518341147</c:v>
                </c:pt>
                <c:pt idx="9">
                  <c:v>208.86444485176347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chemeClr val="tx1"/>
                    </a:solidFill>
                  </a:rPr>
                  <a:t>I3CA</a:t>
                </a:r>
                <a:r>
                  <a:rPr lang="es-ES" baseline="0">
                    <a:solidFill>
                      <a:schemeClr val="tx1"/>
                    </a:solidFill>
                  </a:rPr>
                  <a:t> (ng/g DW)</a:t>
                </a:r>
                <a:endParaRPr lang="es-E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1490984570022686"/>
              <c:y val="0.2491792868275398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299679"/>
        <c:crosses val="autoZero"/>
        <c:crossBetween val="between"/>
      </c:valAx>
      <c:spPr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1088177137894237"/>
          <c:y val="0.35645870856331008"/>
          <c:w val="0.14041891697462192"/>
          <c:h val="0.329040843273826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509588</xdr:colOff>
      <xdr:row>380</xdr:row>
      <xdr:rowOff>71436</xdr:rowOff>
    </xdr:from>
    <xdr:to>
      <xdr:col>31</xdr:col>
      <xdr:colOff>509588</xdr:colOff>
      <xdr:row>395</xdr:row>
      <xdr:rowOff>100011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8D0FD0-B454-276E-9D11-F07AF1BFE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175418</xdr:colOff>
      <xdr:row>11</xdr:row>
      <xdr:rowOff>64293</xdr:rowOff>
    </xdr:from>
    <xdr:to>
      <xdr:col>19</xdr:col>
      <xdr:colOff>175418</xdr:colOff>
      <xdr:row>26</xdr:row>
      <xdr:rowOff>74611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ACE8BC-3D2F-F148-F554-D74E6C6F7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647700</xdr:colOff>
      <xdr:row>135</xdr:row>
      <xdr:rowOff>112711</xdr:rowOff>
    </xdr:from>
    <xdr:to>
      <xdr:col>17</xdr:col>
      <xdr:colOff>544512</xdr:colOff>
      <xdr:row>150</xdr:row>
      <xdr:rowOff>131762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B8D75AA-435D-1B17-26D1-26075395D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133350</xdr:colOff>
      <xdr:row>12</xdr:row>
      <xdr:rowOff>19049</xdr:rowOff>
    </xdr:from>
    <xdr:to>
      <xdr:col>19</xdr:col>
      <xdr:colOff>133350</xdr:colOff>
      <xdr:row>27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326A4D-7C33-486C-B1F7-385A3E2E2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26789</xdr:colOff>
      <xdr:row>136</xdr:row>
      <xdr:rowOff>131562</xdr:rowOff>
    </xdr:from>
    <xdr:to>
      <xdr:col>19</xdr:col>
      <xdr:colOff>26194</xdr:colOff>
      <xdr:row>151</xdr:row>
      <xdr:rowOff>150612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7D3D0C-3C20-CCE3-B391-A0D14771F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708422</xdr:colOff>
      <xdr:row>14</xdr:row>
      <xdr:rowOff>26194</xdr:rowOff>
    </xdr:from>
    <xdr:to>
      <xdr:col>18</xdr:col>
      <xdr:colOff>708422</xdr:colOff>
      <xdr:row>29</xdr:row>
      <xdr:rowOff>39290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AAA1A7-A2E9-D6B9-C7F8-9397F37B7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22972</xdr:colOff>
      <xdr:row>137</xdr:row>
      <xdr:rowOff>100852</xdr:rowOff>
    </xdr:from>
    <xdr:to>
      <xdr:col>19</xdr:col>
      <xdr:colOff>22972</xdr:colOff>
      <xdr:row>152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21D67F-A4BA-1A84-7DD1-299D17A19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638174</xdr:colOff>
      <xdr:row>23</xdr:row>
      <xdr:rowOff>171450</xdr:rowOff>
    </xdr:from>
    <xdr:to>
      <xdr:col>20</xdr:col>
      <xdr:colOff>638174</xdr:colOff>
      <xdr:row>39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571326-2A25-1D8E-4DE1-A3060920A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70757</xdr:colOff>
      <xdr:row>137</xdr:row>
      <xdr:rowOff>31295</xdr:rowOff>
    </xdr:from>
    <xdr:to>
      <xdr:col>19</xdr:col>
      <xdr:colOff>70757</xdr:colOff>
      <xdr:row>152</xdr:row>
      <xdr:rowOff>50346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011DE4-4505-3313-ABAD-B20E24F80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136</xdr:row>
      <xdr:rowOff>152399</xdr:rowOff>
    </xdr:from>
    <xdr:to>
      <xdr:col>18</xdr:col>
      <xdr:colOff>285750</xdr:colOff>
      <xdr:row>151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666563-FDAE-83A2-CA19-FDEDAB777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194028</xdr:colOff>
      <xdr:row>11</xdr:row>
      <xdr:rowOff>105833</xdr:rowOff>
    </xdr:from>
    <xdr:to>
      <xdr:col>19</xdr:col>
      <xdr:colOff>215195</xdr:colOff>
      <xdr:row>26</xdr:row>
      <xdr:rowOff>143198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5E6760-79ED-4A31-A3F9-334D5ABDD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361605</xdr:colOff>
      <xdr:row>136</xdr:row>
      <xdr:rowOff>74363</xdr:rowOff>
    </xdr:from>
    <xdr:to>
      <xdr:col>18</xdr:col>
      <xdr:colOff>361605</xdr:colOff>
      <xdr:row>151</xdr:row>
      <xdr:rowOff>93413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E45C45-7FF4-C17C-F30D-F42D5331C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35162</xdr:colOff>
      <xdr:row>14</xdr:row>
      <xdr:rowOff>122541</xdr:rowOff>
    </xdr:from>
    <xdr:to>
      <xdr:col>20</xdr:col>
      <xdr:colOff>73532</xdr:colOff>
      <xdr:row>29</xdr:row>
      <xdr:rowOff>152014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C811CF-5922-724A-D683-6D2D9F01F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406928</xdr:colOff>
      <xdr:row>137</xdr:row>
      <xdr:rowOff>135996</xdr:rowOff>
    </xdr:from>
    <xdr:to>
      <xdr:col>18</xdr:col>
      <xdr:colOff>406928</xdr:colOff>
      <xdr:row>152</xdr:row>
      <xdr:rowOff>154517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E92CB7-FF2D-7F7E-4DB1-A2EF0A360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682993</xdr:colOff>
      <xdr:row>13</xdr:row>
      <xdr:rowOff>169358</xdr:rowOff>
    </xdr:from>
    <xdr:to>
      <xdr:col>21</xdr:col>
      <xdr:colOff>504264</xdr:colOff>
      <xdr:row>29</xdr:row>
      <xdr:rowOff>10555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086C2F-77F0-87C1-EEEE-5B1A20139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85" workbookViewId="0">
      <selection activeCell="L110" sqref="L110"/>
    </sheetView>
  </sheetViews>
  <sheetFormatPr baseColWidth="10" defaultColWidth="9.06640625" defaultRowHeight="14.25" x14ac:dyDescent="0.45"/>
  <cols>
    <col min="1" max="1" width="12.59765625" bestFit="1" customWidth="1"/>
    <col min="5" max="5" width="12.59765625" bestFit="1" customWidth="1"/>
    <col min="6" max="6" width="9.06640625" style="7"/>
  </cols>
  <sheetData>
    <row r="1" spans="1:7" ht="14.65" thickBot="1" x14ac:dyDescent="0.5">
      <c r="A1" t="s">
        <v>0</v>
      </c>
      <c r="C1" t="s">
        <v>122</v>
      </c>
      <c r="E1" t="s">
        <v>1</v>
      </c>
      <c r="G1" t="s">
        <v>122</v>
      </c>
    </row>
    <row r="2" spans="1:7" x14ac:dyDescent="0.45">
      <c r="A2" s="4" t="s">
        <v>2</v>
      </c>
      <c r="B2">
        <v>1</v>
      </c>
      <c r="C2">
        <v>2.0400000000000001E-2</v>
      </c>
      <c r="E2" s="1" t="str">
        <f>A2&amp;" R"</f>
        <v>C1.1 1d R</v>
      </c>
      <c r="F2" s="7" t="str">
        <f>B2&amp;" R"</f>
        <v>1 R</v>
      </c>
      <c r="G2">
        <v>1.18E-2</v>
      </c>
    </row>
    <row r="3" spans="1:7" x14ac:dyDescent="0.45">
      <c r="A3" s="5" t="s">
        <v>3</v>
      </c>
      <c r="B3">
        <v>2</v>
      </c>
      <c r="C3">
        <v>1.54E-2</v>
      </c>
      <c r="E3" s="2" t="str">
        <f t="shared" ref="E3:E66" si="0">A3&amp;" R"</f>
        <v>C1.2 1d R</v>
      </c>
      <c r="F3" s="7" t="str">
        <f t="shared" ref="F3:F66" si="1">B3&amp;" R"</f>
        <v>2 R</v>
      </c>
      <c r="G3">
        <v>1.2500000000000001E-2</v>
      </c>
    </row>
    <row r="4" spans="1:7" x14ac:dyDescent="0.45">
      <c r="A4" s="5" t="s">
        <v>4</v>
      </c>
      <c r="B4">
        <v>3</v>
      </c>
      <c r="C4">
        <v>2.1100000000000001E-2</v>
      </c>
      <c r="E4" s="2" t="str">
        <f t="shared" si="0"/>
        <v>C2.1 1d R</v>
      </c>
      <c r="F4" s="7" t="str">
        <f t="shared" si="1"/>
        <v>3 R</v>
      </c>
      <c r="G4">
        <v>1.7000000000000001E-2</v>
      </c>
    </row>
    <row r="5" spans="1:7" x14ac:dyDescent="0.45">
      <c r="A5" s="5" t="s">
        <v>7</v>
      </c>
      <c r="B5">
        <v>4</v>
      </c>
      <c r="C5">
        <v>1.4999999999999999E-2</v>
      </c>
      <c r="E5" s="2" t="str">
        <f t="shared" si="0"/>
        <v>C2.2 1d R</v>
      </c>
      <c r="F5" s="7" t="str">
        <f t="shared" si="1"/>
        <v>4 R</v>
      </c>
      <c r="G5">
        <v>2.12E-2</v>
      </c>
    </row>
    <row r="6" spans="1:7" x14ac:dyDescent="0.45">
      <c r="A6" s="5" t="s">
        <v>5</v>
      </c>
      <c r="B6">
        <v>5</v>
      </c>
      <c r="C6">
        <v>1.26E-2</v>
      </c>
      <c r="E6" s="2" t="str">
        <f t="shared" si="0"/>
        <v>C3.1 1d R</v>
      </c>
      <c r="F6" s="7" t="str">
        <f t="shared" si="1"/>
        <v>5 R</v>
      </c>
      <c r="G6">
        <v>1.29E-2</v>
      </c>
    </row>
    <row r="7" spans="1:7" x14ac:dyDescent="0.45">
      <c r="A7" s="5" t="s">
        <v>6</v>
      </c>
      <c r="B7">
        <v>6</v>
      </c>
      <c r="C7">
        <v>1.95E-2</v>
      </c>
      <c r="E7" s="2" t="str">
        <f t="shared" si="0"/>
        <v>C3.2 1d R</v>
      </c>
      <c r="F7" s="7" t="str">
        <f t="shared" si="1"/>
        <v>6 R</v>
      </c>
      <c r="G7">
        <v>8.4000000000000003E-4</v>
      </c>
    </row>
    <row r="8" spans="1:7" x14ac:dyDescent="0.45">
      <c r="A8" s="5" t="s">
        <v>13</v>
      </c>
      <c r="B8">
        <v>7</v>
      </c>
      <c r="C8">
        <v>1.4800000000000001E-2</v>
      </c>
      <c r="E8" s="2" t="str">
        <f t="shared" si="0"/>
        <v>Bm1.1 1d R</v>
      </c>
      <c r="F8" s="7" t="str">
        <f t="shared" si="1"/>
        <v>7 R</v>
      </c>
      <c r="G8">
        <v>1.0999999999999999E-2</v>
      </c>
    </row>
    <row r="9" spans="1:7" x14ac:dyDescent="0.45">
      <c r="A9" s="5" t="s">
        <v>8</v>
      </c>
      <c r="B9">
        <v>8</v>
      </c>
      <c r="C9">
        <v>1.4500000000000001E-2</v>
      </c>
      <c r="E9" s="2" t="str">
        <f t="shared" si="0"/>
        <v>Bm1.2 1d R</v>
      </c>
      <c r="F9" s="7" t="str">
        <f t="shared" si="1"/>
        <v>8 R</v>
      </c>
      <c r="G9">
        <v>6.4000000000000003E-3</v>
      </c>
    </row>
    <row r="10" spans="1:7" x14ac:dyDescent="0.45">
      <c r="A10" s="5" t="s">
        <v>9</v>
      </c>
      <c r="B10">
        <v>9</v>
      </c>
      <c r="C10">
        <v>1.8599999999999998E-2</v>
      </c>
      <c r="E10" s="2" t="str">
        <f t="shared" si="0"/>
        <v>Bm 2.1 1d R</v>
      </c>
      <c r="F10" s="7" t="str">
        <f t="shared" si="1"/>
        <v>9 R</v>
      </c>
      <c r="G10">
        <v>1.46E-2</v>
      </c>
    </row>
    <row r="11" spans="1:7" x14ac:dyDescent="0.45">
      <c r="A11" s="5" t="s">
        <v>10</v>
      </c>
      <c r="B11">
        <v>10</v>
      </c>
      <c r="C11">
        <v>1.7100000000000001E-2</v>
      </c>
      <c r="E11" s="2" t="str">
        <f t="shared" si="0"/>
        <v>Bm 2.2 1d R</v>
      </c>
      <c r="F11" s="7" t="str">
        <f t="shared" si="1"/>
        <v>10 R</v>
      </c>
      <c r="G11">
        <v>1.29E-2</v>
      </c>
    </row>
    <row r="12" spans="1:7" x14ac:dyDescent="0.45">
      <c r="A12" s="5" t="s">
        <v>11</v>
      </c>
      <c r="B12">
        <v>11</v>
      </c>
      <c r="C12">
        <v>1.66E-2</v>
      </c>
      <c r="E12" s="2" t="str">
        <f t="shared" si="0"/>
        <v>Bm 3.1 1d R</v>
      </c>
      <c r="F12" s="7" t="str">
        <f t="shared" si="1"/>
        <v>11 R</v>
      </c>
      <c r="G12">
        <v>9.1999999999999998E-3</v>
      </c>
    </row>
    <row r="13" spans="1:7" ht="14.65" thickBot="1" x14ac:dyDescent="0.5">
      <c r="A13" s="6" t="s">
        <v>12</v>
      </c>
      <c r="B13" s="3">
        <v>12</v>
      </c>
      <c r="C13">
        <v>1.44E-2</v>
      </c>
      <c r="E13" s="3" t="str">
        <f t="shared" si="0"/>
        <v>Bm 3.2 1d R</v>
      </c>
      <c r="F13" s="8" t="str">
        <f t="shared" si="1"/>
        <v>12 R</v>
      </c>
      <c r="G13">
        <v>1.09E-2</v>
      </c>
    </row>
    <row r="14" spans="1:7" x14ac:dyDescent="0.45">
      <c r="A14" s="4" t="s">
        <v>14</v>
      </c>
      <c r="B14">
        <v>13</v>
      </c>
      <c r="C14">
        <v>2.1299999999999999E-2</v>
      </c>
      <c r="E14" s="1" t="str">
        <f t="shared" si="0"/>
        <v>C1.1 2d R</v>
      </c>
      <c r="F14" s="7" t="str">
        <f t="shared" si="1"/>
        <v>13 R</v>
      </c>
      <c r="G14">
        <v>1.34E-2</v>
      </c>
    </row>
    <row r="15" spans="1:7" x14ac:dyDescent="0.45">
      <c r="A15" s="5" t="s">
        <v>15</v>
      </c>
      <c r="B15">
        <v>14</v>
      </c>
      <c r="C15">
        <v>2.2200000000000001E-2</v>
      </c>
      <c r="E15" s="2" t="str">
        <f t="shared" si="0"/>
        <v>C1.2 2d R</v>
      </c>
      <c r="F15" s="7" t="str">
        <f t="shared" si="1"/>
        <v>14 R</v>
      </c>
      <c r="G15">
        <v>1.2999999999999999E-2</v>
      </c>
    </row>
    <row r="16" spans="1:7" x14ac:dyDescent="0.45">
      <c r="A16" s="5" t="s">
        <v>16</v>
      </c>
      <c r="B16">
        <v>15</v>
      </c>
      <c r="C16">
        <v>1.8499999999999999E-2</v>
      </c>
      <c r="E16" s="2" t="str">
        <f t="shared" si="0"/>
        <v>C2.1 2d R</v>
      </c>
      <c r="F16" s="7" t="str">
        <f t="shared" si="1"/>
        <v>15 R</v>
      </c>
      <c r="G16">
        <v>1.21E-2</v>
      </c>
    </row>
    <row r="17" spans="1:7" x14ac:dyDescent="0.45">
      <c r="A17" s="5" t="s">
        <v>17</v>
      </c>
      <c r="B17">
        <v>16</v>
      </c>
      <c r="C17">
        <v>2.1000000000000001E-2</v>
      </c>
      <c r="E17" s="2" t="str">
        <f t="shared" si="0"/>
        <v>C2.2 2d R</v>
      </c>
      <c r="F17" s="7" t="str">
        <f t="shared" si="1"/>
        <v>16 R</v>
      </c>
      <c r="G17">
        <v>1.0800000000000001E-2</v>
      </c>
    </row>
    <row r="18" spans="1:7" x14ac:dyDescent="0.45">
      <c r="A18" s="5" t="s">
        <v>18</v>
      </c>
      <c r="B18">
        <v>17</v>
      </c>
      <c r="C18">
        <v>1.66E-2</v>
      </c>
      <c r="E18" s="2" t="str">
        <f t="shared" si="0"/>
        <v>C3.1 2d R</v>
      </c>
      <c r="F18" s="7" t="str">
        <f t="shared" si="1"/>
        <v>17 R</v>
      </c>
      <c r="G18">
        <v>1.5800000000000002E-2</v>
      </c>
    </row>
    <row r="19" spans="1:7" x14ac:dyDescent="0.45">
      <c r="A19" s="5" t="s">
        <v>19</v>
      </c>
      <c r="B19">
        <v>18</v>
      </c>
      <c r="C19">
        <v>1.9900000000000001E-2</v>
      </c>
      <c r="E19" s="2" t="str">
        <f t="shared" si="0"/>
        <v>C3.2 2d R</v>
      </c>
      <c r="F19" s="7" t="str">
        <f t="shared" si="1"/>
        <v>18 R</v>
      </c>
      <c r="G19">
        <v>1.2500000000000001E-2</v>
      </c>
    </row>
    <row r="20" spans="1:7" x14ac:dyDescent="0.45">
      <c r="A20" s="5" t="s">
        <v>20</v>
      </c>
      <c r="B20">
        <v>19</v>
      </c>
      <c r="C20">
        <v>1.8499999999999999E-2</v>
      </c>
      <c r="E20" s="2" t="str">
        <f t="shared" si="0"/>
        <v>Bm1.1 2d R</v>
      </c>
      <c r="F20" s="7" t="str">
        <f t="shared" si="1"/>
        <v>19 R</v>
      </c>
      <c r="G20">
        <v>1.2200000000000001E-2</v>
      </c>
    </row>
    <row r="21" spans="1:7" x14ac:dyDescent="0.45">
      <c r="A21" s="5" t="s">
        <v>21</v>
      </c>
      <c r="B21">
        <v>20</v>
      </c>
      <c r="C21">
        <v>1.95E-2</v>
      </c>
      <c r="E21" s="2" t="str">
        <f t="shared" si="0"/>
        <v>Bm1.2 2d R</v>
      </c>
      <c r="F21" s="7" t="str">
        <f t="shared" si="1"/>
        <v>20 R</v>
      </c>
      <c r="G21">
        <v>1.26E-2</v>
      </c>
    </row>
    <row r="22" spans="1:7" x14ac:dyDescent="0.45">
      <c r="A22" s="5" t="s">
        <v>22</v>
      </c>
      <c r="B22">
        <v>21</v>
      </c>
      <c r="C22">
        <v>1.8599999999999998E-2</v>
      </c>
      <c r="E22" s="2" t="str">
        <f t="shared" si="0"/>
        <v>Bm 2.1 2d R</v>
      </c>
      <c r="F22" s="7" t="str">
        <f t="shared" si="1"/>
        <v>21 R</v>
      </c>
      <c r="G22">
        <v>1.17E-2</v>
      </c>
    </row>
    <row r="23" spans="1:7" x14ac:dyDescent="0.45">
      <c r="A23" s="5" t="s">
        <v>23</v>
      </c>
      <c r="B23">
        <v>22</v>
      </c>
      <c r="C23">
        <v>2.1999999999999999E-2</v>
      </c>
      <c r="E23" s="2" t="str">
        <f t="shared" si="0"/>
        <v>Bm 2.2 2d R</v>
      </c>
      <c r="F23" s="7" t="str">
        <f t="shared" si="1"/>
        <v>22 R</v>
      </c>
      <c r="G23">
        <v>1.43E-2</v>
      </c>
    </row>
    <row r="24" spans="1:7" x14ac:dyDescent="0.45">
      <c r="A24" s="5" t="s">
        <v>24</v>
      </c>
      <c r="B24">
        <v>23</v>
      </c>
      <c r="C24">
        <v>1.7600000000000001E-2</v>
      </c>
      <c r="E24" s="2" t="str">
        <f t="shared" si="0"/>
        <v>Bm 3.1 2d R</v>
      </c>
      <c r="F24" s="7" t="str">
        <f t="shared" si="1"/>
        <v>23 R</v>
      </c>
      <c r="G24">
        <v>1.1900000000000001E-2</v>
      </c>
    </row>
    <row r="25" spans="1:7" ht="14.65" thickBot="1" x14ac:dyDescent="0.5">
      <c r="A25" s="6" t="s">
        <v>25</v>
      </c>
      <c r="B25" s="3">
        <v>24</v>
      </c>
      <c r="C25">
        <v>1.5299999999999999E-2</v>
      </c>
      <c r="E25" s="3" t="str">
        <f t="shared" si="0"/>
        <v>Bm 3.2 2d R</v>
      </c>
      <c r="F25" s="8" t="str">
        <f t="shared" si="1"/>
        <v>24 R</v>
      </c>
      <c r="G25">
        <v>1.2800000000000001E-2</v>
      </c>
    </row>
    <row r="26" spans="1:7" x14ac:dyDescent="0.45">
      <c r="A26" s="4" t="s">
        <v>26</v>
      </c>
      <c r="B26">
        <v>25</v>
      </c>
      <c r="C26">
        <v>1.9199999999999998E-2</v>
      </c>
      <c r="E26" s="1" t="str">
        <f t="shared" si="0"/>
        <v>C1.1 3d R</v>
      </c>
      <c r="F26" s="7" t="str">
        <f t="shared" si="1"/>
        <v>25 R</v>
      </c>
      <c r="G26">
        <v>1.4999999999999999E-2</v>
      </c>
    </row>
    <row r="27" spans="1:7" x14ac:dyDescent="0.45">
      <c r="A27" s="5" t="s">
        <v>27</v>
      </c>
      <c r="B27">
        <v>26</v>
      </c>
      <c r="C27">
        <v>1.9E-2</v>
      </c>
      <c r="E27" s="2" t="str">
        <f t="shared" si="0"/>
        <v>C1.2 3d R</v>
      </c>
      <c r="F27" s="7" t="str">
        <f t="shared" si="1"/>
        <v>26 R</v>
      </c>
      <c r="G27">
        <v>1.7299999999999999E-2</v>
      </c>
    </row>
    <row r="28" spans="1:7" x14ac:dyDescent="0.45">
      <c r="A28" s="5" t="s">
        <v>28</v>
      </c>
      <c r="B28">
        <v>27</v>
      </c>
      <c r="C28">
        <v>1.9699999999999999E-2</v>
      </c>
      <c r="E28" s="2" t="str">
        <f t="shared" si="0"/>
        <v>C2.1 3d R</v>
      </c>
      <c r="F28" s="7" t="str">
        <f t="shared" si="1"/>
        <v>27 R</v>
      </c>
      <c r="G28">
        <v>8.8000000000000005E-3</v>
      </c>
    </row>
    <row r="29" spans="1:7" x14ac:dyDescent="0.45">
      <c r="A29" s="5" t="s">
        <v>29</v>
      </c>
      <c r="B29">
        <v>28</v>
      </c>
      <c r="C29">
        <v>1.6500000000000001E-2</v>
      </c>
      <c r="E29" s="2" t="str">
        <f t="shared" si="0"/>
        <v>C2.2 3d R</v>
      </c>
      <c r="F29" s="7" t="str">
        <f t="shared" si="1"/>
        <v>28 R</v>
      </c>
      <c r="G29">
        <v>7.4999999999999997E-3</v>
      </c>
    </row>
    <row r="30" spans="1:7" x14ac:dyDescent="0.45">
      <c r="A30" s="5" t="s">
        <v>30</v>
      </c>
      <c r="B30">
        <v>29</v>
      </c>
      <c r="C30">
        <v>1.9099999999999999E-2</v>
      </c>
      <c r="E30" s="2" t="str">
        <f t="shared" si="0"/>
        <v>C3.1 3d R</v>
      </c>
      <c r="F30" s="7" t="str">
        <f t="shared" si="1"/>
        <v>29 R</v>
      </c>
      <c r="G30">
        <v>1.34E-2</v>
      </c>
    </row>
    <row r="31" spans="1:7" x14ac:dyDescent="0.45">
      <c r="A31" s="5" t="s">
        <v>31</v>
      </c>
      <c r="B31">
        <v>30</v>
      </c>
      <c r="C31">
        <v>1.9599999999999999E-2</v>
      </c>
      <c r="E31" s="2" t="str">
        <f t="shared" si="0"/>
        <v>C3.2 3d R</v>
      </c>
      <c r="F31" s="7" t="str">
        <f t="shared" si="1"/>
        <v>30 R</v>
      </c>
      <c r="G31">
        <v>1.52E-2</v>
      </c>
    </row>
    <row r="32" spans="1:7" x14ac:dyDescent="0.45">
      <c r="A32" s="5" t="s">
        <v>32</v>
      </c>
      <c r="B32">
        <v>31</v>
      </c>
      <c r="C32">
        <v>1.8499999999999999E-2</v>
      </c>
      <c r="E32" s="2" t="str">
        <f t="shared" si="0"/>
        <v>Bm1.1 3d R</v>
      </c>
      <c r="F32" s="7" t="str">
        <f t="shared" si="1"/>
        <v>31 R</v>
      </c>
      <c r="G32">
        <v>1.2E-2</v>
      </c>
    </row>
    <row r="33" spans="1:7" x14ac:dyDescent="0.45">
      <c r="A33" s="5" t="s">
        <v>33</v>
      </c>
      <c r="B33">
        <v>32</v>
      </c>
      <c r="C33">
        <v>0.02</v>
      </c>
      <c r="E33" s="2" t="str">
        <f t="shared" si="0"/>
        <v>Bm1.2 3d R</v>
      </c>
      <c r="F33" s="7" t="str">
        <f t="shared" si="1"/>
        <v>32 R</v>
      </c>
      <c r="G33">
        <v>1.21E-2</v>
      </c>
    </row>
    <row r="34" spans="1:7" x14ac:dyDescent="0.45">
      <c r="A34" s="5" t="s">
        <v>34</v>
      </c>
      <c r="B34">
        <v>33</v>
      </c>
      <c r="C34">
        <v>1.66E-2</v>
      </c>
      <c r="E34" s="2" t="str">
        <f t="shared" si="0"/>
        <v>Bm 2.1 3d R</v>
      </c>
      <c r="F34" s="7" t="str">
        <f t="shared" si="1"/>
        <v>33 R</v>
      </c>
      <c r="G34">
        <v>1.24E-2</v>
      </c>
    </row>
    <row r="35" spans="1:7" x14ac:dyDescent="0.45">
      <c r="A35" s="5" t="s">
        <v>35</v>
      </c>
      <c r="B35">
        <v>34</v>
      </c>
      <c r="C35">
        <v>1.8100000000000002E-2</v>
      </c>
      <c r="E35" s="2" t="str">
        <f t="shared" si="0"/>
        <v>Bm 2.2 3d R</v>
      </c>
      <c r="F35" s="7" t="str">
        <f t="shared" si="1"/>
        <v>34 R</v>
      </c>
      <c r="G35">
        <v>1.44E-2</v>
      </c>
    </row>
    <row r="36" spans="1:7" x14ac:dyDescent="0.45">
      <c r="A36" s="5" t="s">
        <v>36</v>
      </c>
      <c r="B36">
        <v>35</v>
      </c>
      <c r="C36">
        <v>1.8599999999999998E-2</v>
      </c>
      <c r="E36" s="2" t="str">
        <f t="shared" si="0"/>
        <v>Bm 3.1 3d R</v>
      </c>
      <c r="F36" s="7" t="str">
        <f t="shared" si="1"/>
        <v>35 R</v>
      </c>
      <c r="G36">
        <v>1.35E-2</v>
      </c>
    </row>
    <row r="37" spans="1:7" ht="14.65" thickBot="1" x14ac:dyDescent="0.5">
      <c r="A37" s="6" t="s">
        <v>37</v>
      </c>
      <c r="B37" s="3">
        <v>36</v>
      </c>
      <c r="C37">
        <v>2.23E-2</v>
      </c>
      <c r="E37" s="3" t="str">
        <f t="shared" si="0"/>
        <v>Bm 3.2 3d R</v>
      </c>
      <c r="F37" s="8" t="str">
        <f t="shared" si="1"/>
        <v>36 R</v>
      </c>
      <c r="G37">
        <v>1.49E-2</v>
      </c>
    </row>
    <row r="38" spans="1:7" x14ac:dyDescent="0.45">
      <c r="A38" s="4" t="s">
        <v>38</v>
      </c>
      <c r="B38">
        <v>37</v>
      </c>
      <c r="C38">
        <v>1.7100000000000001E-2</v>
      </c>
      <c r="E38" s="1" t="str">
        <f t="shared" si="0"/>
        <v>C1.1 4d R</v>
      </c>
      <c r="F38" s="7" t="str">
        <f t="shared" si="1"/>
        <v>37 R</v>
      </c>
      <c r="G38">
        <v>1.66E-2</v>
      </c>
    </row>
    <row r="39" spans="1:7" x14ac:dyDescent="0.45">
      <c r="A39" s="5" t="s">
        <v>39</v>
      </c>
      <c r="B39">
        <v>38</v>
      </c>
      <c r="C39">
        <v>1.8800000000000001E-2</v>
      </c>
      <c r="E39" s="2" t="str">
        <f t="shared" si="0"/>
        <v>C1.2 4d R</v>
      </c>
      <c r="F39" s="7" t="str">
        <f t="shared" si="1"/>
        <v>38 R</v>
      </c>
      <c r="G39">
        <v>1.8100000000000002E-2</v>
      </c>
    </row>
    <row r="40" spans="1:7" x14ac:dyDescent="0.45">
      <c r="A40" s="5" t="s">
        <v>40</v>
      </c>
      <c r="B40">
        <v>39</v>
      </c>
      <c r="C40">
        <v>1.5900000000000001E-2</v>
      </c>
      <c r="E40" s="2" t="str">
        <f t="shared" si="0"/>
        <v>C2.1 4d R</v>
      </c>
      <c r="F40" s="7" t="str">
        <f t="shared" si="1"/>
        <v>39 R</v>
      </c>
      <c r="G40">
        <v>1.5699999999999999E-2</v>
      </c>
    </row>
    <row r="41" spans="1:7" x14ac:dyDescent="0.45">
      <c r="A41" s="5" t="s">
        <v>41</v>
      </c>
      <c r="B41">
        <v>40</v>
      </c>
      <c r="C41">
        <v>1.9699999999999999E-2</v>
      </c>
      <c r="E41" s="2" t="str">
        <f t="shared" si="0"/>
        <v>C2.2 4d R</v>
      </c>
      <c r="F41" s="7" t="str">
        <f t="shared" si="1"/>
        <v>40 R</v>
      </c>
      <c r="G41">
        <v>1.8200000000000001E-2</v>
      </c>
    </row>
    <row r="42" spans="1:7" x14ac:dyDescent="0.45">
      <c r="A42" s="5" t="s">
        <v>42</v>
      </c>
      <c r="B42">
        <v>41</v>
      </c>
      <c r="C42">
        <v>2.0400000000000001E-2</v>
      </c>
      <c r="E42" s="2" t="str">
        <f t="shared" si="0"/>
        <v>C3.1 4d R</v>
      </c>
      <c r="F42" s="7" t="str">
        <f t="shared" si="1"/>
        <v>41 R</v>
      </c>
      <c r="G42">
        <v>1.43E-2</v>
      </c>
    </row>
    <row r="43" spans="1:7" x14ac:dyDescent="0.45">
      <c r="A43" s="5" t="s">
        <v>43</v>
      </c>
      <c r="B43">
        <v>42</v>
      </c>
      <c r="C43">
        <v>1.84E-2</v>
      </c>
      <c r="E43" s="2" t="str">
        <f t="shared" si="0"/>
        <v>C3.2 4d R</v>
      </c>
      <c r="F43" s="7" t="str">
        <f t="shared" si="1"/>
        <v>42 R</v>
      </c>
      <c r="G43">
        <v>1.61E-2</v>
      </c>
    </row>
    <row r="44" spans="1:7" x14ac:dyDescent="0.45">
      <c r="A44" s="5" t="s">
        <v>44</v>
      </c>
      <c r="B44">
        <v>43</v>
      </c>
      <c r="C44">
        <v>1.9099999999999999E-2</v>
      </c>
      <c r="E44" s="2" t="str">
        <f t="shared" si="0"/>
        <v>Bm1.1 4d R</v>
      </c>
      <c r="F44" s="7" t="str">
        <f t="shared" si="1"/>
        <v>43 R</v>
      </c>
      <c r="G44">
        <v>1.32E-2</v>
      </c>
    </row>
    <row r="45" spans="1:7" x14ac:dyDescent="0.45">
      <c r="A45" s="5" t="s">
        <v>45</v>
      </c>
      <c r="B45">
        <v>44</v>
      </c>
      <c r="C45">
        <v>1.7899999999999999E-2</v>
      </c>
      <c r="E45" s="2" t="str">
        <f t="shared" si="0"/>
        <v>Bm1.2 4d R</v>
      </c>
      <c r="F45" s="7" t="str">
        <f t="shared" si="1"/>
        <v>44 R</v>
      </c>
      <c r="G45">
        <v>1.15E-2</v>
      </c>
    </row>
    <row r="46" spans="1:7" x14ac:dyDescent="0.45">
      <c r="A46" s="5" t="s">
        <v>46</v>
      </c>
      <c r="B46">
        <v>45</v>
      </c>
      <c r="C46">
        <v>1.9900000000000001E-2</v>
      </c>
      <c r="E46" s="2" t="str">
        <f t="shared" si="0"/>
        <v>Bm 2.1 4d R</v>
      </c>
      <c r="F46" s="7" t="str">
        <f t="shared" si="1"/>
        <v>45 R</v>
      </c>
      <c r="G46">
        <v>1.37E-2</v>
      </c>
    </row>
    <row r="47" spans="1:7" x14ac:dyDescent="0.45">
      <c r="A47" s="5" t="s">
        <v>47</v>
      </c>
      <c r="B47">
        <v>46</v>
      </c>
      <c r="C47">
        <v>1.84E-2</v>
      </c>
      <c r="E47" s="2" t="str">
        <f t="shared" si="0"/>
        <v>Bm 2.2 4d R</v>
      </c>
      <c r="F47" s="7" t="str">
        <f t="shared" si="1"/>
        <v>46 R</v>
      </c>
      <c r="G47">
        <v>1.5100000000000001E-2</v>
      </c>
    </row>
    <row r="48" spans="1:7" x14ac:dyDescent="0.45">
      <c r="A48" s="5" t="s">
        <v>48</v>
      </c>
      <c r="B48">
        <v>47</v>
      </c>
      <c r="C48">
        <v>1.9699999999999999E-2</v>
      </c>
      <c r="E48" s="2" t="str">
        <f t="shared" si="0"/>
        <v>Bm 3.1 4d R</v>
      </c>
      <c r="F48" s="7" t="str">
        <f t="shared" si="1"/>
        <v>47 R</v>
      </c>
      <c r="G48">
        <v>1.52E-2</v>
      </c>
    </row>
    <row r="49" spans="1:7" ht="14.65" thickBot="1" x14ac:dyDescent="0.5">
      <c r="A49" s="6" t="s">
        <v>49</v>
      </c>
      <c r="B49" s="3">
        <v>48</v>
      </c>
      <c r="C49">
        <v>2.1299999999999999E-2</v>
      </c>
      <c r="E49" s="3" t="str">
        <f t="shared" si="0"/>
        <v>Bm 3.2 4d R</v>
      </c>
      <c r="F49" s="8" t="str">
        <f t="shared" si="1"/>
        <v>48 R</v>
      </c>
      <c r="G49">
        <v>1.43E-2</v>
      </c>
    </row>
    <row r="50" spans="1:7" x14ac:dyDescent="0.45">
      <c r="A50" s="4" t="s">
        <v>50</v>
      </c>
      <c r="B50">
        <v>49</v>
      </c>
      <c r="C50">
        <v>1.7500000000000002E-2</v>
      </c>
      <c r="E50" s="1" t="str">
        <f t="shared" si="0"/>
        <v>C1.1 5d R</v>
      </c>
      <c r="F50" s="7" t="str">
        <f t="shared" si="1"/>
        <v>49 R</v>
      </c>
      <c r="G50">
        <v>1.38E-2</v>
      </c>
    </row>
    <row r="51" spans="1:7" x14ac:dyDescent="0.45">
      <c r="A51" s="5" t="s">
        <v>51</v>
      </c>
      <c r="B51">
        <v>50</v>
      </c>
      <c r="C51">
        <v>1.78E-2</v>
      </c>
      <c r="E51" s="2" t="str">
        <f t="shared" si="0"/>
        <v>C1.2 5d R</v>
      </c>
      <c r="F51" s="7" t="str">
        <f t="shared" si="1"/>
        <v>50 R</v>
      </c>
      <c r="G51">
        <v>1.4500000000000001E-2</v>
      </c>
    </row>
    <row r="52" spans="1:7" x14ac:dyDescent="0.45">
      <c r="A52" s="5" t="s">
        <v>52</v>
      </c>
      <c r="B52">
        <v>51</v>
      </c>
      <c r="C52">
        <v>1.8700000000000001E-2</v>
      </c>
      <c r="E52" s="2" t="str">
        <f t="shared" si="0"/>
        <v>C2.1 5d R</v>
      </c>
      <c r="F52" s="7" t="str">
        <f t="shared" si="1"/>
        <v>51 R</v>
      </c>
      <c r="G52">
        <v>1.6299999999999999E-2</v>
      </c>
    </row>
    <row r="53" spans="1:7" x14ac:dyDescent="0.45">
      <c r="A53" s="5" t="s">
        <v>53</v>
      </c>
      <c r="B53">
        <v>52</v>
      </c>
      <c r="C53">
        <v>1.66E-2</v>
      </c>
      <c r="E53" s="2" t="str">
        <f t="shared" si="0"/>
        <v>C2.2 5d R</v>
      </c>
      <c r="F53" s="7" t="str">
        <f t="shared" si="1"/>
        <v>52 R</v>
      </c>
      <c r="G53">
        <v>1.2500000000000001E-2</v>
      </c>
    </row>
    <row r="54" spans="1:7" x14ac:dyDescent="0.45">
      <c r="A54" s="5" t="s">
        <v>54</v>
      </c>
      <c r="B54">
        <v>53</v>
      </c>
      <c r="C54">
        <v>1.8100000000000002E-2</v>
      </c>
      <c r="E54" s="2" t="str">
        <f t="shared" si="0"/>
        <v>C3.1 5d R</v>
      </c>
      <c r="F54" s="7" t="str">
        <f t="shared" si="1"/>
        <v>53 R</v>
      </c>
      <c r="G54">
        <v>1.21E-2</v>
      </c>
    </row>
    <row r="55" spans="1:7" x14ac:dyDescent="0.45">
      <c r="A55" s="5" t="s">
        <v>55</v>
      </c>
      <c r="B55">
        <v>54</v>
      </c>
      <c r="C55">
        <v>1.7100000000000001E-2</v>
      </c>
      <c r="E55" s="2" t="str">
        <f t="shared" si="0"/>
        <v>C3.2 5d R</v>
      </c>
      <c r="F55" s="7" t="str">
        <f t="shared" si="1"/>
        <v>54 R</v>
      </c>
      <c r="G55">
        <v>1.66E-2</v>
      </c>
    </row>
    <row r="56" spans="1:7" x14ac:dyDescent="0.45">
      <c r="A56" s="5" t="s">
        <v>56</v>
      </c>
      <c r="B56">
        <v>55</v>
      </c>
      <c r="C56">
        <v>1.8700000000000001E-2</v>
      </c>
      <c r="E56" s="2" t="str">
        <f t="shared" si="0"/>
        <v>Bm1.1 5d R</v>
      </c>
      <c r="F56" s="7" t="str">
        <f t="shared" si="1"/>
        <v>55 R</v>
      </c>
      <c r="G56">
        <v>1.34E-2</v>
      </c>
    </row>
    <row r="57" spans="1:7" x14ac:dyDescent="0.45">
      <c r="A57" s="5" t="s">
        <v>57</v>
      </c>
      <c r="B57">
        <v>56</v>
      </c>
      <c r="C57">
        <v>2.0899999999999998E-2</v>
      </c>
      <c r="E57" s="2" t="str">
        <f t="shared" si="0"/>
        <v>Bm1.2 5d R</v>
      </c>
      <c r="F57" s="7" t="str">
        <f t="shared" si="1"/>
        <v>56 R</v>
      </c>
      <c r="G57">
        <v>1.55E-2</v>
      </c>
    </row>
    <row r="58" spans="1:7" x14ac:dyDescent="0.45">
      <c r="A58" s="5" t="s">
        <v>58</v>
      </c>
      <c r="B58">
        <v>57</v>
      </c>
      <c r="C58">
        <v>1.89E-2</v>
      </c>
      <c r="E58" s="2" t="str">
        <f t="shared" si="0"/>
        <v>Bm 2.1 5d R</v>
      </c>
      <c r="F58" s="7" t="str">
        <f t="shared" si="1"/>
        <v>57 R</v>
      </c>
      <c r="G58">
        <v>1.5699999999999999E-2</v>
      </c>
    </row>
    <row r="59" spans="1:7" x14ac:dyDescent="0.45">
      <c r="A59" s="5" t="s">
        <v>59</v>
      </c>
      <c r="B59">
        <v>58</v>
      </c>
      <c r="C59">
        <v>1.9E-2</v>
      </c>
      <c r="E59" s="2" t="str">
        <f t="shared" si="0"/>
        <v>Bm 2.2 5d R</v>
      </c>
      <c r="F59" s="7" t="str">
        <f t="shared" si="1"/>
        <v>58 R</v>
      </c>
      <c r="G59">
        <v>1.6899999999999998E-2</v>
      </c>
    </row>
    <row r="60" spans="1:7" x14ac:dyDescent="0.45">
      <c r="A60" s="5" t="s">
        <v>60</v>
      </c>
      <c r="B60">
        <v>59</v>
      </c>
      <c r="C60">
        <v>2.1499999999999998E-2</v>
      </c>
      <c r="E60" s="2" t="str">
        <f t="shared" si="0"/>
        <v>Bm 3.1 5d R</v>
      </c>
      <c r="F60" s="7" t="str">
        <f t="shared" si="1"/>
        <v>59 R</v>
      </c>
      <c r="G60">
        <v>1.4999999999999999E-2</v>
      </c>
    </row>
    <row r="61" spans="1:7" ht="14.65" thickBot="1" x14ac:dyDescent="0.5">
      <c r="A61" s="6" t="s">
        <v>61</v>
      </c>
      <c r="B61" s="3">
        <v>60</v>
      </c>
      <c r="C61">
        <v>1.9900000000000001E-2</v>
      </c>
      <c r="E61" s="3" t="str">
        <f t="shared" si="0"/>
        <v>Bm 3.2 5d R</v>
      </c>
      <c r="F61" s="8" t="str">
        <f t="shared" si="1"/>
        <v>60 R</v>
      </c>
      <c r="G61">
        <v>1.78E-2</v>
      </c>
    </row>
    <row r="62" spans="1:7" x14ac:dyDescent="0.45">
      <c r="A62" s="4" t="s">
        <v>62</v>
      </c>
      <c r="B62">
        <v>61</v>
      </c>
      <c r="C62">
        <v>1.8499999999999999E-2</v>
      </c>
      <c r="E62" s="1" t="str">
        <f>A62&amp;" R"</f>
        <v>C1.1 6d R</v>
      </c>
      <c r="F62" s="7" t="str">
        <f>B62&amp;" R"</f>
        <v>61 R</v>
      </c>
      <c r="G62">
        <v>1.3899999999999999E-2</v>
      </c>
    </row>
    <row r="63" spans="1:7" x14ac:dyDescent="0.45">
      <c r="A63" s="5" t="s">
        <v>63</v>
      </c>
      <c r="B63">
        <v>62</v>
      </c>
      <c r="C63">
        <v>2.1000000000000001E-2</v>
      </c>
      <c r="E63" s="2" t="str">
        <f t="shared" si="0"/>
        <v>C1.2 6d R</v>
      </c>
      <c r="F63" s="7" t="str">
        <f t="shared" si="1"/>
        <v>62 R</v>
      </c>
      <c r="G63">
        <v>1.72E-2</v>
      </c>
    </row>
    <row r="64" spans="1:7" x14ac:dyDescent="0.45">
      <c r="A64" s="5" t="s">
        <v>64</v>
      </c>
      <c r="B64">
        <v>63</v>
      </c>
      <c r="C64">
        <v>1.9400000000000001E-2</v>
      </c>
      <c r="E64" s="2" t="str">
        <f t="shared" si="0"/>
        <v>C2.1 6d R</v>
      </c>
      <c r="F64" s="7" t="str">
        <f t="shared" si="1"/>
        <v>63 R</v>
      </c>
      <c r="G64">
        <v>1.66E-2</v>
      </c>
    </row>
    <row r="65" spans="1:7" x14ac:dyDescent="0.45">
      <c r="A65" s="5" t="s">
        <v>65</v>
      </c>
      <c r="B65">
        <v>64</v>
      </c>
      <c r="C65">
        <v>1.7500000000000002E-2</v>
      </c>
      <c r="E65" s="2" t="str">
        <f t="shared" si="0"/>
        <v>C2.2 6d R</v>
      </c>
      <c r="F65" s="7" t="str">
        <f t="shared" si="1"/>
        <v>64 R</v>
      </c>
      <c r="G65">
        <v>1.54E-2</v>
      </c>
    </row>
    <row r="66" spans="1:7" x14ac:dyDescent="0.45">
      <c r="A66" s="5" t="s">
        <v>66</v>
      </c>
      <c r="B66">
        <v>65</v>
      </c>
      <c r="C66">
        <v>2.0500000000000001E-2</v>
      </c>
      <c r="E66" s="2" t="str">
        <f t="shared" si="0"/>
        <v>C3.1 6d R</v>
      </c>
      <c r="F66" s="7" t="str">
        <f t="shared" si="1"/>
        <v>65 R</v>
      </c>
      <c r="G66">
        <v>1.7100000000000001E-2</v>
      </c>
    </row>
    <row r="67" spans="1:7" x14ac:dyDescent="0.45">
      <c r="A67" s="5" t="s">
        <v>67</v>
      </c>
      <c r="B67">
        <v>66</v>
      </c>
      <c r="C67">
        <v>1.9800000000000002E-2</v>
      </c>
      <c r="E67" s="2" t="str">
        <f t="shared" ref="E67:E98" si="2">A67&amp;" R"</f>
        <v>C3.2 6d R</v>
      </c>
      <c r="F67" s="7" t="str">
        <f t="shared" ref="F67:F98" si="3">B67&amp;" R"</f>
        <v>66 R</v>
      </c>
      <c r="G67">
        <v>1.67E-2</v>
      </c>
    </row>
    <row r="68" spans="1:7" x14ac:dyDescent="0.45">
      <c r="A68" s="5" t="s">
        <v>68</v>
      </c>
      <c r="B68">
        <v>67</v>
      </c>
      <c r="C68">
        <v>1.7399999999999999E-2</v>
      </c>
      <c r="E68" s="2" t="str">
        <f t="shared" si="2"/>
        <v>Bm1.1 6d R</v>
      </c>
      <c r="F68" s="7" t="str">
        <f t="shared" si="3"/>
        <v>67 R</v>
      </c>
      <c r="G68">
        <v>1.54E-2</v>
      </c>
    </row>
    <row r="69" spans="1:7" x14ac:dyDescent="0.45">
      <c r="A69" s="5" t="s">
        <v>69</v>
      </c>
      <c r="B69">
        <v>68</v>
      </c>
      <c r="C69">
        <v>1.6199999999999999E-2</v>
      </c>
      <c r="E69" s="2" t="str">
        <f t="shared" si="2"/>
        <v>Bm1.2 6d R</v>
      </c>
      <c r="F69" s="7" t="str">
        <f t="shared" si="3"/>
        <v>68 R</v>
      </c>
      <c r="G69">
        <v>1.5800000000000002E-2</v>
      </c>
    </row>
    <row r="70" spans="1:7" x14ac:dyDescent="0.45">
      <c r="A70" s="5" t="s">
        <v>70</v>
      </c>
      <c r="B70">
        <v>69</v>
      </c>
      <c r="C70">
        <v>2.1899999999999999E-2</v>
      </c>
      <c r="E70" s="2" t="str">
        <f t="shared" si="2"/>
        <v>Bm 2.1 6d R</v>
      </c>
      <c r="F70" s="7" t="str">
        <f t="shared" si="3"/>
        <v>69 R</v>
      </c>
      <c r="G70">
        <v>1.5900000000000001E-2</v>
      </c>
    </row>
    <row r="71" spans="1:7" x14ac:dyDescent="0.45">
      <c r="A71" s="5" t="s">
        <v>71</v>
      </c>
      <c r="B71">
        <v>70</v>
      </c>
      <c r="C71">
        <v>1.9400000000000001E-2</v>
      </c>
      <c r="E71" s="2" t="str">
        <f t="shared" si="2"/>
        <v>Bm 2.2 6d R</v>
      </c>
      <c r="F71" s="7" t="str">
        <f t="shared" si="3"/>
        <v>70 R</v>
      </c>
      <c r="G71">
        <v>1.4800000000000001E-2</v>
      </c>
    </row>
    <row r="72" spans="1:7" x14ac:dyDescent="0.45">
      <c r="A72" s="5" t="s">
        <v>72</v>
      </c>
      <c r="B72">
        <v>71</v>
      </c>
      <c r="C72">
        <v>1.9300000000000001E-2</v>
      </c>
      <c r="E72" s="2" t="str">
        <f t="shared" si="2"/>
        <v>Bm 3.1 6d R</v>
      </c>
      <c r="F72" s="7" t="str">
        <f t="shared" si="3"/>
        <v>71 R</v>
      </c>
      <c r="G72">
        <v>1.46E-2</v>
      </c>
    </row>
    <row r="73" spans="1:7" ht="14.65" thickBot="1" x14ac:dyDescent="0.5">
      <c r="A73" s="6" t="s">
        <v>73</v>
      </c>
      <c r="B73" s="3">
        <v>72</v>
      </c>
      <c r="C73">
        <v>1.8599999999999998E-2</v>
      </c>
      <c r="E73" s="3" t="str">
        <f t="shared" si="2"/>
        <v>Bm 3.2 6d R</v>
      </c>
      <c r="F73" s="8" t="str">
        <f t="shared" si="3"/>
        <v>72 R</v>
      </c>
      <c r="G73">
        <v>1.5599999999999999E-2</v>
      </c>
    </row>
    <row r="74" spans="1:7" x14ac:dyDescent="0.45">
      <c r="A74" s="4" t="s">
        <v>74</v>
      </c>
      <c r="B74">
        <v>73</v>
      </c>
      <c r="C74">
        <v>1.7000000000000001E-2</v>
      </c>
      <c r="E74" s="1" t="str">
        <f t="shared" si="2"/>
        <v>C1.1 7d R</v>
      </c>
      <c r="F74" s="7" t="str">
        <f t="shared" si="3"/>
        <v>73 R</v>
      </c>
      <c r="G74">
        <v>1.43E-2</v>
      </c>
    </row>
    <row r="75" spans="1:7" x14ac:dyDescent="0.45">
      <c r="A75" s="5" t="s">
        <v>75</v>
      </c>
      <c r="B75">
        <v>74</v>
      </c>
      <c r="C75">
        <v>2.1299999999999999E-2</v>
      </c>
      <c r="E75" s="2" t="str">
        <f t="shared" si="2"/>
        <v>C1.2 7d R</v>
      </c>
      <c r="F75" s="7" t="str">
        <f t="shared" si="3"/>
        <v>74 R</v>
      </c>
      <c r="G75">
        <v>1.4E-2</v>
      </c>
    </row>
    <row r="76" spans="1:7" x14ac:dyDescent="0.45">
      <c r="A76" s="5" t="s">
        <v>76</v>
      </c>
      <c r="B76">
        <v>75</v>
      </c>
      <c r="C76">
        <v>1.9300000000000001E-2</v>
      </c>
      <c r="E76" s="2" t="str">
        <f t="shared" si="2"/>
        <v>C2.1 7d R</v>
      </c>
      <c r="F76" s="7" t="str">
        <f t="shared" si="3"/>
        <v>75 R</v>
      </c>
      <c r="G76">
        <v>1.4200000000000001E-2</v>
      </c>
    </row>
    <row r="77" spans="1:7" x14ac:dyDescent="0.45">
      <c r="A77" s="5" t="s">
        <v>77</v>
      </c>
      <c r="B77">
        <v>76</v>
      </c>
      <c r="C77">
        <v>1.9300000000000001E-2</v>
      </c>
      <c r="E77" s="2" t="str">
        <f t="shared" si="2"/>
        <v>C2.2 7d R</v>
      </c>
      <c r="F77" s="7" t="str">
        <f t="shared" si="3"/>
        <v>76 R</v>
      </c>
      <c r="G77">
        <v>1.5599999999999999E-2</v>
      </c>
    </row>
    <row r="78" spans="1:7" x14ac:dyDescent="0.45">
      <c r="A78" s="5" t="s">
        <v>78</v>
      </c>
      <c r="B78">
        <v>77</v>
      </c>
      <c r="C78">
        <v>2.0400000000000001E-2</v>
      </c>
      <c r="E78" s="2" t="str">
        <f t="shared" si="2"/>
        <v>C3.1 7d R</v>
      </c>
      <c r="F78" s="7" t="str">
        <f t="shared" si="3"/>
        <v>77 R</v>
      </c>
      <c r="G78">
        <v>1.5100000000000001E-2</v>
      </c>
    </row>
    <row r="79" spans="1:7" x14ac:dyDescent="0.45">
      <c r="A79" s="5" t="s">
        <v>79</v>
      </c>
      <c r="B79">
        <v>78</v>
      </c>
      <c r="C79">
        <v>1.7399999999999999E-2</v>
      </c>
      <c r="E79" s="2" t="str">
        <f t="shared" si="2"/>
        <v>C3.2 7d R</v>
      </c>
      <c r="F79" s="7" t="str">
        <f t="shared" si="3"/>
        <v>78 R</v>
      </c>
      <c r="G79">
        <v>1.6299999999999999E-2</v>
      </c>
    </row>
    <row r="80" spans="1:7" x14ac:dyDescent="0.45">
      <c r="A80" s="5" t="s">
        <v>80</v>
      </c>
      <c r="B80">
        <v>79</v>
      </c>
      <c r="C80">
        <v>1.9E-2</v>
      </c>
      <c r="E80" s="2" t="str">
        <f t="shared" si="2"/>
        <v>Bm1.1 7d R</v>
      </c>
      <c r="F80" s="7" t="str">
        <f t="shared" si="3"/>
        <v>79 R</v>
      </c>
      <c r="G80">
        <v>1.67E-2</v>
      </c>
    </row>
    <row r="81" spans="1:7" x14ac:dyDescent="0.45">
      <c r="A81" s="5" t="s">
        <v>81</v>
      </c>
      <c r="B81">
        <v>80</v>
      </c>
      <c r="C81">
        <v>2.1899999999999999E-2</v>
      </c>
      <c r="E81" s="2" t="str">
        <f t="shared" si="2"/>
        <v>Bm1.2 7d R</v>
      </c>
      <c r="F81" s="7" t="str">
        <f t="shared" si="3"/>
        <v>80 R</v>
      </c>
      <c r="G81">
        <v>1.52E-2</v>
      </c>
    </row>
    <row r="82" spans="1:7" x14ac:dyDescent="0.45">
      <c r="A82" s="5" t="s">
        <v>82</v>
      </c>
      <c r="B82">
        <v>81</v>
      </c>
      <c r="C82">
        <v>1.67E-2</v>
      </c>
      <c r="E82" s="2" t="str">
        <f t="shared" si="2"/>
        <v>Bm 2.1 7d R</v>
      </c>
      <c r="F82" s="7" t="str">
        <f t="shared" si="3"/>
        <v>81 R</v>
      </c>
      <c r="G82">
        <v>1.9199999999999998E-2</v>
      </c>
    </row>
    <row r="83" spans="1:7" x14ac:dyDescent="0.45">
      <c r="A83" s="5" t="s">
        <v>83</v>
      </c>
      <c r="B83">
        <v>82</v>
      </c>
      <c r="C83">
        <v>1.7999999999999999E-2</v>
      </c>
      <c r="E83" s="2" t="str">
        <f t="shared" si="2"/>
        <v>Bm 2.2 7d R</v>
      </c>
      <c r="F83" s="7" t="str">
        <f t="shared" si="3"/>
        <v>82 R</v>
      </c>
      <c r="G83">
        <v>1.6400000000000001E-2</v>
      </c>
    </row>
    <row r="84" spans="1:7" x14ac:dyDescent="0.45">
      <c r="A84" s="5" t="s">
        <v>84</v>
      </c>
      <c r="B84">
        <v>83</v>
      </c>
      <c r="C84">
        <v>1.83E-2</v>
      </c>
      <c r="E84" s="2" t="str">
        <f t="shared" si="2"/>
        <v>Bm 3.1 7d R</v>
      </c>
      <c r="F84" s="7" t="str">
        <f t="shared" si="3"/>
        <v>83 R</v>
      </c>
      <c r="G84">
        <v>1.7100000000000001E-2</v>
      </c>
    </row>
    <row r="85" spans="1:7" ht="14.65" thickBot="1" x14ac:dyDescent="0.5">
      <c r="A85" s="6" t="s">
        <v>85</v>
      </c>
      <c r="B85" s="3">
        <v>84</v>
      </c>
      <c r="C85">
        <v>0.02</v>
      </c>
      <c r="E85" s="3" t="str">
        <f t="shared" si="2"/>
        <v>Bm 3.2 7d R</v>
      </c>
      <c r="F85" s="8" t="str">
        <f t="shared" si="3"/>
        <v>84 R</v>
      </c>
      <c r="G85">
        <v>1.5800000000000002E-2</v>
      </c>
    </row>
    <row r="86" spans="1:7" x14ac:dyDescent="0.45">
      <c r="A86" s="4" t="s">
        <v>86</v>
      </c>
      <c r="B86">
        <v>85</v>
      </c>
      <c r="C86">
        <v>2.2499999999999999E-2</v>
      </c>
      <c r="E86" s="1" t="str">
        <f t="shared" si="2"/>
        <v>C1.1 8d R</v>
      </c>
      <c r="F86" s="7" t="str">
        <f t="shared" si="3"/>
        <v>85 R</v>
      </c>
      <c r="G86">
        <v>1.55E-2</v>
      </c>
    </row>
    <row r="87" spans="1:7" x14ac:dyDescent="0.45">
      <c r="A87" s="5" t="s">
        <v>87</v>
      </c>
      <c r="B87">
        <v>86</v>
      </c>
      <c r="C87">
        <v>2.0799999999999999E-2</v>
      </c>
      <c r="E87" s="2" t="str">
        <f t="shared" si="2"/>
        <v>C1.2 8d R</v>
      </c>
      <c r="F87" s="7" t="str">
        <f t="shared" si="3"/>
        <v>86 R</v>
      </c>
      <c r="G87">
        <v>1.61E-2</v>
      </c>
    </row>
    <row r="88" spans="1:7" x14ac:dyDescent="0.45">
      <c r="A88" s="5" t="s">
        <v>88</v>
      </c>
      <c r="B88">
        <v>87</v>
      </c>
      <c r="C88">
        <v>2.0500000000000001E-2</v>
      </c>
      <c r="E88" s="2" t="str">
        <f t="shared" si="2"/>
        <v>C2.1 8d R</v>
      </c>
      <c r="F88" s="7" t="str">
        <f t="shared" si="3"/>
        <v>87 R</v>
      </c>
      <c r="G88">
        <v>1.15E-2</v>
      </c>
    </row>
    <row r="89" spans="1:7" x14ac:dyDescent="0.45">
      <c r="A89" s="5" t="s">
        <v>89</v>
      </c>
      <c r="B89">
        <v>88</v>
      </c>
      <c r="C89">
        <v>1.7500000000000002E-2</v>
      </c>
      <c r="E89" s="2" t="str">
        <f t="shared" si="2"/>
        <v>C2.2 8d R</v>
      </c>
      <c r="F89" s="7" t="str">
        <f t="shared" si="3"/>
        <v>88 R</v>
      </c>
      <c r="G89">
        <v>1.14E-2</v>
      </c>
    </row>
    <row r="90" spans="1:7" x14ac:dyDescent="0.45">
      <c r="A90" s="5" t="s">
        <v>90</v>
      </c>
      <c r="B90">
        <v>89</v>
      </c>
      <c r="C90">
        <v>2.3900000000000001E-2</v>
      </c>
      <c r="E90" s="2" t="str">
        <f t="shared" si="2"/>
        <v>C3.1 8d R</v>
      </c>
      <c r="F90" s="7" t="str">
        <f t="shared" si="3"/>
        <v>89 R</v>
      </c>
      <c r="G90">
        <v>1.4800000000000001E-2</v>
      </c>
    </row>
    <row r="91" spans="1:7" x14ac:dyDescent="0.45">
      <c r="A91" s="5" t="s">
        <v>91</v>
      </c>
      <c r="B91">
        <v>90</v>
      </c>
      <c r="C91">
        <v>2.1600000000000001E-2</v>
      </c>
      <c r="E91" s="2" t="str">
        <f t="shared" si="2"/>
        <v>C3.2 8d R</v>
      </c>
      <c r="F91" s="7" t="str">
        <f t="shared" si="3"/>
        <v>90 R</v>
      </c>
      <c r="G91">
        <v>1.4800000000000001E-2</v>
      </c>
    </row>
    <row r="92" spans="1:7" x14ac:dyDescent="0.45">
      <c r="A92" s="5" t="s">
        <v>92</v>
      </c>
      <c r="B92">
        <v>91</v>
      </c>
      <c r="C92">
        <v>2.0199999999999999E-2</v>
      </c>
      <c r="E92" s="2" t="str">
        <f t="shared" si="2"/>
        <v>Bm1.1 8d R</v>
      </c>
      <c r="F92" s="7" t="str">
        <f t="shared" si="3"/>
        <v>91 R</v>
      </c>
      <c r="G92">
        <v>1.5599999999999999E-2</v>
      </c>
    </row>
    <row r="93" spans="1:7" x14ac:dyDescent="0.45">
      <c r="A93" s="5" t="s">
        <v>93</v>
      </c>
      <c r="B93">
        <v>92</v>
      </c>
      <c r="C93">
        <v>2.1399999999999999E-2</v>
      </c>
      <c r="E93" s="2" t="str">
        <f t="shared" si="2"/>
        <v>Bm1.2 8d R</v>
      </c>
      <c r="F93" s="7" t="str">
        <f t="shared" si="3"/>
        <v>92 R</v>
      </c>
      <c r="G93">
        <v>1.6400000000000001E-2</v>
      </c>
    </row>
    <row r="94" spans="1:7" x14ac:dyDescent="0.45">
      <c r="A94" s="5" t="s">
        <v>94</v>
      </c>
      <c r="B94">
        <v>93</v>
      </c>
      <c r="C94">
        <v>1.9400000000000001E-2</v>
      </c>
      <c r="E94" s="2" t="str">
        <f t="shared" si="2"/>
        <v>Bm 2.1 8d R</v>
      </c>
      <c r="F94" s="7" t="str">
        <f t="shared" si="3"/>
        <v>93 R</v>
      </c>
      <c r="G94">
        <v>1.7600000000000001E-2</v>
      </c>
    </row>
    <row r="95" spans="1:7" x14ac:dyDescent="0.45">
      <c r="A95" s="5" t="s">
        <v>95</v>
      </c>
      <c r="B95">
        <v>94</v>
      </c>
      <c r="C95">
        <v>2.23E-2</v>
      </c>
      <c r="E95" s="2" t="str">
        <f t="shared" si="2"/>
        <v>Bm 2.2 8d R</v>
      </c>
      <c r="F95" s="7" t="str">
        <f t="shared" si="3"/>
        <v>94 R</v>
      </c>
      <c r="G95">
        <v>1.52E-2</v>
      </c>
    </row>
    <row r="96" spans="1:7" x14ac:dyDescent="0.45">
      <c r="A96" s="5" t="s">
        <v>96</v>
      </c>
      <c r="B96">
        <v>95</v>
      </c>
      <c r="C96">
        <v>2.0500000000000001E-2</v>
      </c>
      <c r="E96" s="2" t="str">
        <f t="shared" si="2"/>
        <v>Bm 3.1 8d R</v>
      </c>
      <c r="F96" s="7" t="str">
        <f t="shared" si="3"/>
        <v>95 R</v>
      </c>
      <c r="G96">
        <v>1.54E-2</v>
      </c>
    </row>
    <row r="97" spans="1:7" ht="14.65" thickBot="1" x14ac:dyDescent="0.5">
      <c r="A97" s="6" t="s">
        <v>97</v>
      </c>
      <c r="B97" s="3">
        <v>96</v>
      </c>
      <c r="C97">
        <v>2.18E-2</v>
      </c>
      <c r="E97" s="3" t="str">
        <f t="shared" si="2"/>
        <v>Bm 3.2 8d R</v>
      </c>
      <c r="F97" s="8" t="str">
        <f t="shared" si="3"/>
        <v>96 R</v>
      </c>
      <c r="G97">
        <v>1.7500000000000002E-2</v>
      </c>
    </row>
    <row r="98" spans="1:7" x14ac:dyDescent="0.45">
      <c r="A98" s="4" t="s">
        <v>98</v>
      </c>
      <c r="B98">
        <v>97</v>
      </c>
      <c r="C98">
        <v>2.3E-2</v>
      </c>
      <c r="E98" s="1" t="str">
        <f t="shared" si="2"/>
        <v>C1.1 9d R</v>
      </c>
      <c r="F98" s="7" t="str">
        <f t="shared" si="3"/>
        <v>97 R</v>
      </c>
      <c r="G98">
        <v>1.44E-2</v>
      </c>
    </row>
    <row r="99" spans="1:7" x14ac:dyDescent="0.45">
      <c r="A99" s="5" t="s">
        <v>99</v>
      </c>
      <c r="B99">
        <v>98</v>
      </c>
      <c r="C99">
        <v>1.8599999999999998E-2</v>
      </c>
      <c r="E99" s="2" t="str">
        <f t="shared" ref="E99:E121" si="4">A99&amp;" R"</f>
        <v>C1.2 9d R</v>
      </c>
      <c r="F99" s="7" t="str">
        <f t="shared" ref="F99:F121" si="5">B99&amp;" R"</f>
        <v>98 R</v>
      </c>
      <c r="G99">
        <v>1.44E-2</v>
      </c>
    </row>
    <row r="100" spans="1:7" x14ac:dyDescent="0.45">
      <c r="A100" s="5" t="s">
        <v>100</v>
      </c>
      <c r="B100">
        <v>99</v>
      </c>
      <c r="C100">
        <v>0.02</v>
      </c>
      <c r="E100" s="2" t="str">
        <f t="shared" si="4"/>
        <v>C2.1 9d R</v>
      </c>
      <c r="F100" s="7" t="str">
        <f t="shared" si="5"/>
        <v>99 R</v>
      </c>
      <c r="G100">
        <v>1.6E-2</v>
      </c>
    </row>
    <row r="101" spans="1:7" x14ac:dyDescent="0.45">
      <c r="A101" s="5" t="s">
        <v>101</v>
      </c>
      <c r="B101">
        <v>100</v>
      </c>
      <c r="C101">
        <v>1.83E-2</v>
      </c>
      <c r="E101" s="2" t="str">
        <f t="shared" si="4"/>
        <v>C2.2 9d R</v>
      </c>
      <c r="F101" s="7" t="str">
        <f t="shared" si="5"/>
        <v>100 R</v>
      </c>
      <c r="G101">
        <v>1.7500000000000002E-2</v>
      </c>
    </row>
    <row r="102" spans="1:7" x14ac:dyDescent="0.45">
      <c r="A102" s="5" t="s">
        <v>102</v>
      </c>
      <c r="B102">
        <v>101</v>
      </c>
      <c r="C102">
        <v>2.3099999999999999E-2</v>
      </c>
      <c r="E102" s="2" t="str">
        <f t="shared" si="4"/>
        <v>C3.1 9d R</v>
      </c>
      <c r="F102" s="7" t="str">
        <f t="shared" si="5"/>
        <v>101 R</v>
      </c>
      <c r="G102">
        <v>1.37E-2</v>
      </c>
    </row>
    <row r="103" spans="1:7" x14ac:dyDescent="0.45">
      <c r="A103" s="5" t="s">
        <v>103</v>
      </c>
      <c r="B103">
        <v>102</v>
      </c>
      <c r="C103">
        <v>2.29E-2</v>
      </c>
      <c r="E103" s="2" t="str">
        <f t="shared" si="4"/>
        <v>C3.2 9d R</v>
      </c>
      <c r="F103" s="7" t="str">
        <f t="shared" si="5"/>
        <v>102 R</v>
      </c>
      <c r="G103">
        <v>1.3100000000000001E-2</v>
      </c>
    </row>
    <row r="104" spans="1:7" x14ac:dyDescent="0.45">
      <c r="A104" s="5" t="s">
        <v>104</v>
      </c>
      <c r="B104">
        <v>103</v>
      </c>
      <c r="C104">
        <v>2.24E-2</v>
      </c>
      <c r="E104" s="2" t="str">
        <f t="shared" si="4"/>
        <v>Bm1.1 9d R</v>
      </c>
      <c r="F104" s="7" t="str">
        <f t="shared" si="5"/>
        <v>103 R</v>
      </c>
      <c r="G104">
        <v>1.2999999999999999E-2</v>
      </c>
    </row>
    <row r="105" spans="1:7" x14ac:dyDescent="0.45">
      <c r="A105" s="5" t="s">
        <v>105</v>
      </c>
      <c r="B105">
        <v>104</v>
      </c>
      <c r="C105">
        <v>2.1399999999999999E-2</v>
      </c>
      <c r="E105" s="2" t="str">
        <f t="shared" si="4"/>
        <v>Bm1.2 9d R</v>
      </c>
      <c r="F105" s="7" t="str">
        <f t="shared" si="5"/>
        <v>104 R</v>
      </c>
      <c r="G105">
        <v>1.61E-2</v>
      </c>
    </row>
    <row r="106" spans="1:7" x14ac:dyDescent="0.45">
      <c r="A106" s="5" t="s">
        <v>106</v>
      </c>
      <c r="B106">
        <v>105</v>
      </c>
      <c r="C106">
        <v>2.1700000000000001E-2</v>
      </c>
      <c r="E106" s="2" t="str">
        <f t="shared" si="4"/>
        <v>Bm 2.1 9d R</v>
      </c>
      <c r="F106" s="7" t="str">
        <f t="shared" si="5"/>
        <v>105 R</v>
      </c>
      <c r="G106">
        <v>1.54E-2</v>
      </c>
    </row>
    <row r="107" spans="1:7" x14ac:dyDescent="0.45">
      <c r="A107" s="5" t="s">
        <v>107</v>
      </c>
      <c r="B107">
        <v>106</v>
      </c>
      <c r="C107">
        <v>2.0500000000000001E-2</v>
      </c>
      <c r="E107" s="2" t="str">
        <f t="shared" si="4"/>
        <v>Bm 2.2 9d R</v>
      </c>
      <c r="F107" s="7" t="str">
        <f t="shared" si="5"/>
        <v>106 R</v>
      </c>
      <c r="G107">
        <v>1.24E-2</v>
      </c>
    </row>
    <row r="108" spans="1:7" x14ac:dyDescent="0.45">
      <c r="A108" s="5" t="s">
        <v>108</v>
      </c>
      <c r="B108">
        <v>107</v>
      </c>
      <c r="C108">
        <v>2.24E-2</v>
      </c>
      <c r="E108" s="2" t="str">
        <f t="shared" si="4"/>
        <v>Bm 3.1 9d R</v>
      </c>
      <c r="F108" s="7" t="str">
        <f t="shared" si="5"/>
        <v>107 R</v>
      </c>
      <c r="G108">
        <v>1.4999999999999999E-2</v>
      </c>
    </row>
    <row r="109" spans="1:7" ht="14.65" thickBot="1" x14ac:dyDescent="0.5">
      <c r="A109" s="6" t="s">
        <v>109</v>
      </c>
      <c r="B109" s="3">
        <v>108</v>
      </c>
      <c r="C109">
        <v>2.18E-2</v>
      </c>
      <c r="E109" s="3" t="str">
        <f t="shared" si="4"/>
        <v>Bm 3.2 9d R</v>
      </c>
      <c r="F109" s="8" t="str">
        <f t="shared" si="5"/>
        <v>108 R</v>
      </c>
      <c r="G109">
        <v>1.49E-2</v>
      </c>
    </row>
    <row r="110" spans="1:7" x14ac:dyDescent="0.45">
      <c r="A110" s="4" t="s">
        <v>110</v>
      </c>
      <c r="B110">
        <v>109</v>
      </c>
      <c r="C110">
        <v>2.01E-2</v>
      </c>
      <c r="E110" s="1" t="str">
        <f t="shared" si="4"/>
        <v>C1.1 10d R</v>
      </c>
      <c r="F110" s="7" t="str">
        <f t="shared" si="5"/>
        <v>109 R</v>
      </c>
      <c r="G110">
        <v>1.2200000000000001E-2</v>
      </c>
    </row>
    <row r="111" spans="1:7" x14ac:dyDescent="0.45">
      <c r="A111" s="5" t="s">
        <v>111</v>
      </c>
      <c r="B111">
        <v>110</v>
      </c>
      <c r="C111">
        <v>2.1700000000000001E-2</v>
      </c>
      <c r="E111" s="2" t="str">
        <f t="shared" si="4"/>
        <v>C1.2 10d R</v>
      </c>
      <c r="F111" s="7" t="str">
        <f t="shared" si="5"/>
        <v>110 R</v>
      </c>
      <c r="G111">
        <v>1.1900000000000001E-2</v>
      </c>
    </row>
    <row r="112" spans="1:7" x14ac:dyDescent="0.45">
      <c r="A112" s="5" t="s">
        <v>112</v>
      </c>
      <c r="B112">
        <v>111</v>
      </c>
      <c r="C112">
        <v>2.1999999999999999E-2</v>
      </c>
      <c r="E112" s="2" t="str">
        <f t="shared" si="4"/>
        <v>C2.1 10d R</v>
      </c>
      <c r="F112" s="7" t="str">
        <f t="shared" si="5"/>
        <v>111 R</v>
      </c>
      <c r="G112">
        <v>1.17E-2</v>
      </c>
    </row>
    <row r="113" spans="1:7" x14ac:dyDescent="0.45">
      <c r="A113" s="5" t="s">
        <v>113</v>
      </c>
      <c r="B113">
        <v>112</v>
      </c>
      <c r="C113">
        <v>2.3199999999999998E-2</v>
      </c>
      <c r="E113" s="2" t="str">
        <f t="shared" si="4"/>
        <v>C2.2 10d R</v>
      </c>
      <c r="F113" s="7" t="str">
        <f t="shared" si="5"/>
        <v>112 R</v>
      </c>
      <c r="G113">
        <v>1.7000000000000001E-2</v>
      </c>
    </row>
    <row r="114" spans="1:7" x14ac:dyDescent="0.45">
      <c r="A114" s="5" t="s">
        <v>114</v>
      </c>
      <c r="B114">
        <v>113</v>
      </c>
      <c r="C114">
        <v>2.1700000000000001E-2</v>
      </c>
      <c r="E114" s="2" t="str">
        <f t="shared" si="4"/>
        <v>C3.1 10d R</v>
      </c>
      <c r="F114" s="7" t="str">
        <f t="shared" si="5"/>
        <v>113 R</v>
      </c>
      <c r="G114">
        <v>1.61E-2</v>
      </c>
    </row>
    <row r="115" spans="1:7" x14ac:dyDescent="0.45">
      <c r="A115" s="5" t="s">
        <v>115</v>
      </c>
      <c r="B115">
        <v>114</v>
      </c>
      <c r="C115">
        <v>2.0400000000000001E-2</v>
      </c>
      <c r="E115" s="2" t="str">
        <f t="shared" si="4"/>
        <v>C3.2 10d R</v>
      </c>
      <c r="F115" s="7" t="str">
        <f t="shared" si="5"/>
        <v>114 R</v>
      </c>
      <c r="G115">
        <v>1.61E-2</v>
      </c>
    </row>
    <row r="116" spans="1:7" x14ac:dyDescent="0.45">
      <c r="A116" s="5" t="s">
        <v>116</v>
      </c>
      <c r="B116">
        <v>115</v>
      </c>
      <c r="C116">
        <v>2.1700000000000001E-2</v>
      </c>
      <c r="E116" s="2" t="str">
        <f t="shared" si="4"/>
        <v>Bm1.1 10d R</v>
      </c>
      <c r="F116" s="7" t="str">
        <f t="shared" si="5"/>
        <v>115 R</v>
      </c>
      <c r="G116">
        <v>1.21E-2</v>
      </c>
    </row>
    <row r="117" spans="1:7" x14ac:dyDescent="0.45">
      <c r="A117" s="5" t="s">
        <v>117</v>
      </c>
      <c r="B117">
        <v>116</v>
      </c>
      <c r="C117">
        <v>2.0799999999999999E-2</v>
      </c>
      <c r="E117" s="2" t="str">
        <f t="shared" si="4"/>
        <v>Bm1.2 10d R</v>
      </c>
      <c r="F117" s="7" t="str">
        <f t="shared" si="5"/>
        <v>116 R</v>
      </c>
      <c r="G117">
        <v>1.0800000000000001E-2</v>
      </c>
    </row>
    <row r="118" spans="1:7" x14ac:dyDescent="0.45">
      <c r="A118" s="5" t="s">
        <v>118</v>
      </c>
      <c r="B118">
        <v>117</v>
      </c>
      <c r="C118">
        <v>2.2499999999999999E-2</v>
      </c>
      <c r="E118" s="2" t="str">
        <f t="shared" si="4"/>
        <v>Bm 2.1 10d R</v>
      </c>
      <c r="F118" s="7" t="str">
        <f t="shared" si="5"/>
        <v>117 R</v>
      </c>
      <c r="G118">
        <v>1.66E-2</v>
      </c>
    </row>
    <row r="119" spans="1:7" x14ac:dyDescent="0.45">
      <c r="A119" s="5" t="s">
        <v>119</v>
      </c>
      <c r="B119">
        <v>118</v>
      </c>
      <c r="C119">
        <v>2.1000000000000001E-2</v>
      </c>
      <c r="E119" s="2" t="str">
        <f t="shared" si="4"/>
        <v>Bm 2.2 10d R</v>
      </c>
      <c r="F119" s="7" t="str">
        <f t="shared" si="5"/>
        <v>118 R</v>
      </c>
      <c r="G119">
        <v>1.52E-2</v>
      </c>
    </row>
    <row r="120" spans="1:7" x14ac:dyDescent="0.45">
      <c r="A120" s="5" t="s">
        <v>120</v>
      </c>
      <c r="B120">
        <v>119</v>
      </c>
      <c r="C120">
        <v>2.1899999999999999E-2</v>
      </c>
      <c r="E120" s="2" t="str">
        <f t="shared" si="4"/>
        <v>Bm 3.1 10d R</v>
      </c>
      <c r="F120" s="7" t="str">
        <f t="shared" si="5"/>
        <v>119 R</v>
      </c>
      <c r="G120">
        <v>1.4200000000000001E-2</v>
      </c>
    </row>
    <row r="121" spans="1:7" ht="14.65" thickBot="1" x14ac:dyDescent="0.5">
      <c r="A121" s="6" t="s">
        <v>121</v>
      </c>
      <c r="B121">
        <v>120</v>
      </c>
      <c r="C121">
        <v>1.9699999999999999E-2</v>
      </c>
      <c r="E121" s="3" t="str">
        <f t="shared" si="4"/>
        <v>Bm 3.2 10d R</v>
      </c>
      <c r="F121" s="7" t="str">
        <f t="shared" si="5"/>
        <v>120 R</v>
      </c>
      <c r="G121">
        <v>1.4500000000000001E-2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5AE4-9B56-40E0-AFB8-A8CE6E62ACD6}">
  <dimension ref="A1:AI1755"/>
  <sheetViews>
    <sheetView topLeftCell="S369" workbookViewId="0">
      <selection activeCell="W405" sqref="W405"/>
    </sheetView>
  </sheetViews>
  <sheetFormatPr baseColWidth="10" defaultRowHeight="14.25" x14ac:dyDescent="0.45"/>
  <sheetData>
    <row r="1" spans="1:25" x14ac:dyDescent="0.45">
      <c r="A1" t="s">
        <v>386</v>
      </c>
      <c r="N1" t="s">
        <v>386</v>
      </c>
    </row>
    <row r="3" spans="1:25" x14ac:dyDescent="0.45">
      <c r="A3" t="s">
        <v>387</v>
      </c>
      <c r="N3" t="s">
        <v>510</v>
      </c>
    </row>
    <row r="5" spans="1:25" x14ac:dyDescent="0.45">
      <c r="A5" t="s">
        <v>388</v>
      </c>
      <c r="N5" t="s">
        <v>388</v>
      </c>
    </row>
    <row r="7" spans="1:25" x14ac:dyDescent="0.45">
      <c r="B7" t="s">
        <v>389</v>
      </c>
      <c r="C7" t="s">
        <v>123</v>
      </c>
      <c r="D7" t="s">
        <v>390</v>
      </c>
      <c r="E7" t="s">
        <v>391</v>
      </c>
      <c r="F7" t="s">
        <v>392</v>
      </c>
      <c r="G7" t="s">
        <v>393</v>
      </c>
      <c r="H7" t="s">
        <v>394</v>
      </c>
      <c r="I7" t="s">
        <v>395</v>
      </c>
      <c r="J7" t="s">
        <v>396</v>
      </c>
      <c r="K7" t="s">
        <v>397</v>
      </c>
      <c r="L7" t="s">
        <v>398</v>
      </c>
      <c r="O7" t="s">
        <v>389</v>
      </c>
      <c r="P7" t="s">
        <v>123</v>
      </c>
      <c r="Q7" t="s">
        <v>390</v>
      </c>
      <c r="R7" t="s">
        <v>391</v>
      </c>
      <c r="S7" t="s">
        <v>392</v>
      </c>
      <c r="T7" t="s">
        <v>393</v>
      </c>
      <c r="U7" t="s">
        <v>394</v>
      </c>
      <c r="V7" t="s">
        <v>395</v>
      </c>
      <c r="W7" t="s">
        <v>396</v>
      </c>
      <c r="X7" t="s">
        <v>397</v>
      </c>
      <c r="Y7" t="s">
        <v>398</v>
      </c>
    </row>
    <row r="8" spans="1:25" x14ac:dyDescent="0.45">
      <c r="A8">
        <v>1</v>
      </c>
      <c r="B8">
        <v>1</v>
      </c>
      <c r="C8" t="s">
        <v>399</v>
      </c>
      <c r="D8" t="s">
        <v>400</v>
      </c>
      <c r="E8">
        <v>0.05</v>
      </c>
      <c r="F8">
        <v>3.07</v>
      </c>
      <c r="G8">
        <v>622.84500000000003</v>
      </c>
      <c r="H8">
        <v>37850.171999999999</v>
      </c>
      <c r="I8">
        <v>0.16500000000000001</v>
      </c>
      <c r="J8" t="s">
        <v>401</v>
      </c>
      <c r="K8">
        <v>0.2</v>
      </c>
      <c r="L8">
        <v>232.7</v>
      </c>
      <c r="N8">
        <v>1</v>
      </c>
      <c r="O8">
        <v>1</v>
      </c>
      <c r="P8" t="s">
        <v>511</v>
      </c>
      <c r="Q8" t="s">
        <v>400</v>
      </c>
      <c r="R8">
        <v>0.05</v>
      </c>
      <c r="S8">
        <v>3.06</v>
      </c>
      <c r="T8">
        <v>837.96400000000006</v>
      </c>
      <c r="U8">
        <v>57921.266000000003</v>
      </c>
      <c r="V8">
        <v>0.14499999999999999</v>
      </c>
      <c r="W8" t="s">
        <v>412</v>
      </c>
      <c r="X8">
        <v>0.1</v>
      </c>
      <c r="Y8">
        <v>40.5</v>
      </c>
    </row>
    <row r="9" spans="1:25" x14ac:dyDescent="0.45">
      <c r="A9">
        <v>2</v>
      </c>
      <c r="B9">
        <v>2</v>
      </c>
      <c r="C9" t="s">
        <v>402</v>
      </c>
      <c r="D9" t="s">
        <v>400</v>
      </c>
      <c r="E9">
        <v>0.5</v>
      </c>
      <c r="F9">
        <v>3.07</v>
      </c>
      <c r="G9">
        <v>4974.1530000000002</v>
      </c>
      <c r="H9">
        <v>41562.281000000003</v>
      </c>
      <c r="I9">
        <v>1.1970000000000001</v>
      </c>
      <c r="J9" t="s">
        <v>403</v>
      </c>
      <c r="K9">
        <v>0.6</v>
      </c>
      <c r="L9">
        <v>19.8</v>
      </c>
      <c r="N9">
        <v>2</v>
      </c>
      <c r="O9">
        <v>2</v>
      </c>
      <c r="P9" t="s">
        <v>512</v>
      </c>
      <c r="Q9" t="s">
        <v>400</v>
      </c>
      <c r="R9">
        <v>0.5</v>
      </c>
      <c r="S9">
        <v>3.06</v>
      </c>
      <c r="T9">
        <v>8103.4350000000004</v>
      </c>
      <c r="U9">
        <v>60703.667999999998</v>
      </c>
      <c r="V9">
        <v>1.335</v>
      </c>
      <c r="W9" t="s">
        <v>401</v>
      </c>
      <c r="X9">
        <v>0.5</v>
      </c>
      <c r="Y9">
        <v>6.6</v>
      </c>
    </row>
    <row r="10" spans="1:25" x14ac:dyDescent="0.45">
      <c r="A10">
        <v>3</v>
      </c>
      <c r="B10">
        <v>3</v>
      </c>
      <c r="C10" t="s">
        <v>404</v>
      </c>
      <c r="D10" t="s">
        <v>400</v>
      </c>
      <c r="E10">
        <v>1.25</v>
      </c>
      <c r="F10">
        <v>3.07</v>
      </c>
      <c r="G10">
        <v>12969.43</v>
      </c>
      <c r="H10">
        <v>46373.038999999997</v>
      </c>
      <c r="I10">
        <v>2.7970000000000002</v>
      </c>
      <c r="J10" t="s">
        <v>403</v>
      </c>
      <c r="K10">
        <v>1.3</v>
      </c>
      <c r="L10">
        <v>1.6</v>
      </c>
      <c r="N10">
        <v>3</v>
      </c>
      <c r="O10">
        <v>3</v>
      </c>
      <c r="P10" t="s">
        <v>513</v>
      </c>
      <c r="Q10" t="s">
        <v>400</v>
      </c>
      <c r="R10">
        <v>1.25</v>
      </c>
      <c r="S10">
        <v>3.06</v>
      </c>
      <c r="T10">
        <v>19035.136999999999</v>
      </c>
      <c r="U10">
        <v>59847.233999999997</v>
      </c>
      <c r="V10">
        <v>3.181</v>
      </c>
      <c r="W10" t="s">
        <v>412</v>
      </c>
      <c r="X10">
        <v>1.3</v>
      </c>
      <c r="Y10">
        <v>0</v>
      </c>
    </row>
    <row r="11" spans="1:25" x14ac:dyDescent="0.45">
      <c r="A11">
        <v>4</v>
      </c>
      <c r="B11">
        <v>4</v>
      </c>
      <c r="C11" t="s">
        <v>405</v>
      </c>
      <c r="D11" t="s">
        <v>400</v>
      </c>
      <c r="E11">
        <v>2.5</v>
      </c>
      <c r="F11">
        <v>3.07</v>
      </c>
      <c r="G11">
        <v>27934.938999999998</v>
      </c>
      <c r="H11">
        <v>51413.949000000001</v>
      </c>
      <c r="I11">
        <v>5.4329999999999998</v>
      </c>
      <c r="J11" t="s">
        <v>401</v>
      </c>
      <c r="K11">
        <v>2.4</v>
      </c>
      <c r="L11">
        <v>-5</v>
      </c>
      <c r="N11">
        <v>4</v>
      </c>
      <c r="O11">
        <v>4</v>
      </c>
      <c r="P11" t="s">
        <v>514</v>
      </c>
      <c r="Q11" t="s">
        <v>400</v>
      </c>
      <c r="R11">
        <v>2.5</v>
      </c>
      <c r="S11">
        <v>3.06</v>
      </c>
      <c r="T11">
        <v>37732.031000000003</v>
      </c>
      <c r="U11">
        <v>59862.137000000002</v>
      </c>
      <c r="V11">
        <v>6.3029999999999999</v>
      </c>
      <c r="W11" t="s">
        <v>403</v>
      </c>
      <c r="X11">
        <v>2.5</v>
      </c>
      <c r="Y11">
        <v>-1.4</v>
      </c>
    </row>
    <row r="12" spans="1:25" x14ac:dyDescent="0.45">
      <c r="A12">
        <v>5</v>
      </c>
      <c r="B12">
        <v>5</v>
      </c>
      <c r="C12" t="s">
        <v>406</v>
      </c>
      <c r="D12" t="s">
        <v>400</v>
      </c>
      <c r="E12">
        <v>3.5</v>
      </c>
      <c r="F12">
        <v>3.07</v>
      </c>
      <c r="G12">
        <v>40549.137000000002</v>
      </c>
      <c r="H12">
        <v>54456.370999999999</v>
      </c>
      <c r="I12">
        <v>7.4459999999999997</v>
      </c>
      <c r="J12" t="s">
        <v>403</v>
      </c>
      <c r="K12">
        <v>3.2</v>
      </c>
      <c r="L12">
        <v>-8</v>
      </c>
      <c r="N12">
        <v>5</v>
      </c>
      <c r="O12">
        <v>5</v>
      </c>
      <c r="P12" t="s">
        <v>515</v>
      </c>
      <c r="Q12" t="s">
        <v>400</v>
      </c>
      <c r="R12">
        <v>3.5</v>
      </c>
      <c r="S12">
        <v>3.06</v>
      </c>
      <c r="T12">
        <v>53920.074000000001</v>
      </c>
      <c r="U12">
        <v>61719.156000000003</v>
      </c>
      <c r="V12">
        <v>8.7360000000000007</v>
      </c>
      <c r="W12" t="s">
        <v>401</v>
      </c>
      <c r="X12">
        <v>3.4</v>
      </c>
      <c r="Y12">
        <v>-2.6</v>
      </c>
    </row>
    <row r="13" spans="1:25" x14ac:dyDescent="0.45">
      <c r="A13">
        <v>6</v>
      </c>
      <c r="B13">
        <v>6</v>
      </c>
      <c r="C13" t="s">
        <v>407</v>
      </c>
      <c r="D13" t="s">
        <v>400</v>
      </c>
      <c r="E13">
        <v>5</v>
      </c>
      <c r="F13">
        <v>3.07</v>
      </c>
      <c r="G13">
        <v>60963.237999999998</v>
      </c>
      <c r="H13">
        <v>52267.851999999999</v>
      </c>
      <c r="I13">
        <v>11.664</v>
      </c>
      <c r="J13" t="s">
        <v>403</v>
      </c>
      <c r="K13">
        <v>5</v>
      </c>
      <c r="L13">
        <v>-0.2</v>
      </c>
      <c r="N13">
        <v>6</v>
      </c>
      <c r="O13">
        <v>6</v>
      </c>
      <c r="P13" t="s">
        <v>516</v>
      </c>
      <c r="Q13" t="s">
        <v>400</v>
      </c>
      <c r="R13">
        <v>5</v>
      </c>
      <c r="S13">
        <v>3.06</v>
      </c>
      <c r="T13">
        <v>79199.641000000003</v>
      </c>
      <c r="U13">
        <v>60989.391000000003</v>
      </c>
      <c r="V13">
        <v>12.986000000000001</v>
      </c>
      <c r="W13" t="s">
        <v>403</v>
      </c>
      <c r="X13">
        <v>5.0999999999999996</v>
      </c>
      <c r="Y13">
        <v>1.2</v>
      </c>
    </row>
    <row r="14" spans="1:25" x14ac:dyDescent="0.45">
      <c r="A14">
        <v>7</v>
      </c>
      <c r="B14">
        <v>7</v>
      </c>
      <c r="C14" t="s">
        <v>408</v>
      </c>
      <c r="D14" t="s">
        <v>400</v>
      </c>
      <c r="E14">
        <v>7</v>
      </c>
      <c r="F14">
        <v>3.07</v>
      </c>
      <c r="G14">
        <v>90334.016000000003</v>
      </c>
      <c r="H14">
        <v>53458.148000000001</v>
      </c>
      <c r="I14">
        <v>16.898</v>
      </c>
      <c r="J14" t="s">
        <v>403</v>
      </c>
      <c r="K14">
        <v>7.2</v>
      </c>
      <c r="L14">
        <v>2.6</v>
      </c>
      <c r="N14">
        <v>7</v>
      </c>
      <c r="O14">
        <v>7</v>
      </c>
      <c r="P14" t="s">
        <v>517</v>
      </c>
      <c r="Q14" t="s">
        <v>400</v>
      </c>
      <c r="R14">
        <v>7</v>
      </c>
      <c r="S14">
        <v>3.06</v>
      </c>
      <c r="T14">
        <v>109385</v>
      </c>
      <c r="U14">
        <v>60756.241999999998</v>
      </c>
      <c r="V14">
        <v>18.004000000000001</v>
      </c>
      <c r="W14" t="s">
        <v>412</v>
      </c>
      <c r="X14">
        <v>7</v>
      </c>
      <c r="Y14">
        <v>0.2</v>
      </c>
    </row>
    <row r="15" spans="1:25" x14ac:dyDescent="0.45">
      <c r="A15">
        <v>8</v>
      </c>
      <c r="B15">
        <v>8</v>
      </c>
      <c r="C15" t="s">
        <v>409</v>
      </c>
      <c r="D15" t="s">
        <v>410</v>
      </c>
      <c r="F15">
        <v>3.47</v>
      </c>
      <c r="G15">
        <v>203.76300000000001</v>
      </c>
      <c r="H15">
        <v>3238.904</v>
      </c>
      <c r="I15">
        <v>0.629</v>
      </c>
      <c r="J15" t="s">
        <v>401</v>
      </c>
      <c r="K15">
        <v>0.4</v>
      </c>
      <c r="N15">
        <v>8</v>
      </c>
      <c r="O15">
        <v>8</v>
      </c>
      <c r="P15" t="s">
        <v>518</v>
      </c>
      <c r="Q15" t="s">
        <v>410</v>
      </c>
      <c r="S15">
        <v>3.06</v>
      </c>
      <c r="T15">
        <v>89.777000000000001</v>
      </c>
      <c r="U15">
        <v>120.629</v>
      </c>
      <c r="V15">
        <v>7.4420000000000002</v>
      </c>
      <c r="W15" t="s">
        <v>403</v>
      </c>
      <c r="X15">
        <v>2.9</v>
      </c>
    </row>
    <row r="16" spans="1:25" x14ac:dyDescent="0.45">
      <c r="A16">
        <v>9</v>
      </c>
      <c r="B16">
        <v>9</v>
      </c>
      <c r="C16" t="s">
        <v>411</v>
      </c>
      <c r="D16" t="s">
        <v>410</v>
      </c>
      <c r="F16">
        <v>3.48</v>
      </c>
      <c r="G16">
        <v>120.78100000000001</v>
      </c>
      <c r="H16">
        <v>2770.3530000000001</v>
      </c>
      <c r="I16">
        <v>0.436</v>
      </c>
      <c r="J16" t="s">
        <v>412</v>
      </c>
      <c r="K16">
        <v>0.3</v>
      </c>
      <c r="N16">
        <v>9</v>
      </c>
      <c r="O16">
        <v>9</v>
      </c>
      <c r="P16" t="s">
        <v>519</v>
      </c>
      <c r="Q16" t="s">
        <v>410</v>
      </c>
      <c r="S16">
        <v>3.48</v>
      </c>
      <c r="T16">
        <v>64.093000000000004</v>
      </c>
      <c r="U16">
        <v>171.69</v>
      </c>
      <c r="V16">
        <v>3.7330000000000001</v>
      </c>
      <c r="W16" t="s">
        <v>412</v>
      </c>
      <c r="X16">
        <v>1.5</v>
      </c>
    </row>
    <row r="17" spans="1:24" x14ac:dyDescent="0.45">
      <c r="A17">
        <v>10</v>
      </c>
      <c r="B17">
        <v>10</v>
      </c>
      <c r="C17" t="s">
        <v>413</v>
      </c>
      <c r="D17" t="s">
        <v>414</v>
      </c>
      <c r="F17">
        <v>3.07</v>
      </c>
      <c r="G17">
        <v>150247.15599999999</v>
      </c>
      <c r="H17">
        <v>29547.296999999999</v>
      </c>
      <c r="I17">
        <v>50.85</v>
      </c>
      <c r="J17" t="s">
        <v>415</v>
      </c>
      <c r="K17">
        <v>21.4</v>
      </c>
      <c r="N17">
        <v>10</v>
      </c>
      <c r="O17">
        <v>10</v>
      </c>
      <c r="P17" t="s">
        <v>520</v>
      </c>
      <c r="Q17" t="s">
        <v>414</v>
      </c>
      <c r="S17">
        <v>3.07</v>
      </c>
      <c r="T17">
        <v>225071.641</v>
      </c>
      <c r="U17">
        <v>52610.813000000002</v>
      </c>
      <c r="V17">
        <v>42.78</v>
      </c>
      <c r="W17" t="s">
        <v>403</v>
      </c>
      <c r="X17">
        <v>16.600000000000001</v>
      </c>
    </row>
    <row r="18" spans="1:24" x14ac:dyDescent="0.45">
      <c r="A18">
        <v>11</v>
      </c>
      <c r="B18">
        <v>11</v>
      </c>
      <c r="C18" t="s">
        <v>416</v>
      </c>
      <c r="D18" t="s">
        <v>414</v>
      </c>
      <c r="F18">
        <v>3.07</v>
      </c>
      <c r="G18">
        <v>138048.859</v>
      </c>
      <c r="H18">
        <v>36206.199000000001</v>
      </c>
      <c r="I18">
        <v>38.128999999999998</v>
      </c>
      <c r="J18" t="s">
        <v>403</v>
      </c>
      <c r="K18">
        <v>16.100000000000001</v>
      </c>
      <c r="N18">
        <v>11</v>
      </c>
      <c r="O18">
        <v>11</v>
      </c>
      <c r="P18" t="s">
        <v>521</v>
      </c>
      <c r="Q18" t="s">
        <v>414</v>
      </c>
      <c r="S18">
        <v>3.06</v>
      </c>
      <c r="T18">
        <v>120476.016</v>
      </c>
      <c r="U18">
        <v>27280.190999999999</v>
      </c>
      <c r="V18">
        <v>44.161999999999999</v>
      </c>
      <c r="W18" t="s">
        <v>401</v>
      </c>
      <c r="X18">
        <v>17.2</v>
      </c>
    </row>
    <row r="19" spans="1:24" x14ac:dyDescent="0.45">
      <c r="A19">
        <v>12</v>
      </c>
      <c r="B19">
        <v>12</v>
      </c>
      <c r="C19" t="s">
        <v>417</v>
      </c>
      <c r="D19" t="s">
        <v>414</v>
      </c>
      <c r="F19">
        <v>3.07</v>
      </c>
      <c r="G19">
        <v>138803.125</v>
      </c>
      <c r="H19">
        <v>28794.282999999999</v>
      </c>
      <c r="I19">
        <v>48.204999999999998</v>
      </c>
      <c r="J19" t="s">
        <v>401</v>
      </c>
      <c r="K19">
        <v>20.3</v>
      </c>
      <c r="N19">
        <v>12</v>
      </c>
      <c r="O19">
        <v>12</v>
      </c>
      <c r="P19" t="s">
        <v>522</v>
      </c>
      <c r="Q19" t="s">
        <v>414</v>
      </c>
      <c r="S19">
        <v>3.06</v>
      </c>
      <c r="T19">
        <v>89605.133000000002</v>
      </c>
      <c r="U19">
        <v>24072.826000000001</v>
      </c>
      <c r="V19">
        <v>37.222999999999999</v>
      </c>
      <c r="W19" t="s">
        <v>403</v>
      </c>
      <c r="X19">
        <v>14.5</v>
      </c>
    </row>
    <row r="20" spans="1:24" x14ac:dyDescent="0.45">
      <c r="A20">
        <v>13</v>
      </c>
      <c r="B20">
        <v>13</v>
      </c>
      <c r="C20" t="s">
        <v>418</v>
      </c>
      <c r="D20" t="s">
        <v>414</v>
      </c>
      <c r="F20">
        <v>3.07</v>
      </c>
      <c r="G20">
        <v>91539.32</v>
      </c>
      <c r="H20">
        <v>25391.655999999999</v>
      </c>
      <c r="I20">
        <v>36.051000000000002</v>
      </c>
      <c r="J20" t="s">
        <v>403</v>
      </c>
      <c r="K20">
        <v>15.2</v>
      </c>
      <c r="N20">
        <v>13</v>
      </c>
      <c r="O20">
        <v>13</v>
      </c>
      <c r="P20" t="s">
        <v>523</v>
      </c>
      <c r="Q20" t="s">
        <v>414</v>
      </c>
      <c r="S20">
        <v>3.06</v>
      </c>
      <c r="T20">
        <v>111702.609</v>
      </c>
      <c r="U20">
        <v>35754.375</v>
      </c>
      <c r="V20">
        <v>31.242000000000001</v>
      </c>
      <c r="W20" t="s">
        <v>401</v>
      </c>
      <c r="X20">
        <v>12.2</v>
      </c>
    </row>
    <row r="21" spans="1:24" x14ac:dyDescent="0.45">
      <c r="A21">
        <v>14</v>
      </c>
      <c r="B21">
        <v>14</v>
      </c>
      <c r="C21" t="s">
        <v>419</v>
      </c>
      <c r="D21" t="s">
        <v>414</v>
      </c>
      <c r="F21">
        <v>3.07</v>
      </c>
      <c r="G21">
        <v>96640.508000000002</v>
      </c>
      <c r="H21">
        <v>33072.078000000001</v>
      </c>
      <c r="I21">
        <v>29.221</v>
      </c>
      <c r="J21" t="s">
        <v>403</v>
      </c>
      <c r="K21">
        <v>12.3</v>
      </c>
      <c r="N21">
        <v>14</v>
      </c>
      <c r="O21">
        <v>14</v>
      </c>
      <c r="P21" t="s">
        <v>524</v>
      </c>
      <c r="Q21" t="s">
        <v>414</v>
      </c>
      <c r="S21">
        <v>3.06</v>
      </c>
      <c r="T21">
        <v>94861.741999999998</v>
      </c>
      <c r="U21">
        <v>22574.831999999999</v>
      </c>
      <c r="V21">
        <v>42.021000000000001</v>
      </c>
      <c r="W21" t="s">
        <v>401</v>
      </c>
      <c r="X21">
        <v>16.3</v>
      </c>
    </row>
    <row r="22" spans="1:24" x14ac:dyDescent="0.45">
      <c r="A22">
        <v>15</v>
      </c>
      <c r="B22">
        <v>15</v>
      </c>
      <c r="C22" t="s">
        <v>420</v>
      </c>
      <c r="D22" t="s">
        <v>414</v>
      </c>
      <c r="F22">
        <v>3.07</v>
      </c>
      <c r="G22">
        <v>172730.31299999999</v>
      </c>
      <c r="H22">
        <v>37934.870999999999</v>
      </c>
      <c r="I22">
        <v>45.533000000000001</v>
      </c>
      <c r="J22" t="s">
        <v>403</v>
      </c>
      <c r="K22">
        <v>19.2</v>
      </c>
      <c r="N22">
        <v>15</v>
      </c>
      <c r="O22">
        <v>15</v>
      </c>
      <c r="P22" t="s">
        <v>525</v>
      </c>
      <c r="Q22" t="s">
        <v>414</v>
      </c>
      <c r="S22">
        <v>3.06</v>
      </c>
      <c r="T22">
        <v>98350.75</v>
      </c>
      <c r="U22">
        <v>23625.574000000001</v>
      </c>
      <c r="V22">
        <v>41.628999999999998</v>
      </c>
      <c r="W22" t="s">
        <v>401</v>
      </c>
      <c r="X22">
        <v>16.2</v>
      </c>
    </row>
    <row r="23" spans="1:24" x14ac:dyDescent="0.45">
      <c r="A23">
        <v>16</v>
      </c>
      <c r="B23">
        <v>16</v>
      </c>
      <c r="C23" t="s">
        <v>421</v>
      </c>
      <c r="D23" t="s">
        <v>414</v>
      </c>
      <c r="F23">
        <v>3.07</v>
      </c>
      <c r="G23">
        <v>113379.75</v>
      </c>
      <c r="H23">
        <v>34938.203000000001</v>
      </c>
      <c r="I23">
        <v>32.451999999999998</v>
      </c>
      <c r="J23" t="s">
        <v>403</v>
      </c>
      <c r="K23">
        <v>13.7</v>
      </c>
      <c r="N23">
        <v>16</v>
      </c>
      <c r="O23">
        <v>16</v>
      </c>
      <c r="P23" t="s">
        <v>526</v>
      </c>
      <c r="Q23" t="s">
        <v>414</v>
      </c>
      <c r="S23">
        <v>3.06</v>
      </c>
      <c r="T23">
        <v>104950.477</v>
      </c>
      <c r="U23">
        <v>32827.847999999998</v>
      </c>
      <c r="V23">
        <v>31.97</v>
      </c>
      <c r="W23" t="s">
        <v>401</v>
      </c>
      <c r="X23">
        <v>12.4</v>
      </c>
    </row>
    <row r="24" spans="1:24" x14ac:dyDescent="0.45">
      <c r="A24">
        <v>17</v>
      </c>
      <c r="B24">
        <v>17</v>
      </c>
      <c r="C24" t="s">
        <v>422</v>
      </c>
      <c r="D24" t="s">
        <v>414</v>
      </c>
      <c r="F24">
        <v>3.07</v>
      </c>
      <c r="G24">
        <v>98554.656000000003</v>
      </c>
      <c r="H24">
        <v>32101.521000000001</v>
      </c>
      <c r="I24">
        <v>30.701000000000001</v>
      </c>
      <c r="J24" t="s">
        <v>403</v>
      </c>
      <c r="K24">
        <v>13</v>
      </c>
      <c r="N24">
        <v>17</v>
      </c>
      <c r="O24">
        <v>17</v>
      </c>
      <c r="P24" t="s">
        <v>527</v>
      </c>
      <c r="Q24" t="s">
        <v>414</v>
      </c>
      <c r="S24">
        <v>3.06</v>
      </c>
      <c r="T24">
        <v>62816.093999999997</v>
      </c>
      <c r="U24">
        <v>21031.434000000001</v>
      </c>
      <c r="V24">
        <v>29.867999999999999</v>
      </c>
      <c r="W24" t="s">
        <v>401</v>
      </c>
      <c r="X24">
        <v>11.6</v>
      </c>
    </row>
    <row r="25" spans="1:24" x14ac:dyDescent="0.45">
      <c r="A25">
        <v>18</v>
      </c>
      <c r="B25">
        <v>18</v>
      </c>
      <c r="C25" t="s">
        <v>423</v>
      </c>
      <c r="D25" t="s">
        <v>414</v>
      </c>
      <c r="F25">
        <v>3.07</v>
      </c>
      <c r="G25">
        <v>116629.29700000001</v>
      </c>
      <c r="H25">
        <v>34423.266000000003</v>
      </c>
      <c r="I25">
        <v>33.881</v>
      </c>
      <c r="J25" t="s">
        <v>403</v>
      </c>
      <c r="K25">
        <v>14.3</v>
      </c>
      <c r="N25">
        <v>18</v>
      </c>
      <c r="O25">
        <v>18</v>
      </c>
      <c r="P25" t="s">
        <v>528</v>
      </c>
      <c r="Q25" t="s">
        <v>414</v>
      </c>
      <c r="S25">
        <v>3.07</v>
      </c>
      <c r="T25">
        <v>144648.04699999999</v>
      </c>
      <c r="U25">
        <v>30196.365000000002</v>
      </c>
      <c r="V25">
        <v>47.902000000000001</v>
      </c>
      <c r="W25" t="s">
        <v>401</v>
      </c>
      <c r="X25">
        <v>18.600000000000001</v>
      </c>
    </row>
    <row r="26" spans="1:24" x14ac:dyDescent="0.45">
      <c r="A26">
        <v>19</v>
      </c>
      <c r="B26">
        <v>19</v>
      </c>
      <c r="C26" t="s">
        <v>424</v>
      </c>
      <c r="D26" t="s">
        <v>414</v>
      </c>
      <c r="F26">
        <v>3.07</v>
      </c>
      <c r="G26">
        <v>164377.016</v>
      </c>
      <c r="H26">
        <v>39836.754000000001</v>
      </c>
      <c r="I26">
        <v>41.262999999999998</v>
      </c>
      <c r="J26" t="s">
        <v>403</v>
      </c>
      <c r="K26">
        <v>17.399999999999999</v>
      </c>
      <c r="N26">
        <v>19</v>
      </c>
      <c r="O26">
        <v>19</v>
      </c>
      <c r="P26" t="s">
        <v>529</v>
      </c>
      <c r="Q26" t="s">
        <v>414</v>
      </c>
      <c r="S26">
        <v>3.07</v>
      </c>
      <c r="T26">
        <v>187278.42199999999</v>
      </c>
      <c r="U26">
        <v>43884.116999999998</v>
      </c>
      <c r="V26">
        <v>42.676000000000002</v>
      </c>
      <c r="W26" t="s">
        <v>401</v>
      </c>
      <c r="X26">
        <v>16.600000000000001</v>
      </c>
    </row>
    <row r="27" spans="1:24" x14ac:dyDescent="0.45">
      <c r="A27">
        <v>20</v>
      </c>
      <c r="B27">
        <v>20</v>
      </c>
      <c r="C27" t="s">
        <v>425</v>
      </c>
      <c r="D27" t="s">
        <v>414</v>
      </c>
      <c r="F27">
        <v>3.07</v>
      </c>
      <c r="G27">
        <v>75713.554999999993</v>
      </c>
      <c r="H27">
        <v>25446.662</v>
      </c>
      <c r="I27">
        <v>29.754000000000001</v>
      </c>
      <c r="J27" t="s">
        <v>401</v>
      </c>
      <c r="K27">
        <v>12.6</v>
      </c>
      <c r="N27">
        <v>20</v>
      </c>
      <c r="O27">
        <v>20</v>
      </c>
      <c r="P27" t="s">
        <v>530</v>
      </c>
      <c r="Q27" t="s">
        <v>414</v>
      </c>
      <c r="S27">
        <v>3.07</v>
      </c>
      <c r="T27">
        <v>87836.358999999997</v>
      </c>
      <c r="U27">
        <v>22539.842000000001</v>
      </c>
      <c r="V27">
        <v>38.969000000000001</v>
      </c>
      <c r="W27" t="s">
        <v>401</v>
      </c>
      <c r="X27">
        <v>15.2</v>
      </c>
    </row>
    <row r="28" spans="1:24" x14ac:dyDescent="0.45">
      <c r="A28">
        <v>21</v>
      </c>
      <c r="B28">
        <v>21</v>
      </c>
      <c r="C28" t="s">
        <v>426</v>
      </c>
      <c r="D28" t="s">
        <v>414</v>
      </c>
      <c r="F28">
        <v>3.07</v>
      </c>
      <c r="G28">
        <v>93520.320000000007</v>
      </c>
      <c r="H28">
        <v>32067.66</v>
      </c>
      <c r="I28">
        <v>29.163</v>
      </c>
      <c r="J28" t="s">
        <v>403</v>
      </c>
      <c r="K28">
        <v>12.3</v>
      </c>
      <c r="N28">
        <v>21</v>
      </c>
      <c r="O28">
        <v>21</v>
      </c>
      <c r="P28" t="s">
        <v>531</v>
      </c>
      <c r="Q28" t="s">
        <v>414</v>
      </c>
      <c r="S28">
        <v>3.07</v>
      </c>
      <c r="T28">
        <v>91792.218999999997</v>
      </c>
      <c r="U28">
        <v>24519.092000000001</v>
      </c>
      <c r="V28">
        <v>37.436999999999998</v>
      </c>
      <c r="W28" t="s">
        <v>401</v>
      </c>
      <c r="X28">
        <v>14.6</v>
      </c>
    </row>
    <row r="29" spans="1:24" x14ac:dyDescent="0.45">
      <c r="A29">
        <v>22</v>
      </c>
      <c r="B29">
        <v>22</v>
      </c>
      <c r="C29" t="s">
        <v>427</v>
      </c>
      <c r="D29" t="s">
        <v>414</v>
      </c>
      <c r="F29">
        <v>3.07</v>
      </c>
      <c r="G29">
        <v>111821.984</v>
      </c>
      <c r="H29">
        <v>26188.508000000002</v>
      </c>
      <c r="I29">
        <v>42.698999999999998</v>
      </c>
      <c r="J29" t="s">
        <v>403</v>
      </c>
      <c r="K29">
        <v>18</v>
      </c>
      <c r="N29">
        <v>22</v>
      </c>
      <c r="O29">
        <v>22</v>
      </c>
      <c r="P29" t="s">
        <v>532</v>
      </c>
      <c r="Q29" t="s">
        <v>414</v>
      </c>
      <c r="S29">
        <v>3.06</v>
      </c>
      <c r="T29">
        <v>82273.414000000004</v>
      </c>
      <c r="U29">
        <v>27552.648000000001</v>
      </c>
      <c r="V29">
        <v>29.86</v>
      </c>
      <c r="W29" t="s">
        <v>403</v>
      </c>
      <c r="X29">
        <v>11.6</v>
      </c>
    </row>
    <row r="30" spans="1:24" x14ac:dyDescent="0.45">
      <c r="A30">
        <v>23</v>
      </c>
      <c r="B30">
        <v>23</v>
      </c>
      <c r="C30" t="s">
        <v>428</v>
      </c>
      <c r="D30" t="s">
        <v>414</v>
      </c>
      <c r="F30">
        <v>3.07</v>
      </c>
      <c r="G30">
        <v>124764.867</v>
      </c>
      <c r="H30">
        <v>27376.719000000001</v>
      </c>
      <c r="I30">
        <v>45.573</v>
      </c>
      <c r="J30" t="s">
        <v>401</v>
      </c>
      <c r="K30">
        <v>19.2</v>
      </c>
      <c r="N30">
        <v>23</v>
      </c>
      <c r="O30">
        <v>23</v>
      </c>
      <c r="P30" t="s">
        <v>533</v>
      </c>
      <c r="Q30" t="s">
        <v>414</v>
      </c>
      <c r="S30">
        <v>3.06</v>
      </c>
      <c r="T30">
        <v>140619.92199999999</v>
      </c>
      <c r="U30">
        <v>36978.883000000002</v>
      </c>
      <c r="V30">
        <v>38.027000000000001</v>
      </c>
      <c r="W30" t="s">
        <v>401</v>
      </c>
      <c r="X30">
        <v>14.8</v>
      </c>
    </row>
    <row r="31" spans="1:24" x14ac:dyDescent="0.45">
      <c r="A31">
        <v>24</v>
      </c>
      <c r="B31">
        <v>24</v>
      </c>
      <c r="C31" t="s">
        <v>429</v>
      </c>
      <c r="D31" t="s">
        <v>414</v>
      </c>
      <c r="F31">
        <v>3.07</v>
      </c>
      <c r="G31">
        <v>104871.227</v>
      </c>
      <c r="H31">
        <v>28330.701000000001</v>
      </c>
      <c r="I31">
        <v>37.017000000000003</v>
      </c>
      <c r="J31" t="s">
        <v>401</v>
      </c>
      <c r="K31">
        <v>15.6</v>
      </c>
      <c r="N31">
        <v>24</v>
      </c>
      <c r="O31">
        <v>24</v>
      </c>
      <c r="P31" t="s">
        <v>534</v>
      </c>
      <c r="Q31" t="s">
        <v>414</v>
      </c>
      <c r="S31">
        <v>3.07</v>
      </c>
      <c r="T31">
        <v>169253.07800000001</v>
      </c>
      <c r="U31">
        <v>31122.594000000001</v>
      </c>
      <c r="V31">
        <v>54.383000000000003</v>
      </c>
      <c r="W31" t="s">
        <v>401</v>
      </c>
      <c r="X31">
        <v>21.2</v>
      </c>
    </row>
    <row r="32" spans="1:24" x14ac:dyDescent="0.45">
      <c r="A32">
        <v>25</v>
      </c>
      <c r="B32">
        <v>25</v>
      </c>
      <c r="C32" t="s">
        <v>430</v>
      </c>
      <c r="D32" t="s">
        <v>414</v>
      </c>
      <c r="F32">
        <v>3.07</v>
      </c>
      <c r="G32">
        <v>130834.125</v>
      </c>
      <c r="H32">
        <v>31735.366999999998</v>
      </c>
      <c r="I32">
        <v>41.226999999999997</v>
      </c>
      <c r="J32" t="s">
        <v>415</v>
      </c>
      <c r="K32">
        <v>17.399999999999999</v>
      </c>
      <c r="N32">
        <v>25</v>
      </c>
      <c r="O32">
        <v>25</v>
      </c>
      <c r="P32" t="s">
        <v>535</v>
      </c>
      <c r="Q32" t="s">
        <v>414</v>
      </c>
      <c r="S32">
        <v>3.06</v>
      </c>
      <c r="T32">
        <v>255030.42199999999</v>
      </c>
      <c r="U32">
        <v>45529.77</v>
      </c>
      <c r="V32">
        <v>56.014000000000003</v>
      </c>
      <c r="W32" t="s">
        <v>401</v>
      </c>
      <c r="X32">
        <v>21.8</v>
      </c>
    </row>
    <row r="33" spans="1:24" x14ac:dyDescent="0.45">
      <c r="A33">
        <v>26</v>
      </c>
      <c r="B33">
        <v>26</v>
      </c>
      <c r="C33" t="s">
        <v>431</v>
      </c>
      <c r="D33" t="s">
        <v>414</v>
      </c>
      <c r="F33">
        <v>3.07</v>
      </c>
      <c r="G33">
        <v>82805.375</v>
      </c>
      <c r="H33">
        <v>23727.705000000002</v>
      </c>
      <c r="I33">
        <v>34.898000000000003</v>
      </c>
      <c r="J33" t="s">
        <v>403</v>
      </c>
      <c r="K33">
        <v>14.7</v>
      </c>
      <c r="N33">
        <v>26</v>
      </c>
      <c r="O33">
        <v>26</v>
      </c>
      <c r="P33" t="s">
        <v>536</v>
      </c>
      <c r="Q33" t="s">
        <v>414</v>
      </c>
      <c r="S33">
        <v>3.07</v>
      </c>
      <c r="T33">
        <v>151313.109</v>
      </c>
      <c r="U33">
        <v>26557.603999999999</v>
      </c>
      <c r="V33">
        <v>56.975000000000001</v>
      </c>
      <c r="W33" t="s">
        <v>415</v>
      </c>
      <c r="X33">
        <v>22.2</v>
      </c>
    </row>
    <row r="34" spans="1:24" x14ac:dyDescent="0.45">
      <c r="A34">
        <v>27</v>
      </c>
      <c r="B34">
        <v>27</v>
      </c>
      <c r="C34" t="s">
        <v>432</v>
      </c>
      <c r="D34" t="s">
        <v>414</v>
      </c>
      <c r="F34">
        <v>3.07</v>
      </c>
      <c r="G34">
        <v>96339.031000000003</v>
      </c>
      <c r="H34">
        <v>23831.333999999999</v>
      </c>
      <c r="I34">
        <v>40.424999999999997</v>
      </c>
      <c r="J34" t="s">
        <v>403</v>
      </c>
      <c r="K34">
        <v>17</v>
      </c>
      <c r="N34">
        <v>27</v>
      </c>
      <c r="O34">
        <v>27</v>
      </c>
      <c r="P34" t="s">
        <v>537</v>
      </c>
      <c r="Q34" t="s">
        <v>414</v>
      </c>
      <c r="S34">
        <v>3.07</v>
      </c>
      <c r="T34">
        <v>99239.531000000003</v>
      </c>
      <c r="U34">
        <v>20408.879000000001</v>
      </c>
      <c r="V34">
        <v>48.625999999999998</v>
      </c>
      <c r="W34" t="s">
        <v>403</v>
      </c>
      <c r="X34">
        <v>18.899999999999999</v>
      </c>
    </row>
    <row r="35" spans="1:24" x14ac:dyDescent="0.45">
      <c r="A35">
        <v>28</v>
      </c>
      <c r="B35">
        <v>28</v>
      </c>
      <c r="C35" t="s">
        <v>433</v>
      </c>
      <c r="D35" t="s">
        <v>414</v>
      </c>
      <c r="F35">
        <v>3.07</v>
      </c>
      <c r="G35">
        <v>116324.07</v>
      </c>
      <c r="H35">
        <v>27246.131000000001</v>
      </c>
      <c r="I35">
        <v>42.694000000000003</v>
      </c>
      <c r="J35" t="s">
        <v>403</v>
      </c>
      <c r="K35">
        <v>18</v>
      </c>
      <c r="N35">
        <v>28</v>
      </c>
      <c r="O35">
        <v>28</v>
      </c>
      <c r="P35" t="s">
        <v>538</v>
      </c>
      <c r="Q35" t="s">
        <v>414</v>
      </c>
      <c r="S35">
        <v>3.07</v>
      </c>
      <c r="T35">
        <v>140935.15599999999</v>
      </c>
      <c r="U35">
        <v>26014.530999999999</v>
      </c>
      <c r="V35">
        <v>54.176000000000002</v>
      </c>
      <c r="W35" t="s">
        <v>401</v>
      </c>
      <c r="X35">
        <v>21.1</v>
      </c>
    </row>
    <row r="36" spans="1:24" x14ac:dyDescent="0.45">
      <c r="A36">
        <v>29</v>
      </c>
      <c r="B36">
        <v>29</v>
      </c>
      <c r="C36" t="s">
        <v>434</v>
      </c>
      <c r="D36" t="s">
        <v>414</v>
      </c>
      <c r="F36">
        <v>3.07</v>
      </c>
      <c r="G36">
        <v>105592.711</v>
      </c>
      <c r="H36">
        <v>27690.42</v>
      </c>
      <c r="I36">
        <v>38.133000000000003</v>
      </c>
      <c r="J36" t="s">
        <v>401</v>
      </c>
      <c r="K36">
        <v>16.100000000000001</v>
      </c>
      <c r="N36">
        <v>29</v>
      </c>
      <c r="O36">
        <v>29</v>
      </c>
      <c r="P36" t="s">
        <v>539</v>
      </c>
      <c r="Q36" t="s">
        <v>414</v>
      </c>
      <c r="S36">
        <v>3.07</v>
      </c>
      <c r="T36">
        <v>212363.15599999999</v>
      </c>
      <c r="U36">
        <v>36472.184000000001</v>
      </c>
      <c r="V36">
        <v>58.225999999999999</v>
      </c>
      <c r="W36" t="s">
        <v>401</v>
      </c>
      <c r="X36">
        <v>22.6</v>
      </c>
    </row>
    <row r="37" spans="1:24" x14ac:dyDescent="0.45">
      <c r="A37">
        <v>30</v>
      </c>
      <c r="B37">
        <v>30</v>
      </c>
      <c r="C37" t="s">
        <v>435</v>
      </c>
      <c r="D37" t="s">
        <v>414</v>
      </c>
      <c r="F37">
        <v>3.07</v>
      </c>
      <c r="G37">
        <v>81425.758000000002</v>
      </c>
      <c r="H37">
        <v>21747.738000000001</v>
      </c>
      <c r="I37">
        <v>37.441000000000003</v>
      </c>
      <c r="J37" t="s">
        <v>403</v>
      </c>
      <c r="K37">
        <v>15.8</v>
      </c>
      <c r="N37">
        <v>30</v>
      </c>
      <c r="O37">
        <v>30</v>
      </c>
      <c r="P37" t="s">
        <v>540</v>
      </c>
      <c r="Q37" t="s">
        <v>414</v>
      </c>
      <c r="S37">
        <v>3.07</v>
      </c>
      <c r="T37">
        <v>133902.78099999999</v>
      </c>
      <c r="U37">
        <v>31681.574000000001</v>
      </c>
      <c r="V37">
        <v>42.265000000000001</v>
      </c>
      <c r="W37" t="s">
        <v>403</v>
      </c>
      <c r="X37">
        <v>16.399999999999999</v>
      </c>
    </row>
    <row r="38" spans="1:24" x14ac:dyDescent="0.45">
      <c r="A38">
        <v>31</v>
      </c>
      <c r="B38">
        <v>31</v>
      </c>
      <c r="C38" t="s">
        <v>436</v>
      </c>
      <c r="D38" t="s">
        <v>414</v>
      </c>
      <c r="F38">
        <v>3.07</v>
      </c>
      <c r="G38">
        <v>38329.559000000001</v>
      </c>
      <c r="H38">
        <v>26762.016</v>
      </c>
      <c r="I38">
        <v>14.321999999999999</v>
      </c>
      <c r="J38" t="s">
        <v>415</v>
      </c>
      <c r="K38">
        <v>6.1</v>
      </c>
      <c r="N38">
        <v>31</v>
      </c>
      <c r="O38">
        <v>31</v>
      </c>
      <c r="P38" t="s">
        <v>541</v>
      </c>
      <c r="Q38" t="s">
        <v>414</v>
      </c>
      <c r="S38">
        <v>3.07</v>
      </c>
      <c r="T38">
        <v>117003.523</v>
      </c>
      <c r="U38">
        <v>27736.148000000001</v>
      </c>
      <c r="V38">
        <v>42.183999999999997</v>
      </c>
      <c r="W38" t="s">
        <v>403</v>
      </c>
      <c r="X38">
        <v>16.399999999999999</v>
      </c>
    </row>
    <row r="39" spans="1:24" x14ac:dyDescent="0.45">
      <c r="A39">
        <v>32</v>
      </c>
      <c r="B39">
        <v>32</v>
      </c>
      <c r="C39" t="s">
        <v>437</v>
      </c>
      <c r="D39" t="s">
        <v>414</v>
      </c>
      <c r="F39">
        <v>3.07</v>
      </c>
      <c r="G39">
        <v>87161.741999999998</v>
      </c>
      <c r="H39">
        <v>23484.151999999998</v>
      </c>
      <c r="I39">
        <v>37.115000000000002</v>
      </c>
      <c r="J39" t="s">
        <v>401</v>
      </c>
      <c r="K39">
        <v>15.7</v>
      </c>
      <c r="N39">
        <v>32</v>
      </c>
      <c r="O39">
        <v>32</v>
      </c>
      <c r="P39" t="s">
        <v>542</v>
      </c>
      <c r="Q39" t="s">
        <v>414</v>
      </c>
      <c r="S39">
        <v>3.07</v>
      </c>
      <c r="T39">
        <v>137406.29699999999</v>
      </c>
      <c r="U39">
        <v>26005.937999999998</v>
      </c>
      <c r="V39">
        <v>52.837000000000003</v>
      </c>
      <c r="W39" t="s">
        <v>403</v>
      </c>
      <c r="X39">
        <v>20.6</v>
      </c>
    </row>
    <row r="40" spans="1:24" x14ac:dyDescent="0.45">
      <c r="A40">
        <v>33</v>
      </c>
      <c r="B40">
        <v>33</v>
      </c>
      <c r="C40" t="s">
        <v>438</v>
      </c>
      <c r="D40" t="s">
        <v>414</v>
      </c>
      <c r="F40">
        <v>3.07</v>
      </c>
      <c r="G40">
        <v>89538.226999999999</v>
      </c>
      <c r="H40">
        <v>24883.574000000001</v>
      </c>
      <c r="I40">
        <v>35.982999999999997</v>
      </c>
      <c r="J40" t="s">
        <v>403</v>
      </c>
      <c r="K40">
        <v>15.2</v>
      </c>
      <c r="N40">
        <v>33</v>
      </c>
      <c r="O40">
        <v>33</v>
      </c>
      <c r="P40" t="s">
        <v>543</v>
      </c>
      <c r="Q40" t="s">
        <v>414</v>
      </c>
      <c r="S40">
        <v>3.07</v>
      </c>
      <c r="T40">
        <v>138279.78099999999</v>
      </c>
      <c r="U40">
        <v>23878.141</v>
      </c>
      <c r="V40">
        <v>57.911000000000001</v>
      </c>
      <c r="W40" t="s">
        <v>403</v>
      </c>
      <c r="X40">
        <v>22.5</v>
      </c>
    </row>
    <row r="41" spans="1:24" x14ac:dyDescent="0.45">
      <c r="A41">
        <v>34</v>
      </c>
      <c r="B41">
        <v>34</v>
      </c>
      <c r="C41" t="s">
        <v>439</v>
      </c>
      <c r="D41" t="s">
        <v>414</v>
      </c>
      <c r="F41">
        <v>3.07</v>
      </c>
      <c r="G41">
        <v>95941.491999999998</v>
      </c>
      <c r="H41">
        <v>24549.675999999999</v>
      </c>
      <c r="I41">
        <v>39.081000000000003</v>
      </c>
      <c r="J41" t="s">
        <v>401</v>
      </c>
      <c r="K41">
        <v>16.5</v>
      </c>
      <c r="N41">
        <v>34</v>
      </c>
      <c r="O41">
        <v>34</v>
      </c>
      <c r="P41" t="s">
        <v>544</v>
      </c>
      <c r="Q41" t="s">
        <v>414</v>
      </c>
      <c r="S41">
        <v>3.06</v>
      </c>
      <c r="T41">
        <v>220190.06299999999</v>
      </c>
      <c r="U41">
        <v>30157.050999999999</v>
      </c>
      <c r="V41">
        <v>73.013999999999996</v>
      </c>
      <c r="W41" t="s">
        <v>401</v>
      </c>
      <c r="X41">
        <v>28.4</v>
      </c>
    </row>
    <row r="42" spans="1:24" x14ac:dyDescent="0.45">
      <c r="A42">
        <v>35</v>
      </c>
      <c r="B42">
        <v>35</v>
      </c>
      <c r="C42" t="s">
        <v>440</v>
      </c>
      <c r="D42" t="s">
        <v>414</v>
      </c>
      <c r="F42">
        <v>3.07</v>
      </c>
      <c r="G42">
        <v>133145.42199999999</v>
      </c>
      <c r="H42">
        <v>31427.671999999999</v>
      </c>
      <c r="I42">
        <v>42.366</v>
      </c>
      <c r="J42" t="s">
        <v>401</v>
      </c>
      <c r="K42">
        <v>17.899999999999999</v>
      </c>
      <c r="N42">
        <v>35</v>
      </c>
      <c r="O42">
        <v>35</v>
      </c>
      <c r="P42" t="s">
        <v>545</v>
      </c>
      <c r="Q42" t="s">
        <v>414</v>
      </c>
      <c r="S42">
        <v>3.06</v>
      </c>
      <c r="T42">
        <v>153171.766</v>
      </c>
      <c r="U42">
        <v>22259.907999999999</v>
      </c>
      <c r="V42">
        <v>68.811000000000007</v>
      </c>
      <c r="W42" t="s">
        <v>403</v>
      </c>
      <c r="X42">
        <v>26.8</v>
      </c>
    </row>
    <row r="43" spans="1:24" x14ac:dyDescent="0.45">
      <c r="A43">
        <v>36</v>
      </c>
      <c r="B43">
        <v>36</v>
      </c>
      <c r="C43" t="s">
        <v>441</v>
      </c>
      <c r="D43" t="s">
        <v>414</v>
      </c>
      <c r="F43">
        <v>3.07</v>
      </c>
      <c r="G43">
        <v>126704.29700000001</v>
      </c>
      <c r="H43">
        <v>28172.438999999998</v>
      </c>
      <c r="I43">
        <v>44.975000000000001</v>
      </c>
      <c r="J43" t="s">
        <v>401</v>
      </c>
      <c r="K43">
        <v>19</v>
      </c>
      <c r="N43">
        <v>36</v>
      </c>
      <c r="O43">
        <v>36</v>
      </c>
      <c r="P43" t="s">
        <v>546</v>
      </c>
      <c r="Q43" t="s">
        <v>414</v>
      </c>
      <c r="S43">
        <v>3.06</v>
      </c>
      <c r="T43">
        <v>218033.53099999999</v>
      </c>
      <c r="U43">
        <v>37166.120999999999</v>
      </c>
      <c r="V43">
        <v>58.664999999999999</v>
      </c>
      <c r="W43" t="s">
        <v>401</v>
      </c>
      <c r="X43">
        <v>22.8</v>
      </c>
    </row>
    <row r="44" spans="1:24" x14ac:dyDescent="0.45">
      <c r="A44">
        <v>37</v>
      </c>
      <c r="B44">
        <v>37</v>
      </c>
      <c r="C44" t="s">
        <v>442</v>
      </c>
      <c r="D44" t="s">
        <v>414</v>
      </c>
      <c r="F44">
        <v>3.07</v>
      </c>
      <c r="G44">
        <v>98761.343999999997</v>
      </c>
      <c r="H44">
        <v>25285.471000000001</v>
      </c>
      <c r="I44">
        <v>39.058999999999997</v>
      </c>
      <c r="J44" t="s">
        <v>403</v>
      </c>
      <c r="K44">
        <v>16.5</v>
      </c>
      <c r="N44">
        <v>37</v>
      </c>
      <c r="O44">
        <v>37</v>
      </c>
      <c r="P44" t="s">
        <v>547</v>
      </c>
      <c r="Q44" t="s">
        <v>414</v>
      </c>
      <c r="S44">
        <v>3.06</v>
      </c>
      <c r="T44">
        <v>106749.352</v>
      </c>
      <c r="U44">
        <v>23065.666000000001</v>
      </c>
      <c r="V44">
        <v>46.280999999999999</v>
      </c>
      <c r="W44" t="s">
        <v>401</v>
      </c>
      <c r="X44">
        <v>18</v>
      </c>
    </row>
    <row r="45" spans="1:24" x14ac:dyDescent="0.45">
      <c r="A45">
        <v>38</v>
      </c>
      <c r="B45">
        <v>38</v>
      </c>
      <c r="C45" t="s">
        <v>443</v>
      </c>
      <c r="D45" t="s">
        <v>414</v>
      </c>
      <c r="F45">
        <v>3.07</v>
      </c>
      <c r="G45">
        <v>91025.164000000004</v>
      </c>
      <c r="H45">
        <v>18952.687999999998</v>
      </c>
      <c r="I45">
        <v>48.027999999999999</v>
      </c>
      <c r="J45" t="s">
        <v>403</v>
      </c>
      <c r="K45">
        <v>20.2</v>
      </c>
      <c r="N45">
        <v>38</v>
      </c>
      <c r="O45">
        <v>38</v>
      </c>
      <c r="P45" t="s">
        <v>548</v>
      </c>
      <c r="Q45" t="s">
        <v>414</v>
      </c>
      <c r="S45">
        <v>3.06</v>
      </c>
      <c r="T45">
        <v>192952.28099999999</v>
      </c>
      <c r="U45">
        <v>23567.273000000001</v>
      </c>
      <c r="V45">
        <v>81.873000000000005</v>
      </c>
      <c r="W45" t="s">
        <v>401</v>
      </c>
      <c r="X45">
        <v>31.8</v>
      </c>
    </row>
    <row r="46" spans="1:24" x14ac:dyDescent="0.45">
      <c r="A46">
        <v>39</v>
      </c>
      <c r="B46">
        <v>39</v>
      </c>
      <c r="C46" t="s">
        <v>444</v>
      </c>
      <c r="D46" t="s">
        <v>414</v>
      </c>
      <c r="F46">
        <v>3.07</v>
      </c>
      <c r="G46">
        <v>131586.67199999999</v>
      </c>
      <c r="H46">
        <v>25155.440999999999</v>
      </c>
      <c r="I46">
        <v>52.308999999999997</v>
      </c>
      <c r="J46" t="s">
        <v>415</v>
      </c>
      <c r="K46">
        <v>22</v>
      </c>
      <c r="N46">
        <v>39</v>
      </c>
      <c r="O46">
        <v>39</v>
      </c>
      <c r="P46" t="s">
        <v>549</v>
      </c>
      <c r="Q46" t="s">
        <v>414</v>
      </c>
      <c r="S46">
        <v>3.06</v>
      </c>
      <c r="T46">
        <v>156352.141</v>
      </c>
      <c r="U46">
        <v>22090.773000000001</v>
      </c>
      <c r="V46">
        <v>70.777000000000001</v>
      </c>
      <c r="W46" t="s">
        <v>401</v>
      </c>
      <c r="X46">
        <v>27.5</v>
      </c>
    </row>
    <row r="47" spans="1:24" x14ac:dyDescent="0.45">
      <c r="A47">
        <v>40</v>
      </c>
      <c r="B47">
        <v>40</v>
      </c>
      <c r="C47" t="s">
        <v>445</v>
      </c>
      <c r="D47" t="s">
        <v>414</v>
      </c>
      <c r="F47">
        <v>3.07</v>
      </c>
      <c r="G47">
        <v>148467.59400000001</v>
      </c>
      <c r="H47">
        <v>37813.733999999997</v>
      </c>
      <c r="I47">
        <v>39.262999999999998</v>
      </c>
      <c r="J47" t="s">
        <v>403</v>
      </c>
      <c r="K47">
        <v>16.600000000000001</v>
      </c>
      <c r="N47">
        <v>40</v>
      </c>
      <c r="O47">
        <v>40</v>
      </c>
      <c r="P47" t="s">
        <v>550</v>
      </c>
      <c r="Q47" t="s">
        <v>414</v>
      </c>
      <c r="S47">
        <v>3.06</v>
      </c>
      <c r="T47">
        <v>155290.234</v>
      </c>
      <c r="U47">
        <v>25158.643</v>
      </c>
      <c r="V47">
        <v>61.723999999999997</v>
      </c>
      <c r="W47" t="s">
        <v>401</v>
      </c>
      <c r="X47">
        <v>24</v>
      </c>
    </row>
    <row r="48" spans="1:24" x14ac:dyDescent="0.45">
      <c r="A48">
        <v>41</v>
      </c>
      <c r="B48">
        <v>41</v>
      </c>
      <c r="C48" t="s">
        <v>446</v>
      </c>
      <c r="D48" t="s">
        <v>414</v>
      </c>
      <c r="F48">
        <v>3.07</v>
      </c>
      <c r="G48">
        <v>141145.03099999999</v>
      </c>
      <c r="H48">
        <v>34635.637000000002</v>
      </c>
      <c r="I48">
        <v>40.750999999999998</v>
      </c>
      <c r="J48" t="s">
        <v>401</v>
      </c>
      <c r="K48">
        <v>17.2</v>
      </c>
      <c r="N48">
        <v>41</v>
      </c>
      <c r="O48">
        <v>41</v>
      </c>
      <c r="P48" t="s">
        <v>551</v>
      </c>
      <c r="Q48" t="s">
        <v>414</v>
      </c>
      <c r="S48">
        <v>3.07</v>
      </c>
      <c r="T48">
        <v>203199.65599999999</v>
      </c>
      <c r="U48">
        <v>33849.027000000002</v>
      </c>
      <c r="V48">
        <v>60.030999999999999</v>
      </c>
      <c r="W48" t="s">
        <v>401</v>
      </c>
      <c r="X48">
        <v>23.3</v>
      </c>
    </row>
    <row r="49" spans="1:24" x14ac:dyDescent="0.45">
      <c r="A49">
        <v>42</v>
      </c>
      <c r="B49">
        <v>42</v>
      </c>
      <c r="C49" t="s">
        <v>447</v>
      </c>
      <c r="D49" t="s">
        <v>414</v>
      </c>
      <c r="F49">
        <v>3.07</v>
      </c>
      <c r="G49">
        <v>76447.187999999995</v>
      </c>
      <c r="H49">
        <v>27063.011999999999</v>
      </c>
      <c r="I49">
        <v>28.248000000000001</v>
      </c>
      <c r="J49" t="s">
        <v>415</v>
      </c>
      <c r="K49">
        <v>11.9</v>
      </c>
      <c r="N49">
        <v>42</v>
      </c>
      <c r="O49">
        <v>42</v>
      </c>
      <c r="P49" t="s">
        <v>552</v>
      </c>
      <c r="Q49" t="s">
        <v>414</v>
      </c>
      <c r="S49">
        <v>3.06</v>
      </c>
      <c r="T49">
        <v>157269.734</v>
      </c>
      <c r="U49">
        <v>24819.046999999999</v>
      </c>
      <c r="V49">
        <v>63.366999999999997</v>
      </c>
      <c r="W49" t="s">
        <v>403</v>
      </c>
      <c r="X49">
        <v>24.6</v>
      </c>
    </row>
    <row r="50" spans="1:24" x14ac:dyDescent="0.45">
      <c r="A50">
        <v>43</v>
      </c>
      <c r="B50">
        <v>43</v>
      </c>
      <c r="C50" t="s">
        <v>448</v>
      </c>
      <c r="D50" t="s">
        <v>414</v>
      </c>
      <c r="F50">
        <v>3.07</v>
      </c>
      <c r="G50">
        <v>74632.883000000002</v>
      </c>
      <c r="H50">
        <v>24648.592000000001</v>
      </c>
      <c r="I50">
        <v>30.279</v>
      </c>
      <c r="J50" t="s">
        <v>401</v>
      </c>
      <c r="K50">
        <v>12.8</v>
      </c>
      <c r="N50">
        <v>43</v>
      </c>
      <c r="O50">
        <v>43</v>
      </c>
      <c r="P50" t="s">
        <v>553</v>
      </c>
      <c r="Q50" t="s">
        <v>414</v>
      </c>
      <c r="S50">
        <v>3.06</v>
      </c>
      <c r="T50">
        <v>166902.95300000001</v>
      </c>
      <c r="U50">
        <v>24654.065999999999</v>
      </c>
      <c r="V50">
        <v>67.697999999999993</v>
      </c>
      <c r="W50" t="s">
        <v>403</v>
      </c>
      <c r="X50">
        <v>26.3</v>
      </c>
    </row>
    <row r="51" spans="1:24" x14ac:dyDescent="0.45">
      <c r="A51">
        <v>44</v>
      </c>
      <c r="B51">
        <v>44</v>
      </c>
      <c r="C51" t="s">
        <v>449</v>
      </c>
      <c r="D51" t="s">
        <v>414</v>
      </c>
      <c r="F51">
        <v>3.07</v>
      </c>
      <c r="G51">
        <v>115357.42200000001</v>
      </c>
      <c r="H51">
        <v>28947.363000000001</v>
      </c>
      <c r="I51">
        <v>39.850999999999999</v>
      </c>
      <c r="J51" t="s">
        <v>401</v>
      </c>
      <c r="K51">
        <v>16.8</v>
      </c>
      <c r="N51">
        <v>44</v>
      </c>
      <c r="O51">
        <v>44</v>
      </c>
      <c r="P51" t="s">
        <v>554</v>
      </c>
      <c r="Q51" t="s">
        <v>414</v>
      </c>
      <c r="S51">
        <v>3.06</v>
      </c>
      <c r="T51">
        <v>178630.42199999999</v>
      </c>
      <c r="U51">
        <v>25879.072</v>
      </c>
      <c r="V51">
        <v>69.025000000000006</v>
      </c>
      <c r="W51" t="s">
        <v>403</v>
      </c>
      <c r="X51">
        <v>26.8</v>
      </c>
    </row>
    <row r="52" spans="1:24" x14ac:dyDescent="0.45">
      <c r="A52">
        <v>45</v>
      </c>
      <c r="B52">
        <v>45</v>
      </c>
      <c r="C52" t="s">
        <v>450</v>
      </c>
      <c r="D52" t="s">
        <v>414</v>
      </c>
      <c r="F52">
        <v>3.07</v>
      </c>
      <c r="G52">
        <v>70072</v>
      </c>
      <c r="H52">
        <v>23909.138999999999</v>
      </c>
      <c r="I52">
        <v>29.308</v>
      </c>
      <c r="J52" t="s">
        <v>401</v>
      </c>
      <c r="K52">
        <v>12.4</v>
      </c>
      <c r="N52">
        <v>45</v>
      </c>
      <c r="O52">
        <v>45</v>
      </c>
      <c r="P52" t="s">
        <v>555</v>
      </c>
      <c r="Q52" t="s">
        <v>414</v>
      </c>
      <c r="S52">
        <v>3.06</v>
      </c>
      <c r="T52">
        <v>191542.95300000001</v>
      </c>
      <c r="U52">
        <v>25374.615000000002</v>
      </c>
      <c r="V52">
        <v>75.486000000000004</v>
      </c>
      <c r="W52" t="s">
        <v>403</v>
      </c>
      <c r="X52">
        <v>29.4</v>
      </c>
    </row>
    <row r="53" spans="1:24" x14ac:dyDescent="0.45">
      <c r="A53">
        <v>46</v>
      </c>
      <c r="B53">
        <v>46</v>
      </c>
      <c r="C53" t="s">
        <v>451</v>
      </c>
      <c r="D53" t="s">
        <v>414</v>
      </c>
      <c r="F53">
        <v>3.07</v>
      </c>
      <c r="G53">
        <v>129999.461</v>
      </c>
      <c r="H53">
        <v>27205.532999999999</v>
      </c>
      <c r="I53">
        <v>47.783999999999999</v>
      </c>
      <c r="J53" t="s">
        <v>401</v>
      </c>
      <c r="K53">
        <v>20.100000000000001</v>
      </c>
      <c r="N53">
        <v>46</v>
      </c>
      <c r="O53">
        <v>46</v>
      </c>
      <c r="P53" t="s">
        <v>556</v>
      </c>
      <c r="Q53" t="s">
        <v>414</v>
      </c>
      <c r="S53">
        <v>3.06</v>
      </c>
      <c r="T53">
        <v>171037.359</v>
      </c>
      <c r="U53">
        <v>19399.217000000001</v>
      </c>
      <c r="V53">
        <v>88.167000000000002</v>
      </c>
      <c r="W53" t="s">
        <v>403</v>
      </c>
      <c r="X53">
        <v>34.299999999999997</v>
      </c>
    </row>
    <row r="54" spans="1:24" x14ac:dyDescent="0.45">
      <c r="A54">
        <v>47</v>
      </c>
      <c r="B54">
        <v>47</v>
      </c>
      <c r="C54" t="s">
        <v>452</v>
      </c>
      <c r="D54" t="s">
        <v>414</v>
      </c>
      <c r="F54">
        <v>3.07</v>
      </c>
      <c r="G54">
        <v>75906.679999999993</v>
      </c>
      <c r="H54">
        <v>16033.282999999999</v>
      </c>
      <c r="I54">
        <v>47.343000000000004</v>
      </c>
      <c r="J54" t="s">
        <v>403</v>
      </c>
      <c r="K54">
        <v>19.899999999999999</v>
      </c>
      <c r="N54">
        <v>47</v>
      </c>
      <c r="O54">
        <v>47</v>
      </c>
      <c r="P54" t="s">
        <v>557</v>
      </c>
      <c r="Q54" t="s">
        <v>414</v>
      </c>
      <c r="S54">
        <v>3.06</v>
      </c>
      <c r="T54">
        <v>130677.414</v>
      </c>
      <c r="U54">
        <v>18775.544999999998</v>
      </c>
      <c r="V54">
        <v>69.599999999999994</v>
      </c>
      <c r="W54" t="s">
        <v>403</v>
      </c>
      <c r="X54">
        <v>27.1</v>
      </c>
    </row>
    <row r="55" spans="1:24" x14ac:dyDescent="0.45">
      <c r="A55">
        <v>48</v>
      </c>
      <c r="B55">
        <v>48</v>
      </c>
      <c r="C55" t="s">
        <v>453</v>
      </c>
      <c r="D55" t="s">
        <v>414</v>
      </c>
      <c r="F55">
        <v>3.07</v>
      </c>
      <c r="G55">
        <v>70240.116999999998</v>
      </c>
      <c r="H55">
        <v>18168.881000000001</v>
      </c>
      <c r="I55">
        <v>38.659999999999997</v>
      </c>
      <c r="J55" t="s">
        <v>403</v>
      </c>
      <c r="K55">
        <v>16.3</v>
      </c>
      <c r="N55">
        <v>48</v>
      </c>
      <c r="O55">
        <v>48</v>
      </c>
      <c r="P55" t="s">
        <v>558</v>
      </c>
      <c r="Q55" t="s">
        <v>414</v>
      </c>
      <c r="S55">
        <v>3.06</v>
      </c>
      <c r="T55">
        <v>147656.5</v>
      </c>
      <c r="U55">
        <v>18927.028999999999</v>
      </c>
      <c r="V55">
        <v>78.013999999999996</v>
      </c>
      <c r="W55" t="s">
        <v>403</v>
      </c>
      <c r="X55">
        <v>30.3</v>
      </c>
    </row>
    <row r="56" spans="1:24" x14ac:dyDescent="0.45">
      <c r="A56">
        <v>49</v>
      </c>
      <c r="B56">
        <v>49</v>
      </c>
      <c r="C56" t="s">
        <v>454</v>
      </c>
      <c r="D56" t="s">
        <v>414</v>
      </c>
      <c r="F56">
        <v>3.07</v>
      </c>
      <c r="G56">
        <v>87828.695000000007</v>
      </c>
      <c r="H56">
        <v>17177.039000000001</v>
      </c>
      <c r="I56">
        <v>51.131</v>
      </c>
      <c r="J56" t="s">
        <v>415</v>
      </c>
      <c r="K56">
        <v>21.5</v>
      </c>
      <c r="N56">
        <v>49</v>
      </c>
      <c r="O56">
        <v>49</v>
      </c>
      <c r="P56" t="s">
        <v>559</v>
      </c>
      <c r="Q56" t="s">
        <v>414</v>
      </c>
      <c r="S56">
        <v>3.06</v>
      </c>
      <c r="T56">
        <v>144410.68799999999</v>
      </c>
      <c r="U56">
        <v>21528.359</v>
      </c>
      <c r="V56">
        <v>67.078999999999994</v>
      </c>
      <c r="W56" t="s">
        <v>415</v>
      </c>
      <c r="X56">
        <v>26.1</v>
      </c>
    </row>
    <row r="57" spans="1:24" x14ac:dyDescent="0.45">
      <c r="A57">
        <v>50</v>
      </c>
      <c r="B57">
        <v>50</v>
      </c>
      <c r="C57" t="s">
        <v>455</v>
      </c>
      <c r="D57" t="s">
        <v>414</v>
      </c>
      <c r="F57">
        <v>3.07</v>
      </c>
      <c r="G57">
        <v>130506.883</v>
      </c>
      <c r="H57">
        <v>22097.914000000001</v>
      </c>
      <c r="I57">
        <v>59.058</v>
      </c>
      <c r="J57" t="s">
        <v>403</v>
      </c>
      <c r="K57">
        <v>24.9</v>
      </c>
      <c r="N57">
        <v>50</v>
      </c>
      <c r="O57">
        <v>50</v>
      </c>
      <c r="P57" t="s">
        <v>560</v>
      </c>
      <c r="Q57" t="s">
        <v>414</v>
      </c>
      <c r="S57">
        <v>3.06</v>
      </c>
      <c r="T57">
        <v>181479.54699999999</v>
      </c>
      <c r="U57">
        <v>21208.414000000001</v>
      </c>
      <c r="V57">
        <v>85.57</v>
      </c>
      <c r="W57" t="s">
        <v>401</v>
      </c>
      <c r="X57">
        <v>33.299999999999997</v>
      </c>
    </row>
    <row r="58" spans="1:24" x14ac:dyDescent="0.45">
      <c r="A58">
        <v>51</v>
      </c>
      <c r="B58">
        <v>51</v>
      </c>
      <c r="C58" t="s">
        <v>456</v>
      </c>
      <c r="D58" t="s">
        <v>414</v>
      </c>
      <c r="F58">
        <v>3.07</v>
      </c>
      <c r="G58">
        <v>100578.516</v>
      </c>
      <c r="H58">
        <v>21249.488000000001</v>
      </c>
      <c r="I58">
        <v>47.332000000000001</v>
      </c>
      <c r="J58" t="s">
        <v>403</v>
      </c>
      <c r="K58">
        <v>19.899999999999999</v>
      </c>
      <c r="N58">
        <v>51</v>
      </c>
      <c r="O58">
        <v>51</v>
      </c>
      <c r="P58" t="s">
        <v>561</v>
      </c>
      <c r="Q58" t="s">
        <v>414</v>
      </c>
      <c r="S58">
        <v>3.06</v>
      </c>
      <c r="T58">
        <v>144937.859</v>
      </c>
      <c r="U58">
        <v>17102.215</v>
      </c>
      <c r="V58">
        <v>84.748000000000005</v>
      </c>
      <c r="W58" t="s">
        <v>403</v>
      </c>
      <c r="X58">
        <v>33</v>
      </c>
    </row>
    <row r="59" spans="1:24" x14ac:dyDescent="0.45">
      <c r="A59">
        <v>52</v>
      </c>
      <c r="B59">
        <v>52</v>
      </c>
      <c r="C59" t="s">
        <v>457</v>
      </c>
      <c r="D59" t="s">
        <v>414</v>
      </c>
      <c r="F59">
        <v>3.07</v>
      </c>
      <c r="G59">
        <v>82981.773000000001</v>
      </c>
      <c r="H59">
        <v>18038.375</v>
      </c>
      <c r="I59">
        <v>46.003</v>
      </c>
      <c r="J59" t="s">
        <v>401</v>
      </c>
      <c r="K59">
        <v>19.399999999999999</v>
      </c>
      <c r="N59">
        <v>52</v>
      </c>
      <c r="O59">
        <v>52</v>
      </c>
      <c r="P59" t="s">
        <v>562</v>
      </c>
      <c r="Q59" t="s">
        <v>414</v>
      </c>
      <c r="S59">
        <v>3.06</v>
      </c>
      <c r="T59">
        <v>171906.15599999999</v>
      </c>
      <c r="U59">
        <v>22294.403999999999</v>
      </c>
      <c r="V59">
        <v>77.106999999999999</v>
      </c>
      <c r="W59" t="s">
        <v>403</v>
      </c>
      <c r="X59">
        <v>30</v>
      </c>
    </row>
    <row r="60" spans="1:24" x14ac:dyDescent="0.45">
      <c r="A60">
        <v>53</v>
      </c>
      <c r="B60">
        <v>53</v>
      </c>
      <c r="C60" t="s">
        <v>458</v>
      </c>
      <c r="D60" t="s">
        <v>414</v>
      </c>
      <c r="F60">
        <v>3.07</v>
      </c>
      <c r="G60">
        <v>94372.531000000003</v>
      </c>
      <c r="H60">
        <v>23398.543000000001</v>
      </c>
      <c r="I60">
        <v>40.332999999999998</v>
      </c>
      <c r="J60" t="s">
        <v>403</v>
      </c>
      <c r="K60">
        <v>17</v>
      </c>
      <c r="N60">
        <v>53</v>
      </c>
      <c r="O60">
        <v>53</v>
      </c>
      <c r="P60" t="s">
        <v>563</v>
      </c>
      <c r="Q60" t="s">
        <v>414</v>
      </c>
      <c r="S60">
        <v>3.06</v>
      </c>
      <c r="T60">
        <v>214253.65599999999</v>
      </c>
      <c r="U60">
        <v>27526.559000000001</v>
      </c>
      <c r="V60">
        <v>77.834999999999994</v>
      </c>
      <c r="W60" t="s">
        <v>401</v>
      </c>
      <c r="X60">
        <v>30.3</v>
      </c>
    </row>
    <row r="61" spans="1:24" x14ac:dyDescent="0.45">
      <c r="A61">
        <v>54</v>
      </c>
      <c r="B61">
        <v>54</v>
      </c>
      <c r="C61" t="s">
        <v>459</v>
      </c>
      <c r="D61" t="s">
        <v>414</v>
      </c>
      <c r="F61">
        <v>3.07</v>
      </c>
      <c r="G61">
        <v>105788.55499999999</v>
      </c>
      <c r="H61">
        <v>22582.43</v>
      </c>
      <c r="I61">
        <v>46.845999999999997</v>
      </c>
      <c r="J61" t="s">
        <v>403</v>
      </c>
      <c r="K61">
        <v>19.7</v>
      </c>
      <c r="N61">
        <v>54</v>
      </c>
      <c r="O61">
        <v>54</v>
      </c>
      <c r="P61" t="s">
        <v>564</v>
      </c>
      <c r="Q61" t="s">
        <v>414</v>
      </c>
      <c r="S61">
        <v>3.06</v>
      </c>
      <c r="T61">
        <v>142805.92199999999</v>
      </c>
      <c r="U61">
        <v>20566.309000000001</v>
      </c>
      <c r="V61">
        <v>69.436999999999998</v>
      </c>
      <c r="W61" t="s">
        <v>401</v>
      </c>
      <c r="X61">
        <v>27</v>
      </c>
    </row>
    <row r="62" spans="1:24" x14ac:dyDescent="0.45">
      <c r="A62">
        <v>55</v>
      </c>
      <c r="B62">
        <v>55</v>
      </c>
      <c r="C62" t="s">
        <v>460</v>
      </c>
      <c r="D62" t="s">
        <v>414</v>
      </c>
      <c r="F62">
        <v>3.07</v>
      </c>
      <c r="G62">
        <v>85999.43</v>
      </c>
      <c r="H62">
        <v>17100.574000000001</v>
      </c>
      <c r="I62">
        <v>50.29</v>
      </c>
      <c r="J62" t="s">
        <v>401</v>
      </c>
      <c r="K62">
        <v>21.2</v>
      </c>
      <c r="N62">
        <v>55</v>
      </c>
      <c r="O62">
        <v>55</v>
      </c>
      <c r="P62" t="s">
        <v>565</v>
      </c>
      <c r="Q62" t="s">
        <v>414</v>
      </c>
      <c r="S62">
        <v>3.06</v>
      </c>
      <c r="T62">
        <v>149418.07800000001</v>
      </c>
      <c r="U62">
        <v>23887.645</v>
      </c>
      <c r="V62">
        <v>62.55</v>
      </c>
      <c r="W62" t="s">
        <v>401</v>
      </c>
      <c r="X62">
        <v>24.3</v>
      </c>
    </row>
    <row r="63" spans="1:24" x14ac:dyDescent="0.45">
      <c r="A63">
        <v>56</v>
      </c>
      <c r="B63">
        <v>56</v>
      </c>
      <c r="C63" t="s">
        <v>461</v>
      </c>
      <c r="D63" t="s">
        <v>414</v>
      </c>
      <c r="F63">
        <v>3.07</v>
      </c>
      <c r="G63">
        <v>87382.335999999996</v>
      </c>
      <c r="H63">
        <v>18386.206999999999</v>
      </c>
      <c r="I63">
        <v>47.526000000000003</v>
      </c>
      <c r="J63" t="s">
        <v>403</v>
      </c>
      <c r="K63">
        <v>20</v>
      </c>
      <c r="N63">
        <v>56</v>
      </c>
      <c r="O63">
        <v>56</v>
      </c>
      <c r="P63" t="s">
        <v>566</v>
      </c>
      <c r="Q63" t="s">
        <v>414</v>
      </c>
      <c r="S63">
        <v>3.06</v>
      </c>
      <c r="T63">
        <v>171366.391</v>
      </c>
      <c r="U63">
        <v>19922.282999999999</v>
      </c>
      <c r="V63">
        <v>86.016999999999996</v>
      </c>
      <c r="W63" t="s">
        <v>401</v>
      </c>
      <c r="X63">
        <v>33.4</v>
      </c>
    </row>
    <row r="64" spans="1:24" x14ac:dyDescent="0.45">
      <c r="A64">
        <v>57</v>
      </c>
      <c r="B64">
        <v>57</v>
      </c>
      <c r="C64" t="s">
        <v>462</v>
      </c>
      <c r="D64" t="s">
        <v>414</v>
      </c>
      <c r="F64">
        <v>3.07</v>
      </c>
      <c r="G64">
        <v>97440.101999999999</v>
      </c>
      <c r="H64">
        <v>18538.583999999999</v>
      </c>
      <c r="I64">
        <v>52.561</v>
      </c>
      <c r="J64" t="s">
        <v>401</v>
      </c>
      <c r="K64">
        <v>22.1</v>
      </c>
      <c r="N64">
        <v>57</v>
      </c>
      <c r="O64">
        <v>57</v>
      </c>
      <c r="P64" t="s">
        <v>567</v>
      </c>
      <c r="Q64" t="s">
        <v>414</v>
      </c>
      <c r="S64">
        <v>3.06</v>
      </c>
      <c r="T64">
        <v>179936.42199999999</v>
      </c>
      <c r="U64">
        <v>22601.754000000001</v>
      </c>
      <c r="V64">
        <v>79.611999999999995</v>
      </c>
      <c r="W64" t="s">
        <v>403</v>
      </c>
      <c r="X64">
        <v>31</v>
      </c>
    </row>
    <row r="65" spans="1:25" x14ac:dyDescent="0.45">
      <c r="A65">
        <v>58</v>
      </c>
      <c r="B65">
        <v>58</v>
      </c>
      <c r="C65" t="s">
        <v>463</v>
      </c>
      <c r="D65" t="s">
        <v>414</v>
      </c>
      <c r="F65">
        <v>3.07</v>
      </c>
      <c r="G65">
        <v>66337.835999999996</v>
      </c>
      <c r="H65">
        <v>22372.467000000001</v>
      </c>
      <c r="I65">
        <v>29.652000000000001</v>
      </c>
      <c r="J65" t="s">
        <v>403</v>
      </c>
      <c r="K65">
        <v>12.5</v>
      </c>
      <c r="N65">
        <v>58</v>
      </c>
      <c r="O65">
        <v>58</v>
      </c>
      <c r="P65" t="s">
        <v>568</v>
      </c>
      <c r="Q65" t="s">
        <v>414</v>
      </c>
      <c r="S65">
        <v>3.06</v>
      </c>
      <c r="T65">
        <v>202633.34400000001</v>
      </c>
      <c r="U65">
        <v>30723.868999999999</v>
      </c>
      <c r="V65">
        <v>65.953000000000003</v>
      </c>
      <c r="W65" t="s">
        <v>415</v>
      </c>
      <c r="X65">
        <v>25.6</v>
      </c>
    </row>
    <row r="66" spans="1:25" x14ac:dyDescent="0.45">
      <c r="A66">
        <v>59</v>
      </c>
      <c r="B66">
        <v>59</v>
      </c>
      <c r="C66" t="s">
        <v>464</v>
      </c>
      <c r="D66" t="s">
        <v>414</v>
      </c>
      <c r="F66">
        <v>3.07</v>
      </c>
      <c r="G66">
        <v>72601.054999999993</v>
      </c>
      <c r="H66">
        <v>22371.648000000001</v>
      </c>
      <c r="I66">
        <v>32.451999999999998</v>
      </c>
      <c r="J66" t="s">
        <v>415</v>
      </c>
      <c r="K66">
        <v>13.7</v>
      </c>
      <c r="N66">
        <v>59</v>
      </c>
      <c r="O66">
        <v>59</v>
      </c>
      <c r="P66" t="s">
        <v>569</v>
      </c>
      <c r="Q66" t="s">
        <v>414</v>
      </c>
      <c r="S66">
        <v>3.06</v>
      </c>
      <c r="T66">
        <v>161427.71900000001</v>
      </c>
      <c r="U66">
        <v>20073.651999999998</v>
      </c>
      <c r="V66">
        <v>80.418000000000006</v>
      </c>
      <c r="W66" t="s">
        <v>403</v>
      </c>
      <c r="X66">
        <v>31.3</v>
      </c>
    </row>
    <row r="67" spans="1:25" x14ac:dyDescent="0.45">
      <c r="A67">
        <v>60</v>
      </c>
      <c r="B67">
        <v>60</v>
      </c>
      <c r="C67" t="s">
        <v>465</v>
      </c>
      <c r="D67" t="s">
        <v>414</v>
      </c>
      <c r="F67">
        <v>3.07</v>
      </c>
      <c r="G67">
        <v>82682.375</v>
      </c>
      <c r="H67">
        <v>25031.723000000002</v>
      </c>
      <c r="I67">
        <v>33.030999999999999</v>
      </c>
      <c r="J67" t="s">
        <v>403</v>
      </c>
      <c r="K67">
        <v>13.9</v>
      </c>
      <c r="N67">
        <v>60</v>
      </c>
      <c r="O67">
        <v>60</v>
      </c>
      <c r="P67" t="s">
        <v>570</v>
      </c>
      <c r="Q67" t="s">
        <v>414</v>
      </c>
      <c r="S67">
        <v>3.06</v>
      </c>
      <c r="T67">
        <v>324520.125</v>
      </c>
      <c r="U67">
        <v>37451.57</v>
      </c>
      <c r="V67">
        <v>86.650999999999996</v>
      </c>
      <c r="W67" t="s">
        <v>403</v>
      </c>
      <c r="X67">
        <v>33.700000000000003</v>
      </c>
    </row>
    <row r="68" spans="1:25" x14ac:dyDescent="0.45">
      <c r="A68">
        <v>61</v>
      </c>
      <c r="B68">
        <v>61</v>
      </c>
      <c r="C68" t="s">
        <v>466</v>
      </c>
      <c r="D68" t="s">
        <v>414</v>
      </c>
      <c r="F68">
        <v>3.07</v>
      </c>
      <c r="G68">
        <v>67391.195000000007</v>
      </c>
      <c r="H68">
        <v>24166.763999999999</v>
      </c>
      <c r="I68">
        <v>27.885999999999999</v>
      </c>
      <c r="J68" t="s">
        <v>415</v>
      </c>
      <c r="K68">
        <v>11.8</v>
      </c>
      <c r="N68">
        <v>61</v>
      </c>
      <c r="O68">
        <v>61</v>
      </c>
      <c r="P68" t="s">
        <v>571</v>
      </c>
      <c r="Q68" t="s">
        <v>414</v>
      </c>
      <c r="S68">
        <v>3.06</v>
      </c>
      <c r="T68">
        <v>198487.42199999999</v>
      </c>
      <c r="U68">
        <v>21917.164000000001</v>
      </c>
      <c r="V68">
        <v>90.563000000000002</v>
      </c>
      <c r="W68" t="s">
        <v>401</v>
      </c>
      <c r="X68">
        <v>35.200000000000003</v>
      </c>
    </row>
    <row r="69" spans="1:25" x14ac:dyDescent="0.45">
      <c r="A69">
        <v>62</v>
      </c>
      <c r="B69">
        <v>62</v>
      </c>
      <c r="C69" t="s">
        <v>467</v>
      </c>
      <c r="D69" t="s">
        <v>414</v>
      </c>
      <c r="F69">
        <v>3.07</v>
      </c>
      <c r="G69">
        <v>108123.56299999999</v>
      </c>
      <c r="H69">
        <v>28895.703000000001</v>
      </c>
      <c r="I69">
        <v>37.418999999999997</v>
      </c>
      <c r="J69" t="s">
        <v>403</v>
      </c>
      <c r="K69">
        <v>15.8</v>
      </c>
      <c r="N69">
        <v>62</v>
      </c>
      <c r="O69">
        <v>62</v>
      </c>
      <c r="P69" t="s">
        <v>572</v>
      </c>
      <c r="Q69" t="s">
        <v>414</v>
      </c>
      <c r="S69">
        <v>3.06</v>
      </c>
      <c r="T69">
        <v>159142.71900000001</v>
      </c>
      <c r="U69">
        <v>21837.35</v>
      </c>
      <c r="V69">
        <v>72.876000000000005</v>
      </c>
      <c r="W69" t="s">
        <v>401</v>
      </c>
      <c r="X69">
        <v>28.3</v>
      </c>
    </row>
    <row r="70" spans="1:25" x14ac:dyDescent="0.45">
      <c r="A70">
        <v>63</v>
      </c>
      <c r="B70">
        <v>63</v>
      </c>
      <c r="C70" t="s">
        <v>468</v>
      </c>
      <c r="D70" t="s">
        <v>414</v>
      </c>
      <c r="F70">
        <v>3.07</v>
      </c>
      <c r="G70">
        <v>88462.898000000001</v>
      </c>
      <c r="H70">
        <v>25797.562999999998</v>
      </c>
      <c r="I70">
        <v>34.290999999999997</v>
      </c>
      <c r="J70" t="s">
        <v>401</v>
      </c>
      <c r="K70">
        <v>14.5</v>
      </c>
      <c r="N70">
        <v>63</v>
      </c>
      <c r="O70">
        <v>63</v>
      </c>
      <c r="P70" t="s">
        <v>573</v>
      </c>
      <c r="Q70" t="s">
        <v>414</v>
      </c>
      <c r="S70">
        <v>3.06</v>
      </c>
      <c r="T70">
        <v>196045.625</v>
      </c>
      <c r="U70">
        <v>30773.223000000002</v>
      </c>
      <c r="V70">
        <v>63.707000000000001</v>
      </c>
      <c r="W70" t="s">
        <v>401</v>
      </c>
      <c r="X70">
        <v>24.8</v>
      </c>
    </row>
    <row r="71" spans="1:25" x14ac:dyDescent="0.45">
      <c r="A71">
        <v>64</v>
      </c>
      <c r="B71">
        <v>64</v>
      </c>
      <c r="C71" t="s">
        <v>469</v>
      </c>
      <c r="D71" t="s">
        <v>414</v>
      </c>
      <c r="F71">
        <v>3.07</v>
      </c>
      <c r="G71">
        <v>113211.766</v>
      </c>
      <c r="H71">
        <v>25773.723000000002</v>
      </c>
      <c r="I71">
        <v>43.924999999999997</v>
      </c>
      <c r="J71" t="s">
        <v>401</v>
      </c>
      <c r="K71">
        <v>18.5</v>
      </c>
      <c r="N71">
        <v>64</v>
      </c>
      <c r="O71">
        <v>64</v>
      </c>
      <c r="P71" t="s">
        <v>574</v>
      </c>
      <c r="Q71" t="s">
        <v>414</v>
      </c>
      <c r="S71">
        <v>3.06</v>
      </c>
      <c r="T71">
        <v>193486.516</v>
      </c>
      <c r="U71">
        <v>25564.107</v>
      </c>
      <c r="V71">
        <v>75.686999999999998</v>
      </c>
      <c r="W71" t="s">
        <v>401</v>
      </c>
      <c r="X71">
        <v>29.4</v>
      </c>
    </row>
    <row r="72" spans="1:25" x14ac:dyDescent="0.45">
      <c r="A72">
        <v>65</v>
      </c>
      <c r="B72">
        <v>65</v>
      </c>
      <c r="C72" t="s">
        <v>470</v>
      </c>
      <c r="D72" t="s">
        <v>414</v>
      </c>
      <c r="F72">
        <v>3.07</v>
      </c>
      <c r="G72">
        <v>116578.80499999999</v>
      </c>
      <c r="H72">
        <v>24000.574000000001</v>
      </c>
      <c r="I72">
        <v>48.573</v>
      </c>
      <c r="J72" t="s">
        <v>401</v>
      </c>
      <c r="K72">
        <v>20.5</v>
      </c>
      <c r="N72">
        <v>65</v>
      </c>
      <c r="O72">
        <v>65</v>
      </c>
      <c r="P72" t="s">
        <v>575</v>
      </c>
      <c r="Q72" t="s">
        <v>414</v>
      </c>
      <c r="S72">
        <v>3.06</v>
      </c>
      <c r="T72">
        <v>198768.75</v>
      </c>
      <c r="U72">
        <v>25234.873</v>
      </c>
      <c r="V72">
        <v>78.766999999999996</v>
      </c>
      <c r="W72" t="s">
        <v>415</v>
      </c>
      <c r="X72">
        <v>30.6</v>
      </c>
    </row>
    <row r="73" spans="1:25" x14ac:dyDescent="0.45">
      <c r="A73">
        <v>66</v>
      </c>
      <c r="B73">
        <v>66</v>
      </c>
      <c r="C73" t="s">
        <v>471</v>
      </c>
      <c r="D73" t="s">
        <v>414</v>
      </c>
      <c r="F73">
        <v>3.07</v>
      </c>
      <c r="G73">
        <v>92918.226999999999</v>
      </c>
      <c r="H73">
        <v>24894.263999999999</v>
      </c>
      <c r="I73">
        <v>37.325000000000003</v>
      </c>
      <c r="J73" t="s">
        <v>403</v>
      </c>
      <c r="K73">
        <v>15.7</v>
      </c>
      <c r="N73">
        <v>66</v>
      </c>
      <c r="O73">
        <v>66</v>
      </c>
      <c r="P73" t="s">
        <v>576</v>
      </c>
      <c r="Q73" t="s">
        <v>414</v>
      </c>
      <c r="S73">
        <v>3.06</v>
      </c>
      <c r="T73">
        <v>227417.484</v>
      </c>
      <c r="U73">
        <v>25525.695</v>
      </c>
      <c r="V73">
        <v>89.093999999999994</v>
      </c>
      <c r="W73" t="s">
        <v>403</v>
      </c>
      <c r="X73">
        <v>34.6</v>
      </c>
    </row>
    <row r="74" spans="1:25" x14ac:dyDescent="0.45">
      <c r="A74">
        <v>67</v>
      </c>
      <c r="B74">
        <v>67</v>
      </c>
      <c r="C74" t="s">
        <v>472</v>
      </c>
      <c r="D74" t="s">
        <v>414</v>
      </c>
      <c r="F74">
        <v>3.07</v>
      </c>
      <c r="G74">
        <v>55383.375</v>
      </c>
      <c r="H74">
        <v>14587.661</v>
      </c>
      <c r="I74">
        <v>37.966000000000001</v>
      </c>
      <c r="J74" t="s">
        <v>415</v>
      </c>
      <c r="K74">
        <v>16</v>
      </c>
      <c r="N74">
        <v>67</v>
      </c>
      <c r="O74">
        <v>67</v>
      </c>
      <c r="P74" t="s">
        <v>577</v>
      </c>
      <c r="Q74" t="s">
        <v>414</v>
      </c>
      <c r="S74">
        <v>3.06</v>
      </c>
      <c r="T74">
        <v>146852.391</v>
      </c>
      <c r="U74">
        <v>16517.393</v>
      </c>
      <c r="V74">
        <v>88.908000000000001</v>
      </c>
      <c r="W74" t="s">
        <v>403</v>
      </c>
      <c r="X74">
        <v>34.6</v>
      </c>
    </row>
    <row r="75" spans="1:25" x14ac:dyDescent="0.45">
      <c r="A75">
        <v>68</v>
      </c>
      <c r="B75">
        <v>68</v>
      </c>
      <c r="C75" t="s">
        <v>473</v>
      </c>
      <c r="D75" t="s">
        <v>414</v>
      </c>
      <c r="F75">
        <v>3.07</v>
      </c>
      <c r="G75">
        <v>101755.54700000001</v>
      </c>
      <c r="H75">
        <v>19391.498</v>
      </c>
      <c r="I75">
        <v>52.473999999999997</v>
      </c>
      <c r="J75" t="s">
        <v>403</v>
      </c>
      <c r="K75">
        <v>22.1</v>
      </c>
      <c r="N75">
        <v>68</v>
      </c>
      <c r="O75">
        <v>68</v>
      </c>
      <c r="P75" t="s">
        <v>578</v>
      </c>
      <c r="Q75" t="s">
        <v>414</v>
      </c>
      <c r="S75">
        <v>3.06</v>
      </c>
      <c r="T75">
        <v>158966.71900000001</v>
      </c>
      <c r="U75">
        <v>20746.732</v>
      </c>
      <c r="V75">
        <v>76.623000000000005</v>
      </c>
      <c r="W75" t="s">
        <v>401</v>
      </c>
      <c r="X75">
        <v>29.8</v>
      </c>
    </row>
    <row r="76" spans="1:25" x14ac:dyDescent="0.45">
      <c r="A76">
        <v>69</v>
      </c>
      <c r="B76">
        <v>69</v>
      </c>
      <c r="C76" t="s">
        <v>474</v>
      </c>
      <c r="D76" t="s">
        <v>414</v>
      </c>
      <c r="F76">
        <v>3.07</v>
      </c>
      <c r="G76">
        <v>137847.93799999999</v>
      </c>
      <c r="H76">
        <v>28867.609</v>
      </c>
      <c r="I76">
        <v>47.752000000000002</v>
      </c>
      <c r="J76" t="s">
        <v>401</v>
      </c>
      <c r="K76">
        <v>20.100000000000001</v>
      </c>
      <c r="N76">
        <v>69</v>
      </c>
      <c r="O76">
        <v>69</v>
      </c>
      <c r="P76" t="s">
        <v>579</v>
      </c>
      <c r="Q76" t="s">
        <v>414</v>
      </c>
      <c r="S76">
        <v>3.06</v>
      </c>
      <c r="T76">
        <v>135149.875</v>
      </c>
      <c r="U76">
        <v>19862.232</v>
      </c>
      <c r="V76">
        <v>68.043999999999997</v>
      </c>
      <c r="W76" t="s">
        <v>403</v>
      </c>
      <c r="X76">
        <v>26.5</v>
      </c>
    </row>
    <row r="78" spans="1:25" x14ac:dyDescent="0.45">
      <c r="A78" t="s">
        <v>475</v>
      </c>
      <c r="N78" t="s">
        <v>475</v>
      </c>
    </row>
    <row r="80" spans="1:25" x14ac:dyDescent="0.45">
      <c r="B80" t="s">
        <v>389</v>
      </c>
      <c r="C80" t="s">
        <v>123</v>
      </c>
      <c r="D80" t="s">
        <v>390</v>
      </c>
      <c r="E80" t="s">
        <v>391</v>
      </c>
      <c r="F80" t="s">
        <v>392</v>
      </c>
      <c r="G80" t="s">
        <v>393</v>
      </c>
      <c r="H80" t="s">
        <v>394</v>
      </c>
      <c r="I80" t="s">
        <v>395</v>
      </c>
      <c r="J80" t="s">
        <v>396</v>
      </c>
      <c r="K80" t="s">
        <v>397</v>
      </c>
      <c r="L80" t="s">
        <v>398</v>
      </c>
      <c r="O80" t="s">
        <v>389</v>
      </c>
      <c r="P80" t="s">
        <v>123</v>
      </c>
      <c r="Q80" t="s">
        <v>390</v>
      </c>
      <c r="R80" t="s">
        <v>391</v>
      </c>
      <c r="S80" t="s">
        <v>392</v>
      </c>
      <c r="T80" t="s">
        <v>393</v>
      </c>
      <c r="U80" t="s">
        <v>394</v>
      </c>
      <c r="V80" t="s">
        <v>395</v>
      </c>
      <c r="W80" t="s">
        <v>396</v>
      </c>
      <c r="X80" t="s">
        <v>397</v>
      </c>
      <c r="Y80" t="s">
        <v>398</v>
      </c>
    </row>
    <row r="81" spans="1:25" x14ac:dyDescent="0.45">
      <c r="A81">
        <v>1</v>
      </c>
      <c r="B81">
        <v>1</v>
      </c>
      <c r="C81" t="s">
        <v>399</v>
      </c>
      <c r="D81" t="s">
        <v>400</v>
      </c>
      <c r="E81">
        <v>0.05</v>
      </c>
      <c r="F81">
        <v>2.73</v>
      </c>
      <c r="G81">
        <v>291.94099999999997</v>
      </c>
      <c r="H81">
        <v>37850.171999999999</v>
      </c>
      <c r="I81">
        <v>7.6999999999999999E-2</v>
      </c>
      <c r="J81" t="s">
        <v>476</v>
      </c>
      <c r="N81">
        <v>1</v>
      </c>
      <c r="O81">
        <v>1</v>
      </c>
      <c r="P81" t="s">
        <v>511</v>
      </c>
      <c r="Q81" t="s">
        <v>400</v>
      </c>
      <c r="R81">
        <v>0.05</v>
      </c>
      <c r="S81">
        <v>2.73</v>
      </c>
      <c r="T81">
        <v>408.916</v>
      </c>
      <c r="U81">
        <v>57921.266000000003</v>
      </c>
      <c r="V81">
        <v>7.0999999999999994E-2</v>
      </c>
      <c r="W81" t="s">
        <v>479</v>
      </c>
    </row>
    <row r="82" spans="1:25" x14ac:dyDescent="0.45">
      <c r="A82">
        <v>2</v>
      </c>
      <c r="B82">
        <v>2</v>
      </c>
      <c r="C82" t="s">
        <v>402</v>
      </c>
      <c r="D82" t="s">
        <v>400</v>
      </c>
      <c r="E82">
        <v>0.5</v>
      </c>
      <c r="F82">
        <v>2.75</v>
      </c>
      <c r="G82">
        <v>2446.232</v>
      </c>
      <c r="H82">
        <v>41562.281000000003</v>
      </c>
      <c r="I82">
        <v>0.58899999999999997</v>
      </c>
      <c r="J82" t="s">
        <v>415</v>
      </c>
      <c r="K82">
        <v>0.4</v>
      </c>
      <c r="L82">
        <v>-11.5</v>
      </c>
      <c r="N82">
        <v>2</v>
      </c>
      <c r="O82">
        <v>2</v>
      </c>
      <c r="P82" t="s">
        <v>512</v>
      </c>
      <c r="Q82" t="s">
        <v>400</v>
      </c>
      <c r="R82">
        <v>0.5</v>
      </c>
      <c r="S82">
        <v>2.75</v>
      </c>
      <c r="T82">
        <v>3888.6060000000002</v>
      </c>
      <c r="U82">
        <v>60703.667999999998</v>
      </c>
      <c r="V82">
        <v>0.64100000000000001</v>
      </c>
      <c r="W82" t="s">
        <v>401</v>
      </c>
      <c r="X82">
        <v>0.7</v>
      </c>
      <c r="Y82">
        <v>37.6</v>
      </c>
    </row>
    <row r="83" spans="1:25" x14ac:dyDescent="0.45">
      <c r="A83">
        <v>3</v>
      </c>
      <c r="B83">
        <v>3</v>
      </c>
      <c r="C83" t="s">
        <v>404</v>
      </c>
      <c r="D83" t="s">
        <v>400</v>
      </c>
      <c r="E83">
        <v>1.25</v>
      </c>
      <c r="F83">
        <v>2.75</v>
      </c>
      <c r="G83">
        <v>5009.0349999999999</v>
      </c>
      <c r="H83">
        <v>46373.038999999997</v>
      </c>
      <c r="I83">
        <v>1.08</v>
      </c>
      <c r="J83" t="s">
        <v>401</v>
      </c>
      <c r="K83">
        <v>1.8</v>
      </c>
      <c r="L83">
        <v>47.6</v>
      </c>
      <c r="N83">
        <v>3</v>
      </c>
      <c r="O83">
        <v>3</v>
      </c>
      <c r="P83" t="s">
        <v>513</v>
      </c>
      <c r="Q83" t="s">
        <v>400</v>
      </c>
      <c r="R83">
        <v>1.25</v>
      </c>
      <c r="S83">
        <v>2.73</v>
      </c>
      <c r="T83">
        <v>6065.6570000000002</v>
      </c>
      <c r="U83">
        <v>59847.233999999997</v>
      </c>
      <c r="V83">
        <v>1.014</v>
      </c>
      <c r="W83" t="s">
        <v>403</v>
      </c>
      <c r="X83">
        <v>1.6</v>
      </c>
      <c r="Y83">
        <v>29</v>
      </c>
    </row>
    <row r="84" spans="1:25" x14ac:dyDescent="0.45">
      <c r="A84">
        <v>4</v>
      </c>
      <c r="B84">
        <v>4</v>
      </c>
      <c r="C84" t="s">
        <v>405</v>
      </c>
      <c r="D84" t="s">
        <v>400</v>
      </c>
      <c r="E84">
        <v>2.5</v>
      </c>
      <c r="F84">
        <v>2.73</v>
      </c>
      <c r="G84">
        <v>8013.125</v>
      </c>
      <c r="H84">
        <v>51413.949000000001</v>
      </c>
      <c r="I84">
        <v>1.5589999999999999</v>
      </c>
      <c r="J84" t="s">
        <v>401</v>
      </c>
      <c r="K84">
        <v>3.2</v>
      </c>
      <c r="L84">
        <v>28.4</v>
      </c>
      <c r="N84">
        <v>4</v>
      </c>
      <c r="O84">
        <v>4</v>
      </c>
      <c r="P84" t="s">
        <v>514</v>
      </c>
      <c r="Q84" t="s">
        <v>400</v>
      </c>
      <c r="R84">
        <v>2.5</v>
      </c>
      <c r="S84">
        <v>2.72</v>
      </c>
      <c r="T84">
        <v>9073.9179999999997</v>
      </c>
      <c r="U84">
        <v>59862.137000000002</v>
      </c>
      <c r="V84">
        <v>1.516</v>
      </c>
      <c r="W84" t="s">
        <v>403</v>
      </c>
      <c r="X84">
        <v>2.9</v>
      </c>
      <c r="Y84">
        <v>14.3</v>
      </c>
    </row>
    <row r="85" spans="1:25" x14ac:dyDescent="0.45">
      <c r="A85">
        <v>5</v>
      </c>
      <c r="B85">
        <v>5</v>
      </c>
      <c r="C85" t="s">
        <v>406</v>
      </c>
      <c r="D85" t="s">
        <v>400</v>
      </c>
      <c r="E85">
        <v>3.5</v>
      </c>
      <c r="F85">
        <v>2.72</v>
      </c>
      <c r="G85">
        <v>9409.2549999999992</v>
      </c>
      <c r="H85">
        <v>54456.370999999999</v>
      </c>
      <c r="I85">
        <v>1.728</v>
      </c>
      <c r="J85" t="s">
        <v>403</v>
      </c>
      <c r="K85">
        <v>3.7</v>
      </c>
      <c r="L85">
        <v>5.5</v>
      </c>
      <c r="N85">
        <v>5</v>
      </c>
      <c r="O85">
        <v>5</v>
      </c>
      <c r="P85" t="s">
        <v>515</v>
      </c>
      <c r="Q85" t="s">
        <v>400</v>
      </c>
      <c r="R85">
        <v>3.5</v>
      </c>
      <c r="S85">
        <v>2.72</v>
      </c>
      <c r="T85">
        <v>11134.245999999999</v>
      </c>
      <c r="U85">
        <v>61719.156000000003</v>
      </c>
      <c r="V85">
        <v>1.804</v>
      </c>
      <c r="W85" t="s">
        <v>401</v>
      </c>
      <c r="X85">
        <v>3.6</v>
      </c>
      <c r="Y85">
        <v>2</v>
      </c>
    </row>
    <row r="86" spans="1:25" x14ac:dyDescent="0.45">
      <c r="A86">
        <v>6</v>
      </c>
      <c r="B86">
        <v>6</v>
      </c>
      <c r="C86" t="s">
        <v>407</v>
      </c>
      <c r="D86" t="s">
        <v>400</v>
      </c>
      <c r="E86">
        <v>5</v>
      </c>
      <c r="F86">
        <v>2.72</v>
      </c>
      <c r="G86">
        <v>11879.534</v>
      </c>
      <c r="H86">
        <v>52267.851999999999</v>
      </c>
      <c r="I86">
        <v>2.2730000000000001</v>
      </c>
      <c r="J86" t="s">
        <v>401</v>
      </c>
      <c r="K86">
        <v>5.2</v>
      </c>
      <c r="L86">
        <v>5</v>
      </c>
      <c r="N86">
        <v>6</v>
      </c>
      <c r="O86">
        <v>6</v>
      </c>
      <c r="P86" t="s">
        <v>516</v>
      </c>
      <c r="Q86" t="s">
        <v>400</v>
      </c>
      <c r="R86">
        <v>5</v>
      </c>
      <c r="S86">
        <v>2.71</v>
      </c>
      <c r="T86">
        <v>14797.021000000001</v>
      </c>
      <c r="U86">
        <v>60989.391000000003</v>
      </c>
      <c r="V86">
        <v>2.4260000000000002</v>
      </c>
      <c r="W86" t="s">
        <v>415</v>
      </c>
      <c r="X86">
        <v>5.0999999999999996</v>
      </c>
      <c r="Y86">
        <v>2.2999999999999998</v>
      </c>
    </row>
    <row r="87" spans="1:25" x14ac:dyDescent="0.45">
      <c r="A87">
        <v>7</v>
      </c>
      <c r="B87">
        <v>7</v>
      </c>
      <c r="C87" t="s">
        <v>408</v>
      </c>
      <c r="D87" t="s">
        <v>400</v>
      </c>
      <c r="E87">
        <v>7</v>
      </c>
      <c r="F87">
        <v>2.71</v>
      </c>
      <c r="G87">
        <v>14265.402</v>
      </c>
      <c r="H87">
        <v>53458.148000000001</v>
      </c>
      <c r="I87">
        <v>2.669</v>
      </c>
      <c r="J87" t="s">
        <v>415</v>
      </c>
      <c r="K87">
        <v>6.4</v>
      </c>
      <c r="L87">
        <v>-8.9</v>
      </c>
      <c r="N87">
        <v>7</v>
      </c>
      <c r="O87">
        <v>7</v>
      </c>
      <c r="P87" t="s">
        <v>517</v>
      </c>
      <c r="Q87" t="s">
        <v>400</v>
      </c>
      <c r="R87">
        <v>7</v>
      </c>
      <c r="S87">
        <v>2.71</v>
      </c>
      <c r="T87">
        <v>18588.041000000001</v>
      </c>
      <c r="U87">
        <v>60756.241999999998</v>
      </c>
      <c r="V87">
        <v>3.0590000000000002</v>
      </c>
      <c r="W87" t="s">
        <v>403</v>
      </c>
      <c r="X87">
        <v>6.7</v>
      </c>
      <c r="Y87">
        <v>-4.5</v>
      </c>
    </row>
    <row r="88" spans="1:25" x14ac:dyDescent="0.45">
      <c r="A88">
        <v>8</v>
      </c>
      <c r="B88">
        <v>8</v>
      </c>
      <c r="C88" t="s">
        <v>409</v>
      </c>
      <c r="D88" t="s">
        <v>410</v>
      </c>
      <c r="F88">
        <v>3.47</v>
      </c>
      <c r="G88">
        <v>77.319000000000003</v>
      </c>
      <c r="H88">
        <v>3238.904</v>
      </c>
      <c r="I88">
        <v>0.23899999999999999</v>
      </c>
      <c r="J88" t="s">
        <v>477</v>
      </c>
      <c r="N88">
        <v>8</v>
      </c>
      <c r="O88">
        <v>8</v>
      </c>
      <c r="P88" t="s">
        <v>518</v>
      </c>
      <c r="Q88" t="s">
        <v>410</v>
      </c>
      <c r="S88">
        <v>1.88</v>
      </c>
      <c r="T88">
        <v>38.01</v>
      </c>
      <c r="U88">
        <v>120.629</v>
      </c>
      <c r="V88">
        <v>3.1509999999999998</v>
      </c>
      <c r="W88" t="s">
        <v>412</v>
      </c>
      <c r="X88">
        <v>6.9</v>
      </c>
    </row>
    <row r="89" spans="1:25" x14ac:dyDescent="0.45">
      <c r="A89">
        <v>9</v>
      </c>
      <c r="B89">
        <v>9</v>
      </c>
      <c r="C89" t="s">
        <v>411</v>
      </c>
      <c r="D89" t="s">
        <v>410</v>
      </c>
      <c r="F89">
        <v>3.48</v>
      </c>
      <c r="G89">
        <v>83.628</v>
      </c>
      <c r="H89">
        <v>2770.3530000000001</v>
      </c>
      <c r="I89">
        <v>0.30199999999999999</v>
      </c>
      <c r="J89" t="s">
        <v>476</v>
      </c>
      <c r="N89">
        <v>9</v>
      </c>
      <c r="O89">
        <v>9</v>
      </c>
      <c r="P89" t="s">
        <v>519</v>
      </c>
      <c r="Q89" t="s">
        <v>410</v>
      </c>
      <c r="S89">
        <v>3.09</v>
      </c>
      <c r="T89">
        <v>50.326000000000001</v>
      </c>
      <c r="U89">
        <v>171.69</v>
      </c>
      <c r="V89">
        <v>2.931</v>
      </c>
      <c r="W89" t="s">
        <v>415</v>
      </c>
      <c r="X89">
        <v>6.4</v>
      </c>
    </row>
    <row r="90" spans="1:25" x14ac:dyDescent="0.45">
      <c r="A90">
        <v>10</v>
      </c>
      <c r="B90">
        <v>10</v>
      </c>
      <c r="C90" t="s">
        <v>413</v>
      </c>
      <c r="D90" t="s">
        <v>414</v>
      </c>
      <c r="F90">
        <v>3.58</v>
      </c>
      <c r="G90">
        <v>133.221</v>
      </c>
      <c r="H90">
        <v>29547.296999999999</v>
      </c>
      <c r="I90">
        <v>4.4999999999999998E-2</v>
      </c>
      <c r="J90" t="s">
        <v>478</v>
      </c>
      <c r="N90">
        <v>10</v>
      </c>
      <c r="O90">
        <v>10</v>
      </c>
      <c r="P90" t="s">
        <v>520</v>
      </c>
      <c r="Q90" t="s">
        <v>414</v>
      </c>
      <c r="S90">
        <v>3.44</v>
      </c>
      <c r="T90">
        <v>127.81699999999999</v>
      </c>
      <c r="U90">
        <v>52610.813000000002</v>
      </c>
      <c r="V90">
        <v>2.4E-2</v>
      </c>
      <c r="W90" t="s">
        <v>479</v>
      </c>
    </row>
    <row r="91" spans="1:25" x14ac:dyDescent="0.45">
      <c r="A91">
        <v>11</v>
      </c>
      <c r="B91">
        <v>11</v>
      </c>
      <c r="C91" t="s">
        <v>416</v>
      </c>
      <c r="D91" t="s">
        <v>414</v>
      </c>
      <c r="F91">
        <v>3.3</v>
      </c>
      <c r="G91">
        <v>132.273</v>
      </c>
      <c r="H91">
        <v>36206.199000000001</v>
      </c>
      <c r="I91">
        <v>3.6999999999999998E-2</v>
      </c>
      <c r="J91" t="s">
        <v>477</v>
      </c>
      <c r="N91">
        <v>11</v>
      </c>
      <c r="O91">
        <v>11</v>
      </c>
      <c r="P91" t="s">
        <v>521</v>
      </c>
      <c r="Q91" t="s">
        <v>414</v>
      </c>
      <c r="S91">
        <v>3.42</v>
      </c>
      <c r="T91">
        <v>96.366</v>
      </c>
      <c r="U91">
        <v>27280.190999999999</v>
      </c>
      <c r="V91">
        <v>3.5000000000000003E-2</v>
      </c>
      <c r="W91" t="s">
        <v>477</v>
      </c>
    </row>
    <row r="92" spans="1:25" x14ac:dyDescent="0.45">
      <c r="A92">
        <v>12</v>
      </c>
      <c r="B92">
        <v>12</v>
      </c>
      <c r="C92" t="s">
        <v>417</v>
      </c>
      <c r="D92" t="s">
        <v>414</v>
      </c>
      <c r="F92">
        <v>2.73</v>
      </c>
      <c r="G92">
        <v>107.18899999999999</v>
      </c>
      <c r="H92">
        <v>28794.282999999999</v>
      </c>
      <c r="I92">
        <v>3.6999999999999998E-2</v>
      </c>
      <c r="J92" t="s">
        <v>476</v>
      </c>
      <c r="N92">
        <v>12</v>
      </c>
      <c r="O92">
        <v>12</v>
      </c>
      <c r="P92" t="s">
        <v>522</v>
      </c>
      <c r="Q92" t="s">
        <v>414</v>
      </c>
      <c r="S92">
        <v>3.22</v>
      </c>
      <c r="T92">
        <v>102.714</v>
      </c>
      <c r="U92">
        <v>24072.826000000001</v>
      </c>
      <c r="V92">
        <v>4.2999999999999997E-2</v>
      </c>
      <c r="W92" t="s">
        <v>476</v>
      </c>
    </row>
    <row r="93" spans="1:25" x14ac:dyDescent="0.45">
      <c r="A93">
        <v>13</v>
      </c>
      <c r="B93">
        <v>13</v>
      </c>
      <c r="C93" t="s">
        <v>418</v>
      </c>
      <c r="D93" t="s">
        <v>414</v>
      </c>
      <c r="F93">
        <v>3.47</v>
      </c>
      <c r="G93">
        <v>105.105</v>
      </c>
      <c r="H93">
        <v>25391.655999999999</v>
      </c>
      <c r="I93">
        <v>4.1000000000000002E-2</v>
      </c>
      <c r="J93" t="s">
        <v>476</v>
      </c>
      <c r="N93">
        <v>13</v>
      </c>
      <c r="O93">
        <v>13</v>
      </c>
      <c r="P93" t="s">
        <v>523</v>
      </c>
      <c r="Q93" t="s">
        <v>414</v>
      </c>
      <c r="S93">
        <v>3.57</v>
      </c>
      <c r="T93">
        <v>136.18199999999999</v>
      </c>
      <c r="U93">
        <v>35754.375</v>
      </c>
      <c r="V93">
        <v>3.7999999999999999E-2</v>
      </c>
      <c r="W93" t="s">
        <v>479</v>
      </c>
    </row>
    <row r="94" spans="1:25" x14ac:dyDescent="0.45">
      <c r="A94">
        <v>14</v>
      </c>
      <c r="B94">
        <v>14</v>
      </c>
      <c r="C94" t="s">
        <v>419</v>
      </c>
      <c r="D94" t="s">
        <v>414</v>
      </c>
      <c r="F94">
        <v>2.76</v>
      </c>
      <c r="G94">
        <v>70.759</v>
      </c>
      <c r="H94">
        <v>33072.078000000001</v>
      </c>
      <c r="I94">
        <v>2.1000000000000001E-2</v>
      </c>
      <c r="J94" t="s">
        <v>476</v>
      </c>
      <c r="N94">
        <v>14</v>
      </c>
      <c r="O94">
        <v>14</v>
      </c>
      <c r="P94" t="s">
        <v>524</v>
      </c>
      <c r="Q94" t="s">
        <v>414</v>
      </c>
      <c r="S94">
        <v>3.13</v>
      </c>
      <c r="T94">
        <v>58.664000000000001</v>
      </c>
      <c r="U94">
        <v>22574.831999999999</v>
      </c>
      <c r="V94">
        <v>2.5999999999999999E-2</v>
      </c>
      <c r="W94" t="s">
        <v>479</v>
      </c>
    </row>
    <row r="95" spans="1:25" x14ac:dyDescent="0.45">
      <c r="A95">
        <v>15</v>
      </c>
      <c r="B95">
        <v>15</v>
      </c>
      <c r="C95" t="s">
        <v>420</v>
      </c>
      <c r="D95" t="s">
        <v>414</v>
      </c>
      <c r="F95">
        <v>3.3</v>
      </c>
      <c r="G95">
        <v>121.83499999999999</v>
      </c>
      <c r="H95">
        <v>37934.870999999999</v>
      </c>
      <c r="I95">
        <v>3.2000000000000001E-2</v>
      </c>
      <c r="J95" t="s">
        <v>476</v>
      </c>
      <c r="N95">
        <v>15</v>
      </c>
      <c r="O95">
        <v>15</v>
      </c>
      <c r="P95" t="s">
        <v>525</v>
      </c>
      <c r="Q95" t="s">
        <v>414</v>
      </c>
      <c r="S95">
        <v>2.73</v>
      </c>
      <c r="T95">
        <v>108.419</v>
      </c>
      <c r="U95">
        <v>23625.574000000001</v>
      </c>
      <c r="V95">
        <v>4.5999999999999999E-2</v>
      </c>
      <c r="W95" t="s">
        <v>477</v>
      </c>
    </row>
    <row r="96" spans="1:25" x14ac:dyDescent="0.45">
      <c r="A96">
        <v>16</v>
      </c>
      <c r="B96">
        <v>16</v>
      </c>
      <c r="C96" t="s">
        <v>421</v>
      </c>
      <c r="D96" t="s">
        <v>414</v>
      </c>
      <c r="F96">
        <v>2.71</v>
      </c>
      <c r="G96">
        <v>81.772999999999996</v>
      </c>
      <c r="H96">
        <v>34938.203000000001</v>
      </c>
      <c r="I96">
        <v>2.3E-2</v>
      </c>
      <c r="J96" t="s">
        <v>476</v>
      </c>
      <c r="N96">
        <v>16</v>
      </c>
      <c r="O96">
        <v>16</v>
      </c>
      <c r="P96" t="s">
        <v>526</v>
      </c>
      <c r="Q96" t="s">
        <v>414</v>
      </c>
      <c r="S96">
        <v>3.43</v>
      </c>
      <c r="T96">
        <v>96.234999999999999</v>
      </c>
      <c r="U96">
        <v>32827.847999999998</v>
      </c>
      <c r="V96">
        <v>2.9000000000000001E-2</v>
      </c>
      <c r="W96" t="s">
        <v>479</v>
      </c>
    </row>
    <row r="97" spans="1:23" x14ac:dyDescent="0.45">
      <c r="A97">
        <v>17</v>
      </c>
      <c r="B97">
        <v>17</v>
      </c>
      <c r="C97" t="s">
        <v>422</v>
      </c>
      <c r="D97" t="s">
        <v>414</v>
      </c>
      <c r="F97">
        <v>3.45</v>
      </c>
      <c r="G97">
        <v>133.523</v>
      </c>
      <c r="H97">
        <v>32101.521000000001</v>
      </c>
      <c r="I97">
        <v>4.2000000000000003E-2</v>
      </c>
      <c r="J97" t="s">
        <v>478</v>
      </c>
      <c r="N97">
        <v>17</v>
      </c>
      <c r="O97">
        <v>17</v>
      </c>
      <c r="P97" t="s">
        <v>527</v>
      </c>
      <c r="Q97" t="s">
        <v>414</v>
      </c>
      <c r="S97">
        <v>2.4900000000000002</v>
      </c>
      <c r="T97">
        <v>81.885999999999996</v>
      </c>
      <c r="U97">
        <v>21031.434000000001</v>
      </c>
      <c r="V97">
        <v>3.9E-2</v>
      </c>
      <c r="W97" t="s">
        <v>477</v>
      </c>
    </row>
    <row r="98" spans="1:23" x14ac:dyDescent="0.45">
      <c r="A98">
        <v>18</v>
      </c>
      <c r="B98">
        <v>18</v>
      </c>
      <c r="C98" t="s">
        <v>423</v>
      </c>
      <c r="D98" t="s">
        <v>414</v>
      </c>
      <c r="F98">
        <v>3.43</v>
      </c>
      <c r="G98">
        <v>136.703</v>
      </c>
      <c r="H98">
        <v>34423.266000000003</v>
      </c>
      <c r="I98">
        <v>0.04</v>
      </c>
      <c r="J98" t="s">
        <v>479</v>
      </c>
      <c r="N98">
        <v>18</v>
      </c>
      <c r="O98">
        <v>18</v>
      </c>
      <c r="P98" t="s">
        <v>528</v>
      </c>
      <c r="Q98" t="s">
        <v>414</v>
      </c>
      <c r="S98">
        <v>2.75</v>
      </c>
      <c r="T98">
        <v>90.537999999999997</v>
      </c>
      <c r="U98">
        <v>30196.365000000002</v>
      </c>
      <c r="V98">
        <v>0.03</v>
      </c>
      <c r="W98" t="s">
        <v>479</v>
      </c>
    </row>
    <row r="99" spans="1:23" x14ac:dyDescent="0.45">
      <c r="A99">
        <v>19</v>
      </c>
      <c r="B99">
        <v>19</v>
      </c>
      <c r="C99" t="s">
        <v>424</v>
      </c>
      <c r="D99" t="s">
        <v>414</v>
      </c>
      <c r="F99">
        <v>2.75</v>
      </c>
      <c r="G99">
        <v>249.077</v>
      </c>
      <c r="H99">
        <v>39836.754000000001</v>
      </c>
      <c r="I99">
        <v>6.3E-2</v>
      </c>
      <c r="J99" t="s">
        <v>476</v>
      </c>
      <c r="N99">
        <v>19</v>
      </c>
      <c r="O99">
        <v>19</v>
      </c>
      <c r="P99" t="s">
        <v>529</v>
      </c>
      <c r="Q99" t="s">
        <v>414</v>
      </c>
      <c r="S99">
        <v>2.76</v>
      </c>
      <c r="T99">
        <v>296.56299999999999</v>
      </c>
      <c r="U99">
        <v>43884.116999999998</v>
      </c>
      <c r="V99">
        <v>6.8000000000000005E-2</v>
      </c>
      <c r="W99" t="s">
        <v>477</v>
      </c>
    </row>
    <row r="100" spans="1:23" x14ac:dyDescent="0.45">
      <c r="A100">
        <v>20</v>
      </c>
      <c r="B100">
        <v>20</v>
      </c>
      <c r="C100" t="s">
        <v>425</v>
      </c>
      <c r="D100" t="s">
        <v>414</v>
      </c>
      <c r="F100">
        <v>3.57</v>
      </c>
      <c r="G100">
        <v>81.778999999999996</v>
      </c>
      <c r="H100">
        <v>25446.662</v>
      </c>
      <c r="I100">
        <v>3.2000000000000001E-2</v>
      </c>
      <c r="J100" t="s">
        <v>478</v>
      </c>
      <c r="N100">
        <v>20</v>
      </c>
      <c r="O100">
        <v>20</v>
      </c>
      <c r="P100" t="s">
        <v>530</v>
      </c>
      <c r="Q100" t="s">
        <v>414</v>
      </c>
      <c r="S100">
        <v>3.43</v>
      </c>
      <c r="T100">
        <v>118.444</v>
      </c>
      <c r="U100">
        <v>22539.842000000001</v>
      </c>
      <c r="V100">
        <v>5.2999999999999999E-2</v>
      </c>
      <c r="W100" t="s">
        <v>477</v>
      </c>
    </row>
    <row r="101" spans="1:23" x14ac:dyDescent="0.45">
      <c r="A101">
        <v>21</v>
      </c>
      <c r="B101">
        <v>21</v>
      </c>
      <c r="C101" t="s">
        <v>426</v>
      </c>
      <c r="D101" t="s">
        <v>414</v>
      </c>
      <c r="F101">
        <v>3.42</v>
      </c>
      <c r="G101">
        <v>106.188</v>
      </c>
      <c r="H101">
        <v>32067.66</v>
      </c>
      <c r="I101">
        <v>3.3000000000000002E-2</v>
      </c>
      <c r="J101" t="s">
        <v>476</v>
      </c>
      <c r="N101">
        <v>21</v>
      </c>
      <c r="O101">
        <v>21</v>
      </c>
      <c r="P101" t="s">
        <v>531</v>
      </c>
      <c r="Q101" t="s">
        <v>414</v>
      </c>
      <c r="S101">
        <v>3.55</v>
      </c>
      <c r="T101">
        <v>71.793999999999997</v>
      </c>
      <c r="U101">
        <v>24519.092000000001</v>
      </c>
      <c r="V101">
        <v>2.9000000000000001E-2</v>
      </c>
      <c r="W101" t="s">
        <v>478</v>
      </c>
    </row>
    <row r="102" spans="1:23" x14ac:dyDescent="0.45">
      <c r="A102">
        <v>22</v>
      </c>
      <c r="B102">
        <v>22</v>
      </c>
      <c r="C102" t="s">
        <v>427</v>
      </c>
      <c r="D102" t="s">
        <v>414</v>
      </c>
      <c r="F102">
        <v>3.16</v>
      </c>
      <c r="G102">
        <v>70.108000000000004</v>
      </c>
      <c r="H102">
        <v>26188.508000000002</v>
      </c>
      <c r="I102">
        <v>2.7E-2</v>
      </c>
      <c r="J102" t="s">
        <v>478</v>
      </c>
      <c r="N102">
        <v>22</v>
      </c>
      <c r="O102">
        <v>22</v>
      </c>
      <c r="P102" t="s">
        <v>532</v>
      </c>
      <c r="Q102" t="s">
        <v>414</v>
      </c>
      <c r="S102">
        <v>3.56</v>
      </c>
      <c r="T102">
        <v>98.632999999999996</v>
      </c>
      <c r="U102">
        <v>27552.648000000001</v>
      </c>
      <c r="V102">
        <v>3.5999999999999997E-2</v>
      </c>
      <c r="W102" t="s">
        <v>476</v>
      </c>
    </row>
    <row r="103" spans="1:23" x14ac:dyDescent="0.45">
      <c r="A103">
        <v>23</v>
      </c>
      <c r="B103">
        <v>23</v>
      </c>
      <c r="C103" t="s">
        <v>428</v>
      </c>
      <c r="D103" t="s">
        <v>414</v>
      </c>
      <c r="F103">
        <v>3.15</v>
      </c>
      <c r="G103">
        <v>112.333</v>
      </c>
      <c r="H103">
        <v>27376.719000000001</v>
      </c>
      <c r="I103">
        <v>4.1000000000000002E-2</v>
      </c>
      <c r="J103" t="s">
        <v>478</v>
      </c>
      <c r="N103">
        <v>23</v>
      </c>
      <c r="O103">
        <v>23</v>
      </c>
      <c r="P103" t="s">
        <v>533</v>
      </c>
      <c r="Q103" t="s">
        <v>414</v>
      </c>
      <c r="S103">
        <v>3.56</v>
      </c>
      <c r="T103">
        <v>93.501000000000005</v>
      </c>
      <c r="U103">
        <v>36978.883000000002</v>
      </c>
      <c r="V103">
        <v>2.5000000000000001E-2</v>
      </c>
      <c r="W103" t="s">
        <v>476</v>
      </c>
    </row>
    <row r="104" spans="1:23" x14ac:dyDescent="0.45">
      <c r="A104">
        <v>24</v>
      </c>
      <c r="B104">
        <v>24</v>
      </c>
      <c r="C104" t="s">
        <v>429</v>
      </c>
      <c r="D104" t="s">
        <v>414</v>
      </c>
      <c r="F104">
        <v>3.48</v>
      </c>
      <c r="G104">
        <v>99.274000000000001</v>
      </c>
      <c r="H104">
        <v>28330.701000000001</v>
      </c>
      <c r="I104">
        <v>3.5000000000000003E-2</v>
      </c>
      <c r="J104" t="s">
        <v>478</v>
      </c>
      <c r="N104">
        <v>24</v>
      </c>
      <c r="O104">
        <v>24</v>
      </c>
      <c r="P104" t="s">
        <v>534</v>
      </c>
      <c r="Q104" t="s">
        <v>414</v>
      </c>
      <c r="S104">
        <v>3.42</v>
      </c>
      <c r="T104">
        <v>83.212000000000003</v>
      </c>
      <c r="U104">
        <v>31122.594000000001</v>
      </c>
      <c r="V104">
        <v>2.7E-2</v>
      </c>
      <c r="W104" t="s">
        <v>478</v>
      </c>
    </row>
    <row r="105" spans="1:23" x14ac:dyDescent="0.45">
      <c r="A105">
        <v>25</v>
      </c>
      <c r="B105">
        <v>25</v>
      </c>
      <c r="C105" t="s">
        <v>430</v>
      </c>
      <c r="D105" t="s">
        <v>414</v>
      </c>
      <c r="F105">
        <v>2.75</v>
      </c>
      <c r="G105">
        <v>130.56399999999999</v>
      </c>
      <c r="H105">
        <v>31735.366999999998</v>
      </c>
      <c r="I105">
        <v>4.1000000000000002E-2</v>
      </c>
      <c r="J105" t="s">
        <v>478</v>
      </c>
      <c r="N105">
        <v>25</v>
      </c>
      <c r="O105">
        <v>25</v>
      </c>
      <c r="P105" t="s">
        <v>535</v>
      </c>
      <c r="Q105" t="s">
        <v>414</v>
      </c>
      <c r="S105">
        <v>3.43</v>
      </c>
      <c r="T105">
        <v>154.39599999999999</v>
      </c>
      <c r="U105">
        <v>45529.77</v>
      </c>
      <c r="V105">
        <v>3.4000000000000002E-2</v>
      </c>
      <c r="W105" t="s">
        <v>477</v>
      </c>
    </row>
    <row r="106" spans="1:23" x14ac:dyDescent="0.45">
      <c r="A106">
        <v>26</v>
      </c>
      <c r="B106">
        <v>26</v>
      </c>
      <c r="C106" t="s">
        <v>431</v>
      </c>
      <c r="D106" t="s">
        <v>414</v>
      </c>
      <c r="F106">
        <v>3.58</v>
      </c>
      <c r="G106">
        <v>102.336</v>
      </c>
      <c r="H106">
        <v>23727.705000000002</v>
      </c>
      <c r="I106">
        <v>4.2999999999999997E-2</v>
      </c>
      <c r="J106" t="s">
        <v>478</v>
      </c>
      <c r="N106">
        <v>26</v>
      </c>
      <c r="O106">
        <v>26</v>
      </c>
      <c r="P106" t="s">
        <v>536</v>
      </c>
      <c r="Q106" t="s">
        <v>414</v>
      </c>
      <c r="S106">
        <v>2.75</v>
      </c>
      <c r="T106">
        <v>98.653000000000006</v>
      </c>
      <c r="U106">
        <v>26557.603999999999</v>
      </c>
      <c r="V106">
        <v>3.6999999999999998E-2</v>
      </c>
      <c r="W106" t="s">
        <v>478</v>
      </c>
    </row>
    <row r="107" spans="1:23" x14ac:dyDescent="0.45">
      <c r="A107">
        <v>27</v>
      </c>
      <c r="B107">
        <v>27</v>
      </c>
      <c r="C107" t="s">
        <v>432</v>
      </c>
      <c r="D107" t="s">
        <v>414</v>
      </c>
      <c r="F107">
        <v>2.75</v>
      </c>
      <c r="G107">
        <v>68.900999999999996</v>
      </c>
      <c r="H107">
        <v>23831.333999999999</v>
      </c>
      <c r="I107">
        <v>2.9000000000000001E-2</v>
      </c>
      <c r="J107" t="s">
        <v>477</v>
      </c>
      <c r="N107">
        <v>27</v>
      </c>
      <c r="O107">
        <v>27</v>
      </c>
      <c r="P107" t="s">
        <v>537</v>
      </c>
      <c r="Q107" t="s">
        <v>414</v>
      </c>
      <c r="S107">
        <v>3.45</v>
      </c>
      <c r="T107">
        <v>85.674000000000007</v>
      </c>
      <c r="U107">
        <v>20408.879000000001</v>
      </c>
      <c r="V107">
        <v>4.2000000000000003E-2</v>
      </c>
      <c r="W107" t="s">
        <v>478</v>
      </c>
    </row>
    <row r="108" spans="1:23" x14ac:dyDescent="0.45">
      <c r="A108">
        <v>28</v>
      </c>
      <c r="B108">
        <v>28</v>
      </c>
      <c r="C108" t="s">
        <v>433</v>
      </c>
      <c r="D108" t="s">
        <v>414</v>
      </c>
      <c r="F108">
        <v>2.75</v>
      </c>
      <c r="G108">
        <v>114.33799999999999</v>
      </c>
      <c r="H108">
        <v>27246.131000000001</v>
      </c>
      <c r="I108">
        <v>4.2000000000000003E-2</v>
      </c>
      <c r="J108" t="s">
        <v>476</v>
      </c>
      <c r="N108">
        <v>28</v>
      </c>
      <c r="O108">
        <v>28</v>
      </c>
      <c r="P108" t="s">
        <v>538</v>
      </c>
      <c r="Q108" t="s">
        <v>414</v>
      </c>
      <c r="S108">
        <v>3.25</v>
      </c>
      <c r="T108">
        <v>93.256</v>
      </c>
      <c r="U108">
        <v>26014.530999999999</v>
      </c>
      <c r="V108">
        <v>3.5999999999999997E-2</v>
      </c>
      <c r="W108" t="s">
        <v>479</v>
      </c>
    </row>
    <row r="109" spans="1:23" x14ac:dyDescent="0.45">
      <c r="A109">
        <v>29</v>
      </c>
      <c r="B109">
        <v>29</v>
      </c>
      <c r="C109" t="s">
        <v>434</v>
      </c>
      <c r="D109" t="s">
        <v>414</v>
      </c>
      <c r="F109">
        <v>3.45</v>
      </c>
      <c r="G109">
        <v>129.67699999999999</v>
      </c>
      <c r="H109">
        <v>27690.42</v>
      </c>
      <c r="I109">
        <v>4.7E-2</v>
      </c>
      <c r="J109" t="s">
        <v>479</v>
      </c>
      <c r="N109">
        <v>29</v>
      </c>
      <c r="O109">
        <v>29</v>
      </c>
      <c r="P109" t="s">
        <v>539</v>
      </c>
      <c r="Q109" t="s">
        <v>414</v>
      </c>
      <c r="S109">
        <v>3.43</v>
      </c>
      <c r="T109">
        <v>175.11799999999999</v>
      </c>
      <c r="U109">
        <v>36472.184000000001</v>
      </c>
      <c r="V109">
        <v>4.8000000000000001E-2</v>
      </c>
      <c r="W109" t="s">
        <v>477</v>
      </c>
    </row>
    <row r="110" spans="1:23" x14ac:dyDescent="0.45">
      <c r="A110">
        <v>30</v>
      </c>
      <c r="B110">
        <v>30</v>
      </c>
      <c r="C110" t="s">
        <v>435</v>
      </c>
      <c r="D110" t="s">
        <v>414</v>
      </c>
      <c r="F110">
        <v>3.46</v>
      </c>
      <c r="G110">
        <v>87.856999999999999</v>
      </c>
      <c r="H110">
        <v>21747.738000000001</v>
      </c>
      <c r="I110">
        <v>0.04</v>
      </c>
      <c r="J110" t="s">
        <v>478</v>
      </c>
      <c r="N110">
        <v>30</v>
      </c>
      <c r="O110">
        <v>30</v>
      </c>
      <c r="P110" t="s">
        <v>540</v>
      </c>
      <c r="Q110" t="s">
        <v>414</v>
      </c>
      <c r="S110">
        <v>3.24</v>
      </c>
      <c r="T110">
        <v>111.345</v>
      </c>
      <c r="U110">
        <v>31681.574000000001</v>
      </c>
      <c r="V110">
        <v>3.5000000000000003E-2</v>
      </c>
      <c r="W110" t="s">
        <v>477</v>
      </c>
    </row>
    <row r="111" spans="1:23" x14ac:dyDescent="0.45">
      <c r="A111">
        <v>31</v>
      </c>
      <c r="B111">
        <v>31</v>
      </c>
      <c r="C111" t="s">
        <v>436</v>
      </c>
      <c r="D111" t="s">
        <v>414</v>
      </c>
      <c r="F111">
        <v>3.47</v>
      </c>
      <c r="G111">
        <v>79.820999999999998</v>
      </c>
      <c r="H111">
        <v>26762.016</v>
      </c>
      <c r="I111">
        <v>0.03</v>
      </c>
      <c r="J111" t="s">
        <v>479</v>
      </c>
      <c r="N111">
        <v>31</v>
      </c>
      <c r="O111">
        <v>31</v>
      </c>
      <c r="P111" t="s">
        <v>541</v>
      </c>
      <c r="Q111" t="s">
        <v>414</v>
      </c>
      <c r="S111">
        <v>1.95</v>
      </c>
      <c r="T111">
        <v>61.804000000000002</v>
      </c>
      <c r="U111">
        <v>27736.148000000001</v>
      </c>
      <c r="V111">
        <v>2.1999999999999999E-2</v>
      </c>
      <c r="W111" t="s">
        <v>477</v>
      </c>
    </row>
    <row r="112" spans="1:23" x14ac:dyDescent="0.45">
      <c r="A112">
        <v>32</v>
      </c>
      <c r="B112">
        <v>32</v>
      </c>
      <c r="C112" t="s">
        <v>437</v>
      </c>
      <c r="D112" t="s">
        <v>414</v>
      </c>
      <c r="F112">
        <v>3.48</v>
      </c>
      <c r="G112">
        <v>68.391000000000005</v>
      </c>
      <c r="H112">
        <v>23484.151999999998</v>
      </c>
      <c r="I112">
        <v>2.9000000000000001E-2</v>
      </c>
      <c r="J112" t="s">
        <v>478</v>
      </c>
      <c r="N112">
        <v>32</v>
      </c>
      <c r="O112">
        <v>32</v>
      </c>
      <c r="P112" t="s">
        <v>542</v>
      </c>
      <c r="Q112" t="s">
        <v>414</v>
      </c>
      <c r="S112">
        <v>3.56</v>
      </c>
      <c r="T112">
        <v>123.276</v>
      </c>
      <c r="U112">
        <v>26005.937999999998</v>
      </c>
      <c r="V112">
        <v>4.7E-2</v>
      </c>
      <c r="W112" t="s">
        <v>476</v>
      </c>
    </row>
    <row r="113" spans="1:23" x14ac:dyDescent="0.45">
      <c r="A113">
        <v>33</v>
      </c>
      <c r="B113">
        <v>33</v>
      </c>
      <c r="C113" t="s">
        <v>438</v>
      </c>
      <c r="D113" t="s">
        <v>414</v>
      </c>
      <c r="F113">
        <v>3.57</v>
      </c>
      <c r="G113">
        <v>71.495999999999995</v>
      </c>
      <c r="H113">
        <v>24883.574000000001</v>
      </c>
      <c r="I113">
        <v>2.9000000000000001E-2</v>
      </c>
      <c r="J113" t="s">
        <v>478</v>
      </c>
      <c r="N113">
        <v>33</v>
      </c>
      <c r="O113">
        <v>33</v>
      </c>
      <c r="P113" t="s">
        <v>543</v>
      </c>
      <c r="Q113" t="s">
        <v>414</v>
      </c>
      <c r="S113">
        <v>3.44</v>
      </c>
      <c r="T113">
        <v>83.64</v>
      </c>
      <c r="U113">
        <v>23878.141</v>
      </c>
      <c r="V113">
        <v>3.5000000000000003E-2</v>
      </c>
      <c r="W113" t="s">
        <v>476</v>
      </c>
    </row>
    <row r="114" spans="1:23" x14ac:dyDescent="0.45">
      <c r="A114">
        <v>34</v>
      </c>
      <c r="B114">
        <v>34</v>
      </c>
      <c r="C114" t="s">
        <v>439</v>
      </c>
      <c r="D114" t="s">
        <v>414</v>
      </c>
      <c r="F114">
        <v>3.45</v>
      </c>
      <c r="G114">
        <v>131.63200000000001</v>
      </c>
      <c r="H114">
        <v>24549.675999999999</v>
      </c>
      <c r="I114">
        <v>5.3999999999999999E-2</v>
      </c>
      <c r="J114" t="s">
        <v>476</v>
      </c>
      <c r="N114">
        <v>34</v>
      </c>
      <c r="O114">
        <v>34</v>
      </c>
      <c r="P114" t="s">
        <v>544</v>
      </c>
      <c r="Q114" t="s">
        <v>414</v>
      </c>
      <c r="S114">
        <v>3.42</v>
      </c>
      <c r="T114">
        <v>130.072</v>
      </c>
      <c r="U114">
        <v>30157.050999999999</v>
      </c>
      <c r="V114">
        <v>4.2999999999999997E-2</v>
      </c>
      <c r="W114" t="s">
        <v>478</v>
      </c>
    </row>
    <row r="115" spans="1:23" x14ac:dyDescent="0.45">
      <c r="A115">
        <v>35</v>
      </c>
      <c r="B115">
        <v>35</v>
      </c>
      <c r="C115" t="s">
        <v>440</v>
      </c>
      <c r="D115" t="s">
        <v>414</v>
      </c>
      <c r="F115">
        <v>3.45</v>
      </c>
      <c r="G115">
        <v>92.290999999999997</v>
      </c>
      <c r="H115">
        <v>31427.671999999999</v>
      </c>
      <c r="I115">
        <v>2.9000000000000001E-2</v>
      </c>
      <c r="J115" t="s">
        <v>476</v>
      </c>
      <c r="N115">
        <v>35</v>
      </c>
      <c r="O115">
        <v>35</v>
      </c>
      <c r="P115" t="s">
        <v>545</v>
      </c>
      <c r="Q115" t="s">
        <v>414</v>
      </c>
      <c r="S115">
        <v>2.75</v>
      </c>
      <c r="T115">
        <v>66.311999999999998</v>
      </c>
      <c r="U115">
        <v>22259.907999999999</v>
      </c>
      <c r="V115">
        <v>0.03</v>
      </c>
      <c r="W115" t="s">
        <v>476</v>
      </c>
    </row>
    <row r="116" spans="1:23" x14ac:dyDescent="0.45">
      <c r="A116">
        <v>36</v>
      </c>
      <c r="B116">
        <v>36</v>
      </c>
      <c r="C116" t="s">
        <v>441</v>
      </c>
      <c r="D116" t="s">
        <v>414</v>
      </c>
      <c r="F116">
        <v>3.48</v>
      </c>
      <c r="G116">
        <v>158.75700000000001</v>
      </c>
      <c r="H116">
        <v>28172.438999999998</v>
      </c>
      <c r="I116">
        <v>5.6000000000000001E-2</v>
      </c>
      <c r="J116" t="s">
        <v>478</v>
      </c>
      <c r="N116">
        <v>36</v>
      </c>
      <c r="O116">
        <v>36</v>
      </c>
      <c r="P116" t="s">
        <v>546</v>
      </c>
      <c r="Q116" t="s">
        <v>414</v>
      </c>
      <c r="S116">
        <v>3.43</v>
      </c>
      <c r="T116">
        <v>126.121</v>
      </c>
      <c r="U116">
        <v>37166.120999999999</v>
      </c>
      <c r="V116">
        <v>3.4000000000000002E-2</v>
      </c>
      <c r="W116" t="s">
        <v>477</v>
      </c>
    </row>
    <row r="117" spans="1:23" x14ac:dyDescent="0.45">
      <c r="A117">
        <v>37</v>
      </c>
      <c r="B117">
        <v>37</v>
      </c>
      <c r="C117" t="s">
        <v>442</v>
      </c>
      <c r="D117" t="s">
        <v>414</v>
      </c>
      <c r="F117">
        <v>3.41</v>
      </c>
      <c r="G117">
        <v>75.756</v>
      </c>
      <c r="H117">
        <v>25285.471000000001</v>
      </c>
      <c r="I117">
        <v>0.03</v>
      </c>
      <c r="J117" t="s">
        <v>476</v>
      </c>
      <c r="N117">
        <v>37</v>
      </c>
      <c r="O117">
        <v>37</v>
      </c>
      <c r="P117" t="s">
        <v>547</v>
      </c>
      <c r="Q117" t="s">
        <v>414</v>
      </c>
      <c r="S117">
        <v>3.55</v>
      </c>
      <c r="T117">
        <v>44.488</v>
      </c>
      <c r="U117">
        <v>23065.666000000001</v>
      </c>
      <c r="V117">
        <v>1.9E-2</v>
      </c>
      <c r="W117" t="s">
        <v>477</v>
      </c>
    </row>
    <row r="118" spans="1:23" x14ac:dyDescent="0.45">
      <c r="A118">
        <v>38</v>
      </c>
      <c r="B118">
        <v>38</v>
      </c>
      <c r="C118" t="s">
        <v>443</v>
      </c>
      <c r="D118" t="s">
        <v>414</v>
      </c>
      <c r="F118">
        <v>3.46</v>
      </c>
      <c r="G118">
        <v>128.613</v>
      </c>
      <c r="H118">
        <v>18952.687999999998</v>
      </c>
      <c r="I118">
        <v>6.8000000000000005E-2</v>
      </c>
      <c r="J118" t="s">
        <v>478</v>
      </c>
      <c r="N118">
        <v>38</v>
      </c>
      <c r="O118">
        <v>38</v>
      </c>
      <c r="P118" t="s">
        <v>548</v>
      </c>
      <c r="Q118" t="s">
        <v>414</v>
      </c>
      <c r="S118">
        <v>3.42</v>
      </c>
      <c r="T118">
        <v>146.51400000000001</v>
      </c>
      <c r="U118">
        <v>23567.273000000001</v>
      </c>
      <c r="V118">
        <v>6.2E-2</v>
      </c>
      <c r="W118" t="s">
        <v>479</v>
      </c>
    </row>
    <row r="119" spans="1:23" x14ac:dyDescent="0.45">
      <c r="A119">
        <v>39</v>
      </c>
      <c r="B119">
        <v>39</v>
      </c>
      <c r="C119" t="s">
        <v>444</v>
      </c>
      <c r="D119" t="s">
        <v>414</v>
      </c>
      <c r="F119">
        <v>3.46</v>
      </c>
      <c r="G119">
        <v>145.75</v>
      </c>
      <c r="H119">
        <v>25155.440999999999</v>
      </c>
      <c r="I119">
        <v>5.8000000000000003E-2</v>
      </c>
      <c r="J119" t="s">
        <v>476</v>
      </c>
      <c r="N119">
        <v>39</v>
      </c>
      <c r="O119">
        <v>39</v>
      </c>
      <c r="P119" t="s">
        <v>549</v>
      </c>
      <c r="Q119" t="s">
        <v>414</v>
      </c>
      <c r="S119">
        <v>3.37</v>
      </c>
      <c r="T119">
        <v>119.524</v>
      </c>
      <c r="U119">
        <v>22090.773000000001</v>
      </c>
      <c r="V119">
        <v>5.3999999999999999E-2</v>
      </c>
      <c r="W119" t="s">
        <v>478</v>
      </c>
    </row>
    <row r="120" spans="1:23" x14ac:dyDescent="0.45">
      <c r="A120">
        <v>40</v>
      </c>
      <c r="B120">
        <v>40</v>
      </c>
      <c r="C120" t="s">
        <v>445</v>
      </c>
      <c r="D120" t="s">
        <v>414</v>
      </c>
      <c r="F120">
        <v>3.43</v>
      </c>
      <c r="G120">
        <v>160.649</v>
      </c>
      <c r="H120">
        <v>37813.733999999997</v>
      </c>
      <c r="I120">
        <v>4.2000000000000003E-2</v>
      </c>
      <c r="J120" t="s">
        <v>478</v>
      </c>
      <c r="N120">
        <v>40</v>
      </c>
      <c r="O120">
        <v>40</v>
      </c>
      <c r="P120" t="s">
        <v>550</v>
      </c>
      <c r="Q120" t="s">
        <v>414</v>
      </c>
      <c r="S120">
        <v>3.54</v>
      </c>
      <c r="T120">
        <v>86.36</v>
      </c>
      <c r="U120">
        <v>25158.643</v>
      </c>
      <c r="V120">
        <v>3.4000000000000002E-2</v>
      </c>
      <c r="W120" t="s">
        <v>478</v>
      </c>
    </row>
    <row r="121" spans="1:23" x14ac:dyDescent="0.45">
      <c r="A121">
        <v>41</v>
      </c>
      <c r="B121">
        <v>41</v>
      </c>
      <c r="C121" t="s">
        <v>446</v>
      </c>
      <c r="D121" t="s">
        <v>414</v>
      </c>
      <c r="F121">
        <v>2.73</v>
      </c>
      <c r="G121">
        <v>182.26</v>
      </c>
      <c r="H121">
        <v>34635.637000000002</v>
      </c>
      <c r="I121">
        <v>5.2999999999999999E-2</v>
      </c>
      <c r="J121" t="s">
        <v>476</v>
      </c>
      <c r="N121">
        <v>41</v>
      </c>
      <c r="O121">
        <v>41</v>
      </c>
      <c r="P121" t="s">
        <v>551</v>
      </c>
      <c r="Q121" t="s">
        <v>414</v>
      </c>
      <c r="S121">
        <v>3.43</v>
      </c>
      <c r="T121">
        <v>194.81</v>
      </c>
      <c r="U121">
        <v>33849.027000000002</v>
      </c>
      <c r="V121">
        <v>5.8000000000000003E-2</v>
      </c>
      <c r="W121" t="s">
        <v>476</v>
      </c>
    </row>
    <row r="122" spans="1:23" x14ac:dyDescent="0.45">
      <c r="A122">
        <v>42</v>
      </c>
      <c r="B122">
        <v>42</v>
      </c>
      <c r="C122" t="s">
        <v>447</v>
      </c>
      <c r="D122" t="s">
        <v>414</v>
      </c>
      <c r="F122">
        <v>3.47</v>
      </c>
      <c r="G122">
        <v>101.759</v>
      </c>
      <c r="H122">
        <v>27063.011999999999</v>
      </c>
      <c r="I122">
        <v>3.7999999999999999E-2</v>
      </c>
      <c r="J122" t="s">
        <v>476</v>
      </c>
      <c r="N122">
        <v>42</v>
      </c>
      <c r="O122">
        <v>42</v>
      </c>
      <c r="P122" t="s">
        <v>552</v>
      </c>
      <c r="Q122" t="s">
        <v>414</v>
      </c>
      <c r="S122">
        <v>3.43</v>
      </c>
      <c r="T122">
        <v>133.095</v>
      </c>
      <c r="U122">
        <v>24819.046999999999</v>
      </c>
      <c r="V122">
        <v>5.3999999999999999E-2</v>
      </c>
      <c r="W122" t="s">
        <v>479</v>
      </c>
    </row>
    <row r="123" spans="1:23" x14ac:dyDescent="0.45">
      <c r="A123">
        <v>43</v>
      </c>
      <c r="B123">
        <v>43</v>
      </c>
      <c r="C123" t="s">
        <v>448</v>
      </c>
      <c r="D123" t="s">
        <v>414</v>
      </c>
      <c r="F123">
        <v>2.87</v>
      </c>
      <c r="G123">
        <v>78.81</v>
      </c>
      <c r="H123">
        <v>24648.592000000001</v>
      </c>
      <c r="I123">
        <v>3.2000000000000001E-2</v>
      </c>
      <c r="J123" t="s">
        <v>478</v>
      </c>
      <c r="N123">
        <v>43</v>
      </c>
      <c r="O123">
        <v>43</v>
      </c>
      <c r="P123" t="s">
        <v>553</v>
      </c>
      <c r="Q123" t="s">
        <v>414</v>
      </c>
      <c r="S123">
        <v>2.73</v>
      </c>
      <c r="T123">
        <v>128.78299999999999</v>
      </c>
      <c r="U123">
        <v>24654.065999999999</v>
      </c>
      <c r="V123">
        <v>5.1999999999999998E-2</v>
      </c>
      <c r="W123" t="s">
        <v>476</v>
      </c>
    </row>
    <row r="124" spans="1:23" x14ac:dyDescent="0.45">
      <c r="A124">
        <v>44</v>
      </c>
      <c r="B124">
        <v>44</v>
      </c>
      <c r="C124" t="s">
        <v>449</v>
      </c>
      <c r="D124" t="s">
        <v>414</v>
      </c>
      <c r="F124">
        <v>3.47</v>
      </c>
      <c r="G124">
        <v>120.16800000000001</v>
      </c>
      <c r="H124">
        <v>28947.363000000001</v>
      </c>
      <c r="I124">
        <v>4.2000000000000003E-2</v>
      </c>
      <c r="J124" t="s">
        <v>476</v>
      </c>
      <c r="N124">
        <v>44</v>
      </c>
      <c r="O124">
        <v>44</v>
      </c>
      <c r="P124" t="s">
        <v>554</v>
      </c>
      <c r="Q124" t="s">
        <v>414</v>
      </c>
      <c r="S124">
        <v>3.43</v>
      </c>
      <c r="T124">
        <v>89.631</v>
      </c>
      <c r="U124">
        <v>25879.072</v>
      </c>
      <c r="V124">
        <v>3.5000000000000003E-2</v>
      </c>
      <c r="W124" t="s">
        <v>477</v>
      </c>
    </row>
    <row r="125" spans="1:23" x14ac:dyDescent="0.45">
      <c r="A125">
        <v>45</v>
      </c>
      <c r="B125">
        <v>45</v>
      </c>
      <c r="C125" t="s">
        <v>450</v>
      </c>
      <c r="D125" t="s">
        <v>414</v>
      </c>
      <c r="F125">
        <v>3.46</v>
      </c>
      <c r="G125">
        <v>103.229</v>
      </c>
      <c r="H125">
        <v>23909.138999999999</v>
      </c>
      <c r="I125">
        <v>4.2999999999999997E-2</v>
      </c>
      <c r="J125" t="s">
        <v>479</v>
      </c>
      <c r="N125">
        <v>45</v>
      </c>
      <c r="O125">
        <v>45</v>
      </c>
      <c r="P125" t="s">
        <v>555</v>
      </c>
      <c r="Q125" t="s">
        <v>414</v>
      </c>
      <c r="S125">
        <v>2.73</v>
      </c>
      <c r="T125">
        <v>86.19</v>
      </c>
      <c r="U125">
        <v>25374.615000000002</v>
      </c>
      <c r="V125">
        <v>3.4000000000000002E-2</v>
      </c>
      <c r="W125" t="s">
        <v>476</v>
      </c>
    </row>
    <row r="126" spans="1:23" x14ac:dyDescent="0.45">
      <c r="A126">
        <v>46</v>
      </c>
      <c r="B126">
        <v>46</v>
      </c>
      <c r="C126" t="s">
        <v>451</v>
      </c>
      <c r="D126" t="s">
        <v>414</v>
      </c>
      <c r="F126">
        <v>3.47</v>
      </c>
      <c r="G126">
        <v>64.28</v>
      </c>
      <c r="H126">
        <v>27205.532999999999</v>
      </c>
      <c r="I126">
        <v>2.4E-2</v>
      </c>
      <c r="J126" t="s">
        <v>476</v>
      </c>
      <c r="N126">
        <v>46</v>
      </c>
      <c r="O126">
        <v>46</v>
      </c>
      <c r="P126" t="s">
        <v>556</v>
      </c>
      <c r="Q126" t="s">
        <v>414</v>
      </c>
      <c r="S126">
        <v>3.43</v>
      </c>
      <c r="T126">
        <v>138.93199999999999</v>
      </c>
      <c r="U126">
        <v>19399.217000000001</v>
      </c>
      <c r="V126">
        <v>7.1999999999999995E-2</v>
      </c>
      <c r="W126" t="s">
        <v>479</v>
      </c>
    </row>
    <row r="127" spans="1:23" x14ac:dyDescent="0.45">
      <c r="A127">
        <v>47</v>
      </c>
      <c r="B127">
        <v>47</v>
      </c>
      <c r="C127" t="s">
        <v>452</v>
      </c>
      <c r="D127" t="s">
        <v>414</v>
      </c>
      <c r="F127">
        <v>3.47</v>
      </c>
      <c r="G127">
        <v>102.78700000000001</v>
      </c>
      <c r="H127">
        <v>16033.282999999999</v>
      </c>
      <c r="I127">
        <v>6.4000000000000001E-2</v>
      </c>
      <c r="J127" t="s">
        <v>479</v>
      </c>
      <c r="N127">
        <v>47</v>
      </c>
      <c r="O127">
        <v>47</v>
      </c>
      <c r="P127" t="s">
        <v>557</v>
      </c>
      <c r="Q127" t="s">
        <v>414</v>
      </c>
      <c r="S127">
        <v>2.75</v>
      </c>
      <c r="T127">
        <v>57.433999999999997</v>
      </c>
      <c r="U127">
        <v>18775.544999999998</v>
      </c>
      <c r="V127">
        <v>3.1E-2</v>
      </c>
      <c r="W127" t="s">
        <v>476</v>
      </c>
    </row>
    <row r="128" spans="1:23" x14ac:dyDescent="0.45">
      <c r="A128">
        <v>48</v>
      </c>
      <c r="B128">
        <v>48</v>
      </c>
      <c r="C128" t="s">
        <v>453</v>
      </c>
      <c r="D128" t="s">
        <v>414</v>
      </c>
      <c r="F128">
        <v>3.48</v>
      </c>
      <c r="G128">
        <v>128.56899999999999</v>
      </c>
      <c r="H128">
        <v>18168.881000000001</v>
      </c>
      <c r="I128">
        <v>7.0999999999999994E-2</v>
      </c>
      <c r="J128" t="s">
        <v>477</v>
      </c>
      <c r="N128">
        <v>48</v>
      </c>
      <c r="O128">
        <v>48</v>
      </c>
      <c r="P128" t="s">
        <v>558</v>
      </c>
      <c r="Q128" t="s">
        <v>414</v>
      </c>
      <c r="S128">
        <v>3.56</v>
      </c>
      <c r="T128">
        <v>124.06399999999999</v>
      </c>
      <c r="U128">
        <v>18927.028999999999</v>
      </c>
      <c r="V128">
        <v>6.6000000000000003E-2</v>
      </c>
      <c r="W128" t="s">
        <v>479</v>
      </c>
    </row>
    <row r="129" spans="1:24" x14ac:dyDescent="0.45">
      <c r="A129">
        <v>49</v>
      </c>
      <c r="B129">
        <v>49</v>
      </c>
      <c r="C129" t="s">
        <v>454</v>
      </c>
      <c r="D129" t="s">
        <v>414</v>
      </c>
      <c r="F129">
        <v>3.47</v>
      </c>
      <c r="G129">
        <v>78.716999999999999</v>
      </c>
      <c r="H129">
        <v>17177.039000000001</v>
      </c>
      <c r="I129">
        <v>4.5999999999999999E-2</v>
      </c>
      <c r="J129" t="s">
        <v>479</v>
      </c>
      <c r="N129">
        <v>49</v>
      </c>
      <c r="O129">
        <v>49</v>
      </c>
      <c r="P129" t="s">
        <v>559</v>
      </c>
      <c r="Q129" t="s">
        <v>414</v>
      </c>
      <c r="S129">
        <v>2.5299999999999998</v>
      </c>
      <c r="T129">
        <v>65.381</v>
      </c>
      <c r="U129">
        <v>21528.359</v>
      </c>
      <c r="V129">
        <v>0.03</v>
      </c>
      <c r="W129" t="s">
        <v>479</v>
      </c>
    </row>
    <row r="130" spans="1:24" x14ac:dyDescent="0.45">
      <c r="A130">
        <v>50</v>
      </c>
      <c r="B130">
        <v>50</v>
      </c>
      <c r="C130" t="s">
        <v>455</v>
      </c>
      <c r="D130" t="s">
        <v>414</v>
      </c>
      <c r="F130">
        <v>3.44</v>
      </c>
      <c r="G130">
        <v>139.94499999999999</v>
      </c>
      <c r="H130">
        <v>22097.914000000001</v>
      </c>
      <c r="I130">
        <v>6.3E-2</v>
      </c>
      <c r="J130" t="s">
        <v>478</v>
      </c>
      <c r="N130">
        <v>50</v>
      </c>
      <c r="O130">
        <v>50</v>
      </c>
      <c r="P130" t="s">
        <v>560</v>
      </c>
      <c r="Q130" t="s">
        <v>414</v>
      </c>
      <c r="S130">
        <v>2.76</v>
      </c>
      <c r="T130">
        <v>182.88200000000001</v>
      </c>
      <c r="U130">
        <v>21208.414000000001</v>
      </c>
      <c r="V130">
        <v>8.5999999999999993E-2</v>
      </c>
      <c r="W130" t="s">
        <v>478</v>
      </c>
    </row>
    <row r="131" spans="1:24" x14ac:dyDescent="0.45">
      <c r="A131">
        <v>51</v>
      </c>
      <c r="B131">
        <v>51</v>
      </c>
      <c r="C131" t="s">
        <v>456</v>
      </c>
      <c r="D131" t="s">
        <v>414</v>
      </c>
      <c r="F131">
        <v>3.43</v>
      </c>
      <c r="G131">
        <v>134.24100000000001</v>
      </c>
      <c r="H131">
        <v>21249.488000000001</v>
      </c>
      <c r="I131">
        <v>6.3E-2</v>
      </c>
      <c r="J131" t="s">
        <v>476</v>
      </c>
      <c r="N131">
        <v>51</v>
      </c>
      <c r="O131">
        <v>51</v>
      </c>
      <c r="P131" t="s">
        <v>561</v>
      </c>
      <c r="Q131" t="s">
        <v>414</v>
      </c>
      <c r="S131">
        <v>3.29</v>
      </c>
      <c r="T131">
        <v>74.962000000000003</v>
      </c>
      <c r="U131">
        <v>17102.215</v>
      </c>
      <c r="V131">
        <v>4.3999999999999997E-2</v>
      </c>
      <c r="W131" t="s">
        <v>478</v>
      </c>
    </row>
    <row r="132" spans="1:24" x14ac:dyDescent="0.45">
      <c r="A132">
        <v>52</v>
      </c>
      <c r="B132">
        <v>52</v>
      </c>
      <c r="C132" t="s">
        <v>457</v>
      </c>
      <c r="D132" t="s">
        <v>414</v>
      </c>
      <c r="F132">
        <v>3.46</v>
      </c>
      <c r="G132">
        <v>137.39099999999999</v>
      </c>
      <c r="H132">
        <v>18038.375</v>
      </c>
      <c r="I132">
        <v>7.5999999999999998E-2</v>
      </c>
      <c r="J132" t="s">
        <v>476</v>
      </c>
      <c r="N132">
        <v>52</v>
      </c>
      <c r="O132">
        <v>52</v>
      </c>
      <c r="P132" t="s">
        <v>562</v>
      </c>
      <c r="Q132" t="s">
        <v>414</v>
      </c>
      <c r="S132">
        <v>2.72</v>
      </c>
      <c r="T132">
        <v>144.95500000000001</v>
      </c>
      <c r="U132">
        <v>22294.403999999999</v>
      </c>
      <c r="V132">
        <v>6.5000000000000002E-2</v>
      </c>
      <c r="W132" t="s">
        <v>478</v>
      </c>
    </row>
    <row r="133" spans="1:24" x14ac:dyDescent="0.45">
      <c r="A133">
        <v>53</v>
      </c>
      <c r="B133">
        <v>53</v>
      </c>
      <c r="C133" t="s">
        <v>458</v>
      </c>
      <c r="D133" t="s">
        <v>414</v>
      </c>
      <c r="F133">
        <v>3.47</v>
      </c>
      <c r="G133">
        <v>142.27799999999999</v>
      </c>
      <c r="H133">
        <v>23398.543000000001</v>
      </c>
      <c r="I133">
        <v>6.0999999999999999E-2</v>
      </c>
      <c r="J133" t="s">
        <v>476</v>
      </c>
      <c r="N133">
        <v>53</v>
      </c>
      <c r="O133">
        <v>53</v>
      </c>
      <c r="P133" t="s">
        <v>563</v>
      </c>
      <c r="Q133" t="s">
        <v>414</v>
      </c>
      <c r="S133">
        <v>3.44</v>
      </c>
      <c r="T133">
        <v>197.27</v>
      </c>
      <c r="U133">
        <v>27526.559000000001</v>
      </c>
      <c r="V133">
        <v>7.1999999999999995E-2</v>
      </c>
      <c r="W133" t="s">
        <v>478</v>
      </c>
    </row>
    <row r="134" spans="1:24" x14ac:dyDescent="0.45">
      <c r="A134">
        <v>54</v>
      </c>
      <c r="B134">
        <v>54</v>
      </c>
      <c r="C134" t="s">
        <v>459</v>
      </c>
      <c r="D134" t="s">
        <v>414</v>
      </c>
      <c r="F134">
        <v>3.44</v>
      </c>
      <c r="G134">
        <v>108.64100000000001</v>
      </c>
      <c r="H134">
        <v>22582.43</v>
      </c>
      <c r="I134">
        <v>4.8000000000000001E-2</v>
      </c>
      <c r="J134" t="s">
        <v>476</v>
      </c>
      <c r="N134">
        <v>54</v>
      </c>
      <c r="O134">
        <v>54</v>
      </c>
      <c r="P134" t="s">
        <v>564</v>
      </c>
      <c r="Q134" t="s">
        <v>414</v>
      </c>
      <c r="S134">
        <v>3.44</v>
      </c>
      <c r="T134">
        <v>84.814999999999998</v>
      </c>
      <c r="U134">
        <v>20566.309000000001</v>
      </c>
      <c r="V134">
        <v>4.1000000000000002E-2</v>
      </c>
      <c r="W134" t="s">
        <v>476</v>
      </c>
    </row>
    <row r="135" spans="1:24" x14ac:dyDescent="0.45">
      <c r="A135">
        <v>55</v>
      </c>
      <c r="B135">
        <v>55</v>
      </c>
      <c r="C135" t="s">
        <v>460</v>
      </c>
      <c r="D135" t="s">
        <v>414</v>
      </c>
      <c r="F135">
        <v>2.77</v>
      </c>
      <c r="G135">
        <v>57.883000000000003</v>
      </c>
      <c r="H135">
        <v>17100.574000000001</v>
      </c>
      <c r="I135">
        <v>3.4000000000000002E-2</v>
      </c>
      <c r="J135" t="s">
        <v>477</v>
      </c>
      <c r="N135">
        <v>55</v>
      </c>
      <c r="O135">
        <v>55</v>
      </c>
      <c r="P135" t="s">
        <v>565</v>
      </c>
      <c r="Q135" t="s">
        <v>414</v>
      </c>
      <c r="S135">
        <v>2.76</v>
      </c>
      <c r="T135">
        <v>70.665000000000006</v>
      </c>
      <c r="U135">
        <v>23887.645</v>
      </c>
      <c r="V135">
        <v>0.03</v>
      </c>
      <c r="W135" t="s">
        <v>479</v>
      </c>
    </row>
    <row r="136" spans="1:24" x14ac:dyDescent="0.45">
      <c r="A136">
        <v>56</v>
      </c>
      <c r="B136">
        <v>56</v>
      </c>
      <c r="C136" t="s">
        <v>461</v>
      </c>
      <c r="D136" t="s">
        <v>414</v>
      </c>
      <c r="F136">
        <v>3.42</v>
      </c>
      <c r="G136">
        <v>83.254999999999995</v>
      </c>
      <c r="H136">
        <v>18386.206999999999</v>
      </c>
      <c r="I136">
        <v>4.4999999999999998E-2</v>
      </c>
      <c r="J136" t="s">
        <v>476</v>
      </c>
      <c r="N136">
        <v>56</v>
      </c>
      <c r="O136">
        <v>56</v>
      </c>
      <c r="P136" t="s">
        <v>566</v>
      </c>
      <c r="Q136" t="s">
        <v>414</v>
      </c>
      <c r="S136">
        <v>2.5499999999999998</v>
      </c>
      <c r="T136">
        <v>58.895000000000003</v>
      </c>
      <c r="U136">
        <v>19922.282999999999</v>
      </c>
      <c r="V136">
        <v>0.03</v>
      </c>
      <c r="W136" t="s">
        <v>477</v>
      </c>
    </row>
    <row r="137" spans="1:24" x14ac:dyDescent="0.45">
      <c r="A137">
        <v>57</v>
      </c>
      <c r="B137">
        <v>57</v>
      </c>
      <c r="C137" t="s">
        <v>462</v>
      </c>
      <c r="D137" t="s">
        <v>414</v>
      </c>
      <c r="F137">
        <v>3.47</v>
      </c>
      <c r="G137">
        <v>187.316</v>
      </c>
      <c r="H137">
        <v>18538.583999999999</v>
      </c>
      <c r="I137">
        <v>0.10100000000000001</v>
      </c>
      <c r="J137" t="s">
        <v>476</v>
      </c>
      <c r="N137">
        <v>57</v>
      </c>
      <c r="O137">
        <v>57</v>
      </c>
      <c r="P137" t="s">
        <v>567</v>
      </c>
      <c r="Q137" t="s">
        <v>414</v>
      </c>
      <c r="S137">
        <v>3.44</v>
      </c>
      <c r="T137">
        <v>99.712999999999994</v>
      </c>
      <c r="U137">
        <v>22601.754000000001</v>
      </c>
      <c r="V137">
        <v>4.3999999999999997E-2</v>
      </c>
      <c r="W137" t="s">
        <v>476</v>
      </c>
    </row>
    <row r="138" spans="1:24" x14ac:dyDescent="0.45">
      <c r="A138">
        <v>58</v>
      </c>
      <c r="B138">
        <v>58</v>
      </c>
      <c r="C138" t="s">
        <v>463</v>
      </c>
      <c r="D138" t="s">
        <v>414</v>
      </c>
      <c r="F138">
        <v>3.45</v>
      </c>
      <c r="G138">
        <v>75.141000000000005</v>
      </c>
      <c r="H138">
        <v>22372.467000000001</v>
      </c>
      <c r="I138">
        <v>3.4000000000000002E-2</v>
      </c>
      <c r="J138" t="s">
        <v>476</v>
      </c>
      <c r="N138">
        <v>58</v>
      </c>
      <c r="O138">
        <v>58</v>
      </c>
      <c r="P138" t="s">
        <v>568</v>
      </c>
      <c r="Q138" t="s">
        <v>414</v>
      </c>
      <c r="S138">
        <v>2.75</v>
      </c>
      <c r="T138">
        <v>4271.82</v>
      </c>
      <c r="U138">
        <v>30723.868999999999</v>
      </c>
      <c r="V138">
        <v>1.39</v>
      </c>
      <c r="W138" t="s">
        <v>412</v>
      </c>
      <c r="X138">
        <v>2.5</v>
      </c>
    </row>
    <row r="139" spans="1:24" x14ac:dyDescent="0.45">
      <c r="A139">
        <v>59</v>
      </c>
      <c r="B139">
        <v>59</v>
      </c>
      <c r="C139" t="s">
        <v>464</v>
      </c>
      <c r="D139" t="s">
        <v>414</v>
      </c>
      <c r="F139">
        <v>2.76</v>
      </c>
      <c r="G139">
        <v>100.95699999999999</v>
      </c>
      <c r="H139">
        <v>22371.648000000001</v>
      </c>
      <c r="I139">
        <v>4.4999999999999998E-2</v>
      </c>
      <c r="J139" t="s">
        <v>479</v>
      </c>
      <c r="N139">
        <v>59</v>
      </c>
      <c r="O139">
        <v>59</v>
      </c>
      <c r="P139" t="s">
        <v>569</v>
      </c>
      <c r="Q139" t="s">
        <v>414</v>
      </c>
      <c r="S139">
        <v>2.75</v>
      </c>
      <c r="T139">
        <v>123.84699999999999</v>
      </c>
      <c r="U139">
        <v>20073.651999999998</v>
      </c>
      <c r="V139">
        <v>6.2E-2</v>
      </c>
      <c r="W139" t="s">
        <v>479</v>
      </c>
    </row>
    <row r="140" spans="1:24" x14ac:dyDescent="0.45">
      <c r="A140">
        <v>60</v>
      </c>
      <c r="B140">
        <v>60</v>
      </c>
      <c r="C140" t="s">
        <v>465</v>
      </c>
      <c r="D140" t="s">
        <v>414</v>
      </c>
      <c r="F140">
        <v>2.75</v>
      </c>
      <c r="G140">
        <v>74.747</v>
      </c>
      <c r="H140">
        <v>25031.723000000002</v>
      </c>
      <c r="I140">
        <v>0.03</v>
      </c>
      <c r="J140" t="s">
        <v>479</v>
      </c>
      <c r="N140">
        <v>60</v>
      </c>
      <c r="O140">
        <v>60</v>
      </c>
      <c r="P140" t="s">
        <v>570</v>
      </c>
      <c r="Q140" t="s">
        <v>414</v>
      </c>
      <c r="S140">
        <v>2.75</v>
      </c>
      <c r="T140">
        <v>180.92</v>
      </c>
      <c r="U140">
        <v>37451.57</v>
      </c>
      <c r="V140">
        <v>4.8000000000000001E-2</v>
      </c>
      <c r="W140" t="s">
        <v>479</v>
      </c>
    </row>
    <row r="141" spans="1:24" x14ac:dyDescent="0.45">
      <c r="A141">
        <v>61</v>
      </c>
      <c r="B141">
        <v>61</v>
      </c>
      <c r="C141" t="s">
        <v>466</v>
      </c>
      <c r="D141" t="s">
        <v>414</v>
      </c>
      <c r="F141">
        <v>3.47</v>
      </c>
      <c r="G141">
        <v>72.593000000000004</v>
      </c>
      <c r="H141">
        <v>24166.763999999999</v>
      </c>
      <c r="I141">
        <v>0.03</v>
      </c>
      <c r="J141" t="s">
        <v>477</v>
      </c>
      <c r="N141">
        <v>61</v>
      </c>
      <c r="O141">
        <v>61</v>
      </c>
      <c r="P141" t="s">
        <v>571</v>
      </c>
      <c r="Q141" t="s">
        <v>414</v>
      </c>
      <c r="S141">
        <v>3.42</v>
      </c>
      <c r="T141">
        <v>82.364999999999995</v>
      </c>
      <c r="U141">
        <v>21917.164000000001</v>
      </c>
      <c r="V141">
        <v>3.7999999999999999E-2</v>
      </c>
      <c r="W141" t="s">
        <v>477</v>
      </c>
    </row>
    <row r="142" spans="1:24" x14ac:dyDescent="0.45">
      <c r="A142">
        <v>62</v>
      </c>
      <c r="B142">
        <v>62</v>
      </c>
      <c r="C142" t="s">
        <v>467</v>
      </c>
      <c r="D142" t="s">
        <v>414</v>
      </c>
      <c r="F142">
        <v>3.47</v>
      </c>
      <c r="G142">
        <v>79.766000000000005</v>
      </c>
      <c r="H142">
        <v>28895.703000000001</v>
      </c>
      <c r="I142">
        <v>2.8000000000000001E-2</v>
      </c>
      <c r="J142" t="s">
        <v>478</v>
      </c>
      <c r="N142">
        <v>62</v>
      </c>
      <c r="O142">
        <v>62</v>
      </c>
      <c r="P142" t="s">
        <v>572</v>
      </c>
      <c r="Q142" t="s">
        <v>414</v>
      </c>
      <c r="S142">
        <v>3.25</v>
      </c>
      <c r="T142">
        <v>96.314999999999998</v>
      </c>
      <c r="U142">
        <v>21837.35</v>
      </c>
      <c r="V142">
        <v>4.3999999999999997E-2</v>
      </c>
      <c r="W142" t="s">
        <v>476</v>
      </c>
    </row>
    <row r="143" spans="1:24" x14ac:dyDescent="0.45">
      <c r="A143">
        <v>63</v>
      </c>
      <c r="B143">
        <v>63</v>
      </c>
      <c r="C143" t="s">
        <v>468</v>
      </c>
      <c r="D143" t="s">
        <v>414</v>
      </c>
      <c r="F143">
        <v>3.42</v>
      </c>
      <c r="G143">
        <v>133.96</v>
      </c>
      <c r="H143">
        <v>25797.562999999998</v>
      </c>
      <c r="I143">
        <v>5.1999999999999998E-2</v>
      </c>
      <c r="J143" t="s">
        <v>476</v>
      </c>
      <c r="N143">
        <v>63</v>
      </c>
      <c r="O143">
        <v>63</v>
      </c>
      <c r="P143" t="s">
        <v>573</v>
      </c>
      <c r="Q143" t="s">
        <v>414</v>
      </c>
      <c r="S143">
        <v>2.76</v>
      </c>
      <c r="T143">
        <v>167.18799999999999</v>
      </c>
      <c r="U143">
        <v>30773.223000000002</v>
      </c>
      <c r="V143">
        <v>5.3999999999999999E-2</v>
      </c>
      <c r="W143" t="s">
        <v>478</v>
      </c>
    </row>
    <row r="144" spans="1:24" x14ac:dyDescent="0.45">
      <c r="A144">
        <v>64</v>
      </c>
      <c r="B144">
        <v>64</v>
      </c>
      <c r="C144" t="s">
        <v>469</v>
      </c>
      <c r="D144" t="s">
        <v>414</v>
      </c>
      <c r="F144">
        <v>3.46</v>
      </c>
      <c r="G144">
        <v>132.68100000000001</v>
      </c>
      <c r="H144">
        <v>25773.723000000002</v>
      </c>
      <c r="I144">
        <v>5.0999999999999997E-2</v>
      </c>
      <c r="J144" t="s">
        <v>476</v>
      </c>
      <c r="N144">
        <v>64</v>
      </c>
      <c r="O144">
        <v>64</v>
      </c>
      <c r="P144" t="s">
        <v>574</v>
      </c>
      <c r="Q144" t="s">
        <v>414</v>
      </c>
      <c r="S144">
        <v>3.43</v>
      </c>
      <c r="T144">
        <v>92.069000000000003</v>
      </c>
      <c r="U144">
        <v>25564.107</v>
      </c>
      <c r="V144">
        <v>3.5999999999999997E-2</v>
      </c>
      <c r="W144" t="s">
        <v>477</v>
      </c>
    </row>
    <row r="145" spans="1:25" x14ac:dyDescent="0.45">
      <c r="A145">
        <v>65</v>
      </c>
      <c r="B145">
        <v>65</v>
      </c>
      <c r="C145" t="s">
        <v>470</v>
      </c>
      <c r="D145" t="s">
        <v>414</v>
      </c>
      <c r="F145">
        <v>3.22</v>
      </c>
      <c r="G145">
        <v>101.65900000000001</v>
      </c>
      <c r="H145">
        <v>24000.574000000001</v>
      </c>
      <c r="I145">
        <v>4.2000000000000003E-2</v>
      </c>
      <c r="J145" t="s">
        <v>476</v>
      </c>
      <c r="N145">
        <v>65</v>
      </c>
      <c r="O145">
        <v>65</v>
      </c>
      <c r="P145" t="s">
        <v>575</v>
      </c>
      <c r="Q145" t="s">
        <v>414</v>
      </c>
      <c r="S145">
        <v>3.42</v>
      </c>
      <c r="T145">
        <v>132.221</v>
      </c>
      <c r="U145">
        <v>25234.873</v>
      </c>
      <c r="V145">
        <v>5.1999999999999998E-2</v>
      </c>
      <c r="W145" t="s">
        <v>477</v>
      </c>
    </row>
    <row r="146" spans="1:25" x14ac:dyDescent="0.45">
      <c r="A146">
        <v>66</v>
      </c>
      <c r="B146">
        <v>66</v>
      </c>
      <c r="C146" t="s">
        <v>471</v>
      </c>
      <c r="D146" t="s">
        <v>414</v>
      </c>
      <c r="F146">
        <v>3.47</v>
      </c>
      <c r="G146">
        <v>97.256</v>
      </c>
      <c r="H146">
        <v>24894.263999999999</v>
      </c>
      <c r="I146">
        <v>3.9E-2</v>
      </c>
      <c r="J146" t="s">
        <v>479</v>
      </c>
      <c r="N146">
        <v>66</v>
      </c>
      <c r="O146">
        <v>66</v>
      </c>
      <c r="P146" t="s">
        <v>576</v>
      </c>
      <c r="Q146" t="s">
        <v>414</v>
      </c>
      <c r="S146">
        <v>3.43</v>
      </c>
      <c r="T146">
        <v>152.34</v>
      </c>
      <c r="U146">
        <v>25525.695</v>
      </c>
      <c r="V146">
        <v>0.06</v>
      </c>
      <c r="W146" t="s">
        <v>477</v>
      </c>
    </row>
    <row r="147" spans="1:25" x14ac:dyDescent="0.45">
      <c r="A147">
        <v>67</v>
      </c>
      <c r="B147">
        <v>67</v>
      </c>
      <c r="C147" t="s">
        <v>472</v>
      </c>
      <c r="D147" t="s">
        <v>414</v>
      </c>
      <c r="F147">
        <v>3.48</v>
      </c>
      <c r="G147">
        <v>86.103999999999999</v>
      </c>
      <c r="H147">
        <v>14587.661</v>
      </c>
      <c r="I147">
        <v>5.8999999999999997E-2</v>
      </c>
      <c r="J147" t="s">
        <v>477</v>
      </c>
      <c r="N147">
        <v>67</v>
      </c>
      <c r="O147">
        <v>67</v>
      </c>
      <c r="P147" t="s">
        <v>577</v>
      </c>
      <c r="Q147" t="s">
        <v>414</v>
      </c>
      <c r="S147">
        <v>3.43</v>
      </c>
      <c r="T147">
        <v>117.325</v>
      </c>
      <c r="U147">
        <v>16517.393</v>
      </c>
      <c r="V147">
        <v>7.0999999999999994E-2</v>
      </c>
      <c r="W147" t="s">
        <v>479</v>
      </c>
    </row>
    <row r="148" spans="1:25" x14ac:dyDescent="0.45">
      <c r="A148">
        <v>68</v>
      </c>
      <c r="B148">
        <v>68</v>
      </c>
      <c r="C148" t="s">
        <v>473</v>
      </c>
      <c r="D148" t="s">
        <v>414</v>
      </c>
      <c r="F148">
        <v>3.47</v>
      </c>
      <c r="G148">
        <v>74.453999999999994</v>
      </c>
      <c r="H148">
        <v>19391.498</v>
      </c>
      <c r="I148">
        <v>3.7999999999999999E-2</v>
      </c>
      <c r="J148" t="s">
        <v>476</v>
      </c>
      <c r="N148">
        <v>68</v>
      </c>
      <c r="O148">
        <v>68</v>
      </c>
      <c r="P148" t="s">
        <v>578</v>
      </c>
      <c r="Q148" t="s">
        <v>414</v>
      </c>
      <c r="S148">
        <v>2.75</v>
      </c>
      <c r="T148">
        <v>89.994</v>
      </c>
      <c r="U148">
        <v>20746.732</v>
      </c>
      <c r="V148">
        <v>4.2999999999999997E-2</v>
      </c>
      <c r="W148" t="s">
        <v>479</v>
      </c>
    </row>
    <row r="149" spans="1:25" x14ac:dyDescent="0.45">
      <c r="A149">
        <v>69</v>
      </c>
      <c r="B149">
        <v>69</v>
      </c>
      <c r="C149" t="s">
        <v>474</v>
      </c>
      <c r="D149" t="s">
        <v>414</v>
      </c>
      <c r="F149">
        <v>3.43</v>
      </c>
      <c r="G149">
        <v>127.376</v>
      </c>
      <c r="H149">
        <v>28867.609</v>
      </c>
      <c r="I149">
        <v>4.3999999999999997E-2</v>
      </c>
      <c r="J149" t="s">
        <v>478</v>
      </c>
      <c r="N149">
        <v>69</v>
      </c>
      <c r="O149">
        <v>69</v>
      </c>
      <c r="P149" t="s">
        <v>579</v>
      </c>
      <c r="Q149" t="s">
        <v>414</v>
      </c>
      <c r="S149">
        <v>2.76</v>
      </c>
      <c r="T149">
        <v>66.346000000000004</v>
      </c>
      <c r="U149">
        <v>19862.232</v>
      </c>
      <c r="V149">
        <v>3.3000000000000002E-2</v>
      </c>
      <c r="W149" t="s">
        <v>479</v>
      </c>
    </row>
    <row r="151" spans="1:25" x14ac:dyDescent="0.45">
      <c r="A151" t="s">
        <v>480</v>
      </c>
      <c r="N151" t="s">
        <v>480</v>
      </c>
    </row>
    <row r="153" spans="1:25" x14ac:dyDescent="0.45">
      <c r="B153" t="s">
        <v>389</v>
      </c>
      <c r="C153" t="s">
        <v>123</v>
      </c>
      <c r="D153" t="s">
        <v>390</v>
      </c>
      <c r="E153" t="s">
        <v>391</v>
      </c>
      <c r="F153" t="s">
        <v>392</v>
      </c>
      <c r="G153" t="s">
        <v>393</v>
      </c>
      <c r="H153" t="s">
        <v>394</v>
      </c>
      <c r="I153" t="s">
        <v>395</v>
      </c>
      <c r="J153" t="s">
        <v>396</v>
      </c>
      <c r="K153" t="s">
        <v>397</v>
      </c>
      <c r="L153" t="s">
        <v>398</v>
      </c>
      <c r="O153" t="s">
        <v>389</v>
      </c>
      <c r="P153" t="s">
        <v>123</v>
      </c>
      <c r="Q153" t="s">
        <v>390</v>
      </c>
      <c r="R153" t="s">
        <v>391</v>
      </c>
      <c r="S153" t="s">
        <v>392</v>
      </c>
      <c r="T153" t="s">
        <v>393</v>
      </c>
      <c r="U153" t="s">
        <v>394</v>
      </c>
      <c r="V153" t="s">
        <v>395</v>
      </c>
      <c r="W153" t="s">
        <v>396</v>
      </c>
      <c r="X153" t="s">
        <v>397</v>
      </c>
      <c r="Y153" t="s">
        <v>398</v>
      </c>
    </row>
    <row r="154" spans="1:25" x14ac:dyDescent="0.45">
      <c r="A154">
        <v>1</v>
      </c>
      <c r="B154">
        <v>1</v>
      </c>
      <c r="C154" t="s">
        <v>399</v>
      </c>
      <c r="D154" t="s">
        <v>400</v>
      </c>
      <c r="E154">
        <v>0.05</v>
      </c>
      <c r="F154">
        <v>2.99</v>
      </c>
      <c r="G154">
        <v>636.00099999999998</v>
      </c>
      <c r="H154">
        <v>89740.976999999999</v>
      </c>
      <c r="I154">
        <v>7.0999999999999994E-2</v>
      </c>
      <c r="J154" t="s">
        <v>478</v>
      </c>
      <c r="N154">
        <v>1</v>
      </c>
      <c r="O154">
        <v>1</v>
      </c>
      <c r="P154" t="s">
        <v>511</v>
      </c>
      <c r="Q154" t="s">
        <v>400</v>
      </c>
      <c r="R154">
        <v>0.05</v>
      </c>
      <c r="S154">
        <v>2.62</v>
      </c>
      <c r="T154">
        <v>415.036</v>
      </c>
      <c r="U154">
        <v>151662.141</v>
      </c>
      <c r="V154">
        <v>2.7E-2</v>
      </c>
      <c r="W154" t="s">
        <v>403</v>
      </c>
      <c r="X154">
        <v>4.2</v>
      </c>
      <c r="Y154">
        <v>8367.5</v>
      </c>
    </row>
    <row r="155" spans="1:25" x14ac:dyDescent="0.45">
      <c r="A155">
        <v>2</v>
      </c>
      <c r="B155">
        <v>2</v>
      </c>
      <c r="C155" t="s">
        <v>402</v>
      </c>
      <c r="D155" t="s">
        <v>400</v>
      </c>
      <c r="E155">
        <v>0.5</v>
      </c>
      <c r="F155">
        <v>3.05</v>
      </c>
      <c r="G155">
        <v>482.91699999999997</v>
      </c>
      <c r="H155">
        <v>97054.835999999996</v>
      </c>
      <c r="I155">
        <v>0.05</v>
      </c>
      <c r="J155" t="s">
        <v>478</v>
      </c>
      <c r="N155">
        <v>2</v>
      </c>
      <c r="O155">
        <v>2</v>
      </c>
      <c r="P155" t="s">
        <v>512</v>
      </c>
      <c r="Q155" t="s">
        <v>400</v>
      </c>
      <c r="R155">
        <v>0.5</v>
      </c>
      <c r="S155">
        <v>3.18</v>
      </c>
      <c r="T155">
        <v>67.518000000000001</v>
      </c>
      <c r="U155">
        <v>133515.5</v>
      </c>
      <c r="V155">
        <v>5.0000000000000001E-3</v>
      </c>
      <c r="W155" t="s">
        <v>478</v>
      </c>
    </row>
    <row r="156" spans="1:25" x14ac:dyDescent="0.45">
      <c r="A156">
        <v>3</v>
      </c>
      <c r="B156">
        <v>3</v>
      </c>
      <c r="C156" t="s">
        <v>404</v>
      </c>
      <c r="D156" t="s">
        <v>400</v>
      </c>
      <c r="E156">
        <v>1.25</v>
      </c>
      <c r="F156">
        <v>2.66</v>
      </c>
      <c r="G156">
        <v>226.55</v>
      </c>
      <c r="H156">
        <v>97600.343999999997</v>
      </c>
      <c r="I156">
        <v>2.3E-2</v>
      </c>
      <c r="J156" t="s">
        <v>403</v>
      </c>
      <c r="K156">
        <v>4.5</v>
      </c>
      <c r="L156">
        <v>261.10000000000002</v>
      </c>
      <c r="N156">
        <v>3</v>
      </c>
      <c r="O156">
        <v>3</v>
      </c>
      <c r="P156" t="s">
        <v>513</v>
      </c>
      <c r="Q156" t="s">
        <v>400</v>
      </c>
      <c r="R156">
        <v>1.25</v>
      </c>
      <c r="S156">
        <v>2.34</v>
      </c>
      <c r="T156">
        <v>174.07300000000001</v>
      </c>
      <c r="U156">
        <v>125573.781</v>
      </c>
      <c r="V156">
        <v>1.4E-2</v>
      </c>
      <c r="W156" t="s">
        <v>412</v>
      </c>
      <c r="X156">
        <v>0.7</v>
      </c>
      <c r="Y156">
        <v>-46.2</v>
      </c>
    </row>
    <row r="157" spans="1:25" x14ac:dyDescent="0.45">
      <c r="A157">
        <v>4</v>
      </c>
      <c r="B157">
        <v>4</v>
      </c>
      <c r="C157" t="s">
        <v>405</v>
      </c>
      <c r="D157" t="s">
        <v>400</v>
      </c>
      <c r="E157">
        <v>2.5</v>
      </c>
      <c r="F157">
        <v>3.26</v>
      </c>
      <c r="G157">
        <v>283.315</v>
      </c>
      <c r="H157">
        <v>106558.664</v>
      </c>
      <c r="I157">
        <v>2.7E-2</v>
      </c>
      <c r="J157" t="s">
        <v>412</v>
      </c>
      <c r="K157">
        <v>3.9</v>
      </c>
      <c r="L157">
        <v>56.6</v>
      </c>
      <c r="N157">
        <v>4</v>
      </c>
      <c r="O157">
        <v>4</v>
      </c>
      <c r="P157" t="s">
        <v>514</v>
      </c>
      <c r="Q157" t="s">
        <v>400</v>
      </c>
      <c r="R157">
        <v>2.5</v>
      </c>
      <c r="S157">
        <v>2.33</v>
      </c>
      <c r="T157">
        <v>228.38900000000001</v>
      </c>
      <c r="U157">
        <v>107842.852</v>
      </c>
      <c r="V157">
        <v>2.1000000000000001E-2</v>
      </c>
      <c r="W157" t="s">
        <v>403</v>
      </c>
      <c r="X157">
        <v>2.6</v>
      </c>
      <c r="Y157">
        <v>4.0999999999999996</v>
      </c>
    </row>
    <row r="158" spans="1:25" x14ac:dyDescent="0.45">
      <c r="A158">
        <v>5</v>
      </c>
      <c r="B158">
        <v>5</v>
      </c>
      <c r="C158" t="s">
        <v>406</v>
      </c>
      <c r="D158" t="s">
        <v>400</v>
      </c>
      <c r="E158">
        <v>3.5</v>
      </c>
      <c r="F158">
        <v>2.63</v>
      </c>
      <c r="G158">
        <v>190.816</v>
      </c>
      <c r="H158">
        <v>119451.109</v>
      </c>
      <c r="I158">
        <v>1.6E-2</v>
      </c>
      <c r="J158" t="s">
        <v>403</v>
      </c>
      <c r="K158">
        <v>5.8</v>
      </c>
      <c r="L158">
        <v>65.599999999999994</v>
      </c>
      <c r="N158">
        <v>5</v>
      </c>
      <c r="O158">
        <v>5</v>
      </c>
      <c r="P158" t="s">
        <v>515</v>
      </c>
      <c r="Q158" t="s">
        <v>400</v>
      </c>
      <c r="R158">
        <v>3.5</v>
      </c>
      <c r="S158">
        <v>2.34</v>
      </c>
      <c r="T158">
        <v>168.75200000000001</v>
      </c>
      <c r="U158">
        <v>123482.891</v>
      </c>
      <c r="V158">
        <v>1.4E-2</v>
      </c>
      <c r="W158" t="s">
        <v>403</v>
      </c>
      <c r="X158">
        <v>0.6</v>
      </c>
      <c r="Y158">
        <v>-82.3</v>
      </c>
    </row>
    <row r="159" spans="1:25" x14ac:dyDescent="0.45">
      <c r="A159">
        <v>6</v>
      </c>
      <c r="B159">
        <v>6</v>
      </c>
      <c r="C159" t="s">
        <v>407</v>
      </c>
      <c r="D159" t="s">
        <v>400</v>
      </c>
      <c r="E159">
        <v>5</v>
      </c>
      <c r="F159">
        <v>2.38</v>
      </c>
      <c r="G159">
        <v>287.67899999999997</v>
      </c>
      <c r="H159">
        <v>124350.31299999999</v>
      </c>
      <c r="I159">
        <v>2.3E-2</v>
      </c>
      <c r="J159" t="s">
        <v>412</v>
      </c>
      <c r="K159">
        <v>4.5</v>
      </c>
      <c r="L159">
        <v>-9.5</v>
      </c>
      <c r="N159">
        <v>6</v>
      </c>
      <c r="O159">
        <v>6</v>
      </c>
      <c r="P159" t="s">
        <v>516</v>
      </c>
      <c r="Q159" t="s">
        <v>400</v>
      </c>
      <c r="R159">
        <v>5</v>
      </c>
      <c r="S159">
        <v>2.33</v>
      </c>
      <c r="T159">
        <v>327.75</v>
      </c>
      <c r="U159">
        <v>125161.523</v>
      </c>
      <c r="V159">
        <v>2.5999999999999999E-2</v>
      </c>
      <c r="W159" t="s">
        <v>403</v>
      </c>
      <c r="X159">
        <v>3.9</v>
      </c>
      <c r="Y159">
        <v>-21.5</v>
      </c>
    </row>
    <row r="160" spans="1:25" x14ac:dyDescent="0.45">
      <c r="A160">
        <v>7</v>
      </c>
      <c r="B160">
        <v>7</v>
      </c>
      <c r="C160" t="s">
        <v>408</v>
      </c>
      <c r="D160" t="s">
        <v>400</v>
      </c>
      <c r="E160">
        <v>7</v>
      </c>
      <c r="F160">
        <v>2.89</v>
      </c>
      <c r="G160">
        <v>268.65100000000001</v>
      </c>
      <c r="H160">
        <v>138067.32800000001</v>
      </c>
      <c r="I160">
        <v>1.9E-2</v>
      </c>
      <c r="J160" t="s">
        <v>401</v>
      </c>
      <c r="K160">
        <v>5.2</v>
      </c>
      <c r="L160">
        <v>-26</v>
      </c>
      <c r="N160">
        <v>7</v>
      </c>
      <c r="O160">
        <v>7</v>
      </c>
      <c r="P160" t="s">
        <v>517</v>
      </c>
      <c r="Q160" t="s">
        <v>400</v>
      </c>
      <c r="R160">
        <v>7</v>
      </c>
      <c r="S160">
        <v>2.33</v>
      </c>
      <c r="T160">
        <v>587.11400000000003</v>
      </c>
      <c r="U160">
        <v>125042.19500000001</v>
      </c>
      <c r="V160">
        <v>4.7E-2</v>
      </c>
      <c r="W160" t="s">
        <v>403</v>
      </c>
      <c r="X160">
        <v>9.4</v>
      </c>
      <c r="Y160">
        <v>34.299999999999997</v>
      </c>
    </row>
    <row r="161" spans="1:24" x14ac:dyDescent="0.45">
      <c r="A161">
        <v>8</v>
      </c>
      <c r="B161">
        <v>8</v>
      </c>
      <c r="C161" t="s">
        <v>409</v>
      </c>
      <c r="D161" t="s">
        <v>410</v>
      </c>
      <c r="F161">
        <v>2.6</v>
      </c>
      <c r="G161">
        <v>124.30200000000001</v>
      </c>
      <c r="H161">
        <v>1652.0650000000001</v>
      </c>
      <c r="I161">
        <v>0.752</v>
      </c>
      <c r="J161" t="s">
        <v>476</v>
      </c>
      <c r="N161">
        <v>8</v>
      </c>
      <c r="O161">
        <v>8</v>
      </c>
      <c r="P161" t="s">
        <v>518</v>
      </c>
      <c r="Q161" t="s">
        <v>410</v>
      </c>
      <c r="S161">
        <v>3</v>
      </c>
      <c r="T161">
        <v>103.34699999999999</v>
      </c>
      <c r="U161">
        <v>1479.43</v>
      </c>
      <c r="V161">
        <v>0.69899999999999995</v>
      </c>
      <c r="W161" t="s">
        <v>401</v>
      </c>
      <c r="X161">
        <v>181.3</v>
      </c>
    </row>
    <row r="162" spans="1:24" x14ac:dyDescent="0.45">
      <c r="A162">
        <v>9</v>
      </c>
      <c r="B162">
        <v>9</v>
      </c>
      <c r="C162" t="s">
        <v>411</v>
      </c>
      <c r="D162" t="s">
        <v>410</v>
      </c>
      <c r="F162">
        <v>2.6</v>
      </c>
      <c r="G162">
        <v>127.982</v>
      </c>
      <c r="H162">
        <v>1311.23</v>
      </c>
      <c r="I162">
        <v>0.97599999999999998</v>
      </c>
      <c r="J162" t="s">
        <v>477</v>
      </c>
      <c r="N162">
        <v>9</v>
      </c>
      <c r="O162">
        <v>9</v>
      </c>
      <c r="P162" t="s">
        <v>519</v>
      </c>
      <c r="Q162" t="s">
        <v>410</v>
      </c>
      <c r="S162">
        <v>3.26</v>
      </c>
      <c r="T162">
        <v>106.158</v>
      </c>
      <c r="U162">
        <v>1617.126</v>
      </c>
      <c r="V162">
        <v>0.65600000000000003</v>
      </c>
      <c r="W162" t="s">
        <v>403</v>
      </c>
      <c r="X162">
        <v>170.2</v>
      </c>
    </row>
    <row r="163" spans="1:24" x14ac:dyDescent="0.45">
      <c r="A163">
        <v>10</v>
      </c>
      <c r="B163">
        <v>10</v>
      </c>
      <c r="C163" t="s">
        <v>413</v>
      </c>
      <c r="D163" t="s">
        <v>414</v>
      </c>
      <c r="F163">
        <v>2.34</v>
      </c>
      <c r="G163">
        <v>143.37799999999999</v>
      </c>
      <c r="J163" t="s">
        <v>401</v>
      </c>
      <c r="N163">
        <v>10</v>
      </c>
      <c r="O163">
        <v>10</v>
      </c>
      <c r="P163" t="s">
        <v>520</v>
      </c>
      <c r="Q163" t="s">
        <v>414</v>
      </c>
      <c r="S163">
        <v>2.33</v>
      </c>
      <c r="T163">
        <v>1755.56</v>
      </c>
      <c r="U163">
        <v>114391.117</v>
      </c>
      <c r="V163">
        <v>0.153</v>
      </c>
      <c r="W163" t="s">
        <v>403</v>
      </c>
      <c r="X163">
        <v>37.5</v>
      </c>
    </row>
    <row r="164" spans="1:24" x14ac:dyDescent="0.45">
      <c r="A164">
        <v>11</v>
      </c>
      <c r="B164">
        <v>11</v>
      </c>
      <c r="C164" t="s">
        <v>416</v>
      </c>
      <c r="D164" t="s">
        <v>414</v>
      </c>
      <c r="F164">
        <v>2.36</v>
      </c>
      <c r="G164">
        <v>753.55700000000002</v>
      </c>
      <c r="H164">
        <v>84309.358999999997</v>
      </c>
      <c r="I164">
        <v>8.8999999999999996E-2</v>
      </c>
      <c r="J164" t="s">
        <v>478</v>
      </c>
      <c r="N164">
        <v>11</v>
      </c>
      <c r="O164">
        <v>11</v>
      </c>
      <c r="P164" t="s">
        <v>521</v>
      </c>
      <c r="Q164" t="s">
        <v>414</v>
      </c>
      <c r="S164">
        <v>2.33</v>
      </c>
      <c r="T164">
        <v>747.279</v>
      </c>
      <c r="U164">
        <v>51954.921999999999</v>
      </c>
      <c r="V164">
        <v>0.14399999999999999</v>
      </c>
      <c r="W164" t="s">
        <v>412</v>
      </c>
      <c r="X164">
        <v>35</v>
      </c>
    </row>
    <row r="165" spans="1:24" x14ac:dyDescent="0.45">
      <c r="A165">
        <v>12</v>
      </c>
      <c r="B165">
        <v>12</v>
      </c>
      <c r="C165" t="s">
        <v>417</v>
      </c>
      <c r="D165" t="s">
        <v>414</v>
      </c>
      <c r="F165">
        <v>2.34</v>
      </c>
      <c r="G165">
        <v>274.62299999999999</v>
      </c>
      <c r="H165">
        <v>66132.679999999993</v>
      </c>
      <c r="I165">
        <v>4.2000000000000003E-2</v>
      </c>
      <c r="J165" t="s">
        <v>403</v>
      </c>
      <c r="K165">
        <v>1.3</v>
      </c>
      <c r="N165">
        <v>12</v>
      </c>
      <c r="O165">
        <v>12</v>
      </c>
      <c r="P165" t="s">
        <v>522</v>
      </c>
      <c r="Q165" t="s">
        <v>414</v>
      </c>
      <c r="S165">
        <v>2.33</v>
      </c>
      <c r="T165">
        <v>619.21799999999996</v>
      </c>
      <c r="U165">
        <v>41871.016000000003</v>
      </c>
      <c r="V165">
        <v>0.14799999999999999</v>
      </c>
      <c r="W165" t="s">
        <v>401</v>
      </c>
      <c r="X165">
        <v>36</v>
      </c>
    </row>
    <row r="166" spans="1:24" x14ac:dyDescent="0.45">
      <c r="A166">
        <v>13</v>
      </c>
      <c r="B166">
        <v>13</v>
      </c>
      <c r="C166" t="s">
        <v>418</v>
      </c>
      <c r="D166" t="s">
        <v>414</v>
      </c>
      <c r="F166">
        <v>2.34</v>
      </c>
      <c r="G166">
        <v>131.91999999999999</v>
      </c>
      <c r="H166">
        <v>52468.667999999998</v>
      </c>
      <c r="I166">
        <v>2.5000000000000001E-2</v>
      </c>
      <c r="J166" t="s">
        <v>403</v>
      </c>
      <c r="K166">
        <v>4.2</v>
      </c>
      <c r="N166">
        <v>13</v>
      </c>
      <c r="O166">
        <v>13</v>
      </c>
      <c r="P166" t="s">
        <v>523</v>
      </c>
      <c r="Q166" t="s">
        <v>414</v>
      </c>
      <c r="S166">
        <v>2.33</v>
      </c>
      <c r="T166">
        <v>1091.134</v>
      </c>
      <c r="U166">
        <v>54000.101999999999</v>
      </c>
      <c r="V166">
        <v>0.20200000000000001</v>
      </c>
      <c r="W166" t="s">
        <v>415</v>
      </c>
      <c r="X166">
        <v>50.3</v>
      </c>
    </row>
    <row r="167" spans="1:24" x14ac:dyDescent="0.45">
      <c r="A167">
        <v>14</v>
      </c>
      <c r="B167">
        <v>14</v>
      </c>
      <c r="C167" t="s">
        <v>419</v>
      </c>
      <c r="D167" t="s">
        <v>414</v>
      </c>
      <c r="F167">
        <v>2.37</v>
      </c>
      <c r="G167">
        <v>449.66199999999998</v>
      </c>
      <c r="H167">
        <v>74077.156000000003</v>
      </c>
      <c r="I167">
        <v>6.0999999999999999E-2</v>
      </c>
      <c r="J167" t="s">
        <v>477</v>
      </c>
      <c r="N167">
        <v>14</v>
      </c>
      <c r="O167">
        <v>14</v>
      </c>
      <c r="P167" t="s">
        <v>524</v>
      </c>
      <c r="Q167" t="s">
        <v>414</v>
      </c>
      <c r="S167">
        <v>2.33</v>
      </c>
      <c r="T167">
        <v>950.78300000000002</v>
      </c>
      <c r="U167">
        <v>38490.843999999997</v>
      </c>
      <c r="V167">
        <v>0.247</v>
      </c>
      <c r="W167" t="s">
        <v>401</v>
      </c>
      <c r="X167">
        <v>62.2</v>
      </c>
    </row>
    <row r="168" spans="1:24" x14ac:dyDescent="0.45">
      <c r="A168">
        <v>15</v>
      </c>
      <c r="B168">
        <v>15</v>
      </c>
      <c r="C168" t="s">
        <v>420</v>
      </c>
      <c r="D168" t="s">
        <v>414</v>
      </c>
      <c r="F168">
        <v>2.36</v>
      </c>
      <c r="G168">
        <v>464.012</v>
      </c>
      <c r="H168">
        <v>91490.358999999997</v>
      </c>
      <c r="I168">
        <v>5.0999999999999997E-2</v>
      </c>
      <c r="J168" t="s">
        <v>478</v>
      </c>
      <c r="N168">
        <v>15</v>
      </c>
      <c r="O168">
        <v>15</v>
      </c>
      <c r="P168" t="s">
        <v>525</v>
      </c>
      <c r="Q168" t="s">
        <v>414</v>
      </c>
      <c r="S168">
        <v>2.33</v>
      </c>
      <c r="T168">
        <v>1220.396</v>
      </c>
      <c r="U168">
        <v>37209.313000000002</v>
      </c>
      <c r="V168">
        <v>0.32800000000000001</v>
      </c>
      <c r="W168" t="s">
        <v>403</v>
      </c>
      <c r="X168">
        <v>83.5</v>
      </c>
    </row>
    <row r="169" spans="1:24" x14ac:dyDescent="0.45">
      <c r="A169">
        <v>16</v>
      </c>
      <c r="B169">
        <v>16</v>
      </c>
      <c r="C169" t="s">
        <v>421</v>
      </c>
      <c r="D169" t="s">
        <v>414</v>
      </c>
      <c r="F169">
        <v>2.36</v>
      </c>
      <c r="G169">
        <v>332.64800000000002</v>
      </c>
      <c r="H169">
        <v>82730.25</v>
      </c>
      <c r="I169">
        <v>0.04</v>
      </c>
      <c r="J169" t="s">
        <v>403</v>
      </c>
      <c r="K169">
        <v>1.5</v>
      </c>
      <c r="N169">
        <v>16</v>
      </c>
      <c r="O169">
        <v>16</v>
      </c>
      <c r="P169" t="s">
        <v>526</v>
      </c>
      <c r="Q169" t="s">
        <v>414</v>
      </c>
      <c r="S169">
        <v>2.33</v>
      </c>
      <c r="T169">
        <v>1604.61</v>
      </c>
      <c r="U169">
        <v>56212.527000000002</v>
      </c>
      <c r="V169">
        <v>0.28499999999999998</v>
      </c>
      <c r="W169" t="s">
        <v>403</v>
      </c>
      <c r="X169">
        <v>72.3</v>
      </c>
    </row>
    <row r="170" spans="1:24" x14ac:dyDescent="0.45">
      <c r="A170">
        <v>17</v>
      </c>
      <c r="B170">
        <v>17</v>
      </c>
      <c r="C170" t="s">
        <v>422</v>
      </c>
      <c r="D170" t="s">
        <v>414</v>
      </c>
      <c r="F170">
        <v>2.34</v>
      </c>
      <c r="G170">
        <v>387.11700000000002</v>
      </c>
      <c r="H170">
        <v>75166.812999999995</v>
      </c>
      <c r="I170">
        <v>5.1999999999999998E-2</v>
      </c>
      <c r="J170" t="s">
        <v>478</v>
      </c>
      <c r="N170">
        <v>17</v>
      </c>
      <c r="O170">
        <v>17</v>
      </c>
      <c r="P170" t="s">
        <v>527</v>
      </c>
      <c r="Q170" t="s">
        <v>414</v>
      </c>
      <c r="S170">
        <v>2.34</v>
      </c>
      <c r="T170">
        <v>675.46699999999998</v>
      </c>
      <c r="U170">
        <v>33520.605000000003</v>
      </c>
      <c r="V170">
        <v>0.20200000000000001</v>
      </c>
      <c r="W170" t="s">
        <v>403</v>
      </c>
      <c r="X170">
        <v>50.2</v>
      </c>
    </row>
    <row r="171" spans="1:24" x14ac:dyDescent="0.45">
      <c r="A171">
        <v>18</v>
      </c>
      <c r="B171">
        <v>18</v>
      </c>
      <c r="C171" t="s">
        <v>423</v>
      </c>
      <c r="D171" t="s">
        <v>414</v>
      </c>
      <c r="F171">
        <v>2.37</v>
      </c>
      <c r="G171">
        <v>216.34399999999999</v>
      </c>
      <c r="H171">
        <v>91170.82</v>
      </c>
      <c r="I171">
        <v>2.4E-2</v>
      </c>
      <c r="J171" t="s">
        <v>403</v>
      </c>
      <c r="K171">
        <v>4.4000000000000004</v>
      </c>
      <c r="N171">
        <v>18</v>
      </c>
      <c r="O171">
        <v>18</v>
      </c>
      <c r="P171" t="s">
        <v>528</v>
      </c>
      <c r="Q171" t="s">
        <v>414</v>
      </c>
      <c r="S171">
        <v>2.33</v>
      </c>
      <c r="T171">
        <v>1148.4010000000001</v>
      </c>
      <c r="U171">
        <v>48430.309000000001</v>
      </c>
      <c r="V171">
        <v>0.23699999999999999</v>
      </c>
      <c r="W171" t="s">
        <v>403</v>
      </c>
      <c r="X171">
        <v>59.6</v>
      </c>
    </row>
    <row r="172" spans="1:24" x14ac:dyDescent="0.45">
      <c r="A172">
        <v>19</v>
      </c>
      <c r="B172">
        <v>19</v>
      </c>
      <c r="C172" t="s">
        <v>424</v>
      </c>
      <c r="D172" t="s">
        <v>414</v>
      </c>
      <c r="F172">
        <v>2.36</v>
      </c>
      <c r="G172">
        <v>333.48700000000002</v>
      </c>
      <c r="H172">
        <v>104416.516</v>
      </c>
      <c r="I172">
        <v>3.2000000000000001E-2</v>
      </c>
      <c r="J172" t="s">
        <v>401</v>
      </c>
      <c r="K172">
        <v>3</v>
      </c>
      <c r="N172">
        <v>19</v>
      </c>
      <c r="O172">
        <v>19</v>
      </c>
      <c r="P172" t="s">
        <v>529</v>
      </c>
      <c r="Q172" t="s">
        <v>414</v>
      </c>
      <c r="S172">
        <v>2.33</v>
      </c>
      <c r="T172">
        <v>2325.7190000000001</v>
      </c>
      <c r="U172">
        <v>93421.702999999994</v>
      </c>
      <c r="V172">
        <v>0.249</v>
      </c>
      <c r="W172" t="s">
        <v>403</v>
      </c>
      <c r="X172">
        <v>62.7</v>
      </c>
    </row>
    <row r="173" spans="1:24" x14ac:dyDescent="0.45">
      <c r="A173">
        <v>20</v>
      </c>
      <c r="B173">
        <v>20</v>
      </c>
      <c r="C173" t="s">
        <v>425</v>
      </c>
      <c r="D173" t="s">
        <v>414</v>
      </c>
      <c r="F173">
        <v>2.34</v>
      </c>
      <c r="G173">
        <v>162.55500000000001</v>
      </c>
      <c r="H173">
        <v>55192.343999999997</v>
      </c>
      <c r="I173">
        <v>2.9000000000000001E-2</v>
      </c>
      <c r="J173" t="s">
        <v>401</v>
      </c>
      <c r="K173">
        <v>3.4</v>
      </c>
      <c r="N173">
        <v>20</v>
      </c>
      <c r="O173">
        <v>20</v>
      </c>
      <c r="P173" t="s">
        <v>530</v>
      </c>
      <c r="Q173" t="s">
        <v>414</v>
      </c>
      <c r="S173">
        <v>2.34</v>
      </c>
      <c r="T173">
        <v>578.62</v>
      </c>
      <c r="U173">
        <v>33901.855000000003</v>
      </c>
      <c r="V173">
        <v>0.17100000000000001</v>
      </c>
      <c r="W173" t="s">
        <v>401</v>
      </c>
      <c r="X173">
        <v>42</v>
      </c>
    </row>
    <row r="174" spans="1:24" x14ac:dyDescent="0.45">
      <c r="A174">
        <v>21</v>
      </c>
      <c r="B174">
        <v>21</v>
      </c>
      <c r="C174" t="s">
        <v>426</v>
      </c>
      <c r="D174" t="s">
        <v>414</v>
      </c>
      <c r="F174">
        <v>2.37</v>
      </c>
      <c r="G174">
        <v>325.70400000000001</v>
      </c>
      <c r="H174">
        <v>83788.687999999995</v>
      </c>
      <c r="I174">
        <v>3.9E-2</v>
      </c>
      <c r="J174" t="s">
        <v>403</v>
      </c>
      <c r="K174">
        <v>1.7</v>
      </c>
      <c r="N174">
        <v>21</v>
      </c>
      <c r="O174">
        <v>21</v>
      </c>
      <c r="P174" t="s">
        <v>531</v>
      </c>
      <c r="Q174" t="s">
        <v>414</v>
      </c>
      <c r="S174">
        <v>2.33</v>
      </c>
      <c r="T174">
        <v>727.67700000000002</v>
      </c>
      <c r="U174">
        <v>41808.836000000003</v>
      </c>
      <c r="V174">
        <v>0.17399999999999999</v>
      </c>
      <c r="W174" t="s">
        <v>412</v>
      </c>
      <c r="X174">
        <v>42.9</v>
      </c>
    </row>
    <row r="175" spans="1:24" x14ac:dyDescent="0.45">
      <c r="A175">
        <v>22</v>
      </c>
      <c r="B175">
        <v>22</v>
      </c>
      <c r="C175" t="s">
        <v>427</v>
      </c>
      <c r="D175" t="s">
        <v>414</v>
      </c>
      <c r="F175">
        <v>2.34</v>
      </c>
      <c r="G175">
        <v>220.75899999999999</v>
      </c>
      <c r="H175">
        <v>61919.858999999997</v>
      </c>
      <c r="I175">
        <v>3.5999999999999997E-2</v>
      </c>
      <c r="J175" t="s">
        <v>412</v>
      </c>
      <c r="K175">
        <v>2.2999999999999998</v>
      </c>
      <c r="N175">
        <v>22</v>
      </c>
      <c r="O175">
        <v>22</v>
      </c>
      <c r="P175" t="s">
        <v>532</v>
      </c>
      <c r="Q175" t="s">
        <v>414</v>
      </c>
      <c r="S175">
        <v>2.33</v>
      </c>
      <c r="T175">
        <v>1390.1590000000001</v>
      </c>
      <c r="U175">
        <v>43682.531000000003</v>
      </c>
      <c r="V175">
        <v>0.318</v>
      </c>
      <c r="W175" t="s">
        <v>401</v>
      </c>
      <c r="X175">
        <v>81</v>
      </c>
    </row>
    <row r="176" spans="1:24" x14ac:dyDescent="0.45">
      <c r="A176">
        <v>23</v>
      </c>
      <c r="B176">
        <v>23</v>
      </c>
      <c r="C176" t="s">
        <v>428</v>
      </c>
      <c r="D176" t="s">
        <v>414</v>
      </c>
      <c r="F176">
        <v>2.36</v>
      </c>
      <c r="G176">
        <v>237.74799999999999</v>
      </c>
      <c r="H176">
        <v>63825.245999999999</v>
      </c>
      <c r="I176">
        <v>3.6999999999999998E-2</v>
      </c>
      <c r="J176" t="s">
        <v>403</v>
      </c>
      <c r="K176">
        <v>2</v>
      </c>
      <c r="N176">
        <v>23</v>
      </c>
      <c r="O176">
        <v>23</v>
      </c>
      <c r="P176" t="s">
        <v>533</v>
      </c>
      <c r="Q176" t="s">
        <v>414</v>
      </c>
      <c r="S176">
        <v>2.33</v>
      </c>
      <c r="T176">
        <v>1628.529</v>
      </c>
      <c r="U176">
        <v>71635.726999999999</v>
      </c>
      <c r="V176">
        <v>0.22700000000000001</v>
      </c>
      <c r="W176" t="s">
        <v>403</v>
      </c>
      <c r="X176">
        <v>57</v>
      </c>
    </row>
    <row r="177" spans="1:24" x14ac:dyDescent="0.45">
      <c r="A177">
        <v>24</v>
      </c>
      <c r="B177">
        <v>24</v>
      </c>
      <c r="C177" t="s">
        <v>429</v>
      </c>
      <c r="D177" t="s">
        <v>414</v>
      </c>
      <c r="F177">
        <v>2.37</v>
      </c>
      <c r="G177">
        <v>259.06299999999999</v>
      </c>
      <c r="H177">
        <v>67217.312999999995</v>
      </c>
      <c r="I177">
        <v>3.9E-2</v>
      </c>
      <c r="J177" t="s">
        <v>403</v>
      </c>
      <c r="K177">
        <v>1.8</v>
      </c>
      <c r="N177">
        <v>24</v>
      </c>
      <c r="O177">
        <v>24</v>
      </c>
      <c r="P177" t="s">
        <v>534</v>
      </c>
      <c r="Q177" t="s">
        <v>414</v>
      </c>
      <c r="S177">
        <v>2.33</v>
      </c>
      <c r="T177">
        <v>826.101</v>
      </c>
      <c r="U177">
        <v>54890.055</v>
      </c>
      <c r="V177">
        <v>0.151</v>
      </c>
      <c r="W177" t="s">
        <v>403</v>
      </c>
      <c r="X177">
        <v>36.700000000000003</v>
      </c>
    </row>
    <row r="178" spans="1:24" x14ac:dyDescent="0.45">
      <c r="A178">
        <v>25</v>
      </c>
      <c r="B178">
        <v>25</v>
      </c>
      <c r="C178" t="s">
        <v>430</v>
      </c>
      <c r="D178" t="s">
        <v>414</v>
      </c>
      <c r="F178">
        <v>2.33</v>
      </c>
      <c r="G178">
        <v>259.67</v>
      </c>
      <c r="H178">
        <v>73208.968999999997</v>
      </c>
      <c r="I178">
        <v>3.5000000000000003E-2</v>
      </c>
      <c r="J178" t="s">
        <v>412</v>
      </c>
      <c r="K178">
        <v>2.2999999999999998</v>
      </c>
      <c r="N178">
        <v>25</v>
      </c>
      <c r="O178">
        <v>25</v>
      </c>
      <c r="P178" t="s">
        <v>535</v>
      </c>
      <c r="Q178" t="s">
        <v>414</v>
      </c>
      <c r="S178">
        <v>2.34</v>
      </c>
      <c r="T178">
        <v>1410.752</v>
      </c>
      <c r="U178">
        <v>92329.875</v>
      </c>
      <c r="V178">
        <v>0.153</v>
      </c>
      <c r="W178" t="s">
        <v>415</v>
      </c>
      <c r="X178">
        <v>37.299999999999997</v>
      </c>
    </row>
    <row r="179" spans="1:24" x14ac:dyDescent="0.45">
      <c r="A179">
        <v>26</v>
      </c>
      <c r="B179">
        <v>26</v>
      </c>
      <c r="C179" t="s">
        <v>431</v>
      </c>
      <c r="D179" t="s">
        <v>414</v>
      </c>
      <c r="F179">
        <v>2.36</v>
      </c>
      <c r="G179">
        <v>196.53700000000001</v>
      </c>
      <c r="H179">
        <v>54099.112999999998</v>
      </c>
      <c r="I179">
        <v>3.5999999999999997E-2</v>
      </c>
      <c r="J179" t="s">
        <v>403</v>
      </c>
      <c r="K179">
        <v>2.2000000000000002</v>
      </c>
      <c r="N179">
        <v>26</v>
      </c>
      <c r="O179">
        <v>26</v>
      </c>
      <c r="P179" t="s">
        <v>536</v>
      </c>
      <c r="Q179" t="s">
        <v>414</v>
      </c>
      <c r="S179">
        <v>2.33</v>
      </c>
      <c r="T179">
        <v>873.62199999999996</v>
      </c>
      <c r="U179">
        <v>45908.906000000003</v>
      </c>
      <c r="V179">
        <v>0.19</v>
      </c>
      <c r="W179" t="s">
        <v>412</v>
      </c>
      <c r="X179">
        <v>47.2</v>
      </c>
    </row>
    <row r="180" spans="1:24" x14ac:dyDescent="0.45">
      <c r="A180">
        <v>27</v>
      </c>
      <c r="B180">
        <v>27</v>
      </c>
      <c r="C180" t="s">
        <v>432</v>
      </c>
      <c r="D180" t="s">
        <v>414</v>
      </c>
      <c r="F180">
        <v>2.82</v>
      </c>
      <c r="G180">
        <v>105.608</v>
      </c>
      <c r="H180">
        <v>55670.851999999999</v>
      </c>
      <c r="I180">
        <v>1.9E-2</v>
      </c>
      <c r="J180" t="s">
        <v>415</v>
      </c>
      <c r="K180">
        <v>5.3</v>
      </c>
      <c r="N180">
        <v>27</v>
      </c>
      <c r="O180">
        <v>27</v>
      </c>
      <c r="P180" t="s">
        <v>537</v>
      </c>
      <c r="Q180" t="s">
        <v>414</v>
      </c>
      <c r="S180">
        <v>2.33</v>
      </c>
      <c r="T180">
        <v>659.37300000000005</v>
      </c>
      <c r="U180">
        <v>35462.035000000003</v>
      </c>
      <c r="V180">
        <v>0.186</v>
      </c>
      <c r="W180" t="s">
        <v>401</v>
      </c>
      <c r="X180">
        <v>46.1</v>
      </c>
    </row>
    <row r="181" spans="1:24" x14ac:dyDescent="0.45">
      <c r="A181">
        <v>28</v>
      </c>
      <c r="B181">
        <v>28</v>
      </c>
      <c r="C181" t="s">
        <v>433</v>
      </c>
      <c r="D181" t="s">
        <v>414</v>
      </c>
      <c r="F181">
        <v>2.36</v>
      </c>
      <c r="G181">
        <v>159.727</v>
      </c>
      <c r="H181">
        <v>65772.023000000001</v>
      </c>
      <c r="I181">
        <v>2.4E-2</v>
      </c>
      <c r="J181" t="s">
        <v>403</v>
      </c>
      <c r="K181">
        <v>4.3</v>
      </c>
      <c r="N181">
        <v>28</v>
      </c>
      <c r="O181">
        <v>28</v>
      </c>
      <c r="P181" t="s">
        <v>538</v>
      </c>
      <c r="Q181" t="s">
        <v>414</v>
      </c>
      <c r="S181">
        <v>2.34</v>
      </c>
      <c r="T181">
        <v>605.30200000000002</v>
      </c>
      <c r="U181">
        <v>41089.019999999997</v>
      </c>
      <c r="V181">
        <v>0.14699999999999999</v>
      </c>
      <c r="W181" t="s">
        <v>412</v>
      </c>
      <c r="X181">
        <v>35.9</v>
      </c>
    </row>
    <row r="182" spans="1:24" x14ac:dyDescent="0.45">
      <c r="A182">
        <v>29</v>
      </c>
      <c r="B182">
        <v>29</v>
      </c>
      <c r="C182" t="s">
        <v>434</v>
      </c>
      <c r="D182" t="s">
        <v>414</v>
      </c>
      <c r="F182">
        <v>2.37</v>
      </c>
      <c r="G182">
        <v>377.233</v>
      </c>
      <c r="H182">
        <v>67222.835999999996</v>
      </c>
      <c r="I182">
        <v>5.6000000000000001E-2</v>
      </c>
      <c r="J182" t="s">
        <v>476</v>
      </c>
      <c r="N182">
        <v>29</v>
      </c>
      <c r="O182">
        <v>29</v>
      </c>
      <c r="P182" t="s">
        <v>539</v>
      </c>
      <c r="Q182" t="s">
        <v>414</v>
      </c>
      <c r="S182">
        <v>2.34</v>
      </c>
      <c r="T182">
        <v>888.78700000000003</v>
      </c>
      <c r="U182">
        <v>70525.358999999997</v>
      </c>
      <c r="V182">
        <v>0.126</v>
      </c>
      <c r="W182" t="s">
        <v>401</v>
      </c>
      <c r="X182">
        <v>30.3</v>
      </c>
    </row>
    <row r="183" spans="1:24" x14ac:dyDescent="0.45">
      <c r="A183">
        <v>30</v>
      </c>
      <c r="B183">
        <v>30</v>
      </c>
      <c r="C183" t="s">
        <v>435</v>
      </c>
      <c r="D183" t="s">
        <v>414</v>
      </c>
      <c r="F183">
        <v>2.36</v>
      </c>
      <c r="G183">
        <v>315.96699999999998</v>
      </c>
      <c r="H183">
        <v>53743.601999999999</v>
      </c>
      <c r="I183">
        <v>5.8999999999999997E-2</v>
      </c>
      <c r="J183" t="s">
        <v>478</v>
      </c>
      <c r="N183">
        <v>30</v>
      </c>
      <c r="O183">
        <v>30</v>
      </c>
      <c r="P183" t="s">
        <v>540</v>
      </c>
      <c r="Q183" t="s">
        <v>414</v>
      </c>
      <c r="S183">
        <v>2.34</v>
      </c>
      <c r="T183">
        <v>1116.9770000000001</v>
      </c>
      <c r="U183">
        <v>57675.995999999999</v>
      </c>
      <c r="V183">
        <v>0.19400000000000001</v>
      </c>
      <c r="W183" t="s">
        <v>401</v>
      </c>
      <c r="X183">
        <v>48.1</v>
      </c>
    </row>
    <row r="184" spans="1:24" x14ac:dyDescent="0.45">
      <c r="A184">
        <v>31</v>
      </c>
      <c r="B184">
        <v>31</v>
      </c>
      <c r="C184" t="s">
        <v>436</v>
      </c>
      <c r="D184" t="s">
        <v>414</v>
      </c>
      <c r="F184">
        <v>2.37</v>
      </c>
      <c r="G184">
        <v>476.95600000000002</v>
      </c>
      <c r="H184">
        <v>63825.035000000003</v>
      </c>
      <c r="I184">
        <v>7.4999999999999997E-2</v>
      </c>
      <c r="J184" t="s">
        <v>477</v>
      </c>
      <c r="N184">
        <v>31</v>
      </c>
      <c r="O184">
        <v>31</v>
      </c>
      <c r="P184" t="s">
        <v>541</v>
      </c>
      <c r="Q184" t="s">
        <v>414</v>
      </c>
      <c r="S184">
        <v>2.34</v>
      </c>
      <c r="T184">
        <v>630.77800000000002</v>
      </c>
      <c r="U184">
        <v>53143.934000000001</v>
      </c>
      <c r="V184">
        <v>0.11899999999999999</v>
      </c>
      <c r="W184" t="s">
        <v>415</v>
      </c>
      <c r="X184">
        <v>28.3</v>
      </c>
    </row>
    <row r="185" spans="1:24" x14ac:dyDescent="0.45">
      <c r="A185">
        <v>32</v>
      </c>
      <c r="B185">
        <v>32</v>
      </c>
      <c r="C185" t="s">
        <v>437</v>
      </c>
      <c r="D185" t="s">
        <v>414</v>
      </c>
      <c r="F185">
        <v>2.37</v>
      </c>
      <c r="G185">
        <v>215.27600000000001</v>
      </c>
      <c r="H185">
        <v>49027.273000000001</v>
      </c>
      <c r="I185">
        <v>4.3999999999999997E-2</v>
      </c>
      <c r="J185" t="s">
        <v>403</v>
      </c>
      <c r="K185">
        <v>0.8</v>
      </c>
      <c r="N185">
        <v>32</v>
      </c>
      <c r="O185">
        <v>32</v>
      </c>
      <c r="P185" t="s">
        <v>542</v>
      </c>
      <c r="Q185" t="s">
        <v>414</v>
      </c>
      <c r="S185">
        <v>2.34</v>
      </c>
      <c r="T185">
        <v>563.56200000000001</v>
      </c>
      <c r="U185">
        <v>39442.32</v>
      </c>
      <c r="V185">
        <v>0.14299999999999999</v>
      </c>
      <c r="W185" t="s">
        <v>403</v>
      </c>
      <c r="X185">
        <v>34.700000000000003</v>
      </c>
    </row>
    <row r="186" spans="1:24" x14ac:dyDescent="0.45">
      <c r="A186">
        <v>33</v>
      </c>
      <c r="B186">
        <v>33</v>
      </c>
      <c r="C186" t="s">
        <v>438</v>
      </c>
      <c r="D186" t="s">
        <v>414</v>
      </c>
      <c r="F186">
        <v>2.34</v>
      </c>
      <c r="G186">
        <v>151.541</v>
      </c>
      <c r="H186">
        <v>55418.148000000001</v>
      </c>
      <c r="I186">
        <v>2.7E-2</v>
      </c>
      <c r="J186" t="s">
        <v>403</v>
      </c>
      <c r="K186">
        <v>3.8</v>
      </c>
      <c r="N186">
        <v>33</v>
      </c>
      <c r="O186">
        <v>33</v>
      </c>
      <c r="P186" t="s">
        <v>543</v>
      </c>
      <c r="Q186" t="s">
        <v>414</v>
      </c>
      <c r="S186">
        <v>2.34</v>
      </c>
      <c r="T186">
        <v>525.50400000000002</v>
      </c>
      <c r="U186">
        <v>39358.858999999997</v>
      </c>
      <c r="V186">
        <v>0.13400000000000001</v>
      </c>
      <c r="W186" t="s">
        <v>412</v>
      </c>
      <c r="X186">
        <v>32.200000000000003</v>
      </c>
    </row>
    <row r="187" spans="1:24" x14ac:dyDescent="0.45">
      <c r="A187">
        <v>34</v>
      </c>
      <c r="B187">
        <v>34</v>
      </c>
      <c r="C187" t="s">
        <v>439</v>
      </c>
      <c r="D187" t="s">
        <v>414</v>
      </c>
      <c r="F187">
        <v>2.34</v>
      </c>
      <c r="G187">
        <v>418.88799999999998</v>
      </c>
      <c r="H187">
        <v>43340.773000000001</v>
      </c>
      <c r="I187">
        <v>9.7000000000000003E-2</v>
      </c>
      <c r="J187" t="s">
        <v>476</v>
      </c>
      <c r="N187">
        <v>34</v>
      </c>
      <c r="O187">
        <v>34</v>
      </c>
      <c r="P187" t="s">
        <v>544</v>
      </c>
      <c r="Q187" t="s">
        <v>414</v>
      </c>
      <c r="S187">
        <v>2.34</v>
      </c>
      <c r="T187">
        <v>431.29700000000003</v>
      </c>
      <c r="U187">
        <v>44301.563000000002</v>
      </c>
      <c r="V187">
        <v>9.7000000000000003E-2</v>
      </c>
      <c r="W187" t="s">
        <v>415</v>
      </c>
      <c r="X187">
        <v>22.7</v>
      </c>
    </row>
    <row r="188" spans="1:24" x14ac:dyDescent="0.45">
      <c r="A188">
        <v>35</v>
      </c>
      <c r="B188">
        <v>35</v>
      </c>
      <c r="C188" t="s">
        <v>440</v>
      </c>
      <c r="D188" t="s">
        <v>414</v>
      </c>
      <c r="F188">
        <v>2.36</v>
      </c>
      <c r="G188">
        <v>530.66</v>
      </c>
      <c r="H188">
        <v>65802.508000000002</v>
      </c>
      <c r="I188">
        <v>8.1000000000000003E-2</v>
      </c>
      <c r="J188" t="s">
        <v>476</v>
      </c>
      <c r="N188">
        <v>35</v>
      </c>
      <c r="O188">
        <v>35</v>
      </c>
      <c r="P188" t="s">
        <v>545</v>
      </c>
      <c r="Q188" t="s">
        <v>414</v>
      </c>
      <c r="S188">
        <v>2.34</v>
      </c>
      <c r="T188">
        <v>372.12099999999998</v>
      </c>
      <c r="W188" t="s">
        <v>403</v>
      </c>
    </row>
    <row r="189" spans="1:24" x14ac:dyDescent="0.45">
      <c r="A189">
        <v>36</v>
      </c>
      <c r="B189">
        <v>36</v>
      </c>
      <c r="C189" t="s">
        <v>441</v>
      </c>
      <c r="D189" t="s">
        <v>414</v>
      </c>
      <c r="F189">
        <v>2.36</v>
      </c>
      <c r="G189">
        <v>282.483</v>
      </c>
      <c r="H189">
        <v>59743.625</v>
      </c>
      <c r="I189">
        <v>4.7E-2</v>
      </c>
      <c r="J189" t="s">
        <v>401</v>
      </c>
      <c r="K189">
        <v>0.2</v>
      </c>
      <c r="N189">
        <v>36</v>
      </c>
      <c r="O189">
        <v>36</v>
      </c>
      <c r="P189" t="s">
        <v>546</v>
      </c>
      <c r="Q189" t="s">
        <v>414</v>
      </c>
      <c r="S189">
        <v>2.3199999999999998</v>
      </c>
      <c r="T189">
        <v>398.25</v>
      </c>
      <c r="U189">
        <v>53864.137000000002</v>
      </c>
      <c r="V189">
        <v>7.3999999999999996E-2</v>
      </c>
      <c r="W189" t="s">
        <v>401</v>
      </c>
      <c r="X189">
        <v>16.5</v>
      </c>
    </row>
    <row r="190" spans="1:24" x14ac:dyDescent="0.45">
      <c r="A190">
        <v>37</v>
      </c>
      <c r="B190">
        <v>37</v>
      </c>
      <c r="C190" t="s">
        <v>442</v>
      </c>
      <c r="D190" t="s">
        <v>414</v>
      </c>
      <c r="F190">
        <v>2.36</v>
      </c>
      <c r="G190">
        <v>295.68200000000002</v>
      </c>
      <c r="H190">
        <v>55387.097999999998</v>
      </c>
      <c r="I190">
        <v>5.2999999999999999E-2</v>
      </c>
      <c r="J190" t="s">
        <v>478</v>
      </c>
      <c r="N190">
        <v>37</v>
      </c>
      <c r="O190">
        <v>37</v>
      </c>
      <c r="P190" t="s">
        <v>547</v>
      </c>
      <c r="Q190" t="s">
        <v>414</v>
      </c>
      <c r="S190">
        <v>2.33</v>
      </c>
      <c r="T190">
        <v>303.69600000000003</v>
      </c>
      <c r="U190">
        <v>37767.457000000002</v>
      </c>
      <c r="V190">
        <v>0.08</v>
      </c>
      <c r="W190" t="s">
        <v>403</v>
      </c>
      <c r="X190">
        <v>18.2</v>
      </c>
    </row>
    <row r="191" spans="1:24" x14ac:dyDescent="0.45">
      <c r="A191">
        <v>38</v>
      </c>
      <c r="B191">
        <v>38</v>
      </c>
      <c r="C191" t="s">
        <v>443</v>
      </c>
      <c r="D191" t="s">
        <v>414</v>
      </c>
      <c r="F191">
        <v>2.36</v>
      </c>
      <c r="G191">
        <v>329.00400000000002</v>
      </c>
      <c r="H191">
        <v>41473.434000000001</v>
      </c>
      <c r="I191">
        <v>7.9000000000000001E-2</v>
      </c>
      <c r="J191" t="s">
        <v>478</v>
      </c>
      <c r="N191">
        <v>38</v>
      </c>
      <c r="O191">
        <v>38</v>
      </c>
      <c r="P191" t="s">
        <v>548</v>
      </c>
      <c r="Q191" t="s">
        <v>414</v>
      </c>
      <c r="S191">
        <v>2.34</v>
      </c>
      <c r="T191">
        <v>316.02499999999998</v>
      </c>
      <c r="U191">
        <v>35809.042999999998</v>
      </c>
      <c r="V191">
        <v>8.7999999999999995E-2</v>
      </c>
      <c r="W191" t="s">
        <v>403</v>
      </c>
      <c r="X191">
        <v>20.3</v>
      </c>
    </row>
    <row r="192" spans="1:24" x14ac:dyDescent="0.45">
      <c r="A192">
        <v>39</v>
      </c>
      <c r="B192">
        <v>39</v>
      </c>
      <c r="C192" t="s">
        <v>444</v>
      </c>
      <c r="D192" t="s">
        <v>414</v>
      </c>
      <c r="F192">
        <v>2.36</v>
      </c>
      <c r="G192">
        <v>285.95800000000003</v>
      </c>
      <c r="H192">
        <v>59012.796999999999</v>
      </c>
      <c r="I192">
        <v>4.8000000000000001E-2</v>
      </c>
      <c r="J192" t="s">
        <v>401</v>
      </c>
      <c r="K192">
        <v>0</v>
      </c>
      <c r="N192">
        <v>39</v>
      </c>
      <c r="O192">
        <v>39</v>
      </c>
      <c r="P192" t="s">
        <v>549</v>
      </c>
      <c r="Q192" t="s">
        <v>414</v>
      </c>
      <c r="S192">
        <v>2.36</v>
      </c>
      <c r="T192">
        <v>304.904</v>
      </c>
      <c r="U192">
        <v>37341.199000000001</v>
      </c>
      <c r="V192">
        <v>8.2000000000000003E-2</v>
      </c>
      <c r="W192" t="s">
        <v>412</v>
      </c>
      <c r="X192">
        <v>18.600000000000001</v>
      </c>
    </row>
    <row r="193" spans="1:24" x14ac:dyDescent="0.45">
      <c r="A193">
        <v>40</v>
      </c>
      <c r="B193">
        <v>40</v>
      </c>
      <c r="C193" t="s">
        <v>445</v>
      </c>
      <c r="D193" t="s">
        <v>414</v>
      </c>
      <c r="F193">
        <v>2.36</v>
      </c>
      <c r="G193">
        <v>446.28</v>
      </c>
      <c r="H193">
        <v>86755.460999999996</v>
      </c>
      <c r="I193">
        <v>5.0999999999999997E-2</v>
      </c>
      <c r="J193" t="s">
        <v>479</v>
      </c>
      <c r="N193">
        <v>40</v>
      </c>
      <c r="O193">
        <v>40</v>
      </c>
      <c r="P193" t="s">
        <v>550</v>
      </c>
      <c r="Q193" t="s">
        <v>414</v>
      </c>
      <c r="S193">
        <v>2.33</v>
      </c>
      <c r="T193">
        <v>626.44000000000005</v>
      </c>
      <c r="U193">
        <v>39614.887000000002</v>
      </c>
      <c r="V193">
        <v>0.158</v>
      </c>
      <c r="W193" t="s">
        <v>401</v>
      </c>
      <c r="X193">
        <v>38.700000000000003</v>
      </c>
    </row>
    <row r="194" spans="1:24" x14ac:dyDescent="0.45">
      <c r="A194">
        <v>41</v>
      </c>
      <c r="B194">
        <v>41</v>
      </c>
      <c r="C194" t="s">
        <v>446</v>
      </c>
      <c r="D194" t="s">
        <v>414</v>
      </c>
      <c r="F194">
        <v>2.34</v>
      </c>
      <c r="G194">
        <v>385.45299999999997</v>
      </c>
      <c r="H194">
        <v>74128.952999999994</v>
      </c>
      <c r="I194">
        <v>5.1999999999999998E-2</v>
      </c>
      <c r="J194" t="s">
        <v>477</v>
      </c>
      <c r="N194">
        <v>41</v>
      </c>
      <c r="O194">
        <v>41</v>
      </c>
      <c r="P194" t="s">
        <v>551</v>
      </c>
      <c r="Q194" t="s">
        <v>414</v>
      </c>
      <c r="S194">
        <v>2.33</v>
      </c>
      <c r="T194">
        <v>898.48699999999997</v>
      </c>
      <c r="U194">
        <v>51640.351999999999</v>
      </c>
      <c r="V194">
        <v>0.17399999999999999</v>
      </c>
      <c r="W194" t="s">
        <v>415</v>
      </c>
      <c r="X194">
        <v>42.9</v>
      </c>
    </row>
    <row r="195" spans="1:24" x14ac:dyDescent="0.45">
      <c r="A195">
        <v>42</v>
      </c>
      <c r="B195">
        <v>42</v>
      </c>
      <c r="C195" t="s">
        <v>447</v>
      </c>
      <c r="D195" t="s">
        <v>414</v>
      </c>
      <c r="F195">
        <v>2.34</v>
      </c>
      <c r="G195">
        <v>328.45400000000001</v>
      </c>
      <c r="H195">
        <v>73521.539000000004</v>
      </c>
      <c r="I195">
        <v>4.4999999999999998E-2</v>
      </c>
      <c r="J195" t="s">
        <v>401</v>
      </c>
      <c r="K195">
        <v>0.7</v>
      </c>
      <c r="N195">
        <v>42</v>
      </c>
      <c r="O195">
        <v>42</v>
      </c>
      <c r="P195" t="s">
        <v>552</v>
      </c>
      <c r="Q195" t="s">
        <v>414</v>
      </c>
      <c r="S195">
        <v>2.33</v>
      </c>
      <c r="T195">
        <v>399.1</v>
      </c>
      <c r="U195">
        <v>45321.336000000003</v>
      </c>
      <c r="V195">
        <v>8.7999999999999995E-2</v>
      </c>
      <c r="W195" t="s">
        <v>412</v>
      </c>
      <c r="X195">
        <v>20.2</v>
      </c>
    </row>
    <row r="196" spans="1:24" x14ac:dyDescent="0.45">
      <c r="A196">
        <v>43</v>
      </c>
      <c r="B196">
        <v>43</v>
      </c>
      <c r="C196" t="s">
        <v>448</v>
      </c>
      <c r="D196" t="s">
        <v>414</v>
      </c>
      <c r="F196">
        <v>2.34</v>
      </c>
      <c r="G196">
        <v>303.83199999999999</v>
      </c>
      <c r="H196">
        <v>67320.906000000003</v>
      </c>
      <c r="I196">
        <v>4.4999999999999998E-2</v>
      </c>
      <c r="J196" t="s">
        <v>412</v>
      </c>
      <c r="K196">
        <v>0.6</v>
      </c>
      <c r="N196">
        <v>43</v>
      </c>
      <c r="O196">
        <v>43</v>
      </c>
      <c r="P196" t="s">
        <v>553</v>
      </c>
      <c r="Q196" t="s">
        <v>414</v>
      </c>
      <c r="S196">
        <v>2.33</v>
      </c>
      <c r="T196">
        <v>429.738</v>
      </c>
      <c r="U196">
        <v>47150.667999999998</v>
      </c>
      <c r="V196">
        <v>9.0999999999999998E-2</v>
      </c>
      <c r="W196" t="s">
        <v>403</v>
      </c>
      <c r="X196">
        <v>21.1</v>
      </c>
    </row>
    <row r="197" spans="1:24" x14ac:dyDescent="0.45">
      <c r="A197">
        <v>44</v>
      </c>
      <c r="B197">
        <v>44</v>
      </c>
      <c r="C197" t="s">
        <v>449</v>
      </c>
      <c r="D197" t="s">
        <v>414</v>
      </c>
      <c r="F197">
        <v>2.34</v>
      </c>
      <c r="G197">
        <v>403.02199999999999</v>
      </c>
      <c r="H197">
        <v>77383.422000000006</v>
      </c>
      <c r="I197">
        <v>5.1999999999999998E-2</v>
      </c>
      <c r="J197" t="s">
        <v>478</v>
      </c>
      <c r="N197">
        <v>44</v>
      </c>
      <c r="O197">
        <v>44</v>
      </c>
      <c r="P197" t="s">
        <v>554</v>
      </c>
      <c r="Q197" t="s">
        <v>414</v>
      </c>
      <c r="S197">
        <v>2.33</v>
      </c>
      <c r="T197">
        <v>583.78800000000001</v>
      </c>
      <c r="U197">
        <v>46629.98</v>
      </c>
      <c r="V197">
        <v>0.125</v>
      </c>
      <c r="W197" t="s">
        <v>412</v>
      </c>
      <c r="X197">
        <v>30</v>
      </c>
    </row>
    <row r="198" spans="1:24" x14ac:dyDescent="0.45">
      <c r="A198">
        <v>45</v>
      </c>
      <c r="B198">
        <v>45</v>
      </c>
      <c r="C198" t="s">
        <v>450</v>
      </c>
      <c r="D198" t="s">
        <v>414</v>
      </c>
      <c r="F198">
        <v>2.36</v>
      </c>
      <c r="G198">
        <v>295.44200000000001</v>
      </c>
      <c r="H198">
        <v>66085.508000000002</v>
      </c>
      <c r="I198">
        <v>4.4999999999999998E-2</v>
      </c>
      <c r="J198" t="s">
        <v>403</v>
      </c>
      <c r="K198">
        <v>0.7</v>
      </c>
      <c r="N198">
        <v>45</v>
      </c>
      <c r="O198">
        <v>45</v>
      </c>
      <c r="P198" t="s">
        <v>555</v>
      </c>
      <c r="Q198" t="s">
        <v>414</v>
      </c>
      <c r="S198">
        <v>2.34</v>
      </c>
      <c r="T198">
        <v>612.85699999999997</v>
      </c>
      <c r="U198">
        <v>44670.222999999998</v>
      </c>
      <c r="V198">
        <v>0.13700000000000001</v>
      </c>
      <c r="W198" t="s">
        <v>412</v>
      </c>
      <c r="X198">
        <v>33.200000000000003</v>
      </c>
    </row>
    <row r="199" spans="1:24" x14ac:dyDescent="0.45">
      <c r="A199">
        <v>46</v>
      </c>
      <c r="B199">
        <v>46</v>
      </c>
      <c r="C199" t="s">
        <v>451</v>
      </c>
      <c r="D199" t="s">
        <v>414</v>
      </c>
      <c r="F199">
        <v>2.36</v>
      </c>
      <c r="G199">
        <v>562.89800000000002</v>
      </c>
      <c r="H199">
        <v>68848.991999999998</v>
      </c>
      <c r="I199">
        <v>8.2000000000000003E-2</v>
      </c>
      <c r="J199" t="s">
        <v>479</v>
      </c>
      <c r="N199">
        <v>46</v>
      </c>
      <c r="O199">
        <v>46</v>
      </c>
      <c r="P199" t="s">
        <v>556</v>
      </c>
      <c r="Q199" t="s">
        <v>414</v>
      </c>
      <c r="S199">
        <v>2.33</v>
      </c>
      <c r="T199">
        <v>810.15099999999995</v>
      </c>
      <c r="U199">
        <v>31667.127</v>
      </c>
      <c r="V199">
        <v>0.25600000000000001</v>
      </c>
      <c r="W199" t="s">
        <v>415</v>
      </c>
      <c r="X199">
        <v>64.5</v>
      </c>
    </row>
    <row r="200" spans="1:24" x14ac:dyDescent="0.45">
      <c r="A200">
        <v>47</v>
      </c>
      <c r="B200">
        <v>47</v>
      </c>
      <c r="C200" t="s">
        <v>452</v>
      </c>
      <c r="D200" t="s">
        <v>414</v>
      </c>
      <c r="F200">
        <v>2.38</v>
      </c>
      <c r="G200">
        <v>208.4</v>
      </c>
      <c r="H200">
        <v>40148.351999999999</v>
      </c>
      <c r="I200">
        <v>5.1999999999999998E-2</v>
      </c>
      <c r="J200" t="s">
        <v>478</v>
      </c>
      <c r="N200">
        <v>47</v>
      </c>
      <c r="O200">
        <v>47</v>
      </c>
      <c r="P200" t="s">
        <v>557</v>
      </c>
      <c r="Q200" t="s">
        <v>414</v>
      </c>
      <c r="S200">
        <v>2.33</v>
      </c>
      <c r="T200">
        <v>694.09500000000003</v>
      </c>
      <c r="U200">
        <v>31993.508000000002</v>
      </c>
      <c r="V200">
        <v>0.217</v>
      </c>
      <c r="W200" t="s">
        <v>412</v>
      </c>
      <c r="X200">
        <v>54.2</v>
      </c>
    </row>
    <row r="201" spans="1:24" x14ac:dyDescent="0.45">
      <c r="A201">
        <v>48</v>
      </c>
      <c r="B201">
        <v>48</v>
      </c>
      <c r="C201" t="s">
        <v>453</v>
      </c>
      <c r="D201" t="s">
        <v>414</v>
      </c>
      <c r="F201">
        <v>2.34</v>
      </c>
      <c r="G201">
        <v>251.077</v>
      </c>
      <c r="H201">
        <v>44919.417999999998</v>
      </c>
      <c r="I201">
        <v>5.6000000000000001E-2</v>
      </c>
      <c r="J201" t="s">
        <v>477</v>
      </c>
      <c r="N201">
        <v>48</v>
      </c>
      <c r="O201">
        <v>48</v>
      </c>
      <c r="P201" t="s">
        <v>558</v>
      </c>
      <c r="Q201" t="s">
        <v>414</v>
      </c>
      <c r="S201">
        <v>2.34</v>
      </c>
      <c r="T201">
        <v>480.40699999999998</v>
      </c>
      <c r="U201">
        <v>32571.208999999999</v>
      </c>
      <c r="V201">
        <v>0.14699999999999999</v>
      </c>
      <c r="W201" t="s">
        <v>415</v>
      </c>
      <c r="X201">
        <v>35.9</v>
      </c>
    </row>
    <row r="202" spans="1:24" x14ac:dyDescent="0.45">
      <c r="A202">
        <v>49</v>
      </c>
      <c r="B202">
        <v>49</v>
      </c>
      <c r="C202" t="s">
        <v>454</v>
      </c>
      <c r="D202" t="s">
        <v>414</v>
      </c>
      <c r="F202">
        <v>2.34</v>
      </c>
      <c r="G202">
        <v>162.03100000000001</v>
      </c>
      <c r="H202">
        <v>41859.870999999999</v>
      </c>
      <c r="I202">
        <v>3.9E-2</v>
      </c>
      <c r="J202" t="s">
        <v>412</v>
      </c>
      <c r="K202">
        <v>1.8</v>
      </c>
      <c r="N202">
        <v>49</v>
      </c>
      <c r="O202">
        <v>49</v>
      </c>
      <c r="P202" t="s">
        <v>559</v>
      </c>
      <c r="Q202" t="s">
        <v>414</v>
      </c>
      <c r="S202">
        <v>2.36</v>
      </c>
      <c r="T202">
        <v>729.33199999999999</v>
      </c>
      <c r="U202">
        <v>38486.949000000001</v>
      </c>
      <c r="V202">
        <v>0.19</v>
      </c>
      <c r="W202" t="s">
        <v>403</v>
      </c>
      <c r="X202">
        <v>47</v>
      </c>
    </row>
    <row r="203" spans="1:24" x14ac:dyDescent="0.45">
      <c r="A203">
        <v>50</v>
      </c>
      <c r="B203">
        <v>50</v>
      </c>
      <c r="C203" t="s">
        <v>455</v>
      </c>
      <c r="D203" t="s">
        <v>414</v>
      </c>
      <c r="F203">
        <v>2.36</v>
      </c>
      <c r="G203">
        <v>374.04700000000003</v>
      </c>
      <c r="H203">
        <v>56855.038999999997</v>
      </c>
      <c r="I203">
        <v>6.6000000000000003E-2</v>
      </c>
      <c r="J203" t="s">
        <v>479</v>
      </c>
      <c r="N203">
        <v>50</v>
      </c>
      <c r="O203">
        <v>50</v>
      </c>
      <c r="P203" t="s">
        <v>560</v>
      </c>
      <c r="Q203" t="s">
        <v>414</v>
      </c>
      <c r="S203">
        <v>2.33</v>
      </c>
      <c r="T203">
        <v>324.536</v>
      </c>
      <c r="U203">
        <v>37523.108999999997</v>
      </c>
      <c r="V203">
        <v>8.5999999999999993E-2</v>
      </c>
      <c r="W203" t="s">
        <v>415</v>
      </c>
      <c r="X203">
        <v>19.8</v>
      </c>
    </row>
    <row r="204" spans="1:24" x14ac:dyDescent="0.45">
      <c r="A204">
        <v>51</v>
      </c>
      <c r="B204">
        <v>51</v>
      </c>
      <c r="C204" t="s">
        <v>456</v>
      </c>
      <c r="D204" t="s">
        <v>414</v>
      </c>
      <c r="F204">
        <v>2.34</v>
      </c>
      <c r="G204">
        <v>704.83100000000002</v>
      </c>
      <c r="H204">
        <v>50161.078000000001</v>
      </c>
      <c r="I204">
        <v>0.14099999999999999</v>
      </c>
      <c r="J204" t="s">
        <v>478</v>
      </c>
      <c r="N204">
        <v>51</v>
      </c>
      <c r="O204">
        <v>51</v>
      </c>
      <c r="P204" t="s">
        <v>561</v>
      </c>
      <c r="Q204" t="s">
        <v>414</v>
      </c>
      <c r="S204">
        <v>2.33</v>
      </c>
      <c r="T204">
        <v>153.96899999999999</v>
      </c>
      <c r="U204">
        <v>31793.794999999998</v>
      </c>
      <c r="V204">
        <v>4.8000000000000001E-2</v>
      </c>
      <c r="W204" t="s">
        <v>401</v>
      </c>
      <c r="X204">
        <v>9.8000000000000007</v>
      </c>
    </row>
    <row r="205" spans="1:24" x14ac:dyDescent="0.45">
      <c r="A205">
        <v>52</v>
      </c>
      <c r="B205">
        <v>52</v>
      </c>
      <c r="C205" t="s">
        <v>457</v>
      </c>
      <c r="D205" t="s">
        <v>414</v>
      </c>
      <c r="F205">
        <v>2.34</v>
      </c>
      <c r="G205">
        <v>224.417</v>
      </c>
      <c r="H205">
        <v>48811.171999999999</v>
      </c>
      <c r="I205">
        <v>4.5999999999999999E-2</v>
      </c>
      <c r="J205" t="s">
        <v>403</v>
      </c>
      <c r="K205">
        <v>0.5</v>
      </c>
      <c r="N205">
        <v>52</v>
      </c>
      <c r="O205">
        <v>52</v>
      </c>
      <c r="P205" t="s">
        <v>562</v>
      </c>
      <c r="Q205" t="s">
        <v>414</v>
      </c>
      <c r="S205">
        <v>2.33</v>
      </c>
      <c r="T205">
        <v>556.47799999999995</v>
      </c>
      <c r="U205">
        <v>39503.074000000001</v>
      </c>
      <c r="V205">
        <v>0.14099999999999999</v>
      </c>
      <c r="W205" t="s">
        <v>412</v>
      </c>
      <c r="X205">
        <v>34.200000000000003</v>
      </c>
    </row>
    <row r="206" spans="1:24" x14ac:dyDescent="0.45">
      <c r="A206">
        <v>53</v>
      </c>
      <c r="B206">
        <v>53</v>
      </c>
      <c r="C206" t="s">
        <v>458</v>
      </c>
      <c r="D206" t="s">
        <v>414</v>
      </c>
      <c r="F206">
        <v>2.3199999999999998</v>
      </c>
      <c r="G206">
        <v>250.63499999999999</v>
      </c>
      <c r="H206">
        <v>54851.605000000003</v>
      </c>
      <c r="I206">
        <v>4.5999999999999999E-2</v>
      </c>
      <c r="J206" t="s">
        <v>403</v>
      </c>
      <c r="K206">
        <v>0.5</v>
      </c>
      <c r="N206">
        <v>53</v>
      </c>
      <c r="O206">
        <v>53</v>
      </c>
      <c r="P206" t="s">
        <v>563</v>
      </c>
      <c r="Q206" t="s">
        <v>414</v>
      </c>
      <c r="S206">
        <v>2.34</v>
      </c>
      <c r="T206">
        <v>548.76300000000003</v>
      </c>
      <c r="U206">
        <v>48938.792999999998</v>
      </c>
      <c r="V206">
        <v>0.112</v>
      </c>
      <c r="W206" t="s">
        <v>403</v>
      </c>
      <c r="X206">
        <v>26.6</v>
      </c>
    </row>
    <row r="207" spans="1:24" x14ac:dyDescent="0.45">
      <c r="A207">
        <v>54</v>
      </c>
      <c r="B207">
        <v>54</v>
      </c>
      <c r="C207" t="s">
        <v>459</v>
      </c>
      <c r="D207" t="s">
        <v>414</v>
      </c>
      <c r="F207">
        <v>3.16</v>
      </c>
      <c r="G207">
        <v>144.47900000000001</v>
      </c>
      <c r="H207">
        <v>58443.324000000001</v>
      </c>
      <c r="I207">
        <v>2.5000000000000001E-2</v>
      </c>
      <c r="J207" t="s">
        <v>401</v>
      </c>
      <c r="K207">
        <v>4.2</v>
      </c>
      <c r="N207">
        <v>54</v>
      </c>
      <c r="O207">
        <v>54</v>
      </c>
      <c r="P207" t="s">
        <v>564</v>
      </c>
      <c r="Q207" t="s">
        <v>414</v>
      </c>
      <c r="S207">
        <v>2.36</v>
      </c>
      <c r="T207">
        <v>201.35300000000001</v>
      </c>
      <c r="U207">
        <v>41008.964999999997</v>
      </c>
      <c r="V207">
        <v>4.9000000000000002E-2</v>
      </c>
      <c r="W207" t="s">
        <v>403</v>
      </c>
      <c r="X207">
        <v>10</v>
      </c>
    </row>
    <row r="208" spans="1:24" x14ac:dyDescent="0.45">
      <c r="A208">
        <v>55</v>
      </c>
      <c r="B208">
        <v>55</v>
      </c>
      <c r="C208" t="s">
        <v>460</v>
      </c>
      <c r="D208" t="s">
        <v>414</v>
      </c>
      <c r="F208">
        <v>2.36</v>
      </c>
      <c r="G208">
        <v>146.625</v>
      </c>
      <c r="H208">
        <v>40287.612999999998</v>
      </c>
      <c r="I208">
        <v>3.5999999999999997E-2</v>
      </c>
      <c r="J208" t="s">
        <v>412</v>
      </c>
      <c r="K208">
        <v>2.2000000000000002</v>
      </c>
      <c r="N208">
        <v>55</v>
      </c>
      <c r="O208">
        <v>55</v>
      </c>
      <c r="P208" t="s">
        <v>565</v>
      </c>
      <c r="Q208" t="s">
        <v>414</v>
      </c>
      <c r="S208">
        <v>2.34</v>
      </c>
      <c r="T208">
        <v>513.13199999999995</v>
      </c>
      <c r="U208">
        <v>44491.097999999998</v>
      </c>
      <c r="V208">
        <v>0.115</v>
      </c>
      <c r="W208" t="s">
        <v>403</v>
      </c>
      <c r="X208">
        <v>27.4</v>
      </c>
    </row>
    <row r="209" spans="1:24" x14ac:dyDescent="0.45">
      <c r="A209">
        <v>56</v>
      </c>
      <c r="B209">
        <v>56</v>
      </c>
      <c r="C209" t="s">
        <v>461</v>
      </c>
      <c r="D209" t="s">
        <v>414</v>
      </c>
      <c r="F209">
        <v>3.28</v>
      </c>
      <c r="G209">
        <v>132.905</v>
      </c>
      <c r="H209">
        <v>47666.879000000001</v>
      </c>
      <c r="I209">
        <v>2.8000000000000001E-2</v>
      </c>
      <c r="J209" t="s">
        <v>403</v>
      </c>
      <c r="K209">
        <v>3.7</v>
      </c>
      <c r="N209">
        <v>56</v>
      </c>
      <c r="O209">
        <v>56</v>
      </c>
      <c r="P209" t="s">
        <v>566</v>
      </c>
      <c r="Q209" t="s">
        <v>414</v>
      </c>
      <c r="S209">
        <v>2.34</v>
      </c>
      <c r="T209">
        <v>599.17700000000002</v>
      </c>
      <c r="U209">
        <v>37134.421999999999</v>
      </c>
      <c r="V209">
        <v>0.161</v>
      </c>
      <c r="W209" t="s">
        <v>403</v>
      </c>
      <c r="X209">
        <v>39.6</v>
      </c>
    </row>
    <row r="210" spans="1:24" x14ac:dyDescent="0.45">
      <c r="A210">
        <v>57</v>
      </c>
      <c r="B210">
        <v>57</v>
      </c>
      <c r="C210" t="s">
        <v>462</v>
      </c>
      <c r="D210" t="s">
        <v>414</v>
      </c>
      <c r="F210">
        <v>2.37</v>
      </c>
      <c r="G210">
        <v>124.577</v>
      </c>
      <c r="H210">
        <v>50324.906000000003</v>
      </c>
      <c r="I210">
        <v>2.5000000000000001E-2</v>
      </c>
      <c r="J210" t="s">
        <v>403</v>
      </c>
      <c r="K210">
        <v>4.2</v>
      </c>
      <c r="N210">
        <v>57</v>
      </c>
      <c r="O210">
        <v>57</v>
      </c>
      <c r="P210" t="s">
        <v>567</v>
      </c>
      <c r="Q210" t="s">
        <v>414</v>
      </c>
      <c r="S210">
        <v>2.34</v>
      </c>
      <c r="T210">
        <v>377.358</v>
      </c>
      <c r="U210">
        <v>40540.438000000002</v>
      </c>
      <c r="V210">
        <v>9.2999999999999999E-2</v>
      </c>
      <c r="W210" t="s">
        <v>415</v>
      </c>
      <c r="X210">
        <v>21.6</v>
      </c>
    </row>
    <row r="211" spans="1:24" x14ac:dyDescent="0.45">
      <c r="A211">
        <v>58</v>
      </c>
      <c r="B211">
        <v>58</v>
      </c>
      <c r="C211" t="s">
        <v>463</v>
      </c>
      <c r="D211" t="s">
        <v>414</v>
      </c>
      <c r="F211">
        <v>2.36</v>
      </c>
      <c r="G211">
        <v>274.976</v>
      </c>
      <c r="H211">
        <v>51102.370999999999</v>
      </c>
      <c r="I211">
        <v>5.3999999999999999E-2</v>
      </c>
      <c r="J211" t="s">
        <v>479</v>
      </c>
      <c r="N211">
        <v>58</v>
      </c>
      <c r="O211">
        <v>58</v>
      </c>
      <c r="P211" t="s">
        <v>568</v>
      </c>
      <c r="Q211" t="s">
        <v>414</v>
      </c>
      <c r="S211">
        <v>2.34</v>
      </c>
      <c r="T211">
        <v>3183.3049999999998</v>
      </c>
      <c r="U211">
        <v>69129.202999999994</v>
      </c>
      <c r="V211">
        <v>0.46</v>
      </c>
      <c r="W211" t="s">
        <v>401</v>
      </c>
      <c r="X211">
        <v>118.5</v>
      </c>
    </row>
    <row r="212" spans="1:24" x14ac:dyDescent="0.45">
      <c r="A212">
        <v>59</v>
      </c>
      <c r="B212">
        <v>59</v>
      </c>
      <c r="C212" t="s">
        <v>464</v>
      </c>
      <c r="D212" t="s">
        <v>414</v>
      </c>
      <c r="F212">
        <v>2.36</v>
      </c>
      <c r="G212">
        <v>273.32100000000003</v>
      </c>
      <c r="H212">
        <v>51337.425999999999</v>
      </c>
      <c r="I212">
        <v>5.2999999999999999E-2</v>
      </c>
      <c r="J212" t="s">
        <v>478</v>
      </c>
      <c r="N212">
        <v>59</v>
      </c>
      <c r="O212">
        <v>59</v>
      </c>
      <c r="P212" t="s">
        <v>569</v>
      </c>
      <c r="Q212" t="s">
        <v>414</v>
      </c>
      <c r="S212">
        <v>2.34</v>
      </c>
      <c r="T212">
        <v>643.66399999999999</v>
      </c>
      <c r="U212">
        <v>37554.292999999998</v>
      </c>
      <c r="V212">
        <v>0.17100000000000001</v>
      </c>
      <c r="W212" t="s">
        <v>403</v>
      </c>
      <c r="X212">
        <v>42.2</v>
      </c>
    </row>
    <row r="213" spans="1:24" x14ac:dyDescent="0.45">
      <c r="A213">
        <v>60</v>
      </c>
      <c r="B213">
        <v>60</v>
      </c>
      <c r="C213" t="s">
        <v>465</v>
      </c>
      <c r="D213" t="s">
        <v>414</v>
      </c>
      <c r="F213">
        <v>2.34</v>
      </c>
      <c r="G213">
        <v>499.315</v>
      </c>
      <c r="H213">
        <v>59640.565999999999</v>
      </c>
      <c r="I213">
        <v>8.4000000000000005E-2</v>
      </c>
      <c r="J213" t="s">
        <v>476</v>
      </c>
      <c r="N213">
        <v>60</v>
      </c>
      <c r="O213">
        <v>60</v>
      </c>
      <c r="P213" t="s">
        <v>570</v>
      </c>
      <c r="Q213" t="s">
        <v>414</v>
      </c>
      <c r="S213">
        <v>2.34</v>
      </c>
      <c r="T213">
        <v>2176.8739999999998</v>
      </c>
      <c r="U213">
        <v>79110.508000000002</v>
      </c>
      <c r="V213">
        <v>0.27500000000000002</v>
      </c>
      <c r="W213" t="s">
        <v>412</v>
      </c>
      <c r="X213">
        <v>69.599999999999994</v>
      </c>
    </row>
    <row r="214" spans="1:24" x14ac:dyDescent="0.45">
      <c r="A214">
        <v>61</v>
      </c>
      <c r="B214">
        <v>61</v>
      </c>
      <c r="C214" t="s">
        <v>466</v>
      </c>
      <c r="D214" t="s">
        <v>414</v>
      </c>
      <c r="F214">
        <v>2.36</v>
      </c>
      <c r="G214">
        <v>330.72300000000001</v>
      </c>
      <c r="H214">
        <v>62493.625</v>
      </c>
      <c r="I214">
        <v>5.2999999999999999E-2</v>
      </c>
      <c r="J214" t="s">
        <v>478</v>
      </c>
      <c r="N214">
        <v>61</v>
      </c>
      <c r="O214">
        <v>61</v>
      </c>
      <c r="P214" t="s">
        <v>571</v>
      </c>
      <c r="Q214" t="s">
        <v>414</v>
      </c>
      <c r="S214">
        <v>2.33</v>
      </c>
      <c r="T214">
        <v>1150.9760000000001</v>
      </c>
      <c r="U214">
        <v>42275.324000000001</v>
      </c>
      <c r="V214">
        <v>0.27200000000000002</v>
      </c>
      <c r="W214" t="s">
        <v>412</v>
      </c>
      <c r="X214">
        <v>68.8</v>
      </c>
    </row>
    <row r="215" spans="1:24" x14ac:dyDescent="0.45">
      <c r="A215">
        <v>62</v>
      </c>
      <c r="B215">
        <v>62</v>
      </c>
      <c r="C215" t="s">
        <v>467</v>
      </c>
      <c r="D215" t="s">
        <v>414</v>
      </c>
      <c r="F215">
        <v>2.36</v>
      </c>
      <c r="G215">
        <v>400.72899999999998</v>
      </c>
      <c r="H215">
        <v>74909.664000000004</v>
      </c>
      <c r="I215">
        <v>5.2999999999999999E-2</v>
      </c>
      <c r="J215" t="s">
        <v>478</v>
      </c>
      <c r="N215">
        <v>62</v>
      </c>
      <c r="O215">
        <v>62</v>
      </c>
      <c r="P215" t="s">
        <v>572</v>
      </c>
      <c r="Q215" t="s">
        <v>414</v>
      </c>
      <c r="S215">
        <v>2.34</v>
      </c>
      <c r="T215">
        <v>1337.433</v>
      </c>
      <c r="U215">
        <v>40421.563000000002</v>
      </c>
      <c r="V215">
        <v>0.33100000000000002</v>
      </c>
      <c r="W215" t="s">
        <v>403</v>
      </c>
      <c r="X215">
        <v>84.3</v>
      </c>
    </row>
    <row r="216" spans="1:24" x14ac:dyDescent="0.45">
      <c r="A216">
        <v>63</v>
      </c>
      <c r="B216">
        <v>63</v>
      </c>
      <c r="C216" t="s">
        <v>468</v>
      </c>
      <c r="D216" t="s">
        <v>414</v>
      </c>
      <c r="F216">
        <v>2.36</v>
      </c>
      <c r="G216">
        <v>338.49799999999999</v>
      </c>
      <c r="H216">
        <v>63882.688000000002</v>
      </c>
      <c r="I216">
        <v>5.2999999999999999E-2</v>
      </c>
      <c r="J216" t="s">
        <v>476</v>
      </c>
      <c r="N216">
        <v>63</v>
      </c>
      <c r="O216">
        <v>63</v>
      </c>
      <c r="P216" t="s">
        <v>573</v>
      </c>
      <c r="Q216" t="s">
        <v>414</v>
      </c>
      <c r="S216">
        <v>2.34</v>
      </c>
      <c r="T216">
        <v>1980.528</v>
      </c>
      <c r="U216">
        <v>59335.031000000003</v>
      </c>
      <c r="V216">
        <v>0.33400000000000002</v>
      </c>
      <c r="W216" t="s">
        <v>401</v>
      </c>
      <c r="X216">
        <v>85.1</v>
      </c>
    </row>
    <row r="217" spans="1:24" x14ac:dyDescent="0.45">
      <c r="A217">
        <v>64</v>
      </c>
      <c r="B217">
        <v>64</v>
      </c>
      <c r="C217" t="s">
        <v>469</v>
      </c>
      <c r="D217" t="s">
        <v>414</v>
      </c>
      <c r="F217">
        <v>2.36</v>
      </c>
      <c r="G217">
        <v>432.75099999999998</v>
      </c>
      <c r="H217">
        <v>62556.828000000001</v>
      </c>
      <c r="I217">
        <v>6.9000000000000006E-2</v>
      </c>
      <c r="J217" t="s">
        <v>478</v>
      </c>
      <c r="N217">
        <v>64</v>
      </c>
      <c r="O217">
        <v>64</v>
      </c>
      <c r="P217" t="s">
        <v>574</v>
      </c>
      <c r="Q217" t="s">
        <v>414</v>
      </c>
      <c r="S217">
        <v>2.34</v>
      </c>
      <c r="T217">
        <v>827.27099999999996</v>
      </c>
      <c r="U217">
        <v>48512.425999999999</v>
      </c>
      <c r="V217">
        <v>0.17100000000000001</v>
      </c>
      <c r="W217" t="s">
        <v>403</v>
      </c>
      <c r="X217">
        <v>42</v>
      </c>
    </row>
    <row r="218" spans="1:24" x14ac:dyDescent="0.45">
      <c r="A218">
        <v>65</v>
      </c>
      <c r="B218">
        <v>65</v>
      </c>
      <c r="C218" t="s">
        <v>470</v>
      </c>
      <c r="D218" t="s">
        <v>414</v>
      </c>
      <c r="F218">
        <v>2.37</v>
      </c>
      <c r="G218">
        <v>475.74</v>
      </c>
      <c r="H218">
        <v>58757.387000000002</v>
      </c>
      <c r="I218">
        <v>8.1000000000000003E-2</v>
      </c>
      <c r="J218" t="s">
        <v>478</v>
      </c>
      <c r="N218">
        <v>65</v>
      </c>
      <c r="O218">
        <v>65</v>
      </c>
      <c r="P218" t="s">
        <v>575</v>
      </c>
      <c r="Q218" t="s">
        <v>414</v>
      </c>
      <c r="S218">
        <v>2.34</v>
      </c>
      <c r="T218">
        <v>812.428</v>
      </c>
      <c r="U218">
        <v>46699.91</v>
      </c>
      <c r="V218">
        <v>0.17399999999999999</v>
      </c>
      <c r="W218" t="s">
        <v>415</v>
      </c>
      <c r="X218">
        <v>42.9</v>
      </c>
    </row>
    <row r="219" spans="1:24" x14ac:dyDescent="0.45">
      <c r="A219">
        <v>66</v>
      </c>
      <c r="B219">
        <v>66</v>
      </c>
      <c r="C219" t="s">
        <v>471</v>
      </c>
      <c r="D219" t="s">
        <v>414</v>
      </c>
      <c r="F219">
        <v>2.36</v>
      </c>
      <c r="G219">
        <v>299.88400000000001</v>
      </c>
      <c r="H219">
        <v>58986.688000000002</v>
      </c>
      <c r="I219">
        <v>5.0999999999999997E-2</v>
      </c>
      <c r="J219" t="s">
        <v>478</v>
      </c>
      <c r="N219">
        <v>66</v>
      </c>
      <c r="O219">
        <v>66</v>
      </c>
      <c r="P219" t="s">
        <v>576</v>
      </c>
      <c r="Q219" t="s">
        <v>414</v>
      </c>
      <c r="S219">
        <v>2.34</v>
      </c>
      <c r="T219">
        <v>684.94600000000003</v>
      </c>
      <c r="U219">
        <v>48016.792999999998</v>
      </c>
      <c r="V219">
        <v>0.14299999999999999</v>
      </c>
      <c r="W219" t="s">
        <v>415</v>
      </c>
      <c r="X219">
        <v>34.6</v>
      </c>
    </row>
    <row r="220" spans="1:24" x14ac:dyDescent="0.45">
      <c r="A220">
        <v>67</v>
      </c>
      <c r="B220">
        <v>67</v>
      </c>
      <c r="C220" t="s">
        <v>472</v>
      </c>
      <c r="D220" t="s">
        <v>414</v>
      </c>
      <c r="F220">
        <v>2.34</v>
      </c>
      <c r="G220">
        <v>177.63399999999999</v>
      </c>
      <c r="H220">
        <v>38346.292999999998</v>
      </c>
      <c r="I220">
        <v>4.5999999999999999E-2</v>
      </c>
      <c r="J220" t="s">
        <v>403</v>
      </c>
      <c r="K220">
        <v>0.4</v>
      </c>
      <c r="N220">
        <v>67</v>
      </c>
      <c r="O220">
        <v>67</v>
      </c>
      <c r="P220" t="s">
        <v>577</v>
      </c>
      <c r="Q220" t="s">
        <v>414</v>
      </c>
      <c r="S220">
        <v>2.34</v>
      </c>
      <c r="T220">
        <v>496.90699999999998</v>
      </c>
      <c r="U220">
        <v>33370.980000000003</v>
      </c>
      <c r="V220">
        <v>0.14899999999999999</v>
      </c>
      <c r="W220" t="s">
        <v>412</v>
      </c>
      <c r="X220">
        <v>36.299999999999997</v>
      </c>
    </row>
    <row r="221" spans="1:24" x14ac:dyDescent="0.45">
      <c r="A221">
        <v>68</v>
      </c>
      <c r="B221">
        <v>68</v>
      </c>
      <c r="C221" t="s">
        <v>473</v>
      </c>
      <c r="D221" t="s">
        <v>414</v>
      </c>
      <c r="F221">
        <v>2.36</v>
      </c>
      <c r="G221">
        <v>353.61</v>
      </c>
      <c r="H221">
        <v>50182.722999999998</v>
      </c>
      <c r="I221">
        <v>7.0000000000000007E-2</v>
      </c>
      <c r="J221" t="s">
        <v>478</v>
      </c>
      <c r="N221">
        <v>68</v>
      </c>
      <c r="O221">
        <v>68</v>
      </c>
      <c r="P221" t="s">
        <v>578</v>
      </c>
      <c r="Q221" t="s">
        <v>414</v>
      </c>
      <c r="S221">
        <v>2.34</v>
      </c>
      <c r="T221">
        <v>602.25300000000004</v>
      </c>
      <c r="U221">
        <v>39011.684000000001</v>
      </c>
      <c r="V221">
        <v>0.154</v>
      </c>
      <c r="W221" t="s">
        <v>401</v>
      </c>
      <c r="X221">
        <v>37.700000000000003</v>
      </c>
    </row>
    <row r="222" spans="1:24" x14ac:dyDescent="0.45">
      <c r="A222">
        <v>69</v>
      </c>
      <c r="B222">
        <v>69</v>
      </c>
      <c r="C222" t="s">
        <v>474</v>
      </c>
      <c r="D222" t="s">
        <v>414</v>
      </c>
      <c r="F222">
        <v>2.39</v>
      </c>
      <c r="G222">
        <v>493.11700000000002</v>
      </c>
      <c r="H222">
        <v>68892.789000000004</v>
      </c>
      <c r="I222">
        <v>7.1999999999999995E-2</v>
      </c>
      <c r="J222" t="s">
        <v>479</v>
      </c>
      <c r="N222">
        <v>69</v>
      </c>
      <c r="O222">
        <v>69</v>
      </c>
      <c r="P222" t="s">
        <v>579</v>
      </c>
      <c r="Q222" t="s">
        <v>414</v>
      </c>
      <c r="S222">
        <v>2.34</v>
      </c>
      <c r="T222">
        <v>441.13</v>
      </c>
      <c r="U222">
        <v>35675.266000000003</v>
      </c>
      <c r="V222">
        <v>0.124</v>
      </c>
      <c r="W222" t="s">
        <v>403</v>
      </c>
      <c r="X222">
        <v>29.6</v>
      </c>
    </row>
    <row r="224" spans="1:24" x14ac:dyDescent="0.45">
      <c r="A224" t="s">
        <v>481</v>
      </c>
      <c r="N224" t="s">
        <v>481</v>
      </c>
    </row>
    <row r="226" spans="1:25" x14ac:dyDescent="0.45">
      <c r="B226" t="s">
        <v>389</v>
      </c>
      <c r="C226" t="s">
        <v>123</v>
      </c>
      <c r="D226" t="s">
        <v>390</v>
      </c>
      <c r="E226" t="s">
        <v>391</v>
      </c>
      <c r="F226" t="s">
        <v>392</v>
      </c>
      <c r="G226" t="s">
        <v>393</v>
      </c>
      <c r="H226" t="s">
        <v>394</v>
      </c>
      <c r="I226" t="s">
        <v>395</v>
      </c>
      <c r="J226" t="s">
        <v>396</v>
      </c>
      <c r="K226" t="s">
        <v>397</v>
      </c>
      <c r="L226" t="s">
        <v>398</v>
      </c>
      <c r="O226" t="s">
        <v>389</v>
      </c>
      <c r="P226" t="s">
        <v>123</v>
      </c>
      <c r="Q226" t="s">
        <v>390</v>
      </c>
      <c r="R226" t="s">
        <v>391</v>
      </c>
      <c r="S226" t="s">
        <v>392</v>
      </c>
      <c r="T226" t="s">
        <v>393</v>
      </c>
      <c r="U226" t="s">
        <v>394</v>
      </c>
      <c r="V226" t="s">
        <v>395</v>
      </c>
      <c r="W226" t="s">
        <v>396</v>
      </c>
      <c r="X226" t="s">
        <v>397</v>
      </c>
      <c r="Y226" t="s">
        <v>398</v>
      </c>
    </row>
    <row r="227" spans="1:25" x14ac:dyDescent="0.45">
      <c r="A227">
        <v>1</v>
      </c>
      <c r="B227">
        <v>1</v>
      </c>
      <c r="C227" t="s">
        <v>399</v>
      </c>
      <c r="D227" t="s">
        <v>400</v>
      </c>
      <c r="E227">
        <v>0.05</v>
      </c>
      <c r="F227">
        <v>1.83</v>
      </c>
      <c r="G227">
        <v>519.43700000000001</v>
      </c>
      <c r="H227">
        <v>89740.976999999999</v>
      </c>
      <c r="I227">
        <v>5.8000000000000003E-2</v>
      </c>
      <c r="J227" t="s">
        <v>401</v>
      </c>
      <c r="K227">
        <v>0</v>
      </c>
      <c r="L227">
        <v>-27.4</v>
      </c>
      <c r="N227">
        <v>1</v>
      </c>
      <c r="O227">
        <v>1</v>
      </c>
      <c r="P227" t="s">
        <v>511</v>
      </c>
      <c r="Q227" t="s">
        <v>400</v>
      </c>
      <c r="R227">
        <v>0.05</v>
      </c>
      <c r="S227">
        <v>1.81</v>
      </c>
      <c r="T227">
        <v>989.58600000000001</v>
      </c>
      <c r="U227">
        <v>151662.141</v>
      </c>
      <c r="V227">
        <v>6.5000000000000002E-2</v>
      </c>
      <c r="W227" t="s">
        <v>415</v>
      </c>
      <c r="X227">
        <v>0</v>
      </c>
      <c r="Y227">
        <v>-22.9</v>
      </c>
    </row>
    <row r="228" spans="1:25" x14ac:dyDescent="0.45">
      <c r="A228">
        <v>2</v>
      </c>
      <c r="B228">
        <v>2</v>
      </c>
      <c r="C228" t="s">
        <v>402</v>
      </c>
      <c r="D228" t="s">
        <v>400</v>
      </c>
      <c r="E228">
        <v>0.5</v>
      </c>
      <c r="F228">
        <v>1.83</v>
      </c>
      <c r="G228">
        <v>5226.2139999999999</v>
      </c>
      <c r="H228">
        <v>97054.835999999996</v>
      </c>
      <c r="I228">
        <v>0.53800000000000003</v>
      </c>
      <c r="J228" t="s">
        <v>401</v>
      </c>
      <c r="K228">
        <v>0.4</v>
      </c>
      <c r="L228">
        <v>-11.9</v>
      </c>
      <c r="N228">
        <v>2</v>
      </c>
      <c r="O228">
        <v>2</v>
      </c>
      <c r="P228" t="s">
        <v>512</v>
      </c>
      <c r="Q228" t="s">
        <v>400</v>
      </c>
      <c r="R228">
        <v>0.5</v>
      </c>
      <c r="S228">
        <v>1.82</v>
      </c>
      <c r="T228">
        <v>9382.8989999999994</v>
      </c>
      <c r="U228">
        <v>133515.5</v>
      </c>
      <c r="V228">
        <v>0.70299999999999996</v>
      </c>
      <c r="W228" t="s">
        <v>403</v>
      </c>
      <c r="X228">
        <v>0.4</v>
      </c>
      <c r="Y228">
        <v>-13.7</v>
      </c>
    </row>
    <row r="229" spans="1:25" x14ac:dyDescent="0.45">
      <c r="A229">
        <v>3</v>
      </c>
      <c r="B229">
        <v>3</v>
      </c>
      <c r="C229" t="s">
        <v>404</v>
      </c>
      <c r="D229" t="s">
        <v>400</v>
      </c>
      <c r="E229">
        <v>1.25</v>
      </c>
      <c r="F229">
        <v>1.84</v>
      </c>
      <c r="G229">
        <v>14698.466</v>
      </c>
      <c r="H229">
        <v>97600.343999999997</v>
      </c>
      <c r="I229">
        <v>1.506</v>
      </c>
      <c r="J229" t="s">
        <v>401</v>
      </c>
      <c r="K229">
        <v>1.3</v>
      </c>
      <c r="L229">
        <v>0.4</v>
      </c>
      <c r="N229">
        <v>3</v>
      </c>
      <c r="O229">
        <v>3</v>
      </c>
      <c r="P229" t="s">
        <v>513</v>
      </c>
      <c r="Q229" t="s">
        <v>400</v>
      </c>
      <c r="R229">
        <v>1.25</v>
      </c>
      <c r="S229">
        <v>1.82</v>
      </c>
      <c r="T229">
        <v>23443.565999999999</v>
      </c>
      <c r="U229">
        <v>125573.781</v>
      </c>
      <c r="V229">
        <v>1.867</v>
      </c>
      <c r="W229" t="s">
        <v>401</v>
      </c>
      <c r="X229">
        <v>1.1000000000000001</v>
      </c>
      <c r="Y229">
        <v>-8.1</v>
      </c>
    </row>
    <row r="230" spans="1:25" x14ac:dyDescent="0.45">
      <c r="A230">
        <v>4</v>
      </c>
      <c r="B230">
        <v>4</v>
      </c>
      <c r="C230" t="s">
        <v>405</v>
      </c>
      <c r="D230" t="s">
        <v>400</v>
      </c>
      <c r="E230">
        <v>2.5</v>
      </c>
      <c r="F230">
        <v>1.84</v>
      </c>
      <c r="G230">
        <v>32430.998</v>
      </c>
      <c r="H230">
        <v>106558.664</v>
      </c>
      <c r="I230">
        <v>3.0430000000000001</v>
      </c>
      <c r="J230" t="s">
        <v>401</v>
      </c>
      <c r="K230">
        <v>2.5</v>
      </c>
      <c r="L230">
        <v>1.9</v>
      </c>
      <c r="N230">
        <v>4</v>
      </c>
      <c r="O230">
        <v>4</v>
      </c>
      <c r="P230" t="s">
        <v>514</v>
      </c>
      <c r="Q230" t="s">
        <v>400</v>
      </c>
      <c r="R230">
        <v>2.5</v>
      </c>
      <c r="S230">
        <v>1.83</v>
      </c>
      <c r="T230">
        <v>49410.34</v>
      </c>
      <c r="U230">
        <v>107842.852</v>
      </c>
      <c r="V230">
        <v>4.5819999999999999</v>
      </c>
      <c r="W230" t="s">
        <v>403</v>
      </c>
      <c r="X230">
        <v>2.8</v>
      </c>
      <c r="Y230">
        <v>12.8</v>
      </c>
    </row>
    <row r="231" spans="1:25" x14ac:dyDescent="0.45">
      <c r="A231">
        <v>5</v>
      </c>
      <c r="B231">
        <v>5</v>
      </c>
      <c r="C231" t="s">
        <v>406</v>
      </c>
      <c r="D231" t="s">
        <v>400</v>
      </c>
      <c r="E231">
        <v>3.5</v>
      </c>
      <c r="F231">
        <v>1.84</v>
      </c>
      <c r="G231">
        <v>49360.413999999997</v>
      </c>
      <c r="H231">
        <v>119451.109</v>
      </c>
      <c r="I231">
        <v>4.1319999999999997</v>
      </c>
      <c r="J231" t="s">
        <v>401</v>
      </c>
      <c r="K231">
        <v>3.5</v>
      </c>
      <c r="L231">
        <v>-1</v>
      </c>
      <c r="N231">
        <v>5</v>
      </c>
      <c r="O231">
        <v>5</v>
      </c>
      <c r="P231" t="s">
        <v>515</v>
      </c>
      <c r="Q231" t="s">
        <v>400</v>
      </c>
      <c r="R231">
        <v>3.5</v>
      </c>
      <c r="S231">
        <v>1.83</v>
      </c>
      <c r="T231">
        <v>68553.422000000006</v>
      </c>
      <c r="U231">
        <v>123482.891</v>
      </c>
      <c r="V231">
        <v>5.5519999999999996</v>
      </c>
      <c r="W231" t="s">
        <v>401</v>
      </c>
      <c r="X231">
        <v>3.4</v>
      </c>
      <c r="Y231">
        <v>-2.2999999999999998</v>
      </c>
    </row>
    <row r="232" spans="1:25" x14ac:dyDescent="0.45">
      <c r="A232">
        <v>6</v>
      </c>
      <c r="B232">
        <v>6</v>
      </c>
      <c r="C232" t="s">
        <v>407</v>
      </c>
      <c r="D232" t="s">
        <v>400</v>
      </c>
      <c r="E232">
        <v>5</v>
      </c>
      <c r="F232">
        <v>1.85</v>
      </c>
      <c r="G232">
        <v>76715.758000000002</v>
      </c>
      <c r="H232">
        <v>124350.31299999999</v>
      </c>
      <c r="I232">
        <v>6.1689999999999996</v>
      </c>
      <c r="J232" t="s">
        <v>401</v>
      </c>
      <c r="K232">
        <v>5.2</v>
      </c>
      <c r="L232">
        <v>3.6</v>
      </c>
      <c r="N232">
        <v>6</v>
      </c>
      <c r="O232">
        <v>6</v>
      </c>
      <c r="P232" t="s">
        <v>516</v>
      </c>
      <c r="Q232" t="s">
        <v>400</v>
      </c>
      <c r="R232">
        <v>5</v>
      </c>
      <c r="S232">
        <v>1.84</v>
      </c>
      <c r="T232">
        <v>101092.336</v>
      </c>
      <c r="U232">
        <v>125161.523</v>
      </c>
      <c r="V232">
        <v>8.077</v>
      </c>
      <c r="W232" t="s">
        <v>401</v>
      </c>
      <c r="X232">
        <v>5</v>
      </c>
      <c r="Y232">
        <v>-0.5</v>
      </c>
    </row>
    <row r="233" spans="1:25" x14ac:dyDescent="0.45">
      <c r="A233">
        <v>7</v>
      </c>
      <c r="B233">
        <v>7</v>
      </c>
      <c r="C233" t="s">
        <v>408</v>
      </c>
      <c r="D233" t="s">
        <v>400</v>
      </c>
      <c r="E233">
        <v>7</v>
      </c>
      <c r="F233">
        <v>1.85</v>
      </c>
      <c r="G233">
        <v>113027.211</v>
      </c>
      <c r="H233">
        <v>138067.32800000001</v>
      </c>
      <c r="I233">
        <v>8.1859999999999999</v>
      </c>
      <c r="J233" t="s">
        <v>401</v>
      </c>
      <c r="K233">
        <v>6.9</v>
      </c>
      <c r="L233">
        <v>-1.8</v>
      </c>
      <c r="N233">
        <v>7</v>
      </c>
      <c r="O233">
        <v>7</v>
      </c>
      <c r="P233" t="s">
        <v>517</v>
      </c>
      <c r="Q233" t="s">
        <v>400</v>
      </c>
      <c r="R233">
        <v>7</v>
      </c>
      <c r="S233">
        <v>1.84</v>
      </c>
      <c r="T233">
        <v>141441.75</v>
      </c>
      <c r="U233">
        <v>125042.19500000001</v>
      </c>
      <c r="V233">
        <v>11.311999999999999</v>
      </c>
      <c r="W233" t="s">
        <v>401</v>
      </c>
      <c r="X233">
        <v>7</v>
      </c>
      <c r="Y233">
        <v>-0.5</v>
      </c>
    </row>
    <row r="234" spans="1:25" x14ac:dyDescent="0.45">
      <c r="A234">
        <v>8</v>
      </c>
      <c r="B234">
        <v>8</v>
      </c>
      <c r="C234" t="s">
        <v>409</v>
      </c>
      <c r="D234" t="s">
        <v>410</v>
      </c>
      <c r="F234">
        <v>2.37</v>
      </c>
      <c r="G234">
        <v>26.324999999999999</v>
      </c>
      <c r="H234">
        <v>1652.0650000000001</v>
      </c>
      <c r="I234">
        <v>0.159</v>
      </c>
      <c r="J234" t="s">
        <v>401</v>
      </c>
      <c r="K234">
        <v>0.1</v>
      </c>
      <c r="N234">
        <v>8</v>
      </c>
      <c r="O234">
        <v>8</v>
      </c>
      <c r="P234" t="s">
        <v>518</v>
      </c>
      <c r="Q234" t="s">
        <v>410</v>
      </c>
      <c r="S234">
        <v>2.46</v>
      </c>
      <c r="T234">
        <v>33.325000000000003</v>
      </c>
      <c r="U234">
        <v>1479.43</v>
      </c>
      <c r="V234">
        <v>0.22500000000000001</v>
      </c>
      <c r="W234" t="s">
        <v>401</v>
      </c>
      <c r="X234">
        <v>0.1</v>
      </c>
    </row>
    <row r="235" spans="1:25" x14ac:dyDescent="0.45">
      <c r="A235">
        <v>9</v>
      </c>
      <c r="B235">
        <v>9</v>
      </c>
      <c r="C235" t="s">
        <v>411</v>
      </c>
      <c r="D235" t="s">
        <v>410</v>
      </c>
      <c r="F235">
        <v>2.5099999999999998</v>
      </c>
      <c r="G235">
        <v>47.091999999999999</v>
      </c>
      <c r="H235">
        <v>1311.23</v>
      </c>
      <c r="I235">
        <v>0.35899999999999999</v>
      </c>
      <c r="J235" t="s">
        <v>401</v>
      </c>
      <c r="K235">
        <v>0.3</v>
      </c>
      <c r="N235">
        <v>9</v>
      </c>
      <c r="O235">
        <v>9</v>
      </c>
      <c r="P235" t="s">
        <v>519</v>
      </c>
      <c r="Q235" t="s">
        <v>410</v>
      </c>
      <c r="S235">
        <v>2.71</v>
      </c>
      <c r="T235">
        <v>28.798999999999999</v>
      </c>
      <c r="U235">
        <v>1617.126</v>
      </c>
      <c r="V235">
        <v>0.17799999999999999</v>
      </c>
      <c r="W235" t="s">
        <v>403</v>
      </c>
      <c r="X235">
        <v>0.1</v>
      </c>
    </row>
    <row r="236" spans="1:25" x14ac:dyDescent="0.45">
      <c r="A236">
        <v>10</v>
      </c>
      <c r="B236">
        <v>10</v>
      </c>
      <c r="C236" t="s">
        <v>413</v>
      </c>
      <c r="D236" t="s">
        <v>414</v>
      </c>
      <c r="F236">
        <v>2.34</v>
      </c>
      <c r="G236">
        <v>49.375</v>
      </c>
      <c r="J236" t="s">
        <v>415</v>
      </c>
      <c r="N236">
        <v>10</v>
      </c>
      <c r="O236">
        <v>10</v>
      </c>
      <c r="P236" t="s">
        <v>520</v>
      </c>
      <c r="Q236" t="s">
        <v>414</v>
      </c>
      <c r="S236">
        <v>2.37</v>
      </c>
      <c r="T236">
        <v>218.72900000000001</v>
      </c>
      <c r="U236">
        <v>114391.117</v>
      </c>
      <c r="V236">
        <v>1.9E-2</v>
      </c>
      <c r="W236" t="s">
        <v>403</v>
      </c>
      <c r="X236">
        <v>0</v>
      </c>
    </row>
    <row r="237" spans="1:25" x14ac:dyDescent="0.45">
      <c r="A237">
        <v>11</v>
      </c>
      <c r="B237">
        <v>11</v>
      </c>
      <c r="C237" t="s">
        <v>416</v>
      </c>
      <c r="D237" t="s">
        <v>414</v>
      </c>
      <c r="F237">
        <v>2.38</v>
      </c>
      <c r="G237">
        <v>235.559</v>
      </c>
      <c r="H237">
        <v>84309.358999999997</v>
      </c>
      <c r="I237">
        <v>2.8000000000000001E-2</v>
      </c>
      <c r="J237" t="s">
        <v>415</v>
      </c>
      <c r="K237">
        <v>0</v>
      </c>
      <c r="N237">
        <v>11</v>
      </c>
      <c r="O237">
        <v>11</v>
      </c>
      <c r="P237" t="s">
        <v>521</v>
      </c>
      <c r="Q237" t="s">
        <v>414</v>
      </c>
      <c r="S237">
        <v>2.52</v>
      </c>
      <c r="T237">
        <v>45.274000000000001</v>
      </c>
      <c r="U237">
        <v>51954.921999999999</v>
      </c>
      <c r="V237">
        <v>8.9999999999999993E-3</v>
      </c>
      <c r="W237" t="s">
        <v>403</v>
      </c>
      <c r="X237">
        <v>0</v>
      </c>
    </row>
    <row r="238" spans="1:25" x14ac:dyDescent="0.45">
      <c r="A238">
        <v>12</v>
      </c>
      <c r="B238">
        <v>12</v>
      </c>
      <c r="C238" t="s">
        <v>417</v>
      </c>
      <c r="D238" t="s">
        <v>414</v>
      </c>
      <c r="F238">
        <v>2.4</v>
      </c>
      <c r="G238">
        <v>27.03</v>
      </c>
      <c r="H238">
        <v>66132.679999999993</v>
      </c>
      <c r="I238">
        <v>4.0000000000000001E-3</v>
      </c>
      <c r="J238" t="s">
        <v>477</v>
      </c>
      <c r="N238">
        <v>12</v>
      </c>
      <c r="O238">
        <v>12</v>
      </c>
      <c r="P238" t="s">
        <v>522</v>
      </c>
      <c r="Q238" t="s">
        <v>414</v>
      </c>
      <c r="S238">
        <v>2.36</v>
      </c>
      <c r="T238">
        <v>72.718999999999994</v>
      </c>
      <c r="U238">
        <v>41871.016000000003</v>
      </c>
      <c r="V238">
        <v>1.7000000000000001E-2</v>
      </c>
      <c r="W238" t="s">
        <v>401</v>
      </c>
      <c r="X238">
        <v>0</v>
      </c>
    </row>
    <row r="239" spans="1:25" x14ac:dyDescent="0.45">
      <c r="A239">
        <v>13</v>
      </c>
      <c r="B239">
        <v>13</v>
      </c>
      <c r="C239" t="s">
        <v>418</v>
      </c>
      <c r="D239" t="s">
        <v>414</v>
      </c>
      <c r="F239">
        <v>2.66</v>
      </c>
      <c r="G239">
        <v>46.905000000000001</v>
      </c>
      <c r="H239">
        <v>52468.667999999998</v>
      </c>
      <c r="I239">
        <v>8.9999999999999993E-3</v>
      </c>
      <c r="J239" t="s">
        <v>479</v>
      </c>
      <c r="N239">
        <v>13</v>
      </c>
      <c r="O239">
        <v>13</v>
      </c>
      <c r="P239" t="s">
        <v>523</v>
      </c>
      <c r="Q239" t="s">
        <v>414</v>
      </c>
      <c r="S239">
        <v>2.36</v>
      </c>
      <c r="T239">
        <v>314.50900000000001</v>
      </c>
      <c r="U239">
        <v>54000.101999999999</v>
      </c>
      <c r="V239">
        <v>5.8000000000000003E-2</v>
      </c>
      <c r="W239" t="s">
        <v>412</v>
      </c>
      <c r="X239">
        <v>0</v>
      </c>
    </row>
    <row r="240" spans="1:25" x14ac:dyDescent="0.45">
      <c r="A240">
        <v>14</v>
      </c>
      <c r="B240">
        <v>14</v>
      </c>
      <c r="C240" t="s">
        <v>419</v>
      </c>
      <c r="D240" t="s">
        <v>414</v>
      </c>
      <c r="F240">
        <v>2.38</v>
      </c>
      <c r="G240">
        <v>165.864</v>
      </c>
      <c r="H240">
        <v>74077.156000000003</v>
      </c>
      <c r="I240">
        <v>2.1999999999999999E-2</v>
      </c>
      <c r="J240" t="s">
        <v>415</v>
      </c>
      <c r="K240">
        <v>0</v>
      </c>
      <c r="N240">
        <v>14</v>
      </c>
      <c r="O240">
        <v>14</v>
      </c>
      <c r="P240" t="s">
        <v>524</v>
      </c>
      <c r="Q240" t="s">
        <v>414</v>
      </c>
      <c r="S240">
        <v>2.34</v>
      </c>
      <c r="T240">
        <v>110.396</v>
      </c>
      <c r="U240">
        <v>38490.843999999997</v>
      </c>
      <c r="V240">
        <v>2.9000000000000001E-2</v>
      </c>
      <c r="W240" t="s">
        <v>412</v>
      </c>
      <c r="X240">
        <v>0</v>
      </c>
    </row>
    <row r="241" spans="1:24" x14ac:dyDescent="0.45">
      <c r="A241">
        <v>15</v>
      </c>
      <c r="B241">
        <v>15</v>
      </c>
      <c r="C241" t="s">
        <v>420</v>
      </c>
      <c r="D241" t="s">
        <v>414</v>
      </c>
      <c r="F241">
        <v>2.38</v>
      </c>
      <c r="G241">
        <v>69.352999999999994</v>
      </c>
      <c r="H241">
        <v>91490.358999999997</v>
      </c>
      <c r="I241">
        <v>8.0000000000000002E-3</v>
      </c>
      <c r="J241" t="s">
        <v>476</v>
      </c>
      <c r="N241">
        <v>15</v>
      </c>
      <c r="O241">
        <v>15</v>
      </c>
      <c r="P241" t="s">
        <v>525</v>
      </c>
      <c r="Q241" t="s">
        <v>414</v>
      </c>
      <c r="S241">
        <v>2.36</v>
      </c>
      <c r="T241">
        <v>165.119</v>
      </c>
      <c r="U241">
        <v>37209.313000000002</v>
      </c>
      <c r="V241">
        <v>4.3999999999999997E-2</v>
      </c>
      <c r="W241" t="s">
        <v>415</v>
      </c>
      <c r="X241">
        <v>0</v>
      </c>
    </row>
    <row r="242" spans="1:24" x14ac:dyDescent="0.45">
      <c r="A242">
        <v>16</v>
      </c>
      <c r="B242">
        <v>16</v>
      </c>
      <c r="C242" t="s">
        <v>421</v>
      </c>
      <c r="D242" t="s">
        <v>414</v>
      </c>
      <c r="F242">
        <v>2.78</v>
      </c>
      <c r="G242">
        <v>77.424000000000007</v>
      </c>
      <c r="H242">
        <v>82730.25</v>
      </c>
      <c r="I242">
        <v>8.9999999999999993E-3</v>
      </c>
      <c r="J242" t="s">
        <v>477</v>
      </c>
      <c r="N242">
        <v>16</v>
      </c>
      <c r="O242">
        <v>16</v>
      </c>
      <c r="P242" t="s">
        <v>526</v>
      </c>
      <c r="Q242" t="s">
        <v>414</v>
      </c>
      <c r="S242">
        <v>2.36</v>
      </c>
      <c r="T242">
        <v>99.245999999999995</v>
      </c>
      <c r="U242">
        <v>56212.527000000002</v>
      </c>
      <c r="V242">
        <v>1.7999999999999999E-2</v>
      </c>
      <c r="W242" t="s">
        <v>401</v>
      </c>
      <c r="X242">
        <v>0</v>
      </c>
    </row>
    <row r="243" spans="1:24" x14ac:dyDescent="0.45">
      <c r="A243">
        <v>17</v>
      </c>
      <c r="B243">
        <v>17</v>
      </c>
      <c r="C243" t="s">
        <v>422</v>
      </c>
      <c r="D243" t="s">
        <v>414</v>
      </c>
      <c r="F243">
        <v>2.38</v>
      </c>
      <c r="G243">
        <v>71.465999999999994</v>
      </c>
      <c r="H243">
        <v>75166.812999999995</v>
      </c>
      <c r="I243">
        <v>0.01</v>
      </c>
      <c r="J243" t="s">
        <v>478</v>
      </c>
      <c r="N243">
        <v>17</v>
      </c>
      <c r="O243">
        <v>17</v>
      </c>
      <c r="P243" t="s">
        <v>527</v>
      </c>
      <c r="Q243" t="s">
        <v>414</v>
      </c>
      <c r="S243">
        <v>2.36</v>
      </c>
      <c r="T243">
        <v>59.158000000000001</v>
      </c>
      <c r="U243">
        <v>33520.605000000003</v>
      </c>
      <c r="V243">
        <v>1.7999999999999999E-2</v>
      </c>
      <c r="W243" t="s">
        <v>415</v>
      </c>
      <c r="X243">
        <v>0</v>
      </c>
    </row>
    <row r="244" spans="1:24" x14ac:dyDescent="0.45">
      <c r="A244">
        <v>18</v>
      </c>
      <c r="B244">
        <v>18</v>
      </c>
      <c r="C244" t="s">
        <v>423</v>
      </c>
      <c r="D244" t="s">
        <v>414</v>
      </c>
      <c r="F244">
        <v>2.37</v>
      </c>
      <c r="G244">
        <v>366.69099999999997</v>
      </c>
      <c r="H244">
        <v>91170.82</v>
      </c>
      <c r="I244">
        <v>0.04</v>
      </c>
      <c r="J244" t="s">
        <v>401</v>
      </c>
      <c r="K244">
        <v>0</v>
      </c>
      <c r="N244">
        <v>18</v>
      </c>
      <c r="O244">
        <v>18</v>
      </c>
      <c r="P244" t="s">
        <v>528</v>
      </c>
      <c r="Q244" t="s">
        <v>414</v>
      </c>
      <c r="S244">
        <v>2.36</v>
      </c>
      <c r="T244">
        <v>70.426000000000002</v>
      </c>
      <c r="U244">
        <v>48430.309000000001</v>
      </c>
      <c r="V244">
        <v>1.4999999999999999E-2</v>
      </c>
      <c r="W244" t="s">
        <v>412</v>
      </c>
      <c r="X244">
        <v>0</v>
      </c>
    </row>
    <row r="245" spans="1:24" x14ac:dyDescent="0.45">
      <c r="A245">
        <v>19</v>
      </c>
      <c r="B245">
        <v>19</v>
      </c>
      <c r="C245" t="s">
        <v>424</v>
      </c>
      <c r="D245" t="s">
        <v>414</v>
      </c>
      <c r="F245">
        <v>2.37</v>
      </c>
      <c r="G245">
        <v>344.35300000000001</v>
      </c>
      <c r="H245">
        <v>104416.516</v>
      </c>
      <c r="I245">
        <v>3.3000000000000002E-2</v>
      </c>
      <c r="J245" t="s">
        <v>415</v>
      </c>
      <c r="K245">
        <v>0</v>
      </c>
      <c r="N245">
        <v>19</v>
      </c>
      <c r="O245">
        <v>19</v>
      </c>
      <c r="P245" t="s">
        <v>529</v>
      </c>
      <c r="Q245" t="s">
        <v>414</v>
      </c>
      <c r="S245">
        <v>2.38</v>
      </c>
      <c r="T245">
        <v>206.839</v>
      </c>
      <c r="U245">
        <v>93421.702999999994</v>
      </c>
      <c r="V245">
        <v>2.1999999999999999E-2</v>
      </c>
      <c r="W245" t="s">
        <v>401</v>
      </c>
      <c r="X245">
        <v>0</v>
      </c>
    </row>
    <row r="246" spans="1:24" x14ac:dyDescent="0.45">
      <c r="A246">
        <v>20</v>
      </c>
      <c r="B246">
        <v>20</v>
      </c>
      <c r="C246" t="s">
        <v>425</v>
      </c>
      <c r="D246" t="s">
        <v>414</v>
      </c>
      <c r="F246">
        <v>2.39</v>
      </c>
      <c r="G246">
        <v>93.076999999999998</v>
      </c>
      <c r="H246">
        <v>55192.343999999997</v>
      </c>
      <c r="I246">
        <v>1.7000000000000001E-2</v>
      </c>
      <c r="J246" t="s">
        <v>403</v>
      </c>
      <c r="K246">
        <v>0</v>
      </c>
      <c r="N246">
        <v>20</v>
      </c>
      <c r="O246">
        <v>20</v>
      </c>
      <c r="P246" t="s">
        <v>530</v>
      </c>
      <c r="Q246" t="s">
        <v>414</v>
      </c>
      <c r="S246">
        <v>2.38</v>
      </c>
      <c r="T246">
        <v>97.697999999999993</v>
      </c>
      <c r="U246">
        <v>33901.855000000003</v>
      </c>
      <c r="V246">
        <v>2.9000000000000001E-2</v>
      </c>
      <c r="W246" t="s">
        <v>403</v>
      </c>
      <c r="X246">
        <v>0</v>
      </c>
    </row>
    <row r="247" spans="1:24" x14ac:dyDescent="0.45">
      <c r="A247">
        <v>21</v>
      </c>
      <c r="B247">
        <v>21</v>
      </c>
      <c r="C247" t="s">
        <v>426</v>
      </c>
      <c r="D247" t="s">
        <v>414</v>
      </c>
      <c r="F247">
        <v>2.38</v>
      </c>
      <c r="G247">
        <v>143.649</v>
      </c>
      <c r="H247">
        <v>83788.687999999995</v>
      </c>
      <c r="I247">
        <v>1.7000000000000001E-2</v>
      </c>
      <c r="J247" t="s">
        <v>412</v>
      </c>
      <c r="K247">
        <v>0</v>
      </c>
      <c r="N247">
        <v>21</v>
      </c>
      <c r="O247">
        <v>21</v>
      </c>
      <c r="P247" t="s">
        <v>531</v>
      </c>
      <c r="Q247" t="s">
        <v>414</v>
      </c>
      <c r="S247">
        <v>2.73</v>
      </c>
      <c r="T247">
        <v>53.804000000000002</v>
      </c>
      <c r="U247">
        <v>41808.836000000003</v>
      </c>
      <c r="V247">
        <v>1.2999999999999999E-2</v>
      </c>
      <c r="W247" t="s">
        <v>412</v>
      </c>
      <c r="X247">
        <v>0</v>
      </c>
    </row>
    <row r="248" spans="1:24" x14ac:dyDescent="0.45">
      <c r="A248">
        <v>22</v>
      </c>
      <c r="B248">
        <v>22</v>
      </c>
      <c r="C248" t="s">
        <v>427</v>
      </c>
      <c r="D248" t="s">
        <v>414</v>
      </c>
      <c r="F248">
        <v>2.38</v>
      </c>
      <c r="G248">
        <v>88.748000000000005</v>
      </c>
      <c r="H248">
        <v>61919.858999999997</v>
      </c>
      <c r="I248">
        <v>1.4E-2</v>
      </c>
      <c r="J248" t="s">
        <v>478</v>
      </c>
      <c r="N248">
        <v>22</v>
      </c>
      <c r="O248">
        <v>22</v>
      </c>
      <c r="P248" t="s">
        <v>532</v>
      </c>
      <c r="Q248" t="s">
        <v>414</v>
      </c>
      <c r="S248">
        <v>2.37</v>
      </c>
      <c r="T248">
        <v>353.036</v>
      </c>
      <c r="U248">
        <v>43682.531000000003</v>
      </c>
      <c r="V248">
        <v>8.1000000000000003E-2</v>
      </c>
      <c r="W248" t="s">
        <v>403</v>
      </c>
      <c r="X248">
        <v>0</v>
      </c>
    </row>
    <row r="249" spans="1:24" x14ac:dyDescent="0.45">
      <c r="A249">
        <v>23</v>
      </c>
      <c r="B249">
        <v>23</v>
      </c>
      <c r="C249" t="s">
        <v>428</v>
      </c>
      <c r="D249" t="s">
        <v>414</v>
      </c>
      <c r="F249">
        <v>2.38</v>
      </c>
      <c r="G249">
        <v>154.56399999999999</v>
      </c>
      <c r="H249">
        <v>63825.245999999999</v>
      </c>
      <c r="I249">
        <v>2.4E-2</v>
      </c>
      <c r="J249" t="s">
        <v>403</v>
      </c>
      <c r="K249">
        <v>0</v>
      </c>
      <c r="N249">
        <v>23</v>
      </c>
      <c r="O249">
        <v>23</v>
      </c>
      <c r="P249" t="s">
        <v>533</v>
      </c>
      <c r="Q249" t="s">
        <v>414</v>
      </c>
      <c r="S249">
        <v>2.37</v>
      </c>
      <c r="T249">
        <v>312.97000000000003</v>
      </c>
      <c r="U249">
        <v>71635.726999999999</v>
      </c>
      <c r="V249">
        <v>4.3999999999999997E-2</v>
      </c>
      <c r="W249" t="s">
        <v>415</v>
      </c>
      <c r="X249">
        <v>0</v>
      </c>
    </row>
    <row r="250" spans="1:24" x14ac:dyDescent="0.45">
      <c r="A250">
        <v>24</v>
      </c>
      <c r="B250">
        <v>24</v>
      </c>
      <c r="C250" t="s">
        <v>429</v>
      </c>
      <c r="D250" t="s">
        <v>414</v>
      </c>
      <c r="F250">
        <v>2.39</v>
      </c>
      <c r="G250">
        <v>125.42100000000001</v>
      </c>
      <c r="H250">
        <v>67217.312999999995</v>
      </c>
      <c r="I250">
        <v>1.9E-2</v>
      </c>
      <c r="J250" t="s">
        <v>415</v>
      </c>
      <c r="K250">
        <v>0</v>
      </c>
      <c r="N250">
        <v>24</v>
      </c>
      <c r="O250">
        <v>24</v>
      </c>
      <c r="P250" t="s">
        <v>534</v>
      </c>
      <c r="Q250" t="s">
        <v>414</v>
      </c>
      <c r="S250">
        <v>2.37</v>
      </c>
      <c r="T250">
        <v>134.58099999999999</v>
      </c>
      <c r="U250">
        <v>54890.055</v>
      </c>
      <c r="V250">
        <v>2.5000000000000001E-2</v>
      </c>
      <c r="W250" t="s">
        <v>412</v>
      </c>
      <c r="X250">
        <v>0</v>
      </c>
    </row>
    <row r="251" spans="1:24" x14ac:dyDescent="0.45">
      <c r="A251">
        <v>25</v>
      </c>
      <c r="B251">
        <v>25</v>
      </c>
      <c r="C251" t="s">
        <v>430</v>
      </c>
      <c r="D251" t="s">
        <v>414</v>
      </c>
      <c r="F251">
        <v>2.5499999999999998</v>
      </c>
      <c r="G251">
        <v>54.295000000000002</v>
      </c>
      <c r="H251">
        <v>73208.968999999997</v>
      </c>
      <c r="I251">
        <v>7.0000000000000001E-3</v>
      </c>
      <c r="J251" t="s">
        <v>479</v>
      </c>
      <c r="N251">
        <v>25</v>
      </c>
      <c r="O251">
        <v>25</v>
      </c>
      <c r="P251" t="s">
        <v>535</v>
      </c>
      <c r="Q251" t="s">
        <v>414</v>
      </c>
      <c r="S251">
        <v>2.37</v>
      </c>
      <c r="T251">
        <v>467.73399999999998</v>
      </c>
      <c r="U251">
        <v>92329.875</v>
      </c>
      <c r="V251">
        <v>5.0999999999999997E-2</v>
      </c>
      <c r="W251" t="s">
        <v>415</v>
      </c>
      <c r="X251">
        <v>0</v>
      </c>
    </row>
    <row r="252" spans="1:24" x14ac:dyDescent="0.45">
      <c r="A252">
        <v>26</v>
      </c>
      <c r="B252">
        <v>26</v>
      </c>
      <c r="C252" t="s">
        <v>431</v>
      </c>
      <c r="D252" t="s">
        <v>414</v>
      </c>
      <c r="F252">
        <v>2.38</v>
      </c>
      <c r="G252">
        <v>122.242</v>
      </c>
      <c r="H252">
        <v>54099.112999999998</v>
      </c>
      <c r="I252">
        <v>2.3E-2</v>
      </c>
      <c r="J252" t="s">
        <v>415</v>
      </c>
      <c r="K252">
        <v>0</v>
      </c>
      <c r="N252">
        <v>26</v>
      </c>
      <c r="O252">
        <v>26</v>
      </c>
      <c r="P252" t="s">
        <v>536</v>
      </c>
      <c r="Q252" t="s">
        <v>414</v>
      </c>
      <c r="S252">
        <v>2.37</v>
      </c>
      <c r="T252">
        <v>179.47</v>
      </c>
      <c r="U252">
        <v>45908.906000000003</v>
      </c>
      <c r="V252">
        <v>3.9E-2</v>
      </c>
      <c r="W252" t="s">
        <v>401</v>
      </c>
      <c r="X252">
        <v>0</v>
      </c>
    </row>
    <row r="253" spans="1:24" x14ac:dyDescent="0.45">
      <c r="A253">
        <v>27</v>
      </c>
      <c r="B253">
        <v>27</v>
      </c>
      <c r="C253" t="s">
        <v>432</v>
      </c>
      <c r="D253" t="s">
        <v>414</v>
      </c>
      <c r="F253">
        <v>2.39</v>
      </c>
      <c r="G253">
        <v>121.53400000000001</v>
      </c>
      <c r="H253">
        <v>55670.851999999999</v>
      </c>
      <c r="I253">
        <v>2.1999999999999999E-2</v>
      </c>
      <c r="J253" t="s">
        <v>403</v>
      </c>
      <c r="K253">
        <v>0</v>
      </c>
      <c r="N253">
        <v>27</v>
      </c>
      <c r="O253">
        <v>27</v>
      </c>
      <c r="P253" t="s">
        <v>537</v>
      </c>
      <c r="Q253" t="s">
        <v>414</v>
      </c>
      <c r="S253">
        <v>2.37</v>
      </c>
      <c r="T253">
        <v>151.88</v>
      </c>
      <c r="U253">
        <v>35462.035000000003</v>
      </c>
      <c r="V253">
        <v>4.2999999999999997E-2</v>
      </c>
      <c r="W253" t="s">
        <v>415</v>
      </c>
      <c r="X253">
        <v>0</v>
      </c>
    </row>
    <row r="254" spans="1:24" x14ac:dyDescent="0.45">
      <c r="A254">
        <v>28</v>
      </c>
      <c r="B254">
        <v>28</v>
      </c>
      <c r="C254" t="s">
        <v>433</v>
      </c>
      <c r="D254" t="s">
        <v>414</v>
      </c>
      <c r="F254">
        <v>2.38</v>
      </c>
      <c r="G254">
        <v>435.964</v>
      </c>
      <c r="H254">
        <v>65772.023000000001</v>
      </c>
      <c r="I254">
        <v>6.6000000000000003E-2</v>
      </c>
      <c r="J254" t="s">
        <v>401</v>
      </c>
      <c r="K254">
        <v>0</v>
      </c>
      <c r="N254">
        <v>28</v>
      </c>
      <c r="O254">
        <v>28</v>
      </c>
      <c r="P254" t="s">
        <v>538</v>
      </c>
      <c r="Q254" t="s">
        <v>414</v>
      </c>
      <c r="S254">
        <v>1.89</v>
      </c>
      <c r="T254">
        <v>54.328000000000003</v>
      </c>
      <c r="U254">
        <v>41089.019999999997</v>
      </c>
      <c r="V254">
        <v>1.2999999999999999E-2</v>
      </c>
      <c r="W254" t="s">
        <v>415</v>
      </c>
      <c r="X254">
        <v>0</v>
      </c>
    </row>
    <row r="255" spans="1:24" x14ac:dyDescent="0.45">
      <c r="A255">
        <v>29</v>
      </c>
      <c r="B255">
        <v>29</v>
      </c>
      <c r="C255" t="s">
        <v>434</v>
      </c>
      <c r="D255" t="s">
        <v>414</v>
      </c>
      <c r="F255">
        <v>2.38</v>
      </c>
      <c r="G255">
        <v>387.28</v>
      </c>
      <c r="H255">
        <v>67222.835999999996</v>
      </c>
      <c r="I255">
        <v>5.8000000000000003E-2</v>
      </c>
      <c r="J255" t="s">
        <v>401</v>
      </c>
      <c r="K255">
        <v>0</v>
      </c>
      <c r="N255">
        <v>29</v>
      </c>
      <c r="O255">
        <v>29</v>
      </c>
      <c r="P255" t="s">
        <v>539</v>
      </c>
      <c r="Q255" t="s">
        <v>414</v>
      </c>
      <c r="S255">
        <v>2.86</v>
      </c>
      <c r="T255">
        <v>57.42</v>
      </c>
      <c r="U255">
        <v>70525.358999999997</v>
      </c>
      <c r="V255">
        <v>8.0000000000000002E-3</v>
      </c>
      <c r="W255" t="s">
        <v>412</v>
      </c>
      <c r="X255">
        <v>0</v>
      </c>
    </row>
    <row r="256" spans="1:24" x14ac:dyDescent="0.45">
      <c r="A256">
        <v>30</v>
      </c>
      <c r="B256">
        <v>30</v>
      </c>
      <c r="C256" t="s">
        <v>435</v>
      </c>
      <c r="D256" t="s">
        <v>414</v>
      </c>
      <c r="F256">
        <v>2.37</v>
      </c>
      <c r="G256">
        <v>62.344000000000001</v>
      </c>
      <c r="H256">
        <v>53743.601999999999</v>
      </c>
      <c r="I256">
        <v>1.2E-2</v>
      </c>
      <c r="J256" t="s">
        <v>479</v>
      </c>
      <c r="N256">
        <v>30</v>
      </c>
      <c r="O256">
        <v>30</v>
      </c>
      <c r="P256" t="s">
        <v>540</v>
      </c>
      <c r="Q256" t="s">
        <v>414</v>
      </c>
      <c r="S256">
        <v>2.41</v>
      </c>
      <c r="T256">
        <v>29.251999999999999</v>
      </c>
      <c r="U256">
        <v>57675.995999999999</v>
      </c>
      <c r="V256">
        <v>5.0000000000000001E-3</v>
      </c>
      <c r="W256" t="s">
        <v>415</v>
      </c>
      <c r="X256">
        <v>0</v>
      </c>
    </row>
    <row r="257" spans="1:24" x14ac:dyDescent="0.45">
      <c r="A257">
        <v>31</v>
      </c>
      <c r="B257">
        <v>31</v>
      </c>
      <c r="C257" t="s">
        <v>436</v>
      </c>
      <c r="D257" t="s">
        <v>414</v>
      </c>
      <c r="F257">
        <v>2.38</v>
      </c>
      <c r="G257">
        <v>56.542000000000002</v>
      </c>
      <c r="H257">
        <v>63825.035000000003</v>
      </c>
      <c r="I257">
        <v>8.9999999999999993E-3</v>
      </c>
      <c r="J257" t="s">
        <v>479</v>
      </c>
      <c r="N257">
        <v>31</v>
      </c>
      <c r="O257">
        <v>31</v>
      </c>
      <c r="P257" t="s">
        <v>541</v>
      </c>
      <c r="Q257" t="s">
        <v>414</v>
      </c>
      <c r="S257">
        <v>2.38</v>
      </c>
      <c r="T257">
        <v>43.174999999999997</v>
      </c>
      <c r="U257">
        <v>53143.934000000001</v>
      </c>
      <c r="V257">
        <v>8.0000000000000002E-3</v>
      </c>
      <c r="W257" t="s">
        <v>415</v>
      </c>
      <c r="X257">
        <v>0</v>
      </c>
    </row>
    <row r="258" spans="1:24" x14ac:dyDescent="0.45">
      <c r="A258">
        <v>32</v>
      </c>
      <c r="B258">
        <v>32</v>
      </c>
      <c r="C258" t="s">
        <v>437</v>
      </c>
      <c r="D258" t="s">
        <v>414</v>
      </c>
      <c r="F258">
        <v>2.38</v>
      </c>
      <c r="G258">
        <v>77.3</v>
      </c>
      <c r="H258">
        <v>49027.273000000001</v>
      </c>
      <c r="I258">
        <v>1.6E-2</v>
      </c>
      <c r="J258" t="s">
        <v>401</v>
      </c>
      <c r="K258">
        <v>0</v>
      </c>
      <c r="N258">
        <v>32</v>
      </c>
      <c r="O258">
        <v>32</v>
      </c>
      <c r="P258" t="s">
        <v>542</v>
      </c>
      <c r="Q258" t="s">
        <v>414</v>
      </c>
      <c r="S258">
        <v>2.41</v>
      </c>
      <c r="T258">
        <v>58.902999999999999</v>
      </c>
      <c r="U258">
        <v>39442.32</v>
      </c>
      <c r="V258">
        <v>1.4999999999999999E-2</v>
      </c>
      <c r="W258" t="s">
        <v>415</v>
      </c>
      <c r="X258">
        <v>0</v>
      </c>
    </row>
    <row r="259" spans="1:24" x14ac:dyDescent="0.45">
      <c r="A259">
        <v>33</v>
      </c>
      <c r="B259">
        <v>33</v>
      </c>
      <c r="C259" t="s">
        <v>438</v>
      </c>
      <c r="D259" t="s">
        <v>414</v>
      </c>
      <c r="F259">
        <v>2.38</v>
      </c>
      <c r="G259">
        <v>112.363</v>
      </c>
      <c r="H259">
        <v>55418.148000000001</v>
      </c>
      <c r="I259">
        <v>0.02</v>
      </c>
      <c r="J259" t="s">
        <v>401</v>
      </c>
      <c r="K259">
        <v>0</v>
      </c>
      <c r="N259">
        <v>33</v>
      </c>
      <c r="O259">
        <v>33</v>
      </c>
      <c r="P259" t="s">
        <v>543</v>
      </c>
      <c r="Q259" t="s">
        <v>414</v>
      </c>
      <c r="S259">
        <v>2.37</v>
      </c>
      <c r="T259">
        <v>67.537999999999997</v>
      </c>
      <c r="U259">
        <v>39358.858999999997</v>
      </c>
      <c r="V259">
        <v>1.7000000000000001E-2</v>
      </c>
      <c r="W259" t="s">
        <v>401</v>
      </c>
      <c r="X259">
        <v>0</v>
      </c>
    </row>
    <row r="260" spans="1:24" x14ac:dyDescent="0.45">
      <c r="A260">
        <v>34</v>
      </c>
      <c r="B260">
        <v>34</v>
      </c>
      <c r="C260" t="s">
        <v>439</v>
      </c>
      <c r="D260" t="s">
        <v>414</v>
      </c>
      <c r="F260">
        <v>2.84</v>
      </c>
      <c r="G260">
        <v>55.988999999999997</v>
      </c>
      <c r="H260">
        <v>43340.773000000001</v>
      </c>
      <c r="I260">
        <v>1.2999999999999999E-2</v>
      </c>
      <c r="J260" t="s">
        <v>478</v>
      </c>
      <c r="N260">
        <v>34</v>
      </c>
      <c r="O260">
        <v>34</v>
      </c>
      <c r="P260" t="s">
        <v>544</v>
      </c>
      <c r="Q260" t="s">
        <v>414</v>
      </c>
      <c r="S260">
        <v>2.37</v>
      </c>
      <c r="T260">
        <v>158.15100000000001</v>
      </c>
      <c r="U260">
        <v>44301.563000000002</v>
      </c>
      <c r="V260">
        <v>3.5999999999999997E-2</v>
      </c>
      <c r="W260" t="s">
        <v>403</v>
      </c>
      <c r="X260">
        <v>0</v>
      </c>
    </row>
    <row r="261" spans="1:24" x14ac:dyDescent="0.45">
      <c r="A261">
        <v>35</v>
      </c>
      <c r="B261">
        <v>35</v>
      </c>
      <c r="C261" t="s">
        <v>440</v>
      </c>
      <c r="D261" t="s">
        <v>414</v>
      </c>
      <c r="F261">
        <v>2.36</v>
      </c>
      <c r="G261">
        <v>44.198</v>
      </c>
      <c r="H261">
        <v>65802.508000000002</v>
      </c>
      <c r="I261">
        <v>7.0000000000000001E-3</v>
      </c>
      <c r="J261" t="s">
        <v>476</v>
      </c>
      <c r="N261">
        <v>35</v>
      </c>
      <c r="O261">
        <v>35</v>
      </c>
      <c r="P261" t="s">
        <v>545</v>
      </c>
      <c r="Q261" t="s">
        <v>414</v>
      </c>
      <c r="S261">
        <v>2.21</v>
      </c>
      <c r="T261">
        <v>43.982999999999997</v>
      </c>
      <c r="W261" t="s">
        <v>415</v>
      </c>
    </row>
    <row r="262" spans="1:24" x14ac:dyDescent="0.45">
      <c r="A262">
        <v>36</v>
      </c>
      <c r="B262">
        <v>36</v>
      </c>
      <c r="C262" t="s">
        <v>441</v>
      </c>
      <c r="D262" t="s">
        <v>414</v>
      </c>
      <c r="F262">
        <v>2.38</v>
      </c>
      <c r="G262">
        <v>100.361</v>
      </c>
      <c r="H262">
        <v>59743.625</v>
      </c>
      <c r="I262">
        <v>1.7000000000000001E-2</v>
      </c>
      <c r="J262" t="s">
        <v>415</v>
      </c>
      <c r="K262">
        <v>0</v>
      </c>
      <c r="N262">
        <v>36</v>
      </c>
      <c r="O262">
        <v>36</v>
      </c>
      <c r="P262" t="s">
        <v>546</v>
      </c>
      <c r="Q262" t="s">
        <v>414</v>
      </c>
      <c r="S262">
        <v>2.37</v>
      </c>
      <c r="T262">
        <v>82.680999999999997</v>
      </c>
      <c r="U262">
        <v>53864.137000000002</v>
      </c>
      <c r="V262">
        <v>1.4999999999999999E-2</v>
      </c>
      <c r="W262" t="s">
        <v>401</v>
      </c>
      <c r="X262">
        <v>0</v>
      </c>
    </row>
    <row r="263" spans="1:24" x14ac:dyDescent="0.45">
      <c r="A263">
        <v>37</v>
      </c>
      <c r="B263">
        <v>37</v>
      </c>
      <c r="C263" t="s">
        <v>442</v>
      </c>
      <c r="D263" t="s">
        <v>414</v>
      </c>
      <c r="F263">
        <v>2.38</v>
      </c>
      <c r="G263">
        <v>85.537000000000006</v>
      </c>
      <c r="H263">
        <v>55387.097999999998</v>
      </c>
      <c r="I263">
        <v>1.4999999999999999E-2</v>
      </c>
      <c r="J263" t="s">
        <v>412</v>
      </c>
      <c r="K263">
        <v>0</v>
      </c>
      <c r="N263">
        <v>37</v>
      </c>
      <c r="O263">
        <v>37</v>
      </c>
      <c r="P263" t="s">
        <v>547</v>
      </c>
      <c r="Q263" t="s">
        <v>414</v>
      </c>
      <c r="S263">
        <v>2.36</v>
      </c>
      <c r="T263">
        <v>51.088999999999999</v>
      </c>
      <c r="U263">
        <v>37767.457000000002</v>
      </c>
      <c r="V263">
        <v>1.4E-2</v>
      </c>
      <c r="W263" t="s">
        <v>412</v>
      </c>
      <c r="X263">
        <v>0</v>
      </c>
    </row>
    <row r="264" spans="1:24" x14ac:dyDescent="0.45">
      <c r="A264">
        <v>38</v>
      </c>
      <c r="B264">
        <v>38</v>
      </c>
      <c r="C264" t="s">
        <v>443</v>
      </c>
      <c r="D264" t="s">
        <v>414</v>
      </c>
      <c r="F264">
        <v>2.38</v>
      </c>
      <c r="G264">
        <v>129.404</v>
      </c>
      <c r="H264">
        <v>41473.434000000001</v>
      </c>
      <c r="I264">
        <v>3.1E-2</v>
      </c>
      <c r="J264" t="s">
        <v>403</v>
      </c>
      <c r="K264">
        <v>0</v>
      </c>
      <c r="N264">
        <v>38</v>
      </c>
      <c r="O264">
        <v>38</v>
      </c>
      <c r="P264" t="s">
        <v>548</v>
      </c>
      <c r="Q264" t="s">
        <v>414</v>
      </c>
      <c r="S264">
        <v>2.36</v>
      </c>
      <c r="T264">
        <v>152.22999999999999</v>
      </c>
      <c r="U264">
        <v>35809.042999999998</v>
      </c>
      <c r="V264">
        <v>4.2999999999999997E-2</v>
      </c>
      <c r="W264" t="s">
        <v>415</v>
      </c>
      <c r="X264">
        <v>0</v>
      </c>
    </row>
    <row r="265" spans="1:24" x14ac:dyDescent="0.45">
      <c r="A265">
        <v>39</v>
      </c>
      <c r="B265">
        <v>39</v>
      </c>
      <c r="C265" t="s">
        <v>444</v>
      </c>
      <c r="D265" t="s">
        <v>414</v>
      </c>
      <c r="F265">
        <v>1.83</v>
      </c>
      <c r="G265">
        <v>29.363</v>
      </c>
      <c r="H265">
        <v>59012.796999999999</v>
      </c>
      <c r="I265">
        <v>5.0000000000000001E-3</v>
      </c>
      <c r="J265" t="s">
        <v>476</v>
      </c>
      <c r="N265">
        <v>39</v>
      </c>
      <c r="O265">
        <v>39</v>
      </c>
      <c r="P265" t="s">
        <v>549</v>
      </c>
      <c r="Q265" t="s">
        <v>414</v>
      </c>
      <c r="S265">
        <v>2.36</v>
      </c>
      <c r="T265">
        <v>82.42</v>
      </c>
      <c r="U265">
        <v>37341.199000000001</v>
      </c>
      <c r="V265">
        <v>2.1999999999999999E-2</v>
      </c>
      <c r="W265" t="s">
        <v>403</v>
      </c>
      <c r="X265">
        <v>0</v>
      </c>
    </row>
    <row r="266" spans="1:24" x14ac:dyDescent="0.45">
      <c r="A266">
        <v>40</v>
      </c>
      <c r="B266">
        <v>40</v>
      </c>
      <c r="C266" t="s">
        <v>445</v>
      </c>
      <c r="D266" t="s">
        <v>414</v>
      </c>
      <c r="F266">
        <v>2.82</v>
      </c>
      <c r="G266">
        <v>81.590999999999994</v>
      </c>
      <c r="H266">
        <v>86755.460999999996</v>
      </c>
      <c r="I266">
        <v>8.9999999999999993E-3</v>
      </c>
      <c r="J266" t="s">
        <v>477</v>
      </c>
      <c r="N266">
        <v>40</v>
      </c>
      <c r="O266">
        <v>40</v>
      </c>
      <c r="P266" t="s">
        <v>550</v>
      </c>
      <c r="Q266" t="s">
        <v>414</v>
      </c>
      <c r="S266">
        <v>2.36</v>
      </c>
      <c r="T266">
        <v>279.40899999999999</v>
      </c>
      <c r="U266">
        <v>39614.887000000002</v>
      </c>
      <c r="V266">
        <v>7.0999999999999994E-2</v>
      </c>
      <c r="W266" t="s">
        <v>403</v>
      </c>
      <c r="X266">
        <v>0</v>
      </c>
    </row>
    <row r="267" spans="1:24" x14ac:dyDescent="0.45">
      <c r="A267">
        <v>41</v>
      </c>
      <c r="B267">
        <v>41</v>
      </c>
      <c r="C267" t="s">
        <v>446</v>
      </c>
      <c r="D267" t="s">
        <v>414</v>
      </c>
      <c r="F267">
        <v>2.89</v>
      </c>
      <c r="G267">
        <v>35.908000000000001</v>
      </c>
      <c r="H267">
        <v>74128.952999999994</v>
      </c>
      <c r="I267">
        <v>5.0000000000000001E-3</v>
      </c>
      <c r="J267" t="s">
        <v>476</v>
      </c>
      <c r="N267">
        <v>41</v>
      </c>
      <c r="O267">
        <v>41</v>
      </c>
      <c r="P267" t="s">
        <v>551</v>
      </c>
      <c r="Q267" t="s">
        <v>414</v>
      </c>
      <c r="S267">
        <v>2.38</v>
      </c>
      <c r="T267">
        <v>312.62700000000001</v>
      </c>
      <c r="U267">
        <v>51640.351999999999</v>
      </c>
      <c r="V267">
        <v>6.0999999999999999E-2</v>
      </c>
      <c r="W267" t="s">
        <v>401</v>
      </c>
      <c r="X267">
        <v>0</v>
      </c>
    </row>
    <row r="268" spans="1:24" x14ac:dyDescent="0.45">
      <c r="A268">
        <v>42</v>
      </c>
      <c r="B268">
        <v>42</v>
      </c>
      <c r="C268" t="s">
        <v>447</v>
      </c>
      <c r="D268" t="s">
        <v>414</v>
      </c>
      <c r="F268">
        <v>2.5099999999999998</v>
      </c>
      <c r="G268">
        <v>40.790999999999997</v>
      </c>
      <c r="H268">
        <v>73521.539000000004</v>
      </c>
      <c r="I268">
        <v>6.0000000000000001E-3</v>
      </c>
      <c r="J268" t="s">
        <v>476</v>
      </c>
      <c r="N268">
        <v>42</v>
      </c>
      <c r="O268">
        <v>42</v>
      </c>
      <c r="P268" t="s">
        <v>552</v>
      </c>
      <c r="Q268" t="s">
        <v>414</v>
      </c>
      <c r="S268">
        <v>2.37</v>
      </c>
      <c r="T268">
        <v>46.28</v>
      </c>
      <c r="U268">
        <v>45321.336000000003</v>
      </c>
      <c r="V268">
        <v>0.01</v>
      </c>
      <c r="W268" t="s">
        <v>415</v>
      </c>
      <c r="X268">
        <v>0</v>
      </c>
    </row>
    <row r="269" spans="1:24" x14ac:dyDescent="0.45">
      <c r="A269">
        <v>43</v>
      </c>
      <c r="B269">
        <v>43</v>
      </c>
      <c r="C269" t="s">
        <v>448</v>
      </c>
      <c r="D269" t="s">
        <v>414</v>
      </c>
      <c r="F269">
        <v>2.5499999999999998</v>
      </c>
      <c r="G269">
        <v>44.161999999999999</v>
      </c>
      <c r="H269">
        <v>67320.906000000003</v>
      </c>
      <c r="I269">
        <v>7.0000000000000001E-3</v>
      </c>
      <c r="J269" t="s">
        <v>476</v>
      </c>
      <c r="N269">
        <v>43</v>
      </c>
      <c r="O269">
        <v>43</v>
      </c>
      <c r="P269" t="s">
        <v>553</v>
      </c>
      <c r="Q269" t="s">
        <v>414</v>
      </c>
      <c r="S269">
        <v>2.37</v>
      </c>
      <c r="T269">
        <v>111.548</v>
      </c>
      <c r="U269">
        <v>47150.667999999998</v>
      </c>
      <c r="V269">
        <v>2.4E-2</v>
      </c>
      <c r="W269" t="s">
        <v>401</v>
      </c>
      <c r="X269">
        <v>0</v>
      </c>
    </row>
    <row r="270" spans="1:24" x14ac:dyDescent="0.45">
      <c r="A270">
        <v>44</v>
      </c>
      <c r="B270">
        <v>44</v>
      </c>
      <c r="C270" t="s">
        <v>449</v>
      </c>
      <c r="D270" t="s">
        <v>414</v>
      </c>
      <c r="F270">
        <v>2.4500000000000002</v>
      </c>
      <c r="G270">
        <v>49.06</v>
      </c>
      <c r="H270">
        <v>77383.422000000006</v>
      </c>
      <c r="I270">
        <v>6.0000000000000001E-3</v>
      </c>
      <c r="J270" t="s">
        <v>478</v>
      </c>
      <c r="N270">
        <v>44</v>
      </c>
      <c r="O270">
        <v>44</v>
      </c>
      <c r="P270" t="s">
        <v>554</v>
      </c>
      <c r="Q270" t="s">
        <v>414</v>
      </c>
      <c r="S270">
        <v>2.37</v>
      </c>
      <c r="T270">
        <v>293.80200000000002</v>
      </c>
      <c r="U270">
        <v>46629.98</v>
      </c>
      <c r="V270">
        <v>6.3E-2</v>
      </c>
      <c r="W270" t="s">
        <v>403</v>
      </c>
      <c r="X270">
        <v>0</v>
      </c>
    </row>
    <row r="271" spans="1:24" x14ac:dyDescent="0.45">
      <c r="A271">
        <v>45</v>
      </c>
      <c r="B271">
        <v>45</v>
      </c>
      <c r="C271" t="s">
        <v>450</v>
      </c>
      <c r="D271" t="s">
        <v>414</v>
      </c>
      <c r="F271">
        <v>2.71</v>
      </c>
      <c r="G271">
        <v>33.710999999999999</v>
      </c>
      <c r="H271">
        <v>66085.508000000002</v>
      </c>
      <c r="I271">
        <v>5.0000000000000001E-3</v>
      </c>
      <c r="J271" t="s">
        <v>478</v>
      </c>
      <c r="N271">
        <v>45</v>
      </c>
      <c r="O271">
        <v>45</v>
      </c>
      <c r="P271" t="s">
        <v>555</v>
      </c>
      <c r="Q271" t="s">
        <v>414</v>
      </c>
      <c r="S271">
        <v>2.37</v>
      </c>
      <c r="T271">
        <v>291.15800000000002</v>
      </c>
      <c r="U271">
        <v>44670.222999999998</v>
      </c>
      <c r="V271">
        <v>6.5000000000000002E-2</v>
      </c>
      <c r="W271" t="s">
        <v>401</v>
      </c>
      <c r="X271">
        <v>0</v>
      </c>
    </row>
    <row r="272" spans="1:24" x14ac:dyDescent="0.45">
      <c r="A272">
        <v>46</v>
      </c>
      <c r="B272">
        <v>46</v>
      </c>
      <c r="C272" t="s">
        <v>451</v>
      </c>
      <c r="D272" t="s">
        <v>414</v>
      </c>
      <c r="F272">
        <v>2.84</v>
      </c>
      <c r="G272">
        <v>30.382000000000001</v>
      </c>
      <c r="H272">
        <v>68848.991999999998</v>
      </c>
      <c r="I272">
        <v>4.0000000000000001E-3</v>
      </c>
      <c r="J272" t="s">
        <v>476</v>
      </c>
      <c r="N272">
        <v>46</v>
      </c>
      <c r="O272">
        <v>46</v>
      </c>
      <c r="P272" t="s">
        <v>556</v>
      </c>
      <c r="Q272" t="s">
        <v>414</v>
      </c>
      <c r="S272">
        <v>2.37</v>
      </c>
      <c r="T272">
        <v>594.33399999999995</v>
      </c>
      <c r="U272">
        <v>31667.127</v>
      </c>
      <c r="V272">
        <v>0.188</v>
      </c>
      <c r="W272" t="s">
        <v>412</v>
      </c>
      <c r="X272">
        <v>0.1</v>
      </c>
    </row>
    <row r="273" spans="1:24" x14ac:dyDescent="0.45">
      <c r="A273">
        <v>47</v>
      </c>
      <c r="B273">
        <v>47</v>
      </c>
      <c r="C273" t="s">
        <v>452</v>
      </c>
      <c r="D273" t="s">
        <v>414</v>
      </c>
      <c r="F273">
        <v>2.71</v>
      </c>
      <c r="G273">
        <v>66.498999999999995</v>
      </c>
      <c r="H273">
        <v>40148.351999999999</v>
      </c>
      <c r="I273">
        <v>1.7000000000000001E-2</v>
      </c>
      <c r="J273" t="s">
        <v>415</v>
      </c>
      <c r="K273">
        <v>0</v>
      </c>
      <c r="N273">
        <v>47</v>
      </c>
      <c r="O273">
        <v>47</v>
      </c>
      <c r="P273" t="s">
        <v>557</v>
      </c>
      <c r="Q273" t="s">
        <v>414</v>
      </c>
      <c r="S273">
        <v>2.37</v>
      </c>
      <c r="T273">
        <v>576.75599999999997</v>
      </c>
      <c r="U273">
        <v>31993.508000000002</v>
      </c>
      <c r="V273">
        <v>0.18</v>
      </c>
      <c r="W273" t="s">
        <v>401</v>
      </c>
      <c r="X273">
        <v>0.1</v>
      </c>
    </row>
    <row r="274" spans="1:24" x14ac:dyDescent="0.45">
      <c r="A274">
        <v>48</v>
      </c>
      <c r="B274">
        <v>48</v>
      </c>
      <c r="C274" t="s">
        <v>453</v>
      </c>
      <c r="D274" t="s">
        <v>414</v>
      </c>
      <c r="F274">
        <v>2.69</v>
      </c>
      <c r="G274">
        <v>56.853000000000002</v>
      </c>
      <c r="H274">
        <v>44919.417999999998</v>
      </c>
      <c r="I274">
        <v>1.2999999999999999E-2</v>
      </c>
      <c r="J274" t="s">
        <v>476</v>
      </c>
      <c r="N274">
        <v>48</v>
      </c>
      <c r="O274">
        <v>48</v>
      </c>
      <c r="P274" t="s">
        <v>558</v>
      </c>
      <c r="Q274" t="s">
        <v>414</v>
      </c>
      <c r="S274">
        <v>2.38</v>
      </c>
      <c r="T274">
        <v>544.52099999999996</v>
      </c>
      <c r="U274">
        <v>32571.208999999999</v>
      </c>
      <c r="V274">
        <v>0.16700000000000001</v>
      </c>
      <c r="W274" t="s">
        <v>415</v>
      </c>
      <c r="X274">
        <v>0.1</v>
      </c>
    </row>
    <row r="275" spans="1:24" x14ac:dyDescent="0.45">
      <c r="A275">
        <v>49</v>
      </c>
      <c r="B275">
        <v>49</v>
      </c>
      <c r="C275" t="s">
        <v>454</v>
      </c>
      <c r="D275" t="s">
        <v>414</v>
      </c>
      <c r="F275">
        <v>2.39</v>
      </c>
      <c r="G275">
        <v>57.783000000000001</v>
      </c>
      <c r="H275">
        <v>41859.870999999999</v>
      </c>
      <c r="I275">
        <v>1.4E-2</v>
      </c>
      <c r="J275" t="s">
        <v>478</v>
      </c>
      <c r="N275">
        <v>49</v>
      </c>
      <c r="O275">
        <v>49</v>
      </c>
      <c r="P275" t="s">
        <v>559</v>
      </c>
      <c r="Q275" t="s">
        <v>414</v>
      </c>
      <c r="S275">
        <v>2.37</v>
      </c>
      <c r="T275">
        <v>344.26600000000002</v>
      </c>
      <c r="U275">
        <v>38486.949000000001</v>
      </c>
      <c r="V275">
        <v>8.8999999999999996E-2</v>
      </c>
      <c r="W275" t="s">
        <v>403</v>
      </c>
      <c r="X275">
        <v>0.1</v>
      </c>
    </row>
    <row r="276" spans="1:24" x14ac:dyDescent="0.45">
      <c r="A276">
        <v>50</v>
      </c>
      <c r="B276">
        <v>50</v>
      </c>
      <c r="C276" t="s">
        <v>455</v>
      </c>
      <c r="D276" t="s">
        <v>414</v>
      </c>
      <c r="F276">
        <v>2.38</v>
      </c>
      <c r="G276">
        <v>134.31399999999999</v>
      </c>
      <c r="H276">
        <v>56855.038999999997</v>
      </c>
      <c r="I276">
        <v>2.4E-2</v>
      </c>
      <c r="J276" t="s">
        <v>401</v>
      </c>
      <c r="K276">
        <v>0</v>
      </c>
      <c r="N276">
        <v>50</v>
      </c>
      <c r="O276">
        <v>50</v>
      </c>
      <c r="P276" t="s">
        <v>560</v>
      </c>
      <c r="Q276" t="s">
        <v>414</v>
      </c>
      <c r="S276">
        <v>2.37</v>
      </c>
      <c r="T276">
        <v>372.12900000000002</v>
      </c>
      <c r="U276">
        <v>37523.108999999997</v>
      </c>
      <c r="V276">
        <v>9.9000000000000005E-2</v>
      </c>
      <c r="W276" t="s">
        <v>415</v>
      </c>
      <c r="X276">
        <v>0.1</v>
      </c>
    </row>
    <row r="277" spans="1:24" x14ac:dyDescent="0.45">
      <c r="A277">
        <v>51</v>
      </c>
      <c r="B277">
        <v>51</v>
      </c>
      <c r="C277" t="s">
        <v>456</v>
      </c>
      <c r="D277" t="s">
        <v>414</v>
      </c>
      <c r="F277">
        <v>2.38</v>
      </c>
      <c r="G277">
        <v>177.73599999999999</v>
      </c>
      <c r="H277">
        <v>50161.078000000001</v>
      </c>
      <c r="I277">
        <v>3.5000000000000003E-2</v>
      </c>
      <c r="J277" t="s">
        <v>415</v>
      </c>
      <c r="K277">
        <v>0</v>
      </c>
      <c r="N277">
        <v>51</v>
      </c>
      <c r="O277">
        <v>51</v>
      </c>
      <c r="P277" t="s">
        <v>561</v>
      </c>
      <c r="Q277" t="s">
        <v>414</v>
      </c>
      <c r="S277">
        <v>2.37</v>
      </c>
      <c r="T277">
        <v>256.72899999999998</v>
      </c>
      <c r="U277">
        <v>31793.794999999998</v>
      </c>
      <c r="V277">
        <v>8.1000000000000003E-2</v>
      </c>
      <c r="W277" t="s">
        <v>412</v>
      </c>
      <c r="X277">
        <v>0</v>
      </c>
    </row>
    <row r="278" spans="1:24" x14ac:dyDescent="0.45">
      <c r="A278">
        <v>52</v>
      </c>
      <c r="B278">
        <v>52</v>
      </c>
      <c r="C278" t="s">
        <v>457</v>
      </c>
      <c r="D278" t="s">
        <v>414</v>
      </c>
      <c r="F278">
        <v>2.5499999999999998</v>
      </c>
      <c r="G278">
        <v>50.44</v>
      </c>
      <c r="H278">
        <v>48811.171999999999</v>
      </c>
      <c r="I278">
        <v>0.01</v>
      </c>
      <c r="J278" t="s">
        <v>478</v>
      </c>
      <c r="N278">
        <v>52</v>
      </c>
      <c r="O278">
        <v>52</v>
      </c>
      <c r="P278" t="s">
        <v>562</v>
      </c>
      <c r="Q278" t="s">
        <v>414</v>
      </c>
      <c r="S278">
        <v>2.38</v>
      </c>
      <c r="T278">
        <v>192.54599999999999</v>
      </c>
      <c r="U278">
        <v>39503.074000000001</v>
      </c>
      <c r="V278">
        <v>4.9000000000000002E-2</v>
      </c>
      <c r="W278" t="s">
        <v>412</v>
      </c>
      <c r="X278">
        <v>0</v>
      </c>
    </row>
    <row r="279" spans="1:24" x14ac:dyDescent="0.45">
      <c r="A279">
        <v>53</v>
      </c>
      <c r="B279">
        <v>53</v>
      </c>
      <c r="C279" t="s">
        <v>458</v>
      </c>
      <c r="D279" t="s">
        <v>414</v>
      </c>
      <c r="F279">
        <v>2.83</v>
      </c>
      <c r="G279">
        <v>49.53</v>
      </c>
      <c r="H279">
        <v>54851.605000000003</v>
      </c>
      <c r="I279">
        <v>8.9999999999999993E-3</v>
      </c>
      <c r="J279" t="s">
        <v>476</v>
      </c>
      <c r="N279">
        <v>53</v>
      </c>
      <c r="O279">
        <v>53</v>
      </c>
      <c r="P279" t="s">
        <v>563</v>
      </c>
      <c r="Q279" t="s">
        <v>414</v>
      </c>
      <c r="S279">
        <v>2.38</v>
      </c>
      <c r="T279">
        <v>259.46899999999999</v>
      </c>
      <c r="U279">
        <v>48938.792999999998</v>
      </c>
      <c r="V279">
        <v>5.2999999999999999E-2</v>
      </c>
      <c r="W279" t="s">
        <v>403</v>
      </c>
      <c r="X279">
        <v>0</v>
      </c>
    </row>
    <row r="280" spans="1:24" x14ac:dyDescent="0.45">
      <c r="A280">
        <v>54</v>
      </c>
      <c r="B280">
        <v>54</v>
      </c>
      <c r="C280" t="s">
        <v>459</v>
      </c>
      <c r="D280" t="s">
        <v>414</v>
      </c>
      <c r="F280">
        <v>2.77</v>
      </c>
      <c r="G280">
        <v>49.429000000000002</v>
      </c>
      <c r="H280">
        <v>58443.324000000001</v>
      </c>
      <c r="I280">
        <v>8.0000000000000002E-3</v>
      </c>
      <c r="J280" t="s">
        <v>478</v>
      </c>
      <c r="N280">
        <v>54</v>
      </c>
      <c r="O280">
        <v>54</v>
      </c>
      <c r="P280" t="s">
        <v>564</v>
      </c>
      <c r="Q280" t="s">
        <v>414</v>
      </c>
      <c r="S280">
        <v>2.8</v>
      </c>
      <c r="T280">
        <v>99.084999999999994</v>
      </c>
      <c r="U280">
        <v>41008.964999999997</v>
      </c>
      <c r="V280">
        <v>2.4E-2</v>
      </c>
      <c r="W280" t="s">
        <v>412</v>
      </c>
      <c r="X280">
        <v>0</v>
      </c>
    </row>
    <row r="281" spans="1:24" x14ac:dyDescent="0.45">
      <c r="A281">
        <v>55</v>
      </c>
      <c r="B281">
        <v>55</v>
      </c>
      <c r="C281" t="s">
        <v>460</v>
      </c>
      <c r="D281" t="s">
        <v>414</v>
      </c>
      <c r="F281">
        <v>2.39</v>
      </c>
      <c r="G281">
        <v>61.216999999999999</v>
      </c>
      <c r="H281">
        <v>40287.612999999998</v>
      </c>
      <c r="I281">
        <v>1.4999999999999999E-2</v>
      </c>
      <c r="J281" t="s">
        <v>415</v>
      </c>
      <c r="K281">
        <v>0</v>
      </c>
      <c r="N281">
        <v>55</v>
      </c>
      <c r="O281">
        <v>55</v>
      </c>
      <c r="P281" t="s">
        <v>565</v>
      </c>
      <c r="Q281" t="s">
        <v>414</v>
      </c>
      <c r="S281">
        <v>2.37</v>
      </c>
      <c r="T281">
        <v>70.641999999999996</v>
      </c>
      <c r="U281">
        <v>44491.097999999998</v>
      </c>
      <c r="V281">
        <v>1.6E-2</v>
      </c>
      <c r="W281" t="s">
        <v>412</v>
      </c>
      <c r="X281">
        <v>0</v>
      </c>
    </row>
    <row r="282" spans="1:24" x14ac:dyDescent="0.45">
      <c r="A282">
        <v>56</v>
      </c>
      <c r="B282">
        <v>56</v>
      </c>
      <c r="C282" t="s">
        <v>461</v>
      </c>
      <c r="D282" t="s">
        <v>414</v>
      </c>
      <c r="F282">
        <v>2.4</v>
      </c>
      <c r="G282">
        <v>46.34</v>
      </c>
      <c r="H282">
        <v>47666.879000000001</v>
      </c>
      <c r="I282">
        <v>0.01</v>
      </c>
      <c r="J282" t="s">
        <v>478</v>
      </c>
      <c r="N282">
        <v>56</v>
      </c>
      <c r="O282">
        <v>56</v>
      </c>
      <c r="P282" t="s">
        <v>566</v>
      </c>
      <c r="Q282" t="s">
        <v>414</v>
      </c>
      <c r="S282">
        <v>2.38</v>
      </c>
      <c r="T282">
        <v>166.21299999999999</v>
      </c>
      <c r="U282">
        <v>37134.421999999999</v>
      </c>
      <c r="V282">
        <v>4.4999999999999998E-2</v>
      </c>
      <c r="W282" t="s">
        <v>412</v>
      </c>
      <c r="X282">
        <v>0</v>
      </c>
    </row>
    <row r="283" spans="1:24" x14ac:dyDescent="0.45">
      <c r="A283">
        <v>57</v>
      </c>
      <c r="B283">
        <v>57</v>
      </c>
      <c r="C283" t="s">
        <v>462</v>
      </c>
      <c r="D283" t="s">
        <v>414</v>
      </c>
      <c r="F283">
        <v>2.4</v>
      </c>
      <c r="G283">
        <v>85.703000000000003</v>
      </c>
      <c r="H283">
        <v>50324.906000000003</v>
      </c>
      <c r="I283">
        <v>1.7000000000000001E-2</v>
      </c>
      <c r="J283" t="s">
        <v>412</v>
      </c>
      <c r="K283">
        <v>0</v>
      </c>
      <c r="N283">
        <v>57</v>
      </c>
      <c r="O283">
        <v>57</v>
      </c>
      <c r="P283" t="s">
        <v>567</v>
      </c>
      <c r="Q283" t="s">
        <v>414</v>
      </c>
      <c r="S283">
        <v>2.37</v>
      </c>
      <c r="T283">
        <v>512.846</v>
      </c>
      <c r="U283">
        <v>40540.438000000002</v>
      </c>
      <c r="V283">
        <v>0.127</v>
      </c>
      <c r="W283" t="s">
        <v>415</v>
      </c>
      <c r="X283">
        <v>0.1</v>
      </c>
    </row>
    <row r="284" spans="1:24" x14ac:dyDescent="0.45">
      <c r="A284">
        <v>58</v>
      </c>
      <c r="B284">
        <v>58</v>
      </c>
      <c r="C284" t="s">
        <v>463</v>
      </c>
      <c r="D284" t="s">
        <v>414</v>
      </c>
      <c r="F284">
        <v>2.38</v>
      </c>
      <c r="G284">
        <v>64.096999999999994</v>
      </c>
      <c r="H284">
        <v>51102.370999999999</v>
      </c>
      <c r="I284">
        <v>1.2999999999999999E-2</v>
      </c>
      <c r="J284" t="s">
        <v>478</v>
      </c>
      <c r="N284">
        <v>58</v>
      </c>
      <c r="O284">
        <v>58</v>
      </c>
      <c r="P284" t="s">
        <v>568</v>
      </c>
      <c r="Q284" t="s">
        <v>414</v>
      </c>
      <c r="S284">
        <v>2.37</v>
      </c>
      <c r="T284">
        <v>1058.489</v>
      </c>
      <c r="U284">
        <v>69129.202999999994</v>
      </c>
      <c r="V284">
        <v>0.153</v>
      </c>
      <c r="W284" t="s">
        <v>412</v>
      </c>
      <c r="X284">
        <v>0.1</v>
      </c>
    </row>
    <row r="285" spans="1:24" x14ac:dyDescent="0.45">
      <c r="A285">
        <v>59</v>
      </c>
      <c r="B285">
        <v>59</v>
      </c>
      <c r="C285" t="s">
        <v>464</v>
      </c>
      <c r="D285" t="s">
        <v>414</v>
      </c>
      <c r="F285">
        <v>2.34</v>
      </c>
      <c r="G285">
        <v>37.695</v>
      </c>
      <c r="H285">
        <v>51337.425999999999</v>
      </c>
      <c r="I285">
        <v>7.0000000000000001E-3</v>
      </c>
      <c r="J285" t="s">
        <v>479</v>
      </c>
      <c r="N285">
        <v>59</v>
      </c>
      <c r="O285">
        <v>59</v>
      </c>
      <c r="P285" t="s">
        <v>569</v>
      </c>
      <c r="Q285" t="s">
        <v>414</v>
      </c>
      <c r="S285">
        <v>2.37</v>
      </c>
      <c r="T285">
        <v>272.36500000000001</v>
      </c>
      <c r="U285">
        <v>37554.292999999998</v>
      </c>
      <c r="V285">
        <v>7.2999999999999995E-2</v>
      </c>
      <c r="W285" t="s">
        <v>403</v>
      </c>
      <c r="X285">
        <v>0</v>
      </c>
    </row>
    <row r="286" spans="1:24" x14ac:dyDescent="0.45">
      <c r="A286">
        <v>60</v>
      </c>
      <c r="B286">
        <v>60</v>
      </c>
      <c r="C286" t="s">
        <v>465</v>
      </c>
      <c r="D286" t="s">
        <v>414</v>
      </c>
      <c r="F286">
        <v>2.8</v>
      </c>
      <c r="G286">
        <v>47.347000000000001</v>
      </c>
      <c r="H286">
        <v>59640.565999999999</v>
      </c>
      <c r="I286">
        <v>8.0000000000000002E-3</v>
      </c>
      <c r="J286" t="s">
        <v>478</v>
      </c>
      <c r="N286">
        <v>60</v>
      </c>
      <c r="O286">
        <v>60</v>
      </c>
      <c r="P286" t="s">
        <v>570</v>
      </c>
      <c r="Q286" t="s">
        <v>414</v>
      </c>
      <c r="S286">
        <v>2.37</v>
      </c>
      <c r="T286">
        <v>1082.395</v>
      </c>
      <c r="U286">
        <v>79110.508000000002</v>
      </c>
      <c r="V286">
        <v>0.13700000000000001</v>
      </c>
      <c r="W286" t="s">
        <v>415</v>
      </c>
      <c r="X286">
        <v>0.1</v>
      </c>
    </row>
    <row r="287" spans="1:24" x14ac:dyDescent="0.45">
      <c r="A287">
        <v>61</v>
      </c>
      <c r="B287">
        <v>61</v>
      </c>
      <c r="C287" t="s">
        <v>466</v>
      </c>
      <c r="D287" t="s">
        <v>414</v>
      </c>
      <c r="F287">
        <v>1.88</v>
      </c>
      <c r="G287">
        <v>83.313999999999993</v>
      </c>
      <c r="H287">
        <v>62493.625</v>
      </c>
      <c r="I287">
        <v>1.2999999999999999E-2</v>
      </c>
      <c r="J287" t="s">
        <v>476</v>
      </c>
      <c r="N287">
        <v>61</v>
      </c>
      <c r="O287">
        <v>61</v>
      </c>
      <c r="P287" t="s">
        <v>571</v>
      </c>
      <c r="Q287" t="s">
        <v>414</v>
      </c>
      <c r="S287">
        <v>2.37</v>
      </c>
      <c r="T287">
        <v>1008.044</v>
      </c>
      <c r="U287">
        <v>42275.324000000001</v>
      </c>
      <c r="V287">
        <v>0.23799999999999999</v>
      </c>
      <c r="W287" t="s">
        <v>415</v>
      </c>
      <c r="X287">
        <v>0.1</v>
      </c>
    </row>
    <row r="288" spans="1:24" x14ac:dyDescent="0.45">
      <c r="A288">
        <v>62</v>
      </c>
      <c r="B288">
        <v>62</v>
      </c>
      <c r="C288" t="s">
        <v>467</v>
      </c>
      <c r="D288" t="s">
        <v>414</v>
      </c>
      <c r="F288">
        <v>2.38</v>
      </c>
      <c r="G288">
        <v>57.725999999999999</v>
      </c>
      <c r="H288">
        <v>74909.664000000004</v>
      </c>
      <c r="I288">
        <v>8.0000000000000002E-3</v>
      </c>
      <c r="J288" t="s">
        <v>478</v>
      </c>
      <c r="N288">
        <v>62</v>
      </c>
      <c r="O288">
        <v>62</v>
      </c>
      <c r="P288" t="s">
        <v>572</v>
      </c>
      <c r="Q288" t="s">
        <v>414</v>
      </c>
      <c r="S288">
        <v>2.37</v>
      </c>
      <c r="T288">
        <v>382.13900000000001</v>
      </c>
      <c r="U288">
        <v>40421.563000000002</v>
      </c>
      <c r="V288">
        <v>9.5000000000000001E-2</v>
      </c>
      <c r="W288" t="s">
        <v>401</v>
      </c>
      <c r="X288">
        <v>0.1</v>
      </c>
    </row>
    <row r="289" spans="1:25" x14ac:dyDescent="0.45">
      <c r="A289">
        <v>63</v>
      </c>
      <c r="B289">
        <v>63</v>
      </c>
      <c r="C289" t="s">
        <v>468</v>
      </c>
      <c r="D289" t="s">
        <v>414</v>
      </c>
      <c r="F289">
        <v>2.72</v>
      </c>
      <c r="G289">
        <v>32.942999999999998</v>
      </c>
      <c r="H289">
        <v>63882.688000000002</v>
      </c>
      <c r="I289">
        <v>5.0000000000000001E-3</v>
      </c>
      <c r="J289" t="s">
        <v>476</v>
      </c>
      <c r="N289">
        <v>63</v>
      </c>
      <c r="O289">
        <v>63</v>
      </c>
      <c r="P289" t="s">
        <v>573</v>
      </c>
      <c r="Q289" t="s">
        <v>414</v>
      </c>
      <c r="S289">
        <v>2.38</v>
      </c>
      <c r="T289">
        <v>495.84699999999998</v>
      </c>
      <c r="U289">
        <v>59335.031000000003</v>
      </c>
      <c r="V289">
        <v>8.4000000000000005E-2</v>
      </c>
      <c r="W289" t="s">
        <v>401</v>
      </c>
      <c r="X289">
        <v>0</v>
      </c>
    </row>
    <row r="290" spans="1:25" x14ac:dyDescent="0.45">
      <c r="A290">
        <v>64</v>
      </c>
      <c r="B290">
        <v>64</v>
      </c>
      <c r="C290" t="s">
        <v>469</v>
      </c>
      <c r="D290" t="s">
        <v>414</v>
      </c>
      <c r="F290">
        <v>2.58</v>
      </c>
      <c r="G290">
        <v>52.981999999999999</v>
      </c>
      <c r="H290">
        <v>62556.828000000001</v>
      </c>
      <c r="I290">
        <v>8.0000000000000002E-3</v>
      </c>
      <c r="J290" t="s">
        <v>479</v>
      </c>
      <c r="N290">
        <v>64</v>
      </c>
      <c r="O290">
        <v>64</v>
      </c>
      <c r="P290" t="s">
        <v>574</v>
      </c>
      <c r="Q290" t="s">
        <v>414</v>
      </c>
      <c r="S290">
        <v>2.37</v>
      </c>
      <c r="T290">
        <v>202.357</v>
      </c>
      <c r="U290">
        <v>48512.425999999999</v>
      </c>
      <c r="V290">
        <v>4.2000000000000003E-2</v>
      </c>
      <c r="W290" t="s">
        <v>412</v>
      </c>
      <c r="X290">
        <v>0</v>
      </c>
    </row>
    <row r="291" spans="1:25" x14ac:dyDescent="0.45">
      <c r="A291">
        <v>65</v>
      </c>
      <c r="B291">
        <v>65</v>
      </c>
      <c r="C291" t="s">
        <v>470</v>
      </c>
      <c r="D291" t="s">
        <v>414</v>
      </c>
      <c r="F291">
        <v>2.38</v>
      </c>
      <c r="G291">
        <v>67.772999999999996</v>
      </c>
      <c r="H291">
        <v>58757.387000000002</v>
      </c>
      <c r="I291">
        <v>1.2E-2</v>
      </c>
      <c r="J291" t="s">
        <v>476</v>
      </c>
      <c r="N291">
        <v>65</v>
      </c>
      <c r="O291">
        <v>65</v>
      </c>
      <c r="P291" t="s">
        <v>575</v>
      </c>
      <c r="Q291" t="s">
        <v>414</v>
      </c>
      <c r="S291">
        <v>2.37</v>
      </c>
      <c r="T291">
        <v>201.98599999999999</v>
      </c>
      <c r="U291">
        <v>46699.91</v>
      </c>
      <c r="V291">
        <v>4.2999999999999997E-2</v>
      </c>
      <c r="W291" t="s">
        <v>415</v>
      </c>
      <c r="X291">
        <v>0</v>
      </c>
    </row>
    <row r="292" spans="1:25" x14ac:dyDescent="0.45">
      <c r="A292">
        <v>66</v>
      </c>
      <c r="B292">
        <v>66</v>
      </c>
      <c r="C292" t="s">
        <v>471</v>
      </c>
      <c r="D292" t="s">
        <v>414</v>
      </c>
      <c r="F292">
        <v>2.73</v>
      </c>
      <c r="G292">
        <v>65.894000000000005</v>
      </c>
      <c r="H292">
        <v>58986.688000000002</v>
      </c>
      <c r="I292">
        <v>1.0999999999999999E-2</v>
      </c>
      <c r="J292" t="s">
        <v>477</v>
      </c>
      <c r="N292">
        <v>66</v>
      </c>
      <c r="O292">
        <v>66</v>
      </c>
      <c r="P292" t="s">
        <v>576</v>
      </c>
      <c r="Q292" t="s">
        <v>414</v>
      </c>
      <c r="S292">
        <v>2.37</v>
      </c>
      <c r="T292">
        <v>441.62799999999999</v>
      </c>
      <c r="U292">
        <v>48016.792999999998</v>
      </c>
      <c r="V292">
        <v>9.1999999999999998E-2</v>
      </c>
      <c r="W292" t="s">
        <v>401</v>
      </c>
      <c r="X292">
        <v>0.1</v>
      </c>
    </row>
    <row r="293" spans="1:25" x14ac:dyDescent="0.45">
      <c r="A293">
        <v>67</v>
      </c>
      <c r="B293">
        <v>67</v>
      </c>
      <c r="C293" t="s">
        <v>472</v>
      </c>
      <c r="D293" t="s">
        <v>414</v>
      </c>
      <c r="F293">
        <v>2.76</v>
      </c>
      <c r="G293">
        <v>40.92</v>
      </c>
      <c r="H293">
        <v>38346.292999999998</v>
      </c>
      <c r="I293">
        <v>1.0999999999999999E-2</v>
      </c>
      <c r="J293" t="s">
        <v>478</v>
      </c>
      <c r="N293">
        <v>67</v>
      </c>
      <c r="O293">
        <v>67</v>
      </c>
      <c r="P293" t="s">
        <v>577</v>
      </c>
      <c r="Q293" t="s">
        <v>414</v>
      </c>
      <c r="S293">
        <v>2.37</v>
      </c>
      <c r="T293">
        <v>287.28800000000001</v>
      </c>
      <c r="U293">
        <v>33370.980000000003</v>
      </c>
      <c r="V293">
        <v>8.5999999999999993E-2</v>
      </c>
      <c r="W293" t="s">
        <v>403</v>
      </c>
      <c r="X293">
        <v>0.1</v>
      </c>
    </row>
    <row r="294" spans="1:25" x14ac:dyDescent="0.45">
      <c r="A294">
        <v>68</v>
      </c>
      <c r="B294">
        <v>68</v>
      </c>
      <c r="C294" t="s">
        <v>473</v>
      </c>
      <c r="D294" t="s">
        <v>414</v>
      </c>
      <c r="F294">
        <v>2.85</v>
      </c>
      <c r="G294">
        <v>66.885999999999996</v>
      </c>
      <c r="H294">
        <v>50182.722999999998</v>
      </c>
      <c r="I294">
        <v>1.2999999999999999E-2</v>
      </c>
      <c r="J294" t="s">
        <v>479</v>
      </c>
      <c r="N294">
        <v>68</v>
      </c>
      <c r="O294">
        <v>68</v>
      </c>
      <c r="P294" t="s">
        <v>578</v>
      </c>
      <c r="Q294" t="s">
        <v>414</v>
      </c>
      <c r="S294">
        <v>2.37</v>
      </c>
      <c r="T294">
        <v>164.358</v>
      </c>
      <c r="U294">
        <v>39011.684000000001</v>
      </c>
      <c r="V294">
        <v>4.2000000000000003E-2</v>
      </c>
      <c r="W294" t="s">
        <v>415</v>
      </c>
      <c r="X294">
        <v>0</v>
      </c>
    </row>
    <row r="295" spans="1:25" x14ac:dyDescent="0.45">
      <c r="A295">
        <v>69</v>
      </c>
      <c r="B295">
        <v>69</v>
      </c>
      <c r="C295" t="s">
        <v>474</v>
      </c>
      <c r="D295" t="s">
        <v>414</v>
      </c>
      <c r="F295">
        <v>2.86</v>
      </c>
      <c r="G295">
        <v>67.486999999999995</v>
      </c>
      <c r="H295">
        <v>68892.789000000004</v>
      </c>
      <c r="I295">
        <v>0.01</v>
      </c>
      <c r="J295" t="s">
        <v>477</v>
      </c>
      <c r="N295">
        <v>69</v>
      </c>
      <c r="O295">
        <v>69</v>
      </c>
      <c r="P295" t="s">
        <v>579</v>
      </c>
      <c r="Q295" t="s">
        <v>414</v>
      </c>
      <c r="S295">
        <v>2.37</v>
      </c>
      <c r="T295">
        <v>175.024</v>
      </c>
      <c r="U295">
        <v>35675.266000000003</v>
      </c>
      <c r="V295">
        <v>4.9000000000000002E-2</v>
      </c>
      <c r="W295" t="s">
        <v>401</v>
      </c>
      <c r="X295">
        <v>0</v>
      </c>
    </row>
    <row r="297" spans="1:25" x14ac:dyDescent="0.45">
      <c r="A297" t="s">
        <v>482</v>
      </c>
      <c r="N297" t="s">
        <v>482</v>
      </c>
    </row>
    <row r="299" spans="1:25" x14ac:dyDescent="0.45">
      <c r="B299" t="s">
        <v>389</v>
      </c>
      <c r="C299" t="s">
        <v>123</v>
      </c>
      <c r="D299" t="s">
        <v>390</v>
      </c>
      <c r="E299" t="s">
        <v>391</v>
      </c>
      <c r="F299" t="s">
        <v>392</v>
      </c>
      <c r="G299" t="s">
        <v>393</v>
      </c>
      <c r="H299" t="s">
        <v>394</v>
      </c>
      <c r="I299" t="s">
        <v>395</v>
      </c>
      <c r="J299" t="s">
        <v>396</v>
      </c>
      <c r="K299" t="s">
        <v>397</v>
      </c>
      <c r="L299" t="s">
        <v>398</v>
      </c>
      <c r="O299" t="s">
        <v>389</v>
      </c>
      <c r="P299" t="s">
        <v>123</v>
      </c>
      <c r="Q299" t="s">
        <v>390</v>
      </c>
      <c r="R299" t="s">
        <v>391</v>
      </c>
      <c r="S299" t="s">
        <v>392</v>
      </c>
      <c r="T299" t="s">
        <v>393</v>
      </c>
      <c r="U299" t="s">
        <v>394</v>
      </c>
      <c r="V299" t="s">
        <v>395</v>
      </c>
      <c r="W299" t="s">
        <v>396</v>
      </c>
      <c r="X299" t="s">
        <v>397</v>
      </c>
      <c r="Y299" t="s">
        <v>398</v>
      </c>
    </row>
    <row r="300" spans="1:25" x14ac:dyDescent="0.45">
      <c r="A300">
        <v>1</v>
      </c>
      <c r="B300">
        <v>1</v>
      </c>
      <c r="C300" t="s">
        <v>399</v>
      </c>
      <c r="D300" t="s">
        <v>400</v>
      </c>
      <c r="E300">
        <v>0.05</v>
      </c>
      <c r="F300">
        <v>3.02</v>
      </c>
      <c r="G300">
        <v>22676.74</v>
      </c>
      <c r="H300">
        <v>89740.976999999999</v>
      </c>
      <c r="I300">
        <v>2.5270000000000001</v>
      </c>
      <c r="J300" t="s">
        <v>483</v>
      </c>
      <c r="N300">
        <v>1</v>
      </c>
      <c r="O300">
        <v>1</v>
      </c>
      <c r="P300" t="s">
        <v>511</v>
      </c>
      <c r="Q300" t="s">
        <v>400</v>
      </c>
      <c r="R300">
        <v>0.05</v>
      </c>
      <c r="S300">
        <v>3.03</v>
      </c>
      <c r="T300">
        <v>66505.085999999996</v>
      </c>
      <c r="U300">
        <v>151662.141</v>
      </c>
      <c r="V300">
        <v>4.3849999999999998</v>
      </c>
      <c r="W300" t="s">
        <v>478</v>
      </c>
    </row>
    <row r="301" spans="1:25" x14ac:dyDescent="0.45">
      <c r="A301">
        <v>2</v>
      </c>
      <c r="B301">
        <v>2</v>
      </c>
      <c r="C301" t="s">
        <v>402</v>
      </c>
      <c r="D301" t="s">
        <v>400</v>
      </c>
      <c r="E301">
        <v>0.5</v>
      </c>
      <c r="F301">
        <v>3.03</v>
      </c>
      <c r="G301">
        <v>24061.01</v>
      </c>
      <c r="H301">
        <v>97054.835999999996</v>
      </c>
      <c r="I301">
        <v>2.4790000000000001</v>
      </c>
      <c r="J301" t="s">
        <v>484</v>
      </c>
      <c r="N301">
        <v>2</v>
      </c>
      <c r="O301">
        <v>2</v>
      </c>
      <c r="P301" t="s">
        <v>512</v>
      </c>
      <c r="Q301" t="s">
        <v>400</v>
      </c>
      <c r="R301">
        <v>0.5</v>
      </c>
      <c r="S301">
        <v>3.04</v>
      </c>
      <c r="T301">
        <v>108037.664</v>
      </c>
      <c r="U301">
        <v>133515.5</v>
      </c>
      <c r="V301">
        <v>8.0920000000000005</v>
      </c>
      <c r="W301" t="s">
        <v>403</v>
      </c>
      <c r="X301">
        <v>0.9</v>
      </c>
      <c r="Y301">
        <v>83</v>
      </c>
    </row>
    <row r="302" spans="1:25" x14ac:dyDescent="0.45">
      <c r="A302">
        <v>3</v>
      </c>
      <c r="B302">
        <v>3</v>
      </c>
      <c r="C302" t="s">
        <v>404</v>
      </c>
      <c r="D302" t="s">
        <v>400</v>
      </c>
      <c r="E302">
        <v>1.25</v>
      </c>
      <c r="F302">
        <v>3.04</v>
      </c>
      <c r="G302">
        <v>115693.789</v>
      </c>
      <c r="H302">
        <v>97600.343999999997</v>
      </c>
      <c r="I302">
        <v>11.853999999999999</v>
      </c>
      <c r="J302" t="s">
        <v>485</v>
      </c>
      <c r="K302">
        <v>3.2</v>
      </c>
      <c r="L302">
        <v>154.4</v>
      </c>
      <c r="N302">
        <v>3</v>
      </c>
      <c r="O302">
        <v>3</v>
      </c>
      <c r="P302" t="s">
        <v>513</v>
      </c>
      <c r="Q302" t="s">
        <v>400</v>
      </c>
      <c r="R302">
        <v>1.25</v>
      </c>
      <c r="S302">
        <v>3.05</v>
      </c>
      <c r="T302">
        <v>173999.21900000001</v>
      </c>
      <c r="U302">
        <v>125573.781</v>
      </c>
      <c r="V302">
        <v>13.856</v>
      </c>
      <c r="W302" t="s">
        <v>490</v>
      </c>
      <c r="X302">
        <v>2.8</v>
      </c>
      <c r="Y302">
        <v>127.1</v>
      </c>
    </row>
    <row r="303" spans="1:25" x14ac:dyDescent="0.45">
      <c r="A303">
        <v>4</v>
      </c>
      <c r="B303">
        <v>4</v>
      </c>
      <c r="C303" t="s">
        <v>405</v>
      </c>
      <c r="D303" t="s">
        <v>400</v>
      </c>
      <c r="E303">
        <v>2.5</v>
      </c>
      <c r="F303">
        <v>3.04</v>
      </c>
      <c r="G303">
        <v>138421.75</v>
      </c>
      <c r="H303">
        <v>106558.664</v>
      </c>
      <c r="I303">
        <v>12.99</v>
      </c>
      <c r="J303" t="s">
        <v>486</v>
      </c>
      <c r="K303">
        <v>3.6</v>
      </c>
      <c r="L303">
        <v>43.4</v>
      </c>
      <c r="N303">
        <v>4</v>
      </c>
      <c r="O303">
        <v>4</v>
      </c>
      <c r="P303" t="s">
        <v>514</v>
      </c>
      <c r="Q303" t="s">
        <v>400</v>
      </c>
      <c r="R303">
        <v>2.5</v>
      </c>
      <c r="S303">
        <v>3.05</v>
      </c>
      <c r="T303">
        <v>243021.06299999999</v>
      </c>
      <c r="U303">
        <v>107842.852</v>
      </c>
      <c r="V303">
        <v>22.535</v>
      </c>
      <c r="W303" t="s">
        <v>491</v>
      </c>
      <c r="X303">
        <v>5.7</v>
      </c>
      <c r="Y303">
        <v>129.4</v>
      </c>
    </row>
    <row r="304" spans="1:25" x14ac:dyDescent="0.45">
      <c r="A304">
        <v>5</v>
      </c>
      <c r="B304">
        <v>5</v>
      </c>
      <c r="C304" t="s">
        <v>406</v>
      </c>
      <c r="D304" t="s">
        <v>400</v>
      </c>
      <c r="E304">
        <v>3.5</v>
      </c>
      <c r="F304">
        <v>3.04</v>
      </c>
      <c r="G304">
        <v>165168.68799999999</v>
      </c>
      <c r="H304">
        <v>119451.109</v>
      </c>
      <c r="I304">
        <v>13.827</v>
      </c>
      <c r="J304" t="s">
        <v>401</v>
      </c>
      <c r="K304">
        <v>3.9</v>
      </c>
      <c r="L304">
        <v>11</v>
      </c>
      <c r="N304">
        <v>5</v>
      </c>
      <c r="O304">
        <v>5</v>
      </c>
      <c r="P304" t="s">
        <v>515</v>
      </c>
      <c r="Q304" t="s">
        <v>400</v>
      </c>
      <c r="R304">
        <v>3.5</v>
      </c>
      <c r="S304">
        <v>3.05</v>
      </c>
      <c r="T304">
        <v>194349.859</v>
      </c>
      <c r="U304">
        <v>123482.891</v>
      </c>
      <c r="V304">
        <v>15.739000000000001</v>
      </c>
      <c r="W304" t="s">
        <v>415</v>
      </c>
      <c r="X304">
        <v>3.5</v>
      </c>
      <c r="Y304">
        <v>-0.9</v>
      </c>
    </row>
    <row r="305" spans="1:25" x14ac:dyDescent="0.45">
      <c r="A305">
        <v>6</v>
      </c>
      <c r="B305">
        <v>6</v>
      </c>
      <c r="C305" t="s">
        <v>407</v>
      </c>
      <c r="D305" t="s">
        <v>400</v>
      </c>
      <c r="E305">
        <v>5</v>
      </c>
      <c r="F305">
        <v>3.04</v>
      </c>
      <c r="G305">
        <v>211215.43799999999</v>
      </c>
      <c r="H305">
        <v>124350.31299999999</v>
      </c>
      <c r="I305">
        <v>16.986000000000001</v>
      </c>
      <c r="J305" t="s">
        <v>401</v>
      </c>
      <c r="K305">
        <v>5</v>
      </c>
      <c r="L305">
        <v>0.2</v>
      </c>
      <c r="N305">
        <v>6</v>
      </c>
      <c r="O305">
        <v>6</v>
      </c>
      <c r="P305" t="s">
        <v>516</v>
      </c>
      <c r="Q305" t="s">
        <v>400</v>
      </c>
      <c r="R305">
        <v>5</v>
      </c>
      <c r="S305">
        <v>3.05</v>
      </c>
      <c r="T305">
        <v>275551.21899999998</v>
      </c>
      <c r="U305">
        <v>125161.523</v>
      </c>
      <c r="V305">
        <v>22.015999999999998</v>
      </c>
      <c r="W305" t="s">
        <v>491</v>
      </c>
      <c r="X305">
        <v>5.6</v>
      </c>
      <c r="Y305">
        <v>11.2</v>
      </c>
    </row>
    <row r="306" spans="1:25" x14ac:dyDescent="0.45">
      <c r="A306">
        <v>7</v>
      </c>
      <c r="B306">
        <v>7</v>
      </c>
      <c r="C306" t="s">
        <v>408</v>
      </c>
      <c r="D306" t="s">
        <v>400</v>
      </c>
      <c r="E306">
        <v>7</v>
      </c>
      <c r="F306">
        <v>3.05</v>
      </c>
      <c r="G306">
        <v>303892.09399999998</v>
      </c>
      <c r="H306">
        <v>138067.32800000001</v>
      </c>
      <c r="I306">
        <v>22.01</v>
      </c>
      <c r="J306" t="s">
        <v>401</v>
      </c>
      <c r="K306">
        <v>6.8</v>
      </c>
      <c r="L306">
        <v>-2.8</v>
      </c>
      <c r="N306">
        <v>7</v>
      </c>
      <c r="O306">
        <v>7</v>
      </c>
      <c r="P306" t="s">
        <v>517</v>
      </c>
      <c r="Q306" t="s">
        <v>400</v>
      </c>
      <c r="R306">
        <v>7</v>
      </c>
      <c r="S306">
        <v>3.05</v>
      </c>
      <c r="T306">
        <v>328758.46899999998</v>
      </c>
      <c r="U306">
        <v>125042.19500000001</v>
      </c>
      <c r="V306">
        <v>26.292000000000002</v>
      </c>
      <c r="W306" t="s">
        <v>401</v>
      </c>
      <c r="X306">
        <v>7</v>
      </c>
      <c r="Y306">
        <v>-0.2</v>
      </c>
    </row>
    <row r="307" spans="1:25" x14ac:dyDescent="0.45">
      <c r="A307">
        <v>8</v>
      </c>
      <c r="B307">
        <v>8</v>
      </c>
      <c r="C307" t="s">
        <v>409</v>
      </c>
      <c r="D307" t="s">
        <v>410</v>
      </c>
      <c r="F307">
        <v>3.05</v>
      </c>
      <c r="G307">
        <v>63380.082000000002</v>
      </c>
      <c r="H307">
        <v>1652.0650000000001</v>
      </c>
      <c r="I307">
        <v>383.642</v>
      </c>
      <c r="J307" t="s">
        <v>403</v>
      </c>
      <c r="K307">
        <v>135.80000000000001</v>
      </c>
      <c r="N307">
        <v>8</v>
      </c>
      <c r="O307">
        <v>8</v>
      </c>
      <c r="P307" t="s">
        <v>518</v>
      </c>
      <c r="Q307" t="s">
        <v>410</v>
      </c>
      <c r="S307">
        <v>3.06</v>
      </c>
      <c r="T307">
        <v>131483.67199999999</v>
      </c>
      <c r="U307">
        <v>1479.43</v>
      </c>
      <c r="V307">
        <v>888.745</v>
      </c>
      <c r="W307" t="s">
        <v>403</v>
      </c>
      <c r="X307">
        <v>294.8</v>
      </c>
    </row>
    <row r="308" spans="1:25" x14ac:dyDescent="0.45">
      <c r="A308">
        <v>9</v>
      </c>
      <c r="B308">
        <v>9</v>
      </c>
      <c r="C308" t="s">
        <v>411</v>
      </c>
      <c r="D308" t="s">
        <v>410</v>
      </c>
      <c r="F308">
        <v>3.13</v>
      </c>
      <c r="G308">
        <v>56378.824000000001</v>
      </c>
      <c r="H308">
        <v>1311.23</v>
      </c>
      <c r="I308">
        <v>429.96899999999999</v>
      </c>
      <c r="J308" t="s">
        <v>403</v>
      </c>
      <c r="K308">
        <v>152.30000000000001</v>
      </c>
      <c r="N308">
        <v>9</v>
      </c>
      <c r="O308">
        <v>9</v>
      </c>
      <c r="P308" t="s">
        <v>519</v>
      </c>
      <c r="Q308" t="s">
        <v>410</v>
      </c>
      <c r="S308">
        <v>3.13</v>
      </c>
      <c r="T308">
        <v>128316.94500000001</v>
      </c>
      <c r="U308">
        <v>1617.126</v>
      </c>
      <c r="V308">
        <v>793.48800000000006</v>
      </c>
      <c r="W308" t="s">
        <v>403</v>
      </c>
      <c r="X308">
        <v>263</v>
      </c>
    </row>
    <row r="309" spans="1:25" x14ac:dyDescent="0.45">
      <c r="A309">
        <v>10</v>
      </c>
      <c r="B309">
        <v>10</v>
      </c>
      <c r="C309" t="s">
        <v>413</v>
      </c>
      <c r="D309" t="s">
        <v>414</v>
      </c>
      <c r="F309">
        <v>3.05</v>
      </c>
      <c r="G309">
        <v>263177.84399999998</v>
      </c>
      <c r="J309" t="s">
        <v>403</v>
      </c>
      <c r="N309">
        <v>10</v>
      </c>
      <c r="O309">
        <v>10</v>
      </c>
      <c r="P309" t="s">
        <v>520</v>
      </c>
      <c r="Q309" t="s">
        <v>414</v>
      </c>
      <c r="S309">
        <v>3.06</v>
      </c>
      <c r="T309">
        <v>264013.81300000002</v>
      </c>
      <c r="U309">
        <v>114391.117</v>
      </c>
      <c r="V309">
        <v>23.08</v>
      </c>
      <c r="W309" t="s">
        <v>415</v>
      </c>
      <c r="X309">
        <v>5.9</v>
      </c>
    </row>
    <row r="310" spans="1:25" x14ac:dyDescent="0.45">
      <c r="A310">
        <v>11</v>
      </c>
      <c r="B310">
        <v>11</v>
      </c>
      <c r="C310" t="s">
        <v>416</v>
      </c>
      <c r="D310" t="s">
        <v>414</v>
      </c>
      <c r="F310">
        <v>3.05</v>
      </c>
      <c r="G310">
        <v>250463.18799999999</v>
      </c>
      <c r="H310">
        <v>84309.358999999997</v>
      </c>
      <c r="I310">
        <v>29.707999999999998</v>
      </c>
      <c r="J310" t="s">
        <v>403</v>
      </c>
      <c r="K310">
        <v>9.5</v>
      </c>
      <c r="N310">
        <v>11</v>
      </c>
      <c r="O310">
        <v>11</v>
      </c>
      <c r="P310" t="s">
        <v>521</v>
      </c>
      <c r="Q310" t="s">
        <v>414</v>
      </c>
      <c r="S310">
        <v>3.06</v>
      </c>
      <c r="T310">
        <v>185657.96900000001</v>
      </c>
      <c r="U310">
        <v>51954.921999999999</v>
      </c>
      <c r="V310">
        <v>35.734000000000002</v>
      </c>
      <c r="W310" t="s">
        <v>415</v>
      </c>
      <c r="X310">
        <v>10.1</v>
      </c>
    </row>
    <row r="311" spans="1:25" x14ac:dyDescent="0.45">
      <c r="A311">
        <v>12</v>
      </c>
      <c r="B311">
        <v>12</v>
      </c>
      <c r="C311" t="s">
        <v>417</v>
      </c>
      <c r="D311" t="s">
        <v>414</v>
      </c>
      <c r="F311">
        <v>3.06</v>
      </c>
      <c r="G311">
        <v>233840.15599999999</v>
      </c>
      <c r="H311">
        <v>66132.679999999993</v>
      </c>
      <c r="I311">
        <v>35.359000000000002</v>
      </c>
      <c r="J311" t="s">
        <v>403</v>
      </c>
      <c r="K311">
        <v>11.6</v>
      </c>
      <c r="N311">
        <v>12</v>
      </c>
      <c r="O311">
        <v>12</v>
      </c>
      <c r="P311" t="s">
        <v>522</v>
      </c>
      <c r="Q311" t="s">
        <v>414</v>
      </c>
      <c r="S311">
        <v>3.06</v>
      </c>
      <c r="T311">
        <v>248982.266</v>
      </c>
      <c r="U311">
        <v>41871.016000000003</v>
      </c>
      <c r="V311">
        <v>59.463999999999999</v>
      </c>
      <c r="W311" t="s">
        <v>415</v>
      </c>
      <c r="X311">
        <v>18.100000000000001</v>
      </c>
    </row>
    <row r="312" spans="1:25" x14ac:dyDescent="0.45">
      <c r="A312">
        <v>13</v>
      </c>
      <c r="B312">
        <v>13</v>
      </c>
      <c r="C312" t="s">
        <v>418</v>
      </c>
      <c r="D312" t="s">
        <v>414</v>
      </c>
      <c r="F312">
        <v>3.06</v>
      </c>
      <c r="G312">
        <v>181164.234</v>
      </c>
      <c r="H312">
        <v>52468.667999999998</v>
      </c>
      <c r="I312">
        <v>34.527999999999999</v>
      </c>
      <c r="J312" t="s">
        <v>403</v>
      </c>
      <c r="K312">
        <v>11.3</v>
      </c>
      <c r="N312">
        <v>13</v>
      </c>
      <c r="O312">
        <v>13</v>
      </c>
      <c r="P312" t="s">
        <v>523</v>
      </c>
      <c r="Q312" t="s">
        <v>414</v>
      </c>
      <c r="S312">
        <v>3.06</v>
      </c>
      <c r="T312">
        <v>203567.34400000001</v>
      </c>
      <c r="U312">
        <v>54000.101999999999</v>
      </c>
      <c r="V312">
        <v>37.698</v>
      </c>
      <c r="W312" t="s">
        <v>403</v>
      </c>
      <c r="X312">
        <v>10.8</v>
      </c>
    </row>
    <row r="313" spans="1:25" x14ac:dyDescent="0.45">
      <c r="A313">
        <v>14</v>
      </c>
      <c r="B313">
        <v>14</v>
      </c>
      <c r="C313" t="s">
        <v>419</v>
      </c>
      <c r="D313" t="s">
        <v>414</v>
      </c>
      <c r="F313">
        <v>3.06</v>
      </c>
      <c r="G313">
        <v>178576.32800000001</v>
      </c>
      <c r="H313">
        <v>74077.156000000003</v>
      </c>
      <c r="I313">
        <v>24.106999999999999</v>
      </c>
      <c r="J313" t="s">
        <v>403</v>
      </c>
      <c r="K313">
        <v>7.5</v>
      </c>
      <c r="N313">
        <v>14</v>
      </c>
      <c r="O313">
        <v>14</v>
      </c>
      <c r="P313" t="s">
        <v>524</v>
      </c>
      <c r="Q313" t="s">
        <v>414</v>
      </c>
      <c r="S313">
        <v>3.06</v>
      </c>
      <c r="T313">
        <v>189317.45300000001</v>
      </c>
      <c r="U313">
        <v>38490.843999999997</v>
      </c>
      <c r="V313">
        <v>49.185000000000002</v>
      </c>
      <c r="W313" t="s">
        <v>415</v>
      </c>
      <c r="X313">
        <v>14.6</v>
      </c>
    </row>
    <row r="314" spans="1:25" x14ac:dyDescent="0.45">
      <c r="A314">
        <v>15</v>
      </c>
      <c r="B314">
        <v>15</v>
      </c>
      <c r="C314" t="s">
        <v>420</v>
      </c>
      <c r="D314" t="s">
        <v>414</v>
      </c>
      <c r="F314">
        <v>3.06</v>
      </c>
      <c r="G314">
        <v>264145.25</v>
      </c>
      <c r="H314">
        <v>91490.358999999997</v>
      </c>
      <c r="I314">
        <v>28.870999999999999</v>
      </c>
      <c r="J314" t="s">
        <v>403</v>
      </c>
      <c r="K314">
        <v>9.1999999999999993</v>
      </c>
      <c r="N314">
        <v>15</v>
      </c>
      <c r="O314">
        <v>15</v>
      </c>
      <c r="P314" t="s">
        <v>525</v>
      </c>
      <c r="Q314" t="s">
        <v>414</v>
      </c>
      <c r="S314">
        <v>3.07</v>
      </c>
      <c r="T314">
        <v>176250.68799999999</v>
      </c>
      <c r="U314">
        <v>37209.313000000002</v>
      </c>
      <c r="V314">
        <v>47.366999999999997</v>
      </c>
      <c r="W314" t="s">
        <v>415</v>
      </c>
      <c r="X314">
        <v>14</v>
      </c>
    </row>
    <row r="315" spans="1:25" x14ac:dyDescent="0.45">
      <c r="A315">
        <v>16</v>
      </c>
      <c r="B315">
        <v>16</v>
      </c>
      <c r="C315" t="s">
        <v>421</v>
      </c>
      <c r="D315" t="s">
        <v>414</v>
      </c>
      <c r="F315">
        <v>3.06</v>
      </c>
      <c r="G315">
        <v>256998.234</v>
      </c>
      <c r="H315">
        <v>82730.25</v>
      </c>
      <c r="I315">
        <v>31.065000000000001</v>
      </c>
      <c r="J315" t="s">
        <v>403</v>
      </c>
      <c r="K315">
        <v>10</v>
      </c>
      <c r="N315">
        <v>16</v>
      </c>
      <c r="O315">
        <v>16</v>
      </c>
      <c r="P315" t="s">
        <v>526</v>
      </c>
      <c r="Q315" t="s">
        <v>414</v>
      </c>
      <c r="S315">
        <v>3.07</v>
      </c>
      <c r="T315">
        <v>230386.45300000001</v>
      </c>
      <c r="U315">
        <v>56212.527000000002</v>
      </c>
      <c r="V315">
        <v>40.984999999999999</v>
      </c>
      <c r="W315" t="s">
        <v>401</v>
      </c>
      <c r="X315">
        <v>11.9</v>
      </c>
    </row>
    <row r="316" spans="1:25" x14ac:dyDescent="0.45">
      <c r="A316">
        <v>17</v>
      </c>
      <c r="B316">
        <v>17</v>
      </c>
      <c r="C316" t="s">
        <v>422</v>
      </c>
      <c r="D316" t="s">
        <v>414</v>
      </c>
      <c r="F316">
        <v>3.06</v>
      </c>
      <c r="G316">
        <v>184316.04699999999</v>
      </c>
      <c r="H316">
        <v>75166.812999999995</v>
      </c>
      <c r="I316">
        <v>24.521000000000001</v>
      </c>
      <c r="J316" t="s">
        <v>403</v>
      </c>
      <c r="K316">
        <v>7.7</v>
      </c>
      <c r="N316">
        <v>17</v>
      </c>
      <c r="O316">
        <v>17</v>
      </c>
      <c r="P316" t="s">
        <v>527</v>
      </c>
      <c r="Q316" t="s">
        <v>414</v>
      </c>
      <c r="S316">
        <v>3.07</v>
      </c>
      <c r="T316">
        <v>170810.125</v>
      </c>
      <c r="U316">
        <v>33520.605000000003</v>
      </c>
      <c r="V316">
        <v>50.957000000000001</v>
      </c>
      <c r="W316" t="s">
        <v>403</v>
      </c>
      <c r="X316">
        <v>15.2</v>
      </c>
    </row>
    <row r="317" spans="1:25" x14ac:dyDescent="0.45">
      <c r="A317">
        <v>18</v>
      </c>
      <c r="B317">
        <v>18</v>
      </c>
      <c r="C317" t="s">
        <v>423</v>
      </c>
      <c r="D317" t="s">
        <v>414</v>
      </c>
      <c r="F317">
        <v>3.06</v>
      </c>
      <c r="G317">
        <v>220301.734</v>
      </c>
      <c r="H317">
        <v>91170.82</v>
      </c>
      <c r="I317">
        <v>24.164000000000001</v>
      </c>
      <c r="J317" t="s">
        <v>403</v>
      </c>
      <c r="K317">
        <v>7.6</v>
      </c>
      <c r="N317">
        <v>18</v>
      </c>
      <c r="O317">
        <v>18</v>
      </c>
      <c r="P317" t="s">
        <v>528</v>
      </c>
      <c r="Q317" t="s">
        <v>414</v>
      </c>
      <c r="S317">
        <v>3.07</v>
      </c>
      <c r="T317">
        <v>206457.32800000001</v>
      </c>
      <c r="U317">
        <v>48430.309000000001</v>
      </c>
      <c r="V317">
        <v>42.63</v>
      </c>
      <c r="W317" t="s">
        <v>415</v>
      </c>
      <c r="X317">
        <v>12.4</v>
      </c>
    </row>
    <row r="318" spans="1:25" x14ac:dyDescent="0.45">
      <c r="A318">
        <v>19</v>
      </c>
      <c r="B318">
        <v>19</v>
      </c>
      <c r="C318" t="s">
        <v>424</v>
      </c>
      <c r="D318" t="s">
        <v>414</v>
      </c>
      <c r="F318">
        <v>3.07</v>
      </c>
      <c r="G318">
        <v>299153.375</v>
      </c>
      <c r="H318">
        <v>104416.516</v>
      </c>
      <c r="I318">
        <v>28.65</v>
      </c>
      <c r="J318" t="s">
        <v>403</v>
      </c>
      <c r="K318">
        <v>9.1999999999999993</v>
      </c>
      <c r="N318">
        <v>19</v>
      </c>
      <c r="O318">
        <v>19</v>
      </c>
      <c r="P318" t="s">
        <v>529</v>
      </c>
      <c r="Q318" t="s">
        <v>414</v>
      </c>
      <c r="S318">
        <v>3.07</v>
      </c>
      <c r="T318">
        <v>297782.78100000002</v>
      </c>
      <c r="U318">
        <v>93421.702999999994</v>
      </c>
      <c r="V318">
        <v>31.875</v>
      </c>
      <c r="W318" t="s">
        <v>401</v>
      </c>
      <c r="X318">
        <v>8.9</v>
      </c>
    </row>
    <row r="319" spans="1:25" x14ac:dyDescent="0.45">
      <c r="A319">
        <v>20</v>
      </c>
      <c r="B319">
        <v>20</v>
      </c>
      <c r="C319" t="s">
        <v>425</v>
      </c>
      <c r="D319" t="s">
        <v>414</v>
      </c>
      <c r="F319">
        <v>3.07</v>
      </c>
      <c r="G319">
        <v>225746.891</v>
      </c>
      <c r="H319">
        <v>55192.343999999997</v>
      </c>
      <c r="I319">
        <v>40.902000000000001</v>
      </c>
      <c r="J319" t="s">
        <v>403</v>
      </c>
      <c r="K319">
        <v>13.5</v>
      </c>
      <c r="N319">
        <v>20</v>
      </c>
      <c r="O319">
        <v>20</v>
      </c>
      <c r="P319" t="s">
        <v>530</v>
      </c>
      <c r="Q319" t="s">
        <v>414</v>
      </c>
      <c r="S319">
        <v>3.07</v>
      </c>
      <c r="T319">
        <v>171678.53099999999</v>
      </c>
      <c r="U319">
        <v>33901.855000000003</v>
      </c>
      <c r="V319">
        <v>50.64</v>
      </c>
      <c r="W319" t="s">
        <v>415</v>
      </c>
      <c r="X319">
        <v>15.1</v>
      </c>
    </row>
    <row r="320" spans="1:25" x14ac:dyDescent="0.45">
      <c r="A320">
        <v>21</v>
      </c>
      <c r="B320">
        <v>21</v>
      </c>
      <c r="C320" t="s">
        <v>426</v>
      </c>
      <c r="D320" t="s">
        <v>414</v>
      </c>
      <c r="F320">
        <v>3.07</v>
      </c>
      <c r="G320">
        <v>203264.18799999999</v>
      </c>
      <c r="H320">
        <v>83788.687999999995</v>
      </c>
      <c r="I320">
        <v>24.259</v>
      </c>
      <c r="J320" t="s">
        <v>403</v>
      </c>
      <c r="K320">
        <v>7.6</v>
      </c>
      <c r="N320">
        <v>21</v>
      </c>
      <c r="O320">
        <v>21</v>
      </c>
      <c r="P320" t="s">
        <v>531</v>
      </c>
      <c r="Q320" t="s">
        <v>414</v>
      </c>
      <c r="S320">
        <v>3.07</v>
      </c>
      <c r="T320">
        <v>173295.56299999999</v>
      </c>
      <c r="U320">
        <v>41808.836000000003</v>
      </c>
      <c r="V320">
        <v>41.45</v>
      </c>
      <c r="W320" t="s">
        <v>415</v>
      </c>
      <c r="X320">
        <v>12</v>
      </c>
    </row>
    <row r="321" spans="1:24" x14ac:dyDescent="0.45">
      <c r="A321">
        <v>22</v>
      </c>
      <c r="B321">
        <v>22</v>
      </c>
      <c r="C321" t="s">
        <v>427</v>
      </c>
      <c r="D321" t="s">
        <v>414</v>
      </c>
      <c r="F321">
        <v>3.07</v>
      </c>
      <c r="G321">
        <v>280948.375</v>
      </c>
      <c r="H321">
        <v>61919.858999999997</v>
      </c>
      <c r="I321">
        <v>45.372999999999998</v>
      </c>
      <c r="J321" t="s">
        <v>403</v>
      </c>
      <c r="K321">
        <v>15.1</v>
      </c>
      <c r="N321">
        <v>22</v>
      </c>
      <c r="O321">
        <v>22</v>
      </c>
      <c r="P321" t="s">
        <v>532</v>
      </c>
      <c r="Q321" t="s">
        <v>414</v>
      </c>
      <c r="S321">
        <v>3.07</v>
      </c>
      <c r="T321">
        <v>186474.84400000001</v>
      </c>
      <c r="U321">
        <v>43682.531000000003</v>
      </c>
      <c r="V321">
        <v>42.689</v>
      </c>
      <c r="W321" t="s">
        <v>415</v>
      </c>
      <c r="X321">
        <v>12.5</v>
      </c>
    </row>
    <row r="322" spans="1:24" x14ac:dyDescent="0.45">
      <c r="A322">
        <v>23</v>
      </c>
      <c r="B322">
        <v>23</v>
      </c>
      <c r="C322" t="s">
        <v>428</v>
      </c>
      <c r="D322" t="s">
        <v>414</v>
      </c>
      <c r="F322">
        <v>3.07</v>
      </c>
      <c r="G322">
        <v>264192.65600000002</v>
      </c>
      <c r="H322">
        <v>63825.245999999999</v>
      </c>
      <c r="I322">
        <v>41.393000000000001</v>
      </c>
      <c r="J322" t="s">
        <v>403</v>
      </c>
      <c r="K322">
        <v>13.7</v>
      </c>
      <c r="N322">
        <v>23</v>
      </c>
      <c r="O322">
        <v>23</v>
      </c>
      <c r="P322" t="s">
        <v>533</v>
      </c>
      <c r="Q322" t="s">
        <v>414</v>
      </c>
      <c r="S322">
        <v>3.07</v>
      </c>
      <c r="T322">
        <v>260314.984</v>
      </c>
      <c r="U322">
        <v>71635.726999999999</v>
      </c>
      <c r="V322">
        <v>36.338999999999999</v>
      </c>
      <c r="W322" t="s">
        <v>415</v>
      </c>
      <c r="X322">
        <v>10.3</v>
      </c>
    </row>
    <row r="323" spans="1:24" x14ac:dyDescent="0.45">
      <c r="A323">
        <v>24</v>
      </c>
      <c r="B323">
        <v>24</v>
      </c>
      <c r="C323" t="s">
        <v>429</v>
      </c>
      <c r="D323" t="s">
        <v>414</v>
      </c>
      <c r="F323">
        <v>3.07</v>
      </c>
      <c r="G323">
        <v>231584.984</v>
      </c>
      <c r="H323">
        <v>67217.312999999995</v>
      </c>
      <c r="I323">
        <v>34.453000000000003</v>
      </c>
      <c r="J323" t="s">
        <v>403</v>
      </c>
      <c r="K323">
        <v>11.2</v>
      </c>
      <c r="N323">
        <v>24</v>
      </c>
      <c r="O323">
        <v>24</v>
      </c>
      <c r="P323" t="s">
        <v>534</v>
      </c>
      <c r="Q323" t="s">
        <v>414</v>
      </c>
      <c r="S323">
        <v>3.07</v>
      </c>
      <c r="T323">
        <v>208381.46900000001</v>
      </c>
      <c r="U323">
        <v>54890.055</v>
      </c>
      <c r="V323">
        <v>37.963000000000001</v>
      </c>
      <c r="W323" t="s">
        <v>415</v>
      </c>
      <c r="X323">
        <v>10.9</v>
      </c>
    </row>
    <row r="324" spans="1:24" x14ac:dyDescent="0.45">
      <c r="A324">
        <v>25</v>
      </c>
      <c r="B324">
        <v>25</v>
      </c>
      <c r="C324" t="s">
        <v>430</v>
      </c>
      <c r="D324" t="s">
        <v>414</v>
      </c>
      <c r="F324">
        <v>3.07</v>
      </c>
      <c r="G324">
        <v>300281.96899999998</v>
      </c>
      <c r="H324">
        <v>73208.968999999997</v>
      </c>
      <c r="I324">
        <v>41.017000000000003</v>
      </c>
      <c r="J324" t="s">
        <v>403</v>
      </c>
      <c r="K324">
        <v>13.6</v>
      </c>
      <c r="N324">
        <v>25</v>
      </c>
      <c r="O324">
        <v>25</v>
      </c>
      <c r="P324" t="s">
        <v>535</v>
      </c>
      <c r="Q324" t="s">
        <v>414</v>
      </c>
      <c r="S324">
        <v>3.07</v>
      </c>
      <c r="T324">
        <v>299550.625</v>
      </c>
      <c r="U324">
        <v>92329.875</v>
      </c>
      <c r="V324">
        <v>32.444000000000003</v>
      </c>
      <c r="W324" t="s">
        <v>415</v>
      </c>
      <c r="X324">
        <v>9</v>
      </c>
    </row>
    <row r="325" spans="1:24" x14ac:dyDescent="0.45">
      <c r="A325">
        <v>26</v>
      </c>
      <c r="B325">
        <v>26</v>
      </c>
      <c r="C325" t="s">
        <v>431</v>
      </c>
      <c r="D325" t="s">
        <v>414</v>
      </c>
      <c r="F325">
        <v>3.07</v>
      </c>
      <c r="G325">
        <v>208010.15599999999</v>
      </c>
      <c r="H325">
        <v>54099.112999999998</v>
      </c>
      <c r="I325">
        <v>38.450000000000003</v>
      </c>
      <c r="J325" t="s">
        <v>403</v>
      </c>
      <c r="K325">
        <v>12.7</v>
      </c>
      <c r="N325">
        <v>26</v>
      </c>
      <c r="O325">
        <v>26</v>
      </c>
      <c r="P325" t="s">
        <v>536</v>
      </c>
      <c r="Q325" t="s">
        <v>414</v>
      </c>
      <c r="S325">
        <v>3.07</v>
      </c>
      <c r="T325">
        <v>207038.32800000001</v>
      </c>
      <c r="U325">
        <v>45908.906000000003</v>
      </c>
      <c r="V325">
        <v>45.097999999999999</v>
      </c>
      <c r="W325" t="s">
        <v>415</v>
      </c>
      <c r="X325">
        <v>13.3</v>
      </c>
    </row>
    <row r="326" spans="1:24" x14ac:dyDescent="0.45">
      <c r="A326">
        <v>27</v>
      </c>
      <c r="B326">
        <v>27</v>
      </c>
      <c r="C326" t="s">
        <v>432</v>
      </c>
      <c r="D326" t="s">
        <v>414</v>
      </c>
      <c r="F326">
        <v>3.07</v>
      </c>
      <c r="G326">
        <v>222461.734</v>
      </c>
      <c r="H326">
        <v>55670.851999999999</v>
      </c>
      <c r="I326">
        <v>39.96</v>
      </c>
      <c r="J326" t="s">
        <v>403</v>
      </c>
      <c r="K326">
        <v>13.2</v>
      </c>
      <c r="N326">
        <v>27</v>
      </c>
      <c r="O326">
        <v>27</v>
      </c>
      <c r="P326" t="s">
        <v>537</v>
      </c>
      <c r="Q326" t="s">
        <v>414</v>
      </c>
      <c r="S326">
        <v>3.08</v>
      </c>
      <c r="T326">
        <v>184604.56299999999</v>
      </c>
      <c r="U326">
        <v>35462.035000000003</v>
      </c>
      <c r="V326">
        <v>52.057000000000002</v>
      </c>
      <c r="W326" t="s">
        <v>415</v>
      </c>
      <c r="X326">
        <v>15.6</v>
      </c>
    </row>
    <row r="327" spans="1:24" x14ac:dyDescent="0.45">
      <c r="A327">
        <v>28</v>
      </c>
      <c r="B327">
        <v>28</v>
      </c>
      <c r="C327" t="s">
        <v>433</v>
      </c>
      <c r="D327" t="s">
        <v>414</v>
      </c>
      <c r="F327">
        <v>3.07</v>
      </c>
      <c r="G327">
        <v>339158.34399999998</v>
      </c>
      <c r="H327">
        <v>65772.023000000001</v>
      </c>
      <c r="I327">
        <v>51.566000000000003</v>
      </c>
      <c r="J327" t="s">
        <v>403</v>
      </c>
      <c r="K327">
        <v>17.3</v>
      </c>
      <c r="N327">
        <v>28</v>
      </c>
      <c r="O327">
        <v>28</v>
      </c>
      <c r="P327" t="s">
        <v>538</v>
      </c>
      <c r="Q327" t="s">
        <v>414</v>
      </c>
      <c r="S327">
        <v>3.08</v>
      </c>
      <c r="T327">
        <v>185849.234</v>
      </c>
      <c r="U327">
        <v>41089.019999999997</v>
      </c>
      <c r="V327">
        <v>45.231000000000002</v>
      </c>
      <c r="W327" t="s">
        <v>412</v>
      </c>
      <c r="X327">
        <v>13.3</v>
      </c>
    </row>
    <row r="328" spans="1:24" x14ac:dyDescent="0.45">
      <c r="A328">
        <v>29</v>
      </c>
      <c r="B328">
        <v>29</v>
      </c>
      <c r="C328" t="s">
        <v>434</v>
      </c>
      <c r="D328" t="s">
        <v>414</v>
      </c>
      <c r="F328">
        <v>3.07</v>
      </c>
      <c r="G328">
        <v>277109.18800000002</v>
      </c>
      <c r="H328">
        <v>67222.835999999996</v>
      </c>
      <c r="I328">
        <v>41.222000000000001</v>
      </c>
      <c r="J328" t="s">
        <v>403</v>
      </c>
      <c r="K328">
        <v>13.7</v>
      </c>
      <c r="N328">
        <v>29</v>
      </c>
      <c r="O328">
        <v>29</v>
      </c>
      <c r="P328" t="s">
        <v>539</v>
      </c>
      <c r="Q328" t="s">
        <v>414</v>
      </c>
      <c r="S328">
        <v>3.08</v>
      </c>
      <c r="T328">
        <v>271213.625</v>
      </c>
      <c r="U328">
        <v>70525.358999999997</v>
      </c>
      <c r="V328">
        <v>38.456000000000003</v>
      </c>
      <c r="W328" t="s">
        <v>415</v>
      </c>
      <c r="X328">
        <v>11</v>
      </c>
    </row>
    <row r="329" spans="1:24" x14ac:dyDescent="0.45">
      <c r="A329">
        <v>30</v>
      </c>
      <c r="B329">
        <v>30</v>
      </c>
      <c r="C329" t="s">
        <v>435</v>
      </c>
      <c r="D329" t="s">
        <v>414</v>
      </c>
      <c r="F329">
        <v>3.07</v>
      </c>
      <c r="G329">
        <v>190593.34400000001</v>
      </c>
      <c r="H329">
        <v>53743.601999999999</v>
      </c>
      <c r="I329">
        <v>35.463000000000001</v>
      </c>
      <c r="J329" t="s">
        <v>403</v>
      </c>
      <c r="K329">
        <v>11.6</v>
      </c>
      <c r="N329">
        <v>30</v>
      </c>
      <c r="O329">
        <v>30</v>
      </c>
      <c r="P329" t="s">
        <v>540</v>
      </c>
      <c r="Q329" t="s">
        <v>414</v>
      </c>
      <c r="S329">
        <v>3.08</v>
      </c>
      <c r="T329">
        <v>260109.82800000001</v>
      </c>
      <c r="U329">
        <v>57675.995999999999</v>
      </c>
      <c r="V329">
        <v>45.097999999999999</v>
      </c>
      <c r="W329" t="s">
        <v>415</v>
      </c>
      <c r="X329">
        <v>13.3</v>
      </c>
    </row>
    <row r="330" spans="1:24" x14ac:dyDescent="0.45">
      <c r="A330">
        <v>31</v>
      </c>
      <c r="B330">
        <v>31</v>
      </c>
      <c r="C330" t="s">
        <v>436</v>
      </c>
      <c r="D330" t="s">
        <v>414</v>
      </c>
      <c r="F330">
        <v>3.07</v>
      </c>
      <c r="G330">
        <v>131540.391</v>
      </c>
      <c r="H330">
        <v>63825.035000000003</v>
      </c>
      <c r="I330">
        <v>20.61</v>
      </c>
      <c r="J330" t="s">
        <v>403</v>
      </c>
      <c r="K330">
        <v>6.3</v>
      </c>
      <c r="N330">
        <v>31</v>
      </c>
      <c r="O330">
        <v>31</v>
      </c>
      <c r="P330" t="s">
        <v>541</v>
      </c>
      <c r="Q330" t="s">
        <v>414</v>
      </c>
      <c r="S330">
        <v>3.08</v>
      </c>
      <c r="T330">
        <v>181324</v>
      </c>
      <c r="U330">
        <v>53143.934000000001</v>
      </c>
      <c r="V330">
        <v>34.119</v>
      </c>
      <c r="W330" t="s">
        <v>415</v>
      </c>
      <c r="X330">
        <v>9.6</v>
      </c>
    </row>
    <row r="331" spans="1:24" x14ac:dyDescent="0.45">
      <c r="A331">
        <v>32</v>
      </c>
      <c r="B331">
        <v>32</v>
      </c>
      <c r="C331" t="s">
        <v>437</v>
      </c>
      <c r="D331" t="s">
        <v>414</v>
      </c>
      <c r="F331">
        <v>3.07</v>
      </c>
      <c r="G331">
        <v>172951.57800000001</v>
      </c>
      <c r="H331">
        <v>49027.273000000001</v>
      </c>
      <c r="I331">
        <v>35.277000000000001</v>
      </c>
      <c r="J331" t="s">
        <v>403</v>
      </c>
      <c r="K331">
        <v>11.5</v>
      </c>
      <c r="N331">
        <v>32</v>
      </c>
      <c r="O331">
        <v>32</v>
      </c>
      <c r="P331" t="s">
        <v>542</v>
      </c>
      <c r="Q331" t="s">
        <v>414</v>
      </c>
      <c r="S331">
        <v>3.08</v>
      </c>
      <c r="T331">
        <v>175405.18799999999</v>
      </c>
      <c r="U331">
        <v>39442.32</v>
      </c>
      <c r="V331">
        <v>44.470999999999997</v>
      </c>
      <c r="W331" t="s">
        <v>415</v>
      </c>
      <c r="X331">
        <v>13.1</v>
      </c>
    </row>
    <row r="332" spans="1:24" x14ac:dyDescent="0.45">
      <c r="A332">
        <v>33</v>
      </c>
      <c r="B332">
        <v>33</v>
      </c>
      <c r="C332" t="s">
        <v>438</v>
      </c>
      <c r="D332" t="s">
        <v>414</v>
      </c>
      <c r="F332">
        <v>3.07</v>
      </c>
      <c r="G332">
        <v>164188.04699999999</v>
      </c>
      <c r="H332">
        <v>55418.148000000001</v>
      </c>
      <c r="I332">
        <v>29.626999999999999</v>
      </c>
      <c r="J332" t="s">
        <v>403</v>
      </c>
      <c r="K332">
        <v>9.5</v>
      </c>
      <c r="N332">
        <v>33</v>
      </c>
      <c r="O332">
        <v>33</v>
      </c>
      <c r="P332" t="s">
        <v>543</v>
      </c>
      <c r="Q332" t="s">
        <v>414</v>
      </c>
      <c r="S332">
        <v>3.08</v>
      </c>
      <c r="T332">
        <v>179624.04699999999</v>
      </c>
      <c r="U332">
        <v>39358.858999999997</v>
      </c>
      <c r="V332">
        <v>45.637999999999998</v>
      </c>
      <c r="W332" t="s">
        <v>415</v>
      </c>
      <c r="X332">
        <v>13.4</v>
      </c>
    </row>
    <row r="333" spans="1:24" x14ac:dyDescent="0.45">
      <c r="A333">
        <v>34</v>
      </c>
      <c r="B333">
        <v>34</v>
      </c>
      <c r="C333" t="s">
        <v>439</v>
      </c>
      <c r="D333" t="s">
        <v>414</v>
      </c>
      <c r="F333">
        <v>3.07</v>
      </c>
      <c r="G333">
        <v>215921.875</v>
      </c>
      <c r="H333">
        <v>43340.773000000001</v>
      </c>
      <c r="I333">
        <v>49.82</v>
      </c>
      <c r="J333" t="s">
        <v>403</v>
      </c>
      <c r="K333">
        <v>16.7</v>
      </c>
      <c r="N333">
        <v>34</v>
      </c>
      <c r="O333">
        <v>34</v>
      </c>
      <c r="P333" t="s">
        <v>544</v>
      </c>
      <c r="Q333" t="s">
        <v>414</v>
      </c>
      <c r="S333">
        <v>3.08</v>
      </c>
      <c r="T333">
        <v>178154.484</v>
      </c>
      <c r="U333">
        <v>44301.563000000002</v>
      </c>
      <c r="V333">
        <v>40.213999999999999</v>
      </c>
      <c r="W333" t="s">
        <v>415</v>
      </c>
      <c r="X333">
        <v>11.6</v>
      </c>
    </row>
    <row r="334" spans="1:24" x14ac:dyDescent="0.45">
      <c r="A334">
        <v>35</v>
      </c>
      <c r="B334">
        <v>35</v>
      </c>
      <c r="C334" t="s">
        <v>440</v>
      </c>
      <c r="D334" t="s">
        <v>414</v>
      </c>
      <c r="F334">
        <v>3.07</v>
      </c>
      <c r="G334">
        <v>283582.09399999998</v>
      </c>
      <c r="H334">
        <v>65802.508000000002</v>
      </c>
      <c r="I334">
        <v>43.095999999999997</v>
      </c>
      <c r="J334" t="s">
        <v>403</v>
      </c>
      <c r="K334">
        <v>14.3</v>
      </c>
      <c r="N334">
        <v>35</v>
      </c>
      <c r="O334">
        <v>35</v>
      </c>
      <c r="P334" t="s">
        <v>545</v>
      </c>
      <c r="Q334" t="s">
        <v>414</v>
      </c>
      <c r="S334">
        <v>3.08</v>
      </c>
      <c r="T334">
        <v>169371.25</v>
      </c>
      <c r="W334" t="s">
        <v>403</v>
      </c>
    </row>
    <row r="335" spans="1:24" x14ac:dyDescent="0.45">
      <c r="A335">
        <v>36</v>
      </c>
      <c r="B335">
        <v>36</v>
      </c>
      <c r="C335" t="s">
        <v>441</v>
      </c>
      <c r="D335" t="s">
        <v>414</v>
      </c>
      <c r="F335">
        <v>3.08</v>
      </c>
      <c r="G335">
        <v>239890.984</v>
      </c>
      <c r="H335">
        <v>59743.625</v>
      </c>
      <c r="I335">
        <v>40.152999999999999</v>
      </c>
      <c r="J335" t="s">
        <v>403</v>
      </c>
      <c r="K335">
        <v>13.3</v>
      </c>
      <c r="N335">
        <v>36</v>
      </c>
      <c r="O335">
        <v>36</v>
      </c>
      <c r="P335" t="s">
        <v>546</v>
      </c>
      <c r="Q335" t="s">
        <v>414</v>
      </c>
      <c r="S335">
        <v>3.08</v>
      </c>
      <c r="T335">
        <v>173229.891</v>
      </c>
      <c r="U335">
        <v>53864.137000000002</v>
      </c>
      <c r="V335">
        <v>32.161000000000001</v>
      </c>
      <c r="W335" t="s">
        <v>415</v>
      </c>
      <c r="X335">
        <v>8.9</v>
      </c>
    </row>
    <row r="336" spans="1:24" x14ac:dyDescent="0.45">
      <c r="A336">
        <v>37</v>
      </c>
      <c r="B336">
        <v>37</v>
      </c>
      <c r="C336" t="s">
        <v>442</v>
      </c>
      <c r="D336" t="s">
        <v>414</v>
      </c>
      <c r="F336">
        <v>3.07</v>
      </c>
      <c r="G336">
        <v>211109.65599999999</v>
      </c>
      <c r="H336">
        <v>55387.097999999998</v>
      </c>
      <c r="I336">
        <v>38.115000000000002</v>
      </c>
      <c r="J336" t="s">
        <v>403</v>
      </c>
      <c r="K336">
        <v>12.5</v>
      </c>
      <c r="N336">
        <v>37</v>
      </c>
      <c r="O336">
        <v>37</v>
      </c>
      <c r="P336" t="s">
        <v>547</v>
      </c>
      <c r="Q336" t="s">
        <v>414</v>
      </c>
      <c r="S336">
        <v>3.08</v>
      </c>
      <c r="T336">
        <v>156456.93799999999</v>
      </c>
      <c r="U336">
        <v>37767.457000000002</v>
      </c>
      <c r="V336">
        <v>41.426000000000002</v>
      </c>
      <c r="W336" t="s">
        <v>415</v>
      </c>
      <c r="X336">
        <v>12</v>
      </c>
    </row>
    <row r="337" spans="1:24" x14ac:dyDescent="0.45">
      <c r="A337">
        <v>38</v>
      </c>
      <c r="B337">
        <v>38</v>
      </c>
      <c r="C337" t="s">
        <v>443</v>
      </c>
      <c r="D337" t="s">
        <v>414</v>
      </c>
      <c r="F337">
        <v>3.08</v>
      </c>
      <c r="G337">
        <v>233973.34400000001</v>
      </c>
      <c r="H337">
        <v>41473.434000000001</v>
      </c>
      <c r="I337">
        <v>56.414999999999999</v>
      </c>
      <c r="J337" t="s">
        <v>403</v>
      </c>
      <c r="K337">
        <v>19.100000000000001</v>
      </c>
      <c r="N337">
        <v>38</v>
      </c>
      <c r="O337">
        <v>38</v>
      </c>
      <c r="P337" t="s">
        <v>548</v>
      </c>
      <c r="Q337" t="s">
        <v>414</v>
      </c>
      <c r="S337">
        <v>3.08</v>
      </c>
      <c r="T337">
        <v>165344.28099999999</v>
      </c>
      <c r="U337">
        <v>35809.042999999998</v>
      </c>
      <c r="V337">
        <v>46.173999999999999</v>
      </c>
      <c r="W337" t="s">
        <v>403</v>
      </c>
      <c r="X337">
        <v>13.6</v>
      </c>
    </row>
    <row r="338" spans="1:24" x14ac:dyDescent="0.45">
      <c r="A338">
        <v>39</v>
      </c>
      <c r="B338">
        <v>39</v>
      </c>
      <c r="C338" t="s">
        <v>444</v>
      </c>
      <c r="D338" t="s">
        <v>414</v>
      </c>
      <c r="F338">
        <v>3.08</v>
      </c>
      <c r="G338">
        <v>261946.46900000001</v>
      </c>
      <c r="H338">
        <v>59012.796999999999</v>
      </c>
      <c r="I338">
        <v>44.387999999999998</v>
      </c>
      <c r="J338" t="s">
        <v>403</v>
      </c>
      <c r="K338">
        <v>14.8</v>
      </c>
      <c r="N338">
        <v>39</v>
      </c>
      <c r="O338">
        <v>39</v>
      </c>
      <c r="P338" t="s">
        <v>549</v>
      </c>
      <c r="Q338" t="s">
        <v>414</v>
      </c>
      <c r="S338">
        <v>3.08</v>
      </c>
      <c r="T338">
        <v>148553.46900000001</v>
      </c>
      <c r="U338">
        <v>37341.199000000001</v>
      </c>
      <c r="V338">
        <v>39.783000000000001</v>
      </c>
      <c r="W338" t="s">
        <v>415</v>
      </c>
      <c r="X338">
        <v>11.5</v>
      </c>
    </row>
    <row r="339" spans="1:24" x14ac:dyDescent="0.45">
      <c r="A339">
        <v>40</v>
      </c>
      <c r="B339">
        <v>40</v>
      </c>
      <c r="C339" t="s">
        <v>445</v>
      </c>
      <c r="D339" t="s">
        <v>414</v>
      </c>
      <c r="F339">
        <v>3.08</v>
      </c>
      <c r="G339">
        <v>317301.375</v>
      </c>
      <c r="H339">
        <v>86755.460999999996</v>
      </c>
      <c r="I339">
        <v>36.573999999999998</v>
      </c>
      <c r="J339" t="s">
        <v>403</v>
      </c>
      <c r="K339">
        <v>12</v>
      </c>
      <c r="N339">
        <v>40</v>
      </c>
      <c r="O339">
        <v>40</v>
      </c>
      <c r="P339" t="s">
        <v>550</v>
      </c>
      <c r="Q339" t="s">
        <v>414</v>
      </c>
      <c r="S339">
        <v>3.08</v>
      </c>
      <c r="T339">
        <v>192564.391</v>
      </c>
      <c r="U339">
        <v>39614.887000000002</v>
      </c>
      <c r="V339">
        <v>48.609000000000002</v>
      </c>
      <c r="W339" t="s">
        <v>415</v>
      </c>
      <c r="X339">
        <v>14.4</v>
      </c>
    </row>
    <row r="340" spans="1:24" x14ac:dyDescent="0.45">
      <c r="A340">
        <v>41</v>
      </c>
      <c r="B340">
        <v>41</v>
      </c>
      <c r="C340" t="s">
        <v>446</v>
      </c>
      <c r="D340" t="s">
        <v>414</v>
      </c>
      <c r="F340">
        <v>3.08</v>
      </c>
      <c r="G340">
        <v>254544.06299999999</v>
      </c>
      <c r="H340">
        <v>74128.952999999994</v>
      </c>
      <c r="I340">
        <v>34.338000000000001</v>
      </c>
      <c r="J340" t="s">
        <v>403</v>
      </c>
      <c r="K340">
        <v>11.2</v>
      </c>
      <c r="N340">
        <v>41</v>
      </c>
      <c r="O340">
        <v>41</v>
      </c>
      <c r="P340" t="s">
        <v>551</v>
      </c>
      <c r="Q340" t="s">
        <v>414</v>
      </c>
      <c r="S340">
        <v>3.08</v>
      </c>
      <c r="T340">
        <v>181058.75</v>
      </c>
      <c r="U340">
        <v>51640.351999999999</v>
      </c>
      <c r="V340">
        <v>35.061</v>
      </c>
      <c r="W340" t="s">
        <v>415</v>
      </c>
      <c r="X340">
        <v>9.9</v>
      </c>
    </row>
    <row r="341" spans="1:24" x14ac:dyDescent="0.45">
      <c r="A341">
        <v>42</v>
      </c>
      <c r="B341">
        <v>42</v>
      </c>
      <c r="C341" t="s">
        <v>447</v>
      </c>
      <c r="D341" t="s">
        <v>414</v>
      </c>
      <c r="F341">
        <v>3.08</v>
      </c>
      <c r="G341">
        <v>279216.06300000002</v>
      </c>
      <c r="H341">
        <v>73521.539000000004</v>
      </c>
      <c r="I341">
        <v>37.976999999999997</v>
      </c>
      <c r="J341" t="s">
        <v>403</v>
      </c>
      <c r="K341">
        <v>12.5</v>
      </c>
      <c r="N341">
        <v>42</v>
      </c>
      <c r="O341">
        <v>42</v>
      </c>
      <c r="P341" t="s">
        <v>552</v>
      </c>
      <c r="Q341" t="s">
        <v>414</v>
      </c>
      <c r="S341">
        <v>3.08</v>
      </c>
      <c r="T341">
        <v>163178.17199999999</v>
      </c>
      <c r="U341">
        <v>45321.336000000003</v>
      </c>
      <c r="V341">
        <v>36.005000000000003</v>
      </c>
      <c r="W341" t="s">
        <v>415</v>
      </c>
      <c r="X341">
        <v>10.199999999999999</v>
      </c>
    </row>
    <row r="342" spans="1:24" x14ac:dyDescent="0.45">
      <c r="A342">
        <v>43</v>
      </c>
      <c r="B342">
        <v>43</v>
      </c>
      <c r="C342" t="s">
        <v>448</v>
      </c>
      <c r="D342" t="s">
        <v>414</v>
      </c>
      <c r="F342">
        <v>3.08</v>
      </c>
      <c r="G342">
        <v>307874.625</v>
      </c>
      <c r="H342">
        <v>67320.906000000003</v>
      </c>
      <c r="I342">
        <v>45.731999999999999</v>
      </c>
      <c r="J342" t="s">
        <v>403</v>
      </c>
      <c r="K342">
        <v>15.3</v>
      </c>
      <c r="N342">
        <v>43</v>
      </c>
      <c r="O342">
        <v>43</v>
      </c>
      <c r="P342" t="s">
        <v>553</v>
      </c>
      <c r="Q342" t="s">
        <v>414</v>
      </c>
      <c r="S342">
        <v>3.08</v>
      </c>
      <c r="T342">
        <v>201161.65599999999</v>
      </c>
      <c r="U342">
        <v>47150.667999999998</v>
      </c>
      <c r="V342">
        <v>42.664000000000001</v>
      </c>
      <c r="W342" t="s">
        <v>415</v>
      </c>
      <c r="X342">
        <v>12.5</v>
      </c>
    </row>
    <row r="343" spans="1:24" x14ac:dyDescent="0.45">
      <c r="A343">
        <v>44</v>
      </c>
      <c r="B343">
        <v>44</v>
      </c>
      <c r="C343" t="s">
        <v>449</v>
      </c>
      <c r="D343" t="s">
        <v>414</v>
      </c>
      <c r="F343">
        <v>3.08</v>
      </c>
      <c r="G343">
        <v>344820.34399999998</v>
      </c>
      <c r="H343">
        <v>77383.422000000006</v>
      </c>
      <c r="I343">
        <v>44.56</v>
      </c>
      <c r="J343" t="s">
        <v>403</v>
      </c>
      <c r="K343">
        <v>14.8</v>
      </c>
      <c r="N343">
        <v>44</v>
      </c>
      <c r="O343">
        <v>44</v>
      </c>
      <c r="P343" t="s">
        <v>554</v>
      </c>
      <c r="Q343" t="s">
        <v>414</v>
      </c>
      <c r="S343">
        <v>3.08</v>
      </c>
      <c r="T343">
        <v>174987.59400000001</v>
      </c>
      <c r="U343">
        <v>46629.98</v>
      </c>
      <c r="V343">
        <v>37.527000000000001</v>
      </c>
      <c r="W343" t="s">
        <v>415</v>
      </c>
      <c r="X343">
        <v>10.7</v>
      </c>
    </row>
    <row r="344" spans="1:24" x14ac:dyDescent="0.45">
      <c r="A344">
        <v>45</v>
      </c>
      <c r="B344">
        <v>45</v>
      </c>
      <c r="C344" t="s">
        <v>450</v>
      </c>
      <c r="D344" t="s">
        <v>414</v>
      </c>
      <c r="F344">
        <v>3.08</v>
      </c>
      <c r="G344">
        <v>186334.516</v>
      </c>
      <c r="H344">
        <v>66085.508000000002</v>
      </c>
      <c r="I344">
        <v>28.196000000000002</v>
      </c>
      <c r="J344" t="s">
        <v>403</v>
      </c>
      <c r="K344">
        <v>9</v>
      </c>
      <c r="N344">
        <v>45</v>
      </c>
      <c r="O344">
        <v>45</v>
      </c>
      <c r="P344" t="s">
        <v>555</v>
      </c>
      <c r="Q344" t="s">
        <v>414</v>
      </c>
      <c r="S344">
        <v>3.08</v>
      </c>
      <c r="T344">
        <v>218629.84400000001</v>
      </c>
      <c r="U344">
        <v>44670.222999999998</v>
      </c>
      <c r="V344">
        <v>48.942999999999998</v>
      </c>
      <c r="W344" t="s">
        <v>415</v>
      </c>
      <c r="X344">
        <v>14.5</v>
      </c>
    </row>
    <row r="345" spans="1:24" x14ac:dyDescent="0.45">
      <c r="A345">
        <v>46</v>
      </c>
      <c r="B345">
        <v>46</v>
      </c>
      <c r="C345" t="s">
        <v>451</v>
      </c>
      <c r="D345" t="s">
        <v>414</v>
      </c>
      <c r="F345">
        <v>3.08</v>
      </c>
      <c r="G345">
        <v>320089.21899999998</v>
      </c>
      <c r="H345">
        <v>68848.991999999998</v>
      </c>
      <c r="I345">
        <v>46.491</v>
      </c>
      <c r="J345" t="s">
        <v>403</v>
      </c>
      <c r="K345">
        <v>15.5</v>
      </c>
      <c r="N345">
        <v>46</v>
      </c>
      <c r="O345">
        <v>46</v>
      </c>
      <c r="P345" t="s">
        <v>556</v>
      </c>
      <c r="Q345" t="s">
        <v>414</v>
      </c>
      <c r="S345">
        <v>3.08</v>
      </c>
      <c r="T345">
        <v>185850.625</v>
      </c>
      <c r="U345">
        <v>31667.127</v>
      </c>
      <c r="V345">
        <v>58.689</v>
      </c>
      <c r="W345" t="s">
        <v>415</v>
      </c>
      <c r="X345">
        <v>17.8</v>
      </c>
    </row>
    <row r="346" spans="1:24" x14ac:dyDescent="0.45">
      <c r="A346">
        <v>47</v>
      </c>
      <c r="B346">
        <v>47</v>
      </c>
      <c r="C346" t="s">
        <v>452</v>
      </c>
      <c r="D346" t="s">
        <v>414</v>
      </c>
      <c r="F346">
        <v>3.08</v>
      </c>
      <c r="G346">
        <v>209333.21900000001</v>
      </c>
      <c r="H346">
        <v>40148.351999999999</v>
      </c>
      <c r="I346">
        <v>52.14</v>
      </c>
      <c r="J346" t="s">
        <v>403</v>
      </c>
      <c r="K346">
        <v>17.5</v>
      </c>
      <c r="N346">
        <v>47</v>
      </c>
      <c r="O346">
        <v>47</v>
      </c>
      <c r="P346" t="s">
        <v>557</v>
      </c>
      <c r="Q346" t="s">
        <v>414</v>
      </c>
      <c r="S346">
        <v>3.08</v>
      </c>
      <c r="T346">
        <v>167458.984</v>
      </c>
      <c r="U346">
        <v>31993.508000000002</v>
      </c>
      <c r="V346">
        <v>52.341999999999999</v>
      </c>
      <c r="W346" t="s">
        <v>415</v>
      </c>
      <c r="X346">
        <v>15.7</v>
      </c>
    </row>
    <row r="347" spans="1:24" x14ac:dyDescent="0.45">
      <c r="A347">
        <v>48</v>
      </c>
      <c r="B347">
        <v>48</v>
      </c>
      <c r="C347" t="s">
        <v>453</v>
      </c>
      <c r="D347" t="s">
        <v>414</v>
      </c>
      <c r="F347">
        <v>3.08</v>
      </c>
      <c r="G347">
        <v>199216.15599999999</v>
      </c>
      <c r="H347">
        <v>44919.417999999998</v>
      </c>
      <c r="I347">
        <v>44.35</v>
      </c>
      <c r="J347" t="s">
        <v>403</v>
      </c>
      <c r="K347">
        <v>14.8</v>
      </c>
      <c r="N347">
        <v>48</v>
      </c>
      <c r="O347">
        <v>48</v>
      </c>
      <c r="P347" t="s">
        <v>558</v>
      </c>
      <c r="Q347" t="s">
        <v>414</v>
      </c>
      <c r="S347">
        <v>3.08</v>
      </c>
      <c r="T347">
        <v>189554.57800000001</v>
      </c>
      <c r="U347">
        <v>32571.208999999999</v>
      </c>
      <c r="V347">
        <v>58.197000000000003</v>
      </c>
      <c r="W347" t="s">
        <v>415</v>
      </c>
      <c r="X347">
        <v>17.600000000000001</v>
      </c>
    </row>
    <row r="348" spans="1:24" x14ac:dyDescent="0.45">
      <c r="A348">
        <v>49</v>
      </c>
      <c r="B348">
        <v>49</v>
      </c>
      <c r="C348" t="s">
        <v>454</v>
      </c>
      <c r="D348" t="s">
        <v>414</v>
      </c>
      <c r="F348">
        <v>3.08</v>
      </c>
      <c r="G348">
        <v>232395.28099999999</v>
      </c>
      <c r="H348">
        <v>41859.870999999999</v>
      </c>
      <c r="I348">
        <v>55.517000000000003</v>
      </c>
      <c r="J348" t="s">
        <v>403</v>
      </c>
      <c r="K348">
        <v>18.8</v>
      </c>
      <c r="N348">
        <v>49</v>
      </c>
      <c r="O348">
        <v>49</v>
      </c>
      <c r="P348" t="s">
        <v>559</v>
      </c>
      <c r="Q348" t="s">
        <v>414</v>
      </c>
      <c r="S348">
        <v>3.08</v>
      </c>
      <c r="T348">
        <v>192003.31299999999</v>
      </c>
      <c r="U348">
        <v>38486.949000000001</v>
      </c>
      <c r="V348">
        <v>49.887999999999998</v>
      </c>
      <c r="W348" t="s">
        <v>403</v>
      </c>
      <c r="X348">
        <v>14.9</v>
      </c>
    </row>
    <row r="349" spans="1:24" x14ac:dyDescent="0.45">
      <c r="A349">
        <v>50</v>
      </c>
      <c r="B349">
        <v>50</v>
      </c>
      <c r="C349" t="s">
        <v>455</v>
      </c>
      <c r="D349" t="s">
        <v>414</v>
      </c>
      <c r="F349">
        <v>3.08</v>
      </c>
      <c r="G349">
        <v>377982.46899999998</v>
      </c>
      <c r="H349">
        <v>56855.038999999997</v>
      </c>
      <c r="I349">
        <v>66.481999999999999</v>
      </c>
      <c r="J349" t="s">
        <v>403</v>
      </c>
      <c r="K349">
        <v>22.7</v>
      </c>
      <c r="N349">
        <v>50</v>
      </c>
      <c r="O349">
        <v>50</v>
      </c>
      <c r="P349" t="s">
        <v>560</v>
      </c>
      <c r="Q349" t="s">
        <v>414</v>
      </c>
      <c r="S349">
        <v>3.08</v>
      </c>
      <c r="T349">
        <v>162967.234</v>
      </c>
      <c r="U349">
        <v>37523.108999999997</v>
      </c>
      <c r="V349">
        <v>43.430999999999997</v>
      </c>
      <c r="W349" t="s">
        <v>415</v>
      </c>
      <c r="X349">
        <v>12.7</v>
      </c>
    </row>
    <row r="350" spans="1:24" x14ac:dyDescent="0.45">
      <c r="A350">
        <v>51</v>
      </c>
      <c r="B350">
        <v>51</v>
      </c>
      <c r="C350" t="s">
        <v>456</v>
      </c>
      <c r="D350" t="s">
        <v>414</v>
      </c>
      <c r="F350">
        <v>3.08</v>
      </c>
      <c r="G350">
        <v>293501.78100000002</v>
      </c>
      <c r="H350">
        <v>50161.078000000001</v>
      </c>
      <c r="I350">
        <v>58.512</v>
      </c>
      <c r="J350" t="s">
        <v>403</v>
      </c>
      <c r="K350">
        <v>19.8</v>
      </c>
      <c r="N350">
        <v>51</v>
      </c>
      <c r="O350">
        <v>51</v>
      </c>
      <c r="P350" t="s">
        <v>561</v>
      </c>
      <c r="Q350" t="s">
        <v>414</v>
      </c>
      <c r="S350">
        <v>3.08</v>
      </c>
      <c r="T350">
        <v>156949.766</v>
      </c>
      <c r="U350">
        <v>31793.794999999998</v>
      </c>
      <c r="V350">
        <v>49.365000000000002</v>
      </c>
      <c r="W350" t="s">
        <v>415</v>
      </c>
      <c r="X350">
        <v>14.7</v>
      </c>
    </row>
    <row r="351" spans="1:24" x14ac:dyDescent="0.45">
      <c r="A351">
        <v>52</v>
      </c>
      <c r="B351">
        <v>52</v>
      </c>
      <c r="C351" t="s">
        <v>457</v>
      </c>
      <c r="D351" t="s">
        <v>414</v>
      </c>
      <c r="F351">
        <v>3.08</v>
      </c>
      <c r="G351">
        <v>250363.484</v>
      </c>
      <c r="H351">
        <v>48811.171999999999</v>
      </c>
      <c r="I351">
        <v>51.292000000000002</v>
      </c>
      <c r="J351" t="s">
        <v>403</v>
      </c>
      <c r="K351">
        <v>17.2</v>
      </c>
      <c r="N351">
        <v>52</v>
      </c>
      <c r="O351">
        <v>52</v>
      </c>
      <c r="P351" t="s">
        <v>562</v>
      </c>
      <c r="Q351" t="s">
        <v>414</v>
      </c>
      <c r="S351">
        <v>3.08</v>
      </c>
      <c r="T351">
        <v>157021.109</v>
      </c>
      <c r="U351">
        <v>39503.074000000001</v>
      </c>
      <c r="V351">
        <v>39.749000000000002</v>
      </c>
      <c r="W351" t="s">
        <v>415</v>
      </c>
      <c r="X351">
        <v>11.5</v>
      </c>
    </row>
    <row r="352" spans="1:24" x14ac:dyDescent="0.45">
      <c r="A352">
        <v>53</v>
      </c>
      <c r="B352">
        <v>53</v>
      </c>
      <c r="C352" t="s">
        <v>458</v>
      </c>
      <c r="D352" t="s">
        <v>414</v>
      </c>
      <c r="F352">
        <v>3.08</v>
      </c>
      <c r="G352">
        <v>255106.67199999999</v>
      </c>
      <c r="H352">
        <v>54851.605000000003</v>
      </c>
      <c r="I352">
        <v>46.509</v>
      </c>
      <c r="J352" t="s">
        <v>403</v>
      </c>
      <c r="K352">
        <v>15.5</v>
      </c>
      <c r="N352">
        <v>53</v>
      </c>
      <c r="O352">
        <v>53</v>
      </c>
      <c r="P352" t="s">
        <v>563</v>
      </c>
      <c r="Q352" t="s">
        <v>414</v>
      </c>
      <c r="S352">
        <v>3.08</v>
      </c>
      <c r="T352">
        <v>164297.5</v>
      </c>
      <c r="U352">
        <v>48938.792999999998</v>
      </c>
      <c r="V352">
        <v>33.572000000000003</v>
      </c>
      <c r="W352" t="s">
        <v>415</v>
      </c>
      <c r="X352">
        <v>9.4</v>
      </c>
    </row>
    <row r="353" spans="1:24" x14ac:dyDescent="0.45">
      <c r="A353">
        <v>54</v>
      </c>
      <c r="B353">
        <v>54</v>
      </c>
      <c r="C353" t="s">
        <v>459</v>
      </c>
      <c r="D353" t="s">
        <v>414</v>
      </c>
      <c r="F353">
        <v>3.08</v>
      </c>
      <c r="G353">
        <v>256620.766</v>
      </c>
      <c r="H353">
        <v>58443.324000000001</v>
      </c>
      <c r="I353">
        <v>43.908999999999999</v>
      </c>
      <c r="J353" t="s">
        <v>403</v>
      </c>
      <c r="K353">
        <v>14.6</v>
      </c>
      <c r="N353">
        <v>54</v>
      </c>
      <c r="O353">
        <v>54</v>
      </c>
      <c r="P353" t="s">
        <v>564</v>
      </c>
      <c r="Q353" t="s">
        <v>414</v>
      </c>
      <c r="S353">
        <v>3.08</v>
      </c>
      <c r="T353">
        <v>237084.109</v>
      </c>
      <c r="U353">
        <v>41008.964999999997</v>
      </c>
      <c r="V353">
        <v>57.813000000000002</v>
      </c>
      <c r="W353" t="s">
        <v>415</v>
      </c>
      <c r="X353">
        <v>17.5</v>
      </c>
    </row>
    <row r="354" spans="1:24" x14ac:dyDescent="0.45">
      <c r="A354">
        <v>55</v>
      </c>
      <c r="B354">
        <v>55</v>
      </c>
      <c r="C354" t="s">
        <v>460</v>
      </c>
      <c r="D354" t="s">
        <v>414</v>
      </c>
      <c r="F354">
        <v>3.08</v>
      </c>
      <c r="G354">
        <v>209965.109</v>
      </c>
      <c r="H354">
        <v>40287.612999999998</v>
      </c>
      <c r="I354">
        <v>52.116999999999997</v>
      </c>
      <c r="J354" t="s">
        <v>403</v>
      </c>
      <c r="K354">
        <v>17.5</v>
      </c>
      <c r="N354">
        <v>55</v>
      </c>
      <c r="O354">
        <v>55</v>
      </c>
      <c r="P354" t="s">
        <v>565</v>
      </c>
      <c r="Q354" t="s">
        <v>414</v>
      </c>
      <c r="S354">
        <v>3.09</v>
      </c>
      <c r="T354">
        <v>168139.141</v>
      </c>
      <c r="U354">
        <v>44491.097999999998</v>
      </c>
      <c r="V354">
        <v>37.792000000000002</v>
      </c>
      <c r="W354" t="s">
        <v>415</v>
      </c>
      <c r="X354">
        <v>10.8</v>
      </c>
    </row>
    <row r="355" spans="1:24" x14ac:dyDescent="0.45">
      <c r="A355">
        <v>56</v>
      </c>
      <c r="B355">
        <v>56</v>
      </c>
      <c r="C355" t="s">
        <v>461</v>
      </c>
      <c r="D355" t="s">
        <v>414</v>
      </c>
      <c r="F355">
        <v>3.08</v>
      </c>
      <c r="G355">
        <v>212109.46900000001</v>
      </c>
      <c r="H355">
        <v>47666.879000000001</v>
      </c>
      <c r="I355">
        <v>44.497999999999998</v>
      </c>
      <c r="J355" t="s">
        <v>403</v>
      </c>
      <c r="K355">
        <v>14.8</v>
      </c>
      <c r="N355">
        <v>56</v>
      </c>
      <c r="O355">
        <v>56</v>
      </c>
      <c r="P355" t="s">
        <v>566</v>
      </c>
      <c r="Q355" t="s">
        <v>414</v>
      </c>
      <c r="S355">
        <v>3.09</v>
      </c>
      <c r="T355">
        <v>164573.15599999999</v>
      </c>
      <c r="U355">
        <v>37134.421999999999</v>
      </c>
      <c r="V355">
        <v>44.317999999999998</v>
      </c>
      <c r="W355" t="s">
        <v>415</v>
      </c>
      <c r="X355">
        <v>13</v>
      </c>
    </row>
    <row r="356" spans="1:24" x14ac:dyDescent="0.45">
      <c r="A356">
        <v>57</v>
      </c>
      <c r="B356">
        <v>57</v>
      </c>
      <c r="C356" t="s">
        <v>462</v>
      </c>
      <c r="D356" t="s">
        <v>414</v>
      </c>
      <c r="F356">
        <v>3.08</v>
      </c>
      <c r="G356">
        <v>220030.234</v>
      </c>
      <c r="H356">
        <v>50324.906000000003</v>
      </c>
      <c r="I356">
        <v>43.722000000000001</v>
      </c>
      <c r="J356" t="s">
        <v>403</v>
      </c>
      <c r="K356">
        <v>14.5</v>
      </c>
      <c r="N356">
        <v>57</v>
      </c>
      <c r="O356">
        <v>57</v>
      </c>
      <c r="P356" t="s">
        <v>567</v>
      </c>
      <c r="Q356" t="s">
        <v>414</v>
      </c>
      <c r="S356">
        <v>3.09</v>
      </c>
      <c r="T356">
        <v>160254.09400000001</v>
      </c>
      <c r="U356">
        <v>40540.438000000002</v>
      </c>
      <c r="V356">
        <v>39.529000000000003</v>
      </c>
      <c r="W356" t="s">
        <v>412</v>
      </c>
      <c r="X356">
        <v>11.4</v>
      </c>
    </row>
    <row r="357" spans="1:24" x14ac:dyDescent="0.45">
      <c r="A357">
        <v>58</v>
      </c>
      <c r="B357">
        <v>58</v>
      </c>
      <c r="C357" t="s">
        <v>463</v>
      </c>
      <c r="D357" t="s">
        <v>414</v>
      </c>
      <c r="F357">
        <v>3.08</v>
      </c>
      <c r="G357">
        <v>184967.859</v>
      </c>
      <c r="H357">
        <v>51102.370999999999</v>
      </c>
      <c r="I357">
        <v>36.195999999999998</v>
      </c>
      <c r="J357" t="s">
        <v>403</v>
      </c>
      <c r="K357">
        <v>11.9</v>
      </c>
      <c r="N357">
        <v>58</v>
      </c>
      <c r="O357">
        <v>58</v>
      </c>
      <c r="P357" t="s">
        <v>568</v>
      </c>
      <c r="Q357" t="s">
        <v>414</v>
      </c>
      <c r="S357">
        <v>3.08</v>
      </c>
      <c r="T357">
        <v>183785.109</v>
      </c>
      <c r="U357">
        <v>69129.202999999994</v>
      </c>
      <c r="V357">
        <v>26.585999999999999</v>
      </c>
      <c r="W357" t="s">
        <v>412</v>
      </c>
      <c r="X357">
        <v>7.1</v>
      </c>
    </row>
    <row r="358" spans="1:24" x14ac:dyDescent="0.45">
      <c r="A358">
        <v>59</v>
      </c>
      <c r="B358">
        <v>59</v>
      </c>
      <c r="C358" t="s">
        <v>464</v>
      </c>
      <c r="D358" t="s">
        <v>414</v>
      </c>
      <c r="F358">
        <v>3.08</v>
      </c>
      <c r="G358">
        <v>157009</v>
      </c>
      <c r="H358">
        <v>51337.425999999999</v>
      </c>
      <c r="I358">
        <v>30.584</v>
      </c>
      <c r="J358" t="s">
        <v>403</v>
      </c>
      <c r="K358">
        <v>9.9</v>
      </c>
      <c r="N358">
        <v>59</v>
      </c>
      <c r="O358">
        <v>59</v>
      </c>
      <c r="P358" t="s">
        <v>569</v>
      </c>
      <c r="Q358" t="s">
        <v>414</v>
      </c>
      <c r="S358">
        <v>3.08</v>
      </c>
      <c r="T358">
        <v>165735.46900000001</v>
      </c>
      <c r="U358">
        <v>37554.292999999998</v>
      </c>
      <c r="V358">
        <v>44.131999999999998</v>
      </c>
      <c r="W358" t="s">
        <v>415</v>
      </c>
      <c r="X358">
        <v>12.9</v>
      </c>
    </row>
    <row r="359" spans="1:24" x14ac:dyDescent="0.45">
      <c r="A359">
        <v>60</v>
      </c>
      <c r="B359">
        <v>60</v>
      </c>
      <c r="C359" t="s">
        <v>465</v>
      </c>
      <c r="D359" t="s">
        <v>414</v>
      </c>
      <c r="F359">
        <v>3.08</v>
      </c>
      <c r="G359">
        <v>220573.625</v>
      </c>
      <c r="H359">
        <v>59640.565999999999</v>
      </c>
      <c r="I359">
        <v>36.984000000000002</v>
      </c>
      <c r="J359" t="s">
        <v>403</v>
      </c>
      <c r="K359">
        <v>12.1</v>
      </c>
      <c r="N359">
        <v>60</v>
      </c>
      <c r="O359">
        <v>60</v>
      </c>
      <c r="P359" t="s">
        <v>570</v>
      </c>
      <c r="Q359" t="s">
        <v>414</v>
      </c>
      <c r="S359">
        <v>3.08</v>
      </c>
      <c r="T359">
        <v>297621.71899999998</v>
      </c>
      <c r="U359">
        <v>79110.508000000002</v>
      </c>
      <c r="V359">
        <v>37.621000000000002</v>
      </c>
      <c r="W359" t="s">
        <v>415</v>
      </c>
      <c r="X359">
        <v>10.8</v>
      </c>
    </row>
    <row r="360" spans="1:24" x14ac:dyDescent="0.45">
      <c r="A360">
        <v>61</v>
      </c>
      <c r="B360">
        <v>61</v>
      </c>
      <c r="C360" t="s">
        <v>466</v>
      </c>
      <c r="D360" t="s">
        <v>414</v>
      </c>
      <c r="F360">
        <v>3.08</v>
      </c>
      <c r="G360">
        <v>180479.234</v>
      </c>
      <c r="H360">
        <v>62493.625</v>
      </c>
      <c r="I360">
        <v>28.88</v>
      </c>
      <c r="J360" t="s">
        <v>403</v>
      </c>
      <c r="K360">
        <v>9.3000000000000007</v>
      </c>
      <c r="N360">
        <v>61</v>
      </c>
      <c r="O360">
        <v>61</v>
      </c>
      <c r="P360" t="s">
        <v>571</v>
      </c>
      <c r="Q360" t="s">
        <v>414</v>
      </c>
      <c r="S360">
        <v>3.09</v>
      </c>
      <c r="T360">
        <v>208137.43799999999</v>
      </c>
      <c r="U360">
        <v>42275.324000000001</v>
      </c>
      <c r="V360">
        <v>49.234000000000002</v>
      </c>
      <c r="W360" t="s">
        <v>415</v>
      </c>
      <c r="X360">
        <v>14.6</v>
      </c>
    </row>
    <row r="361" spans="1:24" x14ac:dyDescent="0.45">
      <c r="A361">
        <v>62</v>
      </c>
      <c r="B361">
        <v>62</v>
      </c>
      <c r="C361" t="s">
        <v>467</v>
      </c>
      <c r="D361" t="s">
        <v>414</v>
      </c>
      <c r="F361">
        <v>3.08</v>
      </c>
      <c r="G361">
        <v>207429.93799999999</v>
      </c>
      <c r="H361">
        <v>74909.664000000004</v>
      </c>
      <c r="I361">
        <v>27.690999999999999</v>
      </c>
      <c r="J361" t="s">
        <v>403</v>
      </c>
      <c r="K361">
        <v>8.8000000000000007</v>
      </c>
      <c r="N361">
        <v>62</v>
      </c>
      <c r="O361">
        <v>62</v>
      </c>
      <c r="P361" t="s">
        <v>572</v>
      </c>
      <c r="Q361" t="s">
        <v>414</v>
      </c>
      <c r="S361">
        <v>3.08</v>
      </c>
      <c r="T361">
        <v>228774.43799999999</v>
      </c>
      <c r="U361">
        <v>40421.563000000002</v>
      </c>
      <c r="V361">
        <v>56.597000000000001</v>
      </c>
      <c r="W361" t="s">
        <v>415</v>
      </c>
      <c r="X361">
        <v>17.100000000000001</v>
      </c>
    </row>
    <row r="362" spans="1:24" x14ac:dyDescent="0.45">
      <c r="A362">
        <v>63</v>
      </c>
      <c r="B362">
        <v>63</v>
      </c>
      <c r="C362" t="s">
        <v>468</v>
      </c>
      <c r="D362" t="s">
        <v>414</v>
      </c>
      <c r="F362">
        <v>3.08</v>
      </c>
      <c r="G362">
        <v>170670.609</v>
      </c>
      <c r="H362">
        <v>63882.688000000002</v>
      </c>
      <c r="I362">
        <v>26.716000000000001</v>
      </c>
      <c r="J362" t="s">
        <v>403</v>
      </c>
      <c r="K362">
        <v>8.5</v>
      </c>
      <c r="N362">
        <v>63</v>
      </c>
      <c r="O362">
        <v>63</v>
      </c>
      <c r="P362" t="s">
        <v>573</v>
      </c>
      <c r="Q362" t="s">
        <v>414</v>
      </c>
      <c r="S362">
        <v>3.09</v>
      </c>
      <c r="T362">
        <v>224777.92199999999</v>
      </c>
      <c r="U362">
        <v>59335.031000000003</v>
      </c>
      <c r="V362">
        <v>37.883000000000003</v>
      </c>
      <c r="W362" t="s">
        <v>415</v>
      </c>
      <c r="X362">
        <v>10.9</v>
      </c>
    </row>
    <row r="363" spans="1:24" x14ac:dyDescent="0.45">
      <c r="A363">
        <v>64</v>
      </c>
      <c r="B363">
        <v>64</v>
      </c>
      <c r="C363" t="s">
        <v>469</v>
      </c>
      <c r="D363" t="s">
        <v>414</v>
      </c>
      <c r="F363">
        <v>3.08</v>
      </c>
      <c r="G363">
        <v>255290.93799999999</v>
      </c>
      <c r="H363">
        <v>62556.828000000001</v>
      </c>
      <c r="I363">
        <v>40.808999999999997</v>
      </c>
      <c r="J363" t="s">
        <v>403</v>
      </c>
      <c r="K363">
        <v>13.5</v>
      </c>
      <c r="N363">
        <v>64</v>
      </c>
      <c r="O363">
        <v>64</v>
      </c>
      <c r="P363" t="s">
        <v>574</v>
      </c>
      <c r="Q363" t="s">
        <v>414</v>
      </c>
      <c r="S363">
        <v>3.09</v>
      </c>
      <c r="T363">
        <v>168011.734</v>
      </c>
      <c r="U363">
        <v>48512.425999999999</v>
      </c>
      <c r="V363">
        <v>34.633000000000003</v>
      </c>
      <c r="W363" t="s">
        <v>415</v>
      </c>
      <c r="X363">
        <v>9.8000000000000007</v>
      </c>
    </row>
    <row r="364" spans="1:24" x14ac:dyDescent="0.45">
      <c r="A364">
        <v>65</v>
      </c>
      <c r="B364">
        <v>65</v>
      </c>
      <c r="C364" t="s">
        <v>470</v>
      </c>
      <c r="D364" t="s">
        <v>414</v>
      </c>
      <c r="F364">
        <v>3.08</v>
      </c>
      <c r="G364">
        <v>175846.25</v>
      </c>
      <c r="H364">
        <v>58757.387000000002</v>
      </c>
      <c r="I364">
        <v>29.928000000000001</v>
      </c>
      <c r="J364" t="s">
        <v>403</v>
      </c>
      <c r="K364">
        <v>9.6</v>
      </c>
      <c r="N364">
        <v>65</v>
      </c>
      <c r="O364">
        <v>65</v>
      </c>
      <c r="P364" t="s">
        <v>575</v>
      </c>
      <c r="Q364" t="s">
        <v>414</v>
      </c>
      <c r="S364">
        <v>3.09</v>
      </c>
      <c r="T364">
        <v>167891.17199999999</v>
      </c>
      <c r="U364">
        <v>46699.91</v>
      </c>
      <c r="V364">
        <v>35.951000000000001</v>
      </c>
      <c r="W364" t="s">
        <v>415</v>
      </c>
      <c r="X364">
        <v>10.199999999999999</v>
      </c>
    </row>
    <row r="365" spans="1:24" x14ac:dyDescent="0.45">
      <c r="A365">
        <v>66</v>
      </c>
      <c r="B365">
        <v>66</v>
      </c>
      <c r="C365" t="s">
        <v>471</v>
      </c>
      <c r="D365" t="s">
        <v>414</v>
      </c>
      <c r="F365">
        <v>3.08</v>
      </c>
      <c r="G365">
        <v>194818.20300000001</v>
      </c>
      <c r="H365">
        <v>58986.688000000002</v>
      </c>
      <c r="I365">
        <v>33.027000000000001</v>
      </c>
      <c r="J365" t="s">
        <v>403</v>
      </c>
      <c r="K365">
        <v>10.7</v>
      </c>
      <c r="N365">
        <v>66</v>
      </c>
      <c r="O365">
        <v>66</v>
      </c>
      <c r="P365" t="s">
        <v>576</v>
      </c>
      <c r="Q365" t="s">
        <v>414</v>
      </c>
      <c r="S365">
        <v>3.09</v>
      </c>
      <c r="T365">
        <v>211445.359</v>
      </c>
      <c r="U365">
        <v>48016.792999999998</v>
      </c>
      <c r="V365">
        <v>44.036000000000001</v>
      </c>
      <c r="W365" t="s">
        <v>415</v>
      </c>
      <c r="X365">
        <v>12.9</v>
      </c>
    </row>
    <row r="366" spans="1:24" x14ac:dyDescent="0.45">
      <c r="A366">
        <v>67</v>
      </c>
      <c r="B366">
        <v>67</v>
      </c>
      <c r="C366" t="s">
        <v>472</v>
      </c>
      <c r="D366" t="s">
        <v>414</v>
      </c>
      <c r="F366">
        <v>3.08</v>
      </c>
      <c r="G366">
        <v>136332.20300000001</v>
      </c>
      <c r="H366">
        <v>38346.292999999998</v>
      </c>
      <c r="I366">
        <v>35.552999999999997</v>
      </c>
      <c r="J366" t="s">
        <v>403</v>
      </c>
      <c r="K366">
        <v>11.6</v>
      </c>
      <c r="N366">
        <v>67</v>
      </c>
      <c r="O366">
        <v>67</v>
      </c>
      <c r="P366" t="s">
        <v>577</v>
      </c>
      <c r="Q366" t="s">
        <v>414</v>
      </c>
      <c r="S366">
        <v>3.09</v>
      </c>
      <c r="T366">
        <v>184702.17199999999</v>
      </c>
      <c r="U366">
        <v>33370.980000000003</v>
      </c>
      <c r="V366">
        <v>55.347999999999999</v>
      </c>
      <c r="W366" t="s">
        <v>403</v>
      </c>
      <c r="X366">
        <v>16.7</v>
      </c>
    </row>
    <row r="367" spans="1:24" x14ac:dyDescent="0.45">
      <c r="A367">
        <v>68</v>
      </c>
      <c r="B367">
        <v>68</v>
      </c>
      <c r="C367" t="s">
        <v>473</v>
      </c>
      <c r="D367" t="s">
        <v>414</v>
      </c>
      <c r="F367">
        <v>3.09</v>
      </c>
      <c r="G367">
        <v>172345.81299999999</v>
      </c>
      <c r="H367">
        <v>50182.722999999998</v>
      </c>
      <c r="I367">
        <v>34.344000000000001</v>
      </c>
      <c r="J367" t="s">
        <v>403</v>
      </c>
      <c r="K367">
        <v>11.2</v>
      </c>
      <c r="N367">
        <v>68</v>
      </c>
      <c r="O367">
        <v>68</v>
      </c>
      <c r="P367" t="s">
        <v>578</v>
      </c>
      <c r="Q367" t="s">
        <v>414</v>
      </c>
      <c r="S367">
        <v>3.09</v>
      </c>
      <c r="T367">
        <v>169027.17199999999</v>
      </c>
      <c r="U367">
        <v>39011.684000000001</v>
      </c>
      <c r="V367">
        <v>43.326999999999998</v>
      </c>
      <c r="W367" t="s">
        <v>415</v>
      </c>
      <c r="X367">
        <v>12.7</v>
      </c>
    </row>
    <row r="368" spans="1:24" x14ac:dyDescent="0.45">
      <c r="A368">
        <v>69</v>
      </c>
      <c r="B368">
        <v>69</v>
      </c>
      <c r="C368" t="s">
        <v>474</v>
      </c>
      <c r="D368" t="s">
        <v>414</v>
      </c>
      <c r="F368">
        <v>3.09</v>
      </c>
      <c r="G368">
        <v>181920.641</v>
      </c>
      <c r="H368">
        <v>68892.789000000004</v>
      </c>
      <c r="I368">
        <v>26.405999999999999</v>
      </c>
      <c r="J368" t="s">
        <v>403</v>
      </c>
      <c r="K368">
        <v>8.4</v>
      </c>
      <c r="N368">
        <v>69</v>
      </c>
      <c r="O368">
        <v>69</v>
      </c>
      <c r="P368" t="s">
        <v>579</v>
      </c>
      <c r="Q368" t="s">
        <v>414</v>
      </c>
      <c r="S368">
        <v>3.09</v>
      </c>
      <c r="T368">
        <v>162864.96900000001</v>
      </c>
      <c r="U368">
        <v>35675.266000000003</v>
      </c>
      <c r="V368">
        <v>45.652000000000001</v>
      </c>
      <c r="W368" t="s">
        <v>412</v>
      </c>
      <c r="X368">
        <v>13.5</v>
      </c>
    </row>
    <row r="370" spans="1:35" x14ac:dyDescent="0.45">
      <c r="A370" t="s">
        <v>487</v>
      </c>
      <c r="N370" t="s">
        <v>487</v>
      </c>
    </row>
    <row r="372" spans="1:35" x14ac:dyDescent="0.45">
      <c r="B372" t="s">
        <v>389</v>
      </c>
      <c r="C372" t="s">
        <v>123</v>
      </c>
      <c r="D372" t="s">
        <v>390</v>
      </c>
      <c r="E372" t="s">
        <v>391</v>
      </c>
      <c r="F372" t="s">
        <v>392</v>
      </c>
      <c r="G372" t="s">
        <v>393</v>
      </c>
      <c r="H372" t="s">
        <v>394</v>
      </c>
      <c r="I372" t="s">
        <v>395</v>
      </c>
      <c r="J372" t="s">
        <v>396</v>
      </c>
      <c r="K372" t="s">
        <v>397</v>
      </c>
      <c r="L372" t="s">
        <v>398</v>
      </c>
      <c r="O372" t="s">
        <v>389</v>
      </c>
      <c r="P372" t="s">
        <v>123</v>
      </c>
      <c r="Q372" t="s">
        <v>390</v>
      </c>
      <c r="R372" t="s">
        <v>391</v>
      </c>
      <c r="S372" t="s">
        <v>392</v>
      </c>
      <c r="T372" t="s">
        <v>393</v>
      </c>
      <c r="U372" t="s">
        <v>394</v>
      </c>
      <c r="V372" t="s">
        <v>395</v>
      </c>
      <c r="W372" t="s">
        <v>396</v>
      </c>
      <c r="X372" t="s">
        <v>397</v>
      </c>
      <c r="Y372" t="s">
        <v>398</v>
      </c>
      <c r="AB372" t="s">
        <v>397</v>
      </c>
      <c r="AC372" t="s">
        <v>395</v>
      </c>
      <c r="AH372" t="s">
        <v>395</v>
      </c>
      <c r="AI372" t="s">
        <v>651</v>
      </c>
    </row>
    <row r="373" spans="1:35" x14ac:dyDescent="0.45">
      <c r="A373">
        <v>1</v>
      </c>
      <c r="B373">
        <v>1</v>
      </c>
      <c r="C373" t="s">
        <v>399</v>
      </c>
      <c r="D373" t="s">
        <v>400</v>
      </c>
      <c r="E373">
        <v>0.05</v>
      </c>
      <c r="F373">
        <v>3.47</v>
      </c>
      <c r="G373">
        <v>705.84900000000005</v>
      </c>
      <c r="H373">
        <v>7617.607</v>
      </c>
      <c r="I373">
        <v>0.92700000000000005</v>
      </c>
      <c r="J373" t="s">
        <v>415</v>
      </c>
      <c r="K373">
        <v>0.1</v>
      </c>
      <c r="L373">
        <v>84.4</v>
      </c>
      <c r="N373">
        <v>1</v>
      </c>
      <c r="O373">
        <v>1</v>
      </c>
      <c r="P373" t="s">
        <v>511</v>
      </c>
      <c r="Q373" t="s">
        <v>400</v>
      </c>
      <c r="R373">
        <v>0.05</v>
      </c>
      <c r="S373">
        <v>3.46</v>
      </c>
      <c r="T373">
        <v>1384.268</v>
      </c>
      <c r="U373">
        <v>9026.7479999999996</v>
      </c>
      <c r="V373">
        <v>1.534</v>
      </c>
      <c r="W373" t="s">
        <v>415</v>
      </c>
      <c r="X373">
        <v>0.1</v>
      </c>
      <c r="Y373">
        <v>37.1</v>
      </c>
      <c r="AB373">
        <v>0.1</v>
      </c>
      <c r="AC373">
        <v>1.534</v>
      </c>
    </row>
    <row r="374" spans="1:35" x14ac:dyDescent="0.45">
      <c r="A374">
        <v>2</v>
      </c>
      <c r="B374">
        <v>2</v>
      </c>
      <c r="C374" t="s">
        <v>402</v>
      </c>
      <c r="D374" t="s">
        <v>400</v>
      </c>
      <c r="E374">
        <v>0.5</v>
      </c>
      <c r="F374">
        <v>3.45</v>
      </c>
      <c r="G374">
        <v>7738.7169999999996</v>
      </c>
      <c r="H374">
        <v>8466.6470000000008</v>
      </c>
      <c r="I374">
        <v>9.14</v>
      </c>
      <c r="J374" t="s">
        <v>415</v>
      </c>
      <c r="K374">
        <v>0.5</v>
      </c>
      <c r="L374">
        <v>-5.7</v>
      </c>
      <c r="N374">
        <v>2</v>
      </c>
      <c r="O374">
        <v>2</v>
      </c>
      <c r="P374" t="s">
        <v>512</v>
      </c>
      <c r="Q374" t="s">
        <v>400</v>
      </c>
      <c r="R374">
        <v>0.5</v>
      </c>
      <c r="S374">
        <v>3.45</v>
      </c>
      <c r="T374">
        <v>11331.083000000001</v>
      </c>
      <c r="U374">
        <v>8828.9110000000001</v>
      </c>
      <c r="V374">
        <v>12.834</v>
      </c>
      <c r="W374" t="s">
        <v>403</v>
      </c>
      <c r="X374">
        <v>0.5</v>
      </c>
      <c r="Y374">
        <v>6.8</v>
      </c>
      <c r="AB374">
        <v>0.5</v>
      </c>
      <c r="AC374">
        <v>12.834</v>
      </c>
    </row>
    <row r="375" spans="1:35" x14ac:dyDescent="0.45">
      <c r="A375">
        <v>3</v>
      </c>
      <c r="B375">
        <v>3</v>
      </c>
      <c r="C375" t="s">
        <v>404</v>
      </c>
      <c r="D375" t="s">
        <v>400</v>
      </c>
      <c r="E375">
        <v>1.25</v>
      </c>
      <c r="F375">
        <v>3.46</v>
      </c>
      <c r="G375">
        <v>21645.116999999998</v>
      </c>
      <c r="H375">
        <v>8629.9860000000008</v>
      </c>
      <c r="I375">
        <v>25.081</v>
      </c>
      <c r="J375" t="s">
        <v>401</v>
      </c>
      <c r="K375">
        <v>1.2</v>
      </c>
      <c r="L375">
        <v>-3.4</v>
      </c>
      <c r="N375">
        <v>3</v>
      </c>
      <c r="O375">
        <v>3</v>
      </c>
      <c r="P375" t="s">
        <v>513</v>
      </c>
      <c r="Q375" t="s">
        <v>400</v>
      </c>
      <c r="R375">
        <v>1.25</v>
      </c>
      <c r="S375">
        <v>3.45</v>
      </c>
      <c r="T375">
        <v>28395.98</v>
      </c>
      <c r="U375">
        <v>8753.5750000000007</v>
      </c>
      <c r="V375">
        <v>32.439</v>
      </c>
      <c r="W375" t="s">
        <v>415</v>
      </c>
      <c r="X375">
        <v>1.3</v>
      </c>
      <c r="Y375">
        <v>7.3</v>
      </c>
      <c r="AB375">
        <v>1.3</v>
      </c>
      <c r="AC375">
        <v>32.439</v>
      </c>
    </row>
    <row r="376" spans="1:35" x14ac:dyDescent="0.45">
      <c r="A376">
        <v>4</v>
      </c>
      <c r="B376">
        <v>4</v>
      </c>
      <c r="C376" t="s">
        <v>405</v>
      </c>
      <c r="D376" t="s">
        <v>400</v>
      </c>
      <c r="E376">
        <v>2.5</v>
      </c>
      <c r="F376">
        <v>3.45</v>
      </c>
      <c r="G376">
        <v>46872.233999999997</v>
      </c>
      <c r="H376">
        <v>9045.2389999999996</v>
      </c>
      <c r="I376">
        <v>51.82</v>
      </c>
      <c r="J376" t="s">
        <v>401</v>
      </c>
      <c r="K376">
        <v>2.4</v>
      </c>
      <c r="L376">
        <v>-2.2999999999999998</v>
      </c>
      <c r="N376">
        <v>4</v>
      </c>
      <c r="O376">
        <v>4</v>
      </c>
      <c r="P376" t="s">
        <v>514</v>
      </c>
      <c r="Q376" t="s">
        <v>400</v>
      </c>
      <c r="R376">
        <v>2.5</v>
      </c>
      <c r="S376">
        <v>3.45</v>
      </c>
      <c r="T376">
        <v>58308.851999999999</v>
      </c>
      <c r="U376">
        <v>9408.9920000000002</v>
      </c>
      <c r="V376">
        <v>61.970999999999997</v>
      </c>
      <c r="W376" t="s">
        <v>401</v>
      </c>
      <c r="X376">
        <v>2.6</v>
      </c>
      <c r="Y376">
        <v>2.2999999999999998</v>
      </c>
      <c r="AB376">
        <v>2.6</v>
      </c>
      <c r="AC376">
        <v>61.970999999999997</v>
      </c>
    </row>
    <row r="377" spans="1:35" x14ac:dyDescent="0.45">
      <c r="A377">
        <v>5</v>
      </c>
      <c r="B377">
        <v>5</v>
      </c>
      <c r="C377" t="s">
        <v>406</v>
      </c>
      <c r="D377" t="s">
        <v>400</v>
      </c>
      <c r="E377">
        <v>3.5</v>
      </c>
      <c r="F377">
        <v>3.45</v>
      </c>
      <c r="G377">
        <v>67252.445000000007</v>
      </c>
      <c r="H377">
        <v>9413.5429999999997</v>
      </c>
      <c r="I377">
        <v>71.441999999999993</v>
      </c>
      <c r="J377" t="s">
        <v>403</v>
      </c>
      <c r="K377">
        <v>3.3</v>
      </c>
      <c r="L377">
        <v>-4.3</v>
      </c>
      <c r="N377">
        <v>5</v>
      </c>
      <c r="O377">
        <v>5</v>
      </c>
      <c r="P377" t="s">
        <v>515</v>
      </c>
      <c r="Q377" t="s">
        <v>400</v>
      </c>
      <c r="R377">
        <v>3.5</v>
      </c>
      <c r="S377">
        <v>3.45</v>
      </c>
      <c r="T377">
        <v>79350.577999999994</v>
      </c>
      <c r="U377">
        <v>10283.129999999999</v>
      </c>
      <c r="V377">
        <v>77.165999999999997</v>
      </c>
      <c r="W377" t="s">
        <v>415</v>
      </c>
      <c r="X377">
        <v>3.2</v>
      </c>
      <c r="Y377">
        <v>-9</v>
      </c>
      <c r="AB377">
        <v>3.2</v>
      </c>
      <c r="AC377">
        <v>77.165999999999997</v>
      </c>
    </row>
    <row r="378" spans="1:35" x14ac:dyDescent="0.45">
      <c r="A378">
        <v>6</v>
      </c>
      <c r="B378">
        <v>6</v>
      </c>
      <c r="C378" t="s">
        <v>407</v>
      </c>
      <c r="D378" t="s">
        <v>400</v>
      </c>
      <c r="E378">
        <v>5</v>
      </c>
      <c r="F378">
        <v>3.46</v>
      </c>
      <c r="G378">
        <v>104627.56299999999</v>
      </c>
      <c r="H378">
        <v>8918.3860000000004</v>
      </c>
      <c r="I378">
        <v>117.31699999999999</v>
      </c>
      <c r="J378" t="s">
        <v>401</v>
      </c>
      <c r="K378">
        <v>5.5</v>
      </c>
      <c r="L378">
        <v>9.3000000000000007</v>
      </c>
      <c r="N378">
        <v>6</v>
      </c>
      <c r="O378">
        <v>6</v>
      </c>
      <c r="P378" t="s">
        <v>516</v>
      </c>
      <c r="Q378" t="s">
        <v>400</v>
      </c>
      <c r="R378">
        <v>5</v>
      </c>
      <c r="S378">
        <v>3.45</v>
      </c>
      <c r="T378">
        <v>119923.69500000001</v>
      </c>
      <c r="U378">
        <v>9924.1239999999998</v>
      </c>
      <c r="V378">
        <v>120.84099999999999</v>
      </c>
      <c r="W378" t="s">
        <v>401</v>
      </c>
      <c r="X378">
        <v>5</v>
      </c>
      <c r="Y378">
        <v>-0.3</v>
      </c>
      <c r="AB378">
        <v>5</v>
      </c>
      <c r="AC378">
        <v>120.84099999999999</v>
      </c>
    </row>
    <row r="379" spans="1:35" x14ac:dyDescent="0.45">
      <c r="A379">
        <v>7</v>
      </c>
      <c r="B379">
        <v>7</v>
      </c>
      <c r="C379" t="s">
        <v>408</v>
      </c>
      <c r="D379" t="s">
        <v>400</v>
      </c>
      <c r="E379">
        <v>7</v>
      </c>
      <c r="F379">
        <v>3.45</v>
      </c>
      <c r="G379">
        <v>139584.609</v>
      </c>
      <c r="H379">
        <v>9584.41</v>
      </c>
      <c r="I379">
        <v>145.637</v>
      </c>
      <c r="J379" t="s">
        <v>403</v>
      </c>
      <c r="K379">
        <v>6.8</v>
      </c>
      <c r="L379">
        <v>-3.2</v>
      </c>
      <c r="N379">
        <v>7</v>
      </c>
      <c r="O379">
        <v>7</v>
      </c>
      <c r="P379" t="s">
        <v>517</v>
      </c>
      <c r="Q379" t="s">
        <v>400</v>
      </c>
      <c r="R379">
        <v>7</v>
      </c>
      <c r="S379">
        <v>3.45</v>
      </c>
      <c r="T379">
        <v>168136</v>
      </c>
      <c r="U379">
        <v>9720.9380000000001</v>
      </c>
      <c r="V379">
        <v>172.96299999999999</v>
      </c>
      <c r="W379" t="s">
        <v>403</v>
      </c>
      <c r="X379">
        <v>7.1</v>
      </c>
      <c r="Y379">
        <v>1.9</v>
      </c>
      <c r="AB379">
        <v>7.1</v>
      </c>
      <c r="AC379">
        <v>172.96299999999999</v>
      </c>
    </row>
    <row r="380" spans="1:35" x14ac:dyDescent="0.45">
      <c r="A380">
        <v>8</v>
      </c>
      <c r="B380">
        <v>8</v>
      </c>
      <c r="C380" t="s">
        <v>409</v>
      </c>
      <c r="D380" t="s">
        <v>410</v>
      </c>
      <c r="F380">
        <v>3.45</v>
      </c>
      <c r="G380">
        <v>263.11200000000002</v>
      </c>
      <c r="H380">
        <v>76.010000000000005</v>
      </c>
      <c r="I380">
        <v>34.615000000000002</v>
      </c>
      <c r="J380" t="s">
        <v>415</v>
      </c>
      <c r="K380">
        <v>1.6</v>
      </c>
      <c r="N380">
        <v>8</v>
      </c>
      <c r="O380">
        <v>8</v>
      </c>
      <c r="P380" t="s">
        <v>518</v>
      </c>
      <c r="Q380" t="s">
        <v>410</v>
      </c>
      <c r="S380">
        <v>3.44</v>
      </c>
      <c r="T380">
        <v>150.91399999999999</v>
      </c>
      <c r="U380">
        <v>31.074999999999999</v>
      </c>
      <c r="V380">
        <v>48.564</v>
      </c>
      <c r="W380" t="s">
        <v>401</v>
      </c>
      <c r="X380">
        <v>2</v>
      </c>
    </row>
    <row r="381" spans="1:35" x14ac:dyDescent="0.45">
      <c r="A381">
        <v>9</v>
      </c>
      <c r="B381">
        <v>9</v>
      </c>
      <c r="C381" t="s">
        <v>411</v>
      </c>
      <c r="D381" t="s">
        <v>410</v>
      </c>
      <c r="F381">
        <v>3.48</v>
      </c>
      <c r="G381">
        <v>122.054</v>
      </c>
      <c r="H381">
        <v>58.774000000000001</v>
      </c>
      <c r="I381">
        <v>20.766999999999999</v>
      </c>
      <c r="J381" t="s">
        <v>401</v>
      </c>
      <c r="K381">
        <v>1</v>
      </c>
      <c r="N381">
        <v>9</v>
      </c>
      <c r="O381">
        <v>9</v>
      </c>
      <c r="P381" t="s">
        <v>519</v>
      </c>
      <c r="Q381" t="s">
        <v>410</v>
      </c>
      <c r="S381">
        <v>3.15</v>
      </c>
      <c r="T381">
        <v>31.946999999999999</v>
      </c>
      <c r="U381">
        <v>18.582999999999998</v>
      </c>
      <c r="V381">
        <v>17.192</v>
      </c>
      <c r="W381" t="s">
        <v>415</v>
      </c>
      <c r="X381">
        <v>0.7</v>
      </c>
    </row>
    <row r="382" spans="1:35" x14ac:dyDescent="0.45">
      <c r="A382">
        <v>10</v>
      </c>
      <c r="B382">
        <v>10</v>
      </c>
      <c r="C382" t="s">
        <v>413</v>
      </c>
      <c r="D382" t="s">
        <v>414</v>
      </c>
      <c r="F382">
        <v>3.49</v>
      </c>
      <c r="G382">
        <v>504.303</v>
      </c>
      <c r="H382">
        <v>5859.1049999999996</v>
      </c>
      <c r="I382">
        <v>0.86099999999999999</v>
      </c>
      <c r="J382" t="s">
        <v>415</v>
      </c>
      <c r="K382">
        <v>0.1</v>
      </c>
      <c r="N382">
        <v>10</v>
      </c>
      <c r="O382">
        <v>10</v>
      </c>
      <c r="P382" t="s">
        <v>520</v>
      </c>
      <c r="Q382" t="s">
        <v>414</v>
      </c>
      <c r="S382">
        <v>3.49</v>
      </c>
      <c r="T382">
        <v>237.714</v>
      </c>
      <c r="U382">
        <v>10940.762000000001</v>
      </c>
      <c r="V382">
        <v>0.217</v>
      </c>
      <c r="W382" t="s">
        <v>412</v>
      </c>
      <c r="X382">
        <v>0</v>
      </c>
      <c r="AH382">
        <v>0.217</v>
      </c>
      <c r="AI382">
        <f>(AH382+0.201)/24.301</f>
        <v>1.7200938232994529E-2</v>
      </c>
    </row>
    <row r="383" spans="1:35" x14ac:dyDescent="0.45">
      <c r="A383">
        <v>11</v>
      </c>
      <c r="B383">
        <v>11</v>
      </c>
      <c r="C383" t="s">
        <v>416</v>
      </c>
      <c r="D383" t="s">
        <v>414</v>
      </c>
      <c r="F383">
        <v>3.49</v>
      </c>
      <c r="G383">
        <v>266.13</v>
      </c>
      <c r="H383">
        <v>6982.8869999999997</v>
      </c>
      <c r="I383">
        <v>0.38100000000000001</v>
      </c>
      <c r="J383" t="s">
        <v>415</v>
      </c>
      <c r="K383">
        <v>0.1</v>
      </c>
      <c r="N383">
        <v>11</v>
      </c>
      <c r="O383">
        <v>11</v>
      </c>
      <c r="P383" t="s">
        <v>521</v>
      </c>
      <c r="Q383" t="s">
        <v>414</v>
      </c>
      <c r="S383">
        <v>3.48</v>
      </c>
      <c r="T383">
        <v>81.962999999999994</v>
      </c>
      <c r="U383">
        <v>4689.8159999999998</v>
      </c>
      <c r="V383">
        <v>0.17499999999999999</v>
      </c>
      <c r="W383" t="s">
        <v>412</v>
      </c>
      <c r="X383">
        <v>0</v>
      </c>
      <c r="AH383">
        <v>0.17499999999999999</v>
      </c>
      <c r="AI383">
        <f t="shared" ref="AI383:AI440" si="0">(AH383+0.201)/24.301</f>
        <v>1.5472614295707997E-2</v>
      </c>
    </row>
    <row r="384" spans="1:35" x14ac:dyDescent="0.45">
      <c r="A384">
        <v>12</v>
      </c>
      <c r="B384">
        <v>12</v>
      </c>
      <c r="C384" t="s">
        <v>417</v>
      </c>
      <c r="D384" t="s">
        <v>414</v>
      </c>
      <c r="F384">
        <v>3.49</v>
      </c>
      <c r="G384">
        <v>342.07400000000001</v>
      </c>
      <c r="H384">
        <v>5133.5330000000004</v>
      </c>
      <c r="I384">
        <v>0.66600000000000004</v>
      </c>
      <c r="J384" t="s">
        <v>401</v>
      </c>
      <c r="K384">
        <v>0.1</v>
      </c>
      <c r="N384">
        <v>12</v>
      </c>
      <c r="O384">
        <v>12</v>
      </c>
      <c r="P384" t="s">
        <v>522</v>
      </c>
      <c r="Q384" t="s">
        <v>414</v>
      </c>
      <c r="S384">
        <v>3.48</v>
      </c>
      <c r="T384">
        <v>60.158000000000001</v>
      </c>
      <c r="U384">
        <v>4088.4169999999999</v>
      </c>
      <c r="V384">
        <v>0.14699999999999999</v>
      </c>
      <c r="W384" t="s">
        <v>488</v>
      </c>
      <c r="X384">
        <v>0</v>
      </c>
      <c r="AH384">
        <v>0.14699999999999999</v>
      </c>
      <c r="AI384">
        <f t="shared" si="0"/>
        <v>1.4320398337516974E-2</v>
      </c>
    </row>
    <row r="385" spans="1:35" x14ac:dyDescent="0.45">
      <c r="A385">
        <v>13</v>
      </c>
      <c r="B385">
        <v>13</v>
      </c>
      <c r="C385" t="s">
        <v>418</v>
      </c>
      <c r="D385" t="s">
        <v>414</v>
      </c>
      <c r="F385">
        <v>3.49</v>
      </c>
      <c r="G385">
        <v>311.803</v>
      </c>
      <c r="H385">
        <v>4248.8379999999997</v>
      </c>
      <c r="I385">
        <v>0.73399999999999999</v>
      </c>
      <c r="J385" t="s">
        <v>401</v>
      </c>
      <c r="K385">
        <v>0.1</v>
      </c>
      <c r="N385">
        <v>13</v>
      </c>
      <c r="O385">
        <v>13</v>
      </c>
      <c r="P385" t="s">
        <v>523</v>
      </c>
      <c r="Q385" t="s">
        <v>414</v>
      </c>
      <c r="S385">
        <v>3.49</v>
      </c>
      <c r="T385">
        <v>84.858000000000004</v>
      </c>
      <c r="U385">
        <v>5756.9719999999998</v>
      </c>
      <c r="V385">
        <v>0.14699999999999999</v>
      </c>
      <c r="W385" t="s">
        <v>415</v>
      </c>
      <c r="X385">
        <v>0</v>
      </c>
      <c r="AH385">
        <v>0.14699999999999999</v>
      </c>
      <c r="AI385">
        <f t="shared" si="0"/>
        <v>1.4320398337516974E-2</v>
      </c>
    </row>
    <row r="386" spans="1:35" x14ac:dyDescent="0.45">
      <c r="A386">
        <v>14</v>
      </c>
      <c r="B386">
        <v>14</v>
      </c>
      <c r="C386" t="s">
        <v>419</v>
      </c>
      <c r="D386" t="s">
        <v>414</v>
      </c>
      <c r="F386">
        <v>3.49</v>
      </c>
      <c r="G386">
        <v>227.63200000000001</v>
      </c>
      <c r="H386">
        <v>5412.8019999999997</v>
      </c>
      <c r="I386">
        <v>0.42099999999999999</v>
      </c>
      <c r="J386" t="s">
        <v>415</v>
      </c>
      <c r="K386">
        <v>0.1</v>
      </c>
      <c r="N386">
        <v>14</v>
      </c>
      <c r="O386">
        <v>14</v>
      </c>
      <c r="P386" t="s">
        <v>524</v>
      </c>
      <c r="Q386" t="s">
        <v>414</v>
      </c>
      <c r="S386">
        <v>3.49</v>
      </c>
      <c r="T386">
        <v>218.732</v>
      </c>
      <c r="U386">
        <v>3728.3629999999998</v>
      </c>
      <c r="V386">
        <v>0.58699999999999997</v>
      </c>
      <c r="W386" t="s">
        <v>401</v>
      </c>
      <c r="X386">
        <v>0</v>
      </c>
      <c r="AH386">
        <v>0.58699999999999997</v>
      </c>
      <c r="AI386">
        <f t="shared" si="0"/>
        <v>3.2426649109090162E-2</v>
      </c>
    </row>
    <row r="387" spans="1:35" x14ac:dyDescent="0.45">
      <c r="A387">
        <v>15</v>
      </c>
      <c r="B387">
        <v>15</v>
      </c>
      <c r="C387" t="s">
        <v>420</v>
      </c>
      <c r="D387" t="s">
        <v>414</v>
      </c>
      <c r="F387">
        <v>3.49</v>
      </c>
      <c r="G387">
        <v>266.68900000000002</v>
      </c>
      <c r="H387">
        <v>7177.9750000000004</v>
      </c>
      <c r="I387">
        <v>0.372</v>
      </c>
      <c r="J387" t="s">
        <v>415</v>
      </c>
      <c r="K387">
        <v>0.1</v>
      </c>
      <c r="N387">
        <v>15</v>
      </c>
      <c r="O387">
        <v>15</v>
      </c>
      <c r="P387" t="s">
        <v>525</v>
      </c>
      <c r="Q387" t="s">
        <v>414</v>
      </c>
      <c r="S387">
        <v>3.49</v>
      </c>
      <c r="T387">
        <v>114.988</v>
      </c>
      <c r="U387">
        <v>3907.61</v>
      </c>
      <c r="V387">
        <v>0.29399999999999998</v>
      </c>
      <c r="W387" t="s">
        <v>415</v>
      </c>
      <c r="X387">
        <v>0</v>
      </c>
      <c r="AH387">
        <v>0.29399999999999998</v>
      </c>
      <c r="AI387">
        <f t="shared" si="0"/>
        <v>2.0369532118019836E-2</v>
      </c>
    </row>
    <row r="388" spans="1:35" x14ac:dyDescent="0.45">
      <c r="A388">
        <v>16</v>
      </c>
      <c r="B388">
        <v>16</v>
      </c>
      <c r="C388" t="s">
        <v>421</v>
      </c>
      <c r="D388" t="s">
        <v>414</v>
      </c>
      <c r="F388">
        <v>3.48</v>
      </c>
      <c r="G388">
        <v>117.938</v>
      </c>
      <c r="H388">
        <v>7230.2070000000003</v>
      </c>
      <c r="I388">
        <v>0.16300000000000001</v>
      </c>
      <c r="J388" t="s">
        <v>415</v>
      </c>
      <c r="K388">
        <v>0.1</v>
      </c>
      <c r="N388">
        <v>16</v>
      </c>
      <c r="O388">
        <v>16</v>
      </c>
      <c r="P388" t="s">
        <v>526</v>
      </c>
      <c r="Q388" t="s">
        <v>414</v>
      </c>
      <c r="S388">
        <v>3.51</v>
      </c>
      <c r="T388">
        <v>67.463999999999999</v>
      </c>
      <c r="U388">
        <v>5068.6779999999999</v>
      </c>
      <c r="V388">
        <v>0.13300000000000001</v>
      </c>
      <c r="W388" t="s">
        <v>415</v>
      </c>
      <c r="X388">
        <v>0</v>
      </c>
      <c r="AH388">
        <v>0.13300000000000001</v>
      </c>
      <c r="AI388">
        <f t="shared" si="0"/>
        <v>1.3744290358421465E-2</v>
      </c>
    </row>
    <row r="389" spans="1:35" x14ac:dyDescent="0.45">
      <c r="A389">
        <v>17</v>
      </c>
      <c r="B389">
        <v>17</v>
      </c>
      <c r="C389" t="s">
        <v>422</v>
      </c>
      <c r="D389" t="s">
        <v>414</v>
      </c>
      <c r="F389">
        <v>3.48</v>
      </c>
      <c r="G389">
        <v>118.30800000000001</v>
      </c>
      <c r="H389">
        <v>5449.1120000000001</v>
      </c>
      <c r="I389">
        <v>0.217</v>
      </c>
      <c r="J389" t="s">
        <v>415</v>
      </c>
      <c r="K389">
        <v>0.1</v>
      </c>
      <c r="N389">
        <v>17</v>
      </c>
      <c r="O389">
        <v>17</v>
      </c>
      <c r="P389" t="s">
        <v>527</v>
      </c>
      <c r="Q389" t="s">
        <v>414</v>
      </c>
      <c r="S389">
        <v>3.51</v>
      </c>
      <c r="T389">
        <v>28.989000000000001</v>
      </c>
      <c r="U389">
        <v>3313.43</v>
      </c>
      <c r="V389">
        <v>8.6999999999999994E-2</v>
      </c>
      <c r="W389" t="s">
        <v>488</v>
      </c>
      <c r="X389">
        <v>0</v>
      </c>
      <c r="AH389">
        <v>8.6999999999999994E-2</v>
      </c>
      <c r="AI389">
        <f t="shared" si="0"/>
        <v>1.185136414139336E-2</v>
      </c>
    </row>
    <row r="390" spans="1:35" x14ac:dyDescent="0.45">
      <c r="A390">
        <v>18</v>
      </c>
      <c r="B390">
        <v>18</v>
      </c>
      <c r="C390" t="s">
        <v>423</v>
      </c>
      <c r="D390" t="s">
        <v>414</v>
      </c>
      <c r="F390">
        <v>3.48</v>
      </c>
      <c r="G390">
        <v>229.684</v>
      </c>
      <c r="H390">
        <v>6554.23</v>
      </c>
      <c r="I390">
        <v>0.35</v>
      </c>
      <c r="J390" t="s">
        <v>415</v>
      </c>
      <c r="K390">
        <v>0.1</v>
      </c>
      <c r="N390">
        <v>18</v>
      </c>
      <c r="O390">
        <v>18</v>
      </c>
      <c r="P390" t="s">
        <v>528</v>
      </c>
      <c r="Q390" t="s">
        <v>414</v>
      </c>
      <c r="S390">
        <v>3.49</v>
      </c>
      <c r="T390">
        <v>90.350999999999999</v>
      </c>
      <c r="U390">
        <v>5333.7690000000002</v>
      </c>
      <c r="V390">
        <v>0.16900000000000001</v>
      </c>
      <c r="W390" t="s">
        <v>415</v>
      </c>
      <c r="X390">
        <v>0</v>
      </c>
      <c r="AH390">
        <v>0.16900000000000001</v>
      </c>
      <c r="AI390">
        <f t="shared" si="0"/>
        <v>1.5225710876095635E-2</v>
      </c>
    </row>
    <row r="391" spans="1:35" x14ac:dyDescent="0.45">
      <c r="A391">
        <v>19</v>
      </c>
      <c r="B391">
        <v>19</v>
      </c>
      <c r="C391" t="s">
        <v>424</v>
      </c>
      <c r="D391" t="s">
        <v>414</v>
      </c>
      <c r="F391">
        <v>3.48</v>
      </c>
      <c r="G391">
        <v>185.8</v>
      </c>
      <c r="H391">
        <v>7784.9970000000003</v>
      </c>
      <c r="I391">
        <v>0.23899999999999999</v>
      </c>
      <c r="J391" t="s">
        <v>415</v>
      </c>
      <c r="K391">
        <v>0.1</v>
      </c>
      <c r="N391">
        <v>19</v>
      </c>
      <c r="O391">
        <v>19</v>
      </c>
      <c r="P391" t="s">
        <v>529</v>
      </c>
      <c r="Q391" t="s">
        <v>414</v>
      </c>
      <c r="S391">
        <v>3.49</v>
      </c>
      <c r="T391">
        <v>343.85399999999998</v>
      </c>
      <c r="U391">
        <v>8965.8130000000001</v>
      </c>
      <c r="V391">
        <v>0.38400000000000001</v>
      </c>
      <c r="W391" t="s">
        <v>415</v>
      </c>
      <c r="X391">
        <v>0</v>
      </c>
      <c r="AH391">
        <v>0.38400000000000001</v>
      </c>
      <c r="AI391">
        <f t="shared" si="0"/>
        <v>2.4073083412205258E-2</v>
      </c>
    </row>
    <row r="392" spans="1:35" x14ac:dyDescent="0.45">
      <c r="A392">
        <v>20</v>
      </c>
      <c r="B392">
        <v>20</v>
      </c>
      <c r="C392" t="s">
        <v>425</v>
      </c>
      <c r="D392" t="s">
        <v>414</v>
      </c>
      <c r="F392">
        <v>3.48</v>
      </c>
      <c r="G392">
        <v>558.57799999999997</v>
      </c>
      <c r="H392">
        <v>3815.6210000000001</v>
      </c>
      <c r="I392">
        <v>1.464</v>
      </c>
      <c r="J392" t="s">
        <v>415</v>
      </c>
      <c r="K392">
        <v>0.1</v>
      </c>
      <c r="N392">
        <v>20</v>
      </c>
      <c r="O392">
        <v>20</v>
      </c>
      <c r="P392" t="s">
        <v>530</v>
      </c>
      <c r="Q392" t="s">
        <v>414</v>
      </c>
      <c r="S392">
        <v>3.49</v>
      </c>
      <c r="T392">
        <v>193.51499999999999</v>
      </c>
      <c r="U392">
        <v>4022.2939999999999</v>
      </c>
      <c r="V392">
        <v>0.48099999999999998</v>
      </c>
      <c r="W392" t="s">
        <v>415</v>
      </c>
      <c r="X392">
        <v>0</v>
      </c>
      <c r="AH392">
        <v>0.48099999999999998</v>
      </c>
      <c r="AI392">
        <f t="shared" si="0"/>
        <v>2.806468869593844E-2</v>
      </c>
    </row>
    <row r="393" spans="1:35" x14ac:dyDescent="0.45">
      <c r="A393">
        <v>21</v>
      </c>
      <c r="B393">
        <v>21</v>
      </c>
      <c r="C393" t="s">
        <v>426</v>
      </c>
      <c r="D393" t="s">
        <v>414</v>
      </c>
      <c r="F393">
        <v>3.49</v>
      </c>
      <c r="G393">
        <v>586.43100000000004</v>
      </c>
      <c r="H393">
        <v>6143.817</v>
      </c>
      <c r="I393">
        <v>0.95499999999999996</v>
      </c>
      <c r="J393" t="s">
        <v>401</v>
      </c>
      <c r="K393">
        <v>0.1</v>
      </c>
      <c r="N393">
        <v>21</v>
      </c>
      <c r="O393">
        <v>21</v>
      </c>
      <c r="P393" t="s">
        <v>531</v>
      </c>
      <c r="Q393" t="s">
        <v>414</v>
      </c>
      <c r="S393">
        <v>3.49</v>
      </c>
      <c r="T393">
        <v>165.54</v>
      </c>
      <c r="U393">
        <v>3969.7779999999998</v>
      </c>
      <c r="V393">
        <v>0.41699999999999998</v>
      </c>
      <c r="W393" t="s">
        <v>415</v>
      </c>
      <c r="X393">
        <v>0</v>
      </c>
      <c r="AH393">
        <v>0.41699999999999998</v>
      </c>
      <c r="AI393">
        <f t="shared" si="0"/>
        <v>2.543105222007325E-2</v>
      </c>
    </row>
    <row r="394" spans="1:35" x14ac:dyDescent="0.45">
      <c r="A394">
        <v>22</v>
      </c>
      <c r="B394">
        <v>22</v>
      </c>
      <c r="C394" t="s">
        <v>427</v>
      </c>
      <c r="D394" t="s">
        <v>414</v>
      </c>
      <c r="F394">
        <v>3.48</v>
      </c>
      <c r="G394">
        <v>88.004000000000005</v>
      </c>
      <c r="H394">
        <v>4531.1390000000001</v>
      </c>
      <c r="I394">
        <v>0.19400000000000001</v>
      </c>
      <c r="J394" t="s">
        <v>488</v>
      </c>
      <c r="K394">
        <v>0.1</v>
      </c>
      <c r="N394">
        <v>22</v>
      </c>
      <c r="O394">
        <v>22</v>
      </c>
      <c r="P394" t="s">
        <v>532</v>
      </c>
      <c r="Q394" t="s">
        <v>414</v>
      </c>
      <c r="S394">
        <v>3.49</v>
      </c>
      <c r="T394">
        <v>162.035</v>
      </c>
      <c r="U394">
        <v>4303.62</v>
      </c>
      <c r="V394">
        <v>0.377</v>
      </c>
      <c r="W394" t="s">
        <v>415</v>
      </c>
      <c r="X394">
        <v>0</v>
      </c>
      <c r="AH394">
        <v>0.377</v>
      </c>
      <c r="AI394">
        <f t="shared" si="0"/>
        <v>2.3785029422657509E-2</v>
      </c>
    </row>
    <row r="395" spans="1:35" x14ac:dyDescent="0.45">
      <c r="A395">
        <v>23</v>
      </c>
      <c r="B395">
        <v>23</v>
      </c>
      <c r="C395" t="s">
        <v>428</v>
      </c>
      <c r="D395" t="s">
        <v>414</v>
      </c>
      <c r="F395">
        <v>3.48</v>
      </c>
      <c r="G395">
        <v>147.018</v>
      </c>
      <c r="H395">
        <v>5057.3459999999995</v>
      </c>
      <c r="I395">
        <v>0.29099999999999998</v>
      </c>
      <c r="J395" t="s">
        <v>415</v>
      </c>
      <c r="K395">
        <v>0.1</v>
      </c>
      <c r="N395">
        <v>23</v>
      </c>
      <c r="O395">
        <v>23</v>
      </c>
      <c r="P395" t="s">
        <v>533</v>
      </c>
      <c r="Q395" t="s">
        <v>414</v>
      </c>
      <c r="S395">
        <v>3.49</v>
      </c>
      <c r="T395">
        <v>273.27</v>
      </c>
      <c r="U395">
        <v>5980.665</v>
      </c>
      <c r="V395">
        <v>0.45700000000000002</v>
      </c>
      <c r="W395" t="s">
        <v>415</v>
      </c>
      <c r="X395">
        <v>0</v>
      </c>
      <c r="AH395">
        <v>0.45700000000000002</v>
      </c>
      <c r="AI395">
        <f t="shared" si="0"/>
        <v>2.7077075017488995E-2</v>
      </c>
    </row>
    <row r="396" spans="1:35" x14ac:dyDescent="0.45">
      <c r="A396">
        <v>24</v>
      </c>
      <c r="B396">
        <v>24</v>
      </c>
      <c r="C396" t="s">
        <v>429</v>
      </c>
      <c r="D396" t="s">
        <v>414</v>
      </c>
      <c r="F396">
        <v>3.48</v>
      </c>
      <c r="G396">
        <v>182.18</v>
      </c>
      <c r="H396">
        <v>5057.1210000000001</v>
      </c>
      <c r="I396">
        <v>0.36</v>
      </c>
      <c r="J396" t="s">
        <v>415</v>
      </c>
      <c r="K396">
        <v>0.1</v>
      </c>
      <c r="N396">
        <v>24</v>
      </c>
      <c r="O396">
        <v>24</v>
      </c>
      <c r="P396" t="s">
        <v>534</v>
      </c>
      <c r="Q396" t="s">
        <v>414</v>
      </c>
      <c r="S396">
        <v>3.48</v>
      </c>
      <c r="T396">
        <v>184.86500000000001</v>
      </c>
      <c r="U396">
        <v>5530.2709999999997</v>
      </c>
      <c r="V396">
        <v>0.33400000000000002</v>
      </c>
      <c r="W396" t="s">
        <v>415</v>
      </c>
      <c r="X396">
        <v>0</v>
      </c>
      <c r="AH396">
        <v>0.33400000000000002</v>
      </c>
      <c r="AI396">
        <f t="shared" si="0"/>
        <v>2.2015554915435581E-2</v>
      </c>
    </row>
    <row r="397" spans="1:35" x14ac:dyDescent="0.45">
      <c r="A397">
        <v>25</v>
      </c>
      <c r="B397">
        <v>25</v>
      </c>
      <c r="C397" t="s">
        <v>430</v>
      </c>
      <c r="D397" t="s">
        <v>414</v>
      </c>
      <c r="F397">
        <v>3.49</v>
      </c>
      <c r="G397">
        <v>242.84200000000001</v>
      </c>
      <c r="H397">
        <v>5880.9309999999996</v>
      </c>
      <c r="I397">
        <v>0.41299999999999998</v>
      </c>
      <c r="J397" t="s">
        <v>415</v>
      </c>
      <c r="K397">
        <v>0.1</v>
      </c>
      <c r="N397">
        <v>25</v>
      </c>
      <c r="O397">
        <v>25</v>
      </c>
      <c r="P397" t="s">
        <v>535</v>
      </c>
      <c r="Q397" t="s">
        <v>414</v>
      </c>
      <c r="S397">
        <v>3.48</v>
      </c>
      <c r="T397">
        <v>398.07400000000001</v>
      </c>
      <c r="U397">
        <v>9050.0169999999998</v>
      </c>
      <c r="V397">
        <v>0.44</v>
      </c>
      <c r="W397" t="s">
        <v>412</v>
      </c>
      <c r="X397">
        <v>0</v>
      </c>
      <c r="AH397">
        <v>0.44</v>
      </c>
      <c r="AI397">
        <f t="shared" si="0"/>
        <v>2.6377515328587304E-2</v>
      </c>
    </row>
    <row r="398" spans="1:35" x14ac:dyDescent="0.45">
      <c r="A398">
        <v>26</v>
      </c>
      <c r="B398">
        <v>26</v>
      </c>
      <c r="C398" t="s">
        <v>431</v>
      </c>
      <c r="D398" t="s">
        <v>414</v>
      </c>
      <c r="F398">
        <v>3.49</v>
      </c>
      <c r="G398">
        <v>224.995</v>
      </c>
      <c r="H398">
        <v>4036.1190000000001</v>
      </c>
      <c r="I398">
        <v>0.55700000000000005</v>
      </c>
      <c r="J398" t="s">
        <v>401</v>
      </c>
      <c r="K398">
        <v>0.1</v>
      </c>
      <c r="N398">
        <v>26</v>
      </c>
      <c r="O398">
        <v>26</v>
      </c>
      <c r="P398" t="s">
        <v>536</v>
      </c>
      <c r="Q398" t="s">
        <v>414</v>
      </c>
      <c r="S398">
        <v>3.49</v>
      </c>
      <c r="T398">
        <v>316.37799999999999</v>
      </c>
      <c r="U398">
        <v>4373.93</v>
      </c>
      <c r="V398">
        <v>0.72299999999999998</v>
      </c>
      <c r="W398" t="s">
        <v>415</v>
      </c>
      <c r="X398">
        <v>0</v>
      </c>
      <c r="AH398">
        <v>0.72299999999999998</v>
      </c>
      <c r="AI398">
        <f t="shared" si="0"/>
        <v>3.8023126620303688E-2</v>
      </c>
    </row>
    <row r="399" spans="1:35" x14ac:dyDescent="0.45">
      <c r="A399">
        <v>27</v>
      </c>
      <c r="B399">
        <v>27</v>
      </c>
      <c r="C399" t="s">
        <v>432</v>
      </c>
      <c r="D399" t="s">
        <v>414</v>
      </c>
      <c r="F399">
        <v>3.49</v>
      </c>
      <c r="G399">
        <v>299.75299999999999</v>
      </c>
      <c r="H399">
        <v>4546.7030000000004</v>
      </c>
      <c r="I399">
        <v>0.65900000000000003</v>
      </c>
      <c r="J399" t="s">
        <v>415</v>
      </c>
      <c r="K399">
        <v>0.1</v>
      </c>
      <c r="N399">
        <v>27</v>
      </c>
      <c r="O399">
        <v>27</v>
      </c>
      <c r="P399" t="s">
        <v>537</v>
      </c>
      <c r="Q399" t="s">
        <v>414</v>
      </c>
      <c r="S399">
        <v>3.49</v>
      </c>
      <c r="T399">
        <v>235.60499999999999</v>
      </c>
      <c r="U399">
        <v>3380.8449999999998</v>
      </c>
      <c r="V399">
        <v>0.69699999999999995</v>
      </c>
      <c r="W399" t="s">
        <v>401</v>
      </c>
      <c r="X399">
        <v>0</v>
      </c>
      <c r="AH399">
        <v>0.69699999999999995</v>
      </c>
      <c r="AI399">
        <f t="shared" si="0"/>
        <v>3.6953211801983459E-2</v>
      </c>
    </row>
    <row r="400" spans="1:35" x14ac:dyDescent="0.45">
      <c r="A400">
        <v>28</v>
      </c>
      <c r="B400">
        <v>28</v>
      </c>
      <c r="C400" t="s">
        <v>433</v>
      </c>
      <c r="D400" t="s">
        <v>414</v>
      </c>
      <c r="F400">
        <v>3.48</v>
      </c>
      <c r="G400">
        <v>166.315</v>
      </c>
      <c r="H400">
        <v>4796.7749999999996</v>
      </c>
      <c r="I400">
        <v>0.34699999999999998</v>
      </c>
      <c r="J400" t="s">
        <v>401</v>
      </c>
      <c r="K400">
        <v>0.1</v>
      </c>
      <c r="N400">
        <v>28</v>
      </c>
      <c r="O400">
        <v>28</v>
      </c>
      <c r="P400" t="s">
        <v>538</v>
      </c>
      <c r="Q400" t="s">
        <v>414</v>
      </c>
      <c r="S400">
        <v>3.51</v>
      </c>
      <c r="T400">
        <v>190.78700000000001</v>
      </c>
      <c r="U400">
        <v>4054.8220000000001</v>
      </c>
      <c r="V400">
        <v>0.47099999999999997</v>
      </c>
      <c r="W400" t="s">
        <v>415</v>
      </c>
      <c r="X400">
        <v>0</v>
      </c>
      <c r="AH400">
        <v>0.47099999999999997</v>
      </c>
      <c r="AI400">
        <f t="shared" si="0"/>
        <v>2.7653182996584501E-2</v>
      </c>
    </row>
    <row r="401" spans="1:35" x14ac:dyDescent="0.45">
      <c r="A401">
        <v>29</v>
      </c>
      <c r="B401">
        <v>29</v>
      </c>
      <c r="C401" t="s">
        <v>434</v>
      </c>
      <c r="D401" t="s">
        <v>414</v>
      </c>
      <c r="F401">
        <v>3.47</v>
      </c>
      <c r="G401">
        <v>112.871</v>
      </c>
      <c r="H401">
        <v>4491.027</v>
      </c>
      <c r="I401">
        <v>0.251</v>
      </c>
      <c r="J401" t="s">
        <v>415</v>
      </c>
      <c r="K401">
        <v>0.1</v>
      </c>
      <c r="N401">
        <v>29</v>
      </c>
      <c r="O401">
        <v>29</v>
      </c>
      <c r="P401" t="s">
        <v>539</v>
      </c>
      <c r="Q401" t="s">
        <v>414</v>
      </c>
      <c r="S401">
        <v>3.48</v>
      </c>
      <c r="T401">
        <v>251.36799999999999</v>
      </c>
      <c r="U401">
        <v>6392.9380000000001</v>
      </c>
      <c r="V401">
        <v>0.39300000000000002</v>
      </c>
      <c r="W401" t="s">
        <v>415</v>
      </c>
      <c r="X401">
        <v>0</v>
      </c>
      <c r="AH401">
        <v>0.39300000000000002</v>
      </c>
      <c r="AI401">
        <f t="shared" si="0"/>
        <v>2.4443438541623806E-2</v>
      </c>
    </row>
    <row r="402" spans="1:35" x14ac:dyDescent="0.45">
      <c r="A402">
        <v>30</v>
      </c>
      <c r="B402">
        <v>30</v>
      </c>
      <c r="C402" t="s">
        <v>435</v>
      </c>
      <c r="D402" t="s">
        <v>414</v>
      </c>
      <c r="F402">
        <v>3.48</v>
      </c>
      <c r="G402">
        <v>172.37299999999999</v>
      </c>
      <c r="H402">
        <v>3855.3939999999998</v>
      </c>
      <c r="I402">
        <v>0.44700000000000001</v>
      </c>
      <c r="J402" t="s">
        <v>415</v>
      </c>
      <c r="K402">
        <v>0.1</v>
      </c>
      <c r="N402">
        <v>30</v>
      </c>
      <c r="O402">
        <v>30</v>
      </c>
      <c r="P402" t="s">
        <v>540</v>
      </c>
      <c r="Q402" t="s">
        <v>414</v>
      </c>
      <c r="S402">
        <v>3.49</v>
      </c>
      <c r="T402">
        <v>219.68299999999999</v>
      </c>
      <c r="U402">
        <v>5387.13</v>
      </c>
      <c r="V402">
        <v>0.40799999999999997</v>
      </c>
      <c r="W402" t="s">
        <v>412</v>
      </c>
      <c r="X402">
        <v>0</v>
      </c>
      <c r="AH402">
        <v>0.40799999999999997</v>
      </c>
      <c r="AI402">
        <f t="shared" si="0"/>
        <v>2.5060697090654706E-2</v>
      </c>
    </row>
    <row r="403" spans="1:35" x14ac:dyDescent="0.45">
      <c r="A403">
        <v>31</v>
      </c>
      <c r="B403">
        <v>31</v>
      </c>
      <c r="C403" t="s">
        <v>436</v>
      </c>
      <c r="D403" t="s">
        <v>414</v>
      </c>
      <c r="F403">
        <v>3.48</v>
      </c>
      <c r="G403">
        <v>179.64400000000001</v>
      </c>
      <c r="H403">
        <v>4110.8580000000002</v>
      </c>
      <c r="I403">
        <v>0.437</v>
      </c>
      <c r="J403" t="s">
        <v>415</v>
      </c>
      <c r="K403">
        <v>0.1</v>
      </c>
      <c r="N403">
        <v>31</v>
      </c>
      <c r="O403">
        <v>31</v>
      </c>
      <c r="P403" t="s">
        <v>541</v>
      </c>
      <c r="Q403" t="s">
        <v>414</v>
      </c>
      <c r="S403">
        <v>3.49</v>
      </c>
      <c r="T403">
        <v>240.97399999999999</v>
      </c>
      <c r="U403">
        <v>4339.9809999999998</v>
      </c>
      <c r="V403">
        <v>0.55500000000000005</v>
      </c>
      <c r="W403" t="s">
        <v>415</v>
      </c>
      <c r="X403">
        <v>0</v>
      </c>
      <c r="AH403">
        <v>0.55500000000000005</v>
      </c>
      <c r="AI403">
        <f t="shared" si="0"/>
        <v>3.1109830871157568E-2</v>
      </c>
    </row>
    <row r="404" spans="1:35" x14ac:dyDescent="0.45">
      <c r="A404">
        <v>32</v>
      </c>
      <c r="B404">
        <v>32</v>
      </c>
      <c r="C404" t="s">
        <v>437</v>
      </c>
      <c r="D404" t="s">
        <v>414</v>
      </c>
      <c r="F404">
        <v>3.49</v>
      </c>
      <c r="G404">
        <v>126.04900000000001</v>
      </c>
      <c r="H404">
        <v>3768.0970000000002</v>
      </c>
      <c r="I404">
        <v>0.33500000000000002</v>
      </c>
      <c r="J404" t="s">
        <v>415</v>
      </c>
      <c r="K404">
        <v>0.1</v>
      </c>
      <c r="N404">
        <v>32</v>
      </c>
      <c r="O404">
        <v>32</v>
      </c>
      <c r="P404" t="s">
        <v>542</v>
      </c>
      <c r="Q404" t="s">
        <v>414</v>
      </c>
      <c r="S404">
        <v>3.49</v>
      </c>
      <c r="T404">
        <v>371.209</v>
      </c>
      <c r="U404">
        <v>3942.8229999999999</v>
      </c>
      <c r="V404">
        <v>0.94099999999999995</v>
      </c>
      <c r="W404" t="s">
        <v>401</v>
      </c>
      <c r="X404">
        <v>0</v>
      </c>
      <c r="AH404">
        <v>0.94099999999999995</v>
      </c>
      <c r="AI404">
        <f t="shared" si="0"/>
        <v>4.6993950866219499E-2</v>
      </c>
    </row>
    <row r="405" spans="1:35" x14ac:dyDescent="0.45">
      <c r="A405">
        <v>33</v>
      </c>
      <c r="B405">
        <v>33</v>
      </c>
      <c r="C405" t="s">
        <v>438</v>
      </c>
      <c r="D405" t="s">
        <v>414</v>
      </c>
      <c r="F405">
        <v>3.48</v>
      </c>
      <c r="G405">
        <v>143.006</v>
      </c>
      <c r="H405">
        <v>3900.3739999999998</v>
      </c>
      <c r="I405">
        <v>0.36699999999999999</v>
      </c>
      <c r="J405" t="s">
        <v>415</v>
      </c>
      <c r="K405">
        <v>0.1</v>
      </c>
      <c r="N405">
        <v>33</v>
      </c>
      <c r="O405">
        <v>33</v>
      </c>
      <c r="P405" t="s">
        <v>543</v>
      </c>
      <c r="Q405" t="s">
        <v>414</v>
      </c>
      <c r="S405">
        <v>3.49</v>
      </c>
      <c r="T405">
        <v>598.77300000000002</v>
      </c>
      <c r="U405">
        <v>4040.5540000000001</v>
      </c>
      <c r="V405">
        <v>1.482</v>
      </c>
      <c r="W405" t="s">
        <v>401</v>
      </c>
      <c r="X405">
        <v>0.1</v>
      </c>
      <c r="AH405">
        <v>1.482</v>
      </c>
      <c r="AI405">
        <f t="shared" si="0"/>
        <v>6.9256409201267438E-2</v>
      </c>
    </row>
    <row r="406" spans="1:35" x14ac:dyDescent="0.45">
      <c r="A406">
        <v>34</v>
      </c>
      <c r="B406">
        <v>34</v>
      </c>
      <c r="C406" t="s">
        <v>439</v>
      </c>
      <c r="D406" t="s">
        <v>414</v>
      </c>
      <c r="F406">
        <v>3.49</v>
      </c>
      <c r="G406">
        <v>205.07400000000001</v>
      </c>
      <c r="H406">
        <v>5026.125</v>
      </c>
      <c r="I406">
        <v>0.40799999999999997</v>
      </c>
      <c r="J406" t="s">
        <v>415</v>
      </c>
      <c r="K406">
        <v>0.1</v>
      </c>
      <c r="N406">
        <v>34</v>
      </c>
      <c r="O406">
        <v>34</v>
      </c>
      <c r="P406" t="s">
        <v>544</v>
      </c>
      <c r="Q406" t="s">
        <v>414</v>
      </c>
      <c r="S406">
        <v>3.49</v>
      </c>
      <c r="T406">
        <v>786.23400000000004</v>
      </c>
      <c r="U406">
        <v>4777.6329999999998</v>
      </c>
      <c r="V406">
        <v>1.6459999999999999</v>
      </c>
      <c r="W406" t="s">
        <v>401</v>
      </c>
      <c r="X406">
        <v>0.1</v>
      </c>
      <c r="AH406">
        <v>1.6459999999999999</v>
      </c>
      <c r="AI406">
        <f t="shared" si="0"/>
        <v>7.6005102670671995E-2</v>
      </c>
    </row>
    <row r="407" spans="1:35" x14ac:dyDescent="0.45">
      <c r="A407">
        <v>35</v>
      </c>
      <c r="B407">
        <v>35</v>
      </c>
      <c r="C407" t="s">
        <v>440</v>
      </c>
      <c r="D407" t="s">
        <v>414</v>
      </c>
      <c r="F407">
        <v>3.49</v>
      </c>
      <c r="G407">
        <v>181.45</v>
      </c>
      <c r="H407">
        <v>5474.3850000000002</v>
      </c>
      <c r="I407">
        <v>0.33100000000000002</v>
      </c>
      <c r="J407" t="s">
        <v>412</v>
      </c>
      <c r="K407">
        <v>0.1</v>
      </c>
      <c r="N407">
        <v>35</v>
      </c>
      <c r="O407">
        <v>35</v>
      </c>
      <c r="P407" t="s">
        <v>545</v>
      </c>
      <c r="Q407" t="s">
        <v>414</v>
      </c>
      <c r="S407">
        <v>3.49</v>
      </c>
      <c r="T407">
        <v>405.18</v>
      </c>
      <c r="U407">
        <v>3847.5050000000001</v>
      </c>
      <c r="V407">
        <v>1.0529999999999999</v>
      </c>
      <c r="W407" t="s">
        <v>415</v>
      </c>
      <c r="X407">
        <v>0</v>
      </c>
      <c r="AH407">
        <v>1.0529999999999999</v>
      </c>
      <c r="AI407">
        <f t="shared" si="0"/>
        <v>5.1602814698983583E-2</v>
      </c>
    </row>
    <row r="408" spans="1:35" x14ac:dyDescent="0.45">
      <c r="A408">
        <v>36</v>
      </c>
      <c r="B408">
        <v>36</v>
      </c>
      <c r="C408" t="s">
        <v>441</v>
      </c>
      <c r="D408" t="s">
        <v>414</v>
      </c>
      <c r="F408">
        <v>3.49</v>
      </c>
      <c r="G408">
        <v>395.52300000000002</v>
      </c>
      <c r="H408">
        <v>5144.2939999999999</v>
      </c>
      <c r="I408">
        <v>0.76900000000000002</v>
      </c>
      <c r="J408" t="s">
        <v>415</v>
      </c>
      <c r="K408">
        <v>0.1</v>
      </c>
      <c r="N408">
        <v>36</v>
      </c>
      <c r="O408">
        <v>36</v>
      </c>
      <c r="P408" t="s">
        <v>546</v>
      </c>
      <c r="Q408" t="s">
        <v>414</v>
      </c>
      <c r="S408">
        <v>3.49</v>
      </c>
      <c r="T408">
        <v>688.34500000000003</v>
      </c>
      <c r="U408">
        <v>6475.7070000000003</v>
      </c>
      <c r="V408">
        <v>1.0629999999999999</v>
      </c>
      <c r="W408" t="s">
        <v>415</v>
      </c>
      <c r="X408">
        <v>0</v>
      </c>
      <c r="AH408">
        <v>1.0629999999999999</v>
      </c>
      <c r="AI408">
        <f t="shared" si="0"/>
        <v>5.2014320398337519E-2</v>
      </c>
    </row>
    <row r="409" spans="1:35" x14ac:dyDescent="0.45">
      <c r="A409">
        <v>37</v>
      </c>
      <c r="B409">
        <v>37</v>
      </c>
      <c r="C409" t="s">
        <v>442</v>
      </c>
      <c r="D409" t="s">
        <v>414</v>
      </c>
      <c r="F409">
        <v>3.49</v>
      </c>
      <c r="G409">
        <v>297.25200000000001</v>
      </c>
      <c r="H409">
        <v>4811.0640000000003</v>
      </c>
      <c r="I409">
        <v>0.61799999999999999</v>
      </c>
      <c r="J409" t="s">
        <v>415</v>
      </c>
      <c r="K409">
        <v>0.1</v>
      </c>
      <c r="N409">
        <v>37</v>
      </c>
      <c r="O409">
        <v>37</v>
      </c>
      <c r="P409" t="s">
        <v>547</v>
      </c>
      <c r="Q409" t="s">
        <v>414</v>
      </c>
      <c r="S409">
        <v>3.49</v>
      </c>
      <c r="T409">
        <v>450.52</v>
      </c>
      <c r="U409">
        <v>3498.0659999999998</v>
      </c>
      <c r="V409">
        <v>1.288</v>
      </c>
      <c r="W409" t="s">
        <v>415</v>
      </c>
      <c r="X409">
        <v>0.1</v>
      </c>
      <c r="AH409">
        <v>1.288</v>
      </c>
      <c r="AI409">
        <f t="shared" si="0"/>
        <v>6.1273198633801089E-2</v>
      </c>
    </row>
    <row r="410" spans="1:35" x14ac:dyDescent="0.45">
      <c r="A410">
        <v>38</v>
      </c>
      <c r="B410">
        <v>38</v>
      </c>
      <c r="C410" t="s">
        <v>443</v>
      </c>
      <c r="D410" t="s">
        <v>414</v>
      </c>
      <c r="F410">
        <v>3.49</v>
      </c>
      <c r="G410">
        <v>524.23699999999997</v>
      </c>
      <c r="H410">
        <v>3600.1410000000001</v>
      </c>
      <c r="I410">
        <v>1.456</v>
      </c>
      <c r="J410" t="s">
        <v>412</v>
      </c>
      <c r="K410">
        <v>0.1</v>
      </c>
      <c r="N410">
        <v>38</v>
      </c>
      <c r="O410">
        <v>38</v>
      </c>
      <c r="P410" t="s">
        <v>548</v>
      </c>
      <c r="Q410" t="s">
        <v>414</v>
      </c>
      <c r="S410">
        <v>3.49</v>
      </c>
      <c r="T410">
        <v>466.65300000000002</v>
      </c>
      <c r="U410">
        <v>3811.5659999999998</v>
      </c>
      <c r="V410">
        <v>1.224</v>
      </c>
      <c r="W410" t="s">
        <v>415</v>
      </c>
      <c r="X410">
        <v>0.1</v>
      </c>
      <c r="AH410">
        <v>1.224</v>
      </c>
      <c r="AI410">
        <f t="shared" si="0"/>
        <v>5.8639562157935893E-2</v>
      </c>
    </row>
    <row r="411" spans="1:35" x14ac:dyDescent="0.45">
      <c r="A411">
        <v>39</v>
      </c>
      <c r="B411">
        <v>39</v>
      </c>
      <c r="C411" t="s">
        <v>444</v>
      </c>
      <c r="D411" t="s">
        <v>414</v>
      </c>
      <c r="F411">
        <v>3.49</v>
      </c>
      <c r="G411">
        <v>880.51700000000005</v>
      </c>
      <c r="H411">
        <v>4838.0379999999996</v>
      </c>
      <c r="I411">
        <v>1.82</v>
      </c>
      <c r="J411" t="s">
        <v>415</v>
      </c>
      <c r="K411">
        <v>0.1</v>
      </c>
      <c r="N411">
        <v>39</v>
      </c>
      <c r="O411">
        <v>39</v>
      </c>
      <c r="P411" t="s">
        <v>549</v>
      </c>
      <c r="Q411" t="s">
        <v>414</v>
      </c>
      <c r="S411">
        <v>3.49</v>
      </c>
      <c r="T411">
        <v>271.89999999999998</v>
      </c>
      <c r="U411">
        <v>3671.01</v>
      </c>
      <c r="V411">
        <v>0.74099999999999999</v>
      </c>
      <c r="W411" t="s">
        <v>412</v>
      </c>
      <c r="X411">
        <v>0</v>
      </c>
      <c r="AH411">
        <v>0.74099999999999999</v>
      </c>
      <c r="AI411">
        <f t="shared" si="0"/>
        <v>3.8763836879140777E-2</v>
      </c>
    </row>
    <row r="412" spans="1:35" x14ac:dyDescent="0.45">
      <c r="A412">
        <v>40</v>
      </c>
      <c r="B412">
        <v>40</v>
      </c>
      <c r="C412" t="s">
        <v>445</v>
      </c>
      <c r="D412" t="s">
        <v>414</v>
      </c>
      <c r="F412">
        <v>3.48</v>
      </c>
      <c r="G412">
        <v>105.483</v>
      </c>
      <c r="H412">
        <v>7479.0659999999998</v>
      </c>
      <c r="I412">
        <v>0.14099999999999999</v>
      </c>
      <c r="J412" t="s">
        <v>415</v>
      </c>
      <c r="K412">
        <v>0.1</v>
      </c>
      <c r="N412">
        <v>40</v>
      </c>
      <c r="O412">
        <v>40</v>
      </c>
      <c r="P412" t="s">
        <v>550</v>
      </c>
      <c r="Q412" t="s">
        <v>414</v>
      </c>
      <c r="S412">
        <v>3.49</v>
      </c>
      <c r="T412">
        <v>629.58500000000004</v>
      </c>
      <c r="U412">
        <v>4791.009</v>
      </c>
      <c r="V412">
        <v>1.3140000000000001</v>
      </c>
      <c r="W412" t="s">
        <v>415</v>
      </c>
      <c r="X412">
        <v>0.1</v>
      </c>
      <c r="AH412">
        <v>1.3140000000000001</v>
      </c>
      <c r="AI412">
        <f t="shared" si="0"/>
        <v>6.2343113452121318E-2</v>
      </c>
    </row>
    <row r="413" spans="1:35" x14ac:dyDescent="0.45">
      <c r="A413">
        <v>41</v>
      </c>
      <c r="B413">
        <v>41</v>
      </c>
      <c r="C413" t="s">
        <v>446</v>
      </c>
      <c r="D413" t="s">
        <v>414</v>
      </c>
      <c r="F413">
        <v>3.48</v>
      </c>
      <c r="G413">
        <v>107.217</v>
      </c>
      <c r="H413">
        <v>5359.1779999999999</v>
      </c>
      <c r="I413">
        <v>0.2</v>
      </c>
      <c r="J413" t="s">
        <v>415</v>
      </c>
      <c r="K413">
        <v>0.1</v>
      </c>
      <c r="N413">
        <v>41</v>
      </c>
      <c r="O413">
        <v>41</v>
      </c>
      <c r="P413" t="s">
        <v>551</v>
      </c>
      <c r="Q413" t="s">
        <v>414</v>
      </c>
      <c r="S413">
        <v>3.49</v>
      </c>
      <c r="T413">
        <v>743.755</v>
      </c>
      <c r="U413">
        <v>5396.5559999999996</v>
      </c>
      <c r="V413">
        <v>1.3779999999999999</v>
      </c>
      <c r="W413" t="s">
        <v>401</v>
      </c>
      <c r="X413">
        <v>0.1</v>
      </c>
      <c r="AH413">
        <v>1.3779999999999999</v>
      </c>
      <c r="AI413">
        <f t="shared" si="0"/>
        <v>6.4976749927986507E-2</v>
      </c>
    </row>
    <row r="414" spans="1:35" x14ac:dyDescent="0.45">
      <c r="A414">
        <v>42</v>
      </c>
      <c r="B414">
        <v>42</v>
      </c>
      <c r="C414" t="s">
        <v>447</v>
      </c>
      <c r="D414" t="s">
        <v>414</v>
      </c>
      <c r="F414">
        <v>3.48</v>
      </c>
      <c r="G414">
        <v>131.66800000000001</v>
      </c>
      <c r="H414">
        <v>5440.7259999999997</v>
      </c>
      <c r="I414">
        <v>0.24199999999999999</v>
      </c>
      <c r="J414" t="s">
        <v>415</v>
      </c>
      <c r="K414">
        <v>0.1</v>
      </c>
      <c r="N414">
        <v>42</v>
      </c>
      <c r="O414">
        <v>42</v>
      </c>
      <c r="P414" t="s">
        <v>552</v>
      </c>
      <c r="Q414" t="s">
        <v>414</v>
      </c>
      <c r="S414">
        <v>3.49</v>
      </c>
      <c r="T414">
        <v>286.334</v>
      </c>
      <c r="U414">
        <v>3838.433</v>
      </c>
      <c r="V414">
        <v>0.746</v>
      </c>
      <c r="W414" t="s">
        <v>415</v>
      </c>
      <c r="X414">
        <v>0</v>
      </c>
      <c r="AH414">
        <v>0.746</v>
      </c>
      <c r="AI414">
        <f t="shared" si="0"/>
        <v>3.8969589728817748E-2</v>
      </c>
    </row>
    <row r="415" spans="1:35" x14ac:dyDescent="0.45">
      <c r="A415">
        <v>43</v>
      </c>
      <c r="B415">
        <v>43</v>
      </c>
      <c r="C415" t="s">
        <v>448</v>
      </c>
      <c r="D415" t="s">
        <v>414</v>
      </c>
      <c r="F415">
        <v>3.48</v>
      </c>
      <c r="G415">
        <v>167.43199999999999</v>
      </c>
      <c r="H415">
        <v>4394.1030000000001</v>
      </c>
      <c r="I415">
        <v>0.38100000000000001</v>
      </c>
      <c r="J415" t="s">
        <v>401</v>
      </c>
      <c r="K415">
        <v>0.1</v>
      </c>
      <c r="N415">
        <v>43</v>
      </c>
      <c r="O415">
        <v>43</v>
      </c>
      <c r="P415" t="s">
        <v>553</v>
      </c>
      <c r="Q415" t="s">
        <v>414</v>
      </c>
      <c r="S415">
        <v>3.49</v>
      </c>
      <c r="T415">
        <v>337.41699999999997</v>
      </c>
      <c r="U415">
        <v>3887.3319999999999</v>
      </c>
      <c r="V415">
        <v>0.86799999999999999</v>
      </c>
      <c r="W415" t="s">
        <v>412</v>
      </c>
      <c r="X415">
        <v>0</v>
      </c>
      <c r="AH415">
        <v>0.86799999999999999</v>
      </c>
      <c r="AI415">
        <f t="shared" si="0"/>
        <v>4.3989959260935768E-2</v>
      </c>
    </row>
    <row r="416" spans="1:35" x14ac:dyDescent="0.45">
      <c r="A416">
        <v>44</v>
      </c>
      <c r="B416">
        <v>44</v>
      </c>
      <c r="C416" t="s">
        <v>449</v>
      </c>
      <c r="D416" t="s">
        <v>414</v>
      </c>
      <c r="F416">
        <v>3.49</v>
      </c>
      <c r="G416">
        <v>217.309</v>
      </c>
      <c r="H416">
        <v>5570.04</v>
      </c>
      <c r="I416">
        <v>0.39</v>
      </c>
      <c r="J416" t="s">
        <v>415</v>
      </c>
      <c r="K416">
        <v>0.1</v>
      </c>
      <c r="N416">
        <v>44</v>
      </c>
      <c r="O416">
        <v>44</v>
      </c>
      <c r="P416" t="s">
        <v>554</v>
      </c>
      <c r="Q416" t="s">
        <v>414</v>
      </c>
      <c r="S416">
        <v>3.51</v>
      </c>
      <c r="T416">
        <v>302.73200000000003</v>
      </c>
      <c r="U416">
        <v>4129.6180000000004</v>
      </c>
      <c r="V416">
        <v>0.73299999999999998</v>
      </c>
      <c r="W416" t="s">
        <v>415</v>
      </c>
      <c r="X416">
        <v>0</v>
      </c>
      <c r="AH416">
        <v>0.73299999999999998</v>
      </c>
      <c r="AI416">
        <f t="shared" si="0"/>
        <v>3.843463231965763E-2</v>
      </c>
    </row>
    <row r="417" spans="1:35" x14ac:dyDescent="0.45">
      <c r="A417">
        <v>45</v>
      </c>
      <c r="B417">
        <v>45</v>
      </c>
      <c r="C417" t="s">
        <v>450</v>
      </c>
      <c r="D417" t="s">
        <v>414</v>
      </c>
      <c r="F417">
        <v>3.48</v>
      </c>
      <c r="G417">
        <v>198.40600000000001</v>
      </c>
      <c r="H417">
        <v>4240.3829999999998</v>
      </c>
      <c r="I417">
        <v>0.46800000000000003</v>
      </c>
      <c r="J417" t="s">
        <v>415</v>
      </c>
      <c r="K417">
        <v>0.1</v>
      </c>
      <c r="N417">
        <v>45</v>
      </c>
      <c r="O417">
        <v>45</v>
      </c>
      <c r="P417" t="s">
        <v>555</v>
      </c>
      <c r="Q417" t="s">
        <v>414</v>
      </c>
      <c r="S417">
        <v>3.49</v>
      </c>
      <c r="T417">
        <v>373.15100000000001</v>
      </c>
      <c r="U417">
        <v>4450.9250000000002</v>
      </c>
      <c r="V417">
        <v>0.83799999999999997</v>
      </c>
      <c r="W417" t="s">
        <v>401</v>
      </c>
      <c r="X417">
        <v>0</v>
      </c>
      <c r="AH417">
        <v>0.83799999999999997</v>
      </c>
      <c r="AI417">
        <f t="shared" si="0"/>
        <v>4.2755442162873955E-2</v>
      </c>
    </row>
    <row r="418" spans="1:35" x14ac:dyDescent="0.45">
      <c r="A418">
        <v>46</v>
      </c>
      <c r="B418">
        <v>46</v>
      </c>
      <c r="C418" t="s">
        <v>451</v>
      </c>
      <c r="D418" t="s">
        <v>414</v>
      </c>
      <c r="F418">
        <v>3.49</v>
      </c>
      <c r="G418">
        <v>605.85500000000002</v>
      </c>
      <c r="H418">
        <v>4851.6400000000003</v>
      </c>
      <c r="I418">
        <v>1.2490000000000001</v>
      </c>
      <c r="J418" t="s">
        <v>415</v>
      </c>
      <c r="K418">
        <v>0.1</v>
      </c>
      <c r="N418">
        <v>46</v>
      </c>
      <c r="O418">
        <v>46</v>
      </c>
      <c r="P418" t="s">
        <v>556</v>
      </c>
      <c r="Q418" t="s">
        <v>414</v>
      </c>
      <c r="S418">
        <v>3.51</v>
      </c>
      <c r="T418">
        <v>99.703999999999994</v>
      </c>
      <c r="U418">
        <v>3103.7809999999999</v>
      </c>
      <c r="V418">
        <v>0.32100000000000001</v>
      </c>
      <c r="W418" t="s">
        <v>415</v>
      </c>
      <c r="X418">
        <v>0</v>
      </c>
      <c r="AH418">
        <v>0.32100000000000001</v>
      </c>
      <c r="AI418">
        <f t="shared" si="0"/>
        <v>2.1480597506275463E-2</v>
      </c>
    </row>
    <row r="419" spans="1:35" x14ac:dyDescent="0.45">
      <c r="A419">
        <v>47</v>
      </c>
      <c r="B419">
        <v>47</v>
      </c>
      <c r="C419" t="s">
        <v>452</v>
      </c>
      <c r="D419" t="s">
        <v>414</v>
      </c>
      <c r="F419">
        <v>3.51</v>
      </c>
      <c r="G419">
        <v>511.33699999999999</v>
      </c>
      <c r="H419">
        <v>2830.5940000000001</v>
      </c>
      <c r="I419">
        <v>1.806</v>
      </c>
      <c r="J419" t="s">
        <v>401</v>
      </c>
      <c r="K419">
        <v>0.1</v>
      </c>
      <c r="N419">
        <v>47</v>
      </c>
      <c r="O419">
        <v>47</v>
      </c>
      <c r="P419" t="s">
        <v>557</v>
      </c>
      <c r="Q419" t="s">
        <v>414</v>
      </c>
      <c r="S419">
        <v>3.49</v>
      </c>
      <c r="T419">
        <v>107.79</v>
      </c>
      <c r="U419">
        <v>2665.95</v>
      </c>
      <c r="V419">
        <v>0.40400000000000003</v>
      </c>
      <c r="W419" t="s">
        <v>401</v>
      </c>
      <c r="X419">
        <v>0</v>
      </c>
      <c r="AH419">
        <v>0.40400000000000003</v>
      </c>
      <c r="AI419">
        <f t="shared" si="0"/>
        <v>2.4896094810913132E-2</v>
      </c>
    </row>
    <row r="420" spans="1:35" x14ac:dyDescent="0.45">
      <c r="A420">
        <v>48</v>
      </c>
      <c r="B420">
        <v>48</v>
      </c>
      <c r="C420" t="s">
        <v>453</v>
      </c>
      <c r="D420" t="s">
        <v>414</v>
      </c>
      <c r="F420">
        <v>3.49</v>
      </c>
      <c r="G420">
        <v>332.43799999999999</v>
      </c>
      <c r="H420">
        <v>3094.933</v>
      </c>
      <c r="I420">
        <v>1.0740000000000001</v>
      </c>
      <c r="J420" t="s">
        <v>401</v>
      </c>
      <c r="K420">
        <v>0.1</v>
      </c>
      <c r="N420">
        <v>48</v>
      </c>
      <c r="O420">
        <v>48</v>
      </c>
      <c r="P420" t="s">
        <v>558</v>
      </c>
      <c r="Q420" t="s">
        <v>414</v>
      </c>
      <c r="S420">
        <v>3.49</v>
      </c>
      <c r="T420">
        <v>100.934</v>
      </c>
      <c r="U420">
        <v>2898.8530000000001</v>
      </c>
      <c r="V420">
        <v>0.34799999999999998</v>
      </c>
      <c r="W420" t="s">
        <v>415</v>
      </c>
      <c r="X420">
        <v>0</v>
      </c>
      <c r="AH420">
        <v>0.34799999999999998</v>
      </c>
      <c r="AI420">
        <f t="shared" si="0"/>
        <v>2.2591662894531087E-2</v>
      </c>
    </row>
    <row r="421" spans="1:35" x14ac:dyDescent="0.45">
      <c r="A421">
        <v>49</v>
      </c>
      <c r="B421">
        <v>49</v>
      </c>
      <c r="C421" t="s">
        <v>454</v>
      </c>
      <c r="D421" t="s">
        <v>414</v>
      </c>
      <c r="F421">
        <v>3.49</v>
      </c>
      <c r="G421">
        <v>419.029</v>
      </c>
      <c r="H421">
        <v>3153.2190000000001</v>
      </c>
      <c r="I421">
        <v>1.329</v>
      </c>
      <c r="J421" t="s">
        <v>401</v>
      </c>
      <c r="K421">
        <v>0.1</v>
      </c>
      <c r="N421">
        <v>49</v>
      </c>
      <c r="O421">
        <v>49</v>
      </c>
      <c r="P421" t="s">
        <v>559</v>
      </c>
      <c r="Q421" t="s">
        <v>414</v>
      </c>
      <c r="S421">
        <v>3.49</v>
      </c>
      <c r="T421">
        <v>209.773</v>
      </c>
      <c r="U421">
        <v>3288.8220000000001</v>
      </c>
      <c r="V421">
        <v>0.63800000000000001</v>
      </c>
      <c r="W421" t="s">
        <v>415</v>
      </c>
      <c r="X421">
        <v>0</v>
      </c>
      <c r="AH421">
        <v>0.63800000000000001</v>
      </c>
      <c r="AI421">
        <f t="shared" si="0"/>
        <v>3.4525328175795233E-2</v>
      </c>
    </row>
    <row r="422" spans="1:35" x14ac:dyDescent="0.45">
      <c r="A422">
        <v>50</v>
      </c>
      <c r="B422">
        <v>50</v>
      </c>
      <c r="C422" t="s">
        <v>455</v>
      </c>
      <c r="D422" t="s">
        <v>414</v>
      </c>
      <c r="F422">
        <v>3.49</v>
      </c>
      <c r="G422">
        <v>894.26700000000005</v>
      </c>
      <c r="H422">
        <v>4140.152</v>
      </c>
      <c r="I422">
        <v>2.16</v>
      </c>
      <c r="J422" t="s">
        <v>415</v>
      </c>
      <c r="K422">
        <v>0.1</v>
      </c>
      <c r="N422">
        <v>50</v>
      </c>
      <c r="O422">
        <v>50</v>
      </c>
      <c r="P422" t="s">
        <v>560</v>
      </c>
      <c r="Q422" t="s">
        <v>414</v>
      </c>
      <c r="S422">
        <v>3.49</v>
      </c>
      <c r="T422">
        <v>268.92500000000001</v>
      </c>
      <c r="U422">
        <v>3578.1669999999999</v>
      </c>
      <c r="V422">
        <v>0.752</v>
      </c>
      <c r="W422" t="s">
        <v>415</v>
      </c>
      <c r="X422">
        <v>0</v>
      </c>
      <c r="AH422">
        <v>0.752</v>
      </c>
      <c r="AI422">
        <f t="shared" si="0"/>
        <v>3.9216493148430114E-2</v>
      </c>
    </row>
    <row r="423" spans="1:35" x14ac:dyDescent="0.45">
      <c r="A423">
        <v>51</v>
      </c>
      <c r="B423">
        <v>51</v>
      </c>
      <c r="C423" t="s">
        <v>456</v>
      </c>
      <c r="D423" t="s">
        <v>414</v>
      </c>
      <c r="F423">
        <v>3.49</v>
      </c>
      <c r="G423">
        <v>596.678</v>
      </c>
      <c r="H423">
        <v>3404.8919999999998</v>
      </c>
      <c r="I423">
        <v>1.752</v>
      </c>
      <c r="J423" t="s">
        <v>401</v>
      </c>
      <c r="K423">
        <v>0.1</v>
      </c>
      <c r="N423">
        <v>51</v>
      </c>
      <c r="O423">
        <v>51</v>
      </c>
      <c r="P423" t="s">
        <v>561</v>
      </c>
      <c r="Q423" t="s">
        <v>414</v>
      </c>
      <c r="S423">
        <v>3.48</v>
      </c>
      <c r="T423">
        <v>184.47900000000001</v>
      </c>
      <c r="U423">
        <v>2663.038</v>
      </c>
      <c r="V423">
        <v>0.69299999999999995</v>
      </c>
      <c r="W423" t="s">
        <v>415</v>
      </c>
      <c r="X423">
        <v>0</v>
      </c>
      <c r="AH423">
        <v>0.69299999999999995</v>
      </c>
      <c r="AI423">
        <f t="shared" si="0"/>
        <v>3.6788609522241882E-2</v>
      </c>
    </row>
    <row r="424" spans="1:35" x14ac:dyDescent="0.45">
      <c r="A424">
        <v>52</v>
      </c>
      <c r="B424">
        <v>52</v>
      </c>
      <c r="C424" t="s">
        <v>457</v>
      </c>
      <c r="D424" t="s">
        <v>414</v>
      </c>
      <c r="F424">
        <v>3.48</v>
      </c>
      <c r="G424">
        <v>421.54199999999997</v>
      </c>
      <c r="H424">
        <v>3207.0390000000002</v>
      </c>
      <c r="I424">
        <v>1.3140000000000001</v>
      </c>
      <c r="J424" t="s">
        <v>415</v>
      </c>
      <c r="K424">
        <v>0.1</v>
      </c>
      <c r="N424">
        <v>52</v>
      </c>
      <c r="O424">
        <v>52</v>
      </c>
      <c r="P424" t="s">
        <v>562</v>
      </c>
      <c r="Q424" t="s">
        <v>414</v>
      </c>
      <c r="S424">
        <v>3.49</v>
      </c>
      <c r="T424">
        <v>306.54899999999998</v>
      </c>
      <c r="U424">
        <v>3069.777</v>
      </c>
      <c r="V424">
        <v>0.999</v>
      </c>
      <c r="W424" t="s">
        <v>415</v>
      </c>
      <c r="X424">
        <v>0</v>
      </c>
      <c r="AH424">
        <v>0.999</v>
      </c>
      <c r="AI424">
        <f t="shared" si="0"/>
        <v>4.9380683922472329E-2</v>
      </c>
    </row>
    <row r="425" spans="1:35" x14ac:dyDescent="0.45">
      <c r="A425">
        <v>53</v>
      </c>
      <c r="B425">
        <v>53</v>
      </c>
      <c r="C425" t="s">
        <v>458</v>
      </c>
      <c r="D425" t="s">
        <v>414</v>
      </c>
      <c r="F425">
        <v>3.49</v>
      </c>
      <c r="G425">
        <v>597.78200000000004</v>
      </c>
      <c r="H425">
        <v>3346.752</v>
      </c>
      <c r="I425">
        <v>1.786</v>
      </c>
      <c r="J425" t="s">
        <v>403</v>
      </c>
      <c r="K425">
        <v>0.1</v>
      </c>
      <c r="N425">
        <v>53</v>
      </c>
      <c r="O425">
        <v>53</v>
      </c>
      <c r="P425" t="s">
        <v>563</v>
      </c>
      <c r="Q425" t="s">
        <v>414</v>
      </c>
      <c r="S425">
        <v>3.49</v>
      </c>
      <c r="T425">
        <v>337.50900000000001</v>
      </c>
      <c r="U425">
        <v>4614.3059999999996</v>
      </c>
      <c r="V425">
        <v>0.73099999999999998</v>
      </c>
      <c r="W425" t="s">
        <v>412</v>
      </c>
      <c r="X425">
        <v>0</v>
      </c>
      <c r="AH425">
        <v>0.73099999999999998</v>
      </c>
      <c r="AI425">
        <f t="shared" si="0"/>
        <v>3.8352331179786842E-2</v>
      </c>
    </row>
    <row r="426" spans="1:35" x14ac:dyDescent="0.45">
      <c r="A426">
        <v>54</v>
      </c>
      <c r="B426">
        <v>54</v>
      </c>
      <c r="C426" t="s">
        <v>459</v>
      </c>
      <c r="D426" t="s">
        <v>414</v>
      </c>
      <c r="F426">
        <v>3.49</v>
      </c>
      <c r="G426">
        <v>722</v>
      </c>
      <c r="H426">
        <v>4205.6239999999998</v>
      </c>
      <c r="I426">
        <v>1.7170000000000001</v>
      </c>
      <c r="J426" t="s">
        <v>412</v>
      </c>
      <c r="K426">
        <v>0.1</v>
      </c>
      <c r="N426">
        <v>54</v>
      </c>
      <c r="O426">
        <v>54</v>
      </c>
      <c r="P426" t="s">
        <v>564</v>
      </c>
      <c r="Q426" t="s">
        <v>414</v>
      </c>
      <c r="S426">
        <v>3.49</v>
      </c>
      <c r="T426">
        <v>62.225999999999999</v>
      </c>
      <c r="U426">
        <v>3671.6689999999999</v>
      </c>
      <c r="V426">
        <v>0.16900000000000001</v>
      </c>
      <c r="W426" t="s">
        <v>401</v>
      </c>
      <c r="X426">
        <v>0</v>
      </c>
      <c r="AH426">
        <v>0.16900000000000001</v>
      </c>
      <c r="AI426">
        <f t="shared" si="0"/>
        <v>1.5225710876095635E-2</v>
      </c>
    </row>
    <row r="427" spans="1:35" x14ac:dyDescent="0.45">
      <c r="A427">
        <v>55</v>
      </c>
      <c r="B427">
        <v>55</v>
      </c>
      <c r="C427" t="s">
        <v>460</v>
      </c>
      <c r="D427" t="s">
        <v>414</v>
      </c>
      <c r="F427">
        <v>3.49</v>
      </c>
      <c r="G427">
        <v>420.762</v>
      </c>
      <c r="H427">
        <v>2880.2510000000002</v>
      </c>
      <c r="I427">
        <v>1.4610000000000001</v>
      </c>
      <c r="J427" t="s">
        <v>401</v>
      </c>
      <c r="K427">
        <v>0.1</v>
      </c>
      <c r="N427">
        <v>55</v>
      </c>
      <c r="O427">
        <v>55</v>
      </c>
      <c r="P427" t="s">
        <v>565</v>
      </c>
      <c r="Q427" t="s">
        <v>414</v>
      </c>
      <c r="S427">
        <v>3.51</v>
      </c>
      <c r="T427">
        <v>76.311999999999998</v>
      </c>
      <c r="U427">
        <v>3633.3789999999999</v>
      </c>
      <c r="V427">
        <v>0.21</v>
      </c>
      <c r="W427" t="s">
        <v>415</v>
      </c>
      <c r="X427">
        <v>0</v>
      </c>
      <c r="AH427">
        <v>0.21</v>
      </c>
      <c r="AI427">
        <f t="shared" si="0"/>
        <v>1.6912884243446773E-2</v>
      </c>
    </row>
    <row r="428" spans="1:35" x14ac:dyDescent="0.45">
      <c r="A428">
        <v>56</v>
      </c>
      <c r="B428">
        <v>56</v>
      </c>
      <c r="C428" t="s">
        <v>461</v>
      </c>
      <c r="D428" t="s">
        <v>414</v>
      </c>
      <c r="F428">
        <v>3.49</v>
      </c>
      <c r="G428">
        <v>549.82100000000003</v>
      </c>
      <c r="H428">
        <v>2606.5320000000002</v>
      </c>
      <c r="I428">
        <v>2.109</v>
      </c>
      <c r="J428" t="s">
        <v>415</v>
      </c>
      <c r="K428">
        <v>0.1</v>
      </c>
      <c r="N428">
        <v>56</v>
      </c>
      <c r="O428">
        <v>56</v>
      </c>
      <c r="P428" t="s">
        <v>566</v>
      </c>
      <c r="Q428" t="s">
        <v>414</v>
      </c>
      <c r="S428">
        <v>3.49</v>
      </c>
      <c r="T428">
        <v>568.88800000000003</v>
      </c>
      <c r="U428">
        <v>3425.1959999999999</v>
      </c>
      <c r="V428">
        <v>1.661</v>
      </c>
      <c r="W428" t="s">
        <v>415</v>
      </c>
      <c r="X428">
        <v>0.1</v>
      </c>
      <c r="AH428">
        <v>1.661</v>
      </c>
      <c r="AI428">
        <f t="shared" si="0"/>
        <v>7.6622361219702909E-2</v>
      </c>
    </row>
    <row r="429" spans="1:35" x14ac:dyDescent="0.45">
      <c r="A429">
        <v>57</v>
      </c>
      <c r="B429">
        <v>57</v>
      </c>
      <c r="C429" t="s">
        <v>462</v>
      </c>
      <c r="D429" t="s">
        <v>414</v>
      </c>
      <c r="F429">
        <v>3.49</v>
      </c>
      <c r="G429">
        <v>819.77</v>
      </c>
      <c r="H429">
        <v>3034.569</v>
      </c>
      <c r="I429">
        <v>2.7010000000000001</v>
      </c>
      <c r="J429" t="s">
        <v>403</v>
      </c>
      <c r="K429">
        <v>0.2</v>
      </c>
      <c r="N429">
        <v>57</v>
      </c>
      <c r="O429">
        <v>57</v>
      </c>
      <c r="P429" t="s">
        <v>567</v>
      </c>
      <c r="Q429" t="s">
        <v>414</v>
      </c>
      <c r="S429">
        <v>3.49</v>
      </c>
      <c r="T429">
        <v>575.60900000000004</v>
      </c>
      <c r="U429">
        <v>3342.5830000000001</v>
      </c>
      <c r="V429">
        <v>1.722</v>
      </c>
      <c r="W429" t="s">
        <v>415</v>
      </c>
      <c r="X429">
        <v>0.1</v>
      </c>
      <c r="AH429">
        <v>1.722</v>
      </c>
      <c r="AI429">
        <f t="shared" si="0"/>
        <v>7.9132545985761915E-2</v>
      </c>
    </row>
    <row r="430" spans="1:35" x14ac:dyDescent="0.45">
      <c r="A430">
        <v>58</v>
      </c>
      <c r="B430">
        <v>58</v>
      </c>
      <c r="C430" t="s">
        <v>463</v>
      </c>
      <c r="D430" t="s">
        <v>414</v>
      </c>
      <c r="F430">
        <v>3.47</v>
      </c>
      <c r="G430">
        <v>107.592</v>
      </c>
      <c r="H430">
        <v>3418.105</v>
      </c>
      <c r="I430">
        <v>0.315</v>
      </c>
      <c r="J430" t="s">
        <v>415</v>
      </c>
      <c r="K430">
        <v>0.1</v>
      </c>
      <c r="N430">
        <v>58</v>
      </c>
      <c r="O430">
        <v>58</v>
      </c>
      <c r="P430" t="s">
        <v>568</v>
      </c>
      <c r="Q430" t="s">
        <v>414</v>
      </c>
      <c r="S430">
        <v>3.49</v>
      </c>
      <c r="T430">
        <v>665.83699999999999</v>
      </c>
      <c r="U430">
        <v>6053.3959999999997</v>
      </c>
      <c r="V430">
        <v>1.1000000000000001</v>
      </c>
      <c r="W430" t="s">
        <v>415</v>
      </c>
      <c r="X430">
        <v>0.1</v>
      </c>
      <c r="AH430">
        <v>1.1000000000000001</v>
      </c>
      <c r="AI430">
        <f t="shared" si="0"/>
        <v>5.3536891485947091E-2</v>
      </c>
    </row>
    <row r="431" spans="1:35" x14ac:dyDescent="0.45">
      <c r="A431">
        <v>59</v>
      </c>
      <c r="B431">
        <v>59</v>
      </c>
      <c r="C431" t="s">
        <v>464</v>
      </c>
      <c r="D431" t="s">
        <v>414</v>
      </c>
      <c r="F431">
        <v>3.48</v>
      </c>
      <c r="G431">
        <v>93.049000000000007</v>
      </c>
      <c r="H431">
        <v>3157.0010000000002</v>
      </c>
      <c r="I431">
        <v>0.29499999999999998</v>
      </c>
      <c r="J431" t="s">
        <v>415</v>
      </c>
      <c r="K431">
        <v>0.1</v>
      </c>
      <c r="N431">
        <v>59</v>
      </c>
      <c r="O431">
        <v>59</v>
      </c>
      <c r="P431" t="s">
        <v>569</v>
      </c>
      <c r="Q431" t="s">
        <v>414</v>
      </c>
      <c r="S431">
        <v>3.49</v>
      </c>
      <c r="T431">
        <v>423.39499999999998</v>
      </c>
      <c r="U431">
        <v>3292.8319999999999</v>
      </c>
      <c r="V431">
        <v>1.286</v>
      </c>
      <c r="W431" t="s">
        <v>415</v>
      </c>
      <c r="X431">
        <v>0.1</v>
      </c>
      <c r="AH431">
        <v>1.286</v>
      </c>
      <c r="AI431">
        <f t="shared" si="0"/>
        <v>6.11908974939303E-2</v>
      </c>
    </row>
    <row r="432" spans="1:35" x14ac:dyDescent="0.45">
      <c r="A432">
        <v>60</v>
      </c>
      <c r="B432">
        <v>60</v>
      </c>
      <c r="C432" t="s">
        <v>465</v>
      </c>
      <c r="D432" t="s">
        <v>414</v>
      </c>
      <c r="F432">
        <v>3.48</v>
      </c>
      <c r="G432">
        <v>177.6</v>
      </c>
      <c r="H432">
        <v>3648.982</v>
      </c>
      <c r="I432">
        <v>0.48699999999999999</v>
      </c>
      <c r="J432" t="s">
        <v>401</v>
      </c>
      <c r="K432">
        <v>0.1</v>
      </c>
      <c r="N432">
        <v>60</v>
      </c>
      <c r="O432">
        <v>60</v>
      </c>
      <c r="P432" t="s">
        <v>570</v>
      </c>
      <c r="Q432" t="s">
        <v>414</v>
      </c>
      <c r="S432">
        <v>3.49</v>
      </c>
      <c r="T432">
        <v>550.24699999999996</v>
      </c>
      <c r="U432">
        <v>7297.643</v>
      </c>
      <c r="V432">
        <v>0.754</v>
      </c>
      <c r="W432" t="s">
        <v>415</v>
      </c>
      <c r="X432">
        <v>0</v>
      </c>
      <c r="AH432">
        <v>0.754</v>
      </c>
      <c r="AI432">
        <f t="shared" si="0"/>
        <v>3.9298794288300895E-2</v>
      </c>
    </row>
    <row r="433" spans="1:35" x14ac:dyDescent="0.45">
      <c r="A433">
        <v>61</v>
      </c>
      <c r="B433">
        <v>61</v>
      </c>
      <c r="C433" t="s">
        <v>466</v>
      </c>
      <c r="D433" t="s">
        <v>414</v>
      </c>
      <c r="F433">
        <v>3.48</v>
      </c>
      <c r="G433">
        <v>151.846</v>
      </c>
      <c r="H433">
        <v>3717.181</v>
      </c>
      <c r="I433">
        <v>0.40799999999999997</v>
      </c>
      <c r="J433" t="s">
        <v>415</v>
      </c>
      <c r="K433">
        <v>0.1</v>
      </c>
      <c r="N433">
        <v>61</v>
      </c>
      <c r="O433">
        <v>61</v>
      </c>
      <c r="P433" t="s">
        <v>571</v>
      </c>
      <c r="Q433" t="s">
        <v>414</v>
      </c>
      <c r="S433">
        <v>3.49</v>
      </c>
      <c r="T433">
        <v>332.92200000000003</v>
      </c>
      <c r="U433">
        <v>3676.6930000000002</v>
      </c>
      <c r="V433">
        <v>0.90500000000000003</v>
      </c>
      <c r="W433" t="s">
        <v>401</v>
      </c>
      <c r="X433">
        <v>0</v>
      </c>
      <c r="AH433">
        <v>0.90500000000000003</v>
      </c>
      <c r="AI433">
        <f t="shared" si="0"/>
        <v>4.5512530348545334E-2</v>
      </c>
    </row>
    <row r="434" spans="1:35" x14ac:dyDescent="0.45">
      <c r="A434">
        <v>62</v>
      </c>
      <c r="B434">
        <v>62</v>
      </c>
      <c r="C434" t="s">
        <v>467</v>
      </c>
      <c r="D434" t="s">
        <v>414</v>
      </c>
      <c r="F434">
        <v>3.48</v>
      </c>
      <c r="G434">
        <v>184.84700000000001</v>
      </c>
      <c r="H434">
        <v>4849.9989999999998</v>
      </c>
      <c r="I434">
        <v>0.38100000000000001</v>
      </c>
      <c r="J434" t="s">
        <v>415</v>
      </c>
      <c r="K434">
        <v>0.1</v>
      </c>
      <c r="N434">
        <v>62</v>
      </c>
      <c r="O434">
        <v>62</v>
      </c>
      <c r="P434" t="s">
        <v>572</v>
      </c>
      <c r="Q434" t="s">
        <v>414</v>
      </c>
      <c r="S434">
        <v>3.49</v>
      </c>
      <c r="T434">
        <v>117.306</v>
      </c>
      <c r="U434">
        <v>3376.6750000000002</v>
      </c>
      <c r="V434">
        <v>0.34699999999999998</v>
      </c>
      <c r="W434" t="s">
        <v>415</v>
      </c>
      <c r="X434">
        <v>0</v>
      </c>
      <c r="AH434">
        <v>0.34699999999999998</v>
      </c>
      <c r="AI434">
        <f t="shared" si="0"/>
        <v>2.2550512324595699E-2</v>
      </c>
    </row>
    <row r="435" spans="1:35" x14ac:dyDescent="0.45">
      <c r="A435">
        <v>63</v>
      </c>
      <c r="B435">
        <v>63</v>
      </c>
      <c r="C435" t="s">
        <v>468</v>
      </c>
      <c r="D435" t="s">
        <v>414</v>
      </c>
      <c r="F435">
        <v>3.48</v>
      </c>
      <c r="G435">
        <v>172.76400000000001</v>
      </c>
      <c r="H435">
        <v>4358.83</v>
      </c>
      <c r="I435">
        <v>0.39600000000000002</v>
      </c>
      <c r="J435" t="s">
        <v>415</v>
      </c>
      <c r="K435">
        <v>0.1</v>
      </c>
      <c r="N435">
        <v>63</v>
      </c>
      <c r="O435">
        <v>63</v>
      </c>
      <c r="P435" t="s">
        <v>573</v>
      </c>
      <c r="Q435" t="s">
        <v>414</v>
      </c>
      <c r="S435">
        <v>3.49</v>
      </c>
      <c r="T435">
        <v>89.804000000000002</v>
      </c>
      <c r="U435">
        <v>4911.5609999999997</v>
      </c>
      <c r="V435">
        <v>0.183</v>
      </c>
      <c r="W435" t="s">
        <v>415</v>
      </c>
      <c r="X435">
        <v>0</v>
      </c>
      <c r="AH435">
        <v>0.183</v>
      </c>
      <c r="AI435">
        <f t="shared" si="0"/>
        <v>1.5801818855191146E-2</v>
      </c>
    </row>
    <row r="436" spans="1:35" x14ac:dyDescent="0.45">
      <c r="A436">
        <v>64</v>
      </c>
      <c r="B436">
        <v>64</v>
      </c>
      <c r="C436" t="s">
        <v>469</v>
      </c>
      <c r="D436" t="s">
        <v>414</v>
      </c>
      <c r="F436">
        <v>3.49</v>
      </c>
      <c r="G436">
        <v>298.68099999999998</v>
      </c>
      <c r="H436">
        <v>4618.2139999999999</v>
      </c>
      <c r="I436">
        <v>0.64700000000000002</v>
      </c>
      <c r="J436" t="s">
        <v>415</v>
      </c>
      <c r="K436">
        <v>0.1</v>
      </c>
      <c r="N436">
        <v>64</v>
      </c>
      <c r="O436">
        <v>64</v>
      </c>
      <c r="P436" t="s">
        <v>574</v>
      </c>
      <c r="Q436" t="s">
        <v>414</v>
      </c>
      <c r="S436">
        <v>3.49</v>
      </c>
      <c r="T436">
        <v>390.34300000000002</v>
      </c>
      <c r="U436">
        <v>4098.4830000000002</v>
      </c>
      <c r="V436">
        <v>0.95199999999999996</v>
      </c>
      <c r="W436" t="s">
        <v>401</v>
      </c>
      <c r="X436">
        <v>0</v>
      </c>
      <c r="AH436">
        <v>0.95199999999999996</v>
      </c>
      <c r="AI436">
        <f t="shared" si="0"/>
        <v>4.7446607135508828E-2</v>
      </c>
    </row>
    <row r="437" spans="1:35" x14ac:dyDescent="0.45">
      <c r="A437">
        <v>65</v>
      </c>
      <c r="B437">
        <v>65</v>
      </c>
      <c r="C437" t="s">
        <v>470</v>
      </c>
      <c r="D437" t="s">
        <v>414</v>
      </c>
      <c r="F437">
        <v>3.48</v>
      </c>
      <c r="G437">
        <v>297.077</v>
      </c>
      <c r="H437">
        <v>4168.6090000000004</v>
      </c>
      <c r="I437">
        <v>0.71299999999999997</v>
      </c>
      <c r="J437" t="s">
        <v>415</v>
      </c>
      <c r="K437">
        <v>0.1</v>
      </c>
      <c r="N437">
        <v>65</v>
      </c>
      <c r="O437">
        <v>65</v>
      </c>
      <c r="P437" t="s">
        <v>575</v>
      </c>
      <c r="Q437" t="s">
        <v>414</v>
      </c>
      <c r="S437">
        <v>3.49</v>
      </c>
      <c r="T437">
        <v>543.923</v>
      </c>
      <c r="U437">
        <v>3717.973</v>
      </c>
      <c r="V437">
        <v>1.4630000000000001</v>
      </c>
      <c r="W437" t="s">
        <v>415</v>
      </c>
      <c r="X437">
        <v>0.1</v>
      </c>
      <c r="AH437">
        <v>1.4630000000000001</v>
      </c>
      <c r="AI437">
        <f t="shared" si="0"/>
        <v>6.8474548372494976E-2</v>
      </c>
    </row>
    <row r="438" spans="1:35" x14ac:dyDescent="0.45">
      <c r="A438">
        <v>66</v>
      </c>
      <c r="B438">
        <v>66</v>
      </c>
      <c r="C438" t="s">
        <v>471</v>
      </c>
      <c r="D438" t="s">
        <v>414</v>
      </c>
      <c r="F438">
        <v>3.49</v>
      </c>
      <c r="G438">
        <v>560.45299999999997</v>
      </c>
      <c r="H438">
        <v>4368.7929999999997</v>
      </c>
      <c r="I438">
        <v>1.2829999999999999</v>
      </c>
      <c r="J438" t="s">
        <v>415</v>
      </c>
      <c r="K438">
        <v>0.1</v>
      </c>
      <c r="N438">
        <v>66</v>
      </c>
      <c r="O438">
        <v>66</v>
      </c>
      <c r="P438" t="s">
        <v>576</v>
      </c>
      <c r="Q438" t="s">
        <v>414</v>
      </c>
      <c r="S438">
        <v>3.49</v>
      </c>
      <c r="T438">
        <v>1289.5</v>
      </c>
      <c r="U438">
        <v>4128.2669999999998</v>
      </c>
      <c r="V438">
        <v>3.1240000000000001</v>
      </c>
      <c r="W438" t="s">
        <v>415</v>
      </c>
      <c r="X438">
        <v>0.1</v>
      </c>
      <c r="AH438">
        <v>3.1240000000000001</v>
      </c>
      <c r="AI438">
        <f t="shared" si="0"/>
        <v>0.13682564503518374</v>
      </c>
    </row>
    <row r="439" spans="1:35" x14ac:dyDescent="0.45">
      <c r="A439">
        <v>67</v>
      </c>
      <c r="B439">
        <v>67</v>
      </c>
      <c r="C439" t="s">
        <v>472</v>
      </c>
      <c r="D439" t="s">
        <v>414</v>
      </c>
      <c r="F439">
        <v>3.48</v>
      </c>
      <c r="G439">
        <v>394.00200000000001</v>
      </c>
      <c r="H439">
        <v>2649.1329999999998</v>
      </c>
      <c r="I439">
        <v>1.4870000000000001</v>
      </c>
      <c r="J439" t="s">
        <v>401</v>
      </c>
      <c r="K439">
        <v>0.1</v>
      </c>
      <c r="N439">
        <v>67</v>
      </c>
      <c r="O439">
        <v>67</v>
      </c>
      <c r="P439" t="s">
        <v>577</v>
      </c>
      <c r="Q439" t="s">
        <v>414</v>
      </c>
      <c r="S439">
        <v>3.49</v>
      </c>
      <c r="T439">
        <v>733.98699999999997</v>
      </c>
      <c r="U439">
        <v>2473.2939999999999</v>
      </c>
      <c r="V439">
        <v>2.968</v>
      </c>
      <c r="W439" t="s">
        <v>415</v>
      </c>
      <c r="X439">
        <v>0.1</v>
      </c>
      <c r="AH439">
        <v>2.968</v>
      </c>
      <c r="AI439">
        <f t="shared" si="0"/>
        <v>0.13040615612526235</v>
      </c>
    </row>
    <row r="440" spans="1:35" x14ac:dyDescent="0.45">
      <c r="A440">
        <v>68</v>
      </c>
      <c r="B440">
        <v>68</v>
      </c>
      <c r="C440" t="s">
        <v>473</v>
      </c>
      <c r="D440" t="s">
        <v>414</v>
      </c>
      <c r="F440">
        <v>3.51</v>
      </c>
      <c r="G440">
        <v>404.053</v>
      </c>
      <c r="H440">
        <v>3339.098</v>
      </c>
      <c r="I440">
        <v>1.21</v>
      </c>
      <c r="J440" t="s">
        <v>415</v>
      </c>
      <c r="K440">
        <v>0.1</v>
      </c>
      <c r="N440">
        <v>68</v>
      </c>
      <c r="O440">
        <v>68</v>
      </c>
      <c r="P440" t="s">
        <v>578</v>
      </c>
      <c r="Q440" t="s">
        <v>414</v>
      </c>
      <c r="S440">
        <v>3.49</v>
      </c>
      <c r="T440">
        <v>178.602</v>
      </c>
      <c r="U440">
        <v>3359.46</v>
      </c>
      <c r="V440">
        <v>0.53200000000000003</v>
      </c>
      <c r="W440" t="s">
        <v>415</v>
      </c>
      <c r="X440">
        <v>0</v>
      </c>
      <c r="AH440">
        <v>0.53200000000000003</v>
      </c>
      <c r="AI440">
        <f t="shared" si="0"/>
        <v>3.0163367762643518E-2</v>
      </c>
    </row>
    <row r="441" spans="1:35" x14ac:dyDescent="0.45">
      <c r="A441">
        <v>69</v>
      </c>
      <c r="B441">
        <v>69</v>
      </c>
      <c r="C441" t="s">
        <v>474</v>
      </c>
      <c r="D441" t="s">
        <v>414</v>
      </c>
      <c r="F441">
        <v>3.49</v>
      </c>
      <c r="G441">
        <v>1381.346</v>
      </c>
      <c r="H441">
        <v>4493.0860000000002</v>
      </c>
      <c r="I441">
        <v>3.0739999999999998</v>
      </c>
      <c r="J441" t="s">
        <v>415</v>
      </c>
      <c r="K441">
        <v>0.2</v>
      </c>
      <c r="N441">
        <v>69</v>
      </c>
      <c r="O441">
        <v>69</v>
      </c>
      <c r="P441" t="s">
        <v>579</v>
      </c>
      <c r="Q441" t="s">
        <v>414</v>
      </c>
      <c r="S441">
        <v>3.51</v>
      </c>
      <c r="T441">
        <v>158.12299999999999</v>
      </c>
      <c r="U441">
        <v>3221.71</v>
      </c>
      <c r="V441">
        <v>0.49099999999999999</v>
      </c>
      <c r="W441" t="s">
        <v>415</v>
      </c>
      <c r="X441">
        <v>0</v>
      </c>
      <c r="AH441">
        <v>0.49099999999999999</v>
      </c>
      <c r="AI441">
        <f>(AH441+0.201)/24.301</f>
        <v>2.8476194395292375E-2</v>
      </c>
    </row>
    <row r="443" spans="1:35" x14ac:dyDescent="0.45">
      <c r="A443" t="s">
        <v>489</v>
      </c>
      <c r="N443" t="s">
        <v>489</v>
      </c>
    </row>
    <row r="445" spans="1:35" x14ac:dyDescent="0.45">
      <c r="B445" t="s">
        <v>389</v>
      </c>
      <c r="C445" t="s">
        <v>123</v>
      </c>
      <c r="D445" t="s">
        <v>390</v>
      </c>
      <c r="E445" t="s">
        <v>391</v>
      </c>
      <c r="F445" t="s">
        <v>392</v>
      </c>
      <c r="G445" t="s">
        <v>393</v>
      </c>
      <c r="H445" t="s">
        <v>394</v>
      </c>
      <c r="I445" t="s">
        <v>395</v>
      </c>
      <c r="J445" t="s">
        <v>396</v>
      </c>
      <c r="K445" t="s">
        <v>397</v>
      </c>
      <c r="L445" t="s">
        <v>398</v>
      </c>
      <c r="O445" t="s">
        <v>389</v>
      </c>
      <c r="P445" t="s">
        <v>123</v>
      </c>
      <c r="Q445" t="s">
        <v>390</v>
      </c>
      <c r="R445" t="s">
        <v>391</v>
      </c>
      <c r="S445" t="s">
        <v>392</v>
      </c>
      <c r="T445" t="s">
        <v>393</v>
      </c>
      <c r="U445" t="s">
        <v>394</v>
      </c>
      <c r="V445" t="s">
        <v>395</v>
      </c>
      <c r="W445" t="s">
        <v>396</v>
      </c>
      <c r="X445" t="s">
        <v>397</v>
      </c>
      <c r="Y445" t="s">
        <v>398</v>
      </c>
    </row>
    <row r="446" spans="1:35" x14ac:dyDescent="0.45">
      <c r="A446">
        <v>1</v>
      </c>
      <c r="B446">
        <v>1</v>
      </c>
      <c r="C446" t="s">
        <v>399</v>
      </c>
      <c r="D446" t="s">
        <v>400</v>
      </c>
      <c r="E446">
        <v>0.05</v>
      </c>
      <c r="F446">
        <v>3.24</v>
      </c>
      <c r="G446">
        <v>359.99200000000002</v>
      </c>
      <c r="H446">
        <v>425.452</v>
      </c>
      <c r="I446">
        <v>8.4610000000000003</v>
      </c>
      <c r="J446" t="s">
        <v>415</v>
      </c>
      <c r="K446">
        <v>0.3</v>
      </c>
      <c r="L446">
        <v>460</v>
      </c>
      <c r="N446">
        <v>1</v>
      </c>
      <c r="O446">
        <v>1</v>
      </c>
      <c r="P446" t="s">
        <v>511</v>
      </c>
      <c r="Q446" t="s">
        <v>400</v>
      </c>
      <c r="R446">
        <v>0.05</v>
      </c>
      <c r="S446">
        <v>3.23</v>
      </c>
      <c r="T446">
        <v>332.13299999999998</v>
      </c>
      <c r="U446">
        <v>492.20699999999999</v>
      </c>
      <c r="V446">
        <v>6.7480000000000002</v>
      </c>
      <c r="W446" t="s">
        <v>488</v>
      </c>
      <c r="X446">
        <v>0.1</v>
      </c>
      <c r="Y446">
        <v>120.1</v>
      </c>
    </row>
    <row r="447" spans="1:35" x14ac:dyDescent="0.45">
      <c r="A447">
        <v>2</v>
      </c>
      <c r="B447">
        <v>2</v>
      </c>
      <c r="C447" t="s">
        <v>402</v>
      </c>
      <c r="D447" t="s">
        <v>400</v>
      </c>
      <c r="E447">
        <v>0.5</v>
      </c>
      <c r="F447">
        <v>3.33</v>
      </c>
      <c r="G447">
        <v>75.784000000000006</v>
      </c>
      <c r="H447">
        <v>557.93299999999999</v>
      </c>
      <c r="I447">
        <v>1.3580000000000001</v>
      </c>
      <c r="J447" t="s">
        <v>412</v>
      </c>
      <c r="K447">
        <v>0.2</v>
      </c>
      <c r="L447">
        <v>-57.6</v>
      </c>
      <c r="N447">
        <v>2</v>
      </c>
      <c r="O447">
        <v>2</v>
      </c>
      <c r="P447" t="s">
        <v>512</v>
      </c>
      <c r="Q447" t="s">
        <v>400</v>
      </c>
      <c r="R447">
        <v>0.5</v>
      </c>
      <c r="S447">
        <v>3.23</v>
      </c>
      <c r="T447">
        <v>2550.431</v>
      </c>
      <c r="U447">
        <v>697.90300000000002</v>
      </c>
      <c r="V447">
        <v>36.543999999999997</v>
      </c>
      <c r="W447" t="s">
        <v>403</v>
      </c>
      <c r="X447">
        <v>0.5</v>
      </c>
      <c r="Y447">
        <v>-9.1</v>
      </c>
    </row>
    <row r="448" spans="1:35" x14ac:dyDescent="0.45">
      <c r="A448">
        <v>3</v>
      </c>
      <c r="B448">
        <v>3</v>
      </c>
      <c r="C448" t="s">
        <v>404</v>
      </c>
      <c r="D448" t="s">
        <v>400</v>
      </c>
      <c r="E448">
        <v>1.25</v>
      </c>
      <c r="F448">
        <v>3.24</v>
      </c>
      <c r="G448">
        <v>6223.174</v>
      </c>
      <c r="H448">
        <v>499.94400000000002</v>
      </c>
      <c r="I448">
        <v>124.477</v>
      </c>
      <c r="J448" t="s">
        <v>401</v>
      </c>
      <c r="K448">
        <v>1.4</v>
      </c>
      <c r="L448">
        <v>11.3</v>
      </c>
      <c r="N448">
        <v>3</v>
      </c>
      <c r="O448">
        <v>3</v>
      </c>
      <c r="P448" t="s">
        <v>513</v>
      </c>
      <c r="Q448" t="s">
        <v>400</v>
      </c>
      <c r="R448">
        <v>1.25</v>
      </c>
      <c r="S448">
        <v>3.37</v>
      </c>
      <c r="T448">
        <v>20.957000000000001</v>
      </c>
      <c r="U448">
        <v>836.52599999999995</v>
      </c>
      <c r="V448">
        <v>0.251</v>
      </c>
      <c r="W448" t="s">
        <v>491</v>
      </c>
      <c r="X448">
        <v>0</v>
      </c>
      <c r="Y448">
        <v>-97.2</v>
      </c>
    </row>
    <row r="449" spans="1:25" x14ac:dyDescent="0.45">
      <c r="A449">
        <v>4</v>
      </c>
      <c r="B449">
        <v>4</v>
      </c>
      <c r="C449" t="s">
        <v>405</v>
      </c>
      <c r="D449" t="s">
        <v>400</v>
      </c>
      <c r="E449">
        <v>2.5</v>
      </c>
      <c r="F449">
        <v>3.35</v>
      </c>
      <c r="G449">
        <v>59.177</v>
      </c>
      <c r="H449">
        <v>626.25</v>
      </c>
      <c r="I449">
        <v>0.94499999999999995</v>
      </c>
      <c r="J449" t="s">
        <v>490</v>
      </c>
      <c r="K449">
        <v>0.2</v>
      </c>
      <c r="L449">
        <v>-91.7</v>
      </c>
      <c r="N449">
        <v>4</v>
      </c>
      <c r="O449">
        <v>4</v>
      </c>
      <c r="P449" t="s">
        <v>514</v>
      </c>
      <c r="Q449" t="s">
        <v>400</v>
      </c>
      <c r="R449">
        <v>2.5</v>
      </c>
      <c r="S449">
        <v>3.23</v>
      </c>
      <c r="T449">
        <v>16158.154</v>
      </c>
      <c r="U449">
        <v>797.18600000000004</v>
      </c>
      <c r="V449">
        <v>202.69</v>
      </c>
      <c r="W449" t="s">
        <v>401</v>
      </c>
      <c r="X449">
        <v>2.4</v>
      </c>
      <c r="Y449">
        <v>-5.0999999999999996</v>
      </c>
    </row>
    <row r="450" spans="1:25" x14ac:dyDescent="0.45">
      <c r="A450">
        <v>5</v>
      </c>
      <c r="B450">
        <v>5</v>
      </c>
      <c r="C450" t="s">
        <v>406</v>
      </c>
      <c r="D450" t="s">
        <v>400</v>
      </c>
      <c r="E450">
        <v>3.5</v>
      </c>
      <c r="F450">
        <v>3.24</v>
      </c>
      <c r="G450">
        <v>18991.111000000001</v>
      </c>
      <c r="H450">
        <v>753.40099999999995</v>
      </c>
      <c r="I450">
        <v>252.072</v>
      </c>
      <c r="J450" t="s">
        <v>491</v>
      </c>
      <c r="K450">
        <v>2.6</v>
      </c>
      <c r="L450">
        <v>-25.4</v>
      </c>
      <c r="N450">
        <v>5</v>
      </c>
      <c r="O450">
        <v>5</v>
      </c>
      <c r="P450" t="s">
        <v>515</v>
      </c>
      <c r="Q450" t="s">
        <v>400</v>
      </c>
      <c r="R450">
        <v>3.5</v>
      </c>
      <c r="S450">
        <v>3.23</v>
      </c>
      <c r="T450">
        <v>22623.359</v>
      </c>
      <c r="U450">
        <v>692.947</v>
      </c>
      <c r="V450">
        <v>326.48</v>
      </c>
      <c r="W450" t="s">
        <v>403</v>
      </c>
      <c r="X450">
        <v>3.8</v>
      </c>
      <c r="Y450">
        <v>8.6999999999999993</v>
      </c>
    </row>
    <row r="451" spans="1:25" x14ac:dyDescent="0.45">
      <c r="A451">
        <v>6</v>
      </c>
      <c r="B451">
        <v>6</v>
      </c>
      <c r="C451" t="s">
        <v>407</v>
      </c>
      <c r="D451" t="s">
        <v>400</v>
      </c>
      <c r="E451">
        <v>5</v>
      </c>
      <c r="F451">
        <v>3.24</v>
      </c>
      <c r="G451">
        <v>28637.673999999999</v>
      </c>
      <c r="H451">
        <v>604.82799999999997</v>
      </c>
      <c r="I451">
        <v>473.48500000000001</v>
      </c>
      <c r="J451" t="s">
        <v>403</v>
      </c>
      <c r="K451">
        <v>4.7</v>
      </c>
      <c r="L451">
        <v>-5.4</v>
      </c>
      <c r="N451">
        <v>6</v>
      </c>
      <c r="O451">
        <v>6</v>
      </c>
      <c r="P451" t="s">
        <v>516</v>
      </c>
      <c r="Q451" t="s">
        <v>400</v>
      </c>
      <c r="R451">
        <v>5</v>
      </c>
      <c r="S451">
        <v>3.23</v>
      </c>
      <c r="T451">
        <v>33309.063000000002</v>
      </c>
      <c r="U451">
        <v>825.58399999999995</v>
      </c>
      <c r="V451">
        <v>403.46100000000001</v>
      </c>
      <c r="W451" t="s">
        <v>403</v>
      </c>
      <c r="X451">
        <v>4.7</v>
      </c>
      <c r="Y451">
        <v>-6.1</v>
      </c>
    </row>
    <row r="452" spans="1:25" x14ac:dyDescent="0.45">
      <c r="A452">
        <v>7</v>
      </c>
      <c r="B452">
        <v>7</v>
      </c>
      <c r="C452" t="s">
        <v>408</v>
      </c>
      <c r="D452" t="s">
        <v>400</v>
      </c>
      <c r="E452">
        <v>7</v>
      </c>
      <c r="F452">
        <v>3.24</v>
      </c>
      <c r="G452">
        <v>41315.589999999997</v>
      </c>
      <c r="H452">
        <v>566.21900000000005</v>
      </c>
      <c r="I452">
        <v>729.67499999999995</v>
      </c>
      <c r="J452" t="s">
        <v>401</v>
      </c>
      <c r="K452">
        <v>7.2</v>
      </c>
      <c r="L452">
        <v>2.6</v>
      </c>
      <c r="N452">
        <v>7</v>
      </c>
      <c r="O452">
        <v>7</v>
      </c>
      <c r="P452" t="s">
        <v>517</v>
      </c>
      <c r="Q452" t="s">
        <v>400</v>
      </c>
      <c r="R452">
        <v>7</v>
      </c>
      <c r="S452">
        <v>3.23</v>
      </c>
      <c r="T452">
        <v>46971.195</v>
      </c>
      <c r="U452">
        <v>766.04600000000005</v>
      </c>
      <c r="V452">
        <v>613.16399999999999</v>
      </c>
      <c r="W452" t="s">
        <v>401</v>
      </c>
      <c r="X452">
        <v>7.1</v>
      </c>
      <c r="Y452">
        <v>1.6</v>
      </c>
    </row>
    <row r="453" spans="1:25" x14ac:dyDescent="0.45">
      <c r="A453">
        <v>8</v>
      </c>
      <c r="B453">
        <v>8</v>
      </c>
      <c r="C453" t="s">
        <v>409</v>
      </c>
      <c r="D453" t="s">
        <v>410</v>
      </c>
      <c r="F453">
        <v>3.28</v>
      </c>
      <c r="G453">
        <v>69.16</v>
      </c>
      <c r="H453">
        <v>79.378</v>
      </c>
      <c r="I453">
        <v>8.7129999999999992</v>
      </c>
      <c r="J453" t="s">
        <v>412</v>
      </c>
      <c r="K453">
        <v>0.3</v>
      </c>
      <c r="N453">
        <v>8</v>
      </c>
      <c r="O453">
        <v>8</v>
      </c>
      <c r="P453" t="s">
        <v>518</v>
      </c>
      <c r="Q453" t="s">
        <v>410</v>
      </c>
      <c r="S453">
        <v>3.3</v>
      </c>
      <c r="T453">
        <v>12.702</v>
      </c>
      <c r="W453" t="s">
        <v>412</v>
      </c>
    </row>
    <row r="454" spans="1:25" x14ac:dyDescent="0.45">
      <c r="A454">
        <v>9</v>
      </c>
      <c r="B454">
        <v>9</v>
      </c>
      <c r="C454" t="s">
        <v>411</v>
      </c>
      <c r="D454" t="s">
        <v>410</v>
      </c>
      <c r="F454">
        <v>3.25</v>
      </c>
      <c r="G454">
        <v>57.747999999999998</v>
      </c>
      <c r="H454">
        <v>94.721999999999994</v>
      </c>
      <c r="I454">
        <v>6.0970000000000004</v>
      </c>
      <c r="J454" t="s">
        <v>403</v>
      </c>
      <c r="K454">
        <v>0.3</v>
      </c>
      <c r="N454">
        <v>9</v>
      </c>
      <c r="O454">
        <v>9</v>
      </c>
      <c r="P454" t="s">
        <v>519</v>
      </c>
      <c r="Q454" t="s">
        <v>410</v>
      </c>
      <c r="S454">
        <v>3.32</v>
      </c>
      <c r="T454">
        <v>18.713999999999999</v>
      </c>
      <c r="W454" t="s">
        <v>412</v>
      </c>
    </row>
    <row r="455" spans="1:25" x14ac:dyDescent="0.45">
      <c r="A455">
        <v>10</v>
      </c>
      <c r="B455">
        <v>10</v>
      </c>
      <c r="C455" t="s">
        <v>413</v>
      </c>
      <c r="D455" t="s">
        <v>414</v>
      </c>
      <c r="F455">
        <v>3.24</v>
      </c>
      <c r="G455">
        <v>416.15300000000002</v>
      </c>
      <c r="H455">
        <v>400.42899999999997</v>
      </c>
      <c r="I455">
        <v>10.393000000000001</v>
      </c>
      <c r="J455" t="s">
        <v>412</v>
      </c>
      <c r="K455">
        <v>0.3</v>
      </c>
      <c r="N455">
        <v>10</v>
      </c>
      <c r="O455">
        <v>10</v>
      </c>
      <c r="P455" t="s">
        <v>520</v>
      </c>
      <c r="Q455" t="s">
        <v>414</v>
      </c>
      <c r="S455">
        <v>3.24</v>
      </c>
      <c r="T455">
        <v>389.24799999999999</v>
      </c>
      <c r="U455">
        <v>759.46799999999996</v>
      </c>
      <c r="V455">
        <v>5.125</v>
      </c>
      <c r="W455" t="s">
        <v>488</v>
      </c>
      <c r="X455">
        <v>0.1</v>
      </c>
    </row>
    <row r="456" spans="1:25" x14ac:dyDescent="0.45">
      <c r="A456">
        <v>11</v>
      </c>
      <c r="B456">
        <v>11</v>
      </c>
      <c r="C456" t="s">
        <v>416</v>
      </c>
      <c r="D456" t="s">
        <v>414</v>
      </c>
      <c r="F456">
        <v>3.23</v>
      </c>
      <c r="G456">
        <v>105.84699999999999</v>
      </c>
      <c r="H456">
        <v>484.30900000000003</v>
      </c>
      <c r="I456">
        <v>2.1859999999999999</v>
      </c>
      <c r="J456" t="s">
        <v>488</v>
      </c>
      <c r="K456">
        <v>0.2</v>
      </c>
      <c r="N456">
        <v>11</v>
      </c>
      <c r="O456">
        <v>11</v>
      </c>
      <c r="P456" t="s">
        <v>521</v>
      </c>
      <c r="Q456" t="s">
        <v>414</v>
      </c>
      <c r="S456">
        <v>3.23</v>
      </c>
      <c r="T456">
        <v>227.047</v>
      </c>
      <c r="U456">
        <v>275.79000000000002</v>
      </c>
      <c r="V456">
        <v>8.2330000000000005</v>
      </c>
      <c r="W456" t="s">
        <v>488</v>
      </c>
      <c r="X456">
        <v>0.1</v>
      </c>
    </row>
    <row r="457" spans="1:25" x14ac:dyDescent="0.45">
      <c r="A457">
        <v>12</v>
      </c>
      <c r="B457">
        <v>12</v>
      </c>
      <c r="C457" t="s">
        <v>417</v>
      </c>
      <c r="D457" t="s">
        <v>414</v>
      </c>
      <c r="F457">
        <v>3.25</v>
      </c>
      <c r="G457">
        <v>130.233</v>
      </c>
      <c r="H457">
        <v>386.84800000000001</v>
      </c>
      <c r="I457">
        <v>3.367</v>
      </c>
      <c r="J457" t="s">
        <v>488</v>
      </c>
      <c r="K457">
        <v>0.2</v>
      </c>
      <c r="N457">
        <v>12</v>
      </c>
      <c r="O457">
        <v>12</v>
      </c>
      <c r="P457" t="s">
        <v>522</v>
      </c>
      <c r="Q457" t="s">
        <v>414</v>
      </c>
      <c r="S457">
        <v>3.23</v>
      </c>
      <c r="T457">
        <v>203.126</v>
      </c>
      <c r="U457">
        <v>216.25</v>
      </c>
      <c r="V457">
        <v>9.3930000000000007</v>
      </c>
      <c r="W457" t="s">
        <v>401</v>
      </c>
      <c r="X457">
        <v>0.1</v>
      </c>
    </row>
    <row r="458" spans="1:25" x14ac:dyDescent="0.45">
      <c r="A458">
        <v>13</v>
      </c>
      <c r="B458">
        <v>13</v>
      </c>
      <c r="C458" t="s">
        <v>418</v>
      </c>
      <c r="D458" t="s">
        <v>414</v>
      </c>
      <c r="F458">
        <v>3.24</v>
      </c>
      <c r="G458">
        <v>227.25700000000001</v>
      </c>
      <c r="H458">
        <v>276.35599999999999</v>
      </c>
      <c r="I458">
        <v>8.2230000000000008</v>
      </c>
      <c r="J458" t="s">
        <v>415</v>
      </c>
      <c r="K458">
        <v>0.3</v>
      </c>
      <c r="N458">
        <v>13</v>
      </c>
      <c r="O458">
        <v>13</v>
      </c>
      <c r="P458" t="s">
        <v>523</v>
      </c>
      <c r="Q458" t="s">
        <v>414</v>
      </c>
      <c r="S458">
        <v>3.24</v>
      </c>
      <c r="T458">
        <v>78.709999999999994</v>
      </c>
      <c r="U458">
        <v>447.02699999999999</v>
      </c>
      <c r="V458">
        <v>1.7609999999999999</v>
      </c>
      <c r="W458" t="s">
        <v>488</v>
      </c>
      <c r="X458">
        <v>0.1</v>
      </c>
    </row>
    <row r="459" spans="1:25" x14ac:dyDescent="0.45">
      <c r="A459">
        <v>14</v>
      </c>
      <c r="B459">
        <v>14</v>
      </c>
      <c r="C459" t="s">
        <v>419</v>
      </c>
      <c r="D459" t="s">
        <v>414</v>
      </c>
      <c r="F459">
        <v>3.24</v>
      </c>
      <c r="G459">
        <v>140.54599999999999</v>
      </c>
      <c r="H459">
        <v>383.303</v>
      </c>
      <c r="I459">
        <v>3.6669999999999998</v>
      </c>
      <c r="J459" t="s">
        <v>415</v>
      </c>
      <c r="K459">
        <v>0.2</v>
      </c>
      <c r="N459">
        <v>14</v>
      </c>
      <c r="O459">
        <v>14</v>
      </c>
      <c r="P459" t="s">
        <v>524</v>
      </c>
      <c r="Q459" t="s">
        <v>414</v>
      </c>
      <c r="S459">
        <v>3.23</v>
      </c>
      <c r="T459">
        <v>300.86200000000002</v>
      </c>
      <c r="U459">
        <v>256.33699999999999</v>
      </c>
      <c r="V459">
        <v>11.737</v>
      </c>
      <c r="W459" t="s">
        <v>488</v>
      </c>
      <c r="X459">
        <v>0.2</v>
      </c>
    </row>
    <row r="460" spans="1:25" x14ac:dyDescent="0.45">
      <c r="A460">
        <v>15</v>
      </c>
      <c r="B460">
        <v>15</v>
      </c>
      <c r="C460" t="s">
        <v>420</v>
      </c>
      <c r="D460" t="s">
        <v>414</v>
      </c>
      <c r="F460">
        <v>3.24</v>
      </c>
      <c r="G460">
        <v>222.459</v>
      </c>
      <c r="H460">
        <v>534.64200000000005</v>
      </c>
      <c r="I460">
        <v>4.1609999999999996</v>
      </c>
      <c r="J460" t="s">
        <v>412</v>
      </c>
      <c r="K460">
        <v>0.2</v>
      </c>
      <c r="N460">
        <v>15</v>
      </c>
      <c r="O460">
        <v>15</v>
      </c>
      <c r="P460" t="s">
        <v>525</v>
      </c>
      <c r="Q460" t="s">
        <v>414</v>
      </c>
      <c r="S460">
        <v>3.23</v>
      </c>
      <c r="T460">
        <v>191.86799999999999</v>
      </c>
      <c r="U460">
        <v>272.14600000000002</v>
      </c>
      <c r="V460">
        <v>7.05</v>
      </c>
      <c r="W460" t="s">
        <v>488</v>
      </c>
      <c r="X460">
        <v>0.1</v>
      </c>
    </row>
    <row r="461" spans="1:25" x14ac:dyDescent="0.45">
      <c r="A461">
        <v>16</v>
      </c>
      <c r="B461">
        <v>16</v>
      </c>
      <c r="C461" t="s">
        <v>421</v>
      </c>
      <c r="D461" t="s">
        <v>414</v>
      </c>
      <c r="F461">
        <v>3.24</v>
      </c>
      <c r="G461">
        <v>231.798</v>
      </c>
      <c r="H461">
        <v>445.63600000000002</v>
      </c>
      <c r="I461">
        <v>5.202</v>
      </c>
      <c r="J461" t="s">
        <v>412</v>
      </c>
      <c r="K461">
        <v>0.2</v>
      </c>
      <c r="N461">
        <v>16</v>
      </c>
      <c r="O461">
        <v>16</v>
      </c>
      <c r="P461" t="s">
        <v>526</v>
      </c>
      <c r="Q461" t="s">
        <v>414</v>
      </c>
      <c r="S461">
        <v>3.23</v>
      </c>
      <c r="T461">
        <v>225.57900000000001</v>
      </c>
      <c r="U461">
        <v>416.43</v>
      </c>
      <c r="V461">
        <v>5.4169999999999998</v>
      </c>
      <c r="W461" t="s">
        <v>415</v>
      </c>
      <c r="X461">
        <v>0.1</v>
      </c>
    </row>
    <row r="462" spans="1:25" x14ac:dyDescent="0.45">
      <c r="A462">
        <v>17</v>
      </c>
      <c r="B462">
        <v>17</v>
      </c>
      <c r="C462" t="s">
        <v>422</v>
      </c>
      <c r="D462" t="s">
        <v>414</v>
      </c>
      <c r="F462">
        <v>3.24</v>
      </c>
      <c r="G462">
        <v>140.39699999999999</v>
      </c>
      <c r="H462">
        <v>315.65899999999999</v>
      </c>
      <c r="I462">
        <v>4.4480000000000004</v>
      </c>
      <c r="J462" t="s">
        <v>488</v>
      </c>
      <c r="K462">
        <v>0.2</v>
      </c>
      <c r="N462">
        <v>17</v>
      </c>
      <c r="O462">
        <v>17</v>
      </c>
      <c r="P462" t="s">
        <v>527</v>
      </c>
      <c r="Q462" t="s">
        <v>414</v>
      </c>
      <c r="S462">
        <v>3.24</v>
      </c>
      <c r="T462">
        <v>108.40600000000001</v>
      </c>
      <c r="U462">
        <v>250.98099999999999</v>
      </c>
      <c r="V462">
        <v>4.319</v>
      </c>
      <c r="W462" t="s">
        <v>488</v>
      </c>
      <c r="X462">
        <v>0.1</v>
      </c>
    </row>
    <row r="463" spans="1:25" x14ac:dyDescent="0.45">
      <c r="A463">
        <v>18</v>
      </c>
      <c r="B463">
        <v>18</v>
      </c>
      <c r="C463" t="s">
        <v>423</v>
      </c>
      <c r="D463" t="s">
        <v>414</v>
      </c>
      <c r="F463">
        <v>3.24</v>
      </c>
      <c r="G463">
        <v>246.66499999999999</v>
      </c>
      <c r="H463">
        <v>433.738</v>
      </c>
      <c r="I463">
        <v>5.6870000000000003</v>
      </c>
      <c r="J463" t="s">
        <v>488</v>
      </c>
      <c r="K463">
        <v>0.3</v>
      </c>
      <c r="N463">
        <v>18</v>
      </c>
      <c r="O463">
        <v>18</v>
      </c>
      <c r="P463" t="s">
        <v>528</v>
      </c>
      <c r="Q463" t="s">
        <v>414</v>
      </c>
      <c r="S463">
        <v>3.23</v>
      </c>
      <c r="T463">
        <v>197.40600000000001</v>
      </c>
      <c r="U463">
        <v>427.642</v>
      </c>
      <c r="V463">
        <v>4.6159999999999997</v>
      </c>
      <c r="W463" t="s">
        <v>488</v>
      </c>
      <c r="X463">
        <v>0.1</v>
      </c>
    </row>
    <row r="464" spans="1:25" x14ac:dyDescent="0.45">
      <c r="A464">
        <v>19</v>
      </c>
      <c r="B464">
        <v>19</v>
      </c>
      <c r="C464" t="s">
        <v>424</v>
      </c>
      <c r="D464" t="s">
        <v>414</v>
      </c>
      <c r="F464">
        <v>3.24</v>
      </c>
      <c r="G464">
        <v>488.7</v>
      </c>
      <c r="H464">
        <v>474.37099999999998</v>
      </c>
      <c r="I464">
        <v>10.302</v>
      </c>
      <c r="J464" t="s">
        <v>488</v>
      </c>
      <c r="K464">
        <v>0.3</v>
      </c>
      <c r="N464">
        <v>19</v>
      </c>
      <c r="O464">
        <v>19</v>
      </c>
      <c r="P464" t="s">
        <v>529</v>
      </c>
      <c r="Q464" t="s">
        <v>414</v>
      </c>
      <c r="S464">
        <v>3.22</v>
      </c>
      <c r="T464">
        <v>381.40800000000002</v>
      </c>
      <c r="U464">
        <v>646.45399999999995</v>
      </c>
      <c r="V464">
        <v>5.9</v>
      </c>
      <c r="W464" t="s">
        <v>488</v>
      </c>
      <c r="X464">
        <v>0.1</v>
      </c>
    </row>
    <row r="465" spans="1:24" x14ac:dyDescent="0.45">
      <c r="A465">
        <v>20</v>
      </c>
      <c r="B465">
        <v>20</v>
      </c>
      <c r="C465" t="s">
        <v>425</v>
      </c>
      <c r="D465" t="s">
        <v>414</v>
      </c>
      <c r="F465">
        <v>3.24</v>
      </c>
      <c r="G465">
        <v>290.315</v>
      </c>
      <c r="H465">
        <v>307.74599999999998</v>
      </c>
      <c r="I465">
        <v>9.4339999999999993</v>
      </c>
      <c r="J465" t="s">
        <v>415</v>
      </c>
      <c r="K465">
        <v>0.3</v>
      </c>
      <c r="N465">
        <v>20</v>
      </c>
      <c r="O465">
        <v>20</v>
      </c>
      <c r="P465" t="s">
        <v>530</v>
      </c>
      <c r="Q465" t="s">
        <v>414</v>
      </c>
      <c r="S465">
        <v>3.23</v>
      </c>
      <c r="T465">
        <v>115.75</v>
      </c>
      <c r="U465">
        <v>305.435</v>
      </c>
      <c r="V465">
        <v>3.79</v>
      </c>
      <c r="W465" t="s">
        <v>488</v>
      </c>
      <c r="X465">
        <v>0.1</v>
      </c>
    </row>
    <row r="466" spans="1:24" x14ac:dyDescent="0.45">
      <c r="A466">
        <v>21</v>
      </c>
      <c r="B466">
        <v>21</v>
      </c>
      <c r="C466" t="s">
        <v>426</v>
      </c>
      <c r="D466" t="s">
        <v>414</v>
      </c>
      <c r="F466">
        <v>3.24</v>
      </c>
      <c r="G466">
        <v>310.976</v>
      </c>
      <c r="H466">
        <v>405.97199999999998</v>
      </c>
      <c r="I466">
        <v>7.66</v>
      </c>
      <c r="J466" t="s">
        <v>488</v>
      </c>
      <c r="K466">
        <v>0.3</v>
      </c>
      <c r="N466">
        <v>21</v>
      </c>
      <c r="O466">
        <v>21</v>
      </c>
      <c r="P466" t="s">
        <v>531</v>
      </c>
      <c r="Q466" t="s">
        <v>414</v>
      </c>
      <c r="S466">
        <v>3.23</v>
      </c>
      <c r="T466">
        <v>52.841000000000001</v>
      </c>
      <c r="U466">
        <v>285.18700000000001</v>
      </c>
      <c r="V466">
        <v>1.853</v>
      </c>
      <c r="W466" t="s">
        <v>488</v>
      </c>
      <c r="X466">
        <v>0.1</v>
      </c>
    </row>
    <row r="467" spans="1:24" x14ac:dyDescent="0.45">
      <c r="A467">
        <v>22</v>
      </c>
      <c r="B467">
        <v>22</v>
      </c>
      <c r="C467" t="s">
        <v>427</v>
      </c>
      <c r="D467" t="s">
        <v>414</v>
      </c>
      <c r="F467">
        <v>3.24</v>
      </c>
      <c r="G467">
        <v>228.56800000000001</v>
      </c>
      <c r="H467">
        <v>285.07900000000001</v>
      </c>
      <c r="I467">
        <v>8.0180000000000007</v>
      </c>
      <c r="J467" t="s">
        <v>488</v>
      </c>
      <c r="K467">
        <v>0.3</v>
      </c>
      <c r="N467">
        <v>22</v>
      </c>
      <c r="O467">
        <v>22</v>
      </c>
      <c r="P467" t="s">
        <v>532</v>
      </c>
      <c r="Q467" t="s">
        <v>414</v>
      </c>
      <c r="S467">
        <v>3.23</v>
      </c>
      <c r="T467">
        <v>111.069</v>
      </c>
      <c r="U467">
        <v>305.52300000000002</v>
      </c>
      <c r="V467">
        <v>3.6349999999999998</v>
      </c>
      <c r="W467" t="s">
        <v>488</v>
      </c>
      <c r="X467">
        <v>0.1</v>
      </c>
    </row>
    <row r="468" spans="1:24" x14ac:dyDescent="0.45">
      <c r="A468">
        <v>23</v>
      </c>
      <c r="B468">
        <v>23</v>
      </c>
      <c r="C468" t="s">
        <v>428</v>
      </c>
      <c r="D468" t="s">
        <v>414</v>
      </c>
      <c r="F468">
        <v>3.24</v>
      </c>
      <c r="G468">
        <v>253.75399999999999</v>
      </c>
      <c r="H468">
        <v>310.82499999999999</v>
      </c>
      <c r="I468">
        <v>8.1639999999999997</v>
      </c>
      <c r="J468" t="s">
        <v>488</v>
      </c>
      <c r="K468">
        <v>0.3</v>
      </c>
      <c r="N468">
        <v>23</v>
      </c>
      <c r="O468">
        <v>23</v>
      </c>
      <c r="P468" t="s">
        <v>533</v>
      </c>
      <c r="Q468" t="s">
        <v>414</v>
      </c>
      <c r="S468">
        <v>3.23</v>
      </c>
      <c r="T468">
        <v>278.02600000000001</v>
      </c>
      <c r="U468">
        <v>455.363</v>
      </c>
      <c r="V468">
        <v>6.1059999999999999</v>
      </c>
      <c r="W468" t="s">
        <v>488</v>
      </c>
      <c r="X468">
        <v>0.1</v>
      </c>
    </row>
    <row r="469" spans="1:24" x14ac:dyDescent="0.45">
      <c r="A469">
        <v>24</v>
      </c>
      <c r="B469">
        <v>24</v>
      </c>
      <c r="C469" t="s">
        <v>429</v>
      </c>
      <c r="D469" t="s">
        <v>414</v>
      </c>
      <c r="F469">
        <v>3.24</v>
      </c>
      <c r="G469">
        <v>180.785</v>
      </c>
      <c r="H469">
        <v>399.87200000000001</v>
      </c>
      <c r="I469">
        <v>4.5209999999999999</v>
      </c>
      <c r="J469" t="s">
        <v>488</v>
      </c>
      <c r="K469">
        <v>0.2</v>
      </c>
      <c r="N469">
        <v>24</v>
      </c>
      <c r="O469">
        <v>24</v>
      </c>
      <c r="P469" t="s">
        <v>534</v>
      </c>
      <c r="Q469" t="s">
        <v>414</v>
      </c>
      <c r="S469">
        <v>3.23</v>
      </c>
      <c r="T469">
        <v>398.983</v>
      </c>
      <c r="U469">
        <v>322.57600000000002</v>
      </c>
      <c r="V469">
        <v>12.369</v>
      </c>
      <c r="W469" t="s">
        <v>488</v>
      </c>
      <c r="X469">
        <v>0.2</v>
      </c>
    </row>
    <row r="470" spans="1:24" x14ac:dyDescent="0.45">
      <c r="A470">
        <v>25</v>
      </c>
      <c r="B470">
        <v>25</v>
      </c>
      <c r="C470" t="s">
        <v>430</v>
      </c>
      <c r="D470" t="s">
        <v>414</v>
      </c>
      <c r="F470">
        <v>3.23</v>
      </c>
      <c r="G470">
        <v>306.97000000000003</v>
      </c>
      <c r="H470">
        <v>340.77699999999999</v>
      </c>
      <c r="I470">
        <v>9.0079999999999991</v>
      </c>
      <c r="J470" t="s">
        <v>412</v>
      </c>
      <c r="K470">
        <v>0.3</v>
      </c>
      <c r="N470">
        <v>25</v>
      </c>
      <c r="O470">
        <v>25</v>
      </c>
      <c r="P470" t="s">
        <v>535</v>
      </c>
      <c r="Q470" t="s">
        <v>414</v>
      </c>
      <c r="S470">
        <v>3.24</v>
      </c>
      <c r="T470">
        <v>729.93600000000004</v>
      </c>
      <c r="U470">
        <v>544.57399999999996</v>
      </c>
      <c r="V470">
        <v>13.404</v>
      </c>
      <c r="W470" t="s">
        <v>488</v>
      </c>
      <c r="X470">
        <v>0.2</v>
      </c>
    </row>
    <row r="471" spans="1:24" x14ac:dyDescent="0.45">
      <c r="A471">
        <v>26</v>
      </c>
      <c r="B471">
        <v>26</v>
      </c>
      <c r="C471" t="s">
        <v>431</v>
      </c>
      <c r="D471" t="s">
        <v>414</v>
      </c>
      <c r="F471">
        <v>3.23</v>
      </c>
      <c r="G471">
        <v>136.78</v>
      </c>
      <c r="H471">
        <v>296.988</v>
      </c>
      <c r="I471">
        <v>4.6059999999999999</v>
      </c>
      <c r="J471" t="s">
        <v>488</v>
      </c>
      <c r="K471">
        <v>0.2</v>
      </c>
      <c r="N471">
        <v>26</v>
      </c>
      <c r="O471">
        <v>26</v>
      </c>
      <c r="P471" t="s">
        <v>536</v>
      </c>
      <c r="Q471" t="s">
        <v>414</v>
      </c>
      <c r="S471">
        <v>3.23</v>
      </c>
      <c r="T471">
        <v>349.98599999999999</v>
      </c>
      <c r="U471">
        <v>270.40100000000001</v>
      </c>
      <c r="V471">
        <v>12.943</v>
      </c>
      <c r="W471" t="s">
        <v>488</v>
      </c>
      <c r="X471">
        <v>0.2</v>
      </c>
    </row>
    <row r="472" spans="1:24" x14ac:dyDescent="0.45">
      <c r="A472">
        <v>27</v>
      </c>
      <c r="B472">
        <v>27</v>
      </c>
      <c r="C472" t="s">
        <v>432</v>
      </c>
      <c r="D472" t="s">
        <v>414</v>
      </c>
      <c r="F472">
        <v>3.25</v>
      </c>
      <c r="G472">
        <v>222.02799999999999</v>
      </c>
      <c r="H472">
        <v>340.28100000000001</v>
      </c>
      <c r="I472">
        <v>6.5250000000000004</v>
      </c>
      <c r="J472" t="s">
        <v>488</v>
      </c>
      <c r="K472">
        <v>0.3</v>
      </c>
      <c r="N472">
        <v>27</v>
      </c>
      <c r="O472">
        <v>27</v>
      </c>
      <c r="P472" t="s">
        <v>537</v>
      </c>
      <c r="Q472" t="s">
        <v>414</v>
      </c>
      <c r="S472">
        <v>3.23</v>
      </c>
      <c r="T472">
        <v>264.964</v>
      </c>
      <c r="U472">
        <v>224.08600000000001</v>
      </c>
      <c r="V472">
        <v>11.824</v>
      </c>
      <c r="W472" t="s">
        <v>415</v>
      </c>
      <c r="X472">
        <v>0.2</v>
      </c>
    </row>
    <row r="473" spans="1:24" x14ac:dyDescent="0.45">
      <c r="A473">
        <v>28</v>
      </c>
      <c r="B473">
        <v>28</v>
      </c>
      <c r="C473" t="s">
        <v>433</v>
      </c>
      <c r="D473" t="s">
        <v>414</v>
      </c>
      <c r="F473">
        <v>3.23</v>
      </c>
      <c r="G473">
        <v>174.37799999999999</v>
      </c>
      <c r="H473">
        <v>358.56099999999998</v>
      </c>
      <c r="I473">
        <v>4.8630000000000004</v>
      </c>
      <c r="J473" t="s">
        <v>488</v>
      </c>
      <c r="K473">
        <v>0.2</v>
      </c>
      <c r="N473">
        <v>28</v>
      </c>
      <c r="O473">
        <v>28</v>
      </c>
      <c r="P473" t="s">
        <v>538</v>
      </c>
      <c r="Q473" t="s">
        <v>414</v>
      </c>
      <c r="S473">
        <v>3.23</v>
      </c>
      <c r="T473">
        <v>369.28500000000003</v>
      </c>
      <c r="U473">
        <v>289.82600000000002</v>
      </c>
      <c r="V473">
        <v>12.742000000000001</v>
      </c>
      <c r="W473" t="s">
        <v>488</v>
      </c>
      <c r="X473">
        <v>0.2</v>
      </c>
    </row>
    <row r="474" spans="1:24" x14ac:dyDescent="0.45">
      <c r="A474">
        <v>29</v>
      </c>
      <c r="B474">
        <v>29</v>
      </c>
      <c r="C474" t="s">
        <v>434</v>
      </c>
      <c r="D474" t="s">
        <v>414</v>
      </c>
      <c r="F474">
        <v>3.24</v>
      </c>
      <c r="G474">
        <v>93.02</v>
      </c>
      <c r="H474">
        <v>301.74599999999998</v>
      </c>
      <c r="I474">
        <v>3.0830000000000002</v>
      </c>
      <c r="J474" t="s">
        <v>488</v>
      </c>
      <c r="K474">
        <v>0.2</v>
      </c>
      <c r="N474">
        <v>29</v>
      </c>
      <c r="O474">
        <v>29</v>
      </c>
      <c r="P474" t="s">
        <v>539</v>
      </c>
      <c r="Q474" t="s">
        <v>414</v>
      </c>
      <c r="S474">
        <v>3.23</v>
      </c>
      <c r="T474">
        <v>754.12699999999995</v>
      </c>
      <c r="U474">
        <v>386.952</v>
      </c>
      <c r="V474">
        <v>19.489000000000001</v>
      </c>
      <c r="W474" t="s">
        <v>403</v>
      </c>
      <c r="X474">
        <v>0.3</v>
      </c>
    </row>
    <row r="475" spans="1:24" x14ac:dyDescent="0.45">
      <c r="A475">
        <v>30</v>
      </c>
      <c r="B475">
        <v>30</v>
      </c>
      <c r="C475" t="s">
        <v>435</v>
      </c>
      <c r="D475" t="s">
        <v>414</v>
      </c>
      <c r="F475">
        <v>3.23</v>
      </c>
      <c r="G475">
        <v>224.17599999999999</v>
      </c>
      <c r="H475">
        <v>214.46299999999999</v>
      </c>
      <c r="I475">
        <v>10.452999999999999</v>
      </c>
      <c r="J475" t="s">
        <v>488</v>
      </c>
      <c r="K475">
        <v>0.3</v>
      </c>
      <c r="N475">
        <v>30</v>
      </c>
      <c r="O475">
        <v>30</v>
      </c>
      <c r="P475" t="s">
        <v>540</v>
      </c>
      <c r="Q475" t="s">
        <v>414</v>
      </c>
      <c r="S475">
        <v>3.23</v>
      </c>
      <c r="T475">
        <v>372.34899999999999</v>
      </c>
      <c r="U475">
        <v>452.00099999999998</v>
      </c>
      <c r="V475">
        <v>8.2379999999999995</v>
      </c>
      <c r="W475" t="s">
        <v>412</v>
      </c>
      <c r="X475">
        <v>0.1</v>
      </c>
    </row>
    <row r="476" spans="1:24" x14ac:dyDescent="0.45">
      <c r="A476">
        <v>31</v>
      </c>
      <c r="B476">
        <v>31</v>
      </c>
      <c r="C476" t="s">
        <v>436</v>
      </c>
      <c r="D476" t="s">
        <v>414</v>
      </c>
      <c r="F476">
        <v>3.24</v>
      </c>
      <c r="G476">
        <v>165.24299999999999</v>
      </c>
      <c r="H476">
        <v>314.22899999999998</v>
      </c>
      <c r="I476">
        <v>5.2590000000000003</v>
      </c>
      <c r="J476" t="s">
        <v>401</v>
      </c>
      <c r="K476">
        <v>0.2</v>
      </c>
      <c r="N476">
        <v>31</v>
      </c>
      <c r="O476">
        <v>31</v>
      </c>
      <c r="P476" t="s">
        <v>541</v>
      </c>
      <c r="Q476" t="s">
        <v>414</v>
      </c>
      <c r="S476">
        <v>3.23</v>
      </c>
      <c r="T476">
        <v>225.23099999999999</v>
      </c>
      <c r="U476">
        <v>318.43700000000001</v>
      </c>
      <c r="V476">
        <v>7.0730000000000004</v>
      </c>
      <c r="W476" t="s">
        <v>412</v>
      </c>
      <c r="X476">
        <v>0.1</v>
      </c>
    </row>
    <row r="477" spans="1:24" x14ac:dyDescent="0.45">
      <c r="A477">
        <v>32</v>
      </c>
      <c r="B477">
        <v>32</v>
      </c>
      <c r="C477" t="s">
        <v>437</v>
      </c>
      <c r="D477" t="s">
        <v>414</v>
      </c>
      <c r="F477">
        <v>3.24</v>
      </c>
      <c r="G477">
        <v>177.00299999999999</v>
      </c>
      <c r="H477">
        <v>143.69300000000001</v>
      </c>
      <c r="I477">
        <v>12.318</v>
      </c>
      <c r="J477" t="s">
        <v>401</v>
      </c>
      <c r="K477">
        <v>0.3</v>
      </c>
      <c r="N477">
        <v>32</v>
      </c>
      <c r="O477">
        <v>32</v>
      </c>
      <c r="P477" t="s">
        <v>542</v>
      </c>
      <c r="Q477" t="s">
        <v>414</v>
      </c>
      <c r="S477">
        <v>3.23</v>
      </c>
      <c r="T477">
        <v>371.07499999999999</v>
      </c>
      <c r="U477">
        <v>323.53300000000002</v>
      </c>
      <c r="V477">
        <v>11.468999999999999</v>
      </c>
      <c r="W477" t="s">
        <v>415</v>
      </c>
      <c r="X477">
        <v>0.2</v>
      </c>
    </row>
    <row r="478" spans="1:24" x14ac:dyDescent="0.45">
      <c r="A478">
        <v>33</v>
      </c>
      <c r="B478">
        <v>33</v>
      </c>
      <c r="C478" t="s">
        <v>438</v>
      </c>
      <c r="D478" t="s">
        <v>414</v>
      </c>
      <c r="F478">
        <v>3.25</v>
      </c>
      <c r="G478">
        <v>74.275999999999996</v>
      </c>
      <c r="H478">
        <v>278.27</v>
      </c>
      <c r="I478">
        <v>2.669</v>
      </c>
      <c r="J478" t="s">
        <v>415</v>
      </c>
      <c r="K478">
        <v>0.2</v>
      </c>
      <c r="N478">
        <v>33</v>
      </c>
      <c r="O478">
        <v>33</v>
      </c>
      <c r="P478" t="s">
        <v>543</v>
      </c>
      <c r="Q478" t="s">
        <v>414</v>
      </c>
      <c r="S478">
        <v>3.23</v>
      </c>
      <c r="T478">
        <v>388.358</v>
      </c>
      <c r="U478">
        <v>297.95999999999998</v>
      </c>
      <c r="V478">
        <v>13.034000000000001</v>
      </c>
      <c r="W478" t="s">
        <v>403</v>
      </c>
      <c r="X478">
        <v>0.2</v>
      </c>
    </row>
    <row r="479" spans="1:24" x14ac:dyDescent="0.45">
      <c r="A479">
        <v>34</v>
      </c>
      <c r="B479">
        <v>34</v>
      </c>
      <c r="C479" t="s">
        <v>439</v>
      </c>
      <c r="D479" t="s">
        <v>414</v>
      </c>
      <c r="F479">
        <v>3.24</v>
      </c>
      <c r="G479">
        <v>177.27099999999999</v>
      </c>
      <c r="H479">
        <v>256.73099999999999</v>
      </c>
      <c r="I479">
        <v>6.9050000000000002</v>
      </c>
      <c r="J479" t="s">
        <v>412</v>
      </c>
      <c r="K479">
        <v>0.3</v>
      </c>
      <c r="N479">
        <v>34</v>
      </c>
      <c r="O479">
        <v>34</v>
      </c>
      <c r="P479" t="s">
        <v>544</v>
      </c>
      <c r="Q479" t="s">
        <v>414</v>
      </c>
      <c r="S479">
        <v>3.23</v>
      </c>
      <c r="T479">
        <v>960.04899999999998</v>
      </c>
      <c r="U479">
        <v>308.49599999999998</v>
      </c>
      <c r="V479">
        <v>31.12</v>
      </c>
      <c r="W479" t="s">
        <v>412</v>
      </c>
      <c r="X479">
        <v>0.4</v>
      </c>
    </row>
    <row r="480" spans="1:24" x14ac:dyDescent="0.45">
      <c r="A480">
        <v>35</v>
      </c>
      <c r="B480">
        <v>35</v>
      </c>
      <c r="C480" t="s">
        <v>440</v>
      </c>
      <c r="D480" t="s">
        <v>414</v>
      </c>
      <c r="F480">
        <v>3.24</v>
      </c>
      <c r="G480">
        <v>187.33199999999999</v>
      </c>
      <c r="H480">
        <v>303.976</v>
      </c>
      <c r="I480">
        <v>6.1630000000000003</v>
      </c>
      <c r="J480" t="s">
        <v>415</v>
      </c>
      <c r="K480">
        <v>0.3</v>
      </c>
      <c r="N480">
        <v>35</v>
      </c>
      <c r="O480">
        <v>35</v>
      </c>
      <c r="P480" t="s">
        <v>545</v>
      </c>
      <c r="Q480" t="s">
        <v>414</v>
      </c>
      <c r="S480">
        <v>3.23</v>
      </c>
      <c r="T480">
        <v>564.64300000000003</v>
      </c>
      <c r="U480">
        <v>300.48899999999998</v>
      </c>
      <c r="V480">
        <v>18.791</v>
      </c>
      <c r="W480" t="s">
        <v>415</v>
      </c>
      <c r="X480">
        <v>0.2</v>
      </c>
    </row>
    <row r="481" spans="1:24" x14ac:dyDescent="0.45">
      <c r="A481">
        <v>36</v>
      </c>
      <c r="B481">
        <v>36</v>
      </c>
      <c r="C481" t="s">
        <v>441</v>
      </c>
      <c r="D481" t="s">
        <v>414</v>
      </c>
      <c r="F481">
        <v>3.24</v>
      </c>
      <c r="G481">
        <v>350.20499999999998</v>
      </c>
      <c r="H481">
        <v>235.422</v>
      </c>
      <c r="I481">
        <v>14.875999999999999</v>
      </c>
      <c r="J481" t="s">
        <v>488</v>
      </c>
      <c r="K481">
        <v>0.3</v>
      </c>
      <c r="N481">
        <v>36</v>
      </c>
      <c r="O481">
        <v>36</v>
      </c>
      <c r="P481" t="s">
        <v>546</v>
      </c>
      <c r="Q481" t="s">
        <v>414</v>
      </c>
      <c r="S481">
        <v>3.23</v>
      </c>
      <c r="T481">
        <v>171.292</v>
      </c>
      <c r="U481">
        <v>448.27100000000002</v>
      </c>
      <c r="V481">
        <v>3.8210000000000002</v>
      </c>
      <c r="W481" t="s">
        <v>488</v>
      </c>
      <c r="X481">
        <v>0.1</v>
      </c>
    </row>
    <row r="482" spans="1:24" x14ac:dyDescent="0.45">
      <c r="A482">
        <v>37</v>
      </c>
      <c r="B482">
        <v>37</v>
      </c>
      <c r="C482" t="s">
        <v>442</v>
      </c>
      <c r="D482" t="s">
        <v>414</v>
      </c>
      <c r="F482">
        <v>3.24</v>
      </c>
      <c r="G482">
        <v>298.25700000000001</v>
      </c>
      <c r="H482">
        <v>201.941</v>
      </c>
      <c r="I482">
        <v>14.77</v>
      </c>
      <c r="J482" t="s">
        <v>488</v>
      </c>
      <c r="K482">
        <v>0.3</v>
      </c>
      <c r="N482">
        <v>37</v>
      </c>
      <c r="O482">
        <v>37</v>
      </c>
      <c r="P482" t="s">
        <v>547</v>
      </c>
      <c r="Q482" t="s">
        <v>414</v>
      </c>
      <c r="S482">
        <v>3.25</v>
      </c>
      <c r="T482">
        <v>166.65299999999999</v>
      </c>
      <c r="U482">
        <v>283.31200000000001</v>
      </c>
      <c r="V482">
        <v>5.8819999999999997</v>
      </c>
      <c r="W482" t="s">
        <v>488</v>
      </c>
      <c r="X482">
        <v>0.1</v>
      </c>
    </row>
    <row r="483" spans="1:24" x14ac:dyDescent="0.45">
      <c r="A483">
        <v>38</v>
      </c>
      <c r="B483">
        <v>38</v>
      </c>
      <c r="C483" t="s">
        <v>443</v>
      </c>
      <c r="D483" t="s">
        <v>414</v>
      </c>
      <c r="F483">
        <v>3.24</v>
      </c>
      <c r="G483">
        <v>319.16899999999998</v>
      </c>
      <c r="H483">
        <v>145.75899999999999</v>
      </c>
      <c r="I483">
        <v>21.896999999999998</v>
      </c>
      <c r="J483" t="s">
        <v>488</v>
      </c>
      <c r="K483">
        <v>0.4</v>
      </c>
      <c r="N483">
        <v>38</v>
      </c>
      <c r="O483">
        <v>38</v>
      </c>
      <c r="P483" t="s">
        <v>548</v>
      </c>
      <c r="Q483" t="s">
        <v>414</v>
      </c>
      <c r="S483">
        <v>3.23</v>
      </c>
      <c r="T483">
        <v>212.50700000000001</v>
      </c>
      <c r="U483">
        <v>239.73</v>
      </c>
      <c r="V483">
        <v>8.8640000000000008</v>
      </c>
      <c r="W483" t="s">
        <v>412</v>
      </c>
      <c r="X483">
        <v>0.1</v>
      </c>
    </row>
    <row r="484" spans="1:24" x14ac:dyDescent="0.45">
      <c r="A484">
        <v>39</v>
      </c>
      <c r="B484">
        <v>39</v>
      </c>
      <c r="C484" t="s">
        <v>444</v>
      </c>
      <c r="D484" t="s">
        <v>414</v>
      </c>
      <c r="F484">
        <v>3.24</v>
      </c>
      <c r="G484">
        <v>365.41</v>
      </c>
      <c r="H484">
        <v>313.08499999999998</v>
      </c>
      <c r="I484">
        <v>11.670999999999999</v>
      </c>
      <c r="J484" t="s">
        <v>488</v>
      </c>
      <c r="K484">
        <v>0.3</v>
      </c>
      <c r="N484">
        <v>39</v>
      </c>
      <c r="O484">
        <v>39</v>
      </c>
      <c r="P484" t="s">
        <v>549</v>
      </c>
      <c r="Q484" t="s">
        <v>414</v>
      </c>
      <c r="S484">
        <v>3.23</v>
      </c>
      <c r="T484">
        <v>357.53500000000003</v>
      </c>
      <c r="U484">
        <v>324.88400000000001</v>
      </c>
      <c r="V484">
        <v>11.005000000000001</v>
      </c>
      <c r="W484" t="s">
        <v>415</v>
      </c>
      <c r="X484">
        <v>0.2</v>
      </c>
    </row>
    <row r="485" spans="1:24" x14ac:dyDescent="0.45">
      <c r="A485">
        <v>40</v>
      </c>
      <c r="B485">
        <v>40</v>
      </c>
      <c r="C485" t="s">
        <v>445</v>
      </c>
      <c r="D485" t="s">
        <v>414</v>
      </c>
      <c r="F485">
        <v>3.24</v>
      </c>
      <c r="G485">
        <v>245.10499999999999</v>
      </c>
      <c r="H485">
        <v>599.40200000000004</v>
      </c>
      <c r="I485">
        <v>4.0890000000000004</v>
      </c>
      <c r="J485" t="s">
        <v>401</v>
      </c>
      <c r="K485">
        <v>0.2</v>
      </c>
      <c r="N485">
        <v>40</v>
      </c>
      <c r="O485">
        <v>40</v>
      </c>
      <c r="P485" t="s">
        <v>550</v>
      </c>
      <c r="Q485" t="s">
        <v>414</v>
      </c>
      <c r="S485">
        <v>3.23</v>
      </c>
      <c r="T485">
        <v>472.72800000000001</v>
      </c>
      <c r="U485">
        <v>282.19200000000001</v>
      </c>
      <c r="V485">
        <v>16.751999999999999</v>
      </c>
      <c r="W485" t="s">
        <v>415</v>
      </c>
      <c r="X485">
        <v>0.2</v>
      </c>
    </row>
    <row r="486" spans="1:24" x14ac:dyDescent="0.45">
      <c r="A486">
        <v>41</v>
      </c>
      <c r="B486">
        <v>41</v>
      </c>
      <c r="C486" t="s">
        <v>446</v>
      </c>
      <c r="D486" t="s">
        <v>414</v>
      </c>
      <c r="F486">
        <v>3.25</v>
      </c>
      <c r="G486">
        <v>282.74700000000001</v>
      </c>
      <c r="H486">
        <v>407.15800000000002</v>
      </c>
      <c r="I486">
        <v>6.944</v>
      </c>
      <c r="J486" t="s">
        <v>403</v>
      </c>
      <c r="K486">
        <v>0.3</v>
      </c>
      <c r="N486">
        <v>41</v>
      </c>
      <c r="O486">
        <v>41</v>
      </c>
      <c r="P486" t="s">
        <v>551</v>
      </c>
      <c r="Q486" t="s">
        <v>414</v>
      </c>
      <c r="S486">
        <v>3.23</v>
      </c>
      <c r="T486">
        <v>465.16800000000001</v>
      </c>
      <c r="U486">
        <v>410.78800000000001</v>
      </c>
      <c r="V486">
        <v>11.324</v>
      </c>
      <c r="W486" t="s">
        <v>488</v>
      </c>
      <c r="X486">
        <v>0.2</v>
      </c>
    </row>
    <row r="487" spans="1:24" x14ac:dyDescent="0.45">
      <c r="A487">
        <v>42</v>
      </c>
      <c r="B487">
        <v>42</v>
      </c>
      <c r="C487" t="s">
        <v>447</v>
      </c>
      <c r="D487" t="s">
        <v>414</v>
      </c>
      <c r="F487">
        <v>3.24</v>
      </c>
      <c r="G487">
        <v>226.125</v>
      </c>
      <c r="H487">
        <v>417.96300000000002</v>
      </c>
      <c r="I487">
        <v>5.41</v>
      </c>
      <c r="J487" t="s">
        <v>488</v>
      </c>
      <c r="K487">
        <v>0.3</v>
      </c>
      <c r="N487">
        <v>42</v>
      </c>
      <c r="O487">
        <v>42</v>
      </c>
      <c r="P487" t="s">
        <v>552</v>
      </c>
      <c r="Q487" t="s">
        <v>414</v>
      </c>
      <c r="S487">
        <v>3.23</v>
      </c>
      <c r="T487">
        <v>492.649</v>
      </c>
      <c r="U487">
        <v>287.52</v>
      </c>
      <c r="V487">
        <v>17.134</v>
      </c>
      <c r="W487" t="s">
        <v>415</v>
      </c>
      <c r="X487">
        <v>0.2</v>
      </c>
    </row>
    <row r="488" spans="1:24" x14ac:dyDescent="0.45">
      <c r="A488">
        <v>43</v>
      </c>
      <c r="B488">
        <v>43</v>
      </c>
      <c r="C488" t="s">
        <v>448</v>
      </c>
      <c r="D488" t="s">
        <v>414</v>
      </c>
      <c r="F488">
        <v>3.24</v>
      </c>
      <c r="G488">
        <v>94.192999999999998</v>
      </c>
      <c r="H488">
        <v>333.29500000000002</v>
      </c>
      <c r="I488">
        <v>2.8260000000000001</v>
      </c>
      <c r="J488" t="s">
        <v>488</v>
      </c>
      <c r="K488">
        <v>0.2</v>
      </c>
      <c r="N488">
        <v>43</v>
      </c>
      <c r="O488">
        <v>43</v>
      </c>
      <c r="P488" t="s">
        <v>553</v>
      </c>
      <c r="Q488" t="s">
        <v>414</v>
      </c>
      <c r="S488">
        <v>3.23</v>
      </c>
      <c r="T488">
        <v>644.53099999999995</v>
      </c>
      <c r="U488">
        <v>327.70800000000003</v>
      </c>
      <c r="V488">
        <v>19.667999999999999</v>
      </c>
      <c r="W488" t="s">
        <v>415</v>
      </c>
      <c r="X488">
        <v>0.3</v>
      </c>
    </row>
    <row r="489" spans="1:24" x14ac:dyDescent="0.45">
      <c r="A489">
        <v>44</v>
      </c>
      <c r="B489">
        <v>44</v>
      </c>
      <c r="C489" t="s">
        <v>449</v>
      </c>
      <c r="D489" t="s">
        <v>414</v>
      </c>
      <c r="F489">
        <v>3.24</v>
      </c>
      <c r="G489">
        <v>143.279</v>
      </c>
      <c r="H489">
        <v>367.048</v>
      </c>
      <c r="I489">
        <v>3.9039999999999999</v>
      </c>
      <c r="J489" t="s">
        <v>488</v>
      </c>
      <c r="K489">
        <v>0.2</v>
      </c>
      <c r="N489">
        <v>44</v>
      </c>
      <c r="O489">
        <v>44</v>
      </c>
      <c r="P489" t="s">
        <v>554</v>
      </c>
      <c r="Q489" t="s">
        <v>414</v>
      </c>
      <c r="S489">
        <v>3.23</v>
      </c>
      <c r="T489">
        <v>658.49199999999996</v>
      </c>
      <c r="U489">
        <v>353.55099999999999</v>
      </c>
      <c r="V489">
        <v>18.625</v>
      </c>
      <c r="W489" t="s">
        <v>488</v>
      </c>
      <c r="X489">
        <v>0.2</v>
      </c>
    </row>
    <row r="490" spans="1:24" x14ac:dyDescent="0.45">
      <c r="A490">
        <v>45</v>
      </c>
      <c r="B490">
        <v>45</v>
      </c>
      <c r="C490" t="s">
        <v>450</v>
      </c>
      <c r="D490" t="s">
        <v>414</v>
      </c>
      <c r="F490">
        <v>3.24</v>
      </c>
      <c r="G490">
        <v>115.779</v>
      </c>
      <c r="H490">
        <v>329.84699999999998</v>
      </c>
      <c r="I490">
        <v>3.51</v>
      </c>
      <c r="J490" t="s">
        <v>488</v>
      </c>
      <c r="K490">
        <v>0.2</v>
      </c>
      <c r="N490">
        <v>45</v>
      </c>
      <c r="O490">
        <v>45</v>
      </c>
      <c r="P490" t="s">
        <v>555</v>
      </c>
      <c r="Q490" t="s">
        <v>414</v>
      </c>
      <c r="S490">
        <v>3.23</v>
      </c>
      <c r="T490">
        <v>521.51400000000001</v>
      </c>
      <c r="U490">
        <v>335.78500000000003</v>
      </c>
      <c r="V490">
        <v>15.531000000000001</v>
      </c>
      <c r="W490" t="s">
        <v>488</v>
      </c>
      <c r="X490">
        <v>0.2</v>
      </c>
    </row>
    <row r="491" spans="1:24" x14ac:dyDescent="0.45">
      <c r="A491">
        <v>46</v>
      </c>
      <c r="B491">
        <v>46</v>
      </c>
      <c r="C491" t="s">
        <v>451</v>
      </c>
      <c r="D491" t="s">
        <v>414</v>
      </c>
      <c r="F491">
        <v>3.23</v>
      </c>
      <c r="G491">
        <v>657.62900000000002</v>
      </c>
      <c r="H491">
        <v>247.15700000000001</v>
      </c>
      <c r="I491">
        <v>26.608000000000001</v>
      </c>
      <c r="J491" t="s">
        <v>488</v>
      </c>
      <c r="K491">
        <v>0.5</v>
      </c>
      <c r="N491">
        <v>46</v>
      </c>
      <c r="O491">
        <v>46</v>
      </c>
      <c r="P491" t="s">
        <v>556</v>
      </c>
      <c r="Q491" t="s">
        <v>414</v>
      </c>
      <c r="S491">
        <v>3.23</v>
      </c>
      <c r="T491">
        <v>198.23</v>
      </c>
      <c r="U491">
        <v>316.23099999999999</v>
      </c>
      <c r="V491">
        <v>6.2690000000000001</v>
      </c>
      <c r="W491" t="s">
        <v>488</v>
      </c>
      <c r="X491">
        <v>0.1</v>
      </c>
    </row>
    <row r="492" spans="1:24" x14ac:dyDescent="0.45">
      <c r="A492">
        <v>47</v>
      </c>
      <c r="B492">
        <v>47</v>
      </c>
      <c r="C492" t="s">
        <v>452</v>
      </c>
      <c r="D492" t="s">
        <v>414</v>
      </c>
      <c r="F492">
        <v>3.24</v>
      </c>
      <c r="G492">
        <v>451.69900000000001</v>
      </c>
      <c r="H492">
        <v>125.545</v>
      </c>
      <c r="I492">
        <v>35.978999999999999</v>
      </c>
      <c r="J492" t="s">
        <v>412</v>
      </c>
      <c r="K492">
        <v>0.5</v>
      </c>
      <c r="N492">
        <v>47</v>
      </c>
      <c r="O492">
        <v>47</v>
      </c>
      <c r="P492" t="s">
        <v>557</v>
      </c>
      <c r="Q492" t="s">
        <v>414</v>
      </c>
      <c r="S492">
        <v>3.22</v>
      </c>
      <c r="T492">
        <v>125.864</v>
      </c>
      <c r="U492">
        <v>196.28299999999999</v>
      </c>
      <c r="V492">
        <v>6.4119999999999999</v>
      </c>
      <c r="W492" t="s">
        <v>488</v>
      </c>
      <c r="X492">
        <v>0.1</v>
      </c>
    </row>
    <row r="493" spans="1:24" x14ac:dyDescent="0.45">
      <c r="A493">
        <v>48</v>
      </c>
      <c r="B493">
        <v>48</v>
      </c>
      <c r="C493" t="s">
        <v>453</v>
      </c>
      <c r="D493" t="s">
        <v>414</v>
      </c>
      <c r="F493">
        <v>3.34</v>
      </c>
      <c r="G493">
        <v>29.024999999999999</v>
      </c>
      <c r="H493">
        <v>179.57300000000001</v>
      </c>
      <c r="I493">
        <v>1.6160000000000001</v>
      </c>
      <c r="J493" t="s">
        <v>415</v>
      </c>
      <c r="K493">
        <v>0.2</v>
      </c>
      <c r="N493">
        <v>48</v>
      </c>
      <c r="O493">
        <v>48</v>
      </c>
      <c r="P493" t="s">
        <v>558</v>
      </c>
      <c r="Q493" t="s">
        <v>414</v>
      </c>
      <c r="S493">
        <v>3.23</v>
      </c>
      <c r="T493">
        <v>265.26900000000001</v>
      </c>
      <c r="U493">
        <v>228.761</v>
      </c>
      <c r="V493">
        <v>11.596</v>
      </c>
      <c r="W493" t="s">
        <v>488</v>
      </c>
      <c r="X493">
        <v>0.2</v>
      </c>
    </row>
    <row r="494" spans="1:24" x14ac:dyDescent="0.45">
      <c r="A494">
        <v>49</v>
      </c>
      <c r="B494">
        <v>49</v>
      </c>
      <c r="C494" t="s">
        <v>454</v>
      </c>
      <c r="D494" t="s">
        <v>414</v>
      </c>
      <c r="F494">
        <v>3.24</v>
      </c>
      <c r="G494">
        <v>336.101</v>
      </c>
      <c r="H494">
        <v>196.745</v>
      </c>
      <c r="I494">
        <v>17.082999999999998</v>
      </c>
      <c r="J494" t="s">
        <v>412</v>
      </c>
      <c r="K494">
        <v>0.4</v>
      </c>
      <c r="N494">
        <v>49</v>
      </c>
      <c r="O494">
        <v>49</v>
      </c>
      <c r="P494" t="s">
        <v>559</v>
      </c>
      <c r="Q494" t="s">
        <v>414</v>
      </c>
      <c r="S494">
        <v>3.23</v>
      </c>
      <c r="T494">
        <v>219.392</v>
      </c>
      <c r="U494">
        <v>199.64</v>
      </c>
      <c r="V494">
        <v>10.989000000000001</v>
      </c>
      <c r="W494" t="s">
        <v>488</v>
      </c>
      <c r="X494">
        <v>0.2</v>
      </c>
    </row>
    <row r="495" spans="1:24" x14ac:dyDescent="0.45">
      <c r="A495">
        <v>50</v>
      </c>
      <c r="B495">
        <v>50</v>
      </c>
      <c r="C495" t="s">
        <v>455</v>
      </c>
      <c r="D495" t="s">
        <v>414</v>
      </c>
      <c r="F495">
        <v>3.24</v>
      </c>
      <c r="G495">
        <v>736.005</v>
      </c>
      <c r="H495">
        <v>285.43099999999998</v>
      </c>
      <c r="I495">
        <v>25.786000000000001</v>
      </c>
      <c r="J495" t="s">
        <v>412</v>
      </c>
      <c r="K495">
        <v>0.4</v>
      </c>
      <c r="N495">
        <v>50</v>
      </c>
      <c r="O495">
        <v>50</v>
      </c>
      <c r="P495" t="s">
        <v>560</v>
      </c>
      <c r="Q495" t="s">
        <v>414</v>
      </c>
      <c r="S495">
        <v>3.23</v>
      </c>
      <c r="T495">
        <v>807.101</v>
      </c>
      <c r="U495">
        <v>338.95</v>
      </c>
      <c r="V495">
        <v>23.812000000000001</v>
      </c>
      <c r="W495" t="s">
        <v>403</v>
      </c>
      <c r="X495">
        <v>0.3</v>
      </c>
    </row>
    <row r="496" spans="1:24" x14ac:dyDescent="0.45">
      <c r="A496">
        <v>51</v>
      </c>
      <c r="B496">
        <v>51</v>
      </c>
      <c r="C496" t="s">
        <v>456</v>
      </c>
      <c r="D496" t="s">
        <v>414</v>
      </c>
      <c r="F496">
        <v>3.34</v>
      </c>
      <c r="G496">
        <v>1.1040000000000001</v>
      </c>
      <c r="H496">
        <v>183.024</v>
      </c>
      <c r="I496">
        <v>0.06</v>
      </c>
      <c r="J496" t="s">
        <v>415</v>
      </c>
      <c r="K496">
        <v>0.2</v>
      </c>
      <c r="N496">
        <v>51</v>
      </c>
      <c r="O496">
        <v>51</v>
      </c>
      <c r="P496" t="s">
        <v>561</v>
      </c>
      <c r="Q496" t="s">
        <v>414</v>
      </c>
      <c r="S496">
        <v>3.23</v>
      </c>
      <c r="T496">
        <v>539.29300000000001</v>
      </c>
      <c r="U496">
        <v>143.82599999999999</v>
      </c>
      <c r="V496">
        <v>37.496000000000002</v>
      </c>
      <c r="W496" t="s">
        <v>403</v>
      </c>
      <c r="X496">
        <v>0.5</v>
      </c>
    </row>
    <row r="497" spans="1:24" x14ac:dyDescent="0.45">
      <c r="A497">
        <v>52</v>
      </c>
      <c r="B497">
        <v>52</v>
      </c>
      <c r="C497" t="s">
        <v>457</v>
      </c>
      <c r="D497" t="s">
        <v>414</v>
      </c>
      <c r="F497">
        <v>3.37</v>
      </c>
      <c r="G497">
        <v>5.048</v>
      </c>
      <c r="H497">
        <v>136.62700000000001</v>
      </c>
      <c r="I497">
        <v>0.36899999999999999</v>
      </c>
      <c r="J497" t="s">
        <v>412</v>
      </c>
      <c r="K497">
        <v>0.2</v>
      </c>
      <c r="N497">
        <v>52</v>
      </c>
      <c r="O497">
        <v>52</v>
      </c>
      <c r="P497" t="s">
        <v>562</v>
      </c>
      <c r="Q497" t="s">
        <v>414</v>
      </c>
      <c r="S497">
        <v>3.23</v>
      </c>
      <c r="T497">
        <v>343.84500000000003</v>
      </c>
      <c r="U497">
        <v>287.59500000000003</v>
      </c>
      <c r="V497">
        <v>11.956</v>
      </c>
      <c r="W497" t="s">
        <v>488</v>
      </c>
      <c r="X497">
        <v>0.2</v>
      </c>
    </row>
    <row r="498" spans="1:24" x14ac:dyDescent="0.45">
      <c r="A498">
        <v>53</v>
      </c>
      <c r="B498">
        <v>53</v>
      </c>
      <c r="C498" t="s">
        <v>458</v>
      </c>
      <c r="D498" t="s">
        <v>414</v>
      </c>
      <c r="F498">
        <v>3.36</v>
      </c>
      <c r="G498">
        <v>39.061999999999998</v>
      </c>
      <c r="H498">
        <v>330.57100000000003</v>
      </c>
      <c r="I498">
        <v>1.1819999999999999</v>
      </c>
      <c r="J498" t="s">
        <v>412</v>
      </c>
      <c r="K498">
        <v>0.2</v>
      </c>
      <c r="N498">
        <v>53</v>
      </c>
      <c r="O498">
        <v>53</v>
      </c>
      <c r="P498" t="s">
        <v>563</v>
      </c>
      <c r="Q498" t="s">
        <v>414</v>
      </c>
      <c r="S498">
        <v>3.23</v>
      </c>
      <c r="T498">
        <v>567.70299999999997</v>
      </c>
      <c r="U498">
        <v>365.37299999999999</v>
      </c>
      <c r="V498">
        <v>15.538</v>
      </c>
      <c r="W498" t="s">
        <v>488</v>
      </c>
      <c r="X498">
        <v>0.2</v>
      </c>
    </row>
    <row r="499" spans="1:24" x14ac:dyDescent="0.45">
      <c r="A499">
        <v>54</v>
      </c>
      <c r="B499">
        <v>54</v>
      </c>
      <c r="C499" t="s">
        <v>459</v>
      </c>
      <c r="D499" t="s">
        <v>414</v>
      </c>
      <c r="F499">
        <v>3.24</v>
      </c>
      <c r="G499">
        <v>771.20100000000002</v>
      </c>
      <c r="H499">
        <v>310.77300000000002</v>
      </c>
      <c r="I499">
        <v>24.815999999999999</v>
      </c>
      <c r="J499" t="s">
        <v>403</v>
      </c>
      <c r="K499">
        <v>0.4</v>
      </c>
      <c r="N499">
        <v>54</v>
      </c>
      <c r="O499">
        <v>54</v>
      </c>
      <c r="P499" t="s">
        <v>564</v>
      </c>
      <c r="Q499" t="s">
        <v>414</v>
      </c>
      <c r="S499">
        <v>3.23</v>
      </c>
      <c r="T499">
        <v>240.928</v>
      </c>
      <c r="U499">
        <v>298.21100000000001</v>
      </c>
      <c r="V499">
        <v>8.0790000000000006</v>
      </c>
      <c r="W499" t="s">
        <v>488</v>
      </c>
      <c r="X499">
        <v>0.1</v>
      </c>
    </row>
    <row r="500" spans="1:24" x14ac:dyDescent="0.45">
      <c r="A500">
        <v>55</v>
      </c>
      <c r="B500">
        <v>55</v>
      </c>
      <c r="C500" t="s">
        <v>460</v>
      </c>
      <c r="D500" t="s">
        <v>414</v>
      </c>
      <c r="F500">
        <v>3.33</v>
      </c>
      <c r="G500">
        <v>20.138999999999999</v>
      </c>
      <c r="H500">
        <v>213.541</v>
      </c>
      <c r="I500">
        <v>0.94299999999999995</v>
      </c>
      <c r="J500" t="s">
        <v>403</v>
      </c>
      <c r="K500">
        <v>0.2</v>
      </c>
      <c r="N500">
        <v>55</v>
      </c>
      <c r="O500">
        <v>55</v>
      </c>
      <c r="P500" t="s">
        <v>565</v>
      </c>
      <c r="Q500" t="s">
        <v>414</v>
      </c>
      <c r="S500">
        <v>3.23</v>
      </c>
      <c r="T500">
        <v>302.93400000000003</v>
      </c>
      <c r="U500">
        <v>272.255</v>
      </c>
      <c r="V500">
        <v>11.127000000000001</v>
      </c>
      <c r="W500" t="s">
        <v>415</v>
      </c>
      <c r="X500">
        <v>0.2</v>
      </c>
    </row>
    <row r="501" spans="1:24" x14ac:dyDescent="0.45">
      <c r="A501">
        <v>56</v>
      </c>
      <c r="B501">
        <v>56</v>
      </c>
      <c r="C501" t="s">
        <v>461</v>
      </c>
      <c r="D501" t="s">
        <v>414</v>
      </c>
      <c r="F501">
        <v>3.23</v>
      </c>
      <c r="G501">
        <v>602.16800000000001</v>
      </c>
      <c r="H501">
        <v>246.62700000000001</v>
      </c>
      <c r="I501">
        <v>24.416</v>
      </c>
      <c r="J501" t="s">
        <v>412</v>
      </c>
      <c r="K501">
        <v>0.4</v>
      </c>
      <c r="N501">
        <v>56</v>
      </c>
      <c r="O501">
        <v>56</v>
      </c>
      <c r="P501" t="s">
        <v>566</v>
      </c>
      <c r="Q501" t="s">
        <v>414</v>
      </c>
      <c r="S501">
        <v>3.23</v>
      </c>
      <c r="T501">
        <v>397.76</v>
      </c>
      <c r="U501">
        <v>248.536</v>
      </c>
      <c r="V501">
        <v>16.004000000000001</v>
      </c>
      <c r="W501" t="s">
        <v>415</v>
      </c>
      <c r="X501">
        <v>0.2</v>
      </c>
    </row>
    <row r="502" spans="1:24" x14ac:dyDescent="0.45">
      <c r="A502">
        <v>57</v>
      </c>
      <c r="B502">
        <v>57</v>
      </c>
      <c r="C502" t="s">
        <v>462</v>
      </c>
      <c r="D502" t="s">
        <v>414</v>
      </c>
      <c r="F502">
        <v>3.24</v>
      </c>
      <c r="G502">
        <v>936.02800000000002</v>
      </c>
      <c r="H502">
        <v>197.50200000000001</v>
      </c>
      <c r="I502">
        <v>47.393000000000001</v>
      </c>
      <c r="J502" t="s">
        <v>412</v>
      </c>
      <c r="K502">
        <v>0.7</v>
      </c>
      <c r="N502">
        <v>57</v>
      </c>
      <c r="O502">
        <v>57</v>
      </c>
      <c r="P502" t="s">
        <v>567</v>
      </c>
      <c r="Q502" t="s">
        <v>414</v>
      </c>
      <c r="S502">
        <v>3.23</v>
      </c>
      <c r="T502">
        <v>330.29899999999998</v>
      </c>
      <c r="U502">
        <v>223.51400000000001</v>
      </c>
      <c r="V502">
        <v>14.778</v>
      </c>
      <c r="W502" t="s">
        <v>415</v>
      </c>
      <c r="X502">
        <v>0.2</v>
      </c>
    </row>
    <row r="503" spans="1:24" x14ac:dyDescent="0.45">
      <c r="A503">
        <v>58</v>
      </c>
      <c r="B503">
        <v>58</v>
      </c>
      <c r="C503" t="s">
        <v>463</v>
      </c>
      <c r="D503" t="s">
        <v>414</v>
      </c>
      <c r="F503">
        <v>3.24</v>
      </c>
      <c r="G503">
        <v>108.01900000000001</v>
      </c>
      <c r="H503">
        <v>185.846</v>
      </c>
      <c r="I503">
        <v>5.8120000000000003</v>
      </c>
      <c r="J503" t="s">
        <v>415</v>
      </c>
      <c r="K503">
        <v>0.3</v>
      </c>
      <c r="N503">
        <v>58</v>
      </c>
      <c r="O503">
        <v>58</v>
      </c>
      <c r="P503" t="s">
        <v>568</v>
      </c>
      <c r="Q503" t="s">
        <v>414</v>
      </c>
      <c r="S503">
        <v>3.22</v>
      </c>
      <c r="T503">
        <v>1338.482</v>
      </c>
      <c r="U503">
        <v>289.529</v>
      </c>
      <c r="V503">
        <v>46.23</v>
      </c>
      <c r="W503" t="s">
        <v>488</v>
      </c>
      <c r="X503">
        <v>0.6</v>
      </c>
    </row>
    <row r="504" spans="1:24" x14ac:dyDescent="0.45">
      <c r="A504">
        <v>59</v>
      </c>
      <c r="B504">
        <v>59</v>
      </c>
      <c r="C504" t="s">
        <v>464</v>
      </c>
      <c r="D504" t="s">
        <v>414</v>
      </c>
      <c r="F504">
        <v>3.24</v>
      </c>
      <c r="G504">
        <v>147.57300000000001</v>
      </c>
      <c r="H504">
        <v>196.62200000000001</v>
      </c>
      <c r="I504">
        <v>7.5049999999999999</v>
      </c>
      <c r="J504" t="s">
        <v>412</v>
      </c>
      <c r="K504">
        <v>0.3</v>
      </c>
      <c r="N504">
        <v>59</v>
      </c>
      <c r="O504">
        <v>59</v>
      </c>
      <c r="P504" t="s">
        <v>569</v>
      </c>
      <c r="Q504" t="s">
        <v>414</v>
      </c>
      <c r="S504">
        <v>3.23</v>
      </c>
      <c r="T504">
        <v>1215.7170000000001</v>
      </c>
      <c r="U504">
        <v>214.495</v>
      </c>
      <c r="V504">
        <v>56.677999999999997</v>
      </c>
      <c r="W504" t="s">
        <v>401</v>
      </c>
      <c r="X504">
        <v>0.7</v>
      </c>
    </row>
    <row r="505" spans="1:24" x14ac:dyDescent="0.45">
      <c r="A505">
        <v>60</v>
      </c>
      <c r="B505">
        <v>60</v>
      </c>
      <c r="C505" t="s">
        <v>465</v>
      </c>
      <c r="D505" t="s">
        <v>414</v>
      </c>
      <c r="F505">
        <v>3.35</v>
      </c>
      <c r="G505">
        <v>2.1859999999999999</v>
      </c>
      <c r="H505">
        <v>255.673</v>
      </c>
      <c r="I505">
        <v>8.5000000000000006E-2</v>
      </c>
      <c r="J505" t="s">
        <v>415</v>
      </c>
      <c r="K505">
        <v>0.2</v>
      </c>
      <c r="N505">
        <v>60</v>
      </c>
      <c r="O505">
        <v>60</v>
      </c>
      <c r="P505" t="s">
        <v>570</v>
      </c>
      <c r="Q505" t="s">
        <v>414</v>
      </c>
      <c r="S505">
        <v>3.23</v>
      </c>
      <c r="T505">
        <v>1091.6379999999999</v>
      </c>
      <c r="U505">
        <v>514.84900000000005</v>
      </c>
      <c r="V505">
        <v>21.202999999999999</v>
      </c>
      <c r="W505" t="s">
        <v>488</v>
      </c>
      <c r="X505">
        <v>0.3</v>
      </c>
    </row>
    <row r="506" spans="1:24" x14ac:dyDescent="0.45">
      <c r="A506">
        <v>61</v>
      </c>
      <c r="B506">
        <v>61</v>
      </c>
      <c r="C506" t="s">
        <v>466</v>
      </c>
      <c r="D506" t="s">
        <v>414</v>
      </c>
      <c r="F506">
        <v>3.24</v>
      </c>
      <c r="G506">
        <v>188.001</v>
      </c>
      <c r="H506">
        <v>222.08600000000001</v>
      </c>
      <c r="I506">
        <v>8.4649999999999999</v>
      </c>
      <c r="J506" t="s">
        <v>412</v>
      </c>
      <c r="K506">
        <v>0.3</v>
      </c>
      <c r="N506">
        <v>61</v>
      </c>
      <c r="O506">
        <v>61</v>
      </c>
      <c r="P506" t="s">
        <v>571</v>
      </c>
      <c r="Q506" t="s">
        <v>414</v>
      </c>
      <c r="S506">
        <v>3.23</v>
      </c>
      <c r="T506">
        <v>662.55</v>
      </c>
      <c r="U506">
        <v>283.98200000000003</v>
      </c>
      <c r="V506">
        <v>23.331</v>
      </c>
      <c r="W506" t="s">
        <v>401</v>
      </c>
      <c r="X506">
        <v>0.3</v>
      </c>
    </row>
    <row r="507" spans="1:24" x14ac:dyDescent="0.45">
      <c r="A507">
        <v>62</v>
      </c>
      <c r="B507">
        <v>62</v>
      </c>
      <c r="C507" t="s">
        <v>467</v>
      </c>
      <c r="D507" t="s">
        <v>414</v>
      </c>
      <c r="F507">
        <v>3.36</v>
      </c>
      <c r="G507">
        <v>22.143999999999998</v>
      </c>
      <c r="H507">
        <v>191.76400000000001</v>
      </c>
      <c r="I507">
        <v>1.155</v>
      </c>
      <c r="J507" t="s">
        <v>403</v>
      </c>
      <c r="K507">
        <v>0.2</v>
      </c>
      <c r="N507">
        <v>62</v>
      </c>
      <c r="O507">
        <v>62</v>
      </c>
      <c r="P507" t="s">
        <v>572</v>
      </c>
      <c r="Q507" t="s">
        <v>414</v>
      </c>
      <c r="S507">
        <v>3.23</v>
      </c>
      <c r="T507">
        <v>277.58800000000002</v>
      </c>
      <c r="U507">
        <v>277.84199999999998</v>
      </c>
      <c r="V507">
        <v>9.9909999999999997</v>
      </c>
      <c r="W507" t="s">
        <v>488</v>
      </c>
      <c r="X507">
        <v>0.1</v>
      </c>
    </row>
    <row r="508" spans="1:24" x14ac:dyDescent="0.45">
      <c r="A508">
        <v>63</v>
      </c>
      <c r="B508">
        <v>63</v>
      </c>
      <c r="C508" t="s">
        <v>468</v>
      </c>
      <c r="D508" t="s">
        <v>414</v>
      </c>
      <c r="F508">
        <v>3.34</v>
      </c>
      <c r="G508">
        <v>31.462</v>
      </c>
      <c r="H508">
        <v>268.25900000000001</v>
      </c>
      <c r="I508">
        <v>1.173</v>
      </c>
      <c r="J508" t="s">
        <v>412</v>
      </c>
      <c r="K508">
        <v>0.2</v>
      </c>
      <c r="N508">
        <v>63</v>
      </c>
      <c r="O508">
        <v>63</v>
      </c>
      <c r="P508" t="s">
        <v>573</v>
      </c>
      <c r="Q508" t="s">
        <v>414</v>
      </c>
      <c r="S508">
        <v>3.23</v>
      </c>
      <c r="T508">
        <v>452.82400000000001</v>
      </c>
      <c r="U508">
        <v>291.36</v>
      </c>
      <c r="V508">
        <v>15.542</v>
      </c>
      <c r="W508" t="s">
        <v>401</v>
      </c>
      <c r="X508">
        <v>0.2</v>
      </c>
    </row>
    <row r="509" spans="1:24" x14ac:dyDescent="0.45">
      <c r="A509">
        <v>64</v>
      </c>
      <c r="B509">
        <v>64</v>
      </c>
      <c r="C509" t="s">
        <v>469</v>
      </c>
      <c r="D509" t="s">
        <v>414</v>
      </c>
      <c r="F509">
        <v>3.33</v>
      </c>
      <c r="G509">
        <v>69.83</v>
      </c>
      <c r="H509">
        <v>322.798</v>
      </c>
      <c r="I509">
        <v>2.1629999999999998</v>
      </c>
      <c r="J509" t="s">
        <v>412</v>
      </c>
      <c r="K509">
        <v>0.2</v>
      </c>
      <c r="N509">
        <v>64</v>
      </c>
      <c r="O509">
        <v>64</v>
      </c>
      <c r="P509" t="s">
        <v>574</v>
      </c>
      <c r="Q509" t="s">
        <v>414</v>
      </c>
      <c r="S509">
        <v>3.23</v>
      </c>
      <c r="T509">
        <v>719.029</v>
      </c>
      <c r="U509">
        <v>284.65100000000001</v>
      </c>
      <c r="V509">
        <v>25.26</v>
      </c>
      <c r="W509" t="s">
        <v>488</v>
      </c>
      <c r="X509">
        <v>0.3</v>
      </c>
    </row>
    <row r="510" spans="1:24" x14ac:dyDescent="0.45">
      <c r="A510">
        <v>65</v>
      </c>
      <c r="B510">
        <v>65</v>
      </c>
      <c r="C510" t="s">
        <v>470</v>
      </c>
      <c r="D510" t="s">
        <v>414</v>
      </c>
      <c r="F510">
        <v>3.24</v>
      </c>
      <c r="G510">
        <v>220.274</v>
      </c>
      <c r="H510">
        <v>294.31400000000002</v>
      </c>
      <c r="I510">
        <v>7.484</v>
      </c>
      <c r="J510" t="s">
        <v>412</v>
      </c>
      <c r="K510">
        <v>0.3</v>
      </c>
      <c r="N510">
        <v>65</v>
      </c>
      <c r="O510">
        <v>65</v>
      </c>
      <c r="P510" t="s">
        <v>575</v>
      </c>
      <c r="Q510" t="s">
        <v>414</v>
      </c>
      <c r="S510">
        <v>3.23</v>
      </c>
      <c r="T510">
        <v>821.28899999999999</v>
      </c>
      <c r="U510">
        <v>358.49900000000002</v>
      </c>
      <c r="V510">
        <v>22.908999999999999</v>
      </c>
      <c r="W510" t="s">
        <v>488</v>
      </c>
      <c r="X510">
        <v>0.3</v>
      </c>
    </row>
    <row r="511" spans="1:24" x14ac:dyDescent="0.45">
      <c r="A511">
        <v>66</v>
      </c>
      <c r="B511">
        <v>66</v>
      </c>
      <c r="C511" t="s">
        <v>471</v>
      </c>
      <c r="D511" t="s">
        <v>414</v>
      </c>
      <c r="F511">
        <v>3.24</v>
      </c>
      <c r="G511">
        <v>291.03899999999999</v>
      </c>
      <c r="H511">
        <v>285.46499999999997</v>
      </c>
      <c r="I511">
        <v>10.195</v>
      </c>
      <c r="J511" t="s">
        <v>412</v>
      </c>
      <c r="K511">
        <v>0.3</v>
      </c>
      <c r="N511">
        <v>66</v>
      </c>
      <c r="O511">
        <v>66</v>
      </c>
      <c r="P511" t="s">
        <v>576</v>
      </c>
      <c r="Q511" t="s">
        <v>414</v>
      </c>
      <c r="S511">
        <v>3.23</v>
      </c>
      <c r="T511">
        <v>1693.9380000000001</v>
      </c>
      <c r="U511">
        <v>240.33099999999999</v>
      </c>
      <c r="V511">
        <v>70.483999999999995</v>
      </c>
      <c r="W511" t="s">
        <v>488</v>
      </c>
      <c r="X511">
        <v>0.8</v>
      </c>
    </row>
    <row r="512" spans="1:24" x14ac:dyDescent="0.45">
      <c r="A512">
        <v>67</v>
      </c>
      <c r="B512">
        <v>67</v>
      </c>
      <c r="C512" t="s">
        <v>472</v>
      </c>
      <c r="D512" t="s">
        <v>414</v>
      </c>
      <c r="F512">
        <v>3.24</v>
      </c>
      <c r="G512">
        <v>122.00700000000001</v>
      </c>
      <c r="H512">
        <v>139.47800000000001</v>
      </c>
      <c r="I512">
        <v>8.7469999999999999</v>
      </c>
      <c r="J512" t="s">
        <v>415</v>
      </c>
      <c r="K512">
        <v>0.3</v>
      </c>
      <c r="N512">
        <v>67</v>
      </c>
      <c r="O512">
        <v>67</v>
      </c>
      <c r="P512" t="s">
        <v>577</v>
      </c>
      <c r="Q512" t="s">
        <v>414</v>
      </c>
      <c r="S512">
        <v>3.23</v>
      </c>
      <c r="T512">
        <v>1152.135</v>
      </c>
      <c r="U512">
        <v>187.32400000000001</v>
      </c>
      <c r="V512">
        <v>61.505000000000003</v>
      </c>
      <c r="W512" t="s">
        <v>488</v>
      </c>
      <c r="X512">
        <v>0.7</v>
      </c>
    </row>
    <row r="513" spans="1:25" x14ac:dyDescent="0.45">
      <c r="A513">
        <v>68</v>
      </c>
      <c r="B513">
        <v>68</v>
      </c>
      <c r="C513" t="s">
        <v>473</v>
      </c>
      <c r="D513" t="s">
        <v>414</v>
      </c>
      <c r="F513">
        <v>3.24</v>
      </c>
      <c r="G513">
        <v>273.83999999999997</v>
      </c>
      <c r="H513">
        <v>214.83799999999999</v>
      </c>
      <c r="I513">
        <v>12.746</v>
      </c>
      <c r="J513" t="s">
        <v>415</v>
      </c>
      <c r="K513">
        <v>0.3</v>
      </c>
      <c r="N513">
        <v>68</v>
      </c>
      <c r="O513">
        <v>68</v>
      </c>
      <c r="P513" t="s">
        <v>578</v>
      </c>
      <c r="Q513" t="s">
        <v>414</v>
      </c>
      <c r="S513">
        <v>3.23</v>
      </c>
      <c r="T513">
        <v>355.63799999999998</v>
      </c>
      <c r="U513">
        <v>239.011</v>
      </c>
      <c r="V513">
        <v>14.88</v>
      </c>
      <c r="W513" t="s">
        <v>488</v>
      </c>
      <c r="X513">
        <v>0.2</v>
      </c>
    </row>
    <row r="514" spans="1:25" x14ac:dyDescent="0.45">
      <c r="A514">
        <v>69</v>
      </c>
      <c r="B514">
        <v>69</v>
      </c>
      <c r="C514" t="s">
        <v>474</v>
      </c>
      <c r="D514" t="s">
        <v>414</v>
      </c>
      <c r="F514">
        <v>3.29</v>
      </c>
      <c r="G514">
        <v>56.606000000000002</v>
      </c>
      <c r="H514">
        <v>306.74900000000002</v>
      </c>
      <c r="I514">
        <v>1.845</v>
      </c>
      <c r="J514" t="s">
        <v>412</v>
      </c>
      <c r="K514">
        <v>0.2</v>
      </c>
      <c r="N514">
        <v>69</v>
      </c>
      <c r="O514">
        <v>69</v>
      </c>
      <c r="P514" t="s">
        <v>579</v>
      </c>
      <c r="Q514" t="s">
        <v>414</v>
      </c>
      <c r="S514">
        <v>3.23</v>
      </c>
      <c r="T514">
        <v>276.68099999999998</v>
      </c>
      <c r="U514">
        <v>247.1</v>
      </c>
      <c r="V514">
        <v>11.196999999999999</v>
      </c>
      <c r="W514" t="s">
        <v>488</v>
      </c>
      <c r="X514">
        <v>0.2</v>
      </c>
    </row>
    <row r="516" spans="1:25" x14ac:dyDescent="0.45">
      <c r="A516" t="s">
        <v>492</v>
      </c>
      <c r="N516" t="s">
        <v>492</v>
      </c>
    </row>
    <row r="518" spans="1:25" x14ac:dyDescent="0.45">
      <c r="B518" t="s">
        <v>389</v>
      </c>
      <c r="C518" t="s">
        <v>123</v>
      </c>
      <c r="D518" t="s">
        <v>390</v>
      </c>
      <c r="E518" t="s">
        <v>391</v>
      </c>
      <c r="F518" t="s">
        <v>392</v>
      </c>
      <c r="G518" t="s">
        <v>393</v>
      </c>
      <c r="H518" t="s">
        <v>394</v>
      </c>
      <c r="I518" t="s">
        <v>395</v>
      </c>
      <c r="J518" t="s">
        <v>396</v>
      </c>
      <c r="K518" t="s">
        <v>397</v>
      </c>
      <c r="L518" t="s">
        <v>398</v>
      </c>
      <c r="O518" t="s">
        <v>389</v>
      </c>
      <c r="P518" t="s">
        <v>123</v>
      </c>
      <c r="Q518" t="s">
        <v>390</v>
      </c>
      <c r="R518" t="s">
        <v>391</v>
      </c>
      <c r="S518" t="s">
        <v>392</v>
      </c>
      <c r="T518" t="s">
        <v>393</v>
      </c>
      <c r="U518" t="s">
        <v>394</v>
      </c>
      <c r="V518" t="s">
        <v>395</v>
      </c>
      <c r="W518" t="s">
        <v>396</v>
      </c>
      <c r="X518" t="s">
        <v>397</v>
      </c>
      <c r="Y518" t="s">
        <v>398</v>
      </c>
    </row>
    <row r="519" spans="1:25" x14ac:dyDescent="0.45">
      <c r="A519">
        <v>1</v>
      </c>
      <c r="B519">
        <v>1</v>
      </c>
      <c r="C519" t="s">
        <v>399</v>
      </c>
      <c r="D519" t="s">
        <v>400</v>
      </c>
      <c r="E519">
        <v>0.05</v>
      </c>
      <c r="F519">
        <v>3.72</v>
      </c>
      <c r="G519">
        <v>109.756</v>
      </c>
      <c r="H519">
        <v>425.452</v>
      </c>
      <c r="I519">
        <v>2.58</v>
      </c>
      <c r="J519" t="s">
        <v>493</v>
      </c>
      <c r="K519">
        <v>0.7</v>
      </c>
      <c r="L519">
        <v>1339.7</v>
      </c>
      <c r="N519">
        <v>1</v>
      </c>
      <c r="O519">
        <v>1</v>
      </c>
      <c r="P519" t="s">
        <v>511</v>
      </c>
      <c r="Q519" t="s">
        <v>400</v>
      </c>
      <c r="R519">
        <v>0.05</v>
      </c>
      <c r="S519">
        <v>3.78</v>
      </c>
      <c r="T519">
        <v>29.431999999999999</v>
      </c>
      <c r="U519">
        <v>492.20699999999999</v>
      </c>
      <c r="V519">
        <v>0.59799999999999998</v>
      </c>
      <c r="W519" t="s">
        <v>580</v>
      </c>
    </row>
    <row r="520" spans="1:25" x14ac:dyDescent="0.45">
      <c r="A520">
        <v>2</v>
      </c>
      <c r="B520">
        <v>2</v>
      </c>
      <c r="C520" t="s">
        <v>402</v>
      </c>
      <c r="D520" t="s">
        <v>400</v>
      </c>
      <c r="E520">
        <v>0.5</v>
      </c>
      <c r="F520">
        <v>3.74</v>
      </c>
      <c r="G520">
        <v>387.21800000000002</v>
      </c>
      <c r="H520">
        <v>557.93299999999999</v>
      </c>
      <c r="I520">
        <v>6.94</v>
      </c>
      <c r="J520" t="s">
        <v>491</v>
      </c>
      <c r="K520">
        <v>1.3</v>
      </c>
      <c r="L520">
        <v>162.80000000000001</v>
      </c>
      <c r="N520">
        <v>2</v>
      </c>
      <c r="O520">
        <v>2</v>
      </c>
      <c r="P520" t="s">
        <v>512</v>
      </c>
      <c r="Q520" t="s">
        <v>400</v>
      </c>
      <c r="R520">
        <v>0.5</v>
      </c>
      <c r="S520">
        <v>3.72</v>
      </c>
      <c r="T520">
        <v>234.80600000000001</v>
      </c>
      <c r="U520">
        <v>697.90300000000002</v>
      </c>
      <c r="V520">
        <v>3.3639999999999999</v>
      </c>
      <c r="W520" t="s">
        <v>488</v>
      </c>
      <c r="X520">
        <v>0.2</v>
      </c>
      <c r="Y520">
        <v>-54</v>
      </c>
    </row>
    <row r="521" spans="1:25" x14ac:dyDescent="0.45">
      <c r="A521">
        <v>3</v>
      </c>
      <c r="B521">
        <v>3</v>
      </c>
      <c r="C521" t="s">
        <v>404</v>
      </c>
      <c r="D521" t="s">
        <v>400</v>
      </c>
      <c r="E521">
        <v>1.25</v>
      </c>
      <c r="F521">
        <v>3.74</v>
      </c>
      <c r="G521">
        <v>390.82100000000003</v>
      </c>
      <c r="H521">
        <v>499.94400000000002</v>
      </c>
      <c r="I521">
        <v>7.8170000000000002</v>
      </c>
      <c r="J521" t="s">
        <v>488</v>
      </c>
      <c r="K521">
        <v>1.4</v>
      </c>
      <c r="L521">
        <v>14.7</v>
      </c>
      <c r="N521">
        <v>3</v>
      </c>
      <c r="O521">
        <v>3</v>
      </c>
      <c r="P521" t="s">
        <v>513</v>
      </c>
      <c r="Q521" t="s">
        <v>400</v>
      </c>
      <c r="R521">
        <v>1.25</v>
      </c>
      <c r="S521">
        <v>3.73</v>
      </c>
      <c r="T521">
        <v>918.202</v>
      </c>
      <c r="U521">
        <v>836.52599999999995</v>
      </c>
      <c r="V521">
        <v>10.976000000000001</v>
      </c>
      <c r="W521" t="s">
        <v>401</v>
      </c>
      <c r="X521">
        <v>1.5</v>
      </c>
      <c r="Y521">
        <v>18.399999999999999</v>
      </c>
    </row>
    <row r="522" spans="1:25" x14ac:dyDescent="0.45">
      <c r="A522">
        <v>4</v>
      </c>
      <c r="B522">
        <v>4</v>
      </c>
      <c r="C522" t="s">
        <v>405</v>
      </c>
      <c r="D522" t="s">
        <v>400</v>
      </c>
      <c r="E522">
        <v>2.5</v>
      </c>
      <c r="F522">
        <v>3.74</v>
      </c>
      <c r="G522">
        <v>872.41399999999999</v>
      </c>
      <c r="H522">
        <v>626.25</v>
      </c>
      <c r="I522">
        <v>13.930999999999999</v>
      </c>
      <c r="J522" t="s">
        <v>401</v>
      </c>
      <c r="K522">
        <v>2.2999999999999998</v>
      </c>
      <c r="L522">
        <v>-9.4</v>
      </c>
      <c r="N522">
        <v>4</v>
      </c>
      <c r="O522">
        <v>4</v>
      </c>
      <c r="P522" t="s">
        <v>514</v>
      </c>
      <c r="Q522" t="s">
        <v>400</v>
      </c>
      <c r="R522">
        <v>2.5</v>
      </c>
      <c r="S522">
        <v>3.72</v>
      </c>
      <c r="T522">
        <v>798.18200000000002</v>
      </c>
      <c r="U522">
        <v>797.18600000000004</v>
      </c>
      <c r="V522">
        <v>10.012</v>
      </c>
      <c r="W522" t="s">
        <v>493</v>
      </c>
      <c r="X522">
        <v>1.3</v>
      </c>
      <c r="Y522">
        <v>-47.1</v>
      </c>
    </row>
    <row r="523" spans="1:25" x14ac:dyDescent="0.45">
      <c r="A523">
        <v>5</v>
      </c>
      <c r="B523">
        <v>5</v>
      </c>
      <c r="C523" t="s">
        <v>406</v>
      </c>
      <c r="D523" t="s">
        <v>400</v>
      </c>
      <c r="E523">
        <v>3.5</v>
      </c>
      <c r="F523">
        <v>3.74</v>
      </c>
      <c r="G523">
        <v>1409.098</v>
      </c>
      <c r="H523">
        <v>753.40099999999995</v>
      </c>
      <c r="I523">
        <v>18.702999999999999</v>
      </c>
      <c r="J523" t="s">
        <v>490</v>
      </c>
      <c r="K523">
        <v>2.9</v>
      </c>
      <c r="L523">
        <v>-16.7</v>
      </c>
      <c r="N523">
        <v>5</v>
      </c>
      <c r="O523">
        <v>5</v>
      </c>
      <c r="P523" t="s">
        <v>515</v>
      </c>
      <c r="Q523" t="s">
        <v>400</v>
      </c>
      <c r="R523">
        <v>3.5</v>
      </c>
      <c r="S523">
        <v>3.73</v>
      </c>
      <c r="T523">
        <v>1683.7260000000001</v>
      </c>
      <c r="U523">
        <v>692.947</v>
      </c>
      <c r="V523">
        <v>24.297999999999998</v>
      </c>
      <c r="W523" t="s">
        <v>403</v>
      </c>
      <c r="X523">
        <v>3.7</v>
      </c>
      <c r="Y523">
        <v>4.8</v>
      </c>
    </row>
    <row r="524" spans="1:25" x14ac:dyDescent="0.45">
      <c r="A524">
        <v>6</v>
      </c>
      <c r="B524">
        <v>6</v>
      </c>
      <c r="C524" t="s">
        <v>407</v>
      </c>
      <c r="D524" t="s">
        <v>400</v>
      </c>
      <c r="E524">
        <v>5</v>
      </c>
      <c r="F524">
        <v>3.74</v>
      </c>
      <c r="G524">
        <v>2718.89</v>
      </c>
      <c r="H524">
        <v>604.82799999999997</v>
      </c>
      <c r="I524">
        <v>44.953000000000003</v>
      </c>
      <c r="J524" t="s">
        <v>486</v>
      </c>
      <c r="K524">
        <v>6.5</v>
      </c>
      <c r="L524">
        <v>29.8</v>
      </c>
      <c r="N524">
        <v>6</v>
      </c>
      <c r="O524">
        <v>6</v>
      </c>
      <c r="P524" t="s">
        <v>516</v>
      </c>
      <c r="Q524" t="s">
        <v>400</v>
      </c>
      <c r="R524">
        <v>5</v>
      </c>
      <c r="S524">
        <v>3.73</v>
      </c>
      <c r="T524">
        <v>2635.9229999999998</v>
      </c>
      <c r="U524">
        <v>825.58399999999995</v>
      </c>
      <c r="V524">
        <v>31.928000000000001</v>
      </c>
      <c r="W524" t="s">
        <v>403</v>
      </c>
      <c r="X524">
        <v>4.9000000000000004</v>
      </c>
      <c r="Y524">
        <v>-1.6</v>
      </c>
    </row>
    <row r="525" spans="1:25" x14ac:dyDescent="0.45">
      <c r="A525">
        <v>7</v>
      </c>
      <c r="B525">
        <v>7</v>
      </c>
      <c r="C525" t="s">
        <v>408</v>
      </c>
      <c r="D525" t="s">
        <v>400</v>
      </c>
      <c r="E525">
        <v>7</v>
      </c>
      <c r="F525">
        <v>3.74</v>
      </c>
      <c r="G525">
        <v>2778.0360000000001</v>
      </c>
      <c r="H525">
        <v>566.21900000000005</v>
      </c>
      <c r="I525">
        <v>49.063000000000002</v>
      </c>
      <c r="J525" t="s">
        <v>488</v>
      </c>
      <c r="K525">
        <v>7.1</v>
      </c>
      <c r="L525">
        <v>0.7</v>
      </c>
      <c r="N525">
        <v>7</v>
      </c>
      <c r="O525">
        <v>7</v>
      </c>
      <c r="P525" t="s">
        <v>517</v>
      </c>
      <c r="Q525" t="s">
        <v>400</v>
      </c>
      <c r="R525">
        <v>7</v>
      </c>
      <c r="S525">
        <v>3.73</v>
      </c>
      <c r="T525">
        <v>3392.096</v>
      </c>
      <c r="U525">
        <v>766.04600000000005</v>
      </c>
      <c r="V525">
        <v>44.280999999999999</v>
      </c>
      <c r="W525" t="s">
        <v>488</v>
      </c>
      <c r="X525">
        <v>7</v>
      </c>
      <c r="Y525">
        <v>-0.7</v>
      </c>
    </row>
    <row r="526" spans="1:25" x14ac:dyDescent="0.45">
      <c r="A526">
        <v>8</v>
      </c>
      <c r="B526">
        <v>8</v>
      </c>
      <c r="C526" t="s">
        <v>409</v>
      </c>
      <c r="D526" t="s">
        <v>410</v>
      </c>
      <c r="F526">
        <v>3.77</v>
      </c>
      <c r="G526">
        <v>38.380000000000003</v>
      </c>
      <c r="H526">
        <v>79.378</v>
      </c>
      <c r="I526">
        <v>4.835</v>
      </c>
      <c r="J526" t="s">
        <v>412</v>
      </c>
      <c r="K526">
        <v>1</v>
      </c>
      <c r="N526">
        <v>8</v>
      </c>
      <c r="O526">
        <v>8</v>
      </c>
      <c r="P526" t="s">
        <v>518</v>
      </c>
      <c r="Q526" t="s">
        <v>410</v>
      </c>
      <c r="S526">
        <v>3.8</v>
      </c>
      <c r="T526">
        <v>16.393999999999998</v>
      </c>
      <c r="W526" t="s">
        <v>412</v>
      </c>
    </row>
    <row r="527" spans="1:25" x14ac:dyDescent="0.45">
      <c r="A527">
        <v>9</v>
      </c>
      <c r="B527">
        <v>9</v>
      </c>
      <c r="C527" t="s">
        <v>411</v>
      </c>
      <c r="D527" t="s">
        <v>410</v>
      </c>
      <c r="F527">
        <v>3.9</v>
      </c>
      <c r="G527">
        <v>44.542999999999999</v>
      </c>
      <c r="H527">
        <v>94.721999999999994</v>
      </c>
      <c r="I527">
        <v>4.702</v>
      </c>
      <c r="J527" t="s">
        <v>401</v>
      </c>
      <c r="K527">
        <v>1</v>
      </c>
      <c r="N527">
        <v>9</v>
      </c>
      <c r="O527">
        <v>9</v>
      </c>
      <c r="P527" t="s">
        <v>519</v>
      </c>
      <c r="Q527" t="s">
        <v>410</v>
      </c>
      <c r="S527">
        <v>3.83</v>
      </c>
      <c r="T527">
        <v>111.42700000000001</v>
      </c>
      <c r="W527" t="s">
        <v>403</v>
      </c>
    </row>
    <row r="528" spans="1:25" x14ac:dyDescent="0.45">
      <c r="A528">
        <v>10</v>
      </c>
      <c r="B528">
        <v>10</v>
      </c>
      <c r="C528" t="s">
        <v>413</v>
      </c>
      <c r="D528" t="s">
        <v>414</v>
      </c>
      <c r="F528">
        <v>3.74</v>
      </c>
      <c r="G528">
        <v>8389.9969999999994</v>
      </c>
      <c r="H528">
        <v>400.42899999999997</v>
      </c>
      <c r="I528">
        <v>209.52500000000001</v>
      </c>
      <c r="J528" t="s">
        <v>401</v>
      </c>
      <c r="K528">
        <v>28.9</v>
      </c>
      <c r="N528">
        <v>10</v>
      </c>
      <c r="O528">
        <v>10</v>
      </c>
      <c r="P528" t="s">
        <v>520</v>
      </c>
      <c r="Q528" t="s">
        <v>414</v>
      </c>
      <c r="S528">
        <v>3.73</v>
      </c>
      <c r="T528">
        <v>19624.143</v>
      </c>
      <c r="U528">
        <v>759.46799999999996</v>
      </c>
      <c r="V528">
        <v>258.39299999999997</v>
      </c>
      <c r="W528" t="s">
        <v>403</v>
      </c>
      <c r="X528">
        <v>42.1</v>
      </c>
    </row>
    <row r="529" spans="1:24" x14ac:dyDescent="0.45">
      <c r="A529">
        <v>11</v>
      </c>
      <c r="B529">
        <v>11</v>
      </c>
      <c r="C529" t="s">
        <v>416</v>
      </c>
      <c r="D529" t="s">
        <v>414</v>
      </c>
      <c r="F529">
        <v>3.74</v>
      </c>
      <c r="G529">
        <v>6649.3050000000003</v>
      </c>
      <c r="H529">
        <v>484.30900000000003</v>
      </c>
      <c r="I529">
        <v>137.29499999999999</v>
      </c>
      <c r="J529" t="s">
        <v>488</v>
      </c>
      <c r="K529">
        <v>19.100000000000001</v>
      </c>
      <c r="N529">
        <v>11</v>
      </c>
      <c r="O529">
        <v>11</v>
      </c>
      <c r="P529" t="s">
        <v>521</v>
      </c>
      <c r="Q529" t="s">
        <v>414</v>
      </c>
      <c r="S529">
        <v>3.73</v>
      </c>
      <c r="T529">
        <v>11071.376</v>
      </c>
      <c r="U529">
        <v>275.79000000000002</v>
      </c>
      <c r="V529">
        <v>401.44200000000001</v>
      </c>
      <c r="W529" t="s">
        <v>401</v>
      </c>
      <c r="X529">
        <v>65.599999999999994</v>
      </c>
    </row>
    <row r="530" spans="1:24" x14ac:dyDescent="0.45">
      <c r="A530">
        <v>12</v>
      </c>
      <c r="B530">
        <v>12</v>
      </c>
      <c r="C530" t="s">
        <v>417</v>
      </c>
      <c r="D530" t="s">
        <v>414</v>
      </c>
      <c r="F530">
        <v>3.74</v>
      </c>
      <c r="G530">
        <v>3032.1550000000002</v>
      </c>
      <c r="H530">
        <v>386.84800000000001</v>
      </c>
      <c r="I530">
        <v>78.381</v>
      </c>
      <c r="J530" t="s">
        <v>488</v>
      </c>
      <c r="K530">
        <v>11</v>
      </c>
      <c r="N530">
        <v>12</v>
      </c>
      <c r="O530">
        <v>12</v>
      </c>
      <c r="P530" t="s">
        <v>522</v>
      </c>
      <c r="Q530" t="s">
        <v>414</v>
      </c>
      <c r="S530">
        <v>3.73</v>
      </c>
      <c r="T530">
        <v>4612.1559999999999</v>
      </c>
      <c r="U530">
        <v>216.25</v>
      </c>
      <c r="V530">
        <v>213.279</v>
      </c>
      <c r="W530" t="s">
        <v>488</v>
      </c>
      <c r="X530">
        <v>34.700000000000003</v>
      </c>
    </row>
    <row r="531" spans="1:24" x14ac:dyDescent="0.45">
      <c r="A531">
        <v>13</v>
      </c>
      <c r="B531">
        <v>13</v>
      </c>
      <c r="C531" t="s">
        <v>418</v>
      </c>
      <c r="D531" t="s">
        <v>414</v>
      </c>
      <c r="F531">
        <v>3.74</v>
      </c>
      <c r="G531">
        <v>5060.9579999999996</v>
      </c>
      <c r="H531">
        <v>276.35599999999999</v>
      </c>
      <c r="I531">
        <v>183.13200000000001</v>
      </c>
      <c r="J531" t="s">
        <v>403</v>
      </c>
      <c r="K531">
        <v>25.3</v>
      </c>
      <c r="N531">
        <v>13</v>
      </c>
      <c r="O531">
        <v>13</v>
      </c>
      <c r="P531" t="s">
        <v>523</v>
      </c>
      <c r="Q531" t="s">
        <v>414</v>
      </c>
      <c r="S531">
        <v>3.73</v>
      </c>
      <c r="T531">
        <v>5731.0559999999996</v>
      </c>
      <c r="U531">
        <v>447.02699999999999</v>
      </c>
      <c r="V531">
        <v>128.20400000000001</v>
      </c>
      <c r="W531" t="s">
        <v>401</v>
      </c>
      <c r="X531">
        <v>20.7</v>
      </c>
    </row>
    <row r="532" spans="1:24" x14ac:dyDescent="0.45">
      <c r="A532">
        <v>14</v>
      </c>
      <c r="B532">
        <v>14</v>
      </c>
      <c r="C532" t="s">
        <v>419</v>
      </c>
      <c r="D532" t="s">
        <v>414</v>
      </c>
      <c r="F532">
        <v>3.74</v>
      </c>
      <c r="G532">
        <v>2960.375</v>
      </c>
      <c r="H532">
        <v>383.303</v>
      </c>
      <c r="I532">
        <v>77.233000000000004</v>
      </c>
      <c r="J532" t="s">
        <v>488</v>
      </c>
      <c r="K532">
        <v>10.9</v>
      </c>
      <c r="N532">
        <v>14</v>
      </c>
      <c r="O532">
        <v>14</v>
      </c>
      <c r="P532" t="s">
        <v>524</v>
      </c>
      <c r="Q532" t="s">
        <v>414</v>
      </c>
      <c r="S532">
        <v>3.73</v>
      </c>
      <c r="T532">
        <v>6294.1629999999996</v>
      </c>
      <c r="U532">
        <v>256.33699999999999</v>
      </c>
      <c r="V532">
        <v>245.54300000000001</v>
      </c>
      <c r="W532" t="s">
        <v>415</v>
      </c>
      <c r="X532">
        <v>40</v>
      </c>
    </row>
    <row r="533" spans="1:24" x14ac:dyDescent="0.45">
      <c r="A533">
        <v>15</v>
      </c>
      <c r="B533">
        <v>15</v>
      </c>
      <c r="C533" t="s">
        <v>420</v>
      </c>
      <c r="D533" t="s">
        <v>414</v>
      </c>
      <c r="F533">
        <v>3.74</v>
      </c>
      <c r="G533">
        <v>7974.2560000000003</v>
      </c>
      <c r="H533">
        <v>534.64200000000005</v>
      </c>
      <c r="I533">
        <v>149.15100000000001</v>
      </c>
      <c r="J533" t="s">
        <v>415</v>
      </c>
      <c r="K533">
        <v>20.7</v>
      </c>
      <c r="N533">
        <v>15</v>
      </c>
      <c r="O533">
        <v>15</v>
      </c>
      <c r="P533" t="s">
        <v>525</v>
      </c>
      <c r="Q533" t="s">
        <v>414</v>
      </c>
      <c r="S533">
        <v>3.73</v>
      </c>
      <c r="T533">
        <v>5747.1009999999997</v>
      </c>
      <c r="U533">
        <v>272.14600000000002</v>
      </c>
      <c r="V533">
        <v>211.17699999999999</v>
      </c>
      <c r="W533" t="s">
        <v>488</v>
      </c>
      <c r="X533">
        <v>34.4</v>
      </c>
    </row>
    <row r="534" spans="1:24" x14ac:dyDescent="0.45">
      <c r="A534">
        <v>16</v>
      </c>
      <c r="B534">
        <v>16</v>
      </c>
      <c r="C534" t="s">
        <v>421</v>
      </c>
      <c r="D534" t="s">
        <v>414</v>
      </c>
      <c r="F534">
        <v>3.74</v>
      </c>
      <c r="G534">
        <v>6667.3689999999997</v>
      </c>
      <c r="H534">
        <v>445.63600000000002</v>
      </c>
      <c r="I534">
        <v>149.61500000000001</v>
      </c>
      <c r="J534" t="s">
        <v>488</v>
      </c>
      <c r="K534">
        <v>20.7</v>
      </c>
      <c r="N534">
        <v>16</v>
      </c>
      <c r="O534">
        <v>16</v>
      </c>
      <c r="P534" t="s">
        <v>526</v>
      </c>
      <c r="Q534" t="s">
        <v>414</v>
      </c>
      <c r="S534">
        <v>3.73</v>
      </c>
      <c r="T534">
        <v>4987.2520000000004</v>
      </c>
      <c r="U534">
        <v>416.43</v>
      </c>
      <c r="V534">
        <v>119.762</v>
      </c>
      <c r="W534" t="s">
        <v>415</v>
      </c>
      <c r="X534">
        <v>19.3</v>
      </c>
    </row>
    <row r="535" spans="1:24" x14ac:dyDescent="0.45">
      <c r="A535">
        <v>17</v>
      </c>
      <c r="B535">
        <v>17</v>
      </c>
      <c r="C535" t="s">
        <v>422</v>
      </c>
      <c r="D535" t="s">
        <v>414</v>
      </c>
      <c r="F535">
        <v>3.74</v>
      </c>
      <c r="G535">
        <v>4647.1279999999997</v>
      </c>
      <c r="H535">
        <v>315.65899999999999</v>
      </c>
      <c r="I535">
        <v>147.22</v>
      </c>
      <c r="J535" t="s">
        <v>415</v>
      </c>
      <c r="K535">
        <v>20.399999999999999</v>
      </c>
      <c r="N535">
        <v>17</v>
      </c>
      <c r="O535">
        <v>17</v>
      </c>
      <c r="P535" t="s">
        <v>527</v>
      </c>
      <c r="Q535" t="s">
        <v>414</v>
      </c>
      <c r="S535">
        <v>3.73</v>
      </c>
      <c r="T535">
        <v>3510.4409999999998</v>
      </c>
      <c r="U535">
        <v>250.98099999999999</v>
      </c>
      <c r="V535">
        <v>139.869</v>
      </c>
      <c r="W535" t="s">
        <v>488</v>
      </c>
      <c r="X535">
        <v>22.7</v>
      </c>
    </row>
    <row r="536" spans="1:24" x14ac:dyDescent="0.45">
      <c r="A536">
        <v>18</v>
      </c>
      <c r="B536">
        <v>18</v>
      </c>
      <c r="C536" t="s">
        <v>423</v>
      </c>
      <c r="D536" t="s">
        <v>414</v>
      </c>
      <c r="F536">
        <v>3.74</v>
      </c>
      <c r="G536">
        <v>5496.0029999999997</v>
      </c>
      <c r="H536">
        <v>433.738</v>
      </c>
      <c r="I536">
        <v>126.71299999999999</v>
      </c>
      <c r="J536" t="s">
        <v>401</v>
      </c>
      <c r="K536">
        <v>17.600000000000001</v>
      </c>
      <c r="N536">
        <v>18</v>
      </c>
      <c r="O536">
        <v>18</v>
      </c>
      <c r="P536" t="s">
        <v>528</v>
      </c>
      <c r="Q536" t="s">
        <v>414</v>
      </c>
      <c r="S536">
        <v>3.73</v>
      </c>
      <c r="T536">
        <v>11013.316999999999</v>
      </c>
      <c r="U536">
        <v>427.642</v>
      </c>
      <c r="V536">
        <v>257.536</v>
      </c>
      <c r="W536" t="s">
        <v>488</v>
      </c>
      <c r="X536">
        <v>42</v>
      </c>
    </row>
    <row r="537" spans="1:24" x14ac:dyDescent="0.45">
      <c r="A537">
        <v>19</v>
      </c>
      <c r="B537">
        <v>19</v>
      </c>
      <c r="C537" t="s">
        <v>424</v>
      </c>
      <c r="D537" t="s">
        <v>414</v>
      </c>
      <c r="F537">
        <v>3.74</v>
      </c>
      <c r="G537">
        <v>10533.803</v>
      </c>
      <c r="H537">
        <v>474.37099999999998</v>
      </c>
      <c r="I537">
        <v>222.05799999999999</v>
      </c>
      <c r="J537" t="s">
        <v>401</v>
      </c>
      <c r="K537">
        <v>30.6</v>
      </c>
      <c r="N537">
        <v>19</v>
      </c>
      <c r="O537">
        <v>19</v>
      </c>
      <c r="P537" t="s">
        <v>529</v>
      </c>
      <c r="Q537" t="s">
        <v>414</v>
      </c>
      <c r="S537">
        <v>3.73</v>
      </c>
      <c r="T537">
        <v>26314.175999999999</v>
      </c>
      <c r="U537">
        <v>646.45399999999995</v>
      </c>
      <c r="V537">
        <v>407.05399999999997</v>
      </c>
      <c r="W537" t="s">
        <v>403</v>
      </c>
      <c r="X537">
        <v>66.5</v>
      </c>
    </row>
    <row r="538" spans="1:24" x14ac:dyDescent="0.45">
      <c r="A538">
        <v>20</v>
      </c>
      <c r="B538">
        <v>20</v>
      </c>
      <c r="C538" t="s">
        <v>425</v>
      </c>
      <c r="D538" t="s">
        <v>414</v>
      </c>
      <c r="F538">
        <v>3.74</v>
      </c>
      <c r="G538">
        <v>5398.8879999999999</v>
      </c>
      <c r="H538">
        <v>307.74599999999998</v>
      </c>
      <c r="I538">
        <v>175.43299999999999</v>
      </c>
      <c r="J538" t="s">
        <v>401</v>
      </c>
      <c r="K538">
        <v>24.3</v>
      </c>
      <c r="N538">
        <v>20</v>
      </c>
      <c r="O538">
        <v>20</v>
      </c>
      <c r="P538" t="s">
        <v>530</v>
      </c>
      <c r="Q538" t="s">
        <v>414</v>
      </c>
      <c r="S538">
        <v>3.73</v>
      </c>
      <c r="T538">
        <v>4799.2340000000004</v>
      </c>
      <c r="U538">
        <v>305.435</v>
      </c>
      <c r="V538">
        <v>157.12799999999999</v>
      </c>
      <c r="W538" t="s">
        <v>488</v>
      </c>
      <c r="X538">
        <v>25.5</v>
      </c>
    </row>
    <row r="539" spans="1:24" x14ac:dyDescent="0.45">
      <c r="A539">
        <v>21</v>
      </c>
      <c r="B539">
        <v>21</v>
      </c>
      <c r="C539" t="s">
        <v>426</v>
      </c>
      <c r="D539" t="s">
        <v>414</v>
      </c>
      <c r="F539">
        <v>3.74</v>
      </c>
      <c r="G539">
        <v>7053.6369999999997</v>
      </c>
      <c r="H539">
        <v>405.97199999999998</v>
      </c>
      <c r="I539">
        <v>173.74700000000001</v>
      </c>
      <c r="J539" t="s">
        <v>488</v>
      </c>
      <c r="K539">
        <v>24</v>
      </c>
      <c r="N539">
        <v>21</v>
      </c>
      <c r="O539">
        <v>21</v>
      </c>
      <c r="P539" t="s">
        <v>531</v>
      </c>
      <c r="Q539" t="s">
        <v>414</v>
      </c>
      <c r="S539">
        <v>3.73</v>
      </c>
      <c r="T539">
        <v>6769.8680000000004</v>
      </c>
      <c r="U539">
        <v>285.18700000000001</v>
      </c>
      <c r="V539">
        <v>237.38300000000001</v>
      </c>
      <c r="W539" t="s">
        <v>403</v>
      </c>
      <c r="X539">
        <v>38.700000000000003</v>
      </c>
    </row>
    <row r="540" spans="1:24" x14ac:dyDescent="0.45">
      <c r="A540">
        <v>22</v>
      </c>
      <c r="B540">
        <v>22</v>
      </c>
      <c r="C540" t="s">
        <v>427</v>
      </c>
      <c r="D540" t="s">
        <v>414</v>
      </c>
      <c r="F540">
        <v>3.74</v>
      </c>
      <c r="G540">
        <v>5507.4889999999996</v>
      </c>
      <c r="H540">
        <v>285.07900000000001</v>
      </c>
      <c r="I540">
        <v>193.19200000000001</v>
      </c>
      <c r="J540" t="s">
        <v>401</v>
      </c>
      <c r="K540">
        <v>26.7</v>
      </c>
      <c r="N540">
        <v>22</v>
      </c>
      <c r="O540">
        <v>22</v>
      </c>
      <c r="P540" t="s">
        <v>532</v>
      </c>
      <c r="Q540" t="s">
        <v>414</v>
      </c>
      <c r="S540">
        <v>3.73</v>
      </c>
      <c r="T540">
        <v>6113.6049999999996</v>
      </c>
      <c r="U540">
        <v>305.52300000000002</v>
      </c>
      <c r="V540">
        <v>200.10300000000001</v>
      </c>
      <c r="W540" t="s">
        <v>488</v>
      </c>
      <c r="X540">
        <v>32.5</v>
      </c>
    </row>
    <row r="541" spans="1:24" x14ac:dyDescent="0.45">
      <c r="A541">
        <v>23</v>
      </c>
      <c r="B541">
        <v>23</v>
      </c>
      <c r="C541" t="s">
        <v>428</v>
      </c>
      <c r="D541" t="s">
        <v>414</v>
      </c>
      <c r="F541">
        <v>3.74</v>
      </c>
      <c r="G541">
        <v>7643.0360000000001</v>
      </c>
      <c r="H541">
        <v>310.82499999999999</v>
      </c>
      <c r="I541">
        <v>245.89500000000001</v>
      </c>
      <c r="J541" t="s">
        <v>401</v>
      </c>
      <c r="K541">
        <v>33.9</v>
      </c>
      <c r="N541">
        <v>23</v>
      </c>
      <c r="O541">
        <v>23</v>
      </c>
      <c r="P541" t="s">
        <v>533</v>
      </c>
      <c r="Q541" t="s">
        <v>414</v>
      </c>
      <c r="S541">
        <v>3.73</v>
      </c>
      <c r="T541">
        <v>11731.87</v>
      </c>
      <c r="U541">
        <v>455.363</v>
      </c>
      <c r="V541">
        <v>257.63799999999998</v>
      </c>
      <c r="W541" t="s">
        <v>401</v>
      </c>
      <c r="X541">
        <v>42</v>
      </c>
    </row>
    <row r="542" spans="1:24" x14ac:dyDescent="0.45">
      <c r="A542">
        <v>24</v>
      </c>
      <c r="B542">
        <v>24</v>
      </c>
      <c r="C542" t="s">
        <v>429</v>
      </c>
      <c r="D542" t="s">
        <v>414</v>
      </c>
      <c r="F542">
        <v>3.74</v>
      </c>
      <c r="G542">
        <v>7074.1530000000002</v>
      </c>
      <c r="H542">
        <v>399.87200000000001</v>
      </c>
      <c r="I542">
        <v>176.91</v>
      </c>
      <c r="J542" t="s">
        <v>401</v>
      </c>
      <c r="K542">
        <v>24.5</v>
      </c>
      <c r="N542">
        <v>24</v>
      </c>
      <c r="O542">
        <v>24</v>
      </c>
      <c r="P542" t="s">
        <v>534</v>
      </c>
      <c r="Q542" t="s">
        <v>414</v>
      </c>
      <c r="S542">
        <v>3.73</v>
      </c>
      <c r="T542">
        <v>11513.607</v>
      </c>
      <c r="U542">
        <v>322.57600000000002</v>
      </c>
      <c r="V542">
        <v>356.92700000000002</v>
      </c>
      <c r="W542" t="s">
        <v>401</v>
      </c>
      <c r="X542">
        <v>58.3</v>
      </c>
    </row>
    <row r="543" spans="1:24" x14ac:dyDescent="0.45">
      <c r="A543">
        <v>25</v>
      </c>
      <c r="B543">
        <v>25</v>
      </c>
      <c r="C543" t="s">
        <v>430</v>
      </c>
      <c r="D543" t="s">
        <v>414</v>
      </c>
      <c r="F543">
        <v>3.73</v>
      </c>
      <c r="G543">
        <v>10828.473</v>
      </c>
      <c r="H543">
        <v>340.77699999999999</v>
      </c>
      <c r="I543">
        <v>317.75799999999998</v>
      </c>
      <c r="J543" t="s">
        <v>415</v>
      </c>
      <c r="K543">
        <v>43.6</v>
      </c>
      <c r="N543">
        <v>25</v>
      </c>
      <c r="O543">
        <v>25</v>
      </c>
      <c r="P543" t="s">
        <v>535</v>
      </c>
      <c r="Q543" t="s">
        <v>414</v>
      </c>
      <c r="S543">
        <v>3.73</v>
      </c>
      <c r="T543">
        <v>32442.208999999999</v>
      </c>
      <c r="U543">
        <v>544.57399999999996</v>
      </c>
      <c r="V543">
        <v>595.73599999999999</v>
      </c>
      <c r="W543" t="s">
        <v>403</v>
      </c>
      <c r="X543">
        <v>97.5</v>
      </c>
    </row>
    <row r="544" spans="1:24" x14ac:dyDescent="0.45">
      <c r="A544">
        <v>26</v>
      </c>
      <c r="B544">
        <v>26</v>
      </c>
      <c r="C544" t="s">
        <v>431</v>
      </c>
      <c r="D544" t="s">
        <v>414</v>
      </c>
      <c r="F544">
        <v>3.73</v>
      </c>
      <c r="G544">
        <v>3796.058</v>
      </c>
      <c r="H544">
        <v>296.988</v>
      </c>
      <c r="I544">
        <v>127.819</v>
      </c>
      <c r="J544" t="s">
        <v>403</v>
      </c>
      <c r="K544">
        <v>17.8</v>
      </c>
      <c r="N544">
        <v>26</v>
      </c>
      <c r="O544">
        <v>26</v>
      </c>
      <c r="P544" t="s">
        <v>536</v>
      </c>
      <c r="Q544" t="s">
        <v>414</v>
      </c>
      <c r="S544">
        <v>3.73</v>
      </c>
      <c r="T544">
        <v>9797.6409999999996</v>
      </c>
      <c r="U544">
        <v>270.40100000000001</v>
      </c>
      <c r="V544">
        <v>362.33699999999999</v>
      </c>
      <c r="W544" t="s">
        <v>403</v>
      </c>
      <c r="X544">
        <v>59.2</v>
      </c>
    </row>
    <row r="545" spans="1:24" x14ac:dyDescent="0.45">
      <c r="A545">
        <v>27</v>
      </c>
      <c r="B545">
        <v>27</v>
      </c>
      <c r="C545" t="s">
        <v>432</v>
      </c>
      <c r="D545" t="s">
        <v>414</v>
      </c>
      <c r="F545">
        <v>3.73</v>
      </c>
      <c r="G545">
        <v>5860.7709999999997</v>
      </c>
      <c r="H545">
        <v>340.28100000000001</v>
      </c>
      <c r="I545">
        <v>172.233</v>
      </c>
      <c r="J545" t="s">
        <v>401</v>
      </c>
      <c r="K545">
        <v>23.8</v>
      </c>
      <c r="N545">
        <v>27</v>
      </c>
      <c r="O545">
        <v>27</v>
      </c>
      <c r="P545" t="s">
        <v>537</v>
      </c>
      <c r="Q545" t="s">
        <v>414</v>
      </c>
      <c r="S545">
        <v>3.73</v>
      </c>
      <c r="T545">
        <v>6184.2209999999995</v>
      </c>
      <c r="U545">
        <v>224.08600000000001</v>
      </c>
      <c r="V545">
        <v>275.97500000000002</v>
      </c>
      <c r="W545" t="s">
        <v>403</v>
      </c>
      <c r="X545">
        <v>45</v>
      </c>
    </row>
    <row r="546" spans="1:24" x14ac:dyDescent="0.45">
      <c r="A546">
        <v>28</v>
      </c>
      <c r="B546">
        <v>28</v>
      </c>
      <c r="C546" t="s">
        <v>433</v>
      </c>
      <c r="D546" t="s">
        <v>414</v>
      </c>
      <c r="F546">
        <v>3.73</v>
      </c>
      <c r="G546">
        <v>7182.3639999999996</v>
      </c>
      <c r="H546">
        <v>358.56099999999998</v>
      </c>
      <c r="I546">
        <v>200.31100000000001</v>
      </c>
      <c r="J546" t="s">
        <v>415</v>
      </c>
      <c r="K546">
        <v>27.7</v>
      </c>
      <c r="N546">
        <v>28</v>
      </c>
      <c r="O546">
        <v>28</v>
      </c>
      <c r="P546" t="s">
        <v>538</v>
      </c>
      <c r="Q546" t="s">
        <v>414</v>
      </c>
      <c r="S546">
        <v>3.73</v>
      </c>
      <c r="T546">
        <v>13201.963</v>
      </c>
      <c r="U546">
        <v>289.82600000000002</v>
      </c>
      <c r="V546">
        <v>455.51299999999998</v>
      </c>
      <c r="W546" t="s">
        <v>403</v>
      </c>
      <c r="X546">
        <v>74.5</v>
      </c>
    </row>
    <row r="547" spans="1:24" x14ac:dyDescent="0.45">
      <c r="A547">
        <v>29</v>
      </c>
      <c r="B547">
        <v>29</v>
      </c>
      <c r="C547" t="s">
        <v>434</v>
      </c>
      <c r="D547" t="s">
        <v>414</v>
      </c>
      <c r="F547">
        <v>3.73</v>
      </c>
      <c r="G547">
        <v>6366.7610000000004</v>
      </c>
      <c r="H547">
        <v>301.74599999999998</v>
      </c>
      <c r="I547">
        <v>210.99700000000001</v>
      </c>
      <c r="J547" t="s">
        <v>401</v>
      </c>
      <c r="K547">
        <v>29.1</v>
      </c>
      <c r="N547">
        <v>29</v>
      </c>
      <c r="O547">
        <v>29</v>
      </c>
      <c r="P547" t="s">
        <v>539</v>
      </c>
      <c r="Q547" t="s">
        <v>414</v>
      </c>
      <c r="S547">
        <v>3.73</v>
      </c>
      <c r="T547">
        <v>25128.451000000001</v>
      </c>
      <c r="U547">
        <v>386.952</v>
      </c>
      <c r="V547">
        <v>649.39499999999998</v>
      </c>
      <c r="W547" t="s">
        <v>401</v>
      </c>
      <c r="X547">
        <v>106.3</v>
      </c>
    </row>
    <row r="548" spans="1:24" x14ac:dyDescent="0.45">
      <c r="A548">
        <v>30</v>
      </c>
      <c r="B548">
        <v>30</v>
      </c>
      <c r="C548" t="s">
        <v>435</v>
      </c>
      <c r="D548" t="s">
        <v>414</v>
      </c>
      <c r="F548">
        <v>3.74</v>
      </c>
      <c r="G548">
        <v>4033.1379999999999</v>
      </c>
      <c r="H548">
        <v>214.46299999999999</v>
      </c>
      <c r="I548">
        <v>188.05799999999999</v>
      </c>
      <c r="J548" t="s">
        <v>401</v>
      </c>
      <c r="K548">
        <v>26</v>
      </c>
      <c r="N548">
        <v>30</v>
      </c>
      <c r="O548">
        <v>30</v>
      </c>
      <c r="P548" t="s">
        <v>540</v>
      </c>
      <c r="Q548" t="s">
        <v>414</v>
      </c>
      <c r="S548">
        <v>3.73</v>
      </c>
      <c r="T548">
        <v>11762.081</v>
      </c>
      <c r="U548">
        <v>452.00099999999998</v>
      </c>
      <c r="V548">
        <v>260.22199999999998</v>
      </c>
      <c r="W548" t="s">
        <v>488</v>
      </c>
      <c r="X548">
        <v>42.4</v>
      </c>
    </row>
    <row r="549" spans="1:24" x14ac:dyDescent="0.45">
      <c r="A549">
        <v>31</v>
      </c>
      <c r="B549">
        <v>31</v>
      </c>
      <c r="C549" t="s">
        <v>436</v>
      </c>
      <c r="D549" t="s">
        <v>414</v>
      </c>
      <c r="F549">
        <v>3.73</v>
      </c>
      <c r="G549">
        <v>2405.491</v>
      </c>
      <c r="H549">
        <v>314.22899999999998</v>
      </c>
      <c r="I549">
        <v>76.552000000000007</v>
      </c>
      <c r="J549" t="s">
        <v>403</v>
      </c>
      <c r="K549">
        <v>10.8</v>
      </c>
      <c r="N549">
        <v>31</v>
      </c>
      <c r="O549">
        <v>31</v>
      </c>
      <c r="P549" t="s">
        <v>541</v>
      </c>
      <c r="Q549" t="s">
        <v>414</v>
      </c>
      <c r="S549">
        <v>3.73</v>
      </c>
      <c r="T549">
        <v>11833.911</v>
      </c>
      <c r="U549">
        <v>318.43700000000001</v>
      </c>
      <c r="V549">
        <v>371.625</v>
      </c>
      <c r="W549" t="s">
        <v>403</v>
      </c>
      <c r="X549">
        <v>60.7</v>
      </c>
    </row>
    <row r="550" spans="1:24" x14ac:dyDescent="0.45">
      <c r="A550">
        <v>32</v>
      </c>
      <c r="B550">
        <v>32</v>
      </c>
      <c r="C550" t="s">
        <v>437</v>
      </c>
      <c r="D550" t="s">
        <v>414</v>
      </c>
      <c r="F550">
        <v>3.73</v>
      </c>
      <c r="G550">
        <v>4416.1319999999996</v>
      </c>
      <c r="H550">
        <v>143.69300000000001</v>
      </c>
      <c r="I550">
        <v>307.33100000000002</v>
      </c>
      <c r="J550" t="s">
        <v>401</v>
      </c>
      <c r="K550">
        <v>42.2</v>
      </c>
      <c r="N550">
        <v>32</v>
      </c>
      <c r="O550">
        <v>32</v>
      </c>
      <c r="P550" t="s">
        <v>542</v>
      </c>
      <c r="Q550" t="s">
        <v>414</v>
      </c>
      <c r="S550">
        <v>3.73</v>
      </c>
      <c r="T550">
        <v>13371.571</v>
      </c>
      <c r="U550">
        <v>323.53300000000002</v>
      </c>
      <c r="V550">
        <v>413.29899999999998</v>
      </c>
      <c r="W550" t="s">
        <v>401</v>
      </c>
      <c r="X550">
        <v>67.599999999999994</v>
      </c>
    </row>
    <row r="551" spans="1:24" x14ac:dyDescent="0.45">
      <c r="A551">
        <v>33</v>
      </c>
      <c r="B551">
        <v>33</v>
      </c>
      <c r="C551" t="s">
        <v>438</v>
      </c>
      <c r="D551" t="s">
        <v>414</v>
      </c>
      <c r="F551">
        <v>3.81</v>
      </c>
      <c r="G551">
        <v>287.32100000000003</v>
      </c>
      <c r="H551">
        <v>278.27</v>
      </c>
      <c r="I551">
        <v>10.324999999999999</v>
      </c>
      <c r="J551" t="s">
        <v>403</v>
      </c>
      <c r="K551">
        <v>1.8</v>
      </c>
      <c r="N551">
        <v>33</v>
      </c>
      <c r="O551">
        <v>33</v>
      </c>
      <c r="P551" t="s">
        <v>543</v>
      </c>
      <c r="Q551" t="s">
        <v>414</v>
      </c>
      <c r="S551">
        <v>3.73</v>
      </c>
      <c r="T551">
        <v>19746.403999999999</v>
      </c>
      <c r="U551">
        <v>297.95999999999998</v>
      </c>
      <c r="V551">
        <v>662.72</v>
      </c>
      <c r="W551" t="s">
        <v>401</v>
      </c>
      <c r="X551">
        <v>108.5</v>
      </c>
    </row>
    <row r="552" spans="1:24" x14ac:dyDescent="0.45">
      <c r="A552">
        <v>34</v>
      </c>
      <c r="B552">
        <v>34</v>
      </c>
      <c r="C552" t="s">
        <v>439</v>
      </c>
      <c r="D552" t="s">
        <v>414</v>
      </c>
      <c r="F552">
        <v>3.81</v>
      </c>
      <c r="G552">
        <v>1064.4749999999999</v>
      </c>
      <c r="H552">
        <v>256.73099999999999</v>
      </c>
      <c r="I552">
        <v>41.463000000000001</v>
      </c>
      <c r="J552" t="s">
        <v>403</v>
      </c>
      <c r="K552">
        <v>6</v>
      </c>
      <c r="N552">
        <v>34</v>
      </c>
      <c r="O552">
        <v>34</v>
      </c>
      <c r="P552" t="s">
        <v>544</v>
      </c>
      <c r="Q552" t="s">
        <v>414</v>
      </c>
      <c r="S552">
        <v>3.73</v>
      </c>
      <c r="T552">
        <v>14287.244000000001</v>
      </c>
      <c r="U552">
        <v>308.49599999999998</v>
      </c>
      <c r="V552">
        <v>463.12599999999998</v>
      </c>
      <c r="W552" t="s">
        <v>401</v>
      </c>
      <c r="X552">
        <v>75.7</v>
      </c>
    </row>
    <row r="553" spans="1:24" x14ac:dyDescent="0.45">
      <c r="A553">
        <v>35</v>
      </c>
      <c r="B553">
        <v>35</v>
      </c>
      <c r="C553" t="s">
        <v>440</v>
      </c>
      <c r="D553" t="s">
        <v>414</v>
      </c>
      <c r="F553">
        <v>3.73</v>
      </c>
      <c r="G553">
        <v>4877.2879999999996</v>
      </c>
      <c r="H553">
        <v>303.976</v>
      </c>
      <c r="I553">
        <v>160.44999999999999</v>
      </c>
      <c r="J553" t="s">
        <v>488</v>
      </c>
      <c r="K553">
        <v>22.2</v>
      </c>
      <c r="N553">
        <v>35</v>
      </c>
      <c r="O553">
        <v>35</v>
      </c>
      <c r="P553" t="s">
        <v>545</v>
      </c>
      <c r="Q553" t="s">
        <v>414</v>
      </c>
      <c r="S553">
        <v>3.73</v>
      </c>
      <c r="T553">
        <v>6949.1419999999998</v>
      </c>
      <c r="U553">
        <v>300.48899999999998</v>
      </c>
      <c r="V553">
        <v>231.261</v>
      </c>
      <c r="W553" t="s">
        <v>488</v>
      </c>
      <c r="X553">
        <v>37.700000000000003</v>
      </c>
    </row>
    <row r="554" spans="1:24" x14ac:dyDescent="0.45">
      <c r="A554">
        <v>36</v>
      </c>
      <c r="B554">
        <v>36</v>
      </c>
      <c r="C554" t="s">
        <v>441</v>
      </c>
      <c r="D554" t="s">
        <v>414</v>
      </c>
      <c r="F554">
        <v>3.74</v>
      </c>
      <c r="G554">
        <v>2853.279</v>
      </c>
      <c r="H554">
        <v>235.422</v>
      </c>
      <c r="I554">
        <v>121.19799999999999</v>
      </c>
      <c r="J554" t="s">
        <v>488</v>
      </c>
      <c r="K554">
        <v>16.899999999999999</v>
      </c>
      <c r="N554">
        <v>36</v>
      </c>
      <c r="O554">
        <v>36</v>
      </c>
      <c r="P554" t="s">
        <v>546</v>
      </c>
      <c r="Q554" t="s">
        <v>414</v>
      </c>
      <c r="S554">
        <v>3.73</v>
      </c>
      <c r="T554">
        <v>11012.358</v>
      </c>
      <c r="U554">
        <v>448.27100000000002</v>
      </c>
      <c r="V554">
        <v>245.66300000000001</v>
      </c>
      <c r="W554" t="s">
        <v>401</v>
      </c>
      <c r="X554">
        <v>40</v>
      </c>
    </row>
    <row r="555" spans="1:24" x14ac:dyDescent="0.45">
      <c r="A555">
        <v>37</v>
      </c>
      <c r="B555">
        <v>37</v>
      </c>
      <c r="C555" t="s">
        <v>442</v>
      </c>
      <c r="D555" t="s">
        <v>414</v>
      </c>
      <c r="F555">
        <v>3.73</v>
      </c>
      <c r="G555">
        <v>4408.3490000000002</v>
      </c>
      <c r="H555">
        <v>201.941</v>
      </c>
      <c r="I555">
        <v>218.29900000000001</v>
      </c>
      <c r="J555" t="s">
        <v>488</v>
      </c>
      <c r="K555">
        <v>30.1</v>
      </c>
      <c r="N555">
        <v>37</v>
      </c>
      <c r="O555">
        <v>37</v>
      </c>
      <c r="P555" t="s">
        <v>547</v>
      </c>
      <c r="Q555" t="s">
        <v>414</v>
      </c>
      <c r="S555">
        <v>3.73</v>
      </c>
      <c r="T555">
        <v>4920.625</v>
      </c>
      <c r="U555">
        <v>283.31200000000001</v>
      </c>
      <c r="V555">
        <v>173.68199999999999</v>
      </c>
      <c r="W555" t="s">
        <v>401</v>
      </c>
      <c r="X555">
        <v>28.2</v>
      </c>
    </row>
    <row r="556" spans="1:24" x14ac:dyDescent="0.45">
      <c r="A556">
        <v>38</v>
      </c>
      <c r="B556">
        <v>38</v>
      </c>
      <c r="C556" t="s">
        <v>443</v>
      </c>
      <c r="D556" t="s">
        <v>414</v>
      </c>
      <c r="F556">
        <v>3.74</v>
      </c>
      <c r="G556">
        <v>4000.7240000000002</v>
      </c>
      <c r="H556">
        <v>145.75899999999999</v>
      </c>
      <c r="I556">
        <v>274.47500000000002</v>
      </c>
      <c r="J556" t="s">
        <v>401</v>
      </c>
      <c r="K556">
        <v>37.799999999999997</v>
      </c>
      <c r="N556">
        <v>38</v>
      </c>
      <c r="O556">
        <v>38</v>
      </c>
      <c r="P556" t="s">
        <v>548</v>
      </c>
      <c r="Q556" t="s">
        <v>414</v>
      </c>
      <c r="S556">
        <v>3.73</v>
      </c>
      <c r="T556">
        <v>6933.8360000000002</v>
      </c>
      <c r="U556">
        <v>239.73</v>
      </c>
      <c r="V556">
        <v>289.23500000000001</v>
      </c>
      <c r="W556" t="s">
        <v>488</v>
      </c>
      <c r="X556">
        <v>47.2</v>
      </c>
    </row>
    <row r="557" spans="1:24" x14ac:dyDescent="0.45">
      <c r="A557">
        <v>39</v>
      </c>
      <c r="B557">
        <v>39</v>
      </c>
      <c r="C557" t="s">
        <v>444</v>
      </c>
      <c r="D557" t="s">
        <v>414</v>
      </c>
      <c r="F557">
        <v>3.73</v>
      </c>
      <c r="G557">
        <v>6485.8419999999996</v>
      </c>
      <c r="H557">
        <v>313.08499999999998</v>
      </c>
      <c r="I557">
        <v>207.15899999999999</v>
      </c>
      <c r="J557" t="s">
        <v>415</v>
      </c>
      <c r="K557">
        <v>28.6</v>
      </c>
      <c r="N557">
        <v>39</v>
      </c>
      <c r="O557">
        <v>39</v>
      </c>
      <c r="P557" t="s">
        <v>549</v>
      </c>
      <c r="Q557" t="s">
        <v>414</v>
      </c>
      <c r="S557">
        <v>3.73</v>
      </c>
      <c r="T557">
        <v>5096.7550000000001</v>
      </c>
      <c r="U557">
        <v>324.88400000000001</v>
      </c>
      <c r="V557">
        <v>156.87899999999999</v>
      </c>
      <c r="W557" t="s">
        <v>403</v>
      </c>
      <c r="X557">
        <v>25.4</v>
      </c>
    </row>
    <row r="558" spans="1:24" x14ac:dyDescent="0.45">
      <c r="A558">
        <v>40</v>
      </c>
      <c r="B558">
        <v>40</v>
      </c>
      <c r="C558" t="s">
        <v>445</v>
      </c>
      <c r="D558" t="s">
        <v>414</v>
      </c>
      <c r="F558">
        <v>3.73</v>
      </c>
      <c r="G558">
        <v>8225.0849999999991</v>
      </c>
      <c r="H558">
        <v>599.40200000000004</v>
      </c>
      <c r="I558">
        <v>137.22200000000001</v>
      </c>
      <c r="J558" t="s">
        <v>488</v>
      </c>
      <c r="K558">
        <v>19.100000000000001</v>
      </c>
      <c r="N558">
        <v>40</v>
      </c>
      <c r="O558">
        <v>40</v>
      </c>
      <c r="P558" t="s">
        <v>550</v>
      </c>
      <c r="Q558" t="s">
        <v>414</v>
      </c>
      <c r="S558">
        <v>3.73</v>
      </c>
      <c r="T558">
        <v>7678.5839999999998</v>
      </c>
      <c r="U558">
        <v>282.19200000000001</v>
      </c>
      <c r="V558">
        <v>272.10500000000002</v>
      </c>
      <c r="W558" t="s">
        <v>488</v>
      </c>
      <c r="X558">
        <v>44.4</v>
      </c>
    </row>
    <row r="559" spans="1:24" x14ac:dyDescent="0.45">
      <c r="A559">
        <v>41</v>
      </c>
      <c r="B559">
        <v>41</v>
      </c>
      <c r="C559" t="s">
        <v>446</v>
      </c>
      <c r="D559" t="s">
        <v>414</v>
      </c>
      <c r="F559">
        <v>3.74</v>
      </c>
      <c r="G559">
        <v>6678.2979999999998</v>
      </c>
      <c r="H559">
        <v>407.15800000000002</v>
      </c>
      <c r="I559">
        <v>164.02199999999999</v>
      </c>
      <c r="J559" t="s">
        <v>488</v>
      </c>
      <c r="K559">
        <v>22.7</v>
      </c>
      <c r="N559">
        <v>41</v>
      </c>
      <c r="O559">
        <v>41</v>
      </c>
      <c r="P559" t="s">
        <v>551</v>
      </c>
      <c r="Q559" t="s">
        <v>414</v>
      </c>
      <c r="S559">
        <v>3.73</v>
      </c>
      <c r="T559">
        <v>5520.1959999999999</v>
      </c>
      <c r="U559">
        <v>410.78800000000001</v>
      </c>
      <c r="V559">
        <v>134.381</v>
      </c>
      <c r="W559" t="s">
        <v>488</v>
      </c>
      <c r="X559">
        <v>21.7</v>
      </c>
    </row>
    <row r="560" spans="1:24" x14ac:dyDescent="0.45">
      <c r="A560">
        <v>42</v>
      </c>
      <c r="B560">
        <v>42</v>
      </c>
      <c r="C560" t="s">
        <v>447</v>
      </c>
      <c r="D560" t="s">
        <v>414</v>
      </c>
      <c r="F560">
        <v>3.74</v>
      </c>
      <c r="G560">
        <v>5056.1589999999997</v>
      </c>
      <c r="H560">
        <v>417.96300000000002</v>
      </c>
      <c r="I560">
        <v>120.971</v>
      </c>
      <c r="J560" t="s">
        <v>488</v>
      </c>
      <c r="K560">
        <v>16.8</v>
      </c>
      <c r="N560">
        <v>42</v>
      </c>
      <c r="O560">
        <v>42</v>
      </c>
      <c r="P560" t="s">
        <v>552</v>
      </c>
      <c r="Q560" t="s">
        <v>414</v>
      </c>
      <c r="S560">
        <v>3.73</v>
      </c>
      <c r="T560">
        <v>5107.4319999999998</v>
      </c>
      <c r="U560">
        <v>287.52</v>
      </c>
      <c r="V560">
        <v>177.637</v>
      </c>
      <c r="W560" t="s">
        <v>488</v>
      </c>
      <c r="X560">
        <v>28.9</v>
      </c>
    </row>
    <row r="561" spans="1:24" x14ac:dyDescent="0.45">
      <c r="A561">
        <v>43</v>
      </c>
      <c r="B561">
        <v>43</v>
      </c>
      <c r="C561" t="s">
        <v>448</v>
      </c>
      <c r="D561" t="s">
        <v>414</v>
      </c>
      <c r="F561">
        <v>3.73</v>
      </c>
      <c r="G561">
        <v>8032.8639999999996</v>
      </c>
      <c r="H561">
        <v>333.29500000000002</v>
      </c>
      <c r="I561">
        <v>241.01400000000001</v>
      </c>
      <c r="J561" t="s">
        <v>401</v>
      </c>
      <c r="K561">
        <v>33.200000000000003</v>
      </c>
      <c r="N561">
        <v>43</v>
      </c>
      <c r="O561">
        <v>43</v>
      </c>
      <c r="P561" t="s">
        <v>553</v>
      </c>
      <c r="Q561" t="s">
        <v>414</v>
      </c>
      <c r="S561">
        <v>3.73</v>
      </c>
      <c r="T561">
        <v>8398.9330000000009</v>
      </c>
      <c r="U561">
        <v>327.70800000000003</v>
      </c>
      <c r="V561">
        <v>256.29300000000001</v>
      </c>
      <c r="W561" t="s">
        <v>403</v>
      </c>
      <c r="X561">
        <v>41.8</v>
      </c>
    </row>
    <row r="562" spans="1:24" x14ac:dyDescent="0.45">
      <c r="A562">
        <v>44</v>
      </c>
      <c r="B562">
        <v>44</v>
      </c>
      <c r="C562" t="s">
        <v>449</v>
      </c>
      <c r="D562" t="s">
        <v>414</v>
      </c>
      <c r="F562">
        <v>3.73</v>
      </c>
      <c r="G562">
        <v>4304.4960000000001</v>
      </c>
      <c r="H562">
        <v>367.048</v>
      </c>
      <c r="I562">
        <v>117.273</v>
      </c>
      <c r="J562" t="s">
        <v>488</v>
      </c>
      <c r="K562">
        <v>16.3</v>
      </c>
      <c r="N562">
        <v>44</v>
      </c>
      <c r="O562">
        <v>44</v>
      </c>
      <c r="P562" t="s">
        <v>554</v>
      </c>
      <c r="Q562" t="s">
        <v>414</v>
      </c>
      <c r="S562">
        <v>3.73</v>
      </c>
      <c r="T562">
        <v>11693.438</v>
      </c>
      <c r="U562">
        <v>353.55099999999999</v>
      </c>
      <c r="V562">
        <v>330.74299999999999</v>
      </c>
      <c r="W562" t="s">
        <v>415</v>
      </c>
      <c r="X562">
        <v>54</v>
      </c>
    </row>
    <row r="563" spans="1:24" x14ac:dyDescent="0.45">
      <c r="A563">
        <v>45</v>
      </c>
      <c r="B563">
        <v>45</v>
      </c>
      <c r="C563" t="s">
        <v>450</v>
      </c>
      <c r="D563" t="s">
        <v>414</v>
      </c>
      <c r="F563">
        <v>3.74</v>
      </c>
      <c r="G563">
        <v>2615.5520000000001</v>
      </c>
      <c r="H563">
        <v>329.84699999999998</v>
      </c>
      <c r="I563">
        <v>79.296000000000006</v>
      </c>
      <c r="J563" t="s">
        <v>403</v>
      </c>
      <c r="K563">
        <v>11.2</v>
      </c>
      <c r="N563">
        <v>45</v>
      </c>
      <c r="O563">
        <v>45</v>
      </c>
      <c r="P563" t="s">
        <v>555</v>
      </c>
      <c r="Q563" t="s">
        <v>414</v>
      </c>
      <c r="S563">
        <v>3.73</v>
      </c>
      <c r="T563">
        <v>9016.75</v>
      </c>
      <c r="U563">
        <v>335.78500000000003</v>
      </c>
      <c r="V563">
        <v>268.52699999999999</v>
      </c>
      <c r="W563" t="s">
        <v>403</v>
      </c>
      <c r="X563">
        <v>43.8</v>
      </c>
    </row>
    <row r="564" spans="1:24" x14ac:dyDescent="0.45">
      <c r="A564">
        <v>46</v>
      </c>
      <c r="B564">
        <v>46</v>
      </c>
      <c r="C564" t="s">
        <v>451</v>
      </c>
      <c r="D564" t="s">
        <v>414</v>
      </c>
      <c r="F564">
        <v>3.73</v>
      </c>
      <c r="G564">
        <v>6359.835</v>
      </c>
      <c r="H564">
        <v>247.15700000000001</v>
      </c>
      <c r="I564">
        <v>257.32</v>
      </c>
      <c r="J564" t="s">
        <v>403</v>
      </c>
      <c r="K564">
        <v>35.4</v>
      </c>
      <c r="N564">
        <v>46</v>
      </c>
      <c r="O564">
        <v>46</v>
      </c>
      <c r="P564" t="s">
        <v>556</v>
      </c>
      <c r="Q564" t="s">
        <v>414</v>
      </c>
      <c r="S564">
        <v>3.73</v>
      </c>
      <c r="T564">
        <v>2460.0810000000001</v>
      </c>
      <c r="U564">
        <v>316.23099999999999</v>
      </c>
      <c r="V564">
        <v>77.793999999999997</v>
      </c>
      <c r="W564" t="s">
        <v>403</v>
      </c>
      <c r="X564">
        <v>12.5</v>
      </c>
    </row>
    <row r="565" spans="1:24" x14ac:dyDescent="0.45">
      <c r="A565">
        <v>47</v>
      </c>
      <c r="B565">
        <v>47</v>
      </c>
      <c r="C565" t="s">
        <v>452</v>
      </c>
      <c r="D565" t="s">
        <v>414</v>
      </c>
      <c r="F565">
        <v>3.73</v>
      </c>
      <c r="G565">
        <v>2471.3470000000002</v>
      </c>
      <c r="H565">
        <v>125.545</v>
      </c>
      <c r="I565">
        <v>196.84899999999999</v>
      </c>
      <c r="J565" t="s">
        <v>403</v>
      </c>
      <c r="K565">
        <v>27.2</v>
      </c>
      <c r="N565">
        <v>47</v>
      </c>
      <c r="O565">
        <v>47</v>
      </c>
      <c r="P565" t="s">
        <v>557</v>
      </c>
      <c r="Q565" t="s">
        <v>414</v>
      </c>
      <c r="S565">
        <v>3.73</v>
      </c>
      <c r="T565">
        <v>1442.0809999999999</v>
      </c>
      <c r="U565">
        <v>196.28299999999999</v>
      </c>
      <c r="V565">
        <v>73.468999999999994</v>
      </c>
      <c r="W565" t="s">
        <v>401</v>
      </c>
      <c r="X565">
        <v>11.7</v>
      </c>
    </row>
    <row r="566" spans="1:24" x14ac:dyDescent="0.45">
      <c r="A566">
        <v>48</v>
      </c>
      <c r="B566">
        <v>48</v>
      </c>
      <c r="C566" t="s">
        <v>453</v>
      </c>
      <c r="D566" t="s">
        <v>414</v>
      </c>
      <c r="F566">
        <v>3.73</v>
      </c>
      <c r="G566">
        <v>3290.59</v>
      </c>
      <c r="H566">
        <v>179.57300000000001</v>
      </c>
      <c r="I566">
        <v>183.245</v>
      </c>
      <c r="J566" t="s">
        <v>403</v>
      </c>
      <c r="K566">
        <v>25.3</v>
      </c>
      <c r="N566">
        <v>48</v>
      </c>
      <c r="O566">
        <v>48</v>
      </c>
      <c r="P566" t="s">
        <v>558</v>
      </c>
      <c r="Q566" t="s">
        <v>414</v>
      </c>
      <c r="S566">
        <v>3.73</v>
      </c>
      <c r="T566">
        <v>2752.8939999999998</v>
      </c>
      <c r="U566">
        <v>228.761</v>
      </c>
      <c r="V566">
        <v>120.339</v>
      </c>
      <c r="W566" t="s">
        <v>488</v>
      </c>
      <c r="X566">
        <v>19.399999999999999</v>
      </c>
    </row>
    <row r="567" spans="1:24" x14ac:dyDescent="0.45">
      <c r="A567">
        <v>49</v>
      </c>
      <c r="B567">
        <v>49</v>
      </c>
      <c r="C567" t="s">
        <v>454</v>
      </c>
      <c r="D567" t="s">
        <v>414</v>
      </c>
      <c r="F567">
        <v>3.73</v>
      </c>
      <c r="G567">
        <v>2255.7249999999999</v>
      </c>
      <c r="H567">
        <v>196.745</v>
      </c>
      <c r="I567">
        <v>114.652</v>
      </c>
      <c r="J567" t="s">
        <v>488</v>
      </c>
      <c r="K567">
        <v>16</v>
      </c>
      <c r="N567">
        <v>49</v>
      </c>
      <c r="O567">
        <v>49</v>
      </c>
      <c r="P567" t="s">
        <v>559</v>
      </c>
      <c r="Q567" t="s">
        <v>414</v>
      </c>
      <c r="S567">
        <v>3.73</v>
      </c>
      <c r="T567">
        <v>4547</v>
      </c>
      <c r="U567">
        <v>199.64</v>
      </c>
      <c r="V567">
        <v>227.76</v>
      </c>
      <c r="W567" t="s">
        <v>415</v>
      </c>
      <c r="X567">
        <v>37.1</v>
      </c>
    </row>
    <row r="568" spans="1:24" x14ac:dyDescent="0.45">
      <c r="A568">
        <v>50</v>
      </c>
      <c r="B568">
        <v>50</v>
      </c>
      <c r="C568" t="s">
        <v>455</v>
      </c>
      <c r="D568" t="s">
        <v>414</v>
      </c>
      <c r="F568">
        <v>3.73</v>
      </c>
      <c r="G568">
        <v>2259.183</v>
      </c>
      <c r="H568">
        <v>285.43099999999998</v>
      </c>
      <c r="I568">
        <v>79.150000000000006</v>
      </c>
      <c r="J568" t="s">
        <v>488</v>
      </c>
      <c r="K568">
        <v>11.1</v>
      </c>
      <c r="N568">
        <v>50</v>
      </c>
      <c r="O568">
        <v>50</v>
      </c>
      <c r="P568" t="s">
        <v>560</v>
      </c>
      <c r="Q568" t="s">
        <v>414</v>
      </c>
      <c r="S568">
        <v>3.73</v>
      </c>
      <c r="T568">
        <v>6185.7830000000004</v>
      </c>
      <c r="U568">
        <v>338.95</v>
      </c>
      <c r="V568">
        <v>182.49799999999999</v>
      </c>
      <c r="W568" t="s">
        <v>403</v>
      </c>
      <c r="X568">
        <v>29.7</v>
      </c>
    </row>
    <row r="569" spans="1:24" x14ac:dyDescent="0.45">
      <c r="A569">
        <v>51</v>
      </c>
      <c r="B569">
        <v>51</v>
      </c>
      <c r="C569" t="s">
        <v>456</v>
      </c>
      <c r="D569" t="s">
        <v>414</v>
      </c>
      <c r="F569">
        <v>3.73</v>
      </c>
      <c r="G569">
        <v>2269.1770000000001</v>
      </c>
      <c r="H569">
        <v>183.024</v>
      </c>
      <c r="I569">
        <v>123.982</v>
      </c>
      <c r="J569" t="s">
        <v>488</v>
      </c>
      <c r="K569">
        <v>17.3</v>
      </c>
      <c r="N569">
        <v>51</v>
      </c>
      <c r="O569">
        <v>51</v>
      </c>
      <c r="P569" t="s">
        <v>561</v>
      </c>
      <c r="Q569" t="s">
        <v>414</v>
      </c>
      <c r="S569">
        <v>3.73</v>
      </c>
      <c r="T569">
        <v>4624.1149999999998</v>
      </c>
      <c r="U569">
        <v>143.82599999999999</v>
      </c>
      <c r="V569">
        <v>321.50799999999998</v>
      </c>
      <c r="W569" t="s">
        <v>488</v>
      </c>
      <c r="X569">
        <v>52.5</v>
      </c>
    </row>
    <row r="570" spans="1:24" x14ac:dyDescent="0.45">
      <c r="A570">
        <v>52</v>
      </c>
      <c r="B570">
        <v>52</v>
      </c>
      <c r="C570" t="s">
        <v>457</v>
      </c>
      <c r="D570" t="s">
        <v>414</v>
      </c>
      <c r="F570">
        <v>3.73</v>
      </c>
      <c r="G570">
        <v>4590.88</v>
      </c>
      <c r="H570">
        <v>136.62700000000001</v>
      </c>
      <c r="I570">
        <v>336.01600000000002</v>
      </c>
      <c r="J570" t="s">
        <v>488</v>
      </c>
      <c r="K570">
        <v>46.1</v>
      </c>
      <c r="N570">
        <v>52</v>
      </c>
      <c r="O570">
        <v>52</v>
      </c>
      <c r="P570" t="s">
        <v>562</v>
      </c>
      <c r="Q570" t="s">
        <v>414</v>
      </c>
      <c r="S570">
        <v>3.73</v>
      </c>
      <c r="T570">
        <v>7992.0829999999996</v>
      </c>
      <c r="U570">
        <v>287.59500000000003</v>
      </c>
      <c r="V570">
        <v>277.89400000000001</v>
      </c>
      <c r="W570" t="s">
        <v>401</v>
      </c>
      <c r="X570">
        <v>45.3</v>
      </c>
    </row>
    <row r="571" spans="1:24" x14ac:dyDescent="0.45">
      <c r="A571">
        <v>53</v>
      </c>
      <c r="B571">
        <v>53</v>
      </c>
      <c r="C571" t="s">
        <v>458</v>
      </c>
      <c r="D571" t="s">
        <v>414</v>
      </c>
      <c r="F571">
        <v>3.73</v>
      </c>
      <c r="G571">
        <v>6252.96</v>
      </c>
      <c r="H571">
        <v>330.57100000000003</v>
      </c>
      <c r="I571">
        <v>189.15600000000001</v>
      </c>
      <c r="J571" t="s">
        <v>401</v>
      </c>
      <c r="K571">
        <v>26.1</v>
      </c>
      <c r="N571">
        <v>53</v>
      </c>
      <c r="O571">
        <v>53</v>
      </c>
      <c r="P571" t="s">
        <v>563</v>
      </c>
      <c r="Q571" t="s">
        <v>414</v>
      </c>
      <c r="S571">
        <v>3.73</v>
      </c>
      <c r="T571">
        <v>11941.540999999999</v>
      </c>
      <c r="U571">
        <v>365.37299999999999</v>
      </c>
      <c r="V571">
        <v>326.83199999999999</v>
      </c>
      <c r="W571" t="s">
        <v>401</v>
      </c>
      <c r="X571">
        <v>53.4</v>
      </c>
    </row>
    <row r="572" spans="1:24" x14ac:dyDescent="0.45">
      <c r="A572">
        <v>54</v>
      </c>
      <c r="B572">
        <v>54</v>
      </c>
      <c r="C572" t="s">
        <v>459</v>
      </c>
      <c r="D572" t="s">
        <v>414</v>
      </c>
      <c r="F572">
        <v>3.73</v>
      </c>
      <c r="G572">
        <v>6474.2190000000001</v>
      </c>
      <c r="H572">
        <v>310.77300000000002</v>
      </c>
      <c r="I572">
        <v>208.32599999999999</v>
      </c>
      <c r="J572" t="s">
        <v>403</v>
      </c>
      <c r="K572">
        <v>28.7</v>
      </c>
      <c r="N572">
        <v>54</v>
      </c>
      <c r="O572">
        <v>54</v>
      </c>
      <c r="P572" t="s">
        <v>564</v>
      </c>
      <c r="Q572" t="s">
        <v>414</v>
      </c>
      <c r="S572">
        <v>3.73</v>
      </c>
      <c r="T572">
        <v>4134.7780000000002</v>
      </c>
      <c r="U572">
        <v>298.21100000000001</v>
      </c>
      <c r="V572">
        <v>138.65299999999999</v>
      </c>
      <c r="W572" t="s">
        <v>403</v>
      </c>
      <c r="X572">
        <v>22.5</v>
      </c>
    </row>
    <row r="573" spans="1:24" x14ac:dyDescent="0.45">
      <c r="A573">
        <v>55</v>
      </c>
      <c r="B573">
        <v>55</v>
      </c>
      <c r="C573" t="s">
        <v>460</v>
      </c>
      <c r="D573" t="s">
        <v>414</v>
      </c>
      <c r="F573">
        <v>3.73</v>
      </c>
      <c r="G573">
        <v>5380.3140000000003</v>
      </c>
      <c r="H573">
        <v>213.541</v>
      </c>
      <c r="I573">
        <v>251.95699999999999</v>
      </c>
      <c r="J573" t="s">
        <v>403</v>
      </c>
      <c r="K573">
        <v>34.700000000000003</v>
      </c>
      <c r="N573">
        <v>55</v>
      </c>
      <c r="O573">
        <v>55</v>
      </c>
      <c r="P573" t="s">
        <v>565</v>
      </c>
      <c r="Q573" t="s">
        <v>414</v>
      </c>
      <c r="S573">
        <v>3.73</v>
      </c>
      <c r="T573">
        <v>6700.6049999999996</v>
      </c>
      <c r="U573">
        <v>272.255</v>
      </c>
      <c r="V573">
        <v>246.11500000000001</v>
      </c>
      <c r="W573" t="s">
        <v>415</v>
      </c>
      <c r="X573">
        <v>40.1</v>
      </c>
    </row>
    <row r="574" spans="1:24" x14ac:dyDescent="0.45">
      <c r="A574">
        <v>56</v>
      </c>
      <c r="B574">
        <v>56</v>
      </c>
      <c r="C574" t="s">
        <v>461</v>
      </c>
      <c r="D574" t="s">
        <v>414</v>
      </c>
      <c r="F574">
        <v>3.73</v>
      </c>
      <c r="G574">
        <v>2384.4810000000002</v>
      </c>
      <c r="H574">
        <v>246.62700000000001</v>
      </c>
      <c r="I574">
        <v>96.683999999999997</v>
      </c>
      <c r="J574" t="s">
        <v>403</v>
      </c>
      <c r="K574">
        <v>13.5</v>
      </c>
      <c r="N574">
        <v>56</v>
      </c>
      <c r="O574">
        <v>56</v>
      </c>
      <c r="P574" t="s">
        <v>566</v>
      </c>
      <c r="Q574" t="s">
        <v>414</v>
      </c>
      <c r="S574">
        <v>3.73</v>
      </c>
      <c r="T574">
        <v>5502.4629999999997</v>
      </c>
      <c r="U574">
        <v>248.536</v>
      </c>
      <c r="V574">
        <v>221.39500000000001</v>
      </c>
      <c r="W574" t="s">
        <v>403</v>
      </c>
      <c r="X574">
        <v>36</v>
      </c>
    </row>
    <row r="575" spans="1:24" x14ac:dyDescent="0.45">
      <c r="A575">
        <v>57</v>
      </c>
      <c r="B575">
        <v>57</v>
      </c>
      <c r="C575" t="s">
        <v>462</v>
      </c>
      <c r="D575" t="s">
        <v>414</v>
      </c>
      <c r="F575">
        <v>3.73</v>
      </c>
      <c r="G575">
        <v>3014.5</v>
      </c>
      <c r="H575">
        <v>197.50200000000001</v>
      </c>
      <c r="I575">
        <v>152.631</v>
      </c>
      <c r="J575" t="s">
        <v>401</v>
      </c>
      <c r="K575">
        <v>21.2</v>
      </c>
      <c r="N575">
        <v>57</v>
      </c>
      <c r="O575">
        <v>57</v>
      </c>
      <c r="P575" t="s">
        <v>567</v>
      </c>
      <c r="Q575" t="s">
        <v>414</v>
      </c>
      <c r="S575">
        <v>3.73</v>
      </c>
      <c r="T575">
        <v>3463.9409999999998</v>
      </c>
      <c r="U575">
        <v>223.51400000000001</v>
      </c>
      <c r="V575">
        <v>154.976</v>
      </c>
      <c r="W575" t="s">
        <v>401</v>
      </c>
      <c r="X575">
        <v>25.1</v>
      </c>
    </row>
    <row r="576" spans="1:24" x14ac:dyDescent="0.45">
      <c r="A576">
        <v>58</v>
      </c>
      <c r="B576">
        <v>58</v>
      </c>
      <c r="C576" t="s">
        <v>463</v>
      </c>
      <c r="D576" t="s">
        <v>414</v>
      </c>
      <c r="F576">
        <v>3.73</v>
      </c>
      <c r="G576">
        <v>3098.027</v>
      </c>
      <c r="H576">
        <v>185.846</v>
      </c>
      <c r="I576">
        <v>166.69900000000001</v>
      </c>
      <c r="J576" t="s">
        <v>415</v>
      </c>
      <c r="K576">
        <v>23.1</v>
      </c>
      <c r="N576">
        <v>58</v>
      </c>
      <c r="O576">
        <v>58</v>
      </c>
      <c r="P576" t="s">
        <v>568</v>
      </c>
      <c r="Q576" t="s">
        <v>414</v>
      </c>
      <c r="S576">
        <v>3.73</v>
      </c>
      <c r="T576">
        <v>26652.15</v>
      </c>
      <c r="U576">
        <v>289.529</v>
      </c>
      <c r="V576">
        <v>920.53499999999997</v>
      </c>
      <c r="W576" t="s">
        <v>415</v>
      </c>
      <c r="X576">
        <v>150.9</v>
      </c>
    </row>
    <row r="577" spans="1:25" x14ac:dyDescent="0.45">
      <c r="A577">
        <v>59</v>
      </c>
      <c r="B577">
        <v>59</v>
      </c>
      <c r="C577" t="s">
        <v>464</v>
      </c>
      <c r="D577" t="s">
        <v>414</v>
      </c>
      <c r="F577">
        <v>3.73</v>
      </c>
      <c r="G577">
        <v>2917.9690000000001</v>
      </c>
      <c r="H577">
        <v>196.62200000000001</v>
      </c>
      <c r="I577">
        <v>148.405</v>
      </c>
      <c r="J577" t="s">
        <v>403</v>
      </c>
      <c r="K577">
        <v>20.6</v>
      </c>
      <c r="N577">
        <v>59</v>
      </c>
      <c r="O577">
        <v>59</v>
      </c>
      <c r="P577" t="s">
        <v>569</v>
      </c>
      <c r="Q577" t="s">
        <v>414</v>
      </c>
      <c r="S577">
        <v>3.73</v>
      </c>
      <c r="T577">
        <v>9420.2950000000001</v>
      </c>
      <c r="U577">
        <v>214.495</v>
      </c>
      <c r="V577">
        <v>439.185</v>
      </c>
      <c r="W577" t="s">
        <v>488</v>
      </c>
      <c r="X577">
        <v>71.8</v>
      </c>
    </row>
    <row r="578" spans="1:25" x14ac:dyDescent="0.45">
      <c r="A578">
        <v>60</v>
      </c>
      <c r="B578">
        <v>60</v>
      </c>
      <c r="C578" t="s">
        <v>465</v>
      </c>
      <c r="D578" t="s">
        <v>414</v>
      </c>
      <c r="F578">
        <v>3.73</v>
      </c>
      <c r="G578">
        <v>2925.7849999999999</v>
      </c>
      <c r="H578">
        <v>255.673</v>
      </c>
      <c r="I578">
        <v>114.435</v>
      </c>
      <c r="J578" t="s">
        <v>401</v>
      </c>
      <c r="K578">
        <v>16</v>
      </c>
      <c r="N578">
        <v>60</v>
      </c>
      <c r="O578">
        <v>60</v>
      </c>
      <c r="P578" t="s">
        <v>570</v>
      </c>
      <c r="Q578" t="s">
        <v>414</v>
      </c>
      <c r="S578">
        <v>3.73</v>
      </c>
      <c r="T578">
        <v>36655.101999999999</v>
      </c>
      <c r="U578">
        <v>514.84900000000005</v>
      </c>
      <c r="V578">
        <v>711.95799999999997</v>
      </c>
      <c r="W578" t="s">
        <v>403</v>
      </c>
      <c r="X578">
        <v>116.6</v>
      </c>
    </row>
    <row r="579" spans="1:25" x14ac:dyDescent="0.45">
      <c r="A579">
        <v>61</v>
      </c>
      <c r="B579">
        <v>61</v>
      </c>
      <c r="C579" t="s">
        <v>466</v>
      </c>
      <c r="D579" t="s">
        <v>414</v>
      </c>
      <c r="F579">
        <v>3.73</v>
      </c>
      <c r="G579">
        <v>4058.9029999999998</v>
      </c>
      <c r="H579">
        <v>222.08600000000001</v>
      </c>
      <c r="I579">
        <v>182.76300000000001</v>
      </c>
      <c r="J579" t="s">
        <v>403</v>
      </c>
      <c r="K579">
        <v>25.3</v>
      </c>
      <c r="N579">
        <v>61</v>
      </c>
      <c r="O579">
        <v>61</v>
      </c>
      <c r="P579" t="s">
        <v>571</v>
      </c>
      <c r="Q579" t="s">
        <v>414</v>
      </c>
      <c r="S579">
        <v>3.73</v>
      </c>
      <c r="T579">
        <v>11240.915999999999</v>
      </c>
      <c r="U579">
        <v>283.98200000000003</v>
      </c>
      <c r="V579">
        <v>395.83199999999999</v>
      </c>
      <c r="W579" t="s">
        <v>401</v>
      </c>
      <c r="X579">
        <v>64.7</v>
      </c>
    </row>
    <row r="580" spans="1:25" x14ac:dyDescent="0.45">
      <c r="A580">
        <v>62</v>
      </c>
      <c r="B580">
        <v>62</v>
      </c>
      <c r="C580" t="s">
        <v>467</v>
      </c>
      <c r="D580" t="s">
        <v>414</v>
      </c>
      <c r="F580">
        <v>3.73</v>
      </c>
      <c r="G580">
        <v>4028.9090000000001</v>
      </c>
      <c r="H580">
        <v>191.76400000000001</v>
      </c>
      <c r="I580">
        <v>210.09700000000001</v>
      </c>
      <c r="J580" t="s">
        <v>401</v>
      </c>
      <c r="K580">
        <v>29</v>
      </c>
      <c r="N580">
        <v>62</v>
      </c>
      <c r="O580">
        <v>62</v>
      </c>
      <c r="P580" t="s">
        <v>572</v>
      </c>
      <c r="Q580" t="s">
        <v>414</v>
      </c>
      <c r="S580">
        <v>3.73</v>
      </c>
      <c r="T580">
        <v>9093.8330000000005</v>
      </c>
      <c r="U580">
        <v>277.84199999999998</v>
      </c>
      <c r="V580">
        <v>327.30200000000002</v>
      </c>
      <c r="W580" t="s">
        <v>401</v>
      </c>
      <c r="X580">
        <v>53.4</v>
      </c>
    </row>
    <row r="581" spans="1:25" x14ac:dyDescent="0.45">
      <c r="A581">
        <v>63</v>
      </c>
      <c r="B581">
        <v>63</v>
      </c>
      <c r="C581" t="s">
        <v>468</v>
      </c>
      <c r="D581" t="s">
        <v>414</v>
      </c>
      <c r="F581">
        <v>3.73</v>
      </c>
      <c r="G581">
        <v>3410.2559999999999</v>
      </c>
      <c r="H581">
        <v>268.25900000000001</v>
      </c>
      <c r="I581">
        <v>127.126</v>
      </c>
      <c r="J581" t="s">
        <v>403</v>
      </c>
      <c r="K581">
        <v>17.7</v>
      </c>
      <c r="N581">
        <v>63</v>
      </c>
      <c r="O581">
        <v>63</v>
      </c>
      <c r="P581" t="s">
        <v>573</v>
      </c>
      <c r="Q581" t="s">
        <v>414</v>
      </c>
      <c r="S581">
        <v>3.73</v>
      </c>
      <c r="T581">
        <v>14428.612999999999</v>
      </c>
      <c r="U581">
        <v>291.36</v>
      </c>
      <c r="V581">
        <v>495.21600000000001</v>
      </c>
      <c r="W581" t="s">
        <v>403</v>
      </c>
      <c r="X581">
        <v>81</v>
      </c>
    </row>
    <row r="582" spans="1:25" x14ac:dyDescent="0.45">
      <c r="A582">
        <v>64</v>
      </c>
      <c r="B582">
        <v>64</v>
      </c>
      <c r="C582" t="s">
        <v>469</v>
      </c>
      <c r="D582" t="s">
        <v>414</v>
      </c>
      <c r="F582">
        <v>3.73</v>
      </c>
      <c r="G582">
        <v>5408.076</v>
      </c>
      <c r="H582">
        <v>322.798</v>
      </c>
      <c r="I582">
        <v>167.53700000000001</v>
      </c>
      <c r="J582" t="s">
        <v>403</v>
      </c>
      <c r="K582">
        <v>23.2</v>
      </c>
      <c r="N582">
        <v>64</v>
      </c>
      <c r="O582">
        <v>64</v>
      </c>
      <c r="P582" t="s">
        <v>574</v>
      </c>
      <c r="Q582" t="s">
        <v>414</v>
      </c>
      <c r="S582">
        <v>3.73</v>
      </c>
      <c r="T582">
        <v>11709.099</v>
      </c>
      <c r="U582">
        <v>284.65100000000001</v>
      </c>
      <c r="V582">
        <v>411.34899999999999</v>
      </c>
      <c r="W582" t="s">
        <v>401</v>
      </c>
      <c r="X582">
        <v>67.2</v>
      </c>
    </row>
    <row r="583" spans="1:25" x14ac:dyDescent="0.45">
      <c r="A583">
        <v>65</v>
      </c>
      <c r="B583">
        <v>65</v>
      </c>
      <c r="C583" t="s">
        <v>470</v>
      </c>
      <c r="D583" t="s">
        <v>414</v>
      </c>
      <c r="F583">
        <v>3.73</v>
      </c>
      <c r="G583">
        <v>6051.0879999999997</v>
      </c>
      <c r="H583">
        <v>294.31400000000002</v>
      </c>
      <c r="I583">
        <v>205.6</v>
      </c>
      <c r="J583" t="s">
        <v>403</v>
      </c>
      <c r="K583">
        <v>28.4</v>
      </c>
      <c r="N583">
        <v>65</v>
      </c>
      <c r="O583">
        <v>65</v>
      </c>
      <c r="P583" t="s">
        <v>575</v>
      </c>
      <c r="Q583" t="s">
        <v>414</v>
      </c>
      <c r="S583">
        <v>3.73</v>
      </c>
      <c r="T583">
        <v>9542.2039999999997</v>
      </c>
      <c r="U583">
        <v>358.49900000000002</v>
      </c>
      <c r="V583">
        <v>266.17099999999999</v>
      </c>
      <c r="W583" t="s">
        <v>401</v>
      </c>
      <c r="X583">
        <v>43.4</v>
      </c>
    </row>
    <row r="584" spans="1:25" x14ac:dyDescent="0.45">
      <c r="A584">
        <v>66</v>
      </c>
      <c r="B584">
        <v>66</v>
      </c>
      <c r="C584" t="s">
        <v>471</v>
      </c>
      <c r="D584" t="s">
        <v>414</v>
      </c>
      <c r="F584">
        <v>3.73</v>
      </c>
      <c r="G584">
        <v>3678.1089999999999</v>
      </c>
      <c r="H584">
        <v>285.46499999999997</v>
      </c>
      <c r="I584">
        <v>128.846</v>
      </c>
      <c r="J584" t="s">
        <v>403</v>
      </c>
      <c r="K584">
        <v>17.899999999999999</v>
      </c>
      <c r="N584">
        <v>66</v>
      </c>
      <c r="O584">
        <v>66</v>
      </c>
      <c r="P584" t="s">
        <v>576</v>
      </c>
      <c r="Q584" t="s">
        <v>414</v>
      </c>
      <c r="S584">
        <v>3.73</v>
      </c>
      <c r="T584">
        <v>14736.781999999999</v>
      </c>
      <c r="U584">
        <v>240.33099999999999</v>
      </c>
      <c r="V584">
        <v>613.18700000000001</v>
      </c>
      <c r="W584" t="s">
        <v>403</v>
      </c>
      <c r="X584">
        <v>100.4</v>
      </c>
    </row>
    <row r="585" spans="1:25" x14ac:dyDescent="0.45">
      <c r="A585">
        <v>67</v>
      </c>
      <c r="B585">
        <v>67</v>
      </c>
      <c r="C585" t="s">
        <v>472</v>
      </c>
      <c r="D585" t="s">
        <v>414</v>
      </c>
      <c r="F585">
        <v>3.73</v>
      </c>
      <c r="G585">
        <v>2952.9349999999999</v>
      </c>
      <c r="H585">
        <v>139.47800000000001</v>
      </c>
      <c r="I585">
        <v>211.71299999999999</v>
      </c>
      <c r="J585" t="s">
        <v>401</v>
      </c>
      <c r="K585">
        <v>29.2</v>
      </c>
      <c r="N585">
        <v>67</v>
      </c>
      <c r="O585">
        <v>67</v>
      </c>
      <c r="P585" t="s">
        <v>577</v>
      </c>
      <c r="Q585" t="s">
        <v>414</v>
      </c>
      <c r="S585">
        <v>3.73</v>
      </c>
      <c r="T585">
        <v>7236.3819999999996</v>
      </c>
      <c r="U585">
        <v>187.32400000000001</v>
      </c>
      <c r="V585">
        <v>386.303</v>
      </c>
      <c r="W585" t="s">
        <v>415</v>
      </c>
      <c r="X585">
        <v>63.1</v>
      </c>
    </row>
    <row r="586" spans="1:25" x14ac:dyDescent="0.45">
      <c r="A586">
        <v>68</v>
      </c>
      <c r="B586">
        <v>68</v>
      </c>
      <c r="C586" t="s">
        <v>473</v>
      </c>
      <c r="D586" t="s">
        <v>414</v>
      </c>
      <c r="F586">
        <v>3.73</v>
      </c>
      <c r="G586">
        <v>4960.9920000000002</v>
      </c>
      <c r="H586">
        <v>214.83799999999999</v>
      </c>
      <c r="I586">
        <v>230.91800000000001</v>
      </c>
      <c r="J586" t="s">
        <v>488</v>
      </c>
      <c r="K586">
        <v>31.8</v>
      </c>
      <c r="N586">
        <v>68</v>
      </c>
      <c r="O586">
        <v>68</v>
      </c>
      <c r="P586" t="s">
        <v>578</v>
      </c>
      <c r="Q586" t="s">
        <v>414</v>
      </c>
      <c r="S586">
        <v>3.73</v>
      </c>
      <c r="T586">
        <v>7581.3149999999996</v>
      </c>
      <c r="U586">
        <v>239.011</v>
      </c>
      <c r="V586">
        <v>317.19499999999999</v>
      </c>
      <c r="W586" t="s">
        <v>415</v>
      </c>
      <c r="X586">
        <v>51.8</v>
      </c>
    </row>
    <row r="587" spans="1:25" x14ac:dyDescent="0.45">
      <c r="A587">
        <v>69</v>
      </c>
      <c r="B587">
        <v>69</v>
      </c>
      <c r="C587" t="s">
        <v>474</v>
      </c>
      <c r="D587" t="s">
        <v>414</v>
      </c>
      <c r="F587">
        <v>3.73</v>
      </c>
      <c r="G587">
        <v>8896.4660000000003</v>
      </c>
      <c r="H587">
        <v>306.74900000000002</v>
      </c>
      <c r="I587">
        <v>290.024</v>
      </c>
      <c r="J587" t="s">
        <v>403</v>
      </c>
      <c r="K587">
        <v>39.9</v>
      </c>
      <c r="N587">
        <v>69</v>
      </c>
      <c r="O587">
        <v>69</v>
      </c>
      <c r="P587" t="s">
        <v>579</v>
      </c>
      <c r="Q587" t="s">
        <v>414</v>
      </c>
      <c r="S587">
        <v>3.73</v>
      </c>
      <c r="T587">
        <v>2982.8919999999998</v>
      </c>
      <c r="U587">
        <v>247.1</v>
      </c>
      <c r="V587">
        <v>120.71599999999999</v>
      </c>
      <c r="W587" t="s">
        <v>415</v>
      </c>
      <c r="X587">
        <v>19.5</v>
      </c>
    </row>
    <row r="589" spans="1:25" x14ac:dyDescent="0.45">
      <c r="A589" t="s">
        <v>494</v>
      </c>
      <c r="N589" t="s">
        <v>494</v>
      </c>
    </row>
    <row r="591" spans="1:25" x14ac:dyDescent="0.45">
      <c r="B591" t="s">
        <v>389</v>
      </c>
      <c r="C591" t="s">
        <v>123</v>
      </c>
      <c r="D591" t="s">
        <v>390</v>
      </c>
      <c r="E591" t="s">
        <v>391</v>
      </c>
      <c r="F591" t="s">
        <v>392</v>
      </c>
      <c r="G591" t="s">
        <v>393</v>
      </c>
      <c r="H591" t="s">
        <v>394</v>
      </c>
      <c r="I591" t="s">
        <v>395</v>
      </c>
      <c r="J591" t="s">
        <v>396</v>
      </c>
      <c r="K591" t="s">
        <v>397</v>
      </c>
      <c r="L591" t="s">
        <v>398</v>
      </c>
      <c r="O591" t="s">
        <v>389</v>
      </c>
      <c r="P591" t="s">
        <v>123</v>
      </c>
      <c r="Q591" t="s">
        <v>390</v>
      </c>
      <c r="R591" t="s">
        <v>391</v>
      </c>
      <c r="S591" t="s">
        <v>392</v>
      </c>
      <c r="T591" t="s">
        <v>393</v>
      </c>
      <c r="U591" t="s">
        <v>394</v>
      </c>
      <c r="V591" t="s">
        <v>395</v>
      </c>
      <c r="W591" t="s">
        <v>396</v>
      </c>
      <c r="X591" t="s">
        <v>397</v>
      </c>
      <c r="Y591" t="s">
        <v>398</v>
      </c>
    </row>
    <row r="592" spans="1:25" x14ac:dyDescent="0.45">
      <c r="A592">
        <v>1</v>
      </c>
      <c r="B592">
        <v>1</v>
      </c>
      <c r="C592" t="s">
        <v>399</v>
      </c>
      <c r="D592" t="s">
        <v>400</v>
      </c>
      <c r="E592">
        <v>0.05</v>
      </c>
      <c r="F592">
        <v>2.5099999999999998</v>
      </c>
      <c r="G592">
        <v>3268.3130000000001</v>
      </c>
      <c r="I592">
        <v>3268.3130000000001</v>
      </c>
      <c r="J592" t="s">
        <v>412</v>
      </c>
      <c r="K592">
        <v>0.1</v>
      </c>
      <c r="L592">
        <v>143.5</v>
      </c>
      <c r="N592">
        <v>1</v>
      </c>
      <c r="O592">
        <v>1</v>
      </c>
      <c r="P592" t="s">
        <v>511</v>
      </c>
      <c r="Q592" t="s">
        <v>400</v>
      </c>
      <c r="R592">
        <v>0.05</v>
      </c>
      <c r="S592">
        <v>2.5</v>
      </c>
      <c r="T592">
        <v>4686.9960000000001</v>
      </c>
      <c r="V592">
        <v>4686.9960000000001</v>
      </c>
      <c r="W592" t="s">
        <v>401</v>
      </c>
      <c r="X592">
        <v>0</v>
      </c>
      <c r="Y592">
        <v>-24.7</v>
      </c>
    </row>
    <row r="593" spans="1:25" x14ac:dyDescent="0.45">
      <c r="A593">
        <v>2</v>
      </c>
      <c r="B593">
        <v>2</v>
      </c>
      <c r="C593" t="s">
        <v>402</v>
      </c>
      <c r="D593" t="s">
        <v>400</v>
      </c>
      <c r="E593">
        <v>0.5</v>
      </c>
      <c r="F593">
        <v>2.5099999999999998</v>
      </c>
      <c r="G593">
        <v>32438.062999999998</v>
      </c>
      <c r="I593">
        <v>32438.062999999998</v>
      </c>
      <c r="J593" t="s">
        <v>403</v>
      </c>
      <c r="K593">
        <v>0.5</v>
      </c>
      <c r="L593">
        <v>0.7</v>
      </c>
      <c r="N593">
        <v>2</v>
      </c>
      <c r="O593">
        <v>2</v>
      </c>
      <c r="P593" t="s">
        <v>512</v>
      </c>
      <c r="Q593" t="s">
        <v>400</v>
      </c>
      <c r="R593">
        <v>0.5</v>
      </c>
      <c r="S593">
        <v>2.5</v>
      </c>
      <c r="T593">
        <v>41918.241999999998</v>
      </c>
      <c r="V593">
        <v>41918.241999999998</v>
      </c>
      <c r="W593" t="s">
        <v>403</v>
      </c>
      <c r="X593">
        <v>0.5</v>
      </c>
      <c r="Y593">
        <v>0.1</v>
      </c>
    </row>
    <row r="594" spans="1:25" x14ac:dyDescent="0.45">
      <c r="A594">
        <v>3</v>
      </c>
      <c r="B594">
        <v>3</v>
      </c>
      <c r="C594" t="s">
        <v>404</v>
      </c>
      <c r="D594" t="s">
        <v>400</v>
      </c>
      <c r="E594">
        <v>1.25</v>
      </c>
      <c r="F594">
        <v>2.5099999999999998</v>
      </c>
      <c r="G594">
        <v>85271.039000000004</v>
      </c>
      <c r="I594">
        <v>85271.039000000004</v>
      </c>
      <c r="J594" t="s">
        <v>401</v>
      </c>
      <c r="K594">
        <v>1.2</v>
      </c>
      <c r="L594">
        <v>-4.4000000000000004</v>
      </c>
      <c r="N594">
        <v>3</v>
      </c>
      <c r="O594">
        <v>3</v>
      </c>
      <c r="P594" t="s">
        <v>513</v>
      </c>
      <c r="Q594" t="s">
        <v>400</v>
      </c>
      <c r="R594">
        <v>1.25</v>
      </c>
      <c r="S594">
        <v>2.5</v>
      </c>
      <c r="T594">
        <v>101752.742</v>
      </c>
      <c r="V594">
        <v>101752.742</v>
      </c>
      <c r="W594" t="s">
        <v>401</v>
      </c>
      <c r="X594">
        <v>1.2</v>
      </c>
      <c r="Y594">
        <v>-0.5</v>
      </c>
    </row>
    <row r="595" spans="1:25" x14ac:dyDescent="0.45">
      <c r="A595">
        <v>4</v>
      </c>
      <c r="B595">
        <v>4</v>
      </c>
      <c r="C595" t="s">
        <v>405</v>
      </c>
      <c r="D595" t="s">
        <v>400</v>
      </c>
      <c r="E595">
        <v>2.5</v>
      </c>
      <c r="F595">
        <v>2.5099999999999998</v>
      </c>
      <c r="G595">
        <v>182000.67199999999</v>
      </c>
      <c r="I595">
        <v>182000.67199999999</v>
      </c>
      <c r="J595" t="s">
        <v>403</v>
      </c>
      <c r="K595">
        <v>2.5</v>
      </c>
      <c r="L595">
        <v>-1.6</v>
      </c>
      <c r="N595">
        <v>4</v>
      </c>
      <c r="O595">
        <v>4</v>
      </c>
      <c r="P595" t="s">
        <v>514</v>
      </c>
      <c r="Q595" t="s">
        <v>400</v>
      </c>
      <c r="R595">
        <v>2.5</v>
      </c>
      <c r="S595">
        <v>2.5</v>
      </c>
      <c r="T595">
        <v>205606.25</v>
      </c>
      <c r="V595">
        <v>205606.25</v>
      </c>
      <c r="W595" t="s">
        <v>401</v>
      </c>
      <c r="X595">
        <v>2.5</v>
      </c>
      <c r="Y595">
        <v>1.4</v>
      </c>
    </row>
    <row r="596" spans="1:25" x14ac:dyDescent="0.45">
      <c r="A596">
        <v>5</v>
      </c>
      <c r="B596">
        <v>5</v>
      </c>
      <c r="C596" t="s">
        <v>406</v>
      </c>
      <c r="D596" t="s">
        <v>400</v>
      </c>
      <c r="E596">
        <v>3.5</v>
      </c>
      <c r="F596">
        <v>2.5099999999999998</v>
      </c>
      <c r="G596">
        <v>260129.32800000001</v>
      </c>
      <c r="I596">
        <v>260129.32800000001</v>
      </c>
      <c r="J596" t="s">
        <v>403</v>
      </c>
      <c r="K596">
        <v>3.5</v>
      </c>
      <c r="L596">
        <v>-0.5</v>
      </c>
      <c r="N596">
        <v>5</v>
      </c>
      <c r="O596">
        <v>5</v>
      </c>
      <c r="P596" t="s">
        <v>515</v>
      </c>
      <c r="Q596" t="s">
        <v>400</v>
      </c>
      <c r="R596">
        <v>3.5</v>
      </c>
      <c r="S596">
        <v>2.5</v>
      </c>
      <c r="T596">
        <v>292541.96899999998</v>
      </c>
      <c r="V596">
        <v>292541.96899999998</v>
      </c>
      <c r="W596" t="s">
        <v>401</v>
      </c>
      <c r="X596">
        <v>3.6</v>
      </c>
      <c r="Y596">
        <v>3.3</v>
      </c>
    </row>
    <row r="597" spans="1:25" x14ac:dyDescent="0.45">
      <c r="A597">
        <v>6</v>
      </c>
      <c r="B597">
        <v>6</v>
      </c>
      <c r="C597" t="s">
        <v>407</v>
      </c>
      <c r="D597" t="s">
        <v>400</v>
      </c>
      <c r="E597">
        <v>5</v>
      </c>
      <c r="F597">
        <v>2.5099999999999998</v>
      </c>
      <c r="G597">
        <v>377688.81300000002</v>
      </c>
      <c r="I597">
        <v>377688.81300000002</v>
      </c>
      <c r="J597" t="s">
        <v>401</v>
      </c>
      <c r="K597">
        <v>5</v>
      </c>
      <c r="L597">
        <v>0.4</v>
      </c>
      <c r="N597">
        <v>6</v>
      </c>
      <c r="O597">
        <v>6</v>
      </c>
      <c r="P597" t="s">
        <v>516</v>
      </c>
      <c r="Q597" t="s">
        <v>400</v>
      </c>
      <c r="R597">
        <v>5</v>
      </c>
      <c r="S597">
        <v>2.4900000000000002</v>
      </c>
      <c r="T597">
        <v>385775.625</v>
      </c>
      <c r="V597">
        <v>385775.625</v>
      </c>
      <c r="W597" t="s">
        <v>415</v>
      </c>
      <c r="X597">
        <v>4.8</v>
      </c>
      <c r="Y597">
        <v>-4.5</v>
      </c>
    </row>
    <row r="598" spans="1:25" x14ac:dyDescent="0.45">
      <c r="A598">
        <v>7</v>
      </c>
      <c r="B598">
        <v>7</v>
      </c>
      <c r="C598" t="s">
        <v>408</v>
      </c>
      <c r="D598" t="s">
        <v>400</v>
      </c>
      <c r="E598">
        <v>7</v>
      </c>
      <c r="F598">
        <v>2.5099999999999998</v>
      </c>
      <c r="G598">
        <v>530393.81299999997</v>
      </c>
      <c r="I598">
        <v>530393.81299999997</v>
      </c>
      <c r="J598" t="s">
        <v>401</v>
      </c>
      <c r="K598">
        <v>7</v>
      </c>
      <c r="L598">
        <v>0.3</v>
      </c>
      <c r="N598">
        <v>7</v>
      </c>
      <c r="O598">
        <v>7</v>
      </c>
      <c r="P598" t="s">
        <v>517</v>
      </c>
      <c r="Q598" t="s">
        <v>400</v>
      </c>
      <c r="R598">
        <v>7</v>
      </c>
      <c r="S598">
        <v>2.5</v>
      </c>
      <c r="T598">
        <v>572067.375</v>
      </c>
      <c r="V598">
        <v>572067.375</v>
      </c>
      <c r="W598" t="s">
        <v>401</v>
      </c>
      <c r="X598">
        <v>7.1</v>
      </c>
      <c r="Y598">
        <v>1.3</v>
      </c>
    </row>
    <row r="599" spans="1:25" x14ac:dyDescent="0.45">
      <c r="A599">
        <v>8</v>
      </c>
      <c r="B599">
        <v>8</v>
      </c>
      <c r="C599" t="s">
        <v>409</v>
      </c>
      <c r="D599" t="s">
        <v>410</v>
      </c>
      <c r="F599">
        <v>3.3</v>
      </c>
      <c r="G599">
        <v>1972.2619999999999</v>
      </c>
      <c r="I599">
        <v>1972.2619999999999</v>
      </c>
      <c r="J599" t="s">
        <v>403</v>
      </c>
      <c r="K599">
        <v>0.1</v>
      </c>
      <c r="N599">
        <v>8</v>
      </c>
      <c r="O599">
        <v>8</v>
      </c>
      <c r="P599" t="s">
        <v>518</v>
      </c>
      <c r="Q599" t="s">
        <v>410</v>
      </c>
      <c r="S599">
        <v>3.99</v>
      </c>
      <c r="T599">
        <v>2082.19</v>
      </c>
      <c r="V599">
        <v>2082.19</v>
      </c>
      <c r="W599" t="s">
        <v>415</v>
      </c>
      <c r="X599">
        <v>0</v>
      </c>
    </row>
    <row r="600" spans="1:25" x14ac:dyDescent="0.45">
      <c r="A600">
        <v>9</v>
      </c>
      <c r="B600">
        <v>9</v>
      </c>
      <c r="C600" t="s">
        <v>411</v>
      </c>
      <c r="D600" t="s">
        <v>410</v>
      </c>
      <c r="F600">
        <v>3.29</v>
      </c>
      <c r="G600">
        <v>1987.9010000000001</v>
      </c>
      <c r="I600">
        <v>1987.9010000000001</v>
      </c>
      <c r="J600" t="s">
        <v>403</v>
      </c>
      <c r="K600">
        <v>0.1</v>
      </c>
      <c r="N600">
        <v>9</v>
      </c>
      <c r="O600">
        <v>9</v>
      </c>
      <c r="P600" t="s">
        <v>519</v>
      </c>
      <c r="Q600" t="s">
        <v>410</v>
      </c>
      <c r="S600">
        <v>4</v>
      </c>
      <c r="T600">
        <v>1611.269</v>
      </c>
      <c r="V600">
        <v>1611.269</v>
      </c>
      <c r="W600" t="s">
        <v>477</v>
      </c>
    </row>
    <row r="601" spans="1:25" x14ac:dyDescent="0.45">
      <c r="A601">
        <v>10</v>
      </c>
      <c r="B601">
        <v>10</v>
      </c>
      <c r="C601" t="s">
        <v>413</v>
      </c>
      <c r="D601" t="s">
        <v>414</v>
      </c>
      <c r="F601">
        <v>3.29</v>
      </c>
      <c r="G601">
        <v>3250.056</v>
      </c>
      <c r="I601">
        <v>3250.056</v>
      </c>
      <c r="J601" t="s">
        <v>401</v>
      </c>
      <c r="K601">
        <v>0.1</v>
      </c>
      <c r="N601">
        <v>10</v>
      </c>
      <c r="O601">
        <v>10</v>
      </c>
      <c r="P601" t="s">
        <v>520</v>
      </c>
      <c r="Q601" t="s">
        <v>414</v>
      </c>
      <c r="S601">
        <v>3.29</v>
      </c>
      <c r="T601">
        <v>4450.5770000000002</v>
      </c>
      <c r="V601">
        <v>4450.5770000000002</v>
      </c>
      <c r="W601" t="s">
        <v>412</v>
      </c>
      <c r="X601">
        <v>0</v>
      </c>
    </row>
    <row r="602" spans="1:25" x14ac:dyDescent="0.45">
      <c r="A602">
        <v>11</v>
      </c>
      <c r="B602">
        <v>11</v>
      </c>
      <c r="C602" t="s">
        <v>416</v>
      </c>
      <c r="D602" t="s">
        <v>414</v>
      </c>
      <c r="F602">
        <v>3.11</v>
      </c>
      <c r="G602">
        <v>4168.857</v>
      </c>
      <c r="I602">
        <v>4168.857</v>
      </c>
      <c r="J602" t="s">
        <v>412</v>
      </c>
      <c r="K602">
        <v>0.1</v>
      </c>
      <c r="N602">
        <v>11</v>
      </c>
      <c r="O602">
        <v>11</v>
      </c>
      <c r="P602" t="s">
        <v>521</v>
      </c>
      <c r="Q602" t="s">
        <v>414</v>
      </c>
      <c r="S602">
        <v>3.29</v>
      </c>
      <c r="T602">
        <v>4357.9309999999996</v>
      </c>
      <c r="V602">
        <v>4357.9309999999996</v>
      </c>
      <c r="W602" t="s">
        <v>415</v>
      </c>
      <c r="X602">
        <v>0</v>
      </c>
    </row>
    <row r="603" spans="1:25" x14ac:dyDescent="0.45">
      <c r="A603">
        <v>12</v>
      </c>
      <c r="B603">
        <v>12</v>
      </c>
      <c r="C603" t="s">
        <v>417</v>
      </c>
      <c r="D603" t="s">
        <v>414</v>
      </c>
      <c r="F603">
        <v>3.11</v>
      </c>
      <c r="G603">
        <v>3158.8380000000002</v>
      </c>
      <c r="I603">
        <v>3158.8380000000002</v>
      </c>
      <c r="J603" t="s">
        <v>412</v>
      </c>
      <c r="K603">
        <v>0.1</v>
      </c>
      <c r="N603">
        <v>12</v>
      </c>
      <c r="O603">
        <v>12</v>
      </c>
      <c r="P603" t="s">
        <v>522</v>
      </c>
      <c r="Q603" t="s">
        <v>414</v>
      </c>
      <c r="S603">
        <v>3.29</v>
      </c>
      <c r="T603">
        <v>3803.5509999999999</v>
      </c>
      <c r="V603">
        <v>3803.5509999999999</v>
      </c>
      <c r="W603" t="s">
        <v>415</v>
      </c>
      <c r="X603">
        <v>0</v>
      </c>
    </row>
    <row r="604" spans="1:25" x14ac:dyDescent="0.45">
      <c r="A604">
        <v>13</v>
      </c>
      <c r="B604">
        <v>13</v>
      </c>
      <c r="C604" t="s">
        <v>418</v>
      </c>
      <c r="D604" t="s">
        <v>414</v>
      </c>
      <c r="F604">
        <v>3.11</v>
      </c>
      <c r="G604">
        <v>2822.4569999999999</v>
      </c>
      <c r="I604">
        <v>2822.4569999999999</v>
      </c>
      <c r="J604" t="s">
        <v>415</v>
      </c>
      <c r="K604">
        <v>0.1</v>
      </c>
      <c r="N604">
        <v>13</v>
      </c>
      <c r="O604">
        <v>13</v>
      </c>
      <c r="P604" t="s">
        <v>523</v>
      </c>
      <c r="Q604" t="s">
        <v>414</v>
      </c>
      <c r="S604">
        <v>3.29</v>
      </c>
      <c r="T604">
        <v>5071.768</v>
      </c>
      <c r="V604">
        <v>5071.768</v>
      </c>
      <c r="W604" t="s">
        <v>415</v>
      </c>
      <c r="X604">
        <v>0</v>
      </c>
    </row>
    <row r="605" spans="1:25" x14ac:dyDescent="0.45">
      <c r="A605">
        <v>14</v>
      </c>
      <c r="B605">
        <v>14</v>
      </c>
      <c r="C605" t="s">
        <v>419</v>
      </c>
      <c r="D605" t="s">
        <v>414</v>
      </c>
      <c r="F605">
        <v>3.11</v>
      </c>
      <c r="G605">
        <v>3959.84</v>
      </c>
      <c r="I605">
        <v>3959.84</v>
      </c>
      <c r="J605" t="s">
        <v>412</v>
      </c>
      <c r="K605">
        <v>0.1</v>
      </c>
      <c r="N605">
        <v>14</v>
      </c>
      <c r="O605">
        <v>14</v>
      </c>
      <c r="P605" t="s">
        <v>524</v>
      </c>
      <c r="Q605" t="s">
        <v>414</v>
      </c>
      <c r="S605">
        <v>3.29</v>
      </c>
      <c r="T605">
        <v>2936.99</v>
      </c>
      <c r="V605">
        <v>2936.99</v>
      </c>
      <c r="W605" t="s">
        <v>412</v>
      </c>
      <c r="X605">
        <v>0</v>
      </c>
    </row>
    <row r="606" spans="1:25" x14ac:dyDescent="0.45">
      <c r="A606">
        <v>15</v>
      </c>
      <c r="B606">
        <v>15</v>
      </c>
      <c r="C606" t="s">
        <v>420</v>
      </c>
      <c r="D606" t="s">
        <v>414</v>
      </c>
      <c r="F606">
        <v>3.11</v>
      </c>
      <c r="G606">
        <v>4295.7730000000001</v>
      </c>
      <c r="I606">
        <v>4295.7730000000001</v>
      </c>
      <c r="J606" t="s">
        <v>412</v>
      </c>
      <c r="K606">
        <v>0.1</v>
      </c>
      <c r="N606">
        <v>15</v>
      </c>
      <c r="O606">
        <v>15</v>
      </c>
      <c r="P606" t="s">
        <v>525</v>
      </c>
      <c r="Q606" t="s">
        <v>414</v>
      </c>
      <c r="S606">
        <v>3.29</v>
      </c>
      <c r="T606">
        <v>3830.9290000000001</v>
      </c>
      <c r="V606">
        <v>3830.9290000000001</v>
      </c>
      <c r="W606" t="s">
        <v>401</v>
      </c>
      <c r="X606">
        <v>0</v>
      </c>
    </row>
    <row r="607" spans="1:25" x14ac:dyDescent="0.45">
      <c r="A607">
        <v>16</v>
      </c>
      <c r="B607">
        <v>16</v>
      </c>
      <c r="C607" t="s">
        <v>421</v>
      </c>
      <c r="D607" t="s">
        <v>414</v>
      </c>
      <c r="F607">
        <v>3.11</v>
      </c>
      <c r="G607">
        <v>4207.2550000000001</v>
      </c>
      <c r="I607">
        <v>4207.2550000000001</v>
      </c>
      <c r="J607" t="s">
        <v>412</v>
      </c>
      <c r="K607">
        <v>0.1</v>
      </c>
      <c r="N607">
        <v>16</v>
      </c>
      <c r="O607">
        <v>16</v>
      </c>
      <c r="P607" t="s">
        <v>526</v>
      </c>
      <c r="Q607" t="s">
        <v>414</v>
      </c>
      <c r="S607">
        <v>3.29</v>
      </c>
      <c r="T607">
        <v>4656.5510000000004</v>
      </c>
      <c r="V607">
        <v>4656.5510000000004</v>
      </c>
      <c r="W607" t="s">
        <v>401</v>
      </c>
      <c r="X607">
        <v>0</v>
      </c>
    </row>
    <row r="608" spans="1:25" x14ac:dyDescent="0.45">
      <c r="A608">
        <v>17</v>
      </c>
      <c r="B608">
        <v>17</v>
      </c>
      <c r="C608" t="s">
        <v>422</v>
      </c>
      <c r="D608" t="s">
        <v>414</v>
      </c>
      <c r="F608">
        <v>3.11</v>
      </c>
      <c r="G608">
        <v>3460.0740000000001</v>
      </c>
      <c r="I608">
        <v>3460.0740000000001</v>
      </c>
      <c r="J608" t="s">
        <v>412</v>
      </c>
      <c r="K608">
        <v>0.1</v>
      </c>
      <c r="N608">
        <v>17</v>
      </c>
      <c r="O608">
        <v>17</v>
      </c>
      <c r="P608" t="s">
        <v>527</v>
      </c>
      <c r="Q608" t="s">
        <v>414</v>
      </c>
      <c r="S608">
        <v>3.29</v>
      </c>
      <c r="T608">
        <v>3759.2539999999999</v>
      </c>
      <c r="V608">
        <v>3759.2539999999999</v>
      </c>
      <c r="W608" t="s">
        <v>415</v>
      </c>
      <c r="X608">
        <v>0</v>
      </c>
    </row>
    <row r="609" spans="1:24" x14ac:dyDescent="0.45">
      <c r="A609">
        <v>18</v>
      </c>
      <c r="B609">
        <v>18</v>
      </c>
      <c r="C609" t="s">
        <v>423</v>
      </c>
      <c r="D609" t="s">
        <v>414</v>
      </c>
      <c r="F609">
        <v>3.11</v>
      </c>
      <c r="G609">
        <v>4534.4939999999997</v>
      </c>
      <c r="I609">
        <v>4534.4939999999997</v>
      </c>
      <c r="J609" t="s">
        <v>412</v>
      </c>
      <c r="K609">
        <v>0.1</v>
      </c>
      <c r="N609">
        <v>18</v>
      </c>
      <c r="O609">
        <v>18</v>
      </c>
      <c r="P609" t="s">
        <v>528</v>
      </c>
      <c r="Q609" t="s">
        <v>414</v>
      </c>
      <c r="S609">
        <v>3.29</v>
      </c>
      <c r="T609">
        <v>3499.6660000000002</v>
      </c>
      <c r="V609">
        <v>3499.6660000000002</v>
      </c>
      <c r="W609" t="s">
        <v>403</v>
      </c>
      <c r="X609">
        <v>0</v>
      </c>
    </row>
    <row r="610" spans="1:24" x14ac:dyDescent="0.45">
      <c r="A610">
        <v>19</v>
      </c>
      <c r="B610">
        <v>19</v>
      </c>
      <c r="C610" t="s">
        <v>424</v>
      </c>
      <c r="D610" t="s">
        <v>414</v>
      </c>
      <c r="F610">
        <v>3.11</v>
      </c>
      <c r="G610">
        <v>4472.1859999999997</v>
      </c>
      <c r="I610">
        <v>4472.1859999999997</v>
      </c>
      <c r="J610" t="s">
        <v>412</v>
      </c>
      <c r="K610">
        <v>0.1</v>
      </c>
      <c r="N610">
        <v>19</v>
      </c>
      <c r="O610">
        <v>19</v>
      </c>
      <c r="P610" t="s">
        <v>529</v>
      </c>
      <c r="Q610" t="s">
        <v>414</v>
      </c>
      <c r="S610">
        <v>3.29</v>
      </c>
      <c r="T610">
        <v>5619.0420000000004</v>
      </c>
      <c r="V610">
        <v>5619.0420000000004</v>
      </c>
      <c r="W610" t="s">
        <v>415</v>
      </c>
      <c r="X610">
        <v>0</v>
      </c>
    </row>
    <row r="611" spans="1:24" x14ac:dyDescent="0.45">
      <c r="A611">
        <v>20</v>
      </c>
      <c r="B611">
        <v>20</v>
      </c>
      <c r="C611" t="s">
        <v>425</v>
      </c>
      <c r="D611" t="s">
        <v>414</v>
      </c>
      <c r="F611">
        <v>3.29</v>
      </c>
      <c r="G611">
        <v>3286.0819999999999</v>
      </c>
      <c r="I611">
        <v>3286.0819999999999</v>
      </c>
      <c r="J611" t="s">
        <v>415</v>
      </c>
      <c r="K611">
        <v>0.1</v>
      </c>
      <c r="N611">
        <v>20</v>
      </c>
      <c r="O611">
        <v>20</v>
      </c>
      <c r="P611" t="s">
        <v>530</v>
      </c>
      <c r="Q611" t="s">
        <v>414</v>
      </c>
      <c r="S611">
        <v>3.29</v>
      </c>
      <c r="T611">
        <v>5421.723</v>
      </c>
      <c r="V611">
        <v>5421.723</v>
      </c>
      <c r="W611" t="s">
        <v>415</v>
      </c>
      <c r="X611">
        <v>0</v>
      </c>
    </row>
    <row r="612" spans="1:24" x14ac:dyDescent="0.45">
      <c r="A612">
        <v>21</v>
      </c>
      <c r="B612">
        <v>21</v>
      </c>
      <c r="C612" t="s">
        <v>426</v>
      </c>
      <c r="D612" t="s">
        <v>414</v>
      </c>
      <c r="F612">
        <v>3.11</v>
      </c>
      <c r="G612">
        <v>4272.7389999999996</v>
      </c>
      <c r="I612">
        <v>4272.7389999999996</v>
      </c>
      <c r="J612" t="s">
        <v>403</v>
      </c>
      <c r="K612">
        <v>0.1</v>
      </c>
      <c r="N612">
        <v>21</v>
      </c>
      <c r="O612">
        <v>21</v>
      </c>
      <c r="P612" t="s">
        <v>531</v>
      </c>
      <c r="Q612" t="s">
        <v>414</v>
      </c>
      <c r="S612">
        <v>3.29</v>
      </c>
      <c r="T612">
        <v>4062.8</v>
      </c>
      <c r="V612">
        <v>4062.8</v>
      </c>
      <c r="W612" t="s">
        <v>415</v>
      </c>
      <c r="X612">
        <v>0</v>
      </c>
    </row>
    <row r="613" spans="1:24" x14ac:dyDescent="0.45">
      <c r="A613">
        <v>22</v>
      </c>
      <c r="B613">
        <v>22</v>
      </c>
      <c r="C613" t="s">
        <v>427</v>
      </c>
      <c r="D613" t="s">
        <v>414</v>
      </c>
      <c r="F613">
        <v>3.3</v>
      </c>
      <c r="G613">
        <v>3852.8539999999998</v>
      </c>
      <c r="I613">
        <v>3852.8539999999998</v>
      </c>
      <c r="J613" t="s">
        <v>401</v>
      </c>
      <c r="K613">
        <v>0.1</v>
      </c>
      <c r="N613">
        <v>22</v>
      </c>
      <c r="O613">
        <v>22</v>
      </c>
      <c r="P613" t="s">
        <v>532</v>
      </c>
      <c r="Q613" t="s">
        <v>414</v>
      </c>
      <c r="S613">
        <v>3.29</v>
      </c>
      <c r="T613">
        <v>4752.0479999999998</v>
      </c>
      <c r="V613">
        <v>4752.0479999999998</v>
      </c>
      <c r="W613" t="s">
        <v>401</v>
      </c>
      <c r="X613">
        <v>0</v>
      </c>
    </row>
    <row r="614" spans="1:24" x14ac:dyDescent="0.45">
      <c r="A614">
        <v>23</v>
      </c>
      <c r="B614">
        <v>23</v>
      </c>
      <c r="C614" t="s">
        <v>428</v>
      </c>
      <c r="D614" t="s">
        <v>414</v>
      </c>
      <c r="F614">
        <v>3.3</v>
      </c>
      <c r="G614">
        <v>4627.7049999999999</v>
      </c>
      <c r="I614">
        <v>4627.7049999999999</v>
      </c>
      <c r="J614" t="s">
        <v>401</v>
      </c>
      <c r="K614">
        <v>0.1</v>
      </c>
      <c r="N614">
        <v>23</v>
      </c>
      <c r="O614">
        <v>23</v>
      </c>
      <c r="P614" t="s">
        <v>533</v>
      </c>
      <c r="Q614" t="s">
        <v>414</v>
      </c>
      <c r="S614">
        <v>3.29</v>
      </c>
      <c r="T614">
        <v>3664.433</v>
      </c>
      <c r="V614">
        <v>3664.433</v>
      </c>
      <c r="W614" t="s">
        <v>412</v>
      </c>
      <c r="X614">
        <v>0</v>
      </c>
    </row>
    <row r="615" spans="1:24" x14ac:dyDescent="0.45">
      <c r="A615">
        <v>24</v>
      </c>
      <c r="B615">
        <v>24</v>
      </c>
      <c r="C615" t="s">
        <v>429</v>
      </c>
      <c r="D615" t="s">
        <v>414</v>
      </c>
      <c r="F615">
        <v>3.29</v>
      </c>
      <c r="G615">
        <v>3849.2510000000002</v>
      </c>
      <c r="I615">
        <v>3849.2510000000002</v>
      </c>
      <c r="J615" t="s">
        <v>415</v>
      </c>
      <c r="K615">
        <v>0.1</v>
      </c>
      <c r="N615">
        <v>24</v>
      </c>
      <c r="O615">
        <v>24</v>
      </c>
      <c r="P615" t="s">
        <v>534</v>
      </c>
      <c r="Q615" t="s">
        <v>414</v>
      </c>
      <c r="S615">
        <v>3.29</v>
      </c>
      <c r="T615">
        <v>4544.1859999999997</v>
      </c>
      <c r="V615">
        <v>4544.1859999999997</v>
      </c>
      <c r="W615" t="s">
        <v>415</v>
      </c>
      <c r="X615">
        <v>0</v>
      </c>
    </row>
    <row r="616" spans="1:24" x14ac:dyDescent="0.45">
      <c r="A616">
        <v>25</v>
      </c>
      <c r="B616">
        <v>25</v>
      </c>
      <c r="C616" t="s">
        <v>430</v>
      </c>
      <c r="D616" t="s">
        <v>414</v>
      </c>
      <c r="F616">
        <v>3.29</v>
      </c>
      <c r="G616">
        <v>4640.0039999999999</v>
      </c>
      <c r="I616">
        <v>4640.0039999999999</v>
      </c>
      <c r="J616" t="s">
        <v>415</v>
      </c>
      <c r="K616">
        <v>0.1</v>
      </c>
      <c r="N616">
        <v>25</v>
      </c>
      <c r="O616">
        <v>25</v>
      </c>
      <c r="P616" t="s">
        <v>535</v>
      </c>
      <c r="Q616" t="s">
        <v>414</v>
      </c>
      <c r="S616">
        <v>3.29</v>
      </c>
      <c r="T616">
        <v>8219.6090000000004</v>
      </c>
      <c r="V616">
        <v>8219.6090000000004</v>
      </c>
      <c r="W616" t="s">
        <v>401</v>
      </c>
      <c r="X616">
        <v>0.1</v>
      </c>
    </row>
    <row r="617" spans="1:24" x14ac:dyDescent="0.45">
      <c r="A617">
        <v>26</v>
      </c>
      <c r="B617">
        <v>26</v>
      </c>
      <c r="C617" t="s">
        <v>431</v>
      </c>
      <c r="D617" t="s">
        <v>414</v>
      </c>
      <c r="F617">
        <v>3.11</v>
      </c>
      <c r="G617">
        <v>2591.8420000000001</v>
      </c>
      <c r="I617">
        <v>2591.8420000000001</v>
      </c>
      <c r="J617" t="s">
        <v>412</v>
      </c>
      <c r="K617">
        <v>0.1</v>
      </c>
      <c r="N617">
        <v>26</v>
      </c>
      <c r="O617">
        <v>26</v>
      </c>
      <c r="P617" t="s">
        <v>536</v>
      </c>
      <c r="Q617" t="s">
        <v>414</v>
      </c>
      <c r="S617">
        <v>3.29</v>
      </c>
      <c r="T617">
        <v>4260.451</v>
      </c>
      <c r="V617">
        <v>4260.451</v>
      </c>
      <c r="W617" t="s">
        <v>415</v>
      </c>
      <c r="X617">
        <v>0</v>
      </c>
    </row>
    <row r="618" spans="1:24" x14ac:dyDescent="0.45">
      <c r="A618">
        <v>27</v>
      </c>
      <c r="B618">
        <v>27</v>
      </c>
      <c r="C618" t="s">
        <v>432</v>
      </c>
      <c r="D618" t="s">
        <v>414</v>
      </c>
      <c r="F618">
        <v>3.3</v>
      </c>
      <c r="G618">
        <v>3330.9340000000002</v>
      </c>
      <c r="I618">
        <v>3330.9340000000002</v>
      </c>
      <c r="J618" t="s">
        <v>412</v>
      </c>
      <c r="K618">
        <v>0.1</v>
      </c>
      <c r="N618">
        <v>27</v>
      </c>
      <c r="O618">
        <v>27</v>
      </c>
      <c r="P618" t="s">
        <v>537</v>
      </c>
      <c r="Q618" t="s">
        <v>414</v>
      </c>
      <c r="S618">
        <v>3.28</v>
      </c>
      <c r="T618">
        <v>3948.65</v>
      </c>
      <c r="V618">
        <v>3948.65</v>
      </c>
      <c r="W618" t="s">
        <v>412</v>
      </c>
      <c r="X618">
        <v>0</v>
      </c>
    </row>
    <row r="619" spans="1:24" x14ac:dyDescent="0.45">
      <c r="A619">
        <v>28</v>
      </c>
      <c r="B619">
        <v>28</v>
      </c>
      <c r="C619" t="s">
        <v>433</v>
      </c>
      <c r="D619" t="s">
        <v>414</v>
      </c>
      <c r="F619">
        <v>3.29</v>
      </c>
      <c r="G619">
        <v>3984.4279999999999</v>
      </c>
      <c r="I619">
        <v>3984.4279999999999</v>
      </c>
      <c r="J619" t="s">
        <v>415</v>
      </c>
      <c r="K619">
        <v>0.1</v>
      </c>
      <c r="N619">
        <v>28</v>
      </c>
      <c r="O619">
        <v>28</v>
      </c>
      <c r="P619" t="s">
        <v>538</v>
      </c>
      <c r="Q619" t="s">
        <v>414</v>
      </c>
      <c r="S619">
        <v>3.28</v>
      </c>
      <c r="T619">
        <v>3993.49</v>
      </c>
      <c r="V619">
        <v>3993.49</v>
      </c>
      <c r="W619" t="s">
        <v>401</v>
      </c>
      <c r="X619">
        <v>0</v>
      </c>
    </row>
    <row r="620" spans="1:24" x14ac:dyDescent="0.45">
      <c r="A620">
        <v>29</v>
      </c>
      <c r="B620">
        <v>29</v>
      </c>
      <c r="C620" t="s">
        <v>434</v>
      </c>
      <c r="D620" t="s">
        <v>414</v>
      </c>
      <c r="F620">
        <v>3.29</v>
      </c>
      <c r="G620">
        <v>3608.4169999999999</v>
      </c>
      <c r="I620">
        <v>3608.4169999999999</v>
      </c>
      <c r="J620" t="s">
        <v>412</v>
      </c>
      <c r="K620">
        <v>0.1</v>
      </c>
      <c r="N620">
        <v>29</v>
      </c>
      <c r="O620">
        <v>29</v>
      </c>
      <c r="P620" t="s">
        <v>539</v>
      </c>
      <c r="Q620" t="s">
        <v>414</v>
      </c>
      <c r="S620">
        <v>3.28</v>
      </c>
      <c r="T620">
        <v>7105.7129999999997</v>
      </c>
      <c r="V620">
        <v>7105.7129999999997</v>
      </c>
      <c r="W620" t="s">
        <v>415</v>
      </c>
      <c r="X620">
        <v>0.1</v>
      </c>
    </row>
    <row r="621" spans="1:24" x14ac:dyDescent="0.45">
      <c r="A621">
        <v>30</v>
      </c>
      <c r="B621">
        <v>30</v>
      </c>
      <c r="C621" t="s">
        <v>435</v>
      </c>
      <c r="D621" t="s">
        <v>414</v>
      </c>
      <c r="F621">
        <v>3.29</v>
      </c>
      <c r="G621">
        <v>3391.4259999999999</v>
      </c>
      <c r="I621">
        <v>3391.4259999999999</v>
      </c>
      <c r="J621" t="s">
        <v>415</v>
      </c>
      <c r="K621">
        <v>0.1</v>
      </c>
      <c r="N621">
        <v>30</v>
      </c>
      <c r="O621">
        <v>30</v>
      </c>
      <c r="P621" t="s">
        <v>540</v>
      </c>
      <c r="Q621" t="s">
        <v>414</v>
      </c>
      <c r="S621">
        <v>3.28</v>
      </c>
      <c r="T621">
        <v>5416.518</v>
      </c>
      <c r="V621">
        <v>5416.518</v>
      </c>
      <c r="W621" t="s">
        <v>415</v>
      </c>
      <c r="X621">
        <v>0</v>
      </c>
    </row>
    <row r="622" spans="1:24" x14ac:dyDescent="0.45">
      <c r="A622">
        <v>31</v>
      </c>
      <c r="B622">
        <v>31</v>
      </c>
      <c r="C622" t="s">
        <v>436</v>
      </c>
      <c r="D622" t="s">
        <v>414</v>
      </c>
      <c r="F622">
        <v>3.11</v>
      </c>
      <c r="G622">
        <v>3318.94</v>
      </c>
      <c r="I622">
        <v>3318.94</v>
      </c>
      <c r="J622" t="s">
        <v>412</v>
      </c>
      <c r="K622">
        <v>0.1</v>
      </c>
      <c r="N622">
        <v>31</v>
      </c>
      <c r="O622">
        <v>31</v>
      </c>
      <c r="P622" t="s">
        <v>541</v>
      </c>
      <c r="Q622" t="s">
        <v>414</v>
      </c>
      <c r="S622">
        <v>3.29</v>
      </c>
      <c r="T622">
        <v>5201.9930000000004</v>
      </c>
      <c r="V622">
        <v>5201.9930000000004</v>
      </c>
      <c r="W622" t="s">
        <v>415</v>
      </c>
      <c r="X622">
        <v>0</v>
      </c>
    </row>
    <row r="623" spans="1:24" x14ac:dyDescent="0.45">
      <c r="A623">
        <v>32</v>
      </c>
      <c r="B623">
        <v>32</v>
      </c>
      <c r="C623" t="s">
        <v>437</v>
      </c>
      <c r="D623" t="s">
        <v>414</v>
      </c>
      <c r="F623">
        <v>3.29</v>
      </c>
      <c r="G623">
        <v>4116.4939999999997</v>
      </c>
      <c r="I623">
        <v>4116.4939999999997</v>
      </c>
      <c r="J623" t="s">
        <v>415</v>
      </c>
      <c r="K623">
        <v>0.1</v>
      </c>
      <c r="N623">
        <v>32</v>
      </c>
      <c r="O623">
        <v>32</v>
      </c>
      <c r="P623" t="s">
        <v>542</v>
      </c>
      <c r="Q623" t="s">
        <v>414</v>
      </c>
      <c r="S623">
        <v>3.29</v>
      </c>
      <c r="T623">
        <v>4331.2190000000001</v>
      </c>
      <c r="V623">
        <v>4331.2190000000001</v>
      </c>
      <c r="W623" t="s">
        <v>401</v>
      </c>
      <c r="X623">
        <v>0</v>
      </c>
    </row>
    <row r="624" spans="1:24" x14ac:dyDescent="0.45">
      <c r="A624">
        <v>33</v>
      </c>
      <c r="B624">
        <v>33</v>
      </c>
      <c r="C624" t="s">
        <v>438</v>
      </c>
      <c r="D624" t="s">
        <v>414</v>
      </c>
      <c r="F624">
        <v>3.29</v>
      </c>
      <c r="G624">
        <v>4482.5110000000004</v>
      </c>
      <c r="I624">
        <v>4482.5110000000004</v>
      </c>
      <c r="J624" t="s">
        <v>401</v>
      </c>
      <c r="K624">
        <v>0.1</v>
      </c>
      <c r="N624">
        <v>33</v>
      </c>
      <c r="O624">
        <v>33</v>
      </c>
      <c r="P624" t="s">
        <v>543</v>
      </c>
      <c r="Q624" t="s">
        <v>414</v>
      </c>
      <c r="S624">
        <v>3.29</v>
      </c>
      <c r="T624">
        <v>4058.5639999999999</v>
      </c>
      <c r="V624">
        <v>4058.5639999999999</v>
      </c>
      <c r="W624" t="s">
        <v>403</v>
      </c>
      <c r="X624">
        <v>0</v>
      </c>
    </row>
    <row r="625" spans="1:24" x14ac:dyDescent="0.45">
      <c r="A625">
        <v>34</v>
      </c>
      <c r="B625">
        <v>34</v>
      </c>
      <c r="C625" t="s">
        <v>439</v>
      </c>
      <c r="D625" t="s">
        <v>414</v>
      </c>
      <c r="F625">
        <v>3.29</v>
      </c>
      <c r="G625">
        <v>4602.6059999999998</v>
      </c>
      <c r="I625">
        <v>4602.6059999999998</v>
      </c>
      <c r="J625" t="s">
        <v>415</v>
      </c>
      <c r="K625">
        <v>0.1</v>
      </c>
      <c r="N625">
        <v>34</v>
      </c>
      <c r="O625">
        <v>34</v>
      </c>
      <c r="P625" t="s">
        <v>544</v>
      </c>
      <c r="Q625" t="s">
        <v>414</v>
      </c>
      <c r="S625">
        <v>3.28</v>
      </c>
      <c r="T625">
        <v>4323.5519999999997</v>
      </c>
      <c r="V625">
        <v>4323.5519999999997</v>
      </c>
      <c r="W625" t="s">
        <v>415</v>
      </c>
      <c r="X625">
        <v>0</v>
      </c>
    </row>
    <row r="626" spans="1:24" x14ac:dyDescent="0.45">
      <c r="A626">
        <v>35</v>
      </c>
      <c r="B626">
        <v>35</v>
      </c>
      <c r="C626" t="s">
        <v>440</v>
      </c>
      <c r="D626" t="s">
        <v>414</v>
      </c>
      <c r="F626">
        <v>3.11</v>
      </c>
      <c r="G626">
        <v>3858.1120000000001</v>
      </c>
      <c r="I626">
        <v>3858.1120000000001</v>
      </c>
      <c r="J626" t="s">
        <v>412</v>
      </c>
      <c r="K626">
        <v>0.1</v>
      </c>
      <c r="N626">
        <v>35</v>
      </c>
      <c r="O626">
        <v>35</v>
      </c>
      <c r="P626" t="s">
        <v>545</v>
      </c>
      <c r="Q626" t="s">
        <v>414</v>
      </c>
      <c r="S626">
        <v>3.28</v>
      </c>
      <c r="T626">
        <v>4327.607</v>
      </c>
      <c r="V626">
        <v>4327.607</v>
      </c>
      <c r="W626" t="s">
        <v>415</v>
      </c>
      <c r="X626">
        <v>0</v>
      </c>
    </row>
    <row r="627" spans="1:24" x14ac:dyDescent="0.45">
      <c r="A627">
        <v>36</v>
      </c>
      <c r="B627">
        <v>36</v>
      </c>
      <c r="C627" t="s">
        <v>441</v>
      </c>
      <c r="D627" t="s">
        <v>414</v>
      </c>
      <c r="F627">
        <v>3.11</v>
      </c>
      <c r="G627">
        <v>3830.1550000000002</v>
      </c>
      <c r="I627">
        <v>3830.1550000000002</v>
      </c>
      <c r="J627" t="s">
        <v>412</v>
      </c>
      <c r="K627">
        <v>0.1</v>
      </c>
      <c r="N627">
        <v>36</v>
      </c>
      <c r="O627">
        <v>36</v>
      </c>
      <c r="P627" t="s">
        <v>546</v>
      </c>
      <c r="Q627" t="s">
        <v>414</v>
      </c>
      <c r="S627">
        <v>3.29</v>
      </c>
      <c r="T627">
        <v>5475.3389999999999</v>
      </c>
      <c r="V627">
        <v>5475.3389999999999</v>
      </c>
      <c r="W627" t="s">
        <v>415</v>
      </c>
      <c r="X627">
        <v>0</v>
      </c>
    </row>
    <row r="628" spans="1:24" x14ac:dyDescent="0.45">
      <c r="A628">
        <v>37</v>
      </c>
      <c r="B628">
        <v>37</v>
      </c>
      <c r="C628" t="s">
        <v>442</v>
      </c>
      <c r="D628" t="s">
        <v>414</v>
      </c>
      <c r="F628">
        <v>3.3</v>
      </c>
      <c r="G628">
        <v>4126.5389999999998</v>
      </c>
      <c r="I628">
        <v>4126.5389999999998</v>
      </c>
      <c r="J628" t="s">
        <v>415</v>
      </c>
      <c r="K628">
        <v>0.1</v>
      </c>
      <c r="N628">
        <v>37</v>
      </c>
      <c r="O628">
        <v>37</v>
      </c>
      <c r="P628" t="s">
        <v>547</v>
      </c>
      <c r="Q628" t="s">
        <v>414</v>
      </c>
      <c r="S628">
        <v>3.1</v>
      </c>
      <c r="T628">
        <v>2435.6680000000001</v>
      </c>
      <c r="V628">
        <v>2435.6680000000001</v>
      </c>
      <c r="W628" t="s">
        <v>415</v>
      </c>
      <c r="X628">
        <v>0</v>
      </c>
    </row>
    <row r="629" spans="1:24" x14ac:dyDescent="0.45">
      <c r="A629">
        <v>38</v>
      </c>
      <c r="B629">
        <v>38</v>
      </c>
      <c r="C629" t="s">
        <v>443</v>
      </c>
      <c r="D629" t="s">
        <v>414</v>
      </c>
      <c r="F629">
        <v>3.11</v>
      </c>
      <c r="G629">
        <v>2495.384</v>
      </c>
      <c r="I629">
        <v>2495.384</v>
      </c>
      <c r="J629" t="s">
        <v>412</v>
      </c>
      <c r="K629">
        <v>0.1</v>
      </c>
      <c r="N629">
        <v>38</v>
      </c>
      <c r="O629">
        <v>38</v>
      </c>
      <c r="P629" t="s">
        <v>548</v>
      </c>
      <c r="Q629" t="s">
        <v>414</v>
      </c>
      <c r="S629">
        <v>3.28</v>
      </c>
      <c r="T629">
        <v>3418.183</v>
      </c>
      <c r="V629">
        <v>3418.183</v>
      </c>
      <c r="W629" t="s">
        <v>415</v>
      </c>
      <c r="X629">
        <v>0</v>
      </c>
    </row>
    <row r="630" spans="1:24" x14ac:dyDescent="0.45">
      <c r="A630">
        <v>39</v>
      </c>
      <c r="B630">
        <v>39</v>
      </c>
      <c r="C630" t="s">
        <v>444</v>
      </c>
      <c r="D630" t="s">
        <v>414</v>
      </c>
      <c r="F630">
        <v>3.11</v>
      </c>
      <c r="G630">
        <v>3394.4789999999998</v>
      </c>
      <c r="I630">
        <v>3394.4789999999998</v>
      </c>
      <c r="J630" t="s">
        <v>412</v>
      </c>
      <c r="K630">
        <v>0.1</v>
      </c>
      <c r="N630">
        <v>39</v>
      </c>
      <c r="O630">
        <v>39</v>
      </c>
      <c r="P630" t="s">
        <v>549</v>
      </c>
      <c r="Q630" t="s">
        <v>414</v>
      </c>
      <c r="S630">
        <v>3.29</v>
      </c>
      <c r="T630">
        <v>4561.6570000000002</v>
      </c>
      <c r="V630">
        <v>4561.6570000000002</v>
      </c>
      <c r="W630" t="s">
        <v>415</v>
      </c>
      <c r="X630">
        <v>0</v>
      </c>
    </row>
    <row r="631" spans="1:24" x14ac:dyDescent="0.45">
      <c r="A631">
        <v>40</v>
      </c>
      <c r="B631">
        <v>40</v>
      </c>
      <c r="C631" t="s">
        <v>445</v>
      </c>
      <c r="D631" t="s">
        <v>414</v>
      </c>
      <c r="F631">
        <v>3.11</v>
      </c>
      <c r="G631">
        <v>5213.9579999999996</v>
      </c>
      <c r="I631">
        <v>5213.9579999999996</v>
      </c>
      <c r="J631" t="s">
        <v>412</v>
      </c>
      <c r="K631">
        <v>0.1</v>
      </c>
      <c r="N631">
        <v>40</v>
      </c>
      <c r="O631">
        <v>40</v>
      </c>
      <c r="P631" t="s">
        <v>550</v>
      </c>
      <c r="Q631" t="s">
        <v>414</v>
      </c>
      <c r="S631">
        <v>3.29</v>
      </c>
      <c r="T631">
        <v>4439.6459999999997</v>
      </c>
      <c r="V631">
        <v>4439.6459999999997</v>
      </c>
      <c r="W631" t="s">
        <v>415</v>
      </c>
      <c r="X631">
        <v>0</v>
      </c>
    </row>
    <row r="632" spans="1:24" x14ac:dyDescent="0.45">
      <c r="A632">
        <v>41</v>
      </c>
      <c r="B632">
        <v>41</v>
      </c>
      <c r="C632" t="s">
        <v>446</v>
      </c>
      <c r="D632" t="s">
        <v>414</v>
      </c>
      <c r="F632">
        <v>3.11</v>
      </c>
      <c r="G632">
        <v>4601.0810000000001</v>
      </c>
      <c r="I632">
        <v>4601.0810000000001</v>
      </c>
      <c r="J632" t="s">
        <v>415</v>
      </c>
      <c r="K632">
        <v>0.1</v>
      </c>
      <c r="N632">
        <v>41</v>
      </c>
      <c r="O632">
        <v>41</v>
      </c>
      <c r="P632" t="s">
        <v>551</v>
      </c>
      <c r="Q632" t="s">
        <v>414</v>
      </c>
      <c r="S632">
        <v>3.29</v>
      </c>
      <c r="T632">
        <v>4650.1239999999998</v>
      </c>
      <c r="V632">
        <v>4650.1239999999998</v>
      </c>
      <c r="W632" t="s">
        <v>401</v>
      </c>
      <c r="X632">
        <v>0</v>
      </c>
    </row>
    <row r="633" spans="1:24" x14ac:dyDescent="0.45">
      <c r="A633">
        <v>42</v>
      </c>
      <c r="B633">
        <v>42</v>
      </c>
      <c r="C633" t="s">
        <v>447</v>
      </c>
      <c r="D633" t="s">
        <v>414</v>
      </c>
      <c r="F633">
        <v>3.29</v>
      </c>
      <c r="G633">
        <v>4744.4440000000004</v>
      </c>
      <c r="I633">
        <v>4744.4440000000004</v>
      </c>
      <c r="J633" t="s">
        <v>415</v>
      </c>
      <c r="K633">
        <v>0.1</v>
      </c>
      <c r="N633">
        <v>42</v>
      </c>
      <c r="O633">
        <v>42</v>
      </c>
      <c r="P633" t="s">
        <v>552</v>
      </c>
      <c r="Q633" t="s">
        <v>414</v>
      </c>
      <c r="S633">
        <v>3.29</v>
      </c>
      <c r="T633">
        <v>4753.6580000000004</v>
      </c>
      <c r="V633">
        <v>4753.6580000000004</v>
      </c>
      <c r="W633" t="s">
        <v>401</v>
      </c>
      <c r="X633">
        <v>0</v>
      </c>
    </row>
    <row r="634" spans="1:24" x14ac:dyDescent="0.45">
      <c r="A634">
        <v>43</v>
      </c>
      <c r="B634">
        <v>43</v>
      </c>
      <c r="C634" t="s">
        <v>448</v>
      </c>
      <c r="D634" t="s">
        <v>414</v>
      </c>
      <c r="F634">
        <v>3.1</v>
      </c>
      <c r="G634">
        <v>3952.3020000000001</v>
      </c>
      <c r="I634">
        <v>3952.3020000000001</v>
      </c>
      <c r="J634" t="s">
        <v>412</v>
      </c>
      <c r="K634">
        <v>0.1</v>
      </c>
      <c r="N634">
        <v>43</v>
      </c>
      <c r="O634">
        <v>43</v>
      </c>
      <c r="P634" t="s">
        <v>553</v>
      </c>
      <c r="Q634" t="s">
        <v>414</v>
      </c>
      <c r="S634">
        <v>3.29</v>
      </c>
      <c r="T634">
        <v>5153.8209999999999</v>
      </c>
      <c r="V634">
        <v>5153.8209999999999</v>
      </c>
      <c r="W634" t="s">
        <v>415</v>
      </c>
      <c r="X634">
        <v>0</v>
      </c>
    </row>
    <row r="635" spans="1:24" x14ac:dyDescent="0.45">
      <c r="A635">
        <v>44</v>
      </c>
      <c r="B635">
        <v>44</v>
      </c>
      <c r="C635" t="s">
        <v>449</v>
      </c>
      <c r="D635" t="s">
        <v>414</v>
      </c>
      <c r="F635">
        <v>3.29</v>
      </c>
      <c r="G635">
        <v>5830.8190000000004</v>
      </c>
      <c r="I635">
        <v>5830.8190000000004</v>
      </c>
      <c r="J635" t="s">
        <v>415</v>
      </c>
      <c r="K635">
        <v>0.2</v>
      </c>
      <c r="N635">
        <v>44</v>
      </c>
      <c r="O635">
        <v>44</v>
      </c>
      <c r="P635" t="s">
        <v>554</v>
      </c>
      <c r="Q635" t="s">
        <v>414</v>
      </c>
      <c r="S635">
        <v>3.28</v>
      </c>
      <c r="T635">
        <v>5578.8530000000001</v>
      </c>
      <c r="V635">
        <v>5578.8530000000001</v>
      </c>
      <c r="W635" t="s">
        <v>415</v>
      </c>
      <c r="X635">
        <v>0</v>
      </c>
    </row>
    <row r="636" spans="1:24" x14ac:dyDescent="0.45">
      <c r="A636">
        <v>45</v>
      </c>
      <c r="B636">
        <v>45</v>
      </c>
      <c r="C636" t="s">
        <v>450</v>
      </c>
      <c r="D636" t="s">
        <v>414</v>
      </c>
      <c r="F636">
        <v>3.29</v>
      </c>
      <c r="G636">
        <v>4500.0439999999999</v>
      </c>
      <c r="I636">
        <v>4500.0439999999999</v>
      </c>
      <c r="J636" t="s">
        <v>401</v>
      </c>
      <c r="K636">
        <v>0.1</v>
      </c>
      <c r="N636">
        <v>45</v>
      </c>
      <c r="O636">
        <v>45</v>
      </c>
      <c r="P636" t="s">
        <v>555</v>
      </c>
      <c r="Q636" t="s">
        <v>414</v>
      </c>
      <c r="S636">
        <v>3.28</v>
      </c>
      <c r="T636">
        <v>7565.4870000000001</v>
      </c>
      <c r="V636">
        <v>7565.4870000000001</v>
      </c>
      <c r="W636" t="s">
        <v>415</v>
      </c>
      <c r="X636">
        <v>0.1</v>
      </c>
    </row>
    <row r="637" spans="1:24" x14ac:dyDescent="0.45">
      <c r="A637">
        <v>46</v>
      </c>
      <c r="B637">
        <v>46</v>
      </c>
      <c r="C637" t="s">
        <v>451</v>
      </c>
      <c r="D637" t="s">
        <v>414</v>
      </c>
      <c r="F637">
        <v>3.29</v>
      </c>
      <c r="G637">
        <v>4968.924</v>
      </c>
      <c r="I637">
        <v>4968.924</v>
      </c>
      <c r="J637" t="s">
        <v>415</v>
      </c>
      <c r="K637">
        <v>0.1</v>
      </c>
      <c r="N637">
        <v>46</v>
      </c>
      <c r="O637">
        <v>46</v>
      </c>
      <c r="P637" t="s">
        <v>556</v>
      </c>
      <c r="Q637" t="s">
        <v>414</v>
      </c>
      <c r="S637">
        <v>3.28</v>
      </c>
      <c r="T637">
        <v>4130.7209999999995</v>
      </c>
      <c r="V637">
        <v>4130.7209999999995</v>
      </c>
      <c r="W637" t="s">
        <v>401</v>
      </c>
      <c r="X637">
        <v>0</v>
      </c>
    </row>
    <row r="638" spans="1:24" x14ac:dyDescent="0.45">
      <c r="A638">
        <v>47</v>
      </c>
      <c r="B638">
        <v>47</v>
      </c>
      <c r="C638" t="s">
        <v>452</v>
      </c>
      <c r="D638" t="s">
        <v>414</v>
      </c>
      <c r="F638">
        <v>3.29</v>
      </c>
      <c r="G638">
        <v>4192.6670000000004</v>
      </c>
      <c r="I638">
        <v>4192.6670000000004</v>
      </c>
      <c r="J638" t="s">
        <v>403</v>
      </c>
      <c r="K638">
        <v>0.1</v>
      </c>
      <c r="N638">
        <v>47</v>
      </c>
      <c r="O638">
        <v>47</v>
      </c>
      <c r="P638" t="s">
        <v>557</v>
      </c>
      <c r="Q638" t="s">
        <v>414</v>
      </c>
      <c r="S638">
        <v>3.28</v>
      </c>
      <c r="T638">
        <v>3626.6480000000001</v>
      </c>
      <c r="V638">
        <v>3626.6480000000001</v>
      </c>
      <c r="W638" t="s">
        <v>415</v>
      </c>
      <c r="X638">
        <v>0</v>
      </c>
    </row>
    <row r="639" spans="1:24" x14ac:dyDescent="0.45">
      <c r="A639">
        <v>48</v>
      </c>
      <c r="B639">
        <v>48</v>
      </c>
      <c r="C639" t="s">
        <v>453</v>
      </c>
      <c r="D639" t="s">
        <v>414</v>
      </c>
      <c r="F639">
        <v>3.29</v>
      </c>
      <c r="G639">
        <v>3800.6489999999999</v>
      </c>
      <c r="I639">
        <v>3800.6489999999999</v>
      </c>
      <c r="J639" t="s">
        <v>401</v>
      </c>
      <c r="K639">
        <v>0.1</v>
      </c>
      <c r="N639">
        <v>48</v>
      </c>
      <c r="O639">
        <v>48</v>
      </c>
      <c r="P639" t="s">
        <v>558</v>
      </c>
      <c r="Q639" t="s">
        <v>414</v>
      </c>
      <c r="S639">
        <v>3.28</v>
      </c>
      <c r="T639">
        <v>4436.4759999999997</v>
      </c>
      <c r="V639">
        <v>4436.4759999999997</v>
      </c>
      <c r="W639" t="s">
        <v>401</v>
      </c>
      <c r="X639">
        <v>0</v>
      </c>
    </row>
    <row r="640" spans="1:24" x14ac:dyDescent="0.45">
      <c r="A640">
        <v>49</v>
      </c>
      <c r="B640">
        <v>49</v>
      </c>
      <c r="C640" t="s">
        <v>454</v>
      </c>
      <c r="D640" t="s">
        <v>414</v>
      </c>
      <c r="F640">
        <v>3.29</v>
      </c>
      <c r="G640">
        <v>4036.58</v>
      </c>
      <c r="I640">
        <v>4036.58</v>
      </c>
      <c r="J640" t="s">
        <v>415</v>
      </c>
      <c r="K640">
        <v>0.1</v>
      </c>
      <c r="N640">
        <v>49</v>
      </c>
      <c r="O640">
        <v>49</v>
      </c>
      <c r="P640" t="s">
        <v>559</v>
      </c>
      <c r="Q640" t="s">
        <v>414</v>
      </c>
      <c r="S640">
        <v>3.28</v>
      </c>
      <c r="T640">
        <v>3579.31</v>
      </c>
      <c r="V640">
        <v>3579.31</v>
      </c>
      <c r="W640" t="s">
        <v>412</v>
      </c>
      <c r="X640">
        <v>0</v>
      </c>
    </row>
    <row r="641" spans="1:24" x14ac:dyDescent="0.45">
      <c r="A641">
        <v>50</v>
      </c>
      <c r="B641">
        <v>50</v>
      </c>
      <c r="C641" t="s">
        <v>455</v>
      </c>
      <c r="D641" t="s">
        <v>414</v>
      </c>
      <c r="F641">
        <v>3.29</v>
      </c>
      <c r="G641">
        <v>4019.48</v>
      </c>
      <c r="I641">
        <v>4019.48</v>
      </c>
      <c r="J641" t="s">
        <v>415</v>
      </c>
      <c r="K641">
        <v>0.1</v>
      </c>
      <c r="N641">
        <v>50</v>
      </c>
      <c r="O641">
        <v>50</v>
      </c>
      <c r="P641" t="s">
        <v>560</v>
      </c>
      <c r="Q641" t="s">
        <v>414</v>
      </c>
      <c r="S641">
        <v>3.28</v>
      </c>
      <c r="T641">
        <v>4088.2350000000001</v>
      </c>
      <c r="V641">
        <v>4088.2350000000001</v>
      </c>
      <c r="W641" t="s">
        <v>415</v>
      </c>
      <c r="X641">
        <v>0</v>
      </c>
    </row>
    <row r="642" spans="1:24" x14ac:dyDescent="0.45">
      <c r="A642">
        <v>51</v>
      </c>
      <c r="B642">
        <v>51</v>
      </c>
      <c r="C642" t="s">
        <v>456</v>
      </c>
      <c r="D642" t="s">
        <v>414</v>
      </c>
      <c r="F642">
        <v>3.29</v>
      </c>
      <c r="G642">
        <v>4423.3440000000001</v>
      </c>
      <c r="I642">
        <v>4423.3440000000001</v>
      </c>
      <c r="J642" t="s">
        <v>415</v>
      </c>
      <c r="K642">
        <v>0.1</v>
      </c>
      <c r="N642">
        <v>51</v>
      </c>
      <c r="O642">
        <v>51</v>
      </c>
      <c r="P642" t="s">
        <v>561</v>
      </c>
      <c r="Q642" t="s">
        <v>414</v>
      </c>
      <c r="S642">
        <v>3.28</v>
      </c>
      <c r="T642">
        <v>3379.4180000000001</v>
      </c>
      <c r="V642">
        <v>3379.4180000000001</v>
      </c>
      <c r="W642" t="s">
        <v>401</v>
      </c>
      <c r="X642">
        <v>0</v>
      </c>
    </row>
    <row r="643" spans="1:24" x14ac:dyDescent="0.45">
      <c r="A643">
        <v>52</v>
      </c>
      <c r="B643">
        <v>52</v>
      </c>
      <c r="C643" t="s">
        <v>457</v>
      </c>
      <c r="D643" t="s">
        <v>414</v>
      </c>
      <c r="F643">
        <v>3.29</v>
      </c>
      <c r="G643">
        <v>3831.3409999999999</v>
      </c>
      <c r="I643">
        <v>3831.3409999999999</v>
      </c>
      <c r="J643" t="s">
        <v>401</v>
      </c>
      <c r="K643">
        <v>0.1</v>
      </c>
      <c r="N643">
        <v>52</v>
      </c>
      <c r="O643">
        <v>52</v>
      </c>
      <c r="P643" t="s">
        <v>562</v>
      </c>
      <c r="Q643" t="s">
        <v>414</v>
      </c>
      <c r="S643">
        <v>3.28</v>
      </c>
      <c r="T643">
        <v>3586.1480000000001</v>
      </c>
      <c r="V643">
        <v>3586.1480000000001</v>
      </c>
      <c r="W643" t="s">
        <v>415</v>
      </c>
      <c r="X643">
        <v>0</v>
      </c>
    </row>
    <row r="644" spans="1:24" x14ac:dyDescent="0.45">
      <c r="A644">
        <v>53</v>
      </c>
      <c r="B644">
        <v>53</v>
      </c>
      <c r="C644" t="s">
        <v>458</v>
      </c>
      <c r="D644" t="s">
        <v>414</v>
      </c>
      <c r="F644">
        <v>3.29</v>
      </c>
      <c r="G644">
        <v>4358.5010000000002</v>
      </c>
      <c r="I644">
        <v>4358.5010000000002</v>
      </c>
      <c r="J644" t="s">
        <v>415</v>
      </c>
      <c r="K644">
        <v>0.1</v>
      </c>
      <c r="N644">
        <v>53</v>
      </c>
      <c r="O644">
        <v>53</v>
      </c>
      <c r="P644" t="s">
        <v>563</v>
      </c>
      <c r="Q644" t="s">
        <v>414</v>
      </c>
      <c r="S644">
        <v>3.28</v>
      </c>
      <c r="T644">
        <v>4738.8209999999999</v>
      </c>
      <c r="V644">
        <v>4738.8209999999999</v>
      </c>
      <c r="W644" t="s">
        <v>401</v>
      </c>
      <c r="X644">
        <v>0</v>
      </c>
    </row>
    <row r="645" spans="1:24" x14ac:dyDescent="0.45">
      <c r="A645">
        <v>54</v>
      </c>
      <c r="B645">
        <v>54</v>
      </c>
      <c r="C645" t="s">
        <v>459</v>
      </c>
      <c r="D645" t="s">
        <v>414</v>
      </c>
      <c r="F645">
        <v>3.29</v>
      </c>
      <c r="G645">
        <v>4525.1930000000002</v>
      </c>
      <c r="I645">
        <v>4525.1930000000002</v>
      </c>
      <c r="J645" t="s">
        <v>401</v>
      </c>
      <c r="K645">
        <v>0.1</v>
      </c>
      <c r="N645">
        <v>54</v>
      </c>
      <c r="O645">
        <v>54</v>
      </c>
      <c r="P645" t="s">
        <v>564</v>
      </c>
      <c r="Q645" t="s">
        <v>414</v>
      </c>
      <c r="S645">
        <v>3.28</v>
      </c>
      <c r="T645">
        <v>14584.41</v>
      </c>
      <c r="V645">
        <v>14584.41</v>
      </c>
      <c r="W645" t="s">
        <v>415</v>
      </c>
      <c r="X645">
        <v>0.2</v>
      </c>
    </row>
    <row r="646" spans="1:24" x14ac:dyDescent="0.45">
      <c r="A646">
        <v>55</v>
      </c>
      <c r="B646">
        <v>55</v>
      </c>
      <c r="C646" t="s">
        <v>460</v>
      </c>
      <c r="D646" t="s">
        <v>414</v>
      </c>
      <c r="F646">
        <v>3.29</v>
      </c>
      <c r="G646">
        <v>3769.7240000000002</v>
      </c>
      <c r="I646">
        <v>3769.7240000000002</v>
      </c>
      <c r="J646" t="s">
        <v>403</v>
      </c>
      <c r="K646">
        <v>0.1</v>
      </c>
      <c r="N646">
        <v>55</v>
      </c>
      <c r="O646">
        <v>55</v>
      </c>
      <c r="P646" t="s">
        <v>565</v>
      </c>
      <c r="Q646" t="s">
        <v>414</v>
      </c>
      <c r="S646">
        <v>3.28</v>
      </c>
      <c r="T646">
        <v>4676.625</v>
      </c>
      <c r="V646">
        <v>4676.625</v>
      </c>
      <c r="W646" t="s">
        <v>415</v>
      </c>
      <c r="X646">
        <v>0</v>
      </c>
    </row>
    <row r="647" spans="1:24" x14ac:dyDescent="0.45">
      <c r="A647">
        <v>56</v>
      </c>
      <c r="B647">
        <v>56</v>
      </c>
      <c r="C647" t="s">
        <v>461</v>
      </c>
      <c r="D647" t="s">
        <v>414</v>
      </c>
      <c r="F647">
        <v>3.29</v>
      </c>
      <c r="G647">
        <v>4352.5069999999996</v>
      </c>
      <c r="I647">
        <v>4352.5069999999996</v>
      </c>
      <c r="J647" t="s">
        <v>415</v>
      </c>
      <c r="K647">
        <v>0.1</v>
      </c>
      <c r="N647">
        <v>56</v>
      </c>
      <c r="O647">
        <v>56</v>
      </c>
      <c r="P647" t="s">
        <v>566</v>
      </c>
      <c r="Q647" t="s">
        <v>414</v>
      </c>
      <c r="S647">
        <v>3.28</v>
      </c>
      <c r="T647">
        <v>4895.7340000000004</v>
      </c>
      <c r="V647">
        <v>4895.7340000000004</v>
      </c>
      <c r="W647" t="s">
        <v>401</v>
      </c>
      <c r="X647">
        <v>0</v>
      </c>
    </row>
    <row r="648" spans="1:24" x14ac:dyDescent="0.45">
      <c r="A648">
        <v>57</v>
      </c>
      <c r="B648">
        <v>57</v>
      </c>
      <c r="C648" t="s">
        <v>462</v>
      </c>
      <c r="D648" t="s">
        <v>414</v>
      </c>
      <c r="F648">
        <v>3.29</v>
      </c>
      <c r="G648">
        <v>4075.12</v>
      </c>
      <c r="I648">
        <v>4075.12</v>
      </c>
      <c r="J648" t="s">
        <v>401</v>
      </c>
      <c r="K648">
        <v>0.1</v>
      </c>
      <c r="N648">
        <v>57</v>
      </c>
      <c r="O648">
        <v>57</v>
      </c>
      <c r="P648" t="s">
        <v>567</v>
      </c>
      <c r="Q648" t="s">
        <v>414</v>
      </c>
      <c r="S648">
        <v>3.28</v>
      </c>
      <c r="T648">
        <v>4524.1760000000004</v>
      </c>
      <c r="V648">
        <v>4524.1760000000004</v>
      </c>
      <c r="W648" t="s">
        <v>401</v>
      </c>
      <c r="X648">
        <v>0</v>
      </c>
    </row>
    <row r="649" spans="1:24" x14ac:dyDescent="0.45">
      <c r="A649">
        <v>58</v>
      </c>
      <c r="B649">
        <v>58</v>
      </c>
      <c r="C649" t="s">
        <v>463</v>
      </c>
      <c r="D649" t="s">
        <v>414</v>
      </c>
      <c r="F649">
        <v>3.29</v>
      </c>
      <c r="G649">
        <v>4536.8879999999999</v>
      </c>
      <c r="I649">
        <v>4536.8879999999999</v>
      </c>
      <c r="J649" t="s">
        <v>415</v>
      </c>
      <c r="K649">
        <v>0.1</v>
      </c>
      <c r="N649">
        <v>58</v>
      </c>
      <c r="O649">
        <v>58</v>
      </c>
      <c r="P649" t="s">
        <v>568</v>
      </c>
      <c r="Q649" t="s">
        <v>414</v>
      </c>
      <c r="S649">
        <v>3.28</v>
      </c>
      <c r="T649">
        <v>7304.1610000000001</v>
      </c>
      <c r="V649">
        <v>7304.1610000000001</v>
      </c>
      <c r="W649" t="s">
        <v>415</v>
      </c>
      <c r="X649">
        <v>0.1</v>
      </c>
    </row>
    <row r="650" spans="1:24" x14ac:dyDescent="0.45">
      <c r="A650">
        <v>59</v>
      </c>
      <c r="B650">
        <v>59</v>
      </c>
      <c r="C650" t="s">
        <v>464</v>
      </c>
      <c r="D650" t="s">
        <v>414</v>
      </c>
      <c r="F650">
        <v>3.29</v>
      </c>
      <c r="G650">
        <v>4089.5940000000001</v>
      </c>
      <c r="I650">
        <v>4089.5940000000001</v>
      </c>
      <c r="J650" t="s">
        <v>401</v>
      </c>
      <c r="K650">
        <v>0.1</v>
      </c>
      <c r="N650">
        <v>59</v>
      </c>
      <c r="O650">
        <v>59</v>
      </c>
      <c r="P650" t="s">
        <v>569</v>
      </c>
      <c r="Q650" t="s">
        <v>414</v>
      </c>
      <c r="S650">
        <v>3.28</v>
      </c>
      <c r="T650">
        <v>4308.665</v>
      </c>
      <c r="V650">
        <v>4308.665</v>
      </c>
      <c r="W650" t="s">
        <v>401</v>
      </c>
      <c r="X650">
        <v>0</v>
      </c>
    </row>
    <row r="651" spans="1:24" x14ac:dyDescent="0.45">
      <c r="A651">
        <v>60</v>
      </c>
      <c r="B651">
        <v>60</v>
      </c>
      <c r="C651" t="s">
        <v>465</v>
      </c>
      <c r="D651" t="s">
        <v>414</v>
      </c>
      <c r="F651">
        <v>3.29</v>
      </c>
      <c r="G651">
        <v>5353.3680000000004</v>
      </c>
      <c r="I651">
        <v>5353.3680000000004</v>
      </c>
      <c r="J651" t="s">
        <v>401</v>
      </c>
      <c r="K651">
        <v>0.1</v>
      </c>
      <c r="N651">
        <v>60</v>
      </c>
      <c r="O651">
        <v>60</v>
      </c>
      <c r="P651" t="s">
        <v>570</v>
      </c>
      <c r="Q651" t="s">
        <v>414</v>
      </c>
      <c r="S651">
        <v>3.28</v>
      </c>
      <c r="T651">
        <v>6547.098</v>
      </c>
      <c r="V651">
        <v>6547.098</v>
      </c>
      <c r="W651" t="s">
        <v>415</v>
      </c>
      <c r="X651">
        <v>0.1</v>
      </c>
    </row>
    <row r="652" spans="1:24" x14ac:dyDescent="0.45">
      <c r="A652">
        <v>61</v>
      </c>
      <c r="B652">
        <v>61</v>
      </c>
      <c r="C652" t="s">
        <v>466</v>
      </c>
      <c r="D652" t="s">
        <v>414</v>
      </c>
      <c r="F652">
        <v>3.29</v>
      </c>
      <c r="G652">
        <v>4872.1180000000004</v>
      </c>
      <c r="I652">
        <v>4872.1180000000004</v>
      </c>
      <c r="J652" t="s">
        <v>401</v>
      </c>
      <c r="K652">
        <v>0.1</v>
      </c>
      <c r="N652">
        <v>61</v>
      </c>
      <c r="O652">
        <v>61</v>
      </c>
      <c r="P652" t="s">
        <v>571</v>
      </c>
      <c r="Q652" t="s">
        <v>414</v>
      </c>
      <c r="S652">
        <v>3.28</v>
      </c>
      <c r="T652">
        <v>4750.6369999999997</v>
      </c>
      <c r="V652">
        <v>4750.6369999999997</v>
      </c>
      <c r="W652" t="s">
        <v>401</v>
      </c>
      <c r="X652">
        <v>0</v>
      </c>
    </row>
    <row r="653" spans="1:24" x14ac:dyDescent="0.45">
      <c r="A653">
        <v>62</v>
      </c>
      <c r="B653">
        <v>62</v>
      </c>
      <c r="C653" t="s">
        <v>467</v>
      </c>
      <c r="D653" t="s">
        <v>414</v>
      </c>
      <c r="F653">
        <v>3.29</v>
      </c>
      <c r="G653">
        <v>5041.3860000000004</v>
      </c>
      <c r="I653">
        <v>5041.3860000000004</v>
      </c>
      <c r="J653" t="s">
        <v>415</v>
      </c>
      <c r="K653">
        <v>0.1</v>
      </c>
      <c r="N653">
        <v>62</v>
      </c>
      <c r="O653">
        <v>62</v>
      </c>
      <c r="P653" t="s">
        <v>572</v>
      </c>
      <c r="Q653" t="s">
        <v>414</v>
      </c>
      <c r="S653">
        <v>3.28</v>
      </c>
      <c r="T653">
        <v>4625.5079999999998</v>
      </c>
      <c r="V653">
        <v>4625.5079999999998</v>
      </c>
      <c r="W653" t="s">
        <v>415</v>
      </c>
      <c r="X653">
        <v>0</v>
      </c>
    </row>
    <row r="654" spans="1:24" x14ac:dyDescent="0.45">
      <c r="A654">
        <v>63</v>
      </c>
      <c r="B654">
        <v>63</v>
      </c>
      <c r="C654" t="s">
        <v>468</v>
      </c>
      <c r="D654" t="s">
        <v>414</v>
      </c>
      <c r="F654">
        <v>3.29</v>
      </c>
      <c r="G654">
        <v>4473.2659999999996</v>
      </c>
      <c r="I654">
        <v>4473.2659999999996</v>
      </c>
      <c r="J654" t="s">
        <v>415</v>
      </c>
      <c r="K654">
        <v>0.1</v>
      </c>
      <c r="N654">
        <v>63</v>
      </c>
      <c r="O654">
        <v>63</v>
      </c>
      <c r="P654" t="s">
        <v>573</v>
      </c>
      <c r="Q654" t="s">
        <v>414</v>
      </c>
      <c r="S654">
        <v>3.28</v>
      </c>
      <c r="T654">
        <v>5392.6490000000003</v>
      </c>
      <c r="V654">
        <v>5392.6490000000003</v>
      </c>
      <c r="W654" t="s">
        <v>401</v>
      </c>
      <c r="X654">
        <v>0</v>
      </c>
    </row>
    <row r="655" spans="1:24" x14ac:dyDescent="0.45">
      <c r="A655">
        <v>64</v>
      </c>
      <c r="B655">
        <v>64</v>
      </c>
      <c r="C655" t="s">
        <v>469</v>
      </c>
      <c r="D655" t="s">
        <v>414</v>
      </c>
      <c r="F655">
        <v>3.29</v>
      </c>
      <c r="G655">
        <v>5005.4849999999997</v>
      </c>
      <c r="I655">
        <v>5005.4849999999997</v>
      </c>
      <c r="J655" t="s">
        <v>401</v>
      </c>
      <c r="K655">
        <v>0.1</v>
      </c>
      <c r="N655">
        <v>64</v>
      </c>
      <c r="O655">
        <v>64</v>
      </c>
      <c r="P655" t="s">
        <v>574</v>
      </c>
      <c r="Q655" t="s">
        <v>414</v>
      </c>
      <c r="S655">
        <v>3.28</v>
      </c>
      <c r="T655">
        <v>4585.4290000000001</v>
      </c>
      <c r="V655">
        <v>4585.4290000000001</v>
      </c>
      <c r="W655" t="s">
        <v>415</v>
      </c>
      <c r="X655">
        <v>0</v>
      </c>
    </row>
    <row r="656" spans="1:24" x14ac:dyDescent="0.45">
      <c r="A656">
        <v>65</v>
      </c>
      <c r="B656">
        <v>65</v>
      </c>
      <c r="C656" t="s">
        <v>470</v>
      </c>
      <c r="D656" t="s">
        <v>414</v>
      </c>
      <c r="F656">
        <v>3.29</v>
      </c>
      <c r="G656">
        <v>4928.902</v>
      </c>
      <c r="I656">
        <v>4928.902</v>
      </c>
      <c r="J656" t="s">
        <v>401</v>
      </c>
      <c r="K656">
        <v>0.1</v>
      </c>
      <c r="N656">
        <v>65</v>
      </c>
      <c r="O656">
        <v>65</v>
      </c>
      <c r="P656" t="s">
        <v>575</v>
      </c>
      <c r="Q656" t="s">
        <v>414</v>
      </c>
      <c r="S656">
        <v>3.28</v>
      </c>
      <c r="T656">
        <v>4505.2020000000002</v>
      </c>
      <c r="V656">
        <v>4505.2020000000002</v>
      </c>
      <c r="W656" t="s">
        <v>415</v>
      </c>
      <c r="X656">
        <v>0</v>
      </c>
    </row>
    <row r="657" spans="1:25" x14ac:dyDescent="0.45">
      <c r="A657">
        <v>66</v>
      </c>
      <c r="B657">
        <v>66</v>
      </c>
      <c r="C657" t="s">
        <v>471</v>
      </c>
      <c r="D657" t="s">
        <v>414</v>
      </c>
      <c r="F657">
        <v>3.29</v>
      </c>
      <c r="G657">
        <v>4908.0640000000003</v>
      </c>
      <c r="I657">
        <v>4908.0640000000003</v>
      </c>
      <c r="J657" t="s">
        <v>415</v>
      </c>
      <c r="K657">
        <v>0.1</v>
      </c>
      <c r="N657">
        <v>66</v>
      </c>
      <c r="O657">
        <v>66</v>
      </c>
      <c r="P657" t="s">
        <v>576</v>
      </c>
      <c r="Q657" t="s">
        <v>414</v>
      </c>
      <c r="S657">
        <v>3.28</v>
      </c>
      <c r="T657">
        <v>5027.326</v>
      </c>
      <c r="V657">
        <v>5027.326</v>
      </c>
      <c r="W657" t="s">
        <v>401</v>
      </c>
      <c r="X657">
        <v>0</v>
      </c>
    </row>
    <row r="658" spans="1:25" x14ac:dyDescent="0.45">
      <c r="A658">
        <v>67</v>
      </c>
      <c r="B658">
        <v>67</v>
      </c>
      <c r="C658" t="s">
        <v>472</v>
      </c>
      <c r="D658" t="s">
        <v>414</v>
      </c>
      <c r="F658">
        <v>3.29</v>
      </c>
      <c r="G658">
        <v>4232.9759999999997</v>
      </c>
      <c r="I658">
        <v>4232.9759999999997</v>
      </c>
      <c r="J658" t="s">
        <v>415</v>
      </c>
      <c r="K658">
        <v>0.1</v>
      </c>
      <c r="N658">
        <v>67</v>
      </c>
      <c r="O658">
        <v>67</v>
      </c>
      <c r="P658" t="s">
        <v>577</v>
      </c>
      <c r="Q658" t="s">
        <v>414</v>
      </c>
      <c r="S658">
        <v>3.28</v>
      </c>
      <c r="T658">
        <v>5300.6790000000001</v>
      </c>
      <c r="V658">
        <v>5300.6790000000001</v>
      </c>
      <c r="W658" t="s">
        <v>415</v>
      </c>
      <c r="X658">
        <v>0</v>
      </c>
    </row>
    <row r="659" spans="1:25" x14ac:dyDescent="0.45">
      <c r="A659">
        <v>68</v>
      </c>
      <c r="B659">
        <v>68</v>
      </c>
      <c r="C659" t="s">
        <v>473</v>
      </c>
      <c r="D659" t="s">
        <v>414</v>
      </c>
      <c r="F659">
        <v>3.29</v>
      </c>
      <c r="G659">
        <v>4892.7439999999997</v>
      </c>
      <c r="I659">
        <v>4892.7439999999997</v>
      </c>
      <c r="J659" t="s">
        <v>415</v>
      </c>
      <c r="K659">
        <v>0.1</v>
      </c>
      <c r="N659">
        <v>68</v>
      </c>
      <c r="O659">
        <v>68</v>
      </c>
      <c r="P659" t="s">
        <v>578</v>
      </c>
      <c r="Q659" t="s">
        <v>414</v>
      </c>
      <c r="S659">
        <v>3.28</v>
      </c>
      <c r="T659">
        <v>3956.4450000000002</v>
      </c>
      <c r="V659">
        <v>3956.4450000000002</v>
      </c>
      <c r="W659" t="s">
        <v>401</v>
      </c>
      <c r="X659">
        <v>0</v>
      </c>
    </row>
    <row r="660" spans="1:25" x14ac:dyDescent="0.45">
      <c r="A660">
        <v>69</v>
      </c>
      <c r="B660">
        <v>69</v>
      </c>
      <c r="C660" t="s">
        <v>474</v>
      </c>
      <c r="D660" t="s">
        <v>414</v>
      </c>
      <c r="F660">
        <v>3.29</v>
      </c>
      <c r="G660">
        <v>5710.85</v>
      </c>
      <c r="I660">
        <v>5710.85</v>
      </c>
      <c r="J660" t="s">
        <v>415</v>
      </c>
      <c r="K660">
        <v>0.2</v>
      </c>
      <c r="N660">
        <v>69</v>
      </c>
      <c r="O660">
        <v>69</v>
      </c>
      <c r="P660" t="s">
        <v>579</v>
      </c>
      <c r="Q660" t="s">
        <v>414</v>
      </c>
      <c r="S660">
        <v>3.28</v>
      </c>
      <c r="T660">
        <v>3025.3629999999998</v>
      </c>
      <c r="V660">
        <v>3025.3629999999998</v>
      </c>
      <c r="W660" t="s">
        <v>403</v>
      </c>
      <c r="X660">
        <v>0</v>
      </c>
    </row>
    <row r="662" spans="1:25" x14ac:dyDescent="0.45">
      <c r="A662" t="s">
        <v>495</v>
      </c>
      <c r="N662" t="s">
        <v>495</v>
      </c>
    </row>
    <row r="664" spans="1:25" x14ac:dyDescent="0.45">
      <c r="B664" t="s">
        <v>389</v>
      </c>
      <c r="C664" t="s">
        <v>123</v>
      </c>
      <c r="D664" t="s">
        <v>390</v>
      </c>
      <c r="E664" t="s">
        <v>391</v>
      </c>
      <c r="F664" t="s">
        <v>392</v>
      </c>
      <c r="G664" t="s">
        <v>393</v>
      </c>
      <c r="H664" t="s">
        <v>394</v>
      </c>
      <c r="I664" t="s">
        <v>395</v>
      </c>
      <c r="J664" t="s">
        <v>396</v>
      </c>
      <c r="K664" t="s">
        <v>397</v>
      </c>
      <c r="L664" t="s">
        <v>398</v>
      </c>
      <c r="O664" t="s">
        <v>389</v>
      </c>
      <c r="P664" t="s">
        <v>123</v>
      </c>
      <c r="Q664" t="s">
        <v>390</v>
      </c>
      <c r="R664" t="s">
        <v>391</v>
      </c>
      <c r="S664" t="s">
        <v>392</v>
      </c>
      <c r="T664" t="s">
        <v>393</v>
      </c>
      <c r="U664" t="s">
        <v>394</v>
      </c>
      <c r="V664" t="s">
        <v>395</v>
      </c>
      <c r="W664" t="s">
        <v>396</v>
      </c>
      <c r="X664" t="s">
        <v>397</v>
      </c>
      <c r="Y664" t="s">
        <v>398</v>
      </c>
    </row>
    <row r="665" spans="1:25" x14ac:dyDescent="0.45">
      <c r="A665">
        <v>1</v>
      </c>
      <c r="B665">
        <v>1</v>
      </c>
      <c r="C665" t="s">
        <v>399</v>
      </c>
      <c r="D665" t="s">
        <v>400</v>
      </c>
      <c r="E665">
        <v>0.05</v>
      </c>
      <c r="F665">
        <v>3.47</v>
      </c>
      <c r="G665">
        <v>1164601.625</v>
      </c>
      <c r="I665">
        <v>1164601.625</v>
      </c>
      <c r="J665" t="s">
        <v>478</v>
      </c>
      <c r="N665">
        <v>1</v>
      </c>
      <c r="O665">
        <v>1</v>
      </c>
      <c r="P665" t="s">
        <v>511</v>
      </c>
      <c r="Q665" t="s">
        <v>400</v>
      </c>
      <c r="R665">
        <v>0.05</v>
      </c>
      <c r="S665">
        <v>3.46</v>
      </c>
      <c r="T665">
        <v>1473623.75</v>
      </c>
      <c r="V665">
        <v>1473623.75</v>
      </c>
      <c r="W665" t="s">
        <v>403</v>
      </c>
      <c r="X665">
        <v>10.6</v>
      </c>
      <c r="Y665">
        <v>21191.4</v>
      </c>
    </row>
    <row r="666" spans="1:25" x14ac:dyDescent="0.45">
      <c r="A666">
        <v>2</v>
      </c>
      <c r="B666">
        <v>2</v>
      </c>
      <c r="C666" t="s">
        <v>402</v>
      </c>
      <c r="D666" t="s">
        <v>400</v>
      </c>
      <c r="E666">
        <v>0.5</v>
      </c>
      <c r="F666">
        <v>3.47</v>
      </c>
      <c r="G666">
        <v>1212801.75</v>
      </c>
      <c r="I666">
        <v>1212801.75</v>
      </c>
      <c r="J666" t="s">
        <v>401</v>
      </c>
      <c r="K666">
        <v>0.9</v>
      </c>
      <c r="L666">
        <v>74.3</v>
      </c>
      <c r="N666">
        <v>2</v>
      </c>
      <c r="O666">
        <v>2</v>
      </c>
      <c r="P666" t="s">
        <v>512</v>
      </c>
      <c r="Q666" t="s">
        <v>400</v>
      </c>
      <c r="R666">
        <v>0.5</v>
      </c>
      <c r="S666">
        <v>3.46</v>
      </c>
      <c r="T666">
        <v>770570.5</v>
      </c>
      <c r="V666">
        <v>770570.5</v>
      </c>
      <c r="W666" t="s">
        <v>403</v>
      </c>
      <c r="X666">
        <v>0.7</v>
      </c>
      <c r="Y666">
        <v>40.4</v>
      </c>
    </row>
    <row r="667" spans="1:25" x14ac:dyDescent="0.45">
      <c r="A667">
        <v>3</v>
      </c>
      <c r="B667">
        <v>3</v>
      </c>
      <c r="C667" t="s">
        <v>404</v>
      </c>
      <c r="D667" t="s">
        <v>400</v>
      </c>
      <c r="E667">
        <v>1.25</v>
      </c>
      <c r="F667">
        <v>3.47</v>
      </c>
      <c r="G667">
        <v>1254507</v>
      </c>
      <c r="I667">
        <v>1254507</v>
      </c>
      <c r="J667" t="s">
        <v>401</v>
      </c>
      <c r="K667">
        <v>2</v>
      </c>
      <c r="L667">
        <v>57</v>
      </c>
      <c r="N667">
        <v>3</v>
      </c>
      <c r="O667">
        <v>3</v>
      </c>
      <c r="P667" t="s">
        <v>513</v>
      </c>
      <c r="Q667" t="s">
        <v>400</v>
      </c>
      <c r="R667">
        <v>1.25</v>
      </c>
      <c r="S667">
        <v>2.88</v>
      </c>
      <c r="T667">
        <v>274584.71899999998</v>
      </c>
      <c r="V667">
        <v>274584.71899999998</v>
      </c>
      <c r="W667" t="s">
        <v>479</v>
      </c>
    </row>
    <row r="668" spans="1:25" x14ac:dyDescent="0.45">
      <c r="A668">
        <v>4</v>
      </c>
      <c r="B668">
        <v>4</v>
      </c>
      <c r="C668" t="s">
        <v>405</v>
      </c>
      <c r="D668" t="s">
        <v>400</v>
      </c>
      <c r="E668">
        <v>2.5</v>
      </c>
      <c r="F668">
        <v>3.47</v>
      </c>
      <c r="G668">
        <v>1286355.5</v>
      </c>
      <c r="I668">
        <v>1286355.5</v>
      </c>
      <c r="J668" t="s">
        <v>401</v>
      </c>
      <c r="K668">
        <v>2.8</v>
      </c>
      <c r="L668">
        <v>11.8</v>
      </c>
      <c r="N668">
        <v>4</v>
      </c>
      <c r="O668">
        <v>4</v>
      </c>
      <c r="P668" t="s">
        <v>514</v>
      </c>
      <c r="Q668" t="s">
        <v>400</v>
      </c>
      <c r="R668">
        <v>2.5</v>
      </c>
      <c r="S668">
        <v>2.88</v>
      </c>
      <c r="T668">
        <v>543086.5</v>
      </c>
      <c r="V668">
        <v>543086.5</v>
      </c>
      <c r="W668" t="s">
        <v>479</v>
      </c>
    </row>
    <row r="669" spans="1:25" x14ac:dyDescent="0.45">
      <c r="A669">
        <v>5</v>
      </c>
      <c r="B669">
        <v>5</v>
      </c>
      <c r="C669" t="s">
        <v>406</v>
      </c>
      <c r="D669" t="s">
        <v>400</v>
      </c>
      <c r="E669">
        <v>3.5</v>
      </c>
      <c r="F669">
        <v>3.47</v>
      </c>
      <c r="G669">
        <v>1284277.625</v>
      </c>
      <c r="I669">
        <v>1284277.625</v>
      </c>
      <c r="J669" t="s">
        <v>401</v>
      </c>
      <c r="K669">
        <v>2.7</v>
      </c>
      <c r="L669">
        <v>-21.7</v>
      </c>
      <c r="N669">
        <v>5</v>
      </c>
      <c r="O669">
        <v>5</v>
      </c>
      <c r="P669" t="s">
        <v>515</v>
      </c>
      <c r="Q669" t="s">
        <v>400</v>
      </c>
      <c r="R669">
        <v>3.5</v>
      </c>
      <c r="S669">
        <v>2.88</v>
      </c>
      <c r="T669">
        <v>762168.125</v>
      </c>
      <c r="V669">
        <v>762168.125</v>
      </c>
      <c r="W669" t="s">
        <v>415</v>
      </c>
      <c r="X669">
        <v>0.6</v>
      </c>
      <c r="Y669">
        <v>-83.3</v>
      </c>
    </row>
    <row r="670" spans="1:25" x14ac:dyDescent="0.45">
      <c r="A670">
        <v>6</v>
      </c>
      <c r="B670">
        <v>6</v>
      </c>
      <c r="C670" t="s">
        <v>407</v>
      </c>
      <c r="D670" t="s">
        <v>400</v>
      </c>
      <c r="E670">
        <v>5</v>
      </c>
      <c r="F670">
        <v>3.47</v>
      </c>
      <c r="G670">
        <v>1329754</v>
      </c>
      <c r="I670">
        <v>1329754</v>
      </c>
      <c r="J670" t="s">
        <v>401</v>
      </c>
      <c r="K670">
        <v>3.9</v>
      </c>
      <c r="L670">
        <v>-21.4</v>
      </c>
      <c r="N670">
        <v>6</v>
      </c>
      <c r="O670">
        <v>6</v>
      </c>
      <c r="P670" t="s">
        <v>516</v>
      </c>
      <c r="Q670" t="s">
        <v>400</v>
      </c>
      <c r="R670">
        <v>5</v>
      </c>
      <c r="S670">
        <v>2.87</v>
      </c>
      <c r="T670">
        <v>1120676.625</v>
      </c>
      <c r="V670">
        <v>1120676.625</v>
      </c>
      <c r="W670" t="s">
        <v>415</v>
      </c>
      <c r="X670">
        <v>5.7</v>
      </c>
      <c r="Y670">
        <v>13.1</v>
      </c>
    </row>
    <row r="671" spans="1:25" x14ac:dyDescent="0.45">
      <c r="A671">
        <v>7</v>
      </c>
      <c r="B671">
        <v>7</v>
      </c>
      <c r="C671" t="s">
        <v>408</v>
      </c>
      <c r="D671" t="s">
        <v>400</v>
      </c>
      <c r="E671">
        <v>7</v>
      </c>
      <c r="F671">
        <v>2.88</v>
      </c>
      <c r="G671">
        <v>1480871.875</v>
      </c>
      <c r="I671">
        <v>1480871.875</v>
      </c>
      <c r="J671" t="s">
        <v>415</v>
      </c>
      <c r="K671">
        <v>7.9</v>
      </c>
      <c r="L671">
        <v>12.7</v>
      </c>
      <c r="N671">
        <v>7</v>
      </c>
      <c r="O671">
        <v>7</v>
      </c>
      <c r="P671" t="s">
        <v>517</v>
      </c>
      <c r="Q671" t="s">
        <v>400</v>
      </c>
      <c r="R671">
        <v>7</v>
      </c>
      <c r="S671">
        <v>2.86</v>
      </c>
      <c r="T671">
        <v>1501699.625</v>
      </c>
      <c r="V671">
        <v>1501699.625</v>
      </c>
      <c r="W671" t="s">
        <v>415</v>
      </c>
      <c r="X671">
        <v>11</v>
      </c>
      <c r="Y671">
        <v>57.8</v>
      </c>
    </row>
    <row r="672" spans="1:25" x14ac:dyDescent="0.45">
      <c r="A672">
        <v>8</v>
      </c>
      <c r="B672">
        <v>8</v>
      </c>
      <c r="C672" t="s">
        <v>409</v>
      </c>
      <c r="D672" t="s">
        <v>410</v>
      </c>
      <c r="F672">
        <v>3.47</v>
      </c>
      <c r="G672">
        <v>1540761.5</v>
      </c>
      <c r="I672">
        <v>1540761.5</v>
      </c>
      <c r="J672" t="s">
        <v>401</v>
      </c>
      <c r="K672">
        <v>9.5</v>
      </c>
      <c r="N672">
        <v>8</v>
      </c>
      <c r="O672">
        <v>8</v>
      </c>
      <c r="P672" t="s">
        <v>518</v>
      </c>
      <c r="Q672" t="s">
        <v>410</v>
      </c>
      <c r="S672">
        <v>3.46</v>
      </c>
      <c r="T672">
        <v>94265.695000000007</v>
      </c>
      <c r="V672">
        <v>94265.695000000007</v>
      </c>
      <c r="W672" t="s">
        <v>479</v>
      </c>
    </row>
    <row r="673" spans="1:23" x14ac:dyDescent="0.45">
      <c r="A673">
        <v>9</v>
      </c>
      <c r="B673">
        <v>9</v>
      </c>
      <c r="C673" t="s">
        <v>411</v>
      </c>
      <c r="D673" t="s">
        <v>410</v>
      </c>
      <c r="F673">
        <v>3.47</v>
      </c>
      <c r="G673">
        <v>1589178.875</v>
      </c>
      <c r="I673">
        <v>1589178.875</v>
      </c>
      <c r="J673" t="s">
        <v>401</v>
      </c>
      <c r="K673">
        <v>10.7</v>
      </c>
      <c r="N673">
        <v>9</v>
      </c>
      <c r="O673">
        <v>9</v>
      </c>
      <c r="P673" t="s">
        <v>519</v>
      </c>
      <c r="Q673" t="s">
        <v>410</v>
      </c>
      <c r="S673">
        <v>3.46</v>
      </c>
      <c r="T673">
        <v>93264.25</v>
      </c>
      <c r="V673">
        <v>93264.25</v>
      </c>
      <c r="W673" t="s">
        <v>479</v>
      </c>
    </row>
    <row r="674" spans="1:23" x14ac:dyDescent="0.45">
      <c r="A674">
        <v>10</v>
      </c>
      <c r="B674">
        <v>10</v>
      </c>
      <c r="C674" t="s">
        <v>413</v>
      </c>
      <c r="D674" t="s">
        <v>414</v>
      </c>
      <c r="F674">
        <v>3.47</v>
      </c>
      <c r="G674">
        <v>1517140.875</v>
      </c>
      <c r="I674">
        <v>1517140.875</v>
      </c>
      <c r="J674" t="s">
        <v>403</v>
      </c>
      <c r="K674">
        <v>8.8000000000000007</v>
      </c>
      <c r="N674">
        <v>10</v>
      </c>
      <c r="O674">
        <v>10</v>
      </c>
      <c r="P674" t="s">
        <v>520</v>
      </c>
      <c r="Q674" t="s">
        <v>414</v>
      </c>
      <c r="S674">
        <v>3.46</v>
      </c>
      <c r="T674">
        <v>91298.851999999999</v>
      </c>
      <c r="V674">
        <v>91298.851999999999</v>
      </c>
      <c r="W674" t="s">
        <v>478</v>
      </c>
    </row>
    <row r="675" spans="1:23" x14ac:dyDescent="0.45">
      <c r="A675">
        <v>11</v>
      </c>
      <c r="B675">
        <v>11</v>
      </c>
      <c r="C675" t="s">
        <v>416</v>
      </c>
      <c r="D675" t="s">
        <v>414</v>
      </c>
      <c r="F675">
        <v>3.47</v>
      </c>
      <c r="G675">
        <v>1503073.875</v>
      </c>
      <c r="I675">
        <v>1503073.875</v>
      </c>
      <c r="J675" t="s">
        <v>403</v>
      </c>
      <c r="K675">
        <v>8.5</v>
      </c>
      <c r="N675">
        <v>11</v>
      </c>
      <c r="O675">
        <v>11</v>
      </c>
      <c r="P675" t="s">
        <v>521</v>
      </c>
      <c r="Q675" t="s">
        <v>414</v>
      </c>
      <c r="S675">
        <v>3.46</v>
      </c>
      <c r="T675">
        <v>88039.491999999998</v>
      </c>
      <c r="V675">
        <v>88039.491999999998</v>
      </c>
      <c r="W675" t="s">
        <v>478</v>
      </c>
    </row>
    <row r="676" spans="1:23" x14ac:dyDescent="0.45">
      <c r="A676">
        <v>12</v>
      </c>
      <c r="B676">
        <v>12</v>
      </c>
      <c r="C676" t="s">
        <v>417</v>
      </c>
      <c r="D676" t="s">
        <v>414</v>
      </c>
      <c r="F676">
        <v>3.47</v>
      </c>
      <c r="G676">
        <v>1524142.875</v>
      </c>
      <c r="I676">
        <v>1524142.875</v>
      </c>
      <c r="J676" t="s">
        <v>403</v>
      </c>
      <c r="K676">
        <v>9</v>
      </c>
      <c r="N676">
        <v>12</v>
      </c>
      <c r="O676">
        <v>12</v>
      </c>
      <c r="P676" t="s">
        <v>522</v>
      </c>
      <c r="Q676" t="s">
        <v>414</v>
      </c>
      <c r="S676">
        <v>3.46</v>
      </c>
      <c r="T676">
        <v>92482.648000000001</v>
      </c>
      <c r="V676">
        <v>92482.648000000001</v>
      </c>
      <c r="W676" t="s">
        <v>478</v>
      </c>
    </row>
    <row r="677" spans="1:23" x14ac:dyDescent="0.45">
      <c r="A677">
        <v>13</v>
      </c>
      <c r="B677">
        <v>13</v>
      </c>
      <c r="C677" t="s">
        <v>418</v>
      </c>
      <c r="D677" t="s">
        <v>414</v>
      </c>
      <c r="F677">
        <v>3.47</v>
      </c>
      <c r="G677">
        <v>1579529.375</v>
      </c>
      <c r="I677">
        <v>1579529.375</v>
      </c>
      <c r="J677" t="s">
        <v>403</v>
      </c>
      <c r="K677">
        <v>10.5</v>
      </c>
      <c r="N677">
        <v>13</v>
      </c>
      <c r="O677">
        <v>13</v>
      </c>
      <c r="P677" t="s">
        <v>523</v>
      </c>
      <c r="Q677" t="s">
        <v>414</v>
      </c>
      <c r="S677">
        <v>3.46</v>
      </c>
      <c r="T677">
        <v>86107.758000000002</v>
      </c>
      <c r="V677">
        <v>86107.758000000002</v>
      </c>
      <c r="W677" t="s">
        <v>478</v>
      </c>
    </row>
    <row r="678" spans="1:23" x14ac:dyDescent="0.45">
      <c r="A678">
        <v>14</v>
      </c>
      <c r="B678">
        <v>14</v>
      </c>
      <c r="C678" t="s">
        <v>419</v>
      </c>
      <c r="D678" t="s">
        <v>414</v>
      </c>
      <c r="F678">
        <v>3.47</v>
      </c>
      <c r="G678">
        <v>1571462.5</v>
      </c>
      <c r="I678">
        <v>1571462.5</v>
      </c>
      <c r="J678" t="s">
        <v>403</v>
      </c>
      <c r="K678">
        <v>10.3</v>
      </c>
      <c r="N678">
        <v>14</v>
      </c>
      <c r="O678">
        <v>14</v>
      </c>
      <c r="P678" t="s">
        <v>524</v>
      </c>
      <c r="Q678" t="s">
        <v>414</v>
      </c>
      <c r="S678">
        <v>3.46</v>
      </c>
      <c r="T678">
        <v>89486.468999999997</v>
      </c>
      <c r="V678">
        <v>89486.468999999997</v>
      </c>
      <c r="W678" t="s">
        <v>478</v>
      </c>
    </row>
    <row r="679" spans="1:23" x14ac:dyDescent="0.45">
      <c r="A679">
        <v>15</v>
      </c>
      <c r="B679">
        <v>15</v>
      </c>
      <c r="C679" t="s">
        <v>420</v>
      </c>
      <c r="D679" t="s">
        <v>414</v>
      </c>
      <c r="F679">
        <v>3.47</v>
      </c>
      <c r="G679">
        <v>1599325.25</v>
      </c>
      <c r="I679">
        <v>1599325.25</v>
      </c>
      <c r="J679" t="s">
        <v>403</v>
      </c>
      <c r="K679">
        <v>11</v>
      </c>
      <c r="N679">
        <v>15</v>
      </c>
      <c r="O679">
        <v>15</v>
      </c>
      <c r="P679" t="s">
        <v>525</v>
      </c>
      <c r="Q679" t="s">
        <v>414</v>
      </c>
      <c r="S679">
        <v>3.46</v>
      </c>
      <c r="T679">
        <v>77582.758000000002</v>
      </c>
      <c r="V679">
        <v>77582.758000000002</v>
      </c>
      <c r="W679" t="s">
        <v>477</v>
      </c>
    </row>
    <row r="680" spans="1:23" x14ac:dyDescent="0.45">
      <c r="A680">
        <v>16</v>
      </c>
      <c r="B680">
        <v>16</v>
      </c>
      <c r="C680" t="s">
        <v>421</v>
      </c>
      <c r="D680" t="s">
        <v>414</v>
      </c>
      <c r="F680">
        <v>3.47</v>
      </c>
      <c r="G680">
        <v>1552006</v>
      </c>
      <c r="I680">
        <v>1552006</v>
      </c>
      <c r="J680" t="s">
        <v>403</v>
      </c>
      <c r="K680">
        <v>9.6999999999999993</v>
      </c>
      <c r="N680">
        <v>16</v>
      </c>
      <c r="O680">
        <v>16</v>
      </c>
      <c r="P680" t="s">
        <v>526</v>
      </c>
      <c r="Q680" t="s">
        <v>414</v>
      </c>
      <c r="S680">
        <v>3.46</v>
      </c>
      <c r="T680">
        <v>88256.648000000001</v>
      </c>
      <c r="V680">
        <v>88256.648000000001</v>
      </c>
      <c r="W680" t="s">
        <v>478</v>
      </c>
    </row>
    <row r="681" spans="1:23" x14ac:dyDescent="0.45">
      <c r="A681">
        <v>17</v>
      </c>
      <c r="B681">
        <v>17</v>
      </c>
      <c r="C681" t="s">
        <v>422</v>
      </c>
      <c r="D681" t="s">
        <v>414</v>
      </c>
      <c r="F681">
        <v>3.47</v>
      </c>
      <c r="G681">
        <v>1560276.875</v>
      </c>
      <c r="I681">
        <v>1560276.875</v>
      </c>
      <c r="J681" t="s">
        <v>403</v>
      </c>
      <c r="K681">
        <v>10</v>
      </c>
      <c r="N681">
        <v>17</v>
      </c>
      <c r="O681">
        <v>17</v>
      </c>
      <c r="P681" t="s">
        <v>527</v>
      </c>
      <c r="Q681" t="s">
        <v>414</v>
      </c>
      <c r="S681">
        <v>3.46</v>
      </c>
      <c r="T681">
        <v>86996.914000000004</v>
      </c>
      <c r="V681">
        <v>86996.914000000004</v>
      </c>
      <c r="W681" t="s">
        <v>478</v>
      </c>
    </row>
    <row r="682" spans="1:23" x14ac:dyDescent="0.45">
      <c r="A682">
        <v>18</v>
      </c>
      <c r="B682">
        <v>18</v>
      </c>
      <c r="C682" t="s">
        <v>423</v>
      </c>
      <c r="D682" t="s">
        <v>414</v>
      </c>
      <c r="F682">
        <v>3.47</v>
      </c>
      <c r="G682">
        <v>1545707.75</v>
      </c>
      <c r="I682">
        <v>1545707.75</v>
      </c>
      <c r="J682" t="s">
        <v>403</v>
      </c>
      <c r="K682">
        <v>9.6</v>
      </c>
      <c r="N682">
        <v>18</v>
      </c>
      <c r="O682">
        <v>18</v>
      </c>
      <c r="P682" t="s">
        <v>528</v>
      </c>
      <c r="Q682" t="s">
        <v>414</v>
      </c>
      <c r="S682">
        <v>3.46</v>
      </c>
      <c r="T682">
        <v>87970.57</v>
      </c>
      <c r="V682">
        <v>87970.57</v>
      </c>
      <c r="W682" t="s">
        <v>478</v>
      </c>
    </row>
    <row r="683" spans="1:23" x14ac:dyDescent="0.45">
      <c r="A683">
        <v>19</v>
      </c>
      <c r="B683">
        <v>19</v>
      </c>
      <c r="C683" t="s">
        <v>424</v>
      </c>
      <c r="D683" t="s">
        <v>414</v>
      </c>
      <c r="F683">
        <v>3.47</v>
      </c>
      <c r="G683">
        <v>1578667.25</v>
      </c>
      <c r="I683">
        <v>1578667.25</v>
      </c>
      <c r="J683" t="s">
        <v>403</v>
      </c>
      <c r="K683">
        <v>10.4</v>
      </c>
      <c r="N683">
        <v>19</v>
      </c>
      <c r="O683">
        <v>19</v>
      </c>
      <c r="P683" t="s">
        <v>529</v>
      </c>
      <c r="Q683" t="s">
        <v>414</v>
      </c>
      <c r="S683">
        <v>3.46</v>
      </c>
      <c r="T683">
        <v>78670.585999999996</v>
      </c>
      <c r="V683">
        <v>78670.585999999996</v>
      </c>
      <c r="W683" t="s">
        <v>477</v>
      </c>
    </row>
    <row r="684" spans="1:23" x14ac:dyDescent="0.45">
      <c r="A684">
        <v>20</v>
      </c>
      <c r="B684">
        <v>20</v>
      </c>
      <c r="C684" t="s">
        <v>425</v>
      </c>
      <c r="D684" t="s">
        <v>414</v>
      </c>
      <c r="F684">
        <v>3.47</v>
      </c>
      <c r="G684">
        <v>1598745.5</v>
      </c>
      <c r="I684">
        <v>1598745.5</v>
      </c>
      <c r="J684" t="s">
        <v>403</v>
      </c>
      <c r="K684">
        <v>11</v>
      </c>
      <c r="N684">
        <v>20</v>
      </c>
      <c r="O684">
        <v>20</v>
      </c>
      <c r="P684" t="s">
        <v>530</v>
      </c>
      <c r="Q684" t="s">
        <v>414</v>
      </c>
      <c r="S684">
        <v>3.46</v>
      </c>
      <c r="T684">
        <v>85174.054999999993</v>
      </c>
      <c r="V684">
        <v>85174.054999999993</v>
      </c>
      <c r="W684" t="s">
        <v>477</v>
      </c>
    </row>
    <row r="685" spans="1:23" x14ac:dyDescent="0.45">
      <c r="A685">
        <v>21</v>
      </c>
      <c r="B685">
        <v>21</v>
      </c>
      <c r="C685" t="s">
        <v>426</v>
      </c>
      <c r="D685" t="s">
        <v>414</v>
      </c>
      <c r="F685">
        <v>3.47</v>
      </c>
      <c r="G685">
        <v>1600686.25</v>
      </c>
      <c r="I685">
        <v>1600686.25</v>
      </c>
      <c r="J685" t="s">
        <v>403</v>
      </c>
      <c r="K685">
        <v>11</v>
      </c>
      <c r="N685">
        <v>21</v>
      </c>
      <c r="O685">
        <v>21</v>
      </c>
      <c r="P685" t="s">
        <v>531</v>
      </c>
      <c r="Q685" t="s">
        <v>414</v>
      </c>
      <c r="S685">
        <v>3.46</v>
      </c>
      <c r="T685">
        <v>86688.516000000003</v>
      </c>
      <c r="V685">
        <v>86688.516000000003</v>
      </c>
      <c r="W685" t="s">
        <v>478</v>
      </c>
    </row>
    <row r="686" spans="1:23" x14ac:dyDescent="0.45">
      <c r="A686">
        <v>22</v>
      </c>
      <c r="B686">
        <v>22</v>
      </c>
      <c r="C686" t="s">
        <v>427</v>
      </c>
      <c r="D686" t="s">
        <v>414</v>
      </c>
      <c r="F686">
        <v>3.47</v>
      </c>
      <c r="G686">
        <v>1615903.375</v>
      </c>
      <c r="I686">
        <v>1615903.375</v>
      </c>
      <c r="J686" t="s">
        <v>403</v>
      </c>
      <c r="K686">
        <v>11.4</v>
      </c>
      <c r="N686">
        <v>22</v>
      </c>
      <c r="O686">
        <v>22</v>
      </c>
      <c r="P686" t="s">
        <v>532</v>
      </c>
      <c r="Q686" t="s">
        <v>414</v>
      </c>
      <c r="S686">
        <v>3.46</v>
      </c>
      <c r="T686">
        <v>83265.898000000001</v>
      </c>
      <c r="V686">
        <v>83265.898000000001</v>
      </c>
      <c r="W686" t="s">
        <v>477</v>
      </c>
    </row>
    <row r="687" spans="1:23" x14ac:dyDescent="0.45">
      <c r="A687">
        <v>23</v>
      </c>
      <c r="B687">
        <v>23</v>
      </c>
      <c r="C687" t="s">
        <v>428</v>
      </c>
      <c r="D687" t="s">
        <v>414</v>
      </c>
      <c r="F687">
        <v>3.47</v>
      </c>
      <c r="G687">
        <v>1601809.375</v>
      </c>
      <c r="I687">
        <v>1601809.375</v>
      </c>
      <c r="J687" t="s">
        <v>403</v>
      </c>
      <c r="K687">
        <v>11.1</v>
      </c>
      <c r="N687">
        <v>23</v>
      </c>
      <c r="O687">
        <v>23</v>
      </c>
      <c r="P687" t="s">
        <v>533</v>
      </c>
      <c r="Q687" t="s">
        <v>414</v>
      </c>
      <c r="S687">
        <v>3.46</v>
      </c>
      <c r="T687">
        <v>85040.141000000003</v>
      </c>
      <c r="V687">
        <v>85040.141000000003</v>
      </c>
      <c r="W687" t="s">
        <v>478</v>
      </c>
    </row>
    <row r="688" spans="1:23" x14ac:dyDescent="0.45">
      <c r="A688">
        <v>24</v>
      </c>
      <c r="B688">
        <v>24</v>
      </c>
      <c r="C688" t="s">
        <v>429</v>
      </c>
      <c r="D688" t="s">
        <v>414</v>
      </c>
      <c r="F688">
        <v>3.47</v>
      </c>
      <c r="G688">
        <v>1621663.375</v>
      </c>
      <c r="I688">
        <v>1621663.375</v>
      </c>
      <c r="J688" t="s">
        <v>403</v>
      </c>
      <c r="K688">
        <v>11.6</v>
      </c>
      <c r="N688">
        <v>24</v>
      </c>
      <c r="O688">
        <v>24</v>
      </c>
      <c r="P688" t="s">
        <v>534</v>
      </c>
      <c r="Q688" t="s">
        <v>414</v>
      </c>
      <c r="S688">
        <v>3.46</v>
      </c>
      <c r="T688">
        <v>86884.858999999997</v>
      </c>
      <c r="V688">
        <v>86884.858999999997</v>
      </c>
      <c r="W688" t="s">
        <v>478</v>
      </c>
    </row>
    <row r="689" spans="1:23" x14ac:dyDescent="0.45">
      <c r="A689">
        <v>25</v>
      </c>
      <c r="B689">
        <v>25</v>
      </c>
      <c r="C689" t="s">
        <v>430</v>
      </c>
      <c r="D689" t="s">
        <v>414</v>
      </c>
      <c r="F689">
        <v>3.47</v>
      </c>
      <c r="G689">
        <v>1555408</v>
      </c>
      <c r="I689">
        <v>1555408</v>
      </c>
      <c r="J689" t="s">
        <v>415</v>
      </c>
      <c r="K689">
        <v>9.8000000000000007</v>
      </c>
      <c r="N689">
        <v>25</v>
      </c>
      <c r="O689">
        <v>25</v>
      </c>
      <c r="P689" t="s">
        <v>535</v>
      </c>
      <c r="Q689" t="s">
        <v>414</v>
      </c>
      <c r="S689">
        <v>3.46</v>
      </c>
      <c r="T689">
        <v>84365.273000000001</v>
      </c>
      <c r="V689">
        <v>84365.273000000001</v>
      </c>
      <c r="W689" t="s">
        <v>477</v>
      </c>
    </row>
    <row r="690" spans="1:23" x14ac:dyDescent="0.45">
      <c r="A690">
        <v>26</v>
      </c>
      <c r="B690">
        <v>26</v>
      </c>
      <c r="C690" t="s">
        <v>431</v>
      </c>
      <c r="D690" t="s">
        <v>414</v>
      </c>
      <c r="F690">
        <v>3.47</v>
      </c>
      <c r="G690">
        <v>1542254</v>
      </c>
      <c r="I690">
        <v>1542254</v>
      </c>
      <c r="J690" t="s">
        <v>415</v>
      </c>
      <c r="K690">
        <v>9.5</v>
      </c>
      <c r="N690">
        <v>26</v>
      </c>
      <c r="O690">
        <v>26</v>
      </c>
      <c r="P690" t="s">
        <v>536</v>
      </c>
      <c r="Q690" t="s">
        <v>414</v>
      </c>
      <c r="S690">
        <v>3.46</v>
      </c>
      <c r="T690">
        <v>81772.547000000006</v>
      </c>
      <c r="V690">
        <v>81772.547000000006</v>
      </c>
      <c r="W690" t="s">
        <v>478</v>
      </c>
    </row>
    <row r="691" spans="1:23" x14ac:dyDescent="0.45">
      <c r="A691">
        <v>27</v>
      </c>
      <c r="B691">
        <v>27</v>
      </c>
      <c r="C691" t="s">
        <v>432</v>
      </c>
      <c r="D691" t="s">
        <v>414</v>
      </c>
      <c r="F691">
        <v>3.46</v>
      </c>
      <c r="G691">
        <v>1558652.75</v>
      </c>
      <c r="I691">
        <v>1558652.75</v>
      </c>
      <c r="J691" t="s">
        <v>415</v>
      </c>
      <c r="K691">
        <v>9.9</v>
      </c>
      <c r="N691">
        <v>27</v>
      </c>
      <c r="O691">
        <v>27</v>
      </c>
      <c r="P691" t="s">
        <v>537</v>
      </c>
      <c r="Q691" t="s">
        <v>414</v>
      </c>
      <c r="S691">
        <v>3.46</v>
      </c>
      <c r="T691">
        <v>84557.57</v>
      </c>
      <c r="V691">
        <v>84557.57</v>
      </c>
      <c r="W691" t="s">
        <v>478</v>
      </c>
    </row>
    <row r="692" spans="1:23" x14ac:dyDescent="0.45">
      <c r="A692">
        <v>28</v>
      </c>
      <c r="B692">
        <v>28</v>
      </c>
      <c r="C692" t="s">
        <v>433</v>
      </c>
      <c r="D692" t="s">
        <v>414</v>
      </c>
      <c r="F692">
        <v>3.46</v>
      </c>
      <c r="G692">
        <v>1603201.125</v>
      </c>
      <c r="I692">
        <v>1603201.125</v>
      </c>
      <c r="J692" t="s">
        <v>403</v>
      </c>
      <c r="K692">
        <v>11.1</v>
      </c>
      <c r="N692">
        <v>28</v>
      </c>
      <c r="O692">
        <v>28</v>
      </c>
      <c r="P692" t="s">
        <v>538</v>
      </c>
      <c r="Q692" t="s">
        <v>414</v>
      </c>
      <c r="S692">
        <v>3.46</v>
      </c>
      <c r="T692">
        <v>85101.843999999997</v>
      </c>
      <c r="V692">
        <v>85101.843999999997</v>
      </c>
      <c r="W692" t="s">
        <v>477</v>
      </c>
    </row>
    <row r="693" spans="1:23" x14ac:dyDescent="0.45">
      <c r="A693">
        <v>29</v>
      </c>
      <c r="B693">
        <v>29</v>
      </c>
      <c r="C693" t="s">
        <v>434</v>
      </c>
      <c r="D693" t="s">
        <v>414</v>
      </c>
      <c r="F693">
        <v>3.46</v>
      </c>
      <c r="G693">
        <v>1616361.875</v>
      </c>
      <c r="I693">
        <v>1616361.875</v>
      </c>
      <c r="J693" t="s">
        <v>403</v>
      </c>
      <c r="K693">
        <v>11.4</v>
      </c>
      <c r="N693">
        <v>29</v>
      </c>
      <c r="O693">
        <v>29</v>
      </c>
      <c r="P693" t="s">
        <v>539</v>
      </c>
      <c r="Q693" t="s">
        <v>414</v>
      </c>
      <c r="S693">
        <v>3.46</v>
      </c>
      <c r="T693">
        <v>83767.312999999995</v>
      </c>
      <c r="V693">
        <v>83767.312999999995</v>
      </c>
      <c r="W693" t="s">
        <v>477</v>
      </c>
    </row>
    <row r="694" spans="1:23" x14ac:dyDescent="0.45">
      <c r="A694">
        <v>30</v>
      </c>
      <c r="B694">
        <v>30</v>
      </c>
      <c r="C694" t="s">
        <v>435</v>
      </c>
      <c r="D694" t="s">
        <v>414</v>
      </c>
      <c r="F694">
        <v>3.46</v>
      </c>
      <c r="G694">
        <v>1581355.75</v>
      </c>
      <c r="I694">
        <v>1581355.75</v>
      </c>
      <c r="J694" t="s">
        <v>403</v>
      </c>
      <c r="K694">
        <v>10.5</v>
      </c>
      <c r="N694">
        <v>30</v>
      </c>
      <c r="O694">
        <v>30</v>
      </c>
      <c r="P694" t="s">
        <v>540</v>
      </c>
      <c r="Q694" t="s">
        <v>414</v>
      </c>
      <c r="S694">
        <v>3.46</v>
      </c>
      <c r="T694">
        <v>92694.343999999997</v>
      </c>
      <c r="V694">
        <v>92694.343999999997</v>
      </c>
      <c r="W694" t="s">
        <v>478</v>
      </c>
    </row>
    <row r="695" spans="1:23" x14ac:dyDescent="0.45">
      <c r="A695">
        <v>31</v>
      </c>
      <c r="B695">
        <v>31</v>
      </c>
      <c r="C695" t="s">
        <v>436</v>
      </c>
      <c r="D695" t="s">
        <v>414</v>
      </c>
      <c r="F695">
        <v>3.46</v>
      </c>
      <c r="G695">
        <v>1610305.875</v>
      </c>
      <c r="I695">
        <v>1610305.875</v>
      </c>
      <c r="J695" t="s">
        <v>403</v>
      </c>
      <c r="K695">
        <v>11.3</v>
      </c>
      <c r="N695">
        <v>31</v>
      </c>
      <c r="O695">
        <v>31</v>
      </c>
      <c r="P695" t="s">
        <v>541</v>
      </c>
      <c r="Q695" t="s">
        <v>414</v>
      </c>
      <c r="S695">
        <v>3.46</v>
      </c>
      <c r="T695">
        <v>81091.281000000003</v>
      </c>
      <c r="V695">
        <v>81091.281000000003</v>
      </c>
      <c r="W695" t="s">
        <v>477</v>
      </c>
    </row>
    <row r="696" spans="1:23" x14ac:dyDescent="0.45">
      <c r="A696">
        <v>32</v>
      </c>
      <c r="B696">
        <v>32</v>
      </c>
      <c r="C696" t="s">
        <v>437</v>
      </c>
      <c r="D696" t="s">
        <v>414</v>
      </c>
      <c r="F696">
        <v>3.46</v>
      </c>
      <c r="G696">
        <v>1623004.25</v>
      </c>
      <c r="I696">
        <v>1623004.25</v>
      </c>
      <c r="J696" t="s">
        <v>401</v>
      </c>
      <c r="K696">
        <v>11.6</v>
      </c>
      <c r="N696">
        <v>32</v>
      </c>
      <c r="O696">
        <v>32</v>
      </c>
      <c r="P696" t="s">
        <v>542</v>
      </c>
      <c r="Q696" t="s">
        <v>414</v>
      </c>
      <c r="S696">
        <v>3.46</v>
      </c>
      <c r="T696">
        <v>83871.366999999998</v>
      </c>
      <c r="V696">
        <v>83871.366999999998</v>
      </c>
      <c r="W696" t="s">
        <v>477</v>
      </c>
    </row>
    <row r="697" spans="1:23" x14ac:dyDescent="0.45">
      <c r="A697">
        <v>33</v>
      </c>
      <c r="B697">
        <v>33</v>
      </c>
      <c r="C697" t="s">
        <v>438</v>
      </c>
      <c r="D697" t="s">
        <v>414</v>
      </c>
      <c r="F697">
        <v>3.46</v>
      </c>
      <c r="G697">
        <v>1621634.375</v>
      </c>
      <c r="I697">
        <v>1621634.375</v>
      </c>
      <c r="J697" t="s">
        <v>403</v>
      </c>
      <c r="K697">
        <v>11.6</v>
      </c>
      <c r="N697">
        <v>33</v>
      </c>
      <c r="O697">
        <v>33</v>
      </c>
      <c r="P697" t="s">
        <v>543</v>
      </c>
      <c r="Q697" t="s">
        <v>414</v>
      </c>
      <c r="S697">
        <v>3.46</v>
      </c>
      <c r="T697">
        <v>85930.25</v>
      </c>
      <c r="V697">
        <v>85930.25</v>
      </c>
      <c r="W697" t="s">
        <v>478</v>
      </c>
    </row>
    <row r="698" spans="1:23" x14ac:dyDescent="0.45">
      <c r="A698">
        <v>34</v>
      </c>
      <c r="B698">
        <v>34</v>
      </c>
      <c r="C698" t="s">
        <v>439</v>
      </c>
      <c r="D698" t="s">
        <v>414</v>
      </c>
      <c r="F698">
        <v>3.46</v>
      </c>
      <c r="G698">
        <v>1509437.375</v>
      </c>
      <c r="I698">
        <v>1509437.375</v>
      </c>
      <c r="J698" t="s">
        <v>403</v>
      </c>
      <c r="K698">
        <v>8.6</v>
      </c>
      <c r="N698">
        <v>34</v>
      </c>
      <c r="O698">
        <v>34</v>
      </c>
      <c r="P698" t="s">
        <v>544</v>
      </c>
      <c r="Q698" t="s">
        <v>414</v>
      </c>
      <c r="S698">
        <v>3.46</v>
      </c>
      <c r="T698">
        <v>79700.508000000002</v>
      </c>
      <c r="V698">
        <v>79700.508000000002</v>
      </c>
      <c r="W698" t="s">
        <v>477</v>
      </c>
    </row>
    <row r="699" spans="1:23" x14ac:dyDescent="0.45">
      <c r="A699">
        <v>35</v>
      </c>
      <c r="B699">
        <v>35</v>
      </c>
      <c r="C699" t="s">
        <v>440</v>
      </c>
      <c r="D699" t="s">
        <v>414</v>
      </c>
      <c r="F699">
        <v>3.46</v>
      </c>
      <c r="G699">
        <v>1550623.5</v>
      </c>
      <c r="I699">
        <v>1550623.5</v>
      </c>
      <c r="J699" t="s">
        <v>403</v>
      </c>
      <c r="K699">
        <v>9.6999999999999993</v>
      </c>
      <c r="N699">
        <v>35</v>
      </c>
      <c r="O699">
        <v>35</v>
      </c>
      <c r="P699" t="s">
        <v>545</v>
      </c>
      <c r="Q699" t="s">
        <v>414</v>
      </c>
      <c r="S699">
        <v>3.46</v>
      </c>
      <c r="T699">
        <v>80782.375</v>
      </c>
      <c r="V699">
        <v>80782.375</v>
      </c>
      <c r="W699" t="s">
        <v>477</v>
      </c>
    </row>
    <row r="700" spans="1:23" x14ac:dyDescent="0.45">
      <c r="A700">
        <v>36</v>
      </c>
      <c r="B700">
        <v>36</v>
      </c>
      <c r="C700" t="s">
        <v>441</v>
      </c>
      <c r="D700" t="s">
        <v>414</v>
      </c>
      <c r="F700">
        <v>3.47</v>
      </c>
      <c r="G700">
        <v>1562080.5</v>
      </c>
      <c r="I700">
        <v>1562080.5</v>
      </c>
      <c r="J700" t="s">
        <v>403</v>
      </c>
      <c r="K700">
        <v>10</v>
      </c>
      <c r="N700">
        <v>36</v>
      </c>
      <c r="O700">
        <v>36</v>
      </c>
      <c r="P700" t="s">
        <v>546</v>
      </c>
      <c r="Q700" t="s">
        <v>414</v>
      </c>
      <c r="S700">
        <v>3.46</v>
      </c>
      <c r="T700">
        <v>83786.843999999997</v>
      </c>
      <c r="V700">
        <v>83786.843999999997</v>
      </c>
      <c r="W700" t="s">
        <v>478</v>
      </c>
    </row>
    <row r="701" spans="1:23" x14ac:dyDescent="0.45">
      <c r="A701">
        <v>37</v>
      </c>
      <c r="B701">
        <v>37</v>
      </c>
      <c r="C701" t="s">
        <v>442</v>
      </c>
      <c r="D701" t="s">
        <v>414</v>
      </c>
      <c r="F701">
        <v>3.46</v>
      </c>
      <c r="G701">
        <v>1568302</v>
      </c>
      <c r="I701">
        <v>1568302</v>
      </c>
      <c r="J701" t="s">
        <v>415</v>
      </c>
      <c r="K701">
        <v>10.199999999999999</v>
      </c>
      <c r="N701">
        <v>37</v>
      </c>
      <c r="O701">
        <v>37</v>
      </c>
      <c r="P701" t="s">
        <v>547</v>
      </c>
      <c r="Q701" t="s">
        <v>414</v>
      </c>
      <c r="S701">
        <v>3.46</v>
      </c>
      <c r="T701">
        <v>82965.320000000007</v>
      </c>
      <c r="V701">
        <v>82965.320000000007</v>
      </c>
      <c r="W701" t="s">
        <v>477</v>
      </c>
    </row>
    <row r="702" spans="1:23" x14ac:dyDescent="0.45">
      <c r="A702">
        <v>38</v>
      </c>
      <c r="B702">
        <v>38</v>
      </c>
      <c r="C702" t="s">
        <v>443</v>
      </c>
      <c r="D702" t="s">
        <v>414</v>
      </c>
      <c r="F702">
        <v>3.46</v>
      </c>
      <c r="G702">
        <v>1622219.375</v>
      </c>
      <c r="I702">
        <v>1622219.375</v>
      </c>
      <c r="J702" t="s">
        <v>403</v>
      </c>
      <c r="K702">
        <v>11.6</v>
      </c>
      <c r="N702">
        <v>38</v>
      </c>
      <c r="O702">
        <v>38</v>
      </c>
      <c r="P702" t="s">
        <v>548</v>
      </c>
      <c r="Q702" t="s">
        <v>414</v>
      </c>
      <c r="S702">
        <v>3.46</v>
      </c>
      <c r="T702">
        <v>83657.343999999997</v>
      </c>
      <c r="V702">
        <v>83657.343999999997</v>
      </c>
      <c r="W702" t="s">
        <v>477</v>
      </c>
    </row>
    <row r="703" spans="1:23" x14ac:dyDescent="0.45">
      <c r="A703">
        <v>39</v>
      </c>
      <c r="B703">
        <v>39</v>
      </c>
      <c r="C703" t="s">
        <v>444</v>
      </c>
      <c r="D703" t="s">
        <v>414</v>
      </c>
      <c r="F703">
        <v>3.46</v>
      </c>
      <c r="G703">
        <v>1558897.75</v>
      </c>
      <c r="I703">
        <v>1558897.75</v>
      </c>
      <c r="J703" t="s">
        <v>403</v>
      </c>
      <c r="K703">
        <v>9.9</v>
      </c>
      <c r="N703">
        <v>39</v>
      </c>
      <c r="O703">
        <v>39</v>
      </c>
      <c r="P703" t="s">
        <v>549</v>
      </c>
      <c r="Q703" t="s">
        <v>414</v>
      </c>
      <c r="S703">
        <v>3.46</v>
      </c>
      <c r="T703">
        <v>84032.5</v>
      </c>
      <c r="V703">
        <v>84032.5</v>
      </c>
      <c r="W703" t="s">
        <v>477</v>
      </c>
    </row>
    <row r="704" spans="1:23" x14ac:dyDescent="0.45">
      <c r="A704">
        <v>40</v>
      </c>
      <c r="B704">
        <v>40</v>
      </c>
      <c r="C704" t="s">
        <v>445</v>
      </c>
      <c r="D704" t="s">
        <v>414</v>
      </c>
      <c r="F704">
        <v>3.46</v>
      </c>
      <c r="G704">
        <v>1578779</v>
      </c>
      <c r="I704">
        <v>1578779</v>
      </c>
      <c r="J704" t="s">
        <v>403</v>
      </c>
      <c r="K704">
        <v>10.4</v>
      </c>
      <c r="N704">
        <v>40</v>
      </c>
      <c r="O704">
        <v>40</v>
      </c>
      <c r="P704" t="s">
        <v>550</v>
      </c>
      <c r="Q704" t="s">
        <v>414</v>
      </c>
      <c r="S704">
        <v>3.46</v>
      </c>
      <c r="T704">
        <v>81633.343999999997</v>
      </c>
      <c r="V704">
        <v>81633.343999999997</v>
      </c>
      <c r="W704" t="s">
        <v>477</v>
      </c>
    </row>
    <row r="705" spans="1:23" x14ac:dyDescent="0.45">
      <c r="A705">
        <v>41</v>
      </c>
      <c r="B705">
        <v>41</v>
      </c>
      <c r="C705" t="s">
        <v>446</v>
      </c>
      <c r="D705" t="s">
        <v>414</v>
      </c>
      <c r="F705">
        <v>3.47</v>
      </c>
      <c r="G705">
        <v>1600953.375</v>
      </c>
      <c r="I705">
        <v>1600953.375</v>
      </c>
      <c r="J705" t="s">
        <v>403</v>
      </c>
      <c r="K705">
        <v>11</v>
      </c>
      <c r="N705">
        <v>41</v>
      </c>
      <c r="O705">
        <v>41</v>
      </c>
      <c r="P705" t="s">
        <v>551</v>
      </c>
      <c r="Q705" t="s">
        <v>414</v>
      </c>
      <c r="S705">
        <v>3.46</v>
      </c>
      <c r="T705">
        <v>82574.383000000002</v>
      </c>
      <c r="V705">
        <v>82574.383000000002</v>
      </c>
      <c r="W705" t="s">
        <v>478</v>
      </c>
    </row>
    <row r="706" spans="1:23" x14ac:dyDescent="0.45">
      <c r="A706">
        <v>42</v>
      </c>
      <c r="B706">
        <v>42</v>
      </c>
      <c r="C706" t="s">
        <v>447</v>
      </c>
      <c r="D706" t="s">
        <v>414</v>
      </c>
      <c r="F706">
        <v>3.46</v>
      </c>
      <c r="G706">
        <v>1579158.125</v>
      </c>
      <c r="I706">
        <v>1579158.125</v>
      </c>
      <c r="J706" t="s">
        <v>403</v>
      </c>
      <c r="K706">
        <v>10.5</v>
      </c>
      <c r="N706">
        <v>42</v>
      </c>
      <c r="O706">
        <v>42</v>
      </c>
      <c r="P706" t="s">
        <v>552</v>
      </c>
      <c r="Q706" t="s">
        <v>414</v>
      </c>
      <c r="S706">
        <v>3.46</v>
      </c>
      <c r="T706">
        <v>83387.039000000004</v>
      </c>
      <c r="V706">
        <v>83387.039000000004</v>
      </c>
      <c r="W706" t="s">
        <v>477</v>
      </c>
    </row>
    <row r="707" spans="1:23" x14ac:dyDescent="0.45">
      <c r="A707">
        <v>43</v>
      </c>
      <c r="B707">
        <v>43</v>
      </c>
      <c r="C707" t="s">
        <v>448</v>
      </c>
      <c r="D707" t="s">
        <v>414</v>
      </c>
      <c r="F707">
        <v>3.46</v>
      </c>
      <c r="G707">
        <v>1598941.125</v>
      </c>
      <c r="I707">
        <v>1598941.125</v>
      </c>
      <c r="J707" t="s">
        <v>401</v>
      </c>
      <c r="K707">
        <v>11</v>
      </c>
      <c r="N707">
        <v>43</v>
      </c>
      <c r="O707">
        <v>43</v>
      </c>
      <c r="P707" t="s">
        <v>553</v>
      </c>
      <c r="Q707" t="s">
        <v>414</v>
      </c>
      <c r="S707">
        <v>3.46</v>
      </c>
      <c r="T707">
        <v>85944.789000000004</v>
      </c>
      <c r="V707">
        <v>85944.789000000004</v>
      </c>
      <c r="W707" t="s">
        <v>478</v>
      </c>
    </row>
    <row r="708" spans="1:23" x14ac:dyDescent="0.45">
      <c r="A708">
        <v>44</v>
      </c>
      <c r="B708">
        <v>44</v>
      </c>
      <c r="C708" t="s">
        <v>449</v>
      </c>
      <c r="D708" t="s">
        <v>414</v>
      </c>
      <c r="F708">
        <v>3.46</v>
      </c>
      <c r="G708">
        <v>1605644.125</v>
      </c>
      <c r="I708">
        <v>1605644.125</v>
      </c>
      <c r="J708" t="s">
        <v>403</v>
      </c>
      <c r="K708">
        <v>11.2</v>
      </c>
      <c r="N708">
        <v>44</v>
      </c>
      <c r="O708">
        <v>44</v>
      </c>
      <c r="P708" t="s">
        <v>554</v>
      </c>
      <c r="Q708" t="s">
        <v>414</v>
      </c>
      <c r="S708">
        <v>3.46</v>
      </c>
      <c r="T708">
        <v>86530.125</v>
      </c>
      <c r="V708">
        <v>86530.125</v>
      </c>
      <c r="W708" t="s">
        <v>478</v>
      </c>
    </row>
    <row r="709" spans="1:23" x14ac:dyDescent="0.45">
      <c r="A709">
        <v>45</v>
      </c>
      <c r="B709">
        <v>45</v>
      </c>
      <c r="C709" t="s">
        <v>450</v>
      </c>
      <c r="D709" t="s">
        <v>414</v>
      </c>
      <c r="F709">
        <v>3.46</v>
      </c>
      <c r="G709">
        <v>1633828.125</v>
      </c>
      <c r="I709">
        <v>1633828.125</v>
      </c>
      <c r="J709" t="s">
        <v>403</v>
      </c>
      <c r="K709">
        <v>11.9</v>
      </c>
      <c r="N709">
        <v>45</v>
      </c>
      <c r="O709">
        <v>45</v>
      </c>
      <c r="P709" t="s">
        <v>555</v>
      </c>
      <c r="Q709" t="s">
        <v>414</v>
      </c>
      <c r="S709">
        <v>3.46</v>
      </c>
      <c r="T709">
        <v>80077.75</v>
      </c>
      <c r="V709">
        <v>80077.75</v>
      </c>
      <c r="W709" t="s">
        <v>477</v>
      </c>
    </row>
    <row r="710" spans="1:23" x14ac:dyDescent="0.45">
      <c r="A710">
        <v>46</v>
      </c>
      <c r="B710">
        <v>46</v>
      </c>
      <c r="C710" t="s">
        <v>451</v>
      </c>
      <c r="D710" t="s">
        <v>414</v>
      </c>
      <c r="F710">
        <v>3.46</v>
      </c>
      <c r="G710">
        <v>1607569.75</v>
      </c>
      <c r="I710">
        <v>1607569.75</v>
      </c>
      <c r="J710" t="s">
        <v>403</v>
      </c>
      <c r="K710">
        <v>11.2</v>
      </c>
      <c r="N710">
        <v>46</v>
      </c>
      <c r="O710">
        <v>46</v>
      </c>
      <c r="P710" t="s">
        <v>556</v>
      </c>
      <c r="Q710" t="s">
        <v>414</v>
      </c>
      <c r="S710">
        <v>3.46</v>
      </c>
      <c r="T710">
        <v>85528.851999999999</v>
      </c>
      <c r="V710">
        <v>85528.851999999999</v>
      </c>
      <c r="W710" t="s">
        <v>477</v>
      </c>
    </row>
    <row r="711" spans="1:23" x14ac:dyDescent="0.45">
      <c r="A711">
        <v>47</v>
      </c>
      <c r="B711">
        <v>47</v>
      </c>
      <c r="C711" t="s">
        <v>452</v>
      </c>
      <c r="D711" t="s">
        <v>414</v>
      </c>
      <c r="F711">
        <v>3.46</v>
      </c>
      <c r="G711">
        <v>1640151.875</v>
      </c>
      <c r="I711">
        <v>1640151.875</v>
      </c>
      <c r="J711" t="s">
        <v>403</v>
      </c>
      <c r="K711">
        <v>12.1</v>
      </c>
      <c r="N711">
        <v>47</v>
      </c>
      <c r="O711">
        <v>47</v>
      </c>
      <c r="P711" t="s">
        <v>557</v>
      </c>
      <c r="Q711" t="s">
        <v>414</v>
      </c>
      <c r="S711">
        <v>3.46</v>
      </c>
      <c r="T711">
        <v>79049.702999999994</v>
      </c>
      <c r="V711">
        <v>79049.702999999994</v>
      </c>
      <c r="W711" t="s">
        <v>477</v>
      </c>
    </row>
    <row r="712" spans="1:23" x14ac:dyDescent="0.45">
      <c r="A712">
        <v>48</v>
      </c>
      <c r="B712">
        <v>48</v>
      </c>
      <c r="C712" t="s">
        <v>453</v>
      </c>
      <c r="D712" t="s">
        <v>414</v>
      </c>
      <c r="F712">
        <v>3.46</v>
      </c>
      <c r="G712">
        <v>1626175.75</v>
      </c>
      <c r="I712">
        <v>1626175.75</v>
      </c>
      <c r="J712" t="s">
        <v>401</v>
      </c>
      <c r="K712">
        <v>11.7</v>
      </c>
      <c r="N712">
        <v>48</v>
      </c>
      <c r="O712">
        <v>48</v>
      </c>
      <c r="P712" t="s">
        <v>558</v>
      </c>
      <c r="Q712" t="s">
        <v>414</v>
      </c>
      <c r="S712">
        <v>3.46</v>
      </c>
      <c r="T712">
        <v>84928.164000000004</v>
      </c>
      <c r="V712">
        <v>84928.164000000004</v>
      </c>
      <c r="W712" t="s">
        <v>478</v>
      </c>
    </row>
    <row r="713" spans="1:23" x14ac:dyDescent="0.45">
      <c r="A713">
        <v>49</v>
      </c>
      <c r="B713">
        <v>49</v>
      </c>
      <c r="C713" t="s">
        <v>454</v>
      </c>
      <c r="D713" t="s">
        <v>414</v>
      </c>
      <c r="F713">
        <v>3.46</v>
      </c>
      <c r="G713">
        <v>1634835.75</v>
      </c>
      <c r="I713">
        <v>1634835.75</v>
      </c>
      <c r="J713" t="s">
        <v>403</v>
      </c>
      <c r="K713">
        <v>11.9</v>
      </c>
      <c r="N713">
        <v>49</v>
      </c>
      <c r="O713">
        <v>49</v>
      </c>
      <c r="P713" t="s">
        <v>559</v>
      </c>
      <c r="Q713" t="s">
        <v>414</v>
      </c>
      <c r="S713">
        <v>3.46</v>
      </c>
      <c r="T713">
        <v>76072.327999999994</v>
      </c>
      <c r="V713">
        <v>76072.327999999994</v>
      </c>
      <c r="W713" t="s">
        <v>477</v>
      </c>
    </row>
    <row r="714" spans="1:23" x14ac:dyDescent="0.45">
      <c r="A714">
        <v>50</v>
      </c>
      <c r="B714">
        <v>50</v>
      </c>
      <c r="C714" t="s">
        <v>455</v>
      </c>
      <c r="D714" t="s">
        <v>414</v>
      </c>
      <c r="F714">
        <v>3.46</v>
      </c>
      <c r="G714">
        <v>1634288.375</v>
      </c>
      <c r="I714">
        <v>1634288.375</v>
      </c>
      <c r="J714" t="s">
        <v>403</v>
      </c>
      <c r="K714">
        <v>11.9</v>
      </c>
      <c r="N714">
        <v>50</v>
      </c>
      <c r="O714">
        <v>50</v>
      </c>
      <c r="P714" t="s">
        <v>560</v>
      </c>
      <c r="Q714" t="s">
        <v>414</v>
      </c>
      <c r="S714">
        <v>3.46</v>
      </c>
      <c r="T714">
        <v>85382.57</v>
      </c>
      <c r="V714">
        <v>85382.57</v>
      </c>
      <c r="W714" t="s">
        <v>478</v>
      </c>
    </row>
    <row r="715" spans="1:23" x14ac:dyDescent="0.45">
      <c r="A715">
        <v>51</v>
      </c>
      <c r="B715">
        <v>51</v>
      </c>
      <c r="C715" t="s">
        <v>456</v>
      </c>
      <c r="D715" t="s">
        <v>414</v>
      </c>
      <c r="F715">
        <v>3.46</v>
      </c>
      <c r="G715">
        <v>1651112.375</v>
      </c>
      <c r="I715">
        <v>1651112.375</v>
      </c>
      <c r="J715" t="s">
        <v>403</v>
      </c>
      <c r="K715">
        <v>12.3</v>
      </c>
      <c r="N715">
        <v>51</v>
      </c>
      <c r="O715">
        <v>51</v>
      </c>
      <c r="P715" t="s">
        <v>561</v>
      </c>
      <c r="Q715" t="s">
        <v>414</v>
      </c>
      <c r="S715">
        <v>3.46</v>
      </c>
      <c r="T715">
        <v>78770.297000000006</v>
      </c>
      <c r="V715">
        <v>78770.297000000006</v>
      </c>
      <c r="W715" t="s">
        <v>477</v>
      </c>
    </row>
    <row r="716" spans="1:23" x14ac:dyDescent="0.45">
      <c r="A716">
        <v>52</v>
      </c>
      <c r="B716">
        <v>52</v>
      </c>
      <c r="C716" t="s">
        <v>457</v>
      </c>
      <c r="D716" t="s">
        <v>414</v>
      </c>
      <c r="F716">
        <v>3.46</v>
      </c>
      <c r="G716">
        <v>1624342.125</v>
      </c>
      <c r="I716">
        <v>1624342.125</v>
      </c>
      <c r="J716" t="s">
        <v>403</v>
      </c>
      <c r="K716">
        <v>11.6</v>
      </c>
      <c r="N716">
        <v>52</v>
      </c>
      <c r="O716">
        <v>52</v>
      </c>
      <c r="P716" t="s">
        <v>562</v>
      </c>
      <c r="Q716" t="s">
        <v>414</v>
      </c>
      <c r="S716">
        <v>3.44</v>
      </c>
      <c r="T716">
        <v>83802.741999999998</v>
      </c>
      <c r="V716">
        <v>83802.741999999998</v>
      </c>
      <c r="W716" t="s">
        <v>477</v>
      </c>
    </row>
    <row r="717" spans="1:23" x14ac:dyDescent="0.45">
      <c r="A717">
        <v>53</v>
      </c>
      <c r="B717">
        <v>53</v>
      </c>
      <c r="C717" t="s">
        <v>458</v>
      </c>
      <c r="D717" t="s">
        <v>414</v>
      </c>
      <c r="F717">
        <v>3.46</v>
      </c>
      <c r="G717">
        <v>1633738.875</v>
      </c>
      <c r="I717">
        <v>1633738.875</v>
      </c>
      <c r="J717" t="s">
        <v>403</v>
      </c>
      <c r="K717">
        <v>11.9</v>
      </c>
      <c r="N717">
        <v>53</v>
      </c>
      <c r="O717">
        <v>53</v>
      </c>
      <c r="P717" t="s">
        <v>563</v>
      </c>
      <c r="Q717" t="s">
        <v>414</v>
      </c>
      <c r="S717">
        <v>3.44</v>
      </c>
      <c r="T717">
        <v>85363.516000000003</v>
      </c>
      <c r="V717">
        <v>85363.516000000003</v>
      </c>
      <c r="W717" t="s">
        <v>478</v>
      </c>
    </row>
    <row r="718" spans="1:23" x14ac:dyDescent="0.45">
      <c r="A718">
        <v>54</v>
      </c>
      <c r="B718">
        <v>54</v>
      </c>
      <c r="C718" t="s">
        <v>459</v>
      </c>
      <c r="D718" t="s">
        <v>414</v>
      </c>
      <c r="F718">
        <v>3.46</v>
      </c>
      <c r="G718">
        <v>1630882.125</v>
      </c>
      <c r="I718">
        <v>1630882.125</v>
      </c>
      <c r="J718" t="s">
        <v>403</v>
      </c>
      <c r="K718">
        <v>11.8</v>
      </c>
      <c r="N718">
        <v>54</v>
      </c>
      <c r="O718">
        <v>54</v>
      </c>
      <c r="P718" t="s">
        <v>564</v>
      </c>
      <c r="Q718" t="s">
        <v>414</v>
      </c>
      <c r="S718">
        <v>3.44</v>
      </c>
      <c r="T718">
        <v>76938.491999999998</v>
      </c>
      <c r="V718">
        <v>76938.491999999998</v>
      </c>
      <c r="W718" t="s">
        <v>477</v>
      </c>
    </row>
    <row r="719" spans="1:23" x14ac:dyDescent="0.45">
      <c r="A719">
        <v>55</v>
      </c>
      <c r="B719">
        <v>55</v>
      </c>
      <c r="C719" t="s">
        <v>460</v>
      </c>
      <c r="D719" t="s">
        <v>414</v>
      </c>
      <c r="F719">
        <v>3.46</v>
      </c>
      <c r="G719">
        <v>1653974.125</v>
      </c>
      <c r="I719">
        <v>1653974.125</v>
      </c>
      <c r="J719" t="s">
        <v>403</v>
      </c>
      <c r="K719">
        <v>12.4</v>
      </c>
      <c r="N719">
        <v>55</v>
      </c>
      <c r="O719">
        <v>55</v>
      </c>
      <c r="P719" t="s">
        <v>565</v>
      </c>
      <c r="Q719" t="s">
        <v>414</v>
      </c>
      <c r="S719">
        <v>3.46</v>
      </c>
      <c r="T719">
        <v>84394.141000000003</v>
      </c>
      <c r="V719">
        <v>84394.141000000003</v>
      </c>
      <c r="W719" t="s">
        <v>477</v>
      </c>
    </row>
    <row r="720" spans="1:23" x14ac:dyDescent="0.45">
      <c r="A720">
        <v>56</v>
      </c>
      <c r="B720">
        <v>56</v>
      </c>
      <c r="C720" t="s">
        <v>461</v>
      </c>
      <c r="D720" t="s">
        <v>414</v>
      </c>
      <c r="F720">
        <v>3.46</v>
      </c>
      <c r="G720">
        <v>1641929.625</v>
      </c>
      <c r="I720">
        <v>1641929.625</v>
      </c>
      <c r="J720" t="s">
        <v>403</v>
      </c>
      <c r="K720">
        <v>12.1</v>
      </c>
      <c r="N720">
        <v>56</v>
      </c>
      <c r="O720">
        <v>56</v>
      </c>
      <c r="P720" t="s">
        <v>566</v>
      </c>
      <c r="Q720" t="s">
        <v>414</v>
      </c>
      <c r="S720">
        <v>3.44</v>
      </c>
      <c r="T720">
        <v>88247.695000000007</v>
      </c>
      <c r="V720">
        <v>88247.695000000007</v>
      </c>
      <c r="W720" t="s">
        <v>478</v>
      </c>
    </row>
    <row r="721" spans="1:23" x14ac:dyDescent="0.45">
      <c r="A721">
        <v>57</v>
      </c>
      <c r="B721">
        <v>57</v>
      </c>
      <c r="C721" t="s">
        <v>462</v>
      </c>
      <c r="D721" t="s">
        <v>414</v>
      </c>
      <c r="F721">
        <v>3.46</v>
      </c>
      <c r="G721">
        <v>1616307.25</v>
      </c>
      <c r="I721">
        <v>1616307.25</v>
      </c>
      <c r="J721" t="s">
        <v>403</v>
      </c>
      <c r="K721">
        <v>11.4</v>
      </c>
      <c r="N721">
        <v>57</v>
      </c>
      <c r="O721">
        <v>57</v>
      </c>
      <c r="P721" t="s">
        <v>567</v>
      </c>
      <c r="Q721" t="s">
        <v>414</v>
      </c>
      <c r="S721">
        <v>3.44</v>
      </c>
      <c r="T721">
        <v>83385.375</v>
      </c>
      <c r="V721">
        <v>83385.375</v>
      </c>
      <c r="W721" t="s">
        <v>477</v>
      </c>
    </row>
    <row r="722" spans="1:23" x14ac:dyDescent="0.45">
      <c r="A722">
        <v>58</v>
      </c>
      <c r="B722">
        <v>58</v>
      </c>
      <c r="C722" t="s">
        <v>463</v>
      </c>
      <c r="D722" t="s">
        <v>414</v>
      </c>
      <c r="F722">
        <v>3.46</v>
      </c>
      <c r="G722">
        <v>1624217.5</v>
      </c>
      <c r="I722">
        <v>1624217.5</v>
      </c>
      <c r="J722" t="s">
        <v>403</v>
      </c>
      <c r="K722">
        <v>11.6</v>
      </c>
      <c r="N722">
        <v>58</v>
      </c>
      <c r="O722">
        <v>58</v>
      </c>
      <c r="P722" t="s">
        <v>568</v>
      </c>
      <c r="Q722" t="s">
        <v>414</v>
      </c>
      <c r="S722">
        <v>3.44</v>
      </c>
      <c r="T722">
        <v>86598.304999999993</v>
      </c>
      <c r="V722">
        <v>86598.304999999993</v>
      </c>
      <c r="W722" t="s">
        <v>477</v>
      </c>
    </row>
    <row r="723" spans="1:23" x14ac:dyDescent="0.45">
      <c r="A723">
        <v>59</v>
      </c>
      <c r="B723">
        <v>59</v>
      </c>
      <c r="C723" t="s">
        <v>464</v>
      </c>
      <c r="D723" t="s">
        <v>414</v>
      </c>
      <c r="F723">
        <v>3.46</v>
      </c>
      <c r="G723">
        <v>1613706.5</v>
      </c>
      <c r="I723">
        <v>1613706.5</v>
      </c>
      <c r="J723" t="s">
        <v>401</v>
      </c>
      <c r="K723">
        <v>11.4</v>
      </c>
      <c r="N723">
        <v>59</v>
      </c>
      <c r="O723">
        <v>59</v>
      </c>
      <c r="P723" t="s">
        <v>569</v>
      </c>
      <c r="Q723" t="s">
        <v>414</v>
      </c>
      <c r="S723">
        <v>3.44</v>
      </c>
      <c r="T723">
        <v>85484.75</v>
      </c>
      <c r="V723">
        <v>85484.75</v>
      </c>
      <c r="W723" t="s">
        <v>477</v>
      </c>
    </row>
    <row r="724" spans="1:23" x14ac:dyDescent="0.45">
      <c r="A724">
        <v>60</v>
      </c>
      <c r="B724">
        <v>60</v>
      </c>
      <c r="C724" t="s">
        <v>465</v>
      </c>
      <c r="D724" t="s">
        <v>414</v>
      </c>
      <c r="F724">
        <v>3.46</v>
      </c>
      <c r="G724">
        <v>1613904.625</v>
      </c>
      <c r="I724">
        <v>1613904.625</v>
      </c>
      <c r="J724" t="s">
        <v>403</v>
      </c>
      <c r="K724">
        <v>11.4</v>
      </c>
      <c r="N724">
        <v>60</v>
      </c>
      <c r="O724">
        <v>60</v>
      </c>
      <c r="P724" t="s">
        <v>570</v>
      </c>
      <c r="Q724" t="s">
        <v>414</v>
      </c>
      <c r="S724">
        <v>3.44</v>
      </c>
      <c r="T724">
        <v>85824.991999999998</v>
      </c>
      <c r="V724">
        <v>85824.991999999998</v>
      </c>
      <c r="W724" t="s">
        <v>477</v>
      </c>
    </row>
    <row r="725" spans="1:23" x14ac:dyDescent="0.45">
      <c r="A725">
        <v>61</v>
      </c>
      <c r="B725">
        <v>61</v>
      </c>
      <c r="C725" t="s">
        <v>466</v>
      </c>
      <c r="D725" t="s">
        <v>414</v>
      </c>
      <c r="F725">
        <v>3.46</v>
      </c>
      <c r="G725">
        <v>1607109.25</v>
      </c>
      <c r="I725">
        <v>1607109.25</v>
      </c>
      <c r="J725" t="s">
        <v>403</v>
      </c>
      <c r="K725">
        <v>11.2</v>
      </c>
      <c r="N725">
        <v>61</v>
      </c>
      <c r="O725">
        <v>61</v>
      </c>
      <c r="P725" t="s">
        <v>571</v>
      </c>
      <c r="Q725" t="s">
        <v>414</v>
      </c>
      <c r="S725">
        <v>3.44</v>
      </c>
      <c r="T725">
        <v>85331.398000000001</v>
      </c>
      <c r="V725">
        <v>85331.398000000001</v>
      </c>
      <c r="W725" t="s">
        <v>478</v>
      </c>
    </row>
    <row r="726" spans="1:23" x14ac:dyDescent="0.45">
      <c r="A726">
        <v>62</v>
      </c>
      <c r="B726">
        <v>62</v>
      </c>
      <c r="C726" t="s">
        <v>467</v>
      </c>
      <c r="D726" t="s">
        <v>414</v>
      </c>
      <c r="F726">
        <v>3.46</v>
      </c>
      <c r="G726">
        <v>1597421.375</v>
      </c>
      <c r="I726">
        <v>1597421.375</v>
      </c>
      <c r="J726" t="s">
        <v>403</v>
      </c>
      <c r="K726">
        <v>10.9</v>
      </c>
      <c r="N726">
        <v>62</v>
      </c>
      <c r="O726">
        <v>62</v>
      </c>
      <c r="P726" t="s">
        <v>572</v>
      </c>
      <c r="Q726" t="s">
        <v>414</v>
      </c>
      <c r="S726">
        <v>3.44</v>
      </c>
      <c r="T726">
        <v>78377.414000000004</v>
      </c>
      <c r="V726">
        <v>78377.414000000004</v>
      </c>
      <c r="W726" t="s">
        <v>477</v>
      </c>
    </row>
    <row r="727" spans="1:23" x14ac:dyDescent="0.45">
      <c r="A727">
        <v>63</v>
      </c>
      <c r="B727">
        <v>63</v>
      </c>
      <c r="C727" t="s">
        <v>468</v>
      </c>
      <c r="D727" t="s">
        <v>414</v>
      </c>
      <c r="F727">
        <v>3.46</v>
      </c>
      <c r="G727">
        <v>1614044.25</v>
      </c>
      <c r="I727">
        <v>1614044.25</v>
      </c>
      <c r="J727" t="s">
        <v>403</v>
      </c>
      <c r="K727">
        <v>11.4</v>
      </c>
      <c r="N727">
        <v>63</v>
      </c>
      <c r="O727">
        <v>63</v>
      </c>
      <c r="P727" t="s">
        <v>573</v>
      </c>
      <c r="Q727" t="s">
        <v>414</v>
      </c>
      <c r="S727">
        <v>3.44</v>
      </c>
      <c r="T727">
        <v>79651.289000000004</v>
      </c>
      <c r="V727">
        <v>79651.289000000004</v>
      </c>
      <c r="W727" t="s">
        <v>477</v>
      </c>
    </row>
    <row r="728" spans="1:23" x14ac:dyDescent="0.45">
      <c r="A728">
        <v>64</v>
      </c>
      <c r="B728">
        <v>64</v>
      </c>
      <c r="C728" t="s">
        <v>469</v>
      </c>
      <c r="D728" t="s">
        <v>414</v>
      </c>
      <c r="F728">
        <v>3.46</v>
      </c>
      <c r="G728">
        <v>1594144.125</v>
      </c>
      <c r="I728">
        <v>1594144.125</v>
      </c>
      <c r="J728" t="s">
        <v>403</v>
      </c>
      <c r="K728">
        <v>10.8</v>
      </c>
      <c r="N728">
        <v>64</v>
      </c>
      <c r="O728">
        <v>64</v>
      </c>
      <c r="P728" t="s">
        <v>574</v>
      </c>
      <c r="Q728" t="s">
        <v>414</v>
      </c>
      <c r="S728">
        <v>3.44</v>
      </c>
      <c r="T728">
        <v>85970.187999999995</v>
      </c>
      <c r="V728">
        <v>85970.187999999995</v>
      </c>
      <c r="W728" t="s">
        <v>477</v>
      </c>
    </row>
    <row r="729" spans="1:23" x14ac:dyDescent="0.45">
      <c r="A729">
        <v>65</v>
      </c>
      <c r="B729">
        <v>65</v>
      </c>
      <c r="C729" t="s">
        <v>470</v>
      </c>
      <c r="D729" t="s">
        <v>414</v>
      </c>
      <c r="F729">
        <v>3.46</v>
      </c>
      <c r="G729">
        <v>1613272.25</v>
      </c>
      <c r="I729">
        <v>1613272.25</v>
      </c>
      <c r="J729" t="s">
        <v>403</v>
      </c>
      <c r="K729">
        <v>11.4</v>
      </c>
      <c r="N729">
        <v>65</v>
      </c>
      <c r="O729">
        <v>65</v>
      </c>
      <c r="P729" t="s">
        <v>575</v>
      </c>
      <c r="Q729" t="s">
        <v>414</v>
      </c>
      <c r="S729">
        <v>3.44</v>
      </c>
      <c r="T729">
        <v>86377.18</v>
      </c>
      <c r="V729">
        <v>86377.18</v>
      </c>
      <c r="W729" t="s">
        <v>478</v>
      </c>
    </row>
    <row r="730" spans="1:23" x14ac:dyDescent="0.45">
      <c r="A730">
        <v>66</v>
      </c>
      <c r="B730">
        <v>66</v>
      </c>
      <c r="C730" t="s">
        <v>471</v>
      </c>
      <c r="D730" t="s">
        <v>414</v>
      </c>
      <c r="F730">
        <v>3.46</v>
      </c>
      <c r="G730">
        <v>1628562</v>
      </c>
      <c r="I730">
        <v>1628562</v>
      </c>
      <c r="J730" t="s">
        <v>403</v>
      </c>
      <c r="K730">
        <v>11.8</v>
      </c>
      <c r="N730">
        <v>66</v>
      </c>
      <c r="O730">
        <v>66</v>
      </c>
      <c r="P730" t="s">
        <v>576</v>
      </c>
      <c r="Q730" t="s">
        <v>414</v>
      </c>
      <c r="S730">
        <v>3.44</v>
      </c>
      <c r="T730">
        <v>80271.233999999997</v>
      </c>
      <c r="V730">
        <v>80271.233999999997</v>
      </c>
      <c r="W730" t="s">
        <v>477</v>
      </c>
    </row>
    <row r="731" spans="1:23" x14ac:dyDescent="0.45">
      <c r="A731">
        <v>67</v>
      </c>
      <c r="B731">
        <v>67</v>
      </c>
      <c r="C731" t="s">
        <v>472</v>
      </c>
      <c r="D731" t="s">
        <v>414</v>
      </c>
      <c r="F731">
        <v>3.46</v>
      </c>
      <c r="G731">
        <v>1632133.375</v>
      </c>
      <c r="I731">
        <v>1632133.375</v>
      </c>
      <c r="J731" t="s">
        <v>403</v>
      </c>
      <c r="K731">
        <v>11.8</v>
      </c>
      <c r="N731">
        <v>67</v>
      </c>
      <c r="O731">
        <v>67</v>
      </c>
      <c r="P731" t="s">
        <v>577</v>
      </c>
      <c r="Q731" t="s">
        <v>414</v>
      </c>
      <c r="S731">
        <v>3.44</v>
      </c>
      <c r="T731">
        <v>80610.077999999994</v>
      </c>
      <c r="V731">
        <v>80610.077999999994</v>
      </c>
      <c r="W731" t="s">
        <v>477</v>
      </c>
    </row>
    <row r="732" spans="1:23" x14ac:dyDescent="0.45">
      <c r="A732">
        <v>68</v>
      </c>
      <c r="B732">
        <v>68</v>
      </c>
      <c r="C732" t="s">
        <v>473</v>
      </c>
      <c r="D732" t="s">
        <v>414</v>
      </c>
      <c r="F732">
        <v>3.46</v>
      </c>
      <c r="G732">
        <v>1613151.125</v>
      </c>
      <c r="I732">
        <v>1613151.125</v>
      </c>
      <c r="J732" t="s">
        <v>403</v>
      </c>
      <c r="K732">
        <v>11.3</v>
      </c>
      <c r="N732">
        <v>68</v>
      </c>
      <c r="O732">
        <v>68</v>
      </c>
      <c r="P732" t="s">
        <v>578</v>
      </c>
      <c r="Q732" t="s">
        <v>414</v>
      </c>
      <c r="S732">
        <v>3.44</v>
      </c>
      <c r="T732">
        <v>85926.077999999994</v>
      </c>
      <c r="V732">
        <v>85926.077999999994</v>
      </c>
      <c r="W732" t="s">
        <v>478</v>
      </c>
    </row>
    <row r="733" spans="1:23" x14ac:dyDescent="0.45">
      <c r="A733">
        <v>69</v>
      </c>
      <c r="B733">
        <v>69</v>
      </c>
      <c r="C733" t="s">
        <v>474</v>
      </c>
      <c r="D733" t="s">
        <v>414</v>
      </c>
      <c r="F733">
        <v>3.46</v>
      </c>
      <c r="G733">
        <v>1595323.875</v>
      </c>
      <c r="I733">
        <v>1595323.875</v>
      </c>
      <c r="J733" t="s">
        <v>403</v>
      </c>
      <c r="K733">
        <v>10.9</v>
      </c>
      <c r="N733">
        <v>69</v>
      </c>
      <c r="O733">
        <v>69</v>
      </c>
      <c r="P733" t="s">
        <v>579</v>
      </c>
      <c r="Q733" t="s">
        <v>414</v>
      </c>
      <c r="S733">
        <v>3.44</v>
      </c>
      <c r="T733">
        <v>82544.335999999996</v>
      </c>
      <c r="V733">
        <v>82544.335999999996</v>
      </c>
      <c r="W733" t="s">
        <v>477</v>
      </c>
    </row>
    <row r="735" spans="1:23" x14ac:dyDescent="0.45">
      <c r="A735" t="s">
        <v>496</v>
      </c>
      <c r="N735" t="s">
        <v>496</v>
      </c>
    </row>
    <row r="737" spans="1:25" x14ac:dyDescent="0.45">
      <c r="B737" t="s">
        <v>389</v>
      </c>
      <c r="C737" t="s">
        <v>123</v>
      </c>
      <c r="D737" t="s">
        <v>390</v>
      </c>
      <c r="E737" t="s">
        <v>391</v>
      </c>
      <c r="F737" t="s">
        <v>392</v>
      </c>
      <c r="G737" t="s">
        <v>393</v>
      </c>
      <c r="H737" t="s">
        <v>394</v>
      </c>
      <c r="I737" t="s">
        <v>395</v>
      </c>
      <c r="J737" t="s">
        <v>396</v>
      </c>
      <c r="K737" t="s">
        <v>397</v>
      </c>
      <c r="L737" t="s">
        <v>398</v>
      </c>
      <c r="O737" t="s">
        <v>389</v>
      </c>
      <c r="P737" t="s">
        <v>123</v>
      </c>
      <c r="Q737" t="s">
        <v>390</v>
      </c>
      <c r="R737" t="s">
        <v>391</v>
      </c>
      <c r="S737" t="s">
        <v>392</v>
      </c>
      <c r="T737" t="s">
        <v>393</v>
      </c>
      <c r="U737" t="s">
        <v>394</v>
      </c>
      <c r="V737" t="s">
        <v>395</v>
      </c>
      <c r="W737" t="s">
        <v>396</v>
      </c>
      <c r="X737" t="s">
        <v>397</v>
      </c>
      <c r="Y737" t="s">
        <v>398</v>
      </c>
    </row>
    <row r="738" spans="1:25" x14ac:dyDescent="0.45">
      <c r="A738">
        <v>1</v>
      </c>
      <c r="B738">
        <v>1</v>
      </c>
      <c r="C738" t="s">
        <v>399</v>
      </c>
      <c r="D738" t="s">
        <v>400</v>
      </c>
      <c r="E738">
        <v>0.05</v>
      </c>
      <c r="F738">
        <v>3.56</v>
      </c>
      <c r="G738">
        <v>3084.0770000000002</v>
      </c>
      <c r="H738">
        <v>54757.120999999999</v>
      </c>
      <c r="I738">
        <v>0.56299999999999994</v>
      </c>
      <c r="J738" t="s">
        <v>479</v>
      </c>
      <c r="N738">
        <v>1</v>
      </c>
      <c r="O738">
        <v>1</v>
      </c>
      <c r="P738" t="s">
        <v>511</v>
      </c>
      <c r="Q738" t="s">
        <v>400</v>
      </c>
      <c r="R738">
        <v>0.05</v>
      </c>
      <c r="S738">
        <v>3.55</v>
      </c>
      <c r="T738">
        <v>3544.4520000000002</v>
      </c>
      <c r="U738">
        <v>138715.5</v>
      </c>
      <c r="V738">
        <v>0.25600000000000001</v>
      </c>
      <c r="W738" t="s">
        <v>401</v>
      </c>
      <c r="X738">
        <v>0.2</v>
      </c>
      <c r="Y738">
        <v>336.5</v>
      </c>
    </row>
    <row r="739" spans="1:25" x14ac:dyDescent="0.45">
      <c r="A739">
        <v>2</v>
      </c>
      <c r="B739">
        <v>2</v>
      </c>
      <c r="C739" t="s">
        <v>402</v>
      </c>
      <c r="D739" t="s">
        <v>400</v>
      </c>
      <c r="E739">
        <v>0.5</v>
      </c>
      <c r="F739">
        <v>3.34</v>
      </c>
      <c r="G739">
        <v>17582.734</v>
      </c>
      <c r="H739">
        <v>68647.562999999995</v>
      </c>
      <c r="I739">
        <v>2.5609999999999999</v>
      </c>
      <c r="J739" t="s">
        <v>415</v>
      </c>
      <c r="K739">
        <v>0.4</v>
      </c>
      <c r="L739">
        <v>-13</v>
      </c>
      <c r="N739">
        <v>2</v>
      </c>
      <c r="O739">
        <v>2</v>
      </c>
      <c r="P739" t="s">
        <v>512</v>
      </c>
      <c r="Q739" t="s">
        <v>400</v>
      </c>
      <c r="R739">
        <v>0.5</v>
      </c>
      <c r="S739">
        <v>3.33</v>
      </c>
      <c r="T739">
        <v>18086.666000000001</v>
      </c>
      <c r="U739">
        <v>139613.56299999999</v>
      </c>
      <c r="V739">
        <v>1.2949999999999999</v>
      </c>
      <c r="W739" t="s">
        <v>415</v>
      </c>
      <c r="X739">
        <v>0.5</v>
      </c>
      <c r="Y739">
        <v>5.3</v>
      </c>
    </row>
    <row r="740" spans="1:25" x14ac:dyDescent="0.45">
      <c r="A740">
        <v>3</v>
      </c>
      <c r="B740">
        <v>3</v>
      </c>
      <c r="C740" t="s">
        <v>404</v>
      </c>
      <c r="D740" t="s">
        <v>400</v>
      </c>
      <c r="E740">
        <v>1.25</v>
      </c>
      <c r="F740">
        <v>3.34</v>
      </c>
      <c r="G740">
        <v>45489.273000000001</v>
      </c>
      <c r="H740">
        <v>82431.304999999993</v>
      </c>
      <c r="I740">
        <v>5.5179999999999998</v>
      </c>
      <c r="J740" t="s">
        <v>401</v>
      </c>
      <c r="K740">
        <v>1.3</v>
      </c>
      <c r="L740">
        <v>7.4</v>
      </c>
      <c r="N740">
        <v>3</v>
      </c>
      <c r="O740">
        <v>3</v>
      </c>
      <c r="P740" t="s">
        <v>513</v>
      </c>
      <c r="Q740" t="s">
        <v>400</v>
      </c>
      <c r="R740">
        <v>1.25</v>
      </c>
      <c r="S740">
        <v>3.33</v>
      </c>
      <c r="T740">
        <v>51000.59</v>
      </c>
      <c r="U740">
        <v>137451.70300000001</v>
      </c>
      <c r="V740">
        <v>3.71</v>
      </c>
      <c r="W740" t="s">
        <v>401</v>
      </c>
      <c r="X740">
        <v>1.2</v>
      </c>
      <c r="Y740">
        <v>-0.6</v>
      </c>
    </row>
    <row r="741" spans="1:25" x14ac:dyDescent="0.45">
      <c r="A741">
        <v>4</v>
      </c>
      <c r="B741">
        <v>4</v>
      </c>
      <c r="C741" t="s">
        <v>405</v>
      </c>
      <c r="D741" t="s">
        <v>400</v>
      </c>
      <c r="E741">
        <v>2.5</v>
      </c>
      <c r="F741">
        <v>3.34</v>
      </c>
      <c r="G741">
        <v>94287.851999999999</v>
      </c>
      <c r="H741">
        <v>93451.562999999995</v>
      </c>
      <c r="I741">
        <v>10.089</v>
      </c>
      <c r="J741" t="s">
        <v>403</v>
      </c>
      <c r="K741">
        <v>2.7</v>
      </c>
      <c r="L741">
        <v>9.9</v>
      </c>
      <c r="N741">
        <v>4</v>
      </c>
      <c r="O741">
        <v>4</v>
      </c>
      <c r="P741" t="s">
        <v>514</v>
      </c>
      <c r="Q741" t="s">
        <v>400</v>
      </c>
      <c r="R741">
        <v>2.5</v>
      </c>
      <c r="S741">
        <v>3.33</v>
      </c>
      <c r="T741">
        <v>99426.32</v>
      </c>
      <c r="U741">
        <v>127404.773</v>
      </c>
      <c r="V741">
        <v>7.8040000000000003</v>
      </c>
      <c r="W741" t="s">
        <v>403</v>
      </c>
      <c r="X741">
        <v>2.5</v>
      </c>
      <c r="Y741">
        <v>-1.7</v>
      </c>
    </row>
    <row r="742" spans="1:25" x14ac:dyDescent="0.45">
      <c r="A742">
        <v>5</v>
      </c>
      <c r="B742">
        <v>5</v>
      </c>
      <c r="C742" t="s">
        <v>406</v>
      </c>
      <c r="D742" t="s">
        <v>400</v>
      </c>
      <c r="E742">
        <v>3.5</v>
      </c>
      <c r="F742">
        <v>3.34</v>
      </c>
      <c r="G742">
        <v>137129.92199999999</v>
      </c>
      <c r="H742">
        <v>105865.648</v>
      </c>
      <c r="I742">
        <v>12.952999999999999</v>
      </c>
      <c r="J742" t="s">
        <v>401</v>
      </c>
      <c r="K742">
        <v>3.6</v>
      </c>
      <c r="L742">
        <v>3.6</v>
      </c>
      <c r="N742">
        <v>5</v>
      </c>
      <c r="O742">
        <v>5</v>
      </c>
      <c r="P742" t="s">
        <v>515</v>
      </c>
      <c r="Q742" t="s">
        <v>400</v>
      </c>
      <c r="R742">
        <v>3.5</v>
      </c>
      <c r="S742">
        <v>3.33</v>
      </c>
      <c r="T742">
        <v>129985.44500000001</v>
      </c>
      <c r="U742">
        <v>127694.93799999999</v>
      </c>
      <c r="V742">
        <v>10.179</v>
      </c>
      <c r="W742" t="s">
        <v>403</v>
      </c>
      <c r="X742">
        <v>3.2</v>
      </c>
      <c r="Y742">
        <v>-9.6999999999999993</v>
      </c>
    </row>
    <row r="743" spans="1:25" x14ac:dyDescent="0.45">
      <c r="A743">
        <v>6</v>
      </c>
      <c r="B743">
        <v>6</v>
      </c>
      <c r="C743" t="s">
        <v>407</v>
      </c>
      <c r="D743" t="s">
        <v>400</v>
      </c>
      <c r="E743">
        <v>5</v>
      </c>
      <c r="F743">
        <v>3.34</v>
      </c>
      <c r="G743">
        <v>205082.125</v>
      </c>
      <c r="H743">
        <v>118528.32000000001</v>
      </c>
      <c r="I743">
        <v>17.302</v>
      </c>
      <c r="J743" t="s">
        <v>403</v>
      </c>
      <c r="K743">
        <v>5</v>
      </c>
      <c r="L743">
        <v>-0.8</v>
      </c>
      <c r="N743">
        <v>6</v>
      </c>
      <c r="O743">
        <v>6</v>
      </c>
      <c r="P743" t="s">
        <v>516</v>
      </c>
      <c r="Q743" t="s">
        <v>400</v>
      </c>
      <c r="R743">
        <v>5</v>
      </c>
      <c r="S743">
        <v>3.33</v>
      </c>
      <c r="T743">
        <v>205445.04699999999</v>
      </c>
      <c r="U743">
        <v>124542.516</v>
      </c>
      <c r="V743">
        <v>16.495999999999999</v>
      </c>
      <c r="W743" t="s">
        <v>403</v>
      </c>
      <c r="X743">
        <v>5</v>
      </c>
      <c r="Y743">
        <v>0.7</v>
      </c>
    </row>
    <row r="744" spans="1:25" x14ac:dyDescent="0.45">
      <c r="A744">
        <v>7</v>
      </c>
      <c r="B744">
        <v>7</v>
      </c>
      <c r="C744" t="s">
        <v>408</v>
      </c>
      <c r="D744" t="s">
        <v>400</v>
      </c>
      <c r="E744">
        <v>7</v>
      </c>
      <c r="F744">
        <v>3.34</v>
      </c>
      <c r="G744">
        <v>296591.81300000002</v>
      </c>
      <c r="H744">
        <v>126230.219</v>
      </c>
      <c r="I744">
        <v>23.495999999999999</v>
      </c>
      <c r="J744" t="s">
        <v>403</v>
      </c>
      <c r="K744">
        <v>6.9</v>
      </c>
      <c r="L744">
        <v>-1.9</v>
      </c>
      <c r="N744">
        <v>7</v>
      </c>
      <c r="O744">
        <v>7</v>
      </c>
      <c r="P744" t="s">
        <v>517</v>
      </c>
      <c r="Q744" t="s">
        <v>400</v>
      </c>
      <c r="R744">
        <v>7</v>
      </c>
      <c r="S744">
        <v>3.33</v>
      </c>
      <c r="T744">
        <v>291961.34399999998</v>
      </c>
      <c r="U744">
        <v>123471.383</v>
      </c>
      <c r="V744">
        <v>23.646000000000001</v>
      </c>
      <c r="W744" t="s">
        <v>403</v>
      </c>
      <c r="X744">
        <v>7.2</v>
      </c>
      <c r="Y744">
        <v>2.2000000000000002</v>
      </c>
    </row>
    <row r="745" spans="1:25" x14ac:dyDescent="0.45">
      <c r="A745">
        <v>8</v>
      </c>
      <c r="B745">
        <v>8</v>
      </c>
      <c r="C745" t="s">
        <v>409</v>
      </c>
      <c r="D745" t="s">
        <v>410</v>
      </c>
      <c r="F745">
        <v>3.56</v>
      </c>
      <c r="G745">
        <v>3851.5039999999999</v>
      </c>
      <c r="H745">
        <v>7635.74</v>
      </c>
      <c r="I745">
        <v>5.0439999999999996</v>
      </c>
      <c r="J745" t="s">
        <v>401</v>
      </c>
      <c r="K745">
        <v>1.2</v>
      </c>
      <c r="N745">
        <v>8</v>
      </c>
      <c r="O745">
        <v>8</v>
      </c>
      <c r="P745" t="s">
        <v>518</v>
      </c>
      <c r="Q745" t="s">
        <v>410</v>
      </c>
      <c r="S745">
        <v>3.54</v>
      </c>
      <c r="T745">
        <v>3872.2739999999999</v>
      </c>
      <c r="U745">
        <v>354.48</v>
      </c>
      <c r="V745">
        <v>109.238</v>
      </c>
      <c r="W745" t="s">
        <v>401</v>
      </c>
      <c r="X745">
        <v>32.5</v>
      </c>
    </row>
    <row r="746" spans="1:25" x14ac:dyDescent="0.45">
      <c r="A746">
        <v>9</v>
      </c>
      <c r="B746">
        <v>9</v>
      </c>
      <c r="C746" t="s">
        <v>411</v>
      </c>
      <c r="D746" t="s">
        <v>410</v>
      </c>
      <c r="F746">
        <v>3.56</v>
      </c>
      <c r="G746">
        <v>3677.3580000000002</v>
      </c>
      <c r="H746">
        <v>9386.8430000000008</v>
      </c>
      <c r="I746">
        <v>3.9180000000000001</v>
      </c>
      <c r="J746" t="s">
        <v>403</v>
      </c>
      <c r="K746">
        <v>0.9</v>
      </c>
      <c r="N746">
        <v>9</v>
      </c>
      <c r="O746">
        <v>9</v>
      </c>
      <c r="P746" t="s">
        <v>519</v>
      </c>
      <c r="Q746" t="s">
        <v>410</v>
      </c>
      <c r="S746">
        <v>3.55</v>
      </c>
      <c r="T746">
        <v>3691.99</v>
      </c>
      <c r="U746">
        <v>329.17399999999998</v>
      </c>
      <c r="V746">
        <v>112.15900000000001</v>
      </c>
      <c r="W746" t="s">
        <v>412</v>
      </c>
      <c r="X746">
        <v>33.4</v>
      </c>
    </row>
    <row r="747" spans="1:25" x14ac:dyDescent="0.45">
      <c r="A747">
        <v>10</v>
      </c>
      <c r="B747">
        <v>10</v>
      </c>
      <c r="C747" t="s">
        <v>413</v>
      </c>
      <c r="D747" t="s">
        <v>414</v>
      </c>
      <c r="F747">
        <v>3.89</v>
      </c>
      <c r="G747">
        <v>14802.957</v>
      </c>
      <c r="H747">
        <v>36198.711000000003</v>
      </c>
      <c r="I747">
        <v>4.0890000000000004</v>
      </c>
      <c r="J747" t="s">
        <v>401</v>
      </c>
      <c r="K747">
        <v>0.9</v>
      </c>
      <c r="N747">
        <v>10</v>
      </c>
      <c r="O747">
        <v>10</v>
      </c>
      <c r="P747" t="s">
        <v>520</v>
      </c>
      <c r="Q747" t="s">
        <v>414</v>
      </c>
      <c r="S747">
        <v>3.88</v>
      </c>
      <c r="T747">
        <v>46688.461000000003</v>
      </c>
      <c r="U747">
        <v>65575.851999999999</v>
      </c>
      <c r="V747">
        <v>7.12</v>
      </c>
      <c r="W747" t="s">
        <v>403</v>
      </c>
      <c r="X747">
        <v>2.2999999999999998</v>
      </c>
    </row>
    <row r="748" spans="1:25" x14ac:dyDescent="0.45">
      <c r="A748">
        <v>11</v>
      </c>
      <c r="B748">
        <v>11</v>
      </c>
      <c r="C748" t="s">
        <v>416</v>
      </c>
      <c r="D748" t="s">
        <v>414</v>
      </c>
      <c r="F748">
        <v>3.89</v>
      </c>
      <c r="G748">
        <v>16064.960999999999</v>
      </c>
      <c r="H748">
        <v>37259.983999999997</v>
      </c>
      <c r="I748">
        <v>4.3120000000000003</v>
      </c>
      <c r="J748" t="s">
        <v>401</v>
      </c>
      <c r="K748">
        <v>1</v>
      </c>
      <c r="N748">
        <v>11</v>
      </c>
      <c r="O748">
        <v>11</v>
      </c>
      <c r="P748" t="s">
        <v>521</v>
      </c>
      <c r="Q748" t="s">
        <v>414</v>
      </c>
      <c r="S748">
        <v>3.88</v>
      </c>
      <c r="T748">
        <v>25498.506000000001</v>
      </c>
      <c r="U748">
        <v>31911.914000000001</v>
      </c>
      <c r="V748">
        <v>7.99</v>
      </c>
      <c r="W748" t="s">
        <v>403</v>
      </c>
      <c r="X748">
        <v>2.5</v>
      </c>
    </row>
    <row r="749" spans="1:25" x14ac:dyDescent="0.45">
      <c r="A749">
        <v>12</v>
      </c>
      <c r="B749">
        <v>12</v>
      </c>
      <c r="C749" t="s">
        <v>417</v>
      </c>
      <c r="D749" t="s">
        <v>414</v>
      </c>
      <c r="F749">
        <v>3.89</v>
      </c>
      <c r="G749">
        <v>15431.088</v>
      </c>
      <c r="H749">
        <v>29153.873</v>
      </c>
      <c r="I749">
        <v>5.2930000000000001</v>
      </c>
      <c r="J749" t="s">
        <v>401</v>
      </c>
      <c r="K749">
        <v>1.3</v>
      </c>
      <c r="N749">
        <v>12</v>
      </c>
      <c r="O749">
        <v>12</v>
      </c>
      <c r="P749" t="s">
        <v>522</v>
      </c>
      <c r="Q749" t="s">
        <v>414</v>
      </c>
      <c r="S749">
        <v>3.88</v>
      </c>
      <c r="T749">
        <v>28460.1</v>
      </c>
      <c r="U749">
        <v>26627.116999999998</v>
      </c>
      <c r="V749">
        <v>10.688000000000001</v>
      </c>
      <c r="W749" t="s">
        <v>401</v>
      </c>
      <c r="X749">
        <v>3.3</v>
      </c>
    </row>
    <row r="750" spans="1:25" x14ac:dyDescent="0.45">
      <c r="A750">
        <v>13</v>
      </c>
      <c r="B750">
        <v>13</v>
      </c>
      <c r="C750" t="s">
        <v>418</v>
      </c>
      <c r="D750" t="s">
        <v>414</v>
      </c>
      <c r="F750">
        <v>3.89</v>
      </c>
      <c r="G750">
        <v>13869.763000000001</v>
      </c>
      <c r="H750">
        <v>28852.092000000001</v>
      </c>
      <c r="I750">
        <v>4.8070000000000004</v>
      </c>
      <c r="J750" t="s">
        <v>403</v>
      </c>
      <c r="K750">
        <v>1.1000000000000001</v>
      </c>
      <c r="N750">
        <v>13</v>
      </c>
      <c r="O750">
        <v>13</v>
      </c>
      <c r="P750" t="s">
        <v>523</v>
      </c>
      <c r="Q750" t="s">
        <v>414</v>
      </c>
      <c r="S750">
        <v>3.88</v>
      </c>
      <c r="T750">
        <v>31022.643</v>
      </c>
      <c r="U750">
        <v>41929.008000000002</v>
      </c>
      <c r="V750">
        <v>7.399</v>
      </c>
      <c r="W750" t="s">
        <v>401</v>
      </c>
      <c r="X750">
        <v>2.2999999999999998</v>
      </c>
    </row>
    <row r="751" spans="1:25" x14ac:dyDescent="0.45">
      <c r="A751">
        <v>14</v>
      </c>
      <c r="B751">
        <v>14</v>
      </c>
      <c r="C751" t="s">
        <v>419</v>
      </c>
      <c r="D751" t="s">
        <v>414</v>
      </c>
      <c r="F751">
        <v>3.89</v>
      </c>
      <c r="G751">
        <v>16223.839</v>
      </c>
      <c r="H751">
        <v>47779.652000000002</v>
      </c>
      <c r="I751">
        <v>3.3959999999999999</v>
      </c>
      <c r="J751" t="s">
        <v>401</v>
      </c>
      <c r="K751">
        <v>0.7</v>
      </c>
      <c r="N751">
        <v>14</v>
      </c>
      <c r="O751">
        <v>14</v>
      </c>
      <c r="P751" t="s">
        <v>524</v>
      </c>
      <c r="Q751" t="s">
        <v>414</v>
      </c>
      <c r="S751">
        <v>3.88</v>
      </c>
      <c r="T751">
        <v>41827.688000000002</v>
      </c>
      <c r="U751">
        <v>26629.145</v>
      </c>
      <c r="V751">
        <v>15.707000000000001</v>
      </c>
      <c r="W751" t="s">
        <v>403</v>
      </c>
      <c r="X751">
        <v>4.8</v>
      </c>
    </row>
    <row r="752" spans="1:25" x14ac:dyDescent="0.45">
      <c r="A752">
        <v>15</v>
      </c>
      <c r="B752">
        <v>15</v>
      </c>
      <c r="C752" t="s">
        <v>420</v>
      </c>
      <c r="D752" t="s">
        <v>414</v>
      </c>
      <c r="F752">
        <v>3.89</v>
      </c>
      <c r="G752">
        <v>14433.003000000001</v>
      </c>
      <c r="H752">
        <v>41973.648000000001</v>
      </c>
      <c r="I752">
        <v>3.4390000000000001</v>
      </c>
      <c r="J752" t="s">
        <v>401</v>
      </c>
      <c r="K752">
        <v>0.7</v>
      </c>
      <c r="N752">
        <v>15</v>
      </c>
      <c r="O752">
        <v>15</v>
      </c>
      <c r="P752" t="s">
        <v>525</v>
      </c>
      <c r="Q752" t="s">
        <v>414</v>
      </c>
      <c r="S752">
        <v>3.88</v>
      </c>
      <c r="T752">
        <v>40181.163999999997</v>
      </c>
      <c r="U752">
        <v>29385.945</v>
      </c>
      <c r="V752">
        <v>13.673999999999999</v>
      </c>
      <c r="W752" t="s">
        <v>403</v>
      </c>
      <c r="X752">
        <v>4.2</v>
      </c>
    </row>
    <row r="753" spans="1:24" x14ac:dyDescent="0.45">
      <c r="A753">
        <v>16</v>
      </c>
      <c r="B753">
        <v>16</v>
      </c>
      <c r="C753" t="s">
        <v>421</v>
      </c>
      <c r="D753" t="s">
        <v>414</v>
      </c>
      <c r="F753">
        <v>3.89</v>
      </c>
      <c r="G753">
        <v>17468.973000000002</v>
      </c>
      <c r="H753">
        <v>44841.082000000002</v>
      </c>
      <c r="I753">
        <v>3.8959999999999999</v>
      </c>
      <c r="J753" t="s">
        <v>401</v>
      </c>
      <c r="K753">
        <v>0.8</v>
      </c>
      <c r="N753">
        <v>16</v>
      </c>
      <c r="O753">
        <v>16</v>
      </c>
      <c r="P753" t="s">
        <v>526</v>
      </c>
      <c r="Q753" t="s">
        <v>414</v>
      </c>
      <c r="S753">
        <v>3.88</v>
      </c>
      <c r="T753">
        <v>43872.190999999999</v>
      </c>
      <c r="U753">
        <v>45724.652000000002</v>
      </c>
      <c r="V753">
        <v>9.5950000000000006</v>
      </c>
      <c r="W753" t="s">
        <v>401</v>
      </c>
      <c r="X753">
        <v>3</v>
      </c>
    </row>
    <row r="754" spans="1:24" x14ac:dyDescent="0.45">
      <c r="A754">
        <v>17</v>
      </c>
      <c r="B754">
        <v>17</v>
      </c>
      <c r="C754" t="s">
        <v>422</v>
      </c>
      <c r="D754" t="s">
        <v>414</v>
      </c>
      <c r="F754">
        <v>3.89</v>
      </c>
      <c r="G754">
        <v>15765.307000000001</v>
      </c>
      <c r="H754">
        <v>44476.762000000002</v>
      </c>
      <c r="I754">
        <v>3.5449999999999999</v>
      </c>
      <c r="J754" t="s">
        <v>401</v>
      </c>
      <c r="K754">
        <v>0.7</v>
      </c>
      <c r="N754">
        <v>17</v>
      </c>
      <c r="O754">
        <v>17</v>
      </c>
      <c r="P754" t="s">
        <v>527</v>
      </c>
      <c r="Q754" t="s">
        <v>414</v>
      </c>
      <c r="S754">
        <v>3.88</v>
      </c>
      <c r="T754">
        <v>27846.370999999999</v>
      </c>
      <c r="U754">
        <v>27573.828000000001</v>
      </c>
      <c r="V754">
        <v>10.099</v>
      </c>
      <c r="W754" t="s">
        <v>403</v>
      </c>
      <c r="X754">
        <v>3.1</v>
      </c>
    </row>
    <row r="755" spans="1:24" x14ac:dyDescent="0.45">
      <c r="A755">
        <v>18</v>
      </c>
      <c r="B755">
        <v>18</v>
      </c>
      <c r="C755" t="s">
        <v>423</v>
      </c>
      <c r="D755" t="s">
        <v>414</v>
      </c>
      <c r="F755">
        <v>3.89</v>
      </c>
      <c r="G755">
        <v>18455.085999999999</v>
      </c>
      <c r="H755">
        <v>47677.940999999999</v>
      </c>
      <c r="I755">
        <v>3.871</v>
      </c>
      <c r="J755" t="s">
        <v>401</v>
      </c>
      <c r="K755">
        <v>0.8</v>
      </c>
      <c r="N755">
        <v>18</v>
      </c>
      <c r="O755">
        <v>18</v>
      </c>
      <c r="P755" t="s">
        <v>528</v>
      </c>
      <c r="Q755" t="s">
        <v>414</v>
      </c>
      <c r="S755">
        <v>3.88</v>
      </c>
      <c r="T755">
        <v>30144.530999999999</v>
      </c>
      <c r="U755">
        <v>32794.449000000001</v>
      </c>
      <c r="V755">
        <v>9.1920000000000002</v>
      </c>
      <c r="W755" t="s">
        <v>401</v>
      </c>
      <c r="X755">
        <v>2.9</v>
      </c>
    </row>
    <row r="756" spans="1:24" x14ac:dyDescent="0.45">
      <c r="A756">
        <v>19</v>
      </c>
      <c r="B756">
        <v>19</v>
      </c>
      <c r="C756" t="s">
        <v>424</v>
      </c>
      <c r="D756" t="s">
        <v>414</v>
      </c>
      <c r="F756">
        <v>3.89</v>
      </c>
      <c r="G756">
        <v>26921.713</v>
      </c>
      <c r="H756">
        <v>47722.449000000001</v>
      </c>
      <c r="I756">
        <v>5.641</v>
      </c>
      <c r="J756" t="s">
        <v>401</v>
      </c>
      <c r="K756">
        <v>1.4</v>
      </c>
      <c r="N756">
        <v>19</v>
      </c>
      <c r="O756">
        <v>19</v>
      </c>
      <c r="P756" t="s">
        <v>529</v>
      </c>
      <c r="Q756" t="s">
        <v>414</v>
      </c>
      <c r="S756">
        <v>3.88</v>
      </c>
      <c r="T756">
        <v>70302.75</v>
      </c>
      <c r="U756">
        <v>57897.152000000002</v>
      </c>
      <c r="V756">
        <v>12.143000000000001</v>
      </c>
      <c r="W756" t="s">
        <v>401</v>
      </c>
      <c r="X756">
        <v>3.7</v>
      </c>
    </row>
    <row r="757" spans="1:24" x14ac:dyDescent="0.45">
      <c r="A757">
        <v>20</v>
      </c>
      <c r="B757">
        <v>20</v>
      </c>
      <c r="C757" t="s">
        <v>425</v>
      </c>
      <c r="D757" t="s">
        <v>414</v>
      </c>
      <c r="F757">
        <v>3.89</v>
      </c>
      <c r="G757">
        <v>22486.713</v>
      </c>
      <c r="H757">
        <v>31126.537</v>
      </c>
      <c r="I757">
        <v>7.2240000000000002</v>
      </c>
      <c r="J757" t="s">
        <v>401</v>
      </c>
      <c r="K757">
        <v>1.9</v>
      </c>
      <c r="N757">
        <v>20</v>
      </c>
      <c r="O757">
        <v>20</v>
      </c>
      <c r="P757" t="s">
        <v>530</v>
      </c>
      <c r="Q757" t="s">
        <v>414</v>
      </c>
      <c r="S757">
        <v>3.88</v>
      </c>
      <c r="T757">
        <v>29059.309000000001</v>
      </c>
      <c r="U757">
        <v>29653.035</v>
      </c>
      <c r="V757">
        <v>9.8000000000000007</v>
      </c>
      <c r="W757" t="s">
        <v>403</v>
      </c>
      <c r="X757">
        <v>3</v>
      </c>
    </row>
    <row r="758" spans="1:24" x14ac:dyDescent="0.45">
      <c r="A758">
        <v>21</v>
      </c>
      <c r="B758">
        <v>21</v>
      </c>
      <c r="C758" t="s">
        <v>426</v>
      </c>
      <c r="D758" t="s">
        <v>414</v>
      </c>
      <c r="F758">
        <v>3.89</v>
      </c>
      <c r="G758">
        <v>22417.609</v>
      </c>
      <c r="H758">
        <v>46073.02</v>
      </c>
      <c r="I758">
        <v>4.8659999999999997</v>
      </c>
      <c r="J758" t="s">
        <v>401</v>
      </c>
      <c r="K758">
        <v>1.1000000000000001</v>
      </c>
      <c r="N758">
        <v>21</v>
      </c>
      <c r="O758">
        <v>21</v>
      </c>
      <c r="P758" t="s">
        <v>531</v>
      </c>
      <c r="Q758" t="s">
        <v>414</v>
      </c>
      <c r="S758">
        <v>3.88</v>
      </c>
      <c r="T758">
        <v>40344.773000000001</v>
      </c>
      <c r="U758">
        <v>29433.728999999999</v>
      </c>
      <c r="V758">
        <v>13.707000000000001</v>
      </c>
      <c r="W758" t="s">
        <v>401</v>
      </c>
      <c r="X758">
        <v>4.2</v>
      </c>
    </row>
    <row r="759" spans="1:24" x14ac:dyDescent="0.45">
      <c r="A759">
        <v>22</v>
      </c>
      <c r="B759">
        <v>22</v>
      </c>
      <c r="C759" t="s">
        <v>427</v>
      </c>
      <c r="D759" t="s">
        <v>414</v>
      </c>
      <c r="F759">
        <v>3.89</v>
      </c>
      <c r="G759">
        <v>16738.009999999998</v>
      </c>
      <c r="H759">
        <v>22960.187999999998</v>
      </c>
      <c r="I759">
        <v>7.29</v>
      </c>
      <c r="J759" t="s">
        <v>401</v>
      </c>
      <c r="K759">
        <v>1.9</v>
      </c>
      <c r="N759">
        <v>22</v>
      </c>
      <c r="O759">
        <v>22</v>
      </c>
      <c r="P759" t="s">
        <v>532</v>
      </c>
      <c r="Q759" t="s">
        <v>414</v>
      </c>
      <c r="S759">
        <v>3.88</v>
      </c>
      <c r="T759">
        <v>46677.913999999997</v>
      </c>
      <c r="U759">
        <v>34721.004000000001</v>
      </c>
      <c r="V759">
        <v>13.444000000000001</v>
      </c>
      <c r="W759" t="s">
        <v>401</v>
      </c>
      <c r="X759">
        <v>4.0999999999999996</v>
      </c>
    </row>
    <row r="760" spans="1:24" x14ac:dyDescent="0.45">
      <c r="A760">
        <v>23</v>
      </c>
      <c r="B760">
        <v>23</v>
      </c>
      <c r="C760" t="s">
        <v>428</v>
      </c>
      <c r="D760" t="s">
        <v>414</v>
      </c>
      <c r="F760">
        <v>3.89</v>
      </c>
      <c r="G760">
        <v>15286.282999999999</v>
      </c>
      <c r="H760">
        <v>26251.32</v>
      </c>
      <c r="I760">
        <v>5.8230000000000004</v>
      </c>
      <c r="J760" t="s">
        <v>401</v>
      </c>
      <c r="K760">
        <v>1.4</v>
      </c>
      <c r="N760">
        <v>23</v>
      </c>
      <c r="O760">
        <v>23</v>
      </c>
      <c r="P760" t="s">
        <v>533</v>
      </c>
      <c r="Q760" t="s">
        <v>414</v>
      </c>
      <c r="S760">
        <v>3.88</v>
      </c>
      <c r="T760">
        <v>33391.258000000002</v>
      </c>
      <c r="U760">
        <v>38887.836000000003</v>
      </c>
      <c r="V760">
        <v>8.5869999999999997</v>
      </c>
      <c r="W760" t="s">
        <v>401</v>
      </c>
      <c r="X760">
        <v>2.7</v>
      </c>
    </row>
    <row r="761" spans="1:24" x14ac:dyDescent="0.45">
      <c r="A761">
        <v>24</v>
      </c>
      <c r="B761">
        <v>24</v>
      </c>
      <c r="C761" t="s">
        <v>429</v>
      </c>
      <c r="D761" t="s">
        <v>414</v>
      </c>
      <c r="F761">
        <v>3.89</v>
      </c>
      <c r="G761">
        <v>16140.311</v>
      </c>
      <c r="H761">
        <v>31467.695</v>
      </c>
      <c r="I761">
        <v>5.1289999999999996</v>
      </c>
      <c r="J761" t="s">
        <v>401</v>
      </c>
      <c r="K761">
        <v>1.2</v>
      </c>
      <c r="N761">
        <v>24</v>
      </c>
      <c r="O761">
        <v>24</v>
      </c>
      <c r="P761" t="s">
        <v>534</v>
      </c>
      <c r="Q761" t="s">
        <v>414</v>
      </c>
      <c r="S761">
        <v>3.88</v>
      </c>
      <c r="T761">
        <v>46639.387000000002</v>
      </c>
      <c r="U761">
        <v>34815.644999999997</v>
      </c>
      <c r="V761">
        <v>13.396000000000001</v>
      </c>
      <c r="W761" t="s">
        <v>401</v>
      </c>
      <c r="X761">
        <v>4.0999999999999996</v>
      </c>
    </row>
    <row r="762" spans="1:24" x14ac:dyDescent="0.45">
      <c r="A762">
        <v>25</v>
      </c>
      <c r="B762">
        <v>25</v>
      </c>
      <c r="C762" t="s">
        <v>430</v>
      </c>
      <c r="D762" t="s">
        <v>414</v>
      </c>
      <c r="F762">
        <v>3.89</v>
      </c>
      <c r="G762">
        <v>18827.620999999999</v>
      </c>
      <c r="H762">
        <v>33507.792999999998</v>
      </c>
      <c r="I762">
        <v>5.6189999999999998</v>
      </c>
      <c r="J762" t="s">
        <v>401</v>
      </c>
      <c r="K762">
        <v>1.4</v>
      </c>
      <c r="N762">
        <v>25</v>
      </c>
      <c r="O762">
        <v>25</v>
      </c>
      <c r="P762" t="s">
        <v>535</v>
      </c>
      <c r="Q762" t="s">
        <v>414</v>
      </c>
      <c r="S762">
        <v>3.88</v>
      </c>
      <c r="T762">
        <v>45714.387000000002</v>
      </c>
      <c r="U762">
        <v>48963.288999999997</v>
      </c>
      <c r="V762">
        <v>9.3360000000000003</v>
      </c>
      <c r="W762" t="s">
        <v>401</v>
      </c>
      <c r="X762">
        <v>2.9</v>
      </c>
    </row>
    <row r="763" spans="1:24" x14ac:dyDescent="0.45">
      <c r="A763">
        <v>26</v>
      </c>
      <c r="B763">
        <v>26</v>
      </c>
      <c r="C763" t="s">
        <v>431</v>
      </c>
      <c r="D763" t="s">
        <v>414</v>
      </c>
      <c r="F763">
        <v>3.88</v>
      </c>
      <c r="G763">
        <v>12577.141</v>
      </c>
      <c r="H763">
        <v>30449.791000000001</v>
      </c>
      <c r="I763">
        <v>4.13</v>
      </c>
      <c r="J763" t="s">
        <v>401</v>
      </c>
      <c r="K763">
        <v>0.9</v>
      </c>
      <c r="N763">
        <v>26</v>
      </c>
      <c r="O763">
        <v>26</v>
      </c>
      <c r="P763" t="s">
        <v>536</v>
      </c>
      <c r="Q763" t="s">
        <v>414</v>
      </c>
      <c r="S763">
        <v>3.88</v>
      </c>
      <c r="T763">
        <v>26859.907999999999</v>
      </c>
      <c r="U763">
        <v>25055.787</v>
      </c>
      <c r="V763">
        <v>10.72</v>
      </c>
      <c r="W763" t="s">
        <v>403</v>
      </c>
      <c r="X763">
        <v>3.3</v>
      </c>
    </row>
    <row r="764" spans="1:24" x14ac:dyDescent="0.45">
      <c r="A764">
        <v>27</v>
      </c>
      <c r="B764">
        <v>27</v>
      </c>
      <c r="C764" t="s">
        <v>432</v>
      </c>
      <c r="D764" t="s">
        <v>414</v>
      </c>
      <c r="F764">
        <v>3.88</v>
      </c>
      <c r="G764">
        <v>18207.826000000001</v>
      </c>
      <c r="H764">
        <v>28251.775000000001</v>
      </c>
      <c r="I764">
        <v>6.4450000000000003</v>
      </c>
      <c r="J764" t="s">
        <v>401</v>
      </c>
      <c r="K764">
        <v>1.6</v>
      </c>
      <c r="N764">
        <v>27</v>
      </c>
      <c r="O764">
        <v>27</v>
      </c>
      <c r="P764" t="s">
        <v>537</v>
      </c>
      <c r="Q764" t="s">
        <v>414</v>
      </c>
      <c r="S764">
        <v>3.88</v>
      </c>
      <c r="T764">
        <v>26244.598000000002</v>
      </c>
      <c r="U764">
        <v>21222.025000000001</v>
      </c>
      <c r="V764">
        <v>12.367000000000001</v>
      </c>
      <c r="W764" t="s">
        <v>403</v>
      </c>
      <c r="X764">
        <v>3.8</v>
      </c>
    </row>
    <row r="765" spans="1:24" x14ac:dyDescent="0.45">
      <c r="A765">
        <v>28</v>
      </c>
      <c r="B765">
        <v>28</v>
      </c>
      <c r="C765" t="s">
        <v>433</v>
      </c>
      <c r="D765" t="s">
        <v>414</v>
      </c>
      <c r="F765">
        <v>3.88</v>
      </c>
      <c r="G765">
        <v>17352.657999999999</v>
      </c>
      <c r="H765">
        <v>33173.711000000003</v>
      </c>
      <c r="I765">
        <v>5.2309999999999999</v>
      </c>
      <c r="J765" t="s">
        <v>401</v>
      </c>
      <c r="K765">
        <v>1.3</v>
      </c>
      <c r="N765">
        <v>28</v>
      </c>
      <c r="O765">
        <v>28</v>
      </c>
      <c r="P765" t="s">
        <v>538</v>
      </c>
      <c r="Q765" t="s">
        <v>414</v>
      </c>
      <c r="S765">
        <v>3.88</v>
      </c>
      <c r="T765">
        <v>27909.258000000002</v>
      </c>
      <c r="U765">
        <v>29085.828000000001</v>
      </c>
      <c r="V765">
        <v>9.5950000000000006</v>
      </c>
      <c r="W765" t="s">
        <v>401</v>
      </c>
      <c r="X765">
        <v>3</v>
      </c>
    </row>
    <row r="766" spans="1:24" x14ac:dyDescent="0.45">
      <c r="A766">
        <v>29</v>
      </c>
      <c r="B766">
        <v>29</v>
      </c>
      <c r="C766" t="s">
        <v>434</v>
      </c>
      <c r="D766" t="s">
        <v>414</v>
      </c>
      <c r="F766">
        <v>3.88</v>
      </c>
      <c r="G766">
        <v>27732.078000000001</v>
      </c>
      <c r="H766">
        <v>27324.113000000001</v>
      </c>
      <c r="I766">
        <v>10.148999999999999</v>
      </c>
      <c r="J766" t="s">
        <v>401</v>
      </c>
      <c r="K766">
        <v>2.8</v>
      </c>
      <c r="N766">
        <v>29</v>
      </c>
      <c r="O766">
        <v>29</v>
      </c>
      <c r="P766" t="s">
        <v>539</v>
      </c>
      <c r="Q766" t="s">
        <v>414</v>
      </c>
      <c r="S766">
        <v>3.88</v>
      </c>
      <c r="T766">
        <v>34244.593999999997</v>
      </c>
      <c r="U766">
        <v>37808.120999999999</v>
      </c>
      <c r="V766">
        <v>9.0570000000000004</v>
      </c>
      <c r="W766" t="s">
        <v>403</v>
      </c>
      <c r="X766">
        <v>2.8</v>
      </c>
    </row>
    <row r="767" spans="1:24" x14ac:dyDescent="0.45">
      <c r="A767">
        <v>30</v>
      </c>
      <c r="B767">
        <v>30</v>
      </c>
      <c r="C767" t="s">
        <v>435</v>
      </c>
      <c r="D767" t="s">
        <v>414</v>
      </c>
      <c r="F767">
        <v>3.88</v>
      </c>
      <c r="G767">
        <v>23527.425999999999</v>
      </c>
      <c r="H767">
        <v>23075.34</v>
      </c>
      <c r="I767">
        <v>10.196</v>
      </c>
      <c r="J767" t="s">
        <v>401</v>
      </c>
      <c r="K767">
        <v>2.8</v>
      </c>
      <c r="N767">
        <v>30</v>
      </c>
      <c r="O767">
        <v>30</v>
      </c>
      <c r="P767" t="s">
        <v>540</v>
      </c>
      <c r="Q767" t="s">
        <v>414</v>
      </c>
      <c r="S767">
        <v>3.88</v>
      </c>
      <c r="T767">
        <v>32495.085999999999</v>
      </c>
      <c r="U767">
        <v>38764.953000000001</v>
      </c>
      <c r="V767">
        <v>8.3829999999999991</v>
      </c>
      <c r="W767" t="s">
        <v>403</v>
      </c>
      <c r="X767">
        <v>2.6</v>
      </c>
    </row>
    <row r="768" spans="1:24" x14ac:dyDescent="0.45">
      <c r="A768">
        <v>31</v>
      </c>
      <c r="B768">
        <v>31</v>
      </c>
      <c r="C768" t="s">
        <v>436</v>
      </c>
      <c r="D768" t="s">
        <v>414</v>
      </c>
      <c r="F768">
        <v>3.88</v>
      </c>
      <c r="G768">
        <v>11511.64</v>
      </c>
      <c r="H768">
        <v>38690.695</v>
      </c>
      <c r="I768">
        <v>2.9750000000000001</v>
      </c>
      <c r="J768" t="s">
        <v>415</v>
      </c>
      <c r="K768">
        <v>0.6</v>
      </c>
      <c r="N768">
        <v>31</v>
      </c>
      <c r="O768">
        <v>31</v>
      </c>
      <c r="P768" t="s">
        <v>541</v>
      </c>
      <c r="Q768" t="s">
        <v>414</v>
      </c>
      <c r="S768">
        <v>3.88</v>
      </c>
      <c r="T768">
        <v>25296.35</v>
      </c>
      <c r="U768">
        <v>30695.300999999999</v>
      </c>
      <c r="V768">
        <v>8.2409999999999997</v>
      </c>
      <c r="W768" t="s">
        <v>401</v>
      </c>
      <c r="X768">
        <v>2.6</v>
      </c>
    </row>
    <row r="769" spans="1:24" x14ac:dyDescent="0.45">
      <c r="A769">
        <v>32</v>
      </c>
      <c r="B769">
        <v>32</v>
      </c>
      <c r="C769" t="s">
        <v>437</v>
      </c>
      <c r="D769" t="s">
        <v>414</v>
      </c>
      <c r="F769">
        <v>3.88</v>
      </c>
      <c r="G769">
        <v>13660.496999999999</v>
      </c>
      <c r="H769">
        <v>27913.932000000001</v>
      </c>
      <c r="I769">
        <v>4.8940000000000001</v>
      </c>
      <c r="J769" t="s">
        <v>401</v>
      </c>
      <c r="K769">
        <v>1.2</v>
      </c>
      <c r="N769">
        <v>32</v>
      </c>
      <c r="O769">
        <v>32</v>
      </c>
      <c r="P769" t="s">
        <v>542</v>
      </c>
      <c r="Q769" t="s">
        <v>414</v>
      </c>
      <c r="S769">
        <v>3.88</v>
      </c>
      <c r="T769">
        <v>28538.971000000001</v>
      </c>
      <c r="U769">
        <v>30905.263999999999</v>
      </c>
      <c r="V769">
        <v>9.234</v>
      </c>
      <c r="W769" t="s">
        <v>401</v>
      </c>
      <c r="X769">
        <v>2.9</v>
      </c>
    </row>
    <row r="770" spans="1:24" x14ac:dyDescent="0.45">
      <c r="A770">
        <v>33</v>
      </c>
      <c r="B770">
        <v>33</v>
      </c>
      <c r="C770" t="s">
        <v>438</v>
      </c>
      <c r="D770" t="s">
        <v>414</v>
      </c>
      <c r="F770">
        <v>3.88</v>
      </c>
      <c r="G770">
        <v>25320.51</v>
      </c>
      <c r="H770">
        <v>29889.187999999998</v>
      </c>
      <c r="I770">
        <v>8.4710000000000001</v>
      </c>
      <c r="J770" t="s">
        <v>401</v>
      </c>
      <c r="K770">
        <v>2.2999999999999998</v>
      </c>
      <c r="N770">
        <v>33</v>
      </c>
      <c r="O770">
        <v>33</v>
      </c>
      <c r="P770" t="s">
        <v>543</v>
      </c>
      <c r="Q770" t="s">
        <v>414</v>
      </c>
      <c r="S770">
        <v>3.88</v>
      </c>
      <c r="T770">
        <v>28262.812999999998</v>
      </c>
      <c r="U770">
        <v>24396.973000000002</v>
      </c>
      <c r="V770">
        <v>11.585000000000001</v>
      </c>
      <c r="W770" t="s">
        <v>403</v>
      </c>
      <c r="X770">
        <v>3.6</v>
      </c>
    </row>
    <row r="771" spans="1:24" x14ac:dyDescent="0.45">
      <c r="A771">
        <v>34</v>
      </c>
      <c r="B771">
        <v>34</v>
      </c>
      <c r="C771" t="s">
        <v>439</v>
      </c>
      <c r="D771" t="s">
        <v>414</v>
      </c>
      <c r="F771">
        <v>3.88</v>
      </c>
      <c r="G771">
        <v>12994.337</v>
      </c>
      <c r="H771">
        <v>32617.508000000002</v>
      </c>
      <c r="I771">
        <v>3.984</v>
      </c>
      <c r="J771" t="s">
        <v>401</v>
      </c>
      <c r="K771">
        <v>0.9</v>
      </c>
      <c r="N771">
        <v>34</v>
      </c>
      <c r="O771">
        <v>34</v>
      </c>
      <c r="P771" t="s">
        <v>544</v>
      </c>
      <c r="Q771" t="s">
        <v>414</v>
      </c>
      <c r="S771">
        <v>3.88</v>
      </c>
      <c r="T771">
        <v>39255.875</v>
      </c>
      <c r="U771">
        <v>26908.307000000001</v>
      </c>
      <c r="V771">
        <v>14.589</v>
      </c>
      <c r="W771" t="s">
        <v>403</v>
      </c>
      <c r="X771">
        <v>4.5</v>
      </c>
    </row>
    <row r="772" spans="1:24" x14ac:dyDescent="0.45">
      <c r="A772">
        <v>35</v>
      </c>
      <c r="B772">
        <v>35</v>
      </c>
      <c r="C772" t="s">
        <v>440</v>
      </c>
      <c r="D772" t="s">
        <v>414</v>
      </c>
      <c r="F772">
        <v>3.88</v>
      </c>
      <c r="G772">
        <v>13056.95</v>
      </c>
      <c r="H772">
        <v>38328.726999999999</v>
      </c>
      <c r="I772">
        <v>3.407</v>
      </c>
      <c r="J772" t="s">
        <v>401</v>
      </c>
      <c r="K772">
        <v>0.7</v>
      </c>
      <c r="N772">
        <v>35</v>
      </c>
      <c r="O772">
        <v>35</v>
      </c>
      <c r="P772" t="s">
        <v>545</v>
      </c>
      <c r="Q772" t="s">
        <v>414</v>
      </c>
      <c r="S772">
        <v>3.88</v>
      </c>
      <c r="T772">
        <v>25302.203000000001</v>
      </c>
      <c r="U772">
        <v>22746.907999999999</v>
      </c>
      <c r="V772">
        <v>11.122999999999999</v>
      </c>
      <c r="W772" t="s">
        <v>401</v>
      </c>
      <c r="X772">
        <v>3.4</v>
      </c>
    </row>
    <row r="773" spans="1:24" x14ac:dyDescent="0.45">
      <c r="A773">
        <v>36</v>
      </c>
      <c r="B773">
        <v>36</v>
      </c>
      <c r="C773" t="s">
        <v>441</v>
      </c>
      <c r="D773" t="s">
        <v>414</v>
      </c>
      <c r="F773">
        <v>3.89</v>
      </c>
      <c r="G773">
        <v>20790.684000000001</v>
      </c>
      <c r="H773">
        <v>33316.108999999997</v>
      </c>
      <c r="I773">
        <v>6.24</v>
      </c>
      <c r="J773" t="s">
        <v>401</v>
      </c>
      <c r="K773">
        <v>1.6</v>
      </c>
      <c r="N773">
        <v>36</v>
      </c>
      <c r="O773">
        <v>36</v>
      </c>
      <c r="P773" t="s">
        <v>546</v>
      </c>
      <c r="Q773" t="s">
        <v>414</v>
      </c>
      <c r="S773">
        <v>3.88</v>
      </c>
      <c r="T773">
        <v>25623.692999999999</v>
      </c>
      <c r="U773">
        <v>39284.027000000002</v>
      </c>
      <c r="V773">
        <v>6.5229999999999997</v>
      </c>
      <c r="W773" t="s">
        <v>401</v>
      </c>
      <c r="X773">
        <v>2.1</v>
      </c>
    </row>
    <row r="774" spans="1:24" x14ac:dyDescent="0.45">
      <c r="A774">
        <v>37</v>
      </c>
      <c r="B774">
        <v>37</v>
      </c>
      <c r="C774" t="s">
        <v>442</v>
      </c>
      <c r="D774" t="s">
        <v>414</v>
      </c>
      <c r="F774">
        <v>3.88</v>
      </c>
      <c r="G774">
        <v>10252.790999999999</v>
      </c>
      <c r="H774">
        <v>35440.858999999997</v>
      </c>
      <c r="I774">
        <v>2.8929999999999998</v>
      </c>
      <c r="J774" t="s">
        <v>401</v>
      </c>
      <c r="K774">
        <v>0.5</v>
      </c>
      <c r="N774">
        <v>37</v>
      </c>
      <c r="O774">
        <v>37</v>
      </c>
      <c r="P774" t="s">
        <v>547</v>
      </c>
      <c r="Q774" t="s">
        <v>414</v>
      </c>
      <c r="S774">
        <v>3.88</v>
      </c>
      <c r="T774">
        <v>21218.688999999998</v>
      </c>
      <c r="U774">
        <v>27871.921999999999</v>
      </c>
      <c r="V774">
        <v>7.6130000000000004</v>
      </c>
      <c r="W774" t="s">
        <v>401</v>
      </c>
      <c r="X774">
        <v>2.4</v>
      </c>
    </row>
    <row r="775" spans="1:24" x14ac:dyDescent="0.45">
      <c r="A775">
        <v>38</v>
      </c>
      <c r="B775">
        <v>38</v>
      </c>
      <c r="C775" t="s">
        <v>443</v>
      </c>
      <c r="D775" t="s">
        <v>414</v>
      </c>
      <c r="F775">
        <v>3.88</v>
      </c>
      <c r="G775">
        <v>10284.867</v>
      </c>
      <c r="H775">
        <v>27635.585999999999</v>
      </c>
      <c r="I775">
        <v>3.722</v>
      </c>
      <c r="J775" t="s">
        <v>401</v>
      </c>
      <c r="K775">
        <v>0.8</v>
      </c>
      <c r="N775">
        <v>38</v>
      </c>
      <c r="O775">
        <v>38</v>
      </c>
      <c r="P775" t="s">
        <v>548</v>
      </c>
      <c r="Q775" t="s">
        <v>414</v>
      </c>
      <c r="S775">
        <v>3.88</v>
      </c>
      <c r="T775">
        <v>21952.758000000002</v>
      </c>
      <c r="U775">
        <v>26612.745999999999</v>
      </c>
      <c r="V775">
        <v>8.2490000000000006</v>
      </c>
      <c r="W775" t="s">
        <v>401</v>
      </c>
      <c r="X775">
        <v>2.6</v>
      </c>
    </row>
    <row r="776" spans="1:24" x14ac:dyDescent="0.45">
      <c r="A776">
        <v>39</v>
      </c>
      <c r="B776">
        <v>39</v>
      </c>
      <c r="C776" t="s">
        <v>444</v>
      </c>
      <c r="D776" t="s">
        <v>414</v>
      </c>
      <c r="F776">
        <v>3.88</v>
      </c>
      <c r="G776">
        <v>36232.983999999997</v>
      </c>
      <c r="H776">
        <v>32910.730000000003</v>
      </c>
      <c r="I776">
        <v>11.009</v>
      </c>
      <c r="J776" t="s">
        <v>401</v>
      </c>
      <c r="K776">
        <v>3</v>
      </c>
      <c r="N776">
        <v>39</v>
      </c>
      <c r="O776">
        <v>39</v>
      </c>
      <c r="P776" t="s">
        <v>549</v>
      </c>
      <c r="Q776" t="s">
        <v>414</v>
      </c>
      <c r="S776">
        <v>3.88</v>
      </c>
      <c r="T776">
        <v>22664.74</v>
      </c>
      <c r="U776">
        <v>22955.355</v>
      </c>
      <c r="V776">
        <v>9.8729999999999993</v>
      </c>
      <c r="W776" t="s">
        <v>401</v>
      </c>
      <c r="X776">
        <v>3.1</v>
      </c>
    </row>
    <row r="777" spans="1:24" x14ac:dyDescent="0.45">
      <c r="A777">
        <v>40</v>
      </c>
      <c r="B777">
        <v>40</v>
      </c>
      <c r="C777" t="s">
        <v>445</v>
      </c>
      <c r="D777" t="s">
        <v>414</v>
      </c>
      <c r="F777">
        <v>3.88</v>
      </c>
      <c r="G777">
        <v>22170.111000000001</v>
      </c>
      <c r="H777">
        <v>54350.112999999998</v>
      </c>
      <c r="I777">
        <v>4.0789999999999997</v>
      </c>
      <c r="J777" t="s">
        <v>401</v>
      </c>
      <c r="K777">
        <v>0.9</v>
      </c>
      <c r="N777">
        <v>40</v>
      </c>
      <c r="O777">
        <v>40</v>
      </c>
      <c r="P777" t="s">
        <v>550</v>
      </c>
      <c r="Q777" t="s">
        <v>414</v>
      </c>
      <c r="S777">
        <v>3.88</v>
      </c>
      <c r="T777">
        <v>28057.291000000001</v>
      </c>
      <c r="U777">
        <v>29845.423999999999</v>
      </c>
      <c r="V777">
        <v>9.4009999999999998</v>
      </c>
      <c r="W777" t="s">
        <v>403</v>
      </c>
      <c r="X777">
        <v>2.9</v>
      </c>
    </row>
    <row r="778" spans="1:24" x14ac:dyDescent="0.45">
      <c r="A778">
        <v>41</v>
      </c>
      <c r="B778">
        <v>41</v>
      </c>
      <c r="C778" t="s">
        <v>446</v>
      </c>
      <c r="D778" t="s">
        <v>414</v>
      </c>
      <c r="F778">
        <v>3.89</v>
      </c>
      <c r="G778">
        <v>20979.098000000002</v>
      </c>
      <c r="H778">
        <v>45150.57</v>
      </c>
      <c r="I778">
        <v>4.6459999999999999</v>
      </c>
      <c r="J778" t="s">
        <v>401</v>
      </c>
      <c r="K778">
        <v>1.1000000000000001</v>
      </c>
      <c r="N778">
        <v>41</v>
      </c>
      <c r="O778">
        <v>41</v>
      </c>
      <c r="P778" t="s">
        <v>551</v>
      </c>
      <c r="Q778" t="s">
        <v>414</v>
      </c>
      <c r="S778">
        <v>3.88</v>
      </c>
      <c r="T778">
        <v>30104.447</v>
      </c>
      <c r="U778">
        <v>42807.828000000001</v>
      </c>
      <c r="V778">
        <v>7.032</v>
      </c>
      <c r="W778" t="s">
        <v>403</v>
      </c>
      <c r="X778">
        <v>2.2000000000000002</v>
      </c>
    </row>
    <row r="779" spans="1:24" x14ac:dyDescent="0.45">
      <c r="A779">
        <v>42</v>
      </c>
      <c r="B779">
        <v>42</v>
      </c>
      <c r="C779" t="s">
        <v>447</v>
      </c>
      <c r="D779" t="s">
        <v>414</v>
      </c>
      <c r="F779">
        <v>3.88</v>
      </c>
      <c r="G779">
        <v>28073.48</v>
      </c>
      <c r="H779">
        <v>47664.578000000001</v>
      </c>
      <c r="I779">
        <v>5.89</v>
      </c>
      <c r="J779" t="s">
        <v>401</v>
      </c>
      <c r="K779">
        <v>1.5</v>
      </c>
      <c r="N779">
        <v>42</v>
      </c>
      <c r="O779">
        <v>42</v>
      </c>
      <c r="P779" t="s">
        <v>552</v>
      </c>
      <c r="Q779" t="s">
        <v>414</v>
      </c>
      <c r="S779">
        <v>3.88</v>
      </c>
      <c r="T779">
        <v>32532.474999999999</v>
      </c>
      <c r="U779">
        <v>31504.971000000001</v>
      </c>
      <c r="V779">
        <v>10.326000000000001</v>
      </c>
      <c r="W779" t="s">
        <v>401</v>
      </c>
      <c r="X779">
        <v>3.2</v>
      </c>
    </row>
    <row r="780" spans="1:24" x14ac:dyDescent="0.45">
      <c r="A780">
        <v>43</v>
      </c>
      <c r="B780">
        <v>43</v>
      </c>
      <c r="C780" t="s">
        <v>448</v>
      </c>
      <c r="D780" t="s">
        <v>414</v>
      </c>
      <c r="F780">
        <v>3.88</v>
      </c>
      <c r="G780">
        <v>37129.832000000002</v>
      </c>
      <c r="H780">
        <v>42751.445</v>
      </c>
      <c r="I780">
        <v>8.6850000000000005</v>
      </c>
      <c r="J780" t="s">
        <v>401</v>
      </c>
      <c r="K780">
        <v>2.2999999999999998</v>
      </c>
      <c r="N780">
        <v>43</v>
      </c>
      <c r="O780">
        <v>43</v>
      </c>
      <c r="P780" t="s">
        <v>553</v>
      </c>
      <c r="Q780" t="s">
        <v>414</v>
      </c>
      <c r="S780">
        <v>3.88</v>
      </c>
      <c r="T780">
        <v>40277.245999999999</v>
      </c>
      <c r="U780">
        <v>26411.412</v>
      </c>
      <c r="V780">
        <v>15.25</v>
      </c>
      <c r="W780" t="s">
        <v>401</v>
      </c>
      <c r="X780">
        <v>4.7</v>
      </c>
    </row>
    <row r="781" spans="1:24" x14ac:dyDescent="0.45">
      <c r="A781">
        <v>44</v>
      </c>
      <c r="B781">
        <v>44</v>
      </c>
      <c r="C781" t="s">
        <v>449</v>
      </c>
      <c r="D781" t="s">
        <v>414</v>
      </c>
      <c r="F781">
        <v>3.88</v>
      </c>
      <c r="G781">
        <v>41461.019999999997</v>
      </c>
      <c r="H781">
        <v>45594.832000000002</v>
      </c>
      <c r="I781">
        <v>9.093</v>
      </c>
      <c r="J781" t="s">
        <v>401</v>
      </c>
      <c r="K781">
        <v>2.4</v>
      </c>
      <c r="N781">
        <v>44</v>
      </c>
      <c r="O781">
        <v>44</v>
      </c>
      <c r="P781" t="s">
        <v>554</v>
      </c>
      <c r="Q781" t="s">
        <v>414</v>
      </c>
      <c r="S781">
        <v>3.88</v>
      </c>
      <c r="T781">
        <v>31896.618999999999</v>
      </c>
      <c r="U781">
        <v>31106.798999999999</v>
      </c>
      <c r="V781">
        <v>10.254</v>
      </c>
      <c r="W781" t="s">
        <v>401</v>
      </c>
      <c r="X781">
        <v>3.2</v>
      </c>
    </row>
    <row r="782" spans="1:24" x14ac:dyDescent="0.45">
      <c r="A782">
        <v>45</v>
      </c>
      <c r="B782">
        <v>45</v>
      </c>
      <c r="C782" t="s">
        <v>450</v>
      </c>
      <c r="D782" t="s">
        <v>414</v>
      </c>
      <c r="F782">
        <v>3.88</v>
      </c>
      <c r="G782">
        <v>27180.51</v>
      </c>
      <c r="H782">
        <v>45338.758000000002</v>
      </c>
      <c r="I782">
        <v>5.9950000000000001</v>
      </c>
      <c r="J782" t="s">
        <v>401</v>
      </c>
      <c r="K782">
        <v>1.5</v>
      </c>
      <c r="N782">
        <v>45</v>
      </c>
      <c r="O782">
        <v>45</v>
      </c>
      <c r="P782" t="s">
        <v>555</v>
      </c>
      <c r="Q782" t="s">
        <v>414</v>
      </c>
      <c r="S782">
        <v>3.88</v>
      </c>
      <c r="T782">
        <v>48199.957000000002</v>
      </c>
      <c r="U782">
        <v>31106.664000000001</v>
      </c>
      <c r="V782">
        <v>15.494999999999999</v>
      </c>
      <c r="W782" t="s">
        <v>403</v>
      </c>
      <c r="X782">
        <v>4.7</v>
      </c>
    </row>
    <row r="783" spans="1:24" x14ac:dyDescent="0.45">
      <c r="A783">
        <v>46</v>
      </c>
      <c r="B783">
        <v>46</v>
      </c>
      <c r="C783" t="s">
        <v>451</v>
      </c>
      <c r="D783" t="s">
        <v>414</v>
      </c>
      <c r="F783">
        <v>3.88</v>
      </c>
      <c r="G783">
        <v>32006.416000000001</v>
      </c>
      <c r="H783">
        <v>39915.461000000003</v>
      </c>
      <c r="I783">
        <v>8.0190000000000001</v>
      </c>
      <c r="J783" t="s">
        <v>415</v>
      </c>
      <c r="K783">
        <v>2.1</v>
      </c>
      <c r="N783">
        <v>46</v>
      </c>
      <c r="O783">
        <v>46</v>
      </c>
      <c r="P783" t="s">
        <v>556</v>
      </c>
      <c r="Q783" t="s">
        <v>414</v>
      </c>
      <c r="S783">
        <v>3.88</v>
      </c>
      <c r="T783">
        <v>29231.197</v>
      </c>
      <c r="U783">
        <v>21170.359</v>
      </c>
      <c r="V783">
        <v>13.808</v>
      </c>
      <c r="W783" t="s">
        <v>401</v>
      </c>
      <c r="X783">
        <v>4.2</v>
      </c>
    </row>
    <row r="784" spans="1:24" x14ac:dyDescent="0.45">
      <c r="A784">
        <v>47</v>
      </c>
      <c r="B784">
        <v>47</v>
      </c>
      <c r="C784" t="s">
        <v>452</v>
      </c>
      <c r="D784" t="s">
        <v>414</v>
      </c>
      <c r="F784">
        <v>3.88</v>
      </c>
      <c r="G784">
        <v>22408.280999999999</v>
      </c>
      <c r="H784">
        <v>22828.648000000001</v>
      </c>
      <c r="I784">
        <v>9.8160000000000007</v>
      </c>
      <c r="J784" t="s">
        <v>401</v>
      </c>
      <c r="K784">
        <v>2.7</v>
      </c>
      <c r="N784">
        <v>47</v>
      </c>
      <c r="O784">
        <v>47</v>
      </c>
      <c r="P784" t="s">
        <v>557</v>
      </c>
      <c r="Q784" t="s">
        <v>414</v>
      </c>
      <c r="S784">
        <v>3.88</v>
      </c>
      <c r="T784">
        <v>27337.053</v>
      </c>
      <c r="U784">
        <v>21451.958999999999</v>
      </c>
      <c r="V784">
        <v>12.743</v>
      </c>
      <c r="W784" t="s">
        <v>401</v>
      </c>
      <c r="X784">
        <v>3.9</v>
      </c>
    </row>
    <row r="785" spans="1:24" x14ac:dyDescent="0.45">
      <c r="A785">
        <v>48</v>
      </c>
      <c r="B785">
        <v>48</v>
      </c>
      <c r="C785" t="s">
        <v>453</v>
      </c>
      <c r="D785" t="s">
        <v>414</v>
      </c>
      <c r="F785">
        <v>3.88</v>
      </c>
      <c r="G785">
        <v>23740.813999999998</v>
      </c>
      <c r="H785">
        <v>28742.078000000001</v>
      </c>
      <c r="I785">
        <v>8.26</v>
      </c>
      <c r="J785" t="s">
        <v>401</v>
      </c>
      <c r="K785">
        <v>2.2000000000000002</v>
      </c>
      <c r="N785">
        <v>48</v>
      </c>
      <c r="O785">
        <v>48</v>
      </c>
      <c r="P785" t="s">
        <v>558</v>
      </c>
      <c r="Q785" t="s">
        <v>414</v>
      </c>
      <c r="S785">
        <v>3.88</v>
      </c>
      <c r="T785">
        <v>25876.412</v>
      </c>
      <c r="U785">
        <v>20507.863000000001</v>
      </c>
      <c r="V785">
        <v>12.618</v>
      </c>
      <c r="W785" t="s">
        <v>401</v>
      </c>
      <c r="X785">
        <v>3.9</v>
      </c>
    </row>
    <row r="786" spans="1:24" x14ac:dyDescent="0.45">
      <c r="A786">
        <v>49</v>
      </c>
      <c r="B786">
        <v>49</v>
      </c>
      <c r="C786" t="s">
        <v>454</v>
      </c>
      <c r="D786" t="s">
        <v>414</v>
      </c>
      <c r="F786">
        <v>3.88</v>
      </c>
      <c r="G786">
        <v>13010.766</v>
      </c>
      <c r="H786">
        <v>29729.976999999999</v>
      </c>
      <c r="I786">
        <v>4.3760000000000003</v>
      </c>
      <c r="J786" t="s">
        <v>401</v>
      </c>
      <c r="K786">
        <v>1</v>
      </c>
      <c r="N786">
        <v>49</v>
      </c>
      <c r="O786">
        <v>49</v>
      </c>
      <c r="P786" t="s">
        <v>559</v>
      </c>
      <c r="Q786" t="s">
        <v>414</v>
      </c>
      <c r="S786">
        <v>3.87</v>
      </c>
      <c r="T786">
        <v>28696.116999999998</v>
      </c>
      <c r="U786">
        <v>23997.541000000001</v>
      </c>
      <c r="V786">
        <v>11.958</v>
      </c>
      <c r="W786" t="s">
        <v>401</v>
      </c>
      <c r="X786">
        <v>3.7</v>
      </c>
    </row>
    <row r="787" spans="1:24" x14ac:dyDescent="0.45">
      <c r="A787">
        <v>50</v>
      </c>
      <c r="B787">
        <v>50</v>
      </c>
      <c r="C787" t="s">
        <v>455</v>
      </c>
      <c r="D787" t="s">
        <v>414</v>
      </c>
      <c r="F787">
        <v>3.88</v>
      </c>
      <c r="G787">
        <v>28846.947</v>
      </c>
      <c r="H787">
        <v>34292.305</v>
      </c>
      <c r="I787">
        <v>8.4120000000000008</v>
      </c>
      <c r="J787" t="s">
        <v>401</v>
      </c>
      <c r="K787">
        <v>2.2000000000000002</v>
      </c>
      <c r="N787">
        <v>50</v>
      </c>
      <c r="O787">
        <v>50</v>
      </c>
      <c r="P787" t="s">
        <v>560</v>
      </c>
      <c r="Q787" t="s">
        <v>414</v>
      </c>
      <c r="S787">
        <v>3.87</v>
      </c>
      <c r="T787">
        <v>32922.57</v>
      </c>
      <c r="U787">
        <v>23443.261999999999</v>
      </c>
      <c r="V787">
        <v>14.044</v>
      </c>
      <c r="W787" t="s">
        <v>401</v>
      </c>
      <c r="X787">
        <v>4.3</v>
      </c>
    </row>
    <row r="788" spans="1:24" x14ac:dyDescent="0.45">
      <c r="A788">
        <v>51</v>
      </c>
      <c r="B788">
        <v>51</v>
      </c>
      <c r="C788" t="s">
        <v>456</v>
      </c>
      <c r="D788" t="s">
        <v>414</v>
      </c>
      <c r="F788">
        <v>3.88</v>
      </c>
      <c r="G788">
        <v>31843.973000000002</v>
      </c>
      <c r="H788">
        <v>30581.535</v>
      </c>
      <c r="I788">
        <v>10.413</v>
      </c>
      <c r="J788" t="s">
        <v>401</v>
      </c>
      <c r="K788">
        <v>2.8</v>
      </c>
      <c r="N788">
        <v>51</v>
      </c>
      <c r="O788">
        <v>51</v>
      </c>
      <c r="P788" t="s">
        <v>561</v>
      </c>
      <c r="Q788" t="s">
        <v>414</v>
      </c>
      <c r="S788">
        <v>3.88</v>
      </c>
      <c r="T788">
        <v>22726.838</v>
      </c>
      <c r="U788">
        <v>18425.164000000001</v>
      </c>
      <c r="V788">
        <v>12.335000000000001</v>
      </c>
      <c r="W788" t="s">
        <v>401</v>
      </c>
      <c r="X788">
        <v>3.8</v>
      </c>
    </row>
    <row r="789" spans="1:24" x14ac:dyDescent="0.45">
      <c r="A789">
        <v>52</v>
      </c>
      <c r="B789">
        <v>52</v>
      </c>
      <c r="C789" t="s">
        <v>457</v>
      </c>
      <c r="D789" t="s">
        <v>414</v>
      </c>
      <c r="F789">
        <v>3.88</v>
      </c>
      <c r="G789">
        <v>27194.039000000001</v>
      </c>
      <c r="H789">
        <v>25827.717000000001</v>
      </c>
      <c r="I789">
        <v>10.529</v>
      </c>
      <c r="J789" t="s">
        <v>401</v>
      </c>
      <c r="K789">
        <v>2.9</v>
      </c>
      <c r="N789">
        <v>52</v>
      </c>
      <c r="O789">
        <v>52</v>
      </c>
      <c r="P789" t="s">
        <v>562</v>
      </c>
      <c r="Q789" t="s">
        <v>414</v>
      </c>
      <c r="S789">
        <v>3.88</v>
      </c>
      <c r="T789">
        <v>26312.653999999999</v>
      </c>
      <c r="U789">
        <v>25454.1</v>
      </c>
      <c r="V789">
        <v>10.337</v>
      </c>
      <c r="W789" t="s">
        <v>401</v>
      </c>
      <c r="X789">
        <v>3.2</v>
      </c>
    </row>
    <row r="790" spans="1:24" x14ac:dyDescent="0.45">
      <c r="A790">
        <v>53</v>
      </c>
      <c r="B790">
        <v>53</v>
      </c>
      <c r="C790" t="s">
        <v>458</v>
      </c>
      <c r="D790" t="s">
        <v>414</v>
      </c>
      <c r="F790">
        <v>3.88</v>
      </c>
      <c r="G790">
        <v>32090.973000000002</v>
      </c>
      <c r="H790">
        <v>31508.085999999999</v>
      </c>
      <c r="I790">
        <v>10.185</v>
      </c>
      <c r="J790" t="s">
        <v>401</v>
      </c>
      <c r="K790">
        <v>2.8</v>
      </c>
      <c r="N790">
        <v>53</v>
      </c>
      <c r="O790">
        <v>53</v>
      </c>
      <c r="P790" t="s">
        <v>563</v>
      </c>
      <c r="Q790" t="s">
        <v>414</v>
      </c>
      <c r="S790">
        <v>3.87</v>
      </c>
      <c r="T790">
        <v>34955.703000000001</v>
      </c>
      <c r="U790">
        <v>31461.855</v>
      </c>
      <c r="V790">
        <v>11.111000000000001</v>
      </c>
      <c r="W790" t="s">
        <v>401</v>
      </c>
      <c r="X790">
        <v>3.4</v>
      </c>
    </row>
    <row r="791" spans="1:24" x14ac:dyDescent="0.45">
      <c r="A791">
        <v>54</v>
      </c>
      <c r="B791">
        <v>54</v>
      </c>
      <c r="C791" t="s">
        <v>459</v>
      </c>
      <c r="D791" t="s">
        <v>414</v>
      </c>
      <c r="F791">
        <v>3.88</v>
      </c>
      <c r="G791">
        <v>27196.27</v>
      </c>
      <c r="H791">
        <v>35588.597999999998</v>
      </c>
      <c r="I791">
        <v>7.6420000000000003</v>
      </c>
      <c r="J791" t="s">
        <v>401</v>
      </c>
      <c r="K791">
        <v>2</v>
      </c>
      <c r="N791">
        <v>54</v>
      </c>
      <c r="O791">
        <v>54</v>
      </c>
      <c r="P791" t="s">
        <v>564</v>
      </c>
      <c r="Q791" t="s">
        <v>414</v>
      </c>
      <c r="S791">
        <v>3.87</v>
      </c>
      <c r="T791">
        <v>43219.421999999999</v>
      </c>
      <c r="U791">
        <v>22482.026999999998</v>
      </c>
      <c r="V791">
        <v>19.224</v>
      </c>
      <c r="W791" t="s">
        <v>403</v>
      </c>
      <c r="X791">
        <v>5.8</v>
      </c>
    </row>
    <row r="792" spans="1:24" x14ac:dyDescent="0.45">
      <c r="A792">
        <v>55</v>
      </c>
      <c r="B792">
        <v>55</v>
      </c>
      <c r="C792" t="s">
        <v>460</v>
      </c>
      <c r="D792" t="s">
        <v>414</v>
      </c>
      <c r="F792">
        <v>3.88</v>
      </c>
      <c r="G792">
        <v>26561.245999999999</v>
      </c>
      <c r="H792">
        <v>28695.206999999999</v>
      </c>
      <c r="I792">
        <v>9.2560000000000002</v>
      </c>
      <c r="J792" t="s">
        <v>401</v>
      </c>
      <c r="K792">
        <v>2.5</v>
      </c>
      <c r="N792">
        <v>55</v>
      </c>
      <c r="O792">
        <v>55</v>
      </c>
      <c r="P792" t="s">
        <v>565</v>
      </c>
      <c r="Q792" t="s">
        <v>414</v>
      </c>
      <c r="S792">
        <v>3.88</v>
      </c>
      <c r="T792">
        <v>35900.714999999997</v>
      </c>
      <c r="U792">
        <v>30518.518</v>
      </c>
      <c r="V792">
        <v>11.763999999999999</v>
      </c>
      <c r="W792" t="s">
        <v>401</v>
      </c>
      <c r="X792">
        <v>3.6</v>
      </c>
    </row>
    <row r="793" spans="1:24" x14ac:dyDescent="0.45">
      <c r="A793">
        <v>56</v>
      </c>
      <c r="B793">
        <v>56</v>
      </c>
      <c r="C793" t="s">
        <v>461</v>
      </c>
      <c r="D793" t="s">
        <v>414</v>
      </c>
      <c r="F793">
        <v>3.88</v>
      </c>
      <c r="G793">
        <v>20041.914000000001</v>
      </c>
      <c r="H793">
        <v>30756.798999999999</v>
      </c>
      <c r="I793">
        <v>6.516</v>
      </c>
      <c r="J793" t="s">
        <v>401</v>
      </c>
      <c r="K793">
        <v>1.6</v>
      </c>
      <c r="N793">
        <v>56</v>
      </c>
      <c r="O793">
        <v>56</v>
      </c>
      <c r="P793" t="s">
        <v>566</v>
      </c>
      <c r="Q793" t="s">
        <v>414</v>
      </c>
      <c r="S793">
        <v>3.88</v>
      </c>
      <c r="T793">
        <v>25131.75</v>
      </c>
      <c r="U793">
        <v>20053.349999999999</v>
      </c>
      <c r="V793">
        <v>12.532</v>
      </c>
      <c r="W793" t="s">
        <v>403</v>
      </c>
      <c r="X793">
        <v>3.9</v>
      </c>
    </row>
    <row r="794" spans="1:24" x14ac:dyDescent="0.45">
      <c r="A794">
        <v>57</v>
      </c>
      <c r="B794">
        <v>57</v>
      </c>
      <c r="C794" t="s">
        <v>462</v>
      </c>
      <c r="D794" t="s">
        <v>414</v>
      </c>
      <c r="F794">
        <v>3.88</v>
      </c>
      <c r="G794">
        <v>27949.855</v>
      </c>
      <c r="H794">
        <v>29948.467000000001</v>
      </c>
      <c r="I794">
        <v>9.3330000000000002</v>
      </c>
      <c r="J794" t="s">
        <v>401</v>
      </c>
      <c r="K794">
        <v>2.5</v>
      </c>
      <c r="N794">
        <v>57</v>
      </c>
      <c r="O794">
        <v>57</v>
      </c>
      <c r="P794" t="s">
        <v>567</v>
      </c>
      <c r="Q794" t="s">
        <v>414</v>
      </c>
      <c r="S794">
        <v>3.88</v>
      </c>
      <c r="T794">
        <v>28360.307000000001</v>
      </c>
      <c r="U794">
        <v>24814.947</v>
      </c>
      <c r="V794">
        <v>11.429</v>
      </c>
      <c r="W794" t="s">
        <v>401</v>
      </c>
      <c r="X794">
        <v>3.5</v>
      </c>
    </row>
    <row r="795" spans="1:24" x14ac:dyDescent="0.45">
      <c r="A795">
        <v>58</v>
      </c>
      <c r="B795">
        <v>58</v>
      </c>
      <c r="C795" t="s">
        <v>463</v>
      </c>
      <c r="D795" t="s">
        <v>414</v>
      </c>
      <c r="F795">
        <v>3.88</v>
      </c>
      <c r="G795">
        <v>17884.162</v>
      </c>
      <c r="H795">
        <v>28448.541000000001</v>
      </c>
      <c r="I795">
        <v>6.2859999999999996</v>
      </c>
      <c r="J795" t="s">
        <v>401</v>
      </c>
      <c r="K795">
        <v>1.6</v>
      </c>
      <c r="N795">
        <v>58</v>
      </c>
      <c r="O795">
        <v>58</v>
      </c>
      <c r="P795" t="s">
        <v>568</v>
      </c>
      <c r="Q795" t="s">
        <v>414</v>
      </c>
      <c r="S795">
        <v>3.87</v>
      </c>
      <c r="T795">
        <v>27267.861000000001</v>
      </c>
      <c r="U795">
        <v>36884.593999999997</v>
      </c>
      <c r="V795">
        <v>7.3929999999999998</v>
      </c>
      <c r="W795" t="s">
        <v>401</v>
      </c>
      <c r="X795">
        <v>2.2999999999999998</v>
      </c>
    </row>
    <row r="796" spans="1:24" x14ac:dyDescent="0.45">
      <c r="A796">
        <v>59</v>
      </c>
      <c r="B796">
        <v>59</v>
      </c>
      <c r="C796" t="s">
        <v>464</v>
      </c>
      <c r="D796" t="s">
        <v>414</v>
      </c>
      <c r="F796">
        <v>3.88</v>
      </c>
      <c r="G796">
        <v>25880.224999999999</v>
      </c>
      <c r="H796">
        <v>27359.388999999999</v>
      </c>
      <c r="I796">
        <v>9.4589999999999996</v>
      </c>
      <c r="J796" t="s">
        <v>401</v>
      </c>
      <c r="K796">
        <v>2.6</v>
      </c>
      <c r="N796">
        <v>59</v>
      </c>
      <c r="O796">
        <v>59</v>
      </c>
      <c r="P796" t="s">
        <v>569</v>
      </c>
      <c r="Q796" t="s">
        <v>414</v>
      </c>
      <c r="S796">
        <v>3.87</v>
      </c>
      <c r="T796">
        <v>25792.673999999999</v>
      </c>
      <c r="U796">
        <v>22278.85</v>
      </c>
      <c r="V796">
        <v>11.577</v>
      </c>
      <c r="W796" t="s">
        <v>401</v>
      </c>
      <c r="X796">
        <v>3.6</v>
      </c>
    </row>
    <row r="797" spans="1:24" x14ac:dyDescent="0.45">
      <c r="A797">
        <v>60</v>
      </c>
      <c r="B797">
        <v>60</v>
      </c>
      <c r="C797" t="s">
        <v>465</v>
      </c>
      <c r="D797" t="s">
        <v>414</v>
      </c>
      <c r="F797">
        <v>3.88</v>
      </c>
      <c r="G797">
        <v>45314.440999999999</v>
      </c>
      <c r="H797">
        <v>37867.616999999998</v>
      </c>
      <c r="I797">
        <v>11.967000000000001</v>
      </c>
      <c r="J797" t="s">
        <v>401</v>
      </c>
      <c r="K797">
        <v>3.3</v>
      </c>
      <c r="N797">
        <v>60</v>
      </c>
      <c r="O797">
        <v>60</v>
      </c>
      <c r="P797" t="s">
        <v>570</v>
      </c>
      <c r="Q797" t="s">
        <v>414</v>
      </c>
      <c r="S797">
        <v>3.87</v>
      </c>
      <c r="T797">
        <v>53163.449000000001</v>
      </c>
      <c r="U797">
        <v>39831.156000000003</v>
      </c>
      <c r="V797">
        <v>13.347</v>
      </c>
      <c r="W797" t="s">
        <v>403</v>
      </c>
      <c r="X797">
        <v>4.0999999999999996</v>
      </c>
    </row>
    <row r="798" spans="1:24" x14ac:dyDescent="0.45">
      <c r="A798">
        <v>61</v>
      </c>
      <c r="B798">
        <v>61</v>
      </c>
      <c r="C798" t="s">
        <v>466</v>
      </c>
      <c r="D798" t="s">
        <v>414</v>
      </c>
      <c r="F798">
        <v>3.88</v>
      </c>
      <c r="G798">
        <v>35275.605000000003</v>
      </c>
      <c r="H798">
        <v>35823.042999999998</v>
      </c>
      <c r="I798">
        <v>9.8469999999999995</v>
      </c>
      <c r="J798" t="s">
        <v>401</v>
      </c>
      <c r="K798">
        <v>2.7</v>
      </c>
      <c r="N798">
        <v>61</v>
      </c>
      <c r="O798">
        <v>61</v>
      </c>
      <c r="P798" t="s">
        <v>571</v>
      </c>
      <c r="Q798" t="s">
        <v>414</v>
      </c>
      <c r="S798">
        <v>3.88</v>
      </c>
      <c r="T798">
        <v>34559.059000000001</v>
      </c>
      <c r="U798">
        <v>24766.322</v>
      </c>
      <c r="V798">
        <v>13.954000000000001</v>
      </c>
      <c r="W798" t="s">
        <v>403</v>
      </c>
      <c r="X798">
        <v>4.3</v>
      </c>
    </row>
    <row r="799" spans="1:24" x14ac:dyDescent="0.45">
      <c r="A799">
        <v>62</v>
      </c>
      <c r="B799">
        <v>62</v>
      </c>
      <c r="C799" t="s">
        <v>467</v>
      </c>
      <c r="D799" t="s">
        <v>414</v>
      </c>
      <c r="F799">
        <v>3.88</v>
      </c>
      <c r="G799">
        <v>28192.763999999999</v>
      </c>
      <c r="H799">
        <v>38068.190999999999</v>
      </c>
      <c r="I799">
        <v>7.4059999999999997</v>
      </c>
      <c r="J799" t="s">
        <v>401</v>
      </c>
      <c r="K799">
        <v>1.9</v>
      </c>
      <c r="N799">
        <v>62</v>
      </c>
      <c r="O799">
        <v>62</v>
      </c>
      <c r="P799" t="s">
        <v>572</v>
      </c>
      <c r="Q799" t="s">
        <v>414</v>
      </c>
      <c r="S799">
        <v>3.87</v>
      </c>
      <c r="T799">
        <v>32636.18</v>
      </c>
      <c r="U799">
        <v>21988.245999999999</v>
      </c>
      <c r="V799">
        <v>14.843</v>
      </c>
      <c r="W799" t="s">
        <v>403</v>
      </c>
      <c r="X799">
        <v>4.5</v>
      </c>
    </row>
    <row r="800" spans="1:24" x14ac:dyDescent="0.45">
      <c r="A800">
        <v>63</v>
      </c>
      <c r="B800">
        <v>63</v>
      </c>
      <c r="C800" t="s">
        <v>468</v>
      </c>
      <c r="D800" t="s">
        <v>414</v>
      </c>
      <c r="F800">
        <v>3.88</v>
      </c>
      <c r="G800">
        <v>30886.701000000001</v>
      </c>
      <c r="H800">
        <v>35791.434000000001</v>
      </c>
      <c r="I800">
        <v>8.6300000000000008</v>
      </c>
      <c r="J800" t="s">
        <v>401</v>
      </c>
      <c r="K800">
        <v>2.2999999999999998</v>
      </c>
      <c r="N800">
        <v>63</v>
      </c>
      <c r="O800">
        <v>63</v>
      </c>
      <c r="P800" t="s">
        <v>573</v>
      </c>
      <c r="Q800" t="s">
        <v>414</v>
      </c>
      <c r="S800">
        <v>3.87</v>
      </c>
      <c r="T800">
        <v>51349.074000000001</v>
      </c>
      <c r="U800">
        <v>32068.280999999999</v>
      </c>
      <c r="V800">
        <v>16.012</v>
      </c>
      <c r="W800" t="s">
        <v>401</v>
      </c>
      <c r="X800">
        <v>4.9000000000000004</v>
      </c>
    </row>
    <row r="801" spans="1:25" x14ac:dyDescent="0.45">
      <c r="A801">
        <v>64</v>
      </c>
      <c r="B801">
        <v>64</v>
      </c>
      <c r="C801" t="s">
        <v>469</v>
      </c>
      <c r="D801" t="s">
        <v>414</v>
      </c>
      <c r="F801">
        <v>3.88</v>
      </c>
      <c r="G801">
        <v>27741.936000000002</v>
      </c>
      <c r="H801">
        <v>34964.07</v>
      </c>
      <c r="I801">
        <v>7.9340000000000002</v>
      </c>
      <c r="J801" t="s">
        <v>401</v>
      </c>
      <c r="K801">
        <v>2.1</v>
      </c>
      <c r="N801">
        <v>64</v>
      </c>
      <c r="O801">
        <v>64</v>
      </c>
      <c r="P801" t="s">
        <v>574</v>
      </c>
      <c r="Q801" t="s">
        <v>414</v>
      </c>
      <c r="S801">
        <v>3.87</v>
      </c>
      <c r="T801">
        <v>46864.550999999999</v>
      </c>
      <c r="U801">
        <v>29612.971000000001</v>
      </c>
      <c r="V801">
        <v>15.826000000000001</v>
      </c>
      <c r="W801" t="s">
        <v>401</v>
      </c>
      <c r="X801">
        <v>4.8</v>
      </c>
    </row>
    <row r="802" spans="1:25" x14ac:dyDescent="0.45">
      <c r="A802">
        <v>65</v>
      </c>
      <c r="B802">
        <v>65</v>
      </c>
      <c r="C802" t="s">
        <v>470</v>
      </c>
      <c r="D802" t="s">
        <v>414</v>
      </c>
      <c r="F802">
        <v>3.88</v>
      </c>
      <c r="G802">
        <v>29227.18</v>
      </c>
      <c r="H802">
        <v>30122.881000000001</v>
      </c>
      <c r="I802">
        <v>9.7029999999999994</v>
      </c>
      <c r="J802" t="s">
        <v>401</v>
      </c>
      <c r="K802">
        <v>2.6</v>
      </c>
      <c r="N802">
        <v>65</v>
      </c>
      <c r="O802">
        <v>65</v>
      </c>
      <c r="P802" t="s">
        <v>575</v>
      </c>
      <c r="Q802" t="s">
        <v>414</v>
      </c>
      <c r="S802">
        <v>3.87</v>
      </c>
      <c r="T802">
        <v>44222.84</v>
      </c>
      <c r="U802">
        <v>28570.973000000002</v>
      </c>
      <c r="V802">
        <v>15.478</v>
      </c>
      <c r="W802" t="s">
        <v>401</v>
      </c>
      <c r="X802">
        <v>4.7</v>
      </c>
    </row>
    <row r="803" spans="1:25" x14ac:dyDescent="0.45">
      <c r="A803">
        <v>66</v>
      </c>
      <c r="B803">
        <v>66</v>
      </c>
      <c r="C803" t="s">
        <v>471</v>
      </c>
      <c r="D803" t="s">
        <v>414</v>
      </c>
      <c r="F803">
        <v>3.88</v>
      </c>
      <c r="G803">
        <v>27296.141</v>
      </c>
      <c r="H803">
        <v>33010.277000000002</v>
      </c>
      <c r="I803">
        <v>8.2690000000000001</v>
      </c>
      <c r="J803" t="s">
        <v>401</v>
      </c>
      <c r="K803">
        <v>2.2000000000000002</v>
      </c>
      <c r="N803">
        <v>66</v>
      </c>
      <c r="O803">
        <v>66</v>
      </c>
      <c r="P803" t="s">
        <v>576</v>
      </c>
      <c r="Q803" t="s">
        <v>414</v>
      </c>
      <c r="S803">
        <v>3.87</v>
      </c>
      <c r="T803">
        <v>34071.406000000003</v>
      </c>
      <c r="U803">
        <v>28698.682000000001</v>
      </c>
      <c r="V803">
        <v>11.872</v>
      </c>
      <c r="W803" t="s">
        <v>403</v>
      </c>
      <c r="X803">
        <v>3.7</v>
      </c>
    </row>
    <row r="804" spans="1:25" x14ac:dyDescent="0.45">
      <c r="A804">
        <v>67</v>
      </c>
      <c r="B804">
        <v>67</v>
      </c>
      <c r="C804" t="s">
        <v>472</v>
      </c>
      <c r="D804" t="s">
        <v>414</v>
      </c>
      <c r="F804">
        <v>3.88</v>
      </c>
      <c r="G804">
        <v>22109.484</v>
      </c>
      <c r="H804">
        <v>19649.723000000002</v>
      </c>
      <c r="I804">
        <v>11.252000000000001</v>
      </c>
      <c r="J804" t="s">
        <v>401</v>
      </c>
      <c r="K804">
        <v>3.1</v>
      </c>
      <c r="N804">
        <v>67</v>
      </c>
      <c r="O804">
        <v>67</v>
      </c>
      <c r="P804" t="s">
        <v>577</v>
      </c>
      <c r="Q804" t="s">
        <v>414</v>
      </c>
      <c r="S804">
        <v>3.88</v>
      </c>
      <c r="T804">
        <v>28153.963</v>
      </c>
      <c r="U804">
        <v>19813.550999999999</v>
      </c>
      <c r="V804">
        <v>14.209</v>
      </c>
      <c r="W804" t="s">
        <v>403</v>
      </c>
      <c r="X804">
        <v>4.4000000000000004</v>
      </c>
    </row>
    <row r="805" spans="1:25" x14ac:dyDescent="0.45">
      <c r="A805">
        <v>68</v>
      </c>
      <c r="B805">
        <v>68</v>
      </c>
      <c r="C805" t="s">
        <v>473</v>
      </c>
      <c r="D805" t="s">
        <v>414</v>
      </c>
      <c r="F805">
        <v>3.88</v>
      </c>
      <c r="G805">
        <v>21214.653999999999</v>
      </c>
      <c r="H805">
        <v>28559.511999999999</v>
      </c>
      <c r="I805">
        <v>7.4279999999999999</v>
      </c>
      <c r="J805" t="s">
        <v>403</v>
      </c>
      <c r="K805">
        <v>1.9</v>
      </c>
      <c r="N805">
        <v>68</v>
      </c>
      <c r="O805">
        <v>68</v>
      </c>
      <c r="P805" t="s">
        <v>578</v>
      </c>
      <c r="Q805" t="s">
        <v>414</v>
      </c>
      <c r="S805">
        <v>3.87</v>
      </c>
      <c r="T805">
        <v>37393.226999999999</v>
      </c>
      <c r="U805">
        <v>26488.107</v>
      </c>
      <c r="V805">
        <v>14.117000000000001</v>
      </c>
      <c r="W805" t="s">
        <v>401</v>
      </c>
      <c r="X805">
        <v>4.3</v>
      </c>
    </row>
    <row r="806" spans="1:25" x14ac:dyDescent="0.45">
      <c r="A806">
        <v>69</v>
      </c>
      <c r="B806">
        <v>69</v>
      </c>
      <c r="C806" t="s">
        <v>474</v>
      </c>
      <c r="D806" t="s">
        <v>414</v>
      </c>
      <c r="F806">
        <v>3.88</v>
      </c>
      <c r="G806">
        <v>21295.633000000002</v>
      </c>
      <c r="H806">
        <v>36485.035000000003</v>
      </c>
      <c r="I806">
        <v>5.8369999999999997</v>
      </c>
      <c r="J806" t="s">
        <v>401</v>
      </c>
      <c r="K806">
        <v>1.4</v>
      </c>
      <c r="N806">
        <v>69</v>
      </c>
      <c r="O806">
        <v>69</v>
      </c>
      <c r="P806" t="s">
        <v>579</v>
      </c>
      <c r="Q806" t="s">
        <v>414</v>
      </c>
      <c r="S806">
        <v>3.87</v>
      </c>
      <c r="T806">
        <v>22436.373</v>
      </c>
      <c r="U806">
        <v>23743.311000000002</v>
      </c>
      <c r="V806">
        <v>9.4499999999999993</v>
      </c>
      <c r="W806" t="s">
        <v>415</v>
      </c>
      <c r="X806">
        <v>2.9</v>
      </c>
    </row>
    <row r="808" spans="1:25" x14ac:dyDescent="0.45">
      <c r="A808" t="s">
        <v>497</v>
      </c>
      <c r="N808" t="s">
        <v>497</v>
      </c>
    </row>
    <row r="810" spans="1:25" x14ac:dyDescent="0.45">
      <c r="B810" t="s">
        <v>389</v>
      </c>
      <c r="C810" t="s">
        <v>123</v>
      </c>
      <c r="D810" t="s">
        <v>390</v>
      </c>
      <c r="E810" t="s">
        <v>391</v>
      </c>
      <c r="F810" t="s">
        <v>392</v>
      </c>
      <c r="G810" t="s">
        <v>393</v>
      </c>
      <c r="H810" t="s">
        <v>394</v>
      </c>
      <c r="I810" t="s">
        <v>395</v>
      </c>
      <c r="J810" t="s">
        <v>396</v>
      </c>
      <c r="K810" t="s">
        <v>397</v>
      </c>
      <c r="L810" t="s">
        <v>398</v>
      </c>
      <c r="O810" t="s">
        <v>389</v>
      </c>
      <c r="P810" t="s">
        <v>123</v>
      </c>
      <c r="Q810" t="s">
        <v>390</v>
      </c>
      <c r="R810" t="s">
        <v>391</v>
      </c>
      <c r="S810" t="s">
        <v>392</v>
      </c>
      <c r="T810" t="s">
        <v>393</v>
      </c>
      <c r="U810" t="s">
        <v>394</v>
      </c>
      <c r="V810" t="s">
        <v>395</v>
      </c>
      <c r="W810" t="s">
        <v>396</v>
      </c>
      <c r="X810" t="s">
        <v>397</v>
      </c>
      <c r="Y810" t="s">
        <v>398</v>
      </c>
    </row>
    <row r="811" spans="1:25" x14ac:dyDescent="0.45">
      <c r="A811">
        <v>1</v>
      </c>
      <c r="B811">
        <v>1</v>
      </c>
      <c r="C811" t="s">
        <v>399</v>
      </c>
      <c r="D811" t="s">
        <v>400</v>
      </c>
      <c r="E811">
        <v>0.05</v>
      </c>
      <c r="H811">
        <v>66.117999999999995</v>
      </c>
      <c r="N811">
        <v>1</v>
      </c>
      <c r="O811">
        <v>1</v>
      </c>
      <c r="P811" t="s">
        <v>511</v>
      </c>
      <c r="Q811" t="s">
        <v>400</v>
      </c>
      <c r="R811">
        <v>0.05</v>
      </c>
      <c r="U811">
        <v>370.26900000000001</v>
      </c>
    </row>
    <row r="812" spans="1:25" x14ac:dyDescent="0.45">
      <c r="A812">
        <v>2</v>
      </c>
      <c r="B812">
        <v>2</v>
      </c>
      <c r="C812" t="s">
        <v>402</v>
      </c>
      <c r="D812" t="s">
        <v>400</v>
      </c>
      <c r="E812">
        <v>0.5</v>
      </c>
      <c r="H812">
        <v>882.21500000000003</v>
      </c>
      <c r="N812">
        <v>2</v>
      </c>
      <c r="O812">
        <v>2</v>
      </c>
      <c r="P812" t="s">
        <v>512</v>
      </c>
      <c r="Q812" t="s">
        <v>400</v>
      </c>
      <c r="R812">
        <v>0.5</v>
      </c>
      <c r="U812">
        <v>313.78500000000003</v>
      </c>
    </row>
    <row r="813" spans="1:25" x14ac:dyDescent="0.45">
      <c r="A813">
        <v>3</v>
      </c>
      <c r="B813">
        <v>3</v>
      </c>
      <c r="C813" t="s">
        <v>404</v>
      </c>
      <c r="D813" t="s">
        <v>400</v>
      </c>
      <c r="E813">
        <v>1.25</v>
      </c>
      <c r="H813">
        <v>134.965</v>
      </c>
      <c r="N813">
        <v>3</v>
      </c>
      <c r="O813">
        <v>3</v>
      </c>
      <c r="P813" t="s">
        <v>513</v>
      </c>
      <c r="Q813" t="s">
        <v>400</v>
      </c>
      <c r="R813">
        <v>1.25</v>
      </c>
      <c r="U813">
        <v>258.298</v>
      </c>
    </row>
    <row r="814" spans="1:25" x14ac:dyDescent="0.45">
      <c r="A814">
        <v>4</v>
      </c>
      <c r="B814">
        <v>4</v>
      </c>
      <c r="C814" t="s">
        <v>405</v>
      </c>
      <c r="D814" t="s">
        <v>400</v>
      </c>
      <c r="E814">
        <v>2.5</v>
      </c>
      <c r="H814">
        <v>510.90199999999999</v>
      </c>
      <c r="N814">
        <v>4</v>
      </c>
      <c r="O814">
        <v>4</v>
      </c>
      <c r="P814" t="s">
        <v>514</v>
      </c>
      <c r="Q814" t="s">
        <v>400</v>
      </c>
      <c r="R814">
        <v>2.5</v>
      </c>
      <c r="U814">
        <v>280.71699999999998</v>
      </c>
    </row>
    <row r="815" spans="1:25" x14ac:dyDescent="0.45">
      <c r="A815">
        <v>5</v>
      </c>
      <c r="B815">
        <v>5</v>
      </c>
      <c r="C815" t="s">
        <v>406</v>
      </c>
      <c r="D815" t="s">
        <v>400</v>
      </c>
      <c r="E815">
        <v>3.5</v>
      </c>
      <c r="H815">
        <v>978.01400000000001</v>
      </c>
      <c r="N815">
        <v>5</v>
      </c>
      <c r="O815">
        <v>5</v>
      </c>
      <c r="P815" t="s">
        <v>515</v>
      </c>
      <c r="Q815" t="s">
        <v>400</v>
      </c>
      <c r="R815">
        <v>3.5</v>
      </c>
      <c r="U815">
        <v>518.44299999999998</v>
      </c>
    </row>
    <row r="816" spans="1:25" x14ac:dyDescent="0.45">
      <c r="A816">
        <v>6</v>
      </c>
      <c r="B816">
        <v>6</v>
      </c>
      <c r="C816" t="s">
        <v>407</v>
      </c>
      <c r="D816" t="s">
        <v>400</v>
      </c>
      <c r="E816">
        <v>5</v>
      </c>
      <c r="H816">
        <v>319.63200000000001</v>
      </c>
      <c r="N816">
        <v>6</v>
      </c>
      <c r="O816">
        <v>6</v>
      </c>
      <c r="P816" t="s">
        <v>516</v>
      </c>
      <c r="Q816" t="s">
        <v>400</v>
      </c>
      <c r="R816">
        <v>5</v>
      </c>
      <c r="U816">
        <v>513.33500000000004</v>
      </c>
    </row>
    <row r="817" spans="1:21" x14ac:dyDescent="0.45">
      <c r="A817">
        <v>7</v>
      </c>
      <c r="B817">
        <v>7</v>
      </c>
      <c r="C817" t="s">
        <v>408</v>
      </c>
      <c r="D817" t="s">
        <v>400</v>
      </c>
      <c r="E817">
        <v>7</v>
      </c>
      <c r="H817">
        <v>535.23299999999995</v>
      </c>
      <c r="N817">
        <v>7</v>
      </c>
      <c r="O817">
        <v>7</v>
      </c>
      <c r="P817" t="s">
        <v>517</v>
      </c>
      <c r="Q817" t="s">
        <v>400</v>
      </c>
      <c r="R817">
        <v>7</v>
      </c>
      <c r="U817">
        <v>770.16399999999999</v>
      </c>
    </row>
    <row r="818" spans="1:21" x14ac:dyDescent="0.45">
      <c r="A818">
        <v>8</v>
      </c>
      <c r="B818">
        <v>8</v>
      </c>
      <c r="C818" t="s">
        <v>409</v>
      </c>
      <c r="D818" t="s">
        <v>410</v>
      </c>
      <c r="H818">
        <v>466.37400000000002</v>
      </c>
      <c r="N818">
        <v>8</v>
      </c>
      <c r="O818">
        <v>8</v>
      </c>
      <c r="P818" t="s">
        <v>518</v>
      </c>
      <c r="Q818" t="s">
        <v>410</v>
      </c>
      <c r="U818">
        <v>221.44399999999999</v>
      </c>
    </row>
    <row r="819" spans="1:21" x14ac:dyDescent="0.45">
      <c r="A819">
        <v>9</v>
      </c>
      <c r="B819">
        <v>9</v>
      </c>
      <c r="C819" t="s">
        <v>411</v>
      </c>
      <c r="D819" t="s">
        <v>410</v>
      </c>
      <c r="H819">
        <v>85.338999999999999</v>
      </c>
      <c r="N819">
        <v>9</v>
      </c>
      <c r="O819">
        <v>9</v>
      </c>
      <c r="P819" t="s">
        <v>519</v>
      </c>
      <c r="Q819" t="s">
        <v>410</v>
      </c>
      <c r="U819">
        <v>170.404</v>
      </c>
    </row>
    <row r="820" spans="1:21" x14ac:dyDescent="0.45">
      <c r="A820">
        <v>10</v>
      </c>
      <c r="B820">
        <v>10</v>
      </c>
      <c r="C820" t="s">
        <v>413</v>
      </c>
      <c r="D820" t="s">
        <v>414</v>
      </c>
      <c r="H820">
        <v>373.41399999999999</v>
      </c>
      <c r="N820">
        <v>10</v>
      </c>
      <c r="O820">
        <v>10</v>
      </c>
      <c r="P820" t="s">
        <v>520</v>
      </c>
      <c r="Q820" t="s">
        <v>414</v>
      </c>
      <c r="U820">
        <v>453.88200000000001</v>
      </c>
    </row>
    <row r="821" spans="1:21" x14ac:dyDescent="0.45">
      <c r="A821">
        <v>11</v>
      </c>
      <c r="B821">
        <v>11</v>
      </c>
      <c r="C821" t="s">
        <v>416</v>
      </c>
      <c r="D821" t="s">
        <v>414</v>
      </c>
      <c r="H821">
        <v>1263.191</v>
      </c>
      <c r="N821">
        <v>11</v>
      </c>
      <c r="O821">
        <v>11</v>
      </c>
      <c r="P821" t="s">
        <v>521</v>
      </c>
      <c r="Q821" t="s">
        <v>414</v>
      </c>
      <c r="U821">
        <v>718.03399999999999</v>
      </c>
    </row>
    <row r="822" spans="1:21" x14ac:dyDescent="0.45">
      <c r="A822">
        <v>12</v>
      </c>
      <c r="B822">
        <v>12</v>
      </c>
      <c r="C822" t="s">
        <v>417</v>
      </c>
      <c r="D822" t="s">
        <v>414</v>
      </c>
      <c r="H822">
        <v>189.411</v>
      </c>
      <c r="N822">
        <v>12</v>
      </c>
      <c r="O822">
        <v>12</v>
      </c>
      <c r="P822" t="s">
        <v>522</v>
      </c>
      <c r="Q822" t="s">
        <v>414</v>
      </c>
      <c r="U822">
        <v>129.54599999999999</v>
      </c>
    </row>
    <row r="823" spans="1:21" x14ac:dyDescent="0.45">
      <c r="A823">
        <v>13</v>
      </c>
      <c r="B823">
        <v>13</v>
      </c>
      <c r="C823" t="s">
        <v>418</v>
      </c>
      <c r="D823" t="s">
        <v>414</v>
      </c>
      <c r="H823">
        <v>256.83199999999999</v>
      </c>
      <c r="N823">
        <v>13</v>
      </c>
      <c r="O823">
        <v>13</v>
      </c>
      <c r="P823" t="s">
        <v>523</v>
      </c>
      <c r="Q823" t="s">
        <v>414</v>
      </c>
      <c r="U823">
        <v>48.652999999999999</v>
      </c>
    </row>
    <row r="824" spans="1:21" x14ac:dyDescent="0.45">
      <c r="A824">
        <v>14</v>
      </c>
      <c r="B824">
        <v>14</v>
      </c>
      <c r="C824" t="s">
        <v>419</v>
      </c>
      <c r="D824" t="s">
        <v>414</v>
      </c>
      <c r="H824">
        <v>1119.0440000000001</v>
      </c>
      <c r="N824">
        <v>14</v>
      </c>
      <c r="O824">
        <v>14</v>
      </c>
      <c r="P824" t="s">
        <v>524</v>
      </c>
      <c r="Q824" t="s">
        <v>414</v>
      </c>
      <c r="U824">
        <v>261.435</v>
      </c>
    </row>
    <row r="825" spans="1:21" x14ac:dyDescent="0.45">
      <c r="A825">
        <v>15</v>
      </c>
      <c r="B825">
        <v>15</v>
      </c>
      <c r="C825" t="s">
        <v>420</v>
      </c>
      <c r="D825" t="s">
        <v>414</v>
      </c>
      <c r="H825">
        <v>1394.28</v>
      </c>
      <c r="N825">
        <v>15</v>
      </c>
      <c r="O825">
        <v>15</v>
      </c>
      <c r="P825" t="s">
        <v>525</v>
      </c>
      <c r="Q825" t="s">
        <v>414</v>
      </c>
      <c r="U825">
        <v>143.65700000000001</v>
      </c>
    </row>
    <row r="826" spans="1:21" x14ac:dyDescent="0.45">
      <c r="A826">
        <v>16</v>
      </c>
      <c r="B826">
        <v>16</v>
      </c>
      <c r="C826" t="s">
        <v>421</v>
      </c>
      <c r="D826" t="s">
        <v>414</v>
      </c>
      <c r="H826">
        <v>570.76300000000003</v>
      </c>
      <c r="N826">
        <v>16</v>
      </c>
      <c r="O826">
        <v>16</v>
      </c>
      <c r="P826" t="s">
        <v>526</v>
      </c>
      <c r="Q826" t="s">
        <v>414</v>
      </c>
      <c r="U826">
        <v>130.17400000000001</v>
      </c>
    </row>
    <row r="827" spans="1:21" x14ac:dyDescent="0.45">
      <c r="A827">
        <v>17</v>
      </c>
      <c r="B827">
        <v>17</v>
      </c>
      <c r="C827" t="s">
        <v>422</v>
      </c>
      <c r="D827" t="s">
        <v>414</v>
      </c>
      <c r="H827">
        <v>111.32899999999999</v>
      </c>
      <c r="N827">
        <v>17</v>
      </c>
      <c r="O827">
        <v>17</v>
      </c>
      <c r="P827" t="s">
        <v>527</v>
      </c>
      <c r="Q827" t="s">
        <v>414</v>
      </c>
      <c r="U827">
        <v>8.532</v>
      </c>
    </row>
    <row r="828" spans="1:21" x14ac:dyDescent="0.45">
      <c r="A828">
        <v>18</v>
      </c>
      <c r="B828">
        <v>18</v>
      </c>
      <c r="C828" t="s">
        <v>423</v>
      </c>
      <c r="D828" t="s">
        <v>414</v>
      </c>
      <c r="H828">
        <v>1014.1369999999999</v>
      </c>
      <c r="N828">
        <v>18</v>
      </c>
      <c r="O828">
        <v>18</v>
      </c>
      <c r="P828" t="s">
        <v>528</v>
      </c>
      <c r="Q828" t="s">
        <v>414</v>
      </c>
      <c r="U828">
        <v>125.36199999999999</v>
      </c>
    </row>
    <row r="829" spans="1:21" x14ac:dyDescent="0.45">
      <c r="A829">
        <v>19</v>
      </c>
      <c r="B829">
        <v>19</v>
      </c>
      <c r="C829" t="s">
        <v>424</v>
      </c>
      <c r="D829" t="s">
        <v>414</v>
      </c>
      <c r="H829">
        <v>806.23900000000003</v>
      </c>
      <c r="N829">
        <v>19</v>
      </c>
      <c r="O829">
        <v>19</v>
      </c>
      <c r="P829" t="s">
        <v>529</v>
      </c>
      <c r="Q829" t="s">
        <v>414</v>
      </c>
      <c r="U829">
        <v>717.68</v>
      </c>
    </row>
    <row r="830" spans="1:21" x14ac:dyDescent="0.45">
      <c r="A830">
        <v>20</v>
      </c>
      <c r="B830">
        <v>20</v>
      </c>
      <c r="C830" t="s">
        <v>425</v>
      </c>
      <c r="D830" t="s">
        <v>414</v>
      </c>
      <c r="H830">
        <v>14.394</v>
      </c>
      <c r="N830">
        <v>20</v>
      </c>
      <c r="O830">
        <v>20</v>
      </c>
      <c r="P830" t="s">
        <v>530</v>
      </c>
      <c r="Q830" t="s">
        <v>414</v>
      </c>
      <c r="U830">
        <v>19.603999999999999</v>
      </c>
    </row>
    <row r="831" spans="1:21" x14ac:dyDescent="0.45">
      <c r="A831">
        <v>21</v>
      </c>
      <c r="B831">
        <v>21</v>
      </c>
      <c r="C831" t="s">
        <v>426</v>
      </c>
      <c r="D831" t="s">
        <v>414</v>
      </c>
      <c r="H831">
        <v>108.54</v>
      </c>
      <c r="N831">
        <v>21</v>
      </c>
      <c r="O831">
        <v>21</v>
      </c>
      <c r="P831" t="s">
        <v>531</v>
      </c>
      <c r="Q831" t="s">
        <v>414</v>
      </c>
      <c r="U831">
        <v>319.29399999999998</v>
      </c>
    </row>
    <row r="832" spans="1:21" x14ac:dyDescent="0.45">
      <c r="A832">
        <v>22</v>
      </c>
      <c r="B832">
        <v>22</v>
      </c>
      <c r="C832" t="s">
        <v>427</v>
      </c>
      <c r="D832" t="s">
        <v>414</v>
      </c>
      <c r="H832">
        <v>200.078</v>
      </c>
      <c r="N832">
        <v>22</v>
      </c>
      <c r="O832">
        <v>22</v>
      </c>
      <c r="P832" t="s">
        <v>532</v>
      </c>
      <c r="Q832" t="s">
        <v>414</v>
      </c>
      <c r="U832">
        <v>425.73</v>
      </c>
    </row>
    <row r="833" spans="1:21" x14ac:dyDescent="0.45">
      <c r="A833">
        <v>23</v>
      </c>
      <c r="B833">
        <v>23</v>
      </c>
      <c r="C833" t="s">
        <v>428</v>
      </c>
      <c r="D833" t="s">
        <v>414</v>
      </c>
      <c r="H833">
        <v>8.6340000000000003</v>
      </c>
      <c r="N833">
        <v>23</v>
      </c>
      <c r="O833">
        <v>23</v>
      </c>
      <c r="P833" t="s">
        <v>533</v>
      </c>
      <c r="Q833" t="s">
        <v>414</v>
      </c>
      <c r="U833">
        <v>502.77199999999999</v>
      </c>
    </row>
    <row r="834" spans="1:21" x14ac:dyDescent="0.45">
      <c r="A834">
        <v>24</v>
      </c>
      <c r="B834">
        <v>24</v>
      </c>
      <c r="C834" t="s">
        <v>429</v>
      </c>
      <c r="D834" t="s">
        <v>414</v>
      </c>
      <c r="H834">
        <v>251.09100000000001</v>
      </c>
      <c r="N834">
        <v>24</v>
      </c>
      <c r="O834">
        <v>24</v>
      </c>
      <c r="P834" t="s">
        <v>534</v>
      </c>
      <c r="Q834" t="s">
        <v>414</v>
      </c>
      <c r="U834">
        <v>898.04399999999998</v>
      </c>
    </row>
    <row r="835" spans="1:21" x14ac:dyDescent="0.45">
      <c r="A835">
        <v>25</v>
      </c>
      <c r="B835">
        <v>25</v>
      </c>
      <c r="C835" t="s">
        <v>430</v>
      </c>
      <c r="D835" t="s">
        <v>414</v>
      </c>
      <c r="H835">
        <v>261.81400000000002</v>
      </c>
      <c r="N835">
        <v>25</v>
      </c>
      <c r="O835">
        <v>25</v>
      </c>
      <c r="P835" t="s">
        <v>535</v>
      </c>
      <c r="Q835" t="s">
        <v>414</v>
      </c>
      <c r="U835">
        <v>203.81899999999999</v>
      </c>
    </row>
    <row r="836" spans="1:21" x14ac:dyDescent="0.45">
      <c r="A836">
        <v>26</v>
      </c>
      <c r="B836">
        <v>26</v>
      </c>
      <c r="C836" t="s">
        <v>431</v>
      </c>
      <c r="D836" t="s">
        <v>414</v>
      </c>
      <c r="H836">
        <v>390.17500000000001</v>
      </c>
      <c r="N836">
        <v>26</v>
      </c>
      <c r="O836">
        <v>26</v>
      </c>
      <c r="P836" t="s">
        <v>536</v>
      </c>
      <c r="Q836" t="s">
        <v>414</v>
      </c>
      <c r="U836">
        <v>450.786</v>
      </c>
    </row>
    <row r="837" spans="1:21" x14ac:dyDescent="0.45">
      <c r="A837">
        <v>27</v>
      </c>
      <c r="B837">
        <v>27</v>
      </c>
      <c r="C837" t="s">
        <v>432</v>
      </c>
      <c r="D837" t="s">
        <v>414</v>
      </c>
      <c r="H837">
        <v>686.05499999999995</v>
      </c>
      <c r="N837">
        <v>27</v>
      </c>
      <c r="O837">
        <v>27</v>
      </c>
      <c r="P837" t="s">
        <v>537</v>
      </c>
      <c r="Q837" t="s">
        <v>414</v>
      </c>
      <c r="U837">
        <v>109.26300000000001</v>
      </c>
    </row>
    <row r="838" spans="1:21" x14ac:dyDescent="0.45">
      <c r="A838">
        <v>28</v>
      </c>
      <c r="B838">
        <v>28</v>
      </c>
      <c r="C838" t="s">
        <v>433</v>
      </c>
      <c r="D838" t="s">
        <v>414</v>
      </c>
      <c r="H838">
        <v>76.462999999999994</v>
      </c>
      <c r="N838">
        <v>28</v>
      </c>
      <c r="O838">
        <v>28</v>
      </c>
      <c r="P838" t="s">
        <v>538</v>
      </c>
      <c r="Q838" t="s">
        <v>414</v>
      </c>
      <c r="U838">
        <v>502.791</v>
      </c>
    </row>
    <row r="839" spans="1:21" x14ac:dyDescent="0.45">
      <c r="A839">
        <v>29</v>
      </c>
      <c r="B839">
        <v>29</v>
      </c>
      <c r="C839" t="s">
        <v>434</v>
      </c>
      <c r="D839" t="s">
        <v>414</v>
      </c>
      <c r="H839">
        <v>469.77699999999999</v>
      </c>
      <c r="N839">
        <v>29</v>
      </c>
      <c r="O839">
        <v>29</v>
      </c>
      <c r="P839" t="s">
        <v>539</v>
      </c>
      <c r="Q839" t="s">
        <v>414</v>
      </c>
      <c r="U839">
        <v>995.005</v>
      </c>
    </row>
    <row r="840" spans="1:21" x14ac:dyDescent="0.45">
      <c r="A840">
        <v>30</v>
      </c>
      <c r="B840">
        <v>30</v>
      </c>
      <c r="C840" t="s">
        <v>435</v>
      </c>
      <c r="D840" t="s">
        <v>414</v>
      </c>
      <c r="H840">
        <v>351.46899999999999</v>
      </c>
      <c r="N840">
        <v>30</v>
      </c>
      <c r="O840">
        <v>30</v>
      </c>
      <c r="P840" t="s">
        <v>540</v>
      </c>
      <c r="Q840" t="s">
        <v>414</v>
      </c>
      <c r="U840">
        <v>997.64499999999998</v>
      </c>
    </row>
    <row r="841" spans="1:21" x14ac:dyDescent="0.45">
      <c r="A841">
        <v>31</v>
      </c>
      <c r="B841">
        <v>31</v>
      </c>
      <c r="C841" t="s">
        <v>436</v>
      </c>
      <c r="D841" t="s">
        <v>414</v>
      </c>
      <c r="H841">
        <v>39.122999999999998</v>
      </c>
      <c r="N841">
        <v>31</v>
      </c>
      <c r="O841">
        <v>31</v>
      </c>
      <c r="P841" t="s">
        <v>541</v>
      </c>
      <c r="Q841" t="s">
        <v>414</v>
      </c>
      <c r="U841">
        <v>182.54499999999999</v>
      </c>
    </row>
    <row r="842" spans="1:21" x14ac:dyDescent="0.45">
      <c r="A842">
        <v>32</v>
      </c>
      <c r="B842">
        <v>32</v>
      </c>
      <c r="C842" t="s">
        <v>437</v>
      </c>
      <c r="D842" t="s">
        <v>414</v>
      </c>
      <c r="H842">
        <v>115.595</v>
      </c>
      <c r="N842">
        <v>32</v>
      </c>
      <c r="O842">
        <v>32</v>
      </c>
      <c r="P842" t="s">
        <v>542</v>
      </c>
      <c r="Q842" t="s">
        <v>414</v>
      </c>
      <c r="U842">
        <v>529.07399999999996</v>
      </c>
    </row>
    <row r="843" spans="1:21" x14ac:dyDescent="0.45">
      <c r="A843">
        <v>33</v>
      </c>
      <c r="B843">
        <v>33</v>
      </c>
      <c r="C843" t="s">
        <v>438</v>
      </c>
      <c r="D843" t="s">
        <v>414</v>
      </c>
      <c r="H843">
        <v>1303.96</v>
      </c>
      <c r="N843">
        <v>33</v>
      </c>
      <c r="O843">
        <v>33</v>
      </c>
      <c r="P843" t="s">
        <v>543</v>
      </c>
      <c r="Q843" t="s">
        <v>414</v>
      </c>
      <c r="U843">
        <v>42.143999999999998</v>
      </c>
    </row>
    <row r="844" spans="1:21" x14ac:dyDescent="0.45">
      <c r="A844">
        <v>34</v>
      </c>
      <c r="B844">
        <v>34</v>
      </c>
      <c r="C844" t="s">
        <v>439</v>
      </c>
      <c r="D844" t="s">
        <v>414</v>
      </c>
      <c r="H844">
        <v>454.726</v>
      </c>
      <c r="N844">
        <v>34</v>
      </c>
      <c r="O844">
        <v>34</v>
      </c>
      <c r="P844" t="s">
        <v>544</v>
      </c>
      <c r="Q844" t="s">
        <v>414</v>
      </c>
      <c r="U844">
        <v>1144.3779999999999</v>
      </c>
    </row>
    <row r="845" spans="1:21" x14ac:dyDescent="0.45">
      <c r="A845">
        <v>35</v>
      </c>
      <c r="B845">
        <v>35</v>
      </c>
      <c r="C845" t="s">
        <v>440</v>
      </c>
      <c r="D845" t="s">
        <v>414</v>
      </c>
      <c r="H845">
        <v>476.95299999999997</v>
      </c>
      <c r="N845">
        <v>35</v>
      </c>
      <c r="O845">
        <v>35</v>
      </c>
      <c r="P845" t="s">
        <v>545</v>
      </c>
      <c r="Q845" t="s">
        <v>414</v>
      </c>
      <c r="U845">
        <v>120.276</v>
      </c>
    </row>
    <row r="846" spans="1:21" x14ac:dyDescent="0.45">
      <c r="A846">
        <v>36</v>
      </c>
      <c r="B846">
        <v>36</v>
      </c>
      <c r="C846" t="s">
        <v>441</v>
      </c>
      <c r="D846" t="s">
        <v>414</v>
      </c>
      <c r="H846">
        <v>1730.1780000000001</v>
      </c>
      <c r="N846">
        <v>36</v>
      </c>
      <c r="O846">
        <v>36</v>
      </c>
      <c r="P846" t="s">
        <v>546</v>
      </c>
      <c r="Q846" t="s">
        <v>414</v>
      </c>
      <c r="U846">
        <v>221.55600000000001</v>
      </c>
    </row>
    <row r="847" spans="1:21" x14ac:dyDescent="0.45">
      <c r="A847">
        <v>37</v>
      </c>
      <c r="B847">
        <v>37</v>
      </c>
      <c r="C847" t="s">
        <v>442</v>
      </c>
      <c r="D847" t="s">
        <v>414</v>
      </c>
      <c r="H847">
        <v>95.073999999999998</v>
      </c>
      <c r="N847">
        <v>37</v>
      </c>
      <c r="O847">
        <v>37</v>
      </c>
      <c r="P847" t="s">
        <v>547</v>
      </c>
      <c r="Q847" t="s">
        <v>414</v>
      </c>
      <c r="U847">
        <v>622.39700000000005</v>
      </c>
    </row>
    <row r="848" spans="1:21" x14ac:dyDescent="0.45">
      <c r="A848">
        <v>38</v>
      </c>
      <c r="B848">
        <v>38</v>
      </c>
      <c r="C848" t="s">
        <v>443</v>
      </c>
      <c r="D848" t="s">
        <v>414</v>
      </c>
      <c r="H848">
        <v>399.83499999999998</v>
      </c>
      <c r="N848">
        <v>38</v>
      </c>
      <c r="O848">
        <v>38</v>
      </c>
      <c r="P848" t="s">
        <v>548</v>
      </c>
      <c r="Q848" t="s">
        <v>414</v>
      </c>
      <c r="U848">
        <v>726.1</v>
      </c>
    </row>
    <row r="849" spans="1:21" x14ac:dyDescent="0.45">
      <c r="A849">
        <v>39</v>
      </c>
      <c r="B849">
        <v>39</v>
      </c>
      <c r="C849" t="s">
        <v>444</v>
      </c>
      <c r="D849" t="s">
        <v>414</v>
      </c>
      <c r="H849">
        <v>485.185</v>
      </c>
      <c r="N849">
        <v>39</v>
      </c>
      <c r="O849">
        <v>39</v>
      </c>
      <c r="P849" t="s">
        <v>549</v>
      </c>
      <c r="Q849" t="s">
        <v>414</v>
      </c>
      <c r="U849">
        <v>112.767</v>
      </c>
    </row>
    <row r="850" spans="1:21" x14ac:dyDescent="0.45">
      <c r="A850">
        <v>40</v>
      </c>
      <c r="B850">
        <v>40</v>
      </c>
      <c r="C850" t="s">
        <v>445</v>
      </c>
      <c r="D850" t="s">
        <v>414</v>
      </c>
      <c r="H850">
        <v>661.95299999999997</v>
      </c>
      <c r="N850">
        <v>40</v>
      </c>
      <c r="O850">
        <v>40</v>
      </c>
      <c r="P850" t="s">
        <v>550</v>
      </c>
      <c r="Q850" t="s">
        <v>414</v>
      </c>
      <c r="U850">
        <v>532.33299999999997</v>
      </c>
    </row>
    <row r="851" spans="1:21" x14ac:dyDescent="0.45">
      <c r="A851">
        <v>41</v>
      </c>
      <c r="B851">
        <v>41</v>
      </c>
      <c r="C851" t="s">
        <v>446</v>
      </c>
      <c r="D851" t="s">
        <v>414</v>
      </c>
      <c r="H851">
        <v>791.91200000000003</v>
      </c>
      <c r="N851">
        <v>41</v>
      </c>
      <c r="O851">
        <v>41</v>
      </c>
      <c r="P851" t="s">
        <v>551</v>
      </c>
      <c r="Q851" t="s">
        <v>414</v>
      </c>
      <c r="U851">
        <v>1018.571</v>
      </c>
    </row>
    <row r="852" spans="1:21" x14ac:dyDescent="0.45">
      <c r="A852">
        <v>42</v>
      </c>
      <c r="B852">
        <v>42</v>
      </c>
      <c r="C852" t="s">
        <v>447</v>
      </c>
      <c r="D852" t="s">
        <v>414</v>
      </c>
      <c r="H852">
        <v>316.28199999999998</v>
      </c>
      <c r="N852">
        <v>42</v>
      </c>
      <c r="O852">
        <v>42</v>
      </c>
      <c r="P852" t="s">
        <v>552</v>
      </c>
      <c r="Q852" t="s">
        <v>414</v>
      </c>
      <c r="U852">
        <v>497.90899999999999</v>
      </c>
    </row>
    <row r="853" spans="1:21" x14ac:dyDescent="0.45">
      <c r="A853">
        <v>43</v>
      </c>
      <c r="B853">
        <v>43</v>
      </c>
      <c r="C853" t="s">
        <v>448</v>
      </c>
      <c r="D853" t="s">
        <v>414</v>
      </c>
      <c r="H853">
        <v>220.60400000000001</v>
      </c>
      <c r="N853">
        <v>43</v>
      </c>
      <c r="O853">
        <v>43</v>
      </c>
      <c r="P853" t="s">
        <v>553</v>
      </c>
      <c r="Q853" t="s">
        <v>414</v>
      </c>
      <c r="U853">
        <v>478.36200000000002</v>
      </c>
    </row>
    <row r="854" spans="1:21" x14ac:dyDescent="0.45">
      <c r="A854">
        <v>44</v>
      </c>
      <c r="B854">
        <v>44</v>
      </c>
      <c r="C854" t="s">
        <v>449</v>
      </c>
      <c r="D854" t="s">
        <v>414</v>
      </c>
      <c r="H854">
        <v>1359.009</v>
      </c>
      <c r="N854">
        <v>44</v>
      </c>
      <c r="O854">
        <v>44</v>
      </c>
      <c r="P854" t="s">
        <v>554</v>
      </c>
      <c r="Q854" t="s">
        <v>414</v>
      </c>
      <c r="U854">
        <v>1000.434</v>
      </c>
    </row>
    <row r="855" spans="1:21" x14ac:dyDescent="0.45">
      <c r="A855">
        <v>45</v>
      </c>
      <c r="B855">
        <v>45</v>
      </c>
      <c r="C855" t="s">
        <v>450</v>
      </c>
      <c r="D855" t="s">
        <v>414</v>
      </c>
      <c r="H855">
        <v>886.93700000000001</v>
      </c>
      <c r="N855">
        <v>45</v>
      </c>
      <c r="O855">
        <v>45</v>
      </c>
      <c r="P855" t="s">
        <v>555</v>
      </c>
      <c r="Q855" t="s">
        <v>414</v>
      </c>
      <c r="U855">
        <v>448.33100000000002</v>
      </c>
    </row>
    <row r="856" spans="1:21" x14ac:dyDescent="0.45">
      <c r="A856">
        <v>46</v>
      </c>
      <c r="B856">
        <v>46</v>
      </c>
      <c r="C856" t="s">
        <v>451</v>
      </c>
      <c r="D856" t="s">
        <v>414</v>
      </c>
      <c r="H856">
        <v>80.168000000000006</v>
      </c>
      <c r="N856">
        <v>46</v>
      </c>
      <c r="O856">
        <v>46</v>
      </c>
      <c r="P856" t="s">
        <v>556</v>
      </c>
      <c r="Q856" t="s">
        <v>414</v>
      </c>
      <c r="U856">
        <v>984.202</v>
      </c>
    </row>
    <row r="857" spans="1:21" x14ac:dyDescent="0.45">
      <c r="A857">
        <v>47</v>
      </c>
      <c r="B857">
        <v>47</v>
      </c>
      <c r="C857" t="s">
        <v>452</v>
      </c>
      <c r="D857" t="s">
        <v>414</v>
      </c>
      <c r="H857">
        <v>35.128999999999998</v>
      </c>
      <c r="N857">
        <v>47</v>
      </c>
      <c r="O857">
        <v>47</v>
      </c>
      <c r="P857" t="s">
        <v>557</v>
      </c>
      <c r="Q857" t="s">
        <v>414</v>
      </c>
      <c r="U857">
        <v>120.693</v>
      </c>
    </row>
    <row r="858" spans="1:21" x14ac:dyDescent="0.45">
      <c r="A858">
        <v>48</v>
      </c>
      <c r="B858">
        <v>48</v>
      </c>
      <c r="C858" t="s">
        <v>453</v>
      </c>
      <c r="D858" t="s">
        <v>414</v>
      </c>
      <c r="H858">
        <v>238.578</v>
      </c>
      <c r="N858">
        <v>48</v>
      </c>
      <c r="O858">
        <v>48</v>
      </c>
      <c r="P858" t="s">
        <v>558</v>
      </c>
      <c r="Q858" t="s">
        <v>414</v>
      </c>
      <c r="U858">
        <v>188.249</v>
      </c>
    </row>
    <row r="859" spans="1:21" x14ac:dyDescent="0.45">
      <c r="A859">
        <v>49</v>
      </c>
      <c r="B859">
        <v>49</v>
      </c>
      <c r="C859" t="s">
        <v>454</v>
      </c>
      <c r="D859" t="s">
        <v>414</v>
      </c>
      <c r="H859">
        <v>336.21699999999998</v>
      </c>
      <c r="N859">
        <v>49</v>
      </c>
      <c r="O859">
        <v>49</v>
      </c>
      <c r="P859" t="s">
        <v>559</v>
      </c>
      <c r="Q859" t="s">
        <v>414</v>
      </c>
      <c r="U859">
        <v>206.399</v>
      </c>
    </row>
    <row r="860" spans="1:21" x14ac:dyDescent="0.45">
      <c r="A860">
        <v>50</v>
      </c>
      <c r="B860">
        <v>50</v>
      </c>
      <c r="C860" t="s">
        <v>455</v>
      </c>
      <c r="D860" t="s">
        <v>414</v>
      </c>
      <c r="H860">
        <v>154.61600000000001</v>
      </c>
      <c r="N860">
        <v>50</v>
      </c>
      <c r="O860">
        <v>50</v>
      </c>
      <c r="P860" t="s">
        <v>560</v>
      </c>
      <c r="Q860" t="s">
        <v>414</v>
      </c>
      <c r="U860">
        <v>932.13599999999997</v>
      </c>
    </row>
    <row r="861" spans="1:21" x14ac:dyDescent="0.45">
      <c r="A861">
        <v>51</v>
      </c>
      <c r="B861">
        <v>51</v>
      </c>
      <c r="C861" t="s">
        <v>456</v>
      </c>
      <c r="D861" t="s">
        <v>414</v>
      </c>
      <c r="H861">
        <v>54.941000000000003</v>
      </c>
      <c r="N861">
        <v>51</v>
      </c>
      <c r="O861">
        <v>51</v>
      </c>
      <c r="P861" t="s">
        <v>561</v>
      </c>
      <c r="Q861" t="s">
        <v>414</v>
      </c>
      <c r="U861">
        <v>98.522000000000006</v>
      </c>
    </row>
    <row r="862" spans="1:21" x14ac:dyDescent="0.45">
      <c r="A862">
        <v>52</v>
      </c>
      <c r="B862">
        <v>52</v>
      </c>
      <c r="C862" t="s">
        <v>457</v>
      </c>
      <c r="D862" t="s">
        <v>414</v>
      </c>
      <c r="H862">
        <v>60.972999999999999</v>
      </c>
      <c r="N862">
        <v>52</v>
      </c>
      <c r="O862">
        <v>52</v>
      </c>
      <c r="P862" t="s">
        <v>562</v>
      </c>
      <c r="Q862" t="s">
        <v>414</v>
      </c>
      <c r="U862">
        <v>528.10299999999995</v>
      </c>
    </row>
    <row r="863" spans="1:21" x14ac:dyDescent="0.45">
      <c r="A863">
        <v>53</v>
      </c>
      <c r="B863">
        <v>53</v>
      </c>
      <c r="C863" t="s">
        <v>458</v>
      </c>
      <c r="D863" t="s">
        <v>414</v>
      </c>
      <c r="H863">
        <v>16.001999999999999</v>
      </c>
      <c r="N863">
        <v>53</v>
      </c>
      <c r="O863">
        <v>53</v>
      </c>
      <c r="P863" t="s">
        <v>563</v>
      </c>
      <c r="Q863" t="s">
        <v>414</v>
      </c>
      <c r="U863">
        <v>107.614</v>
      </c>
    </row>
    <row r="864" spans="1:21" x14ac:dyDescent="0.45">
      <c r="A864">
        <v>54</v>
      </c>
      <c r="B864">
        <v>54</v>
      </c>
      <c r="C864" t="s">
        <v>459</v>
      </c>
      <c r="D864" t="s">
        <v>414</v>
      </c>
      <c r="H864">
        <v>725.37900000000002</v>
      </c>
      <c r="N864">
        <v>54</v>
      </c>
      <c r="O864">
        <v>54</v>
      </c>
      <c r="P864" t="s">
        <v>564</v>
      </c>
      <c r="Q864" t="s">
        <v>414</v>
      </c>
      <c r="U864">
        <v>129.441</v>
      </c>
    </row>
    <row r="865" spans="1:21" x14ac:dyDescent="0.45">
      <c r="A865">
        <v>55</v>
      </c>
      <c r="B865">
        <v>55</v>
      </c>
      <c r="C865" t="s">
        <v>460</v>
      </c>
      <c r="D865" t="s">
        <v>414</v>
      </c>
      <c r="H865">
        <v>401.88799999999998</v>
      </c>
      <c r="N865">
        <v>55</v>
      </c>
      <c r="O865">
        <v>55</v>
      </c>
      <c r="P865" t="s">
        <v>565</v>
      </c>
      <c r="Q865" t="s">
        <v>414</v>
      </c>
      <c r="U865">
        <v>1124.902</v>
      </c>
    </row>
    <row r="866" spans="1:21" x14ac:dyDescent="0.45">
      <c r="A866">
        <v>56</v>
      </c>
      <c r="B866">
        <v>56</v>
      </c>
      <c r="C866" t="s">
        <v>461</v>
      </c>
      <c r="D866" t="s">
        <v>414</v>
      </c>
      <c r="H866">
        <v>62.591000000000001</v>
      </c>
      <c r="N866">
        <v>56</v>
      </c>
      <c r="O866">
        <v>56</v>
      </c>
      <c r="P866" t="s">
        <v>566</v>
      </c>
      <c r="Q866" t="s">
        <v>414</v>
      </c>
      <c r="U866">
        <v>482.20299999999997</v>
      </c>
    </row>
    <row r="867" spans="1:21" x14ac:dyDescent="0.45">
      <c r="A867">
        <v>57</v>
      </c>
      <c r="B867">
        <v>57</v>
      </c>
      <c r="C867" t="s">
        <v>462</v>
      </c>
      <c r="D867" t="s">
        <v>414</v>
      </c>
      <c r="H867">
        <v>17.768999999999998</v>
      </c>
      <c r="N867">
        <v>57</v>
      </c>
      <c r="O867">
        <v>57</v>
      </c>
      <c r="P867" t="s">
        <v>567</v>
      </c>
      <c r="Q867" t="s">
        <v>414</v>
      </c>
      <c r="U867">
        <v>85.638000000000005</v>
      </c>
    </row>
    <row r="868" spans="1:21" x14ac:dyDescent="0.45">
      <c r="A868">
        <v>58</v>
      </c>
      <c r="B868">
        <v>58</v>
      </c>
      <c r="C868" t="s">
        <v>463</v>
      </c>
      <c r="D868" t="s">
        <v>414</v>
      </c>
      <c r="H868">
        <v>320.161</v>
      </c>
      <c r="N868">
        <v>58</v>
      </c>
      <c r="O868">
        <v>58</v>
      </c>
      <c r="P868" t="s">
        <v>568</v>
      </c>
      <c r="Q868" t="s">
        <v>414</v>
      </c>
      <c r="U868">
        <v>880.76599999999996</v>
      </c>
    </row>
    <row r="869" spans="1:21" x14ac:dyDescent="0.45">
      <c r="A869">
        <v>59</v>
      </c>
      <c r="B869">
        <v>59</v>
      </c>
      <c r="C869" t="s">
        <v>464</v>
      </c>
      <c r="D869" t="s">
        <v>414</v>
      </c>
      <c r="H869">
        <v>464.84699999999998</v>
      </c>
      <c r="N869">
        <v>59</v>
      </c>
      <c r="O869">
        <v>59</v>
      </c>
      <c r="P869" t="s">
        <v>569</v>
      </c>
      <c r="Q869" t="s">
        <v>414</v>
      </c>
      <c r="U869">
        <v>1043.9639999999999</v>
      </c>
    </row>
    <row r="870" spans="1:21" x14ac:dyDescent="0.45">
      <c r="A870">
        <v>60</v>
      </c>
      <c r="B870">
        <v>60</v>
      </c>
      <c r="C870" t="s">
        <v>465</v>
      </c>
      <c r="D870" t="s">
        <v>414</v>
      </c>
      <c r="H870">
        <v>209.43</v>
      </c>
      <c r="N870">
        <v>60</v>
      </c>
      <c r="O870">
        <v>60</v>
      </c>
      <c r="P870" t="s">
        <v>570</v>
      </c>
      <c r="Q870" t="s">
        <v>414</v>
      </c>
      <c r="U870">
        <v>1936.327</v>
      </c>
    </row>
    <row r="871" spans="1:21" x14ac:dyDescent="0.45">
      <c r="A871">
        <v>61</v>
      </c>
      <c r="B871">
        <v>61</v>
      </c>
      <c r="C871" t="s">
        <v>466</v>
      </c>
      <c r="D871" t="s">
        <v>414</v>
      </c>
      <c r="H871">
        <v>66.114999999999995</v>
      </c>
      <c r="N871">
        <v>61</v>
      </c>
      <c r="O871">
        <v>61</v>
      </c>
      <c r="P871" t="s">
        <v>571</v>
      </c>
      <c r="Q871" t="s">
        <v>414</v>
      </c>
      <c r="U871">
        <v>21.038</v>
      </c>
    </row>
    <row r="872" spans="1:21" x14ac:dyDescent="0.45">
      <c r="A872">
        <v>62</v>
      </c>
      <c r="B872">
        <v>62</v>
      </c>
      <c r="C872" t="s">
        <v>467</v>
      </c>
      <c r="D872" t="s">
        <v>414</v>
      </c>
      <c r="H872">
        <v>512.65300000000002</v>
      </c>
      <c r="N872">
        <v>62</v>
      </c>
      <c r="O872">
        <v>62</v>
      </c>
      <c r="P872" t="s">
        <v>572</v>
      </c>
      <c r="Q872" t="s">
        <v>414</v>
      </c>
      <c r="U872">
        <v>970.54399999999998</v>
      </c>
    </row>
    <row r="873" spans="1:21" x14ac:dyDescent="0.45">
      <c r="A873">
        <v>63</v>
      </c>
      <c r="B873">
        <v>63</v>
      </c>
      <c r="C873" t="s">
        <v>468</v>
      </c>
      <c r="D873" t="s">
        <v>414</v>
      </c>
      <c r="H873">
        <v>1224.2860000000001</v>
      </c>
      <c r="N873">
        <v>63</v>
      </c>
      <c r="O873">
        <v>63</v>
      </c>
      <c r="P873" t="s">
        <v>573</v>
      </c>
      <c r="Q873" t="s">
        <v>414</v>
      </c>
      <c r="U873">
        <v>357.49599999999998</v>
      </c>
    </row>
    <row r="874" spans="1:21" x14ac:dyDescent="0.45">
      <c r="A874">
        <v>64</v>
      </c>
      <c r="B874">
        <v>64</v>
      </c>
      <c r="C874" t="s">
        <v>469</v>
      </c>
      <c r="D874" t="s">
        <v>414</v>
      </c>
      <c r="H874">
        <v>69.682000000000002</v>
      </c>
      <c r="N874">
        <v>64</v>
      </c>
      <c r="O874">
        <v>64</v>
      </c>
      <c r="P874" t="s">
        <v>574</v>
      </c>
      <c r="Q874" t="s">
        <v>414</v>
      </c>
      <c r="U874">
        <v>848.32899999999995</v>
      </c>
    </row>
    <row r="875" spans="1:21" x14ac:dyDescent="0.45">
      <c r="A875">
        <v>65</v>
      </c>
      <c r="B875">
        <v>65</v>
      </c>
      <c r="C875" t="s">
        <v>470</v>
      </c>
      <c r="D875" t="s">
        <v>414</v>
      </c>
      <c r="H875">
        <v>2.3119999999999998</v>
      </c>
      <c r="N875">
        <v>65</v>
      </c>
      <c r="O875">
        <v>65</v>
      </c>
      <c r="P875" t="s">
        <v>575</v>
      </c>
      <c r="Q875" t="s">
        <v>414</v>
      </c>
      <c r="U875">
        <v>467.22800000000001</v>
      </c>
    </row>
    <row r="876" spans="1:21" x14ac:dyDescent="0.45">
      <c r="A876">
        <v>66</v>
      </c>
      <c r="B876">
        <v>66</v>
      </c>
      <c r="C876" t="s">
        <v>471</v>
      </c>
      <c r="D876" t="s">
        <v>414</v>
      </c>
      <c r="H876">
        <v>129.428</v>
      </c>
      <c r="N876">
        <v>66</v>
      </c>
      <c r="O876">
        <v>66</v>
      </c>
      <c r="P876" t="s">
        <v>576</v>
      </c>
      <c r="Q876" t="s">
        <v>414</v>
      </c>
      <c r="U876">
        <v>1043.8510000000001</v>
      </c>
    </row>
    <row r="877" spans="1:21" x14ac:dyDescent="0.45">
      <c r="A877">
        <v>67</v>
      </c>
      <c r="B877">
        <v>67</v>
      </c>
      <c r="C877" t="s">
        <v>472</v>
      </c>
      <c r="D877" t="s">
        <v>414</v>
      </c>
      <c r="H877">
        <v>368.245</v>
      </c>
      <c r="N877">
        <v>67</v>
      </c>
      <c r="O877">
        <v>67</v>
      </c>
      <c r="P877" t="s">
        <v>577</v>
      </c>
      <c r="Q877" t="s">
        <v>414</v>
      </c>
      <c r="U877">
        <v>159.239</v>
      </c>
    </row>
    <row r="878" spans="1:21" x14ac:dyDescent="0.45">
      <c r="A878">
        <v>68</v>
      </c>
      <c r="B878">
        <v>68</v>
      </c>
      <c r="C878" t="s">
        <v>473</v>
      </c>
      <c r="D878" t="s">
        <v>414</v>
      </c>
      <c r="H878">
        <v>895.78</v>
      </c>
      <c r="N878">
        <v>68</v>
      </c>
      <c r="O878">
        <v>68</v>
      </c>
      <c r="P878" t="s">
        <v>578</v>
      </c>
      <c r="Q878" t="s">
        <v>414</v>
      </c>
      <c r="U878">
        <v>1023.135</v>
      </c>
    </row>
    <row r="879" spans="1:21" x14ac:dyDescent="0.45">
      <c r="A879">
        <v>69</v>
      </c>
      <c r="B879">
        <v>69</v>
      </c>
      <c r="C879" t="s">
        <v>474</v>
      </c>
      <c r="D879" t="s">
        <v>414</v>
      </c>
      <c r="H879">
        <v>1004.7910000000001</v>
      </c>
      <c r="N879">
        <v>69</v>
      </c>
      <c r="O879">
        <v>69</v>
      </c>
      <c r="P879" t="s">
        <v>579</v>
      </c>
      <c r="Q879" t="s">
        <v>414</v>
      </c>
      <c r="U879">
        <v>601.577</v>
      </c>
    </row>
    <row r="881" spans="1:25" x14ac:dyDescent="0.45">
      <c r="A881" t="s">
        <v>498</v>
      </c>
      <c r="N881" t="s">
        <v>498</v>
      </c>
    </row>
    <row r="883" spans="1:25" x14ac:dyDescent="0.45">
      <c r="B883" t="s">
        <v>389</v>
      </c>
      <c r="C883" t="s">
        <v>123</v>
      </c>
      <c r="D883" t="s">
        <v>390</v>
      </c>
      <c r="E883" t="s">
        <v>391</v>
      </c>
      <c r="F883" t="s">
        <v>392</v>
      </c>
      <c r="G883" t="s">
        <v>393</v>
      </c>
      <c r="H883" t="s">
        <v>394</v>
      </c>
      <c r="I883" t="s">
        <v>395</v>
      </c>
      <c r="J883" t="s">
        <v>396</v>
      </c>
      <c r="K883" t="s">
        <v>397</v>
      </c>
      <c r="L883" t="s">
        <v>398</v>
      </c>
      <c r="O883" t="s">
        <v>389</v>
      </c>
      <c r="P883" t="s">
        <v>123</v>
      </c>
      <c r="Q883" t="s">
        <v>390</v>
      </c>
      <c r="R883" t="s">
        <v>391</v>
      </c>
      <c r="S883" t="s">
        <v>392</v>
      </c>
      <c r="T883" t="s">
        <v>393</v>
      </c>
      <c r="U883" t="s">
        <v>394</v>
      </c>
      <c r="V883" t="s">
        <v>395</v>
      </c>
      <c r="W883" t="s">
        <v>396</v>
      </c>
      <c r="X883" t="s">
        <v>397</v>
      </c>
      <c r="Y883" t="s">
        <v>398</v>
      </c>
    </row>
    <row r="884" spans="1:25" x14ac:dyDescent="0.45">
      <c r="A884">
        <v>1</v>
      </c>
      <c r="B884">
        <v>1</v>
      </c>
      <c r="C884" t="s">
        <v>399</v>
      </c>
      <c r="D884" t="s">
        <v>400</v>
      </c>
      <c r="E884">
        <v>0.05</v>
      </c>
      <c r="F884">
        <v>2.82</v>
      </c>
      <c r="G884">
        <v>2716.2710000000002</v>
      </c>
      <c r="H884">
        <v>54757.120999999999</v>
      </c>
      <c r="I884">
        <v>0.496</v>
      </c>
      <c r="J884" t="s">
        <v>412</v>
      </c>
      <c r="K884">
        <v>0.1</v>
      </c>
      <c r="L884">
        <v>77.7</v>
      </c>
      <c r="N884">
        <v>1</v>
      </c>
      <c r="O884">
        <v>1</v>
      </c>
      <c r="P884" t="s">
        <v>511</v>
      </c>
      <c r="Q884" t="s">
        <v>400</v>
      </c>
      <c r="R884">
        <v>0.05</v>
      </c>
      <c r="S884">
        <v>2.82</v>
      </c>
      <c r="T884">
        <v>3891.4409999999998</v>
      </c>
      <c r="U884">
        <v>138715.5</v>
      </c>
      <c r="V884">
        <v>0.28100000000000003</v>
      </c>
      <c r="W884" t="s">
        <v>401</v>
      </c>
      <c r="X884">
        <v>0.1</v>
      </c>
      <c r="Y884">
        <v>55.8</v>
      </c>
    </row>
    <row r="885" spans="1:25" x14ac:dyDescent="0.45">
      <c r="A885">
        <v>2</v>
      </c>
      <c r="B885">
        <v>2</v>
      </c>
      <c r="C885" t="s">
        <v>402</v>
      </c>
      <c r="D885" t="s">
        <v>400</v>
      </c>
      <c r="E885">
        <v>0.5</v>
      </c>
      <c r="F885">
        <v>2.83</v>
      </c>
      <c r="G885">
        <v>13882.805</v>
      </c>
      <c r="H885">
        <v>68647.562999999995</v>
      </c>
      <c r="I885">
        <v>2.0219999999999998</v>
      </c>
      <c r="J885" t="s">
        <v>401</v>
      </c>
      <c r="K885">
        <v>0.5</v>
      </c>
      <c r="L885">
        <v>-5.9</v>
      </c>
      <c r="N885">
        <v>2</v>
      </c>
      <c r="O885">
        <v>2</v>
      </c>
      <c r="P885" t="s">
        <v>512</v>
      </c>
      <c r="Q885" t="s">
        <v>400</v>
      </c>
      <c r="R885">
        <v>0.5</v>
      </c>
      <c r="S885">
        <v>2.82</v>
      </c>
      <c r="T885">
        <v>27586.303</v>
      </c>
      <c r="U885">
        <v>139613.56299999999</v>
      </c>
      <c r="V885">
        <v>1.976</v>
      </c>
      <c r="W885" t="s">
        <v>401</v>
      </c>
      <c r="X885">
        <v>0.5</v>
      </c>
      <c r="Y885">
        <v>-1.5</v>
      </c>
    </row>
    <row r="886" spans="1:25" x14ac:dyDescent="0.45">
      <c r="A886">
        <v>3</v>
      </c>
      <c r="B886">
        <v>3</v>
      </c>
      <c r="C886" t="s">
        <v>404</v>
      </c>
      <c r="D886" t="s">
        <v>400</v>
      </c>
      <c r="E886">
        <v>1.25</v>
      </c>
      <c r="F886">
        <v>2.83</v>
      </c>
      <c r="G886">
        <v>41329.059000000001</v>
      </c>
      <c r="H886">
        <v>82431.304999999993</v>
      </c>
      <c r="I886">
        <v>5.0140000000000002</v>
      </c>
      <c r="J886" t="s">
        <v>415</v>
      </c>
      <c r="K886">
        <v>1.2</v>
      </c>
      <c r="L886">
        <v>-2.6</v>
      </c>
      <c r="N886">
        <v>3</v>
      </c>
      <c r="O886">
        <v>3</v>
      </c>
      <c r="P886" t="s">
        <v>513</v>
      </c>
      <c r="Q886" t="s">
        <v>400</v>
      </c>
      <c r="R886">
        <v>1.25</v>
      </c>
      <c r="S886">
        <v>2.82</v>
      </c>
      <c r="T886">
        <v>65957.952999999994</v>
      </c>
      <c r="U886">
        <v>137451.70300000001</v>
      </c>
      <c r="V886">
        <v>4.7990000000000004</v>
      </c>
      <c r="W886" t="s">
        <v>415</v>
      </c>
      <c r="X886">
        <v>1.2</v>
      </c>
      <c r="Y886">
        <v>-5.4</v>
      </c>
    </row>
    <row r="887" spans="1:25" x14ac:dyDescent="0.45">
      <c r="A887">
        <v>4</v>
      </c>
      <c r="B887">
        <v>4</v>
      </c>
      <c r="C887" t="s">
        <v>405</v>
      </c>
      <c r="D887" t="s">
        <v>400</v>
      </c>
      <c r="E887">
        <v>2.5</v>
      </c>
      <c r="F887">
        <v>2.83</v>
      </c>
      <c r="G887">
        <v>97966.991999999998</v>
      </c>
      <c r="H887">
        <v>93451.562999999995</v>
      </c>
      <c r="I887">
        <v>10.483000000000001</v>
      </c>
      <c r="J887" t="s">
        <v>401</v>
      </c>
      <c r="K887">
        <v>2.6</v>
      </c>
      <c r="L887">
        <v>3.4</v>
      </c>
      <c r="N887">
        <v>4</v>
      </c>
      <c r="O887">
        <v>4</v>
      </c>
      <c r="P887" t="s">
        <v>514</v>
      </c>
      <c r="Q887" t="s">
        <v>400</v>
      </c>
      <c r="R887">
        <v>2.5</v>
      </c>
      <c r="S887">
        <v>2.82</v>
      </c>
      <c r="T887">
        <v>130784.273</v>
      </c>
      <c r="U887">
        <v>127404.773</v>
      </c>
      <c r="V887">
        <v>10.265000000000001</v>
      </c>
      <c r="W887" t="s">
        <v>415</v>
      </c>
      <c r="X887">
        <v>2.5</v>
      </c>
      <c r="Y887">
        <v>0.8</v>
      </c>
    </row>
    <row r="888" spans="1:25" x14ac:dyDescent="0.45">
      <c r="A888">
        <v>5</v>
      </c>
      <c r="B888">
        <v>5</v>
      </c>
      <c r="C888" t="s">
        <v>406</v>
      </c>
      <c r="D888" t="s">
        <v>400</v>
      </c>
      <c r="E888">
        <v>3.5</v>
      </c>
      <c r="F888">
        <v>2.83</v>
      </c>
      <c r="G888">
        <v>147647.125</v>
      </c>
      <c r="H888">
        <v>105865.648</v>
      </c>
      <c r="I888">
        <v>13.946999999999999</v>
      </c>
      <c r="J888" t="s">
        <v>415</v>
      </c>
      <c r="K888">
        <v>3.5</v>
      </c>
      <c r="L888">
        <v>-1.4</v>
      </c>
      <c r="N888">
        <v>5</v>
      </c>
      <c r="O888">
        <v>5</v>
      </c>
      <c r="P888" t="s">
        <v>515</v>
      </c>
      <c r="Q888" t="s">
        <v>400</v>
      </c>
      <c r="R888">
        <v>3.5</v>
      </c>
      <c r="S888">
        <v>2.82</v>
      </c>
      <c r="T888">
        <v>184256.31299999999</v>
      </c>
      <c r="U888">
        <v>127694.93799999999</v>
      </c>
      <c r="V888">
        <v>14.429</v>
      </c>
      <c r="W888" t="s">
        <v>415</v>
      </c>
      <c r="X888">
        <v>3.5</v>
      </c>
      <c r="Y888">
        <v>1.1000000000000001</v>
      </c>
    </row>
    <row r="889" spans="1:25" x14ac:dyDescent="0.45">
      <c r="A889">
        <v>6</v>
      </c>
      <c r="B889">
        <v>6</v>
      </c>
      <c r="C889" t="s">
        <v>407</v>
      </c>
      <c r="D889" t="s">
        <v>400</v>
      </c>
      <c r="E889">
        <v>5</v>
      </c>
      <c r="F889">
        <v>2.83</v>
      </c>
      <c r="G889">
        <v>236283.42199999999</v>
      </c>
      <c r="H889">
        <v>118528.32000000001</v>
      </c>
      <c r="I889">
        <v>19.934999999999999</v>
      </c>
      <c r="J889" t="s">
        <v>415</v>
      </c>
      <c r="K889">
        <v>4.9000000000000004</v>
      </c>
      <c r="L889">
        <v>-1</v>
      </c>
      <c r="N889">
        <v>6</v>
      </c>
      <c r="O889">
        <v>6</v>
      </c>
      <c r="P889" t="s">
        <v>516</v>
      </c>
      <c r="Q889" t="s">
        <v>400</v>
      </c>
      <c r="R889">
        <v>5</v>
      </c>
      <c r="S889">
        <v>2.82</v>
      </c>
      <c r="T889">
        <v>254728.125</v>
      </c>
      <c r="U889">
        <v>124542.516</v>
      </c>
      <c r="V889">
        <v>20.452999999999999</v>
      </c>
      <c r="W889" t="s">
        <v>415</v>
      </c>
      <c r="X889">
        <v>5</v>
      </c>
      <c r="Y889">
        <v>0.2</v>
      </c>
    </row>
    <row r="890" spans="1:25" x14ac:dyDescent="0.45">
      <c r="A890">
        <v>7</v>
      </c>
      <c r="B890">
        <v>7</v>
      </c>
      <c r="C890" t="s">
        <v>408</v>
      </c>
      <c r="D890" t="s">
        <v>400</v>
      </c>
      <c r="E890">
        <v>7</v>
      </c>
      <c r="F890">
        <v>2.83</v>
      </c>
      <c r="G890">
        <v>357261.09399999998</v>
      </c>
      <c r="H890">
        <v>126230.219</v>
      </c>
      <c r="I890">
        <v>28.302</v>
      </c>
      <c r="J890" t="s">
        <v>401</v>
      </c>
      <c r="K890">
        <v>7</v>
      </c>
      <c r="L890">
        <v>0.6</v>
      </c>
      <c r="N890">
        <v>7</v>
      </c>
      <c r="O890">
        <v>7</v>
      </c>
      <c r="P890" t="s">
        <v>517</v>
      </c>
      <c r="Q890" t="s">
        <v>400</v>
      </c>
      <c r="R890">
        <v>7</v>
      </c>
      <c r="S890">
        <v>2.82</v>
      </c>
      <c r="T890">
        <v>351896.84399999998</v>
      </c>
      <c r="U890">
        <v>123471.383</v>
      </c>
      <c r="V890">
        <v>28.5</v>
      </c>
      <c r="W890" t="s">
        <v>415</v>
      </c>
      <c r="X890">
        <v>7</v>
      </c>
      <c r="Y890">
        <v>-0.3</v>
      </c>
    </row>
    <row r="891" spans="1:25" x14ac:dyDescent="0.45">
      <c r="A891">
        <v>8</v>
      </c>
      <c r="B891">
        <v>8</v>
      </c>
      <c r="C891" t="s">
        <v>409</v>
      </c>
      <c r="D891" t="s">
        <v>410</v>
      </c>
      <c r="F891">
        <v>2.8</v>
      </c>
      <c r="G891">
        <v>555.97199999999998</v>
      </c>
      <c r="H891">
        <v>7635.74</v>
      </c>
      <c r="I891">
        <v>0.72799999999999998</v>
      </c>
      <c r="J891" t="s">
        <v>403</v>
      </c>
      <c r="K891">
        <v>0.1</v>
      </c>
      <c r="N891">
        <v>8</v>
      </c>
      <c r="O891">
        <v>8</v>
      </c>
      <c r="P891" t="s">
        <v>518</v>
      </c>
      <c r="Q891" t="s">
        <v>410</v>
      </c>
      <c r="S891">
        <v>2.82</v>
      </c>
      <c r="T891">
        <v>780.68600000000004</v>
      </c>
      <c r="U891">
        <v>354.48</v>
      </c>
      <c r="V891">
        <v>22.023</v>
      </c>
      <c r="W891" t="s">
        <v>401</v>
      </c>
      <c r="X891">
        <v>5.4</v>
      </c>
    </row>
    <row r="892" spans="1:25" x14ac:dyDescent="0.45">
      <c r="A892">
        <v>9</v>
      </c>
      <c r="B892">
        <v>9</v>
      </c>
      <c r="C892" t="s">
        <v>411</v>
      </c>
      <c r="D892" t="s">
        <v>410</v>
      </c>
      <c r="F892">
        <v>2.92</v>
      </c>
      <c r="G892">
        <v>561.4</v>
      </c>
      <c r="H892">
        <v>9386.8430000000008</v>
      </c>
      <c r="I892">
        <v>0.59799999999999998</v>
      </c>
      <c r="J892" t="s">
        <v>415</v>
      </c>
      <c r="K892">
        <v>0.1</v>
      </c>
      <c r="N892">
        <v>9</v>
      </c>
      <c r="O892">
        <v>9</v>
      </c>
      <c r="P892" t="s">
        <v>519</v>
      </c>
      <c r="Q892" t="s">
        <v>410</v>
      </c>
      <c r="S892">
        <v>2.84</v>
      </c>
      <c r="T892">
        <v>404.09899999999999</v>
      </c>
      <c r="U892">
        <v>329.17399999999998</v>
      </c>
      <c r="V892">
        <v>12.276</v>
      </c>
      <c r="W892" t="s">
        <v>401</v>
      </c>
      <c r="X892">
        <v>3</v>
      </c>
    </row>
    <row r="893" spans="1:25" x14ac:dyDescent="0.45">
      <c r="A893">
        <v>10</v>
      </c>
      <c r="B893">
        <v>10</v>
      </c>
      <c r="C893" t="s">
        <v>413</v>
      </c>
      <c r="D893" t="s">
        <v>414</v>
      </c>
      <c r="F893">
        <v>2.82</v>
      </c>
      <c r="G893">
        <v>13301.252</v>
      </c>
      <c r="H893">
        <v>36198.711000000003</v>
      </c>
      <c r="I893">
        <v>3.6749999999999998</v>
      </c>
      <c r="J893" t="s">
        <v>401</v>
      </c>
      <c r="K893">
        <v>0.9</v>
      </c>
      <c r="N893">
        <v>10</v>
      </c>
      <c r="O893">
        <v>10</v>
      </c>
      <c r="P893" t="s">
        <v>520</v>
      </c>
      <c r="Q893" t="s">
        <v>414</v>
      </c>
      <c r="S893">
        <v>2.82</v>
      </c>
      <c r="T893">
        <v>16368.183000000001</v>
      </c>
      <c r="U893">
        <v>65575.851999999999</v>
      </c>
      <c r="V893">
        <v>2.496</v>
      </c>
      <c r="W893" t="s">
        <v>401</v>
      </c>
      <c r="X893">
        <v>0.6</v>
      </c>
    </row>
    <row r="894" spans="1:25" x14ac:dyDescent="0.45">
      <c r="A894">
        <v>11</v>
      </c>
      <c r="B894">
        <v>11</v>
      </c>
      <c r="C894" t="s">
        <v>416</v>
      </c>
      <c r="D894" t="s">
        <v>414</v>
      </c>
      <c r="F894">
        <v>2.82</v>
      </c>
      <c r="G894">
        <v>11065.526</v>
      </c>
      <c r="H894">
        <v>37259.983999999997</v>
      </c>
      <c r="I894">
        <v>2.97</v>
      </c>
      <c r="J894" t="s">
        <v>401</v>
      </c>
      <c r="K894">
        <v>0.7</v>
      </c>
      <c r="N894">
        <v>11</v>
      </c>
      <c r="O894">
        <v>11</v>
      </c>
      <c r="P894" t="s">
        <v>521</v>
      </c>
      <c r="Q894" t="s">
        <v>414</v>
      </c>
      <c r="S894">
        <v>2.82</v>
      </c>
      <c r="T894">
        <v>10470.040000000001</v>
      </c>
      <c r="U894">
        <v>31911.914000000001</v>
      </c>
      <c r="V894">
        <v>3.2810000000000001</v>
      </c>
      <c r="W894" t="s">
        <v>403</v>
      </c>
      <c r="X894">
        <v>0.8</v>
      </c>
    </row>
    <row r="895" spans="1:25" x14ac:dyDescent="0.45">
      <c r="A895">
        <v>12</v>
      </c>
      <c r="B895">
        <v>12</v>
      </c>
      <c r="C895" t="s">
        <v>417</v>
      </c>
      <c r="D895" t="s">
        <v>414</v>
      </c>
      <c r="F895">
        <v>2.82</v>
      </c>
      <c r="G895">
        <v>10349.597</v>
      </c>
      <c r="H895">
        <v>29153.873</v>
      </c>
      <c r="I895">
        <v>3.55</v>
      </c>
      <c r="J895" t="s">
        <v>401</v>
      </c>
      <c r="K895">
        <v>0.9</v>
      </c>
      <c r="N895">
        <v>12</v>
      </c>
      <c r="O895">
        <v>12</v>
      </c>
      <c r="P895" t="s">
        <v>522</v>
      </c>
      <c r="Q895" t="s">
        <v>414</v>
      </c>
      <c r="S895">
        <v>2.82</v>
      </c>
      <c r="T895">
        <v>6939.5529999999999</v>
      </c>
      <c r="U895">
        <v>26627.116999999998</v>
      </c>
      <c r="V895">
        <v>2.6059999999999999</v>
      </c>
      <c r="W895" t="s">
        <v>415</v>
      </c>
      <c r="X895">
        <v>0.6</v>
      </c>
    </row>
    <row r="896" spans="1:25" x14ac:dyDescent="0.45">
      <c r="A896">
        <v>13</v>
      </c>
      <c r="B896">
        <v>13</v>
      </c>
      <c r="C896" t="s">
        <v>418</v>
      </c>
      <c r="D896" t="s">
        <v>414</v>
      </c>
      <c r="F896">
        <v>2.83</v>
      </c>
      <c r="G896">
        <v>9965.6460000000006</v>
      </c>
      <c r="H896">
        <v>28852.092000000001</v>
      </c>
      <c r="I896">
        <v>3.4540000000000002</v>
      </c>
      <c r="J896" t="s">
        <v>415</v>
      </c>
      <c r="K896">
        <v>0.8</v>
      </c>
      <c r="N896">
        <v>13</v>
      </c>
      <c r="O896">
        <v>13</v>
      </c>
      <c r="P896" t="s">
        <v>523</v>
      </c>
      <c r="Q896" t="s">
        <v>414</v>
      </c>
      <c r="S896">
        <v>2.82</v>
      </c>
      <c r="T896">
        <v>9578.4969999999994</v>
      </c>
      <c r="U896">
        <v>41929.008000000002</v>
      </c>
      <c r="V896">
        <v>2.2839999999999998</v>
      </c>
      <c r="W896" t="s">
        <v>415</v>
      </c>
      <c r="X896">
        <v>0.6</v>
      </c>
    </row>
    <row r="897" spans="1:24" x14ac:dyDescent="0.45">
      <c r="A897">
        <v>14</v>
      </c>
      <c r="B897">
        <v>14</v>
      </c>
      <c r="C897" t="s">
        <v>419</v>
      </c>
      <c r="D897" t="s">
        <v>414</v>
      </c>
      <c r="F897">
        <v>2.82</v>
      </c>
      <c r="G897">
        <v>9480.39</v>
      </c>
      <c r="H897">
        <v>47779.652000000002</v>
      </c>
      <c r="I897">
        <v>1.984</v>
      </c>
      <c r="J897" t="s">
        <v>403</v>
      </c>
      <c r="K897">
        <v>0.5</v>
      </c>
      <c r="N897">
        <v>14</v>
      </c>
      <c r="O897">
        <v>14</v>
      </c>
      <c r="P897" t="s">
        <v>524</v>
      </c>
      <c r="Q897" t="s">
        <v>414</v>
      </c>
      <c r="S897">
        <v>2.82</v>
      </c>
      <c r="T897">
        <v>10285.133</v>
      </c>
      <c r="U897">
        <v>26629.145</v>
      </c>
      <c r="V897">
        <v>3.8620000000000001</v>
      </c>
      <c r="W897" t="s">
        <v>401</v>
      </c>
      <c r="X897">
        <v>1</v>
      </c>
    </row>
    <row r="898" spans="1:24" x14ac:dyDescent="0.45">
      <c r="A898">
        <v>15</v>
      </c>
      <c r="B898">
        <v>15</v>
      </c>
      <c r="C898" t="s">
        <v>420</v>
      </c>
      <c r="D898" t="s">
        <v>414</v>
      </c>
      <c r="F898">
        <v>2.83</v>
      </c>
      <c r="G898">
        <v>15749.063</v>
      </c>
      <c r="H898">
        <v>41973.648000000001</v>
      </c>
      <c r="I898">
        <v>3.7519999999999998</v>
      </c>
      <c r="J898" t="s">
        <v>403</v>
      </c>
      <c r="K898">
        <v>0.9</v>
      </c>
      <c r="N898">
        <v>15</v>
      </c>
      <c r="O898">
        <v>15</v>
      </c>
      <c r="P898" t="s">
        <v>525</v>
      </c>
      <c r="Q898" t="s">
        <v>414</v>
      </c>
      <c r="S898">
        <v>2.82</v>
      </c>
      <c r="T898">
        <v>9230.1190000000006</v>
      </c>
      <c r="U898">
        <v>29385.945</v>
      </c>
      <c r="V898">
        <v>3.141</v>
      </c>
      <c r="W898" t="s">
        <v>403</v>
      </c>
      <c r="X898">
        <v>0.8</v>
      </c>
    </row>
    <row r="899" spans="1:24" x14ac:dyDescent="0.45">
      <c r="A899">
        <v>16</v>
      </c>
      <c r="B899">
        <v>16</v>
      </c>
      <c r="C899" t="s">
        <v>421</v>
      </c>
      <c r="D899" t="s">
        <v>414</v>
      </c>
      <c r="F899">
        <v>2.83</v>
      </c>
      <c r="G899">
        <v>10428.898999999999</v>
      </c>
      <c r="H899">
        <v>44841.082000000002</v>
      </c>
      <c r="I899">
        <v>2.3260000000000001</v>
      </c>
      <c r="J899" t="s">
        <v>415</v>
      </c>
      <c r="K899">
        <v>0.5</v>
      </c>
      <c r="N899">
        <v>16</v>
      </c>
      <c r="O899">
        <v>16</v>
      </c>
      <c r="P899" t="s">
        <v>526</v>
      </c>
      <c r="Q899" t="s">
        <v>414</v>
      </c>
      <c r="S899">
        <v>2.82</v>
      </c>
      <c r="T899">
        <v>14793.978999999999</v>
      </c>
      <c r="U899">
        <v>45724.652000000002</v>
      </c>
      <c r="V899">
        <v>3.2349999999999999</v>
      </c>
      <c r="W899" t="s">
        <v>415</v>
      </c>
      <c r="X899">
        <v>0.8</v>
      </c>
    </row>
    <row r="900" spans="1:24" x14ac:dyDescent="0.45">
      <c r="A900">
        <v>17</v>
      </c>
      <c r="B900">
        <v>17</v>
      </c>
      <c r="C900" t="s">
        <v>422</v>
      </c>
      <c r="D900" t="s">
        <v>414</v>
      </c>
      <c r="F900">
        <v>2.83</v>
      </c>
      <c r="G900">
        <v>9646.616</v>
      </c>
      <c r="H900">
        <v>44476.762000000002</v>
      </c>
      <c r="I900">
        <v>2.169</v>
      </c>
      <c r="J900" t="s">
        <v>403</v>
      </c>
      <c r="K900">
        <v>0.5</v>
      </c>
      <c r="N900">
        <v>17</v>
      </c>
      <c r="O900">
        <v>17</v>
      </c>
      <c r="P900" t="s">
        <v>527</v>
      </c>
      <c r="Q900" t="s">
        <v>414</v>
      </c>
      <c r="S900">
        <v>2.82</v>
      </c>
      <c r="T900">
        <v>7882.0950000000003</v>
      </c>
      <c r="U900">
        <v>27573.828000000001</v>
      </c>
      <c r="V900">
        <v>2.859</v>
      </c>
      <c r="W900" t="s">
        <v>415</v>
      </c>
      <c r="X900">
        <v>0.7</v>
      </c>
    </row>
    <row r="901" spans="1:24" x14ac:dyDescent="0.45">
      <c r="A901">
        <v>18</v>
      </c>
      <c r="B901">
        <v>18</v>
      </c>
      <c r="C901" t="s">
        <v>423</v>
      </c>
      <c r="D901" t="s">
        <v>414</v>
      </c>
      <c r="F901">
        <v>2.83</v>
      </c>
      <c r="G901">
        <v>9780.8240000000005</v>
      </c>
      <c r="H901">
        <v>47677.940999999999</v>
      </c>
      <c r="I901">
        <v>2.0510000000000002</v>
      </c>
      <c r="J901" t="s">
        <v>415</v>
      </c>
      <c r="K901">
        <v>0.5</v>
      </c>
      <c r="N901">
        <v>18</v>
      </c>
      <c r="O901">
        <v>18</v>
      </c>
      <c r="P901" t="s">
        <v>528</v>
      </c>
      <c r="Q901" t="s">
        <v>414</v>
      </c>
      <c r="S901">
        <v>2.82</v>
      </c>
      <c r="T901">
        <v>10367.184999999999</v>
      </c>
      <c r="U901">
        <v>32794.449000000001</v>
      </c>
      <c r="V901">
        <v>3.161</v>
      </c>
      <c r="W901" t="s">
        <v>403</v>
      </c>
      <c r="X901">
        <v>0.8</v>
      </c>
    </row>
    <row r="902" spans="1:24" x14ac:dyDescent="0.45">
      <c r="A902">
        <v>19</v>
      </c>
      <c r="B902">
        <v>19</v>
      </c>
      <c r="C902" t="s">
        <v>424</v>
      </c>
      <c r="D902" t="s">
        <v>414</v>
      </c>
      <c r="F902">
        <v>2.83</v>
      </c>
      <c r="G902">
        <v>12565.344999999999</v>
      </c>
      <c r="H902">
        <v>47722.449000000001</v>
      </c>
      <c r="I902">
        <v>2.633</v>
      </c>
      <c r="J902" t="s">
        <v>415</v>
      </c>
      <c r="K902">
        <v>0.6</v>
      </c>
      <c r="N902">
        <v>19</v>
      </c>
      <c r="O902">
        <v>19</v>
      </c>
      <c r="P902" t="s">
        <v>529</v>
      </c>
      <c r="Q902" t="s">
        <v>414</v>
      </c>
      <c r="S902">
        <v>2.82</v>
      </c>
      <c r="T902">
        <v>21541.127</v>
      </c>
      <c r="U902">
        <v>57897.152000000002</v>
      </c>
      <c r="V902">
        <v>3.7210000000000001</v>
      </c>
      <c r="W902" t="s">
        <v>403</v>
      </c>
      <c r="X902">
        <v>0.9</v>
      </c>
    </row>
    <row r="903" spans="1:24" x14ac:dyDescent="0.45">
      <c r="A903">
        <v>20</v>
      </c>
      <c r="B903">
        <v>20</v>
      </c>
      <c r="C903" t="s">
        <v>425</v>
      </c>
      <c r="D903" t="s">
        <v>414</v>
      </c>
      <c r="F903">
        <v>2.83</v>
      </c>
      <c r="G903">
        <v>7983.0330000000004</v>
      </c>
      <c r="H903">
        <v>31126.537</v>
      </c>
      <c r="I903">
        <v>2.5649999999999999</v>
      </c>
      <c r="J903" t="s">
        <v>403</v>
      </c>
      <c r="K903">
        <v>0.6</v>
      </c>
      <c r="N903">
        <v>20</v>
      </c>
      <c r="O903">
        <v>20</v>
      </c>
      <c r="P903" t="s">
        <v>530</v>
      </c>
      <c r="Q903" t="s">
        <v>414</v>
      </c>
      <c r="S903">
        <v>2.82</v>
      </c>
      <c r="T903">
        <v>8536.9950000000008</v>
      </c>
      <c r="U903">
        <v>29653.035</v>
      </c>
      <c r="V903">
        <v>2.879</v>
      </c>
      <c r="W903" t="s">
        <v>401</v>
      </c>
      <c r="X903">
        <v>0.7</v>
      </c>
    </row>
    <row r="904" spans="1:24" x14ac:dyDescent="0.45">
      <c r="A904">
        <v>21</v>
      </c>
      <c r="B904">
        <v>21</v>
      </c>
      <c r="C904" t="s">
        <v>426</v>
      </c>
      <c r="D904" t="s">
        <v>414</v>
      </c>
      <c r="F904">
        <v>2.83</v>
      </c>
      <c r="G904">
        <v>11025.347</v>
      </c>
      <c r="H904">
        <v>46073.02</v>
      </c>
      <c r="I904">
        <v>2.3929999999999998</v>
      </c>
      <c r="J904" t="s">
        <v>412</v>
      </c>
      <c r="K904">
        <v>0.6</v>
      </c>
      <c r="N904">
        <v>21</v>
      </c>
      <c r="O904">
        <v>21</v>
      </c>
      <c r="P904" t="s">
        <v>531</v>
      </c>
      <c r="Q904" t="s">
        <v>414</v>
      </c>
      <c r="S904">
        <v>2.82</v>
      </c>
      <c r="T904">
        <v>10524.200999999999</v>
      </c>
      <c r="U904">
        <v>29433.728999999999</v>
      </c>
      <c r="V904">
        <v>3.5760000000000001</v>
      </c>
      <c r="W904" t="s">
        <v>403</v>
      </c>
      <c r="X904">
        <v>0.9</v>
      </c>
    </row>
    <row r="905" spans="1:24" x14ac:dyDescent="0.45">
      <c r="A905">
        <v>22</v>
      </c>
      <c r="B905">
        <v>22</v>
      </c>
      <c r="C905" t="s">
        <v>427</v>
      </c>
      <c r="D905" t="s">
        <v>414</v>
      </c>
      <c r="F905">
        <v>2.83</v>
      </c>
      <c r="G905">
        <v>8128.3720000000003</v>
      </c>
      <c r="H905">
        <v>22960.187999999998</v>
      </c>
      <c r="I905">
        <v>3.54</v>
      </c>
      <c r="J905" t="s">
        <v>403</v>
      </c>
      <c r="K905">
        <v>0.8</v>
      </c>
      <c r="N905">
        <v>22</v>
      </c>
      <c r="O905">
        <v>22</v>
      </c>
      <c r="P905" t="s">
        <v>532</v>
      </c>
      <c r="Q905" t="s">
        <v>414</v>
      </c>
      <c r="S905">
        <v>2.82</v>
      </c>
      <c r="T905">
        <v>9844.7289999999994</v>
      </c>
      <c r="U905">
        <v>34721.004000000001</v>
      </c>
      <c r="V905">
        <v>2.835</v>
      </c>
      <c r="W905" t="s">
        <v>415</v>
      </c>
      <c r="X905">
        <v>0.7</v>
      </c>
    </row>
    <row r="906" spans="1:24" x14ac:dyDescent="0.45">
      <c r="A906">
        <v>23</v>
      </c>
      <c r="B906">
        <v>23</v>
      </c>
      <c r="C906" t="s">
        <v>428</v>
      </c>
      <c r="D906" t="s">
        <v>414</v>
      </c>
      <c r="F906">
        <v>2.83</v>
      </c>
      <c r="G906">
        <v>9203.2379999999994</v>
      </c>
      <c r="H906">
        <v>26251.32</v>
      </c>
      <c r="I906">
        <v>3.5059999999999998</v>
      </c>
      <c r="J906" t="s">
        <v>401</v>
      </c>
      <c r="K906">
        <v>0.8</v>
      </c>
      <c r="N906">
        <v>23</v>
      </c>
      <c r="O906">
        <v>23</v>
      </c>
      <c r="P906" t="s">
        <v>533</v>
      </c>
      <c r="Q906" t="s">
        <v>414</v>
      </c>
      <c r="S906">
        <v>2.82</v>
      </c>
      <c r="T906">
        <v>15238.227000000001</v>
      </c>
      <c r="U906">
        <v>38887.836000000003</v>
      </c>
      <c r="V906">
        <v>3.919</v>
      </c>
      <c r="W906" t="s">
        <v>415</v>
      </c>
      <c r="X906">
        <v>1</v>
      </c>
    </row>
    <row r="907" spans="1:24" x14ac:dyDescent="0.45">
      <c r="A907">
        <v>24</v>
      </c>
      <c r="B907">
        <v>24</v>
      </c>
      <c r="C907" t="s">
        <v>429</v>
      </c>
      <c r="D907" t="s">
        <v>414</v>
      </c>
      <c r="F907">
        <v>2.83</v>
      </c>
      <c r="G907">
        <v>10385.261</v>
      </c>
      <c r="H907">
        <v>31467.695</v>
      </c>
      <c r="I907">
        <v>3.3</v>
      </c>
      <c r="J907" t="s">
        <v>403</v>
      </c>
      <c r="K907">
        <v>0.8</v>
      </c>
      <c r="N907">
        <v>24</v>
      </c>
      <c r="O907">
        <v>24</v>
      </c>
      <c r="P907" t="s">
        <v>534</v>
      </c>
      <c r="Q907" t="s">
        <v>414</v>
      </c>
      <c r="S907">
        <v>2.82</v>
      </c>
      <c r="T907">
        <v>9023.5889999999999</v>
      </c>
      <c r="U907">
        <v>34815.644999999997</v>
      </c>
      <c r="V907">
        <v>2.5920000000000001</v>
      </c>
      <c r="W907" t="s">
        <v>401</v>
      </c>
      <c r="X907">
        <v>0.6</v>
      </c>
    </row>
    <row r="908" spans="1:24" x14ac:dyDescent="0.45">
      <c r="A908">
        <v>25</v>
      </c>
      <c r="B908">
        <v>25</v>
      </c>
      <c r="C908" t="s">
        <v>430</v>
      </c>
      <c r="D908" t="s">
        <v>414</v>
      </c>
      <c r="F908">
        <v>2.83</v>
      </c>
      <c r="G908">
        <v>11898.053</v>
      </c>
      <c r="H908">
        <v>33507.792999999998</v>
      </c>
      <c r="I908">
        <v>3.5510000000000002</v>
      </c>
      <c r="J908" t="s">
        <v>401</v>
      </c>
      <c r="K908">
        <v>0.9</v>
      </c>
      <c r="N908">
        <v>25</v>
      </c>
      <c r="O908">
        <v>25</v>
      </c>
      <c r="P908" t="s">
        <v>535</v>
      </c>
      <c r="Q908" t="s">
        <v>414</v>
      </c>
      <c r="S908">
        <v>2.82</v>
      </c>
      <c r="T908">
        <v>12679.656000000001</v>
      </c>
      <c r="U908">
        <v>48963.288999999997</v>
      </c>
      <c r="V908">
        <v>2.59</v>
      </c>
      <c r="W908" t="s">
        <v>415</v>
      </c>
      <c r="X908">
        <v>0.6</v>
      </c>
    </row>
    <row r="909" spans="1:24" x14ac:dyDescent="0.45">
      <c r="A909">
        <v>26</v>
      </c>
      <c r="B909">
        <v>26</v>
      </c>
      <c r="C909" t="s">
        <v>431</v>
      </c>
      <c r="D909" t="s">
        <v>414</v>
      </c>
      <c r="F909">
        <v>2.83</v>
      </c>
      <c r="G909">
        <v>8491.5470000000005</v>
      </c>
      <c r="H909">
        <v>30449.791000000001</v>
      </c>
      <c r="I909">
        <v>2.7890000000000001</v>
      </c>
      <c r="J909" t="s">
        <v>401</v>
      </c>
      <c r="K909">
        <v>0.7</v>
      </c>
      <c r="N909">
        <v>26</v>
      </c>
      <c r="O909">
        <v>26</v>
      </c>
      <c r="P909" t="s">
        <v>536</v>
      </c>
      <c r="Q909" t="s">
        <v>414</v>
      </c>
      <c r="S909">
        <v>2.82</v>
      </c>
      <c r="T909">
        <v>6883.8959999999997</v>
      </c>
      <c r="U909">
        <v>25055.787</v>
      </c>
      <c r="V909">
        <v>2.7469999999999999</v>
      </c>
      <c r="W909" t="s">
        <v>412</v>
      </c>
      <c r="X909">
        <v>0.7</v>
      </c>
    </row>
    <row r="910" spans="1:24" x14ac:dyDescent="0.45">
      <c r="A910">
        <v>27</v>
      </c>
      <c r="B910">
        <v>27</v>
      </c>
      <c r="C910" t="s">
        <v>432</v>
      </c>
      <c r="D910" t="s">
        <v>414</v>
      </c>
      <c r="F910">
        <v>2.83</v>
      </c>
      <c r="G910">
        <v>9184.0409999999993</v>
      </c>
      <c r="H910">
        <v>28251.775000000001</v>
      </c>
      <c r="I910">
        <v>3.2509999999999999</v>
      </c>
      <c r="J910" t="s">
        <v>403</v>
      </c>
      <c r="K910">
        <v>0.8</v>
      </c>
      <c r="N910">
        <v>27</v>
      </c>
      <c r="O910">
        <v>27</v>
      </c>
      <c r="P910" t="s">
        <v>537</v>
      </c>
      <c r="Q910" t="s">
        <v>414</v>
      </c>
      <c r="S910">
        <v>2.82</v>
      </c>
      <c r="T910">
        <v>5641.4560000000001</v>
      </c>
      <c r="U910">
        <v>21222.025000000001</v>
      </c>
      <c r="V910">
        <v>2.6579999999999999</v>
      </c>
      <c r="W910" t="s">
        <v>415</v>
      </c>
      <c r="X910">
        <v>0.7</v>
      </c>
    </row>
    <row r="911" spans="1:24" x14ac:dyDescent="0.45">
      <c r="A911">
        <v>28</v>
      </c>
      <c r="B911">
        <v>28</v>
      </c>
      <c r="C911" t="s">
        <v>433</v>
      </c>
      <c r="D911" t="s">
        <v>414</v>
      </c>
      <c r="F911">
        <v>2.83</v>
      </c>
      <c r="G911">
        <v>10123.74</v>
      </c>
      <c r="H911">
        <v>33173.711000000003</v>
      </c>
      <c r="I911">
        <v>3.052</v>
      </c>
      <c r="J911" t="s">
        <v>403</v>
      </c>
      <c r="K911">
        <v>0.7</v>
      </c>
      <c r="N911">
        <v>28</v>
      </c>
      <c r="O911">
        <v>28</v>
      </c>
      <c r="P911" t="s">
        <v>538</v>
      </c>
      <c r="Q911" t="s">
        <v>414</v>
      </c>
      <c r="S911">
        <v>2.82</v>
      </c>
      <c r="T911">
        <v>9480.09</v>
      </c>
      <c r="U911">
        <v>29085.828000000001</v>
      </c>
      <c r="V911">
        <v>3.2589999999999999</v>
      </c>
      <c r="W911" t="s">
        <v>401</v>
      </c>
      <c r="X911">
        <v>0.8</v>
      </c>
    </row>
    <row r="912" spans="1:24" x14ac:dyDescent="0.45">
      <c r="A912">
        <v>29</v>
      </c>
      <c r="B912">
        <v>29</v>
      </c>
      <c r="C912" t="s">
        <v>434</v>
      </c>
      <c r="D912" t="s">
        <v>414</v>
      </c>
      <c r="F912">
        <v>2.83</v>
      </c>
      <c r="G912">
        <v>9390.51</v>
      </c>
      <c r="H912">
        <v>27324.113000000001</v>
      </c>
      <c r="I912">
        <v>3.4369999999999998</v>
      </c>
      <c r="J912" t="s">
        <v>401</v>
      </c>
      <c r="K912">
        <v>0.8</v>
      </c>
      <c r="N912">
        <v>29</v>
      </c>
      <c r="O912">
        <v>29</v>
      </c>
      <c r="P912" t="s">
        <v>539</v>
      </c>
      <c r="Q912" t="s">
        <v>414</v>
      </c>
      <c r="S912">
        <v>2.82</v>
      </c>
      <c r="T912">
        <v>13061.413</v>
      </c>
      <c r="U912">
        <v>37808.120999999999</v>
      </c>
      <c r="V912">
        <v>3.4550000000000001</v>
      </c>
      <c r="W912" t="s">
        <v>403</v>
      </c>
      <c r="X912">
        <v>0.9</v>
      </c>
    </row>
    <row r="913" spans="1:24" x14ac:dyDescent="0.45">
      <c r="A913">
        <v>30</v>
      </c>
      <c r="B913">
        <v>30</v>
      </c>
      <c r="C913" t="s">
        <v>435</v>
      </c>
      <c r="D913" t="s">
        <v>414</v>
      </c>
      <c r="F913">
        <v>2.83</v>
      </c>
      <c r="G913">
        <v>7522.4319999999998</v>
      </c>
      <c r="H913">
        <v>23075.34</v>
      </c>
      <c r="I913">
        <v>3.26</v>
      </c>
      <c r="J913" t="s">
        <v>401</v>
      </c>
      <c r="K913">
        <v>0.8</v>
      </c>
      <c r="N913">
        <v>30</v>
      </c>
      <c r="O913">
        <v>30</v>
      </c>
      <c r="P913" t="s">
        <v>540</v>
      </c>
      <c r="Q913" t="s">
        <v>414</v>
      </c>
      <c r="S913">
        <v>2.82</v>
      </c>
      <c r="T913">
        <v>11881.678</v>
      </c>
      <c r="U913">
        <v>38764.953000000001</v>
      </c>
      <c r="V913">
        <v>3.0649999999999999</v>
      </c>
      <c r="W913" t="s">
        <v>401</v>
      </c>
      <c r="X913">
        <v>0.8</v>
      </c>
    </row>
    <row r="914" spans="1:24" x14ac:dyDescent="0.45">
      <c r="A914">
        <v>31</v>
      </c>
      <c r="B914">
        <v>31</v>
      </c>
      <c r="C914" t="s">
        <v>436</v>
      </c>
      <c r="D914" t="s">
        <v>414</v>
      </c>
      <c r="F914">
        <v>2.83</v>
      </c>
      <c r="G914">
        <v>7972.07</v>
      </c>
      <c r="H914">
        <v>38690.695</v>
      </c>
      <c r="I914">
        <v>2.06</v>
      </c>
      <c r="J914" t="s">
        <v>401</v>
      </c>
      <c r="K914">
        <v>0.5</v>
      </c>
      <c r="N914">
        <v>31</v>
      </c>
      <c r="O914">
        <v>31</v>
      </c>
      <c r="P914" t="s">
        <v>541</v>
      </c>
      <c r="Q914" t="s">
        <v>414</v>
      </c>
      <c r="S914">
        <v>2.82</v>
      </c>
      <c r="T914">
        <v>11097.876</v>
      </c>
      <c r="U914">
        <v>30695.300999999999</v>
      </c>
      <c r="V914">
        <v>3.6150000000000002</v>
      </c>
      <c r="W914" t="s">
        <v>401</v>
      </c>
      <c r="X914">
        <v>0.9</v>
      </c>
    </row>
    <row r="915" spans="1:24" x14ac:dyDescent="0.45">
      <c r="A915">
        <v>32</v>
      </c>
      <c r="B915">
        <v>32</v>
      </c>
      <c r="C915" t="s">
        <v>437</v>
      </c>
      <c r="D915" t="s">
        <v>414</v>
      </c>
      <c r="F915">
        <v>2.83</v>
      </c>
      <c r="G915">
        <v>7360.1959999999999</v>
      </c>
      <c r="H915">
        <v>27913.932000000001</v>
      </c>
      <c r="I915">
        <v>2.637</v>
      </c>
      <c r="J915" t="s">
        <v>403</v>
      </c>
      <c r="K915">
        <v>0.6</v>
      </c>
      <c r="N915">
        <v>32</v>
      </c>
      <c r="O915">
        <v>32</v>
      </c>
      <c r="P915" t="s">
        <v>542</v>
      </c>
      <c r="Q915" t="s">
        <v>414</v>
      </c>
      <c r="S915">
        <v>2.82</v>
      </c>
      <c r="T915">
        <v>7746.7579999999998</v>
      </c>
      <c r="U915">
        <v>30905.263999999999</v>
      </c>
      <c r="V915">
        <v>2.5070000000000001</v>
      </c>
      <c r="W915" t="s">
        <v>415</v>
      </c>
      <c r="X915">
        <v>0.6</v>
      </c>
    </row>
    <row r="916" spans="1:24" x14ac:dyDescent="0.45">
      <c r="A916">
        <v>33</v>
      </c>
      <c r="B916">
        <v>33</v>
      </c>
      <c r="C916" t="s">
        <v>438</v>
      </c>
      <c r="D916" t="s">
        <v>414</v>
      </c>
      <c r="F916">
        <v>2.83</v>
      </c>
      <c r="G916">
        <v>10042.066999999999</v>
      </c>
      <c r="H916">
        <v>29889.187999999998</v>
      </c>
      <c r="I916">
        <v>3.36</v>
      </c>
      <c r="J916" t="s">
        <v>401</v>
      </c>
      <c r="K916">
        <v>0.8</v>
      </c>
      <c r="N916">
        <v>33</v>
      </c>
      <c r="O916">
        <v>33</v>
      </c>
      <c r="P916" t="s">
        <v>543</v>
      </c>
      <c r="Q916" t="s">
        <v>414</v>
      </c>
      <c r="S916">
        <v>2.82</v>
      </c>
      <c r="T916">
        <v>7908.8829999999998</v>
      </c>
      <c r="U916">
        <v>24396.973000000002</v>
      </c>
      <c r="V916">
        <v>3.242</v>
      </c>
      <c r="W916" t="s">
        <v>403</v>
      </c>
      <c r="X916">
        <v>0.8</v>
      </c>
    </row>
    <row r="917" spans="1:24" x14ac:dyDescent="0.45">
      <c r="A917">
        <v>34</v>
      </c>
      <c r="B917">
        <v>34</v>
      </c>
      <c r="C917" t="s">
        <v>439</v>
      </c>
      <c r="D917" t="s">
        <v>414</v>
      </c>
      <c r="F917">
        <v>2.83</v>
      </c>
      <c r="G917">
        <v>11928.794</v>
      </c>
      <c r="H917">
        <v>32617.508000000002</v>
      </c>
      <c r="I917">
        <v>3.657</v>
      </c>
      <c r="J917" t="s">
        <v>401</v>
      </c>
      <c r="K917">
        <v>0.9</v>
      </c>
      <c r="N917">
        <v>34</v>
      </c>
      <c r="O917">
        <v>34</v>
      </c>
      <c r="P917" t="s">
        <v>544</v>
      </c>
      <c r="Q917" t="s">
        <v>414</v>
      </c>
      <c r="S917">
        <v>2.82</v>
      </c>
      <c r="T917">
        <v>9293.9269999999997</v>
      </c>
      <c r="U917">
        <v>26908.307000000001</v>
      </c>
      <c r="V917">
        <v>3.4540000000000002</v>
      </c>
      <c r="W917" t="s">
        <v>401</v>
      </c>
      <c r="X917">
        <v>0.9</v>
      </c>
    </row>
    <row r="918" spans="1:24" x14ac:dyDescent="0.45">
      <c r="A918">
        <v>35</v>
      </c>
      <c r="B918">
        <v>35</v>
      </c>
      <c r="C918" t="s">
        <v>440</v>
      </c>
      <c r="D918" t="s">
        <v>414</v>
      </c>
      <c r="F918">
        <v>2.83</v>
      </c>
      <c r="G918">
        <v>16877.978999999999</v>
      </c>
      <c r="H918">
        <v>38328.726999999999</v>
      </c>
      <c r="I918">
        <v>4.4029999999999996</v>
      </c>
      <c r="J918" t="s">
        <v>403</v>
      </c>
      <c r="K918">
        <v>1.1000000000000001</v>
      </c>
      <c r="N918">
        <v>35</v>
      </c>
      <c r="O918">
        <v>35</v>
      </c>
      <c r="P918" t="s">
        <v>545</v>
      </c>
      <c r="Q918" t="s">
        <v>414</v>
      </c>
      <c r="S918">
        <v>2.82</v>
      </c>
      <c r="T918">
        <v>7386.1809999999996</v>
      </c>
      <c r="U918">
        <v>22746.907999999999</v>
      </c>
      <c r="V918">
        <v>3.2469999999999999</v>
      </c>
      <c r="W918" t="s">
        <v>403</v>
      </c>
      <c r="X918">
        <v>0.8</v>
      </c>
    </row>
    <row r="919" spans="1:24" x14ac:dyDescent="0.45">
      <c r="A919">
        <v>36</v>
      </c>
      <c r="B919">
        <v>36</v>
      </c>
      <c r="C919" t="s">
        <v>441</v>
      </c>
      <c r="D919" t="s">
        <v>414</v>
      </c>
      <c r="F919">
        <v>2.83</v>
      </c>
      <c r="G919">
        <v>10217.351000000001</v>
      </c>
      <c r="H919">
        <v>33316.108999999997</v>
      </c>
      <c r="I919">
        <v>3.0670000000000002</v>
      </c>
      <c r="J919" t="s">
        <v>415</v>
      </c>
      <c r="K919">
        <v>0.7</v>
      </c>
      <c r="N919">
        <v>36</v>
      </c>
      <c r="O919">
        <v>36</v>
      </c>
      <c r="P919" t="s">
        <v>546</v>
      </c>
      <c r="Q919" t="s">
        <v>414</v>
      </c>
      <c r="S919">
        <v>2.82</v>
      </c>
      <c r="T919">
        <v>11604.865</v>
      </c>
      <c r="U919">
        <v>39284.027000000002</v>
      </c>
      <c r="V919">
        <v>2.9540000000000002</v>
      </c>
      <c r="W919" t="s">
        <v>401</v>
      </c>
      <c r="X919">
        <v>0.7</v>
      </c>
    </row>
    <row r="920" spans="1:24" x14ac:dyDescent="0.45">
      <c r="A920">
        <v>37</v>
      </c>
      <c r="B920">
        <v>37</v>
      </c>
      <c r="C920" t="s">
        <v>442</v>
      </c>
      <c r="D920" t="s">
        <v>414</v>
      </c>
      <c r="F920">
        <v>2.83</v>
      </c>
      <c r="G920">
        <v>8732.1380000000008</v>
      </c>
      <c r="H920">
        <v>35440.858999999997</v>
      </c>
      <c r="I920">
        <v>2.464</v>
      </c>
      <c r="J920" t="s">
        <v>415</v>
      </c>
      <c r="K920">
        <v>0.6</v>
      </c>
      <c r="N920">
        <v>37</v>
      </c>
      <c r="O920">
        <v>37</v>
      </c>
      <c r="P920" t="s">
        <v>547</v>
      </c>
      <c r="Q920" t="s">
        <v>414</v>
      </c>
      <c r="S920">
        <v>2.82</v>
      </c>
      <c r="T920">
        <v>7505.8609999999999</v>
      </c>
      <c r="U920">
        <v>27871.921999999999</v>
      </c>
      <c r="V920">
        <v>2.6930000000000001</v>
      </c>
      <c r="W920" t="s">
        <v>401</v>
      </c>
      <c r="X920">
        <v>0.7</v>
      </c>
    </row>
    <row r="921" spans="1:24" x14ac:dyDescent="0.45">
      <c r="A921">
        <v>38</v>
      </c>
      <c r="B921">
        <v>38</v>
      </c>
      <c r="C921" t="s">
        <v>443</v>
      </c>
      <c r="D921" t="s">
        <v>414</v>
      </c>
      <c r="F921">
        <v>2.83</v>
      </c>
      <c r="G921">
        <v>9929.2109999999993</v>
      </c>
      <c r="H921">
        <v>27635.585999999999</v>
      </c>
      <c r="I921">
        <v>3.593</v>
      </c>
      <c r="J921" t="s">
        <v>403</v>
      </c>
      <c r="K921">
        <v>0.9</v>
      </c>
      <c r="N921">
        <v>38</v>
      </c>
      <c r="O921">
        <v>38</v>
      </c>
      <c r="P921" t="s">
        <v>548</v>
      </c>
      <c r="Q921" t="s">
        <v>414</v>
      </c>
      <c r="S921">
        <v>2.82</v>
      </c>
      <c r="T921">
        <v>7720.2259999999997</v>
      </c>
      <c r="U921">
        <v>26612.745999999999</v>
      </c>
      <c r="V921">
        <v>2.9009999999999998</v>
      </c>
      <c r="W921" t="s">
        <v>403</v>
      </c>
      <c r="X921">
        <v>0.7</v>
      </c>
    </row>
    <row r="922" spans="1:24" x14ac:dyDescent="0.45">
      <c r="A922">
        <v>39</v>
      </c>
      <c r="B922">
        <v>39</v>
      </c>
      <c r="C922" t="s">
        <v>444</v>
      </c>
      <c r="D922" t="s">
        <v>414</v>
      </c>
      <c r="F922">
        <v>2.83</v>
      </c>
      <c r="G922">
        <v>15501.393</v>
      </c>
      <c r="H922">
        <v>32910.730000000003</v>
      </c>
      <c r="I922">
        <v>4.71</v>
      </c>
      <c r="J922" t="s">
        <v>415</v>
      </c>
      <c r="K922">
        <v>1.1000000000000001</v>
      </c>
      <c r="N922">
        <v>39</v>
      </c>
      <c r="O922">
        <v>39</v>
      </c>
      <c r="P922" t="s">
        <v>549</v>
      </c>
      <c r="Q922" t="s">
        <v>414</v>
      </c>
      <c r="S922">
        <v>2.82</v>
      </c>
      <c r="T922">
        <v>6615.4709999999995</v>
      </c>
      <c r="U922">
        <v>22955.355</v>
      </c>
      <c r="V922">
        <v>2.8820000000000001</v>
      </c>
      <c r="W922" t="s">
        <v>415</v>
      </c>
      <c r="X922">
        <v>0.7</v>
      </c>
    </row>
    <row r="923" spans="1:24" x14ac:dyDescent="0.45">
      <c r="A923">
        <v>40</v>
      </c>
      <c r="B923">
        <v>40</v>
      </c>
      <c r="C923" t="s">
        <v>445</v>
      </c>
      <c r="D923" t="s">
        <v>414</v>
      </c>
      <c r="F923">
        <v>2.83</v>
      </c>
      <c r="G923">
        <v>26772.848000000002</v>
      </c>
      <c r="H923">
        <v>54350.112999999998</v>
      </c>
      <c r="I923">
        <v>4.9260000000000002</v>
      </c>
      <c r="J923" t="s">
        <v>415</v>
      </c>
      <c r="K923">
        <v>1.2</v>
      </c>
      <c r="N923">
        <v>40</v>
      </c>
      <c r="O923">
        <v>40</v>
      </c>
      <c r="P923" t="s">
        <v>550</v>
      </c>
      <c r="Q923" t="s">
        <v>414</v>
      </c>
      <c r="S923">
        <v>2.82</v>
      </c>
      <c r="T923">
        <v>10330.955</v>
      </c>
      <c r="U923">
        <v>29845.423999999999</v>
      </c>
      <c r="V923">
        <v>3.4609999999999999</v>
      </c>
      <c r="W923" t="s">
        <v>415</v>
      </c>
      <c r="X923">
        <v>0.9</v>
      </c>
    </row>
    <row r="924" spans="1:24" x14ac:dyDescent="0.45">
      <c r="A924">
        <v>41</v>
      </c>
      <c r="B924">
        <v>41</v>
      </c>
      <c r="C924" t="s">
        <v>446</v>
      </c>
      <c r="D924" t="s">
        <v>414</v>
      </c>
      <c r="F924">
        <v>2.83</v>
      </c>
      <c r="G924">
        <v>24868.400000000001</v>
      </c>
      <c r="H924">
        <v>45150.57</v>
      </c>
      <c r="I924">
        <v>5.508</v>
      </c>
      <c r="J924" t="s">
        <v>415</v>
      </c>
      <c r="K924">
        <v>1.3</v>
      </c>
      <c r="N924">
        <v>41</v>
      </c>
      <c r="O924">
        <v>41</v>
      </c>
      <c r="P924" t="s">
        <v>551</v>
      </c>
      <c r="Q924" t="s">
        <v>414</v>
      </c>
      <c r="S924">
        <v>2.82</v>
      </c>
      <c r="T924">
        <v>17990.891</v>
      </c>
      <c r="U924">
        <v>42807.828000000001</v>
      </c>
      <c r="V924">
        <v>4.2030000000000003</v>
      </c>
      <c r="W924" t="s">
        <v>415</v>
      </c>
      <c r="X924">
        <v>1</v>
      </c>
    </row>
    <row r="925" spans="1:24" x14ac:dyDescent="0.45">
      <c r="A925">
        <v>42</v>
      </c>
      <c r="B925">
        <v>42</v>
      </c>
      <c r="C925" t="s">
        <v>447</v>
      </c>
      <c r="D925" t="s">
        <v>414</v>
      </c>
      <c r="F925">
        <v>2.83</v>
      </c>
      <c r="G925">
        <v>22690.763999999999</v>
      </c>
      <c r="H925">
        <v>47664.578000000001</v>
      </c>
      <c r="I925">
        <v>4.7610000000000001</v>
      </c>
      <c r="J925" t="s">
        <v>415</v>
      </c>
      <c r="K925">
        <v>1.2</v>
      </c>
      <c r="N925">
        <v>42</v>
      </c>
      <c r="O925">
        <v>42</v>
      </c>
      <c r="P925" t="s">
        <v>552</v>
      </c>
      <c r="Q925" t="s">
        <v>414</v>
      </c>
      <c r="S925">
        <v>2.82</v>
      </c>
      <c r="T925">
        <v>9033.3709999999992</v>
      </c>
      <c r="U925">
        <v>31504.971000000001</v>
      </c>
      <c r="V925">
        <v>2.867</v>
      </c>
      <c r="W925" t="s">
        <v>412</v>
      </c>
      <c r="X925">
        <v>0.7</v>
      </c>
    </row>
    <row r="926" spans="1:24" x14ac:dyDescent="0.45">
      <c r="A926">
        <v>43</v>
      </c>
      <c r="B926">
        <v>43</v>
      </c>
      <c r="C926" t="s">
        <v>448</v>
      </c>
      <c r="D926" t="s">
        <v>414</v>
      </c>
      <c r="F926">
        <v>2.83</v>
      </c>
      <c r="G926">
        <v>24985.528999999999</v>
      </c>
      <c r="H926">
        <v>42751.445</v>
      </c>
      <c r="I926">
        <v>5.8440000000000003</v>
      </c>
      <c r="J926" t="s">
        <v>415</v>
      </c>
      <c r="K926">
        <v>1.4</v>
      </c>
      <c r="N926">
        <v>43</v>
      </c>
      <c r="O926">
        <v>43</v>
      </c>
      <c r="P926" t="s">
        <v>553</v>
      </c>
      <c r="Q926" t="s">
        <v>414</v>
      </c>
      <c r="S926">
        <v>2.82</v>
      </c>
      <c r="T926">
        <v>12059.989</v>
      </c>
      <c r="U926">
        <v>26411.412</v>
      </c>
      <c r="V926">
        <v>4.5659999999999998</v>
      </c>
      <c r="W926" t="s">
        <v>415</v>
      </c>
      <c r="X926">
        <v>1.1000000000000001</v>
      </c>
    </row>
    <row r="927" spans="1:24" x14ac:dyDescent="0.45">
      <c r="A927">
        <v>44</v>
      </c>
      <c r="B927">
        <v>44</v>
      </c>
      <c r="C927" t="s">
        <v>449</v>
      </c>
      <c r="D927" t="s">
        <v>414</v>
      </c>
      <c r="F927">
        <v>2.83</v>
      </c>
      <c r="G927">
        <v>18753.438999999998</v>
      </c>
      <c r="H927">
        <v>45594.832000000002</v>
      </c>
      <c r="I927">
        <v>4.1130000000000004</v>
      </c>
      <c r="J927" t="s">
        <v>415</v>
      </c>
      <c r="K927">
        <v>1</v>
      </c>
      <c r="N927">
        <v>44</v>
      </c>
      <c r="O927">
        <v>44</v>
      </c>
      <c r="P927" t="s">
        <v>554</v>
      </c>
      <c r="Q927" t="s">
        <v>414</v>
      </c>
      <c r="S927">
        <v>2.82</v>
      </c>
      <c r="T927">
        <v>10047.965</v>
      </c>
      <c r="U927">
        <v>31106.798999999999</v>
      </c>
      <c r="V927">
        <v>3.23</v>
      </c>
      <c r="W927" t="s">
        <v>401</v>
      </c>
      <c r="X927">
        <v>0.8</v>
      </c>
    </row>
    <row r="928" spans="1:24" x14ac:dyDescent="0.45">
      <c r="A928">
        <v>45</v>
      </c>
      <c r="B928">
        <v>45</v>
      </c>
      <c r="C928" t="s">
        <v>450</v>
      </c>
      <c r="D928" t="s">
        <v>414</v>
      </c>
      <c r="F928">
        <v>2.83</v>
      </c>
      <c r="G928">
        <v>12629.636</v>
      </c>
      <c r="H928">
        <v>45338.758000000002</v>
      </c>
      <c r="I928">
        <v>2.786</v>
      </c>
      <c r="J928" t="s">
        <v>415</v>
      </c>
      <c r="K928">
        <v>0.7</v>
      </c>
      <c r="N928">
        <v>45</v>
      </c>
      <c r="O928">
        <v>45</v>
      </c>
      <c r="P928" t="s">
        <v>555</v>
      </c>
      <c r="Q928" t="s">
        <v>414</v>
      </c>
      <c r="S928">
        <v>2.82</v>
      </c>
      <c r="T928">
        <v>11237.513000000001</v>
      </c>
      <c r="U928">
        <v>31106.664000000001</v>
      </c>
      <c r="V928">
        <v>3.613</v>
      </c>
      <c r="W928" t="s">
        <v>403</v>
      </c>
      <c r="X928">
        <v>0.9</v>
      </c>
    </row>
    <row r="929" spans="1:24" x14ac:dyDescent="0.45">
      <c r="A929">
        <v>46</v>
      </c>
      <c r="B929">
        <v>46</v>
      </c>
      <c r="C929" t="s">
        <v>451</v>
      </c>
      <c r="D929" t="s">
        <v>414</v>
      </c>
      <c r="F929">
        <v>2.83</v>
      </c>
      <c r="G929">
        <v>13876.262000000001</v>
      </c>
      <c r="H929">
        <v>39915.461000000003</v>
      </c>
      <c r="I929">
        <v>3.476</v>
      </c>
      <c r="J929" t="s">
        <v>415</v>
      </c>
      <c r="K929">
        <v>0.8</v>
      </c>
      <c r="N929">
        <v>46</v>
      </c>
      <c r="O929">
        <v>46</v>
      </c>
      <c r="P929" t="s">
        <v>556</v>
      </c>
      <c r="Q929" t="s">
        <v>414</v>
      </c>
      <c r="S929">
        <v>2.82</v>
      </c>
      <c r="T929">
        <v>6322.96</v>
      </c>
      <c r="U929">
        <v>21170.359</v>
      </c>
      <c r="V929">
        <v>2.9870000000000001</v>
      </c>
      <c r="W929" t="s">
        <v>403</v>
      </c>
      <c r="X929">
        <v>0.7</v>
      </c>
    </row>
    <row r="930" spans="1:24" x14ac:dyDescent="0.45">
      <c r="A930">
        <v>47</v>
      </c>
      <c r="B930">
        <v>47</v>
      </c>
      <c r="C930" t="s">
        <v>452</v>
      </c>
      <c r="D930" t="s">
        <v>414</v>
      </c>
      <c r="F930">
        <v>2.83</v>
      </c>
      <c r="G930">
        <v>9060.0049999999992</v>
      </c>
      <c r="H930">
        <v>22828.648000000001</v>
      </c>
      <c r="I930">
        <v>3.9689999999999999</v>
      </c>
      <c r="J930" t="s">
        <v>415</v>
      </c>
      <c r="K930">
        <v>1</v>
      </c>
      <c r="N930">
        <v>47</v>
      </c>
      <c r="O930">
        <v>47</v>
      </c>
      <c r="P930" t="s">
        <v>557</v>
      </c>
      <c r="Q930" t="s">
        <v>414</v>
      </c>
      <c r="S930">
        <v>2.82</v>
      </c>
      <c r="T930">
        <v>5202.99</v>
      </c>
      <c r="U930">
        <v>21451.958999999999</v>
      </c>
      <c r="V930">
        <v>2.4249999999999998</v>
      </c>
      <c r="W930" t="s">
        <v>415</v>
      </c>
      <c r="X930">
        <v>0.6</v>
      </c>
    </row>
    <row r="931" spans="1:24" x14ac:dyDescent="0.45">
      <c r="A931">
        <v>48</v>
      </c>
      <c r="B931">
        <v>48</v>
      </c>
      <c r="C931" t="s">
        <v>453</v>
      </c>
      <c r="D931" t="s">
        <v>414</v>
      </c>
      <c r="F931">
        <v>2.83</v>
      </c>
      <c r="G931">
        <v>9474.3279999999995</v>
      </c>
      <c r="H931">
        <v>28742.078000000001</v>
      </c>
      <c r="I931">
        <v>3.2959999999999998</v>
      </c>
      <c r="J931" t="s">
        <v>415</v>
      </c>
      <c r="K931">
        <v>0.8</v>
      </c>
      <c r="N931">
        <v>48</v>
      </c>
      <c r="O931">
        <v>48</v>
      </c>
      <c r="P931" t="s">
        <v>558</v>
      </c>
      <c r="Q931" t="s">
        <v>414</v>
      </c>
      <c r="S931">
        <v>2.82</v>
      </c>
      <c r="T931">
        <v>5213.55</v>
      </c>
      <c r="U931">
        <v>20507.863000000001</v>
      </c>
      <c r="V931">
        <v>2.5419999999999998</v>
      </c>
      <c r="W931" t="s">
        <v>401</v>
      </c>
      <c r="X931">
        <v>0.6</v>
      </c>
    </row>
    <row r="932" spans="1:24" x14ac:dyDescent="0.45">
      <c r="A932">
        <v>49</v>
      </c>
      <c r="B932">
        <v>49</v>
      </c>
      <c r="C932" t="s">
        <v>454</v>
      </c>
      <c r="D932" t="s">
        <v>414</v>
      </c>
      <c r="F932">
        <v>2.83</v>
      </c>
      <c r="G932">
        <v>12251.76</v>
      </c>
      <c r="H932">
        <v>29729.976999999999</v>
      </c>
      <c r="I932">
        <v>4.1210000000000004</v>
      </c>
      <c r="J932" t="s">
        <v>403</v>
      </c>
      <c r="K932">
        <v>1</v>
      </c>
      <c r="N932">
        <v>49</v>
      </c>
      <c r="O932">
        <v>49</v>
      </c>
      <c r="P932" t="s">
        <v>559</v>
      </c>
      <c r="Q932" t="s">
        <v>414</v>
      </c>
      <c r="S932">
        <v>2.82</v>
      </c>
      <c r="T932">
        <v>6522.42</v>
      </c>
      <c r="U932">
        <v>23997.541000000001</v>
      </c>
      <c r="V932">
        <v>2.718</v>
      </c>
      <c r="W932" t="s">
        <v>415</v>
      </c>
      <c r="X932">
        <v>0.7</v>
      </c>
    </row>
    <row r="933" spans="1:24" x14ac:dyDescent="0.45">
      <c r="A933">
        <v>50</v>
      </c>
      <c r="B933">
        <v>50</v>
      </c>
      <c r="C933" t="s">
        <v>455</v>
      </c>
      <c r="D933" t="s">
        <v>414</v>
      </c>
      <c r="F933">
        <v>2.83</v>
      </c>
      <c r="G933">
        <v>11069.156000000001</v>
      </c>
      <c r="H933">
        <v>34292.305</v>
      </c>
      <c r="I933">
        <v>3.2280000000000002</v>
      </c>
      <c r="J933" t="s">
        <v>412</v>
      </c>
      <c r="K933">
        <v>0.8</v>
      </c>
      <c r="N933">
        <v>50</v>
      </c>
      <c r="O933">
        <v>50</v>
      </c>
      <c r="P933" t="s">
        <v>560</v>
      </c>
      <c r="Q933" t="s">
        <v>414</v>
      </c>
      <c r="S933">
        <v>2.82</v>
      </c>
      <c r="T933">
        <v>6539.1589999999997</v>
      </c>
      <c r="U933">
        <v>23443.261999999999</v>
      </c>
      <c r="V933">
        <v>2.7890000000000001</v>
      </c>
      <c r="W933" t="s">
        <v>415</v>
      </c>
      <c r="X933">
        <v>0.7</v>
      </c>
    </row>
    <row r="934" spans="1:24" x14ac:dyDescent="0.45">
      <c r="A934">
        <v>51</v>
      </c>
      <c r="B934">
        <v>51</v>
      </c>
      <c r="C934" t="s">
        <v>456</v>
      </c>
      <c r="D934" t="s">
        <v>414</v>
      </c>
      <c r="F934">
        <v>2.83</v>
      </c>
      <c r="G934">
        <v>9145.8490000000002</v>
      </c>
      <c r="H934">
        <v>30581.535</v>
      </c>
      <c r="I934">
        <v>2.9910000000000001</v>
      </c>
      <c r="J934" t="s">
        <v>415</v>
      </c>
      <c r="K934">
        <v>0.7</v>
      </c>
      <c r="N934">
        <v>51</v>
      </c>
      <c r="O934">
        <v>51</v>
      </c>
      <c r="P934" t="s">
        <v>561</v>
      </c>
      <c r="Q934" t="s">
        <v>414</v>
      </c>
      <c r="S934">
        <v>2.82</v>
      </c>
      <c r="T934">
        <v>5465.2079999999996</v>
      </c>
      <c r="U934">
        <v>18425.164000000001</v>
      </c>
      <c r="V934">
        <v>2.9660000000000002</v>
      </c>
      <c r="W934" t="s">
        <v>403</v>
      </c>
      <c r="X934">
        <v>0.7</v>
      </c>
    </row>
    <row r="935" spans="1:24" x14ac:dyDescent="0.45">
      <c r="A935">
        <v>52</v>
      </c>
      <c r="B935">
        <v>52</v>
      </c>
      <c r="C935" t="s">
        <v>457</v>
      </c>
      <c r="D935" t="s">
        <v>414</v>
      </c>
      <c r="F935">
        <v>2.83</v>
      </c>
      <c r="G935">
        <v>10713.779</v>
      </c>
      <c r="H935">
        <v>25827.717000000001</v>
      </c>
      <c r="I935">
        <v>4.1479999999999997</v>
      </c>
      <c r="J935" t="s">
        <v>401</v>
      </c>
      <c r="K935">
        <v>1</v>
      </c>
      <c r="N935">
        <v>52</v>
      </c>
      <c r="O935">
        <v>52</v>
      </c>
      <c r="P935" t="s">
        <v>562</v>
      </c>
      <c r="Q935" t="s">
        <v>414</v>
      </c>
      <c r="S935">
        <v>2.82</v>
      </c>
      <c r="T935">
        <v>7372.03</v>
      </c>
      <c r="U935">
        <v>25454.1</v>
      </c>
      <c r="V935">
        <v>2.8959999999999999</v>
      </c>
      <c r="W935" t="s">
        <v>412</v>
      </c>
      <c r="X935">
        <v>0.7</v>
      </c>
    </row>
    <row r="936" spans="1:24" x14ac:dyDescent="0.45">
      <c r="A936">
        <v>53</v>
      </c>
      <c r="B936">
        <v>53</v>
      </c>
      <c r="C936" t="s">
        <v>458</v>
      </c>
      <c r="D936" t="s">
        <v>414</v>
      </c>
      <c r="F936">
        <v>2.83</v>
      </c>
      <c r="G936">
        <v>13589.779</v>
      </c>
      <c r="H936">
        <v>31508.085999999999</v>
      </c>
      <c r="I936">
        <v>4.3129999999999997</v>
      </c>
      <c r="J936" t="s">
        <v>401</v>
      </c>
      <c r="K936">
        <v>1</v>
      </c>
      <c r="N936">
        <v>53</v>
      </c>
      <c r="O936">
        <v>53</v>
      </c>
      <c r="P936" t="s">
        <v>563</v>
      </c>
      <c r="Q936" t="s">
        <v>414</v>
      </c>
      <c r="S936">
        <v>2.82</v>
      </c>
      <c r="T936">
        <v>9450.5859999999993</v>
      </c>
      <c r="U936">
        <v>31461.855</v>
      </c>
      <c r="V936">
        <v>3.004</v>
      </c>
      <c r="W936" t="s">
        <v>415</v>
      </c>
      <c r="X936">
        <v>0.7</v>
      </c>
    </row>
    <row r="937" spans="1:24" x14ac:dyDescent="0.45">
      <c r="A937">
        <v>54</v>
      </c>
      <c r="B937">
        <v>54</v>
      </c>
      <c r="C937" t="s">
        <v>459</v>
      </c>
      <c r="D937" t="s">
        <v>414</v>
      </c>
      <c r="F937">
        <v>2.83</v>
      </c>
      <c r="G937">
        <v>19672.166000000001</v>
      </c>
      <c r="H937">
        <v>35588.597999999998</v>
      </c>
      <c r="I937">
        <v>5.5279999999999996</v>
      </c>
      <c r="J937" t="s">
        <v>412</v>
      </c>
      <c r="K937">
        <v>1.3</v>
      </c>
      <c r="N937">
        <v>54</v>
      </c>
      <c r="O937">
        <v>54</v>
      </c>
      <c r="P937" t="s">
        <v>564</v>
      </c>
      <c r="Q937" t="s">
        <v>414</v>
      </c>
      <c r="S937">
        <v>2.82</v>
      </c>
      <c r="T937">
        <v>7258.7629999999999</v>
      </c>
      <c r="U937">
        <v>22482.026999999998</v>
      </c>
      <c r="V937">
        <v>3.2290000000000001</v>
      </c>
      <c r="W937" t="s">
        <v>415</v>
      </c>
      <c r="X937">
        <v>0.8</v>
      </c>
    </row>
    <row r="938" spans="1:24" x14ac:dyDescent="0.45">
      <c r="A938">
        <v>55</v>
      </c>
      <c r="B938">
        <v>55</v>
      </c>
      <c r="C938" t="s">
        <v>460</v>
      </c>
      <c r="D938" t="s">
        <v>414</v>
      </c>
      <c r="F938">
        <v>2.83</v>
      </c>
      <c r="G938">
        <v>14404.875</v>
      </c>
      <c r="H938">
        <v>28695.206999999999</v>
      </c>
      <c r="I938">
        <v>5.0199999999999996</v>
      </c>
      <c r="J938" t="s">
        <v>415</v>
      </c>
      <c r="K938">
        <v>1.2</v>
      </c>
      <c r="N938">
        <v>55</v>
      </c>
      <c r="O938">
        <v>55</v>
      </c>
      <c r="P938" t="s">
        <v>565</v>
      </c>
      <c r="Q938" t="s">
        <v>414</v>
      </c>
      <c r="S938">
        <v>2.82</v>
      </c>
      <c r="T938">
        <v>9918.2800000000007</v>
      </c>
      <c r="U938">
        <v>30518.518</v>
      </c>
      <c r="V938">
        <v>3.25</v>
      </c>
      <c r="W938" t="s">
        <v>412</v>
      </c>
      <c r="X938">
        <v>0.8</v>
      </c>
    </row>
    <row r="939" spans="1:24" x14ac:dyDescent="0.45">
      <c r="A939">
        <v>56</v>
      </c>
      <c r="B939">
        <v>56</v>
      </c>
      <c r="C939" t="s">
        <v>461</v>
      </c>
      <c r="D939" t="s">
        <v>414</v>
      </c>
      <c r="F939">
        <v>2.83</v>
      </c>
      <c r="G939">
        <v>14155.038</v>
      </c>
      <c r="H939">
        <v>30756.798999999999</v>
      </c>
      <c r="I939">
        <v>4.6020000000000003</v>
      </c>
      <c r="J939" t="s">
        <v>415</v>
      </c>
      <c r="K939">
        <v>1.1000000000000001</v>
      </c>
      <c r="N939">
        <v>56</v>
      </c>
      <c r="O939">
        <v>56</v>
      </c>
      <c r="P939" t="s">
        <v>566</v>
      </c>
      <c r="Q939" t="s">
        <v>414</v>
      </c>
      <c r="S939">
        <v>2.82</v>
      </c>
      <c r="T939">
        <v>4994.6130000000003</v>
      </c>
      <c r="U939">
        <v>20053.349999999999</v>
      </c>
      <c r="V939">
        <v>2.4910000000000001</v>
      </c>
      <c r="W939" t="s">
        <v>401</v>
      </c>
      <c r="X939">
        <v>0.6</v>
      </c>
    </row>
    <row r="940" spans="1:24" x14ac:dyDescent="0.45">
      <c r="A940">
        <v>57</v>
      </c>
      <c r="B940">
        <v>57</v>
      </c>
      <c r="C940" t="s">
        <v>462</v>
      </c>
      <c r="D940" t="s">
        <v>414</v>
      </c>
      <c r="F940">
        <v>2.83</v>
      </c>
      <c r="G940">
        <v>14922.805</v>
      </c>
      <c r="H940">
        <v>29948.467000000001</v>
      </c>
      <c r="I940">
        <v>4.9829999999999997</v>
      </c>
      <c r="J940" t="s">
        <v>403</v>
      </c>
      <c r="K940">
        <v>1.2</v>
      </c>
      <c r="N940">
        <v>57</v>
      </c>
      <c r="O940">
        <v>57</v>
      </c>
      <c r="P940" t="s">
        <v>567</v>
      </c>
      <c r="Q940" t="s">
        <v>414</v>
      </c>
      <c r="S940">
        <v>2.82</v>
      </c>
      <c r="T940">
        <v>6622.2830000000004</v>
      </c>
      <c r="U940">
        <v>24814.947</v>
      </c>
      <c r="V940">
        <v>2.669</v>
      </c>
      <c r="W940" t="s">
        <v>401</v>
      </c>
      <c r="X940">
        <v>0.7</v>
      </c>
    </row>
    <row r="941" spans="1:24" x14ac:dyDescent="0.45">
      <c r="A941">
        <v>58</v>
      </c>
      <c r="B941">
        <v>58</v>
      </c>
      <c r="C941" t="s">
        <v>463</v>
      </c>
      <c r="D941" t="s">
        <v>414</v>
      </c>
      <c r="F941">
        <v>2.83</v>
      </c>
      <c r="G941">
        <v>10818.746999999999</v>
      </c>
      <c r="H941">
        <v>28448.541000000001</v>
      </c>
      <c r="I941">
        <v>3.8029999999999999</v>
      </c>
      <c r="J941" t="s">
        <v>415</v>
      </c>
      <c r="K941">
        <v>0.9</v>
      </c>
      <c r="N941">
        <v>58</v>
      </c>
      <c r="O941">
        <v>58</v>
      </c>
      <c r="P941" t="s">
        <v>568</v>
      </c>
      <c r="Q941" t="s">
        <v>414</v>
      </c>
      <c r="S941">
        <v>2.82</v>
      </c>
      <c r="T941">
        <v>12025.117</v>
      </c>
      <c r="U941">
        <v>36884.593999999997</v>
      </c>
      <c r="V941">
        <v>3.26</v>
      </c>
      <c r="W941" t="s">
        <v>415</v>
      </c>
      <c r="X941">
        <v>0.8</v>
      </c>
    </row>
    <row r="942" spans="1:24" x14ac:dyDescent="0.45">
      <c r="A942">
        <v>59</v>
      </c>
      <c r="B942">
        <v>59</v>
      </c>
      <c r="C942" t="s">
        <v>464</v>
      </c>
      <c r="D942" t="s">
        <v>414</v>
      </c>
      <c r="F942">
        <v>2.83</v>
      </c>
      <c r="G942">
        <v>12892.231</v>
      </c>
      <c r="H942">
        <v>27359.388999999999</v>
      </c>
      <c r="I942">
        <v>4.7119999999999997</v>
      </c>
      <c r="J942" t="s">
        <v>401</v>
      </c>
      <c r="K942">
        <v>1.1000000000000001</v>
      </c>
      <c r="N942">
        <v>59</v>
      </c>
      <c r="O942">
        <v>59</v>
      </c>
      <c r="P942" t="s">
        <v>569</v>
      </c>
      <c r="Q942" t="s">
        <v>414</v>
      </c>
      <c r="S942">
        <v>2.82</v>
      </c>
      <c r="T942">
        <v>6485.43</v>
      </c>
      <c r="U942">
        <v>22278.85</v>
      </c>
      <c r="V942">
        <v>2.911</v>
      </c>
      <c r="W942" t="s">
        <v>415</v>
      </c>
      <c r="X942">
        <v>0.7</v>
      </c>
    </row>
    <row r="943" spans="1:24" x14ac:dyDescent="0.45">
      <c r="A943">
        <v>60</v>
      </c>
      <c r="B943">
        <v>60</v>
      </c>
      <c r="C943" t="s">
        <v>465</v>
      </c>
      <c r="D943" t="s">
        <v>414</v>
      </c>
      <c r="F943">
        <v>2.83</v>
      </c>
      <c r="G943">
        <v>15629.181</v>
      </c>
      <c r="H943">
        <v>37867.616999999998</v>
      </c>
      <c r="I943">
        <v>4.1269999999999998</v>
      </c>
      <c r="J943" t="s">
        <v>401</v>
      </c>
      <c r="K943">
        <v>1</v>
      </c>
      <c r="N943">
        <v>60</v>
      </c>
      <c r="O943">
        <v>60</v>
      </c>
      <c r="P943" t="s">
        <v>570</v>
      </c>
      <c r="Q943" t="s">
        <v>414</v>
      </c>
      <c r="S943">
        <v>2.83</v>
      </c>
      <c r="T943">
        <v>13955.5</v>
      </c>
      <c r="U943">
        <v>39831.156000000003</v>
      </c>
      <c r="V943">
        <v>3.504</v>
      </c>
      <c r="W943" t="s">
        <v>401</v>
      </c>
      <c r="X943">
        <v>0.9</v>
      </c>
    </row>
    <row r="944" spans="1:24" x14ac:dyDescent="0.45">
      <c r="A944">
        <v>61</v>
      </c>
      <c r="B944">
        <v>61</v>
      </c>
      <c r="C944" t="s">
        <v>466</v>
      </c>
      <c r="D944" t="s">
        <v>414</v>
      </c>
      <c r="F944">
        <v>2.83</v>
      </c>
      <c r="G944">
        <v>14469.237999999999</v>
      </c>
      <c r="H944">
        <v>35823.042999999998</v>
      </c>
      <c r="I944">
        <v>4.0389999999999997</v>
      </c>
      <c r="J944" t="s">
        <v>401</v>
      </c>
      <c r="K944">
        <v>1</v>
      </c>
      <c r="N944">
        <v>61</v>
      </c>
      <c r="O944">
        <v>61</v>
      </c>
      <c r="P944" t="s">
        <v>571</v>
      </c>
      <c r="Q944" t="s">
        <v>414</v>
      </c>
      <c r="S944">
        <v>2.83</v>
      </c>
      <c r="T944">
        <v>8808.7909999999993</v>
      </c>
      <c r="U944">
        <v>24766.322</v>
      </c>
      <c r="V944">
        <v>3.5569999999999999</v>
      </c>
      <c r="W944" t="s">
        <v>412</v>
      </c>
      <c r="X944">
        <v>0.9</v>
      </c>
    </row>
    <row r="945" spans="1:25" x14ac:dyDescent="0.45">
      <c r="A945">
        <v>62</v>
      </c>
      <c r="B945">
        <v>62</v>
      </c>
      <c r="C945" t="s">
        <v>467</v>
      </c>
      <c r="D945" t="s">
        <v>414</v>
      </c>
      <c r="F945">
        <v>2.83</v>
      </c>
      <c r="G945">
        <v>13225.066000000001</v>
      </c>
      <c r="H945">
        <v>38068.190999999999</v>
      </c>
      <c r="I945">
        <v>3.4740000000000002</v>
      </c>
      <c r="J945" t="s">
        <v>415</v>
      </c>
      <c r="K945">
        <v>0.8</v>
      </c>
      <c r="N945">
        <v>62</v>
      </c>
      <c r="O945">
        <v>62</v>
      </c>
      <c r="P945" t="s">
        <v>572</v>
      </c>
      <c r="Q945" t="s">
        <v>414</v>
      </c>
      <c r="S945">
        <v>2.83</v>
      </c>
      <c r="T945">
        <v>6683.4059999999999</v>
      </c>
      <c r="U945">
        <v>21988.245999999999</v>
      </c>
      <c r="V945">
        <v>3.04</v>
      </c>
      <c r="W945" t="s">
        <v>401</v>
      </c>
      <c r="X945">
        <v>0.8</v>
      </c>
    </row>
    <row r="946" spans="1:25" x14ac:dyDescent="0.45">
      <c r="A946">
        <v>63</v>
      </c>
      <c r="B946">
        <v>63</v>
      </c>
      <c r="C946" t="s">
        <v>468</v>
      </c>
      <c r="D946" t="s">
        <v>414</v>
      </c>
      <c r="F946">
        <v>2.83</v>
      </c>
      <c r="G946">
        <v>13840.495999999999</v>
      </c>
      <c r="H946">
        <v>35791.434000000001</v>
      </c>
      <c r="I946">
        <v>3.867</v>
      </c>
      <c r="J946" t="s">
        <v>415</v>
      </c>
      <c r="K946">
        <v>0.9</v>
      </c>
      <c r="N946">
        <v>63</v>
      </c>
      <c r="O946">
        <v>63</v>
      </c>
      <c r="P946" t="s">
        <v>573</v>
      </c>
      <c r="Q946" t="s">
        <v>414</v>
      </c>
      <c r="S946">
        <v>2.82</v>
      </c>
      <c r="T946">
        <v>9393.7170000000006</v>
      </c>
      <c r="U946">
        <v>32068.280999999999</v>
      </c>
      <c r="V946">
        <v>2.9289999999999998</v>
      </c>
      <c r="W946" t="s">
        <v>401</v>
      </c>
      <c r="X946">
        <v>0.7</v>
      </c>
    </row>
    <row r="947" spans="1:25" x14ac:dyDescent="0.45">
      <c r="A947">
        <v>64</v>
      </c>
      <c r="B947">
        <v>64</v>
      </c>
      <c r="C947" t="s">
        <v>469</v>
      </c>
      <c r="D947" t="s">
        <v>414</v>
      </c>
      <c r="F947">
        <v>2.83</v>
      </c>
      <c r="G947">
        <v>12072.352000000001</v>
      </c>
      <c r="H947">
        <v>34964.07</v>
      </c>
      <c r="I947">
        <v>3.4529999999999998</v>
      </c>
      <c r="J947" t="s">
        <v>401</v>
      </c>
      <c r="K947">
        <v>0.8</v>
      </c>
      <c r="N947">
        <v>64</v>
      </c>
      <c r="O947">
        <v>64</v>
      </c>
      <c r="P947" t="s">
        <v>574</v>
      </c>
      <c r="Q947" t="s">
        <v>414</v>
      </c>
      <c r="S947">
        <v>2.82</v>
      </c>
      <c r="T947">
        <v>6995.0619999999999</v>
      </c>
      <c r="U947">
        <v>29612.971000000001</v>
      </c>
      <c r="V947">
        <v>2.3620000000000001</v>
      </c>
      <c r="W947" t="s">
        <v>412</v>
      </c>
      <c r="X947">
        <v>0.6</v>
      </c>
    </row>
    <row r="948" spans="1:25" x14ac:dyDescent="0.45">
      <c r="A948">
        <v>65</v>
      </c>
      <c r="B948">
        <v>65</v>
      </c>
      <c r="C948" t="s">
        <v>470</v>
      </c>
      <c r="D948" t="s">
        <v>414</v>
      </c>
      <c r="F948">
        <v>2.83</v>
      </c>
      <c r="G948">
        <v>12297.38</v>
      </c>
      <c r="H948">
        <v>30122.881000000001</v>
      </c>
      <c r="I948">
        <v>4.0819999999999999</v>
      </c>
      <c r="J948" t="s">
        <v>415</v>
      </c>
      <c r="K948">
        <v>1</v>
      </c>
      <c r="N948">
        <v>65</v>
      </c>
      <c r="O948">
        <v>65</v>
      </c>
      <c r="P948" t="s">
        <v>575</v>
      </c>
      <c r="Q948" t="s">
        <v>414</v>
      </c>
      <c r="S948">
        <v>2.82</v>
      </c>
      <c r="T948">
        <v>6992.4210000000003</v>
      </c>
      <c r="U948">
        <v>28570.973000000002</v>
      </c>
      <c r="V948">
        <v>2.4470000000000001</v>
      </c>
      <c r="W948" t="s">
        <v>415</v>
      </c>
      <c r="X948">
        <v>0.6</v>
      </c>
    </row>
    <row r="949" spans="1:25" x14ac:dyDescent="0.45">
      <c r="A949">
        <v>66</v>
      </c>
      <c r="B949">
        <v>66</v>
      </c>
      <c r="C949" t="s">
        <v>471</v>
      </c>
      <c r="D949" t="s">
        <v>414</v>
      </c>
      <c r="F949">
        <v>2.83</v>
      </c>
      <c r="G949">
        <v>13234.379000000001</v>
      </c>
      <c r="H949">
        <v>33010.277000000002</v>
      </c>
      <c r="I949">
        <v>4.0090000000000003</v>
      </c>
      <c r="J949" t="s">
        <v>403</v>
      </c>
      <c r="K949">
        <v>1</v>
      </c>
      <c r="N949">
        <v>66</v>
      </c>
      <c r="O949">
        <v>66</v>
      </c>
      <c r="P949" t="s">
        <v>576</v>
      </c>
      <c r="Q949" t="s">
        <v>414</v>
      </c>
      <c r="S949">
        <v>2.82</v>
      </c>
      <c r="T949">
        <v>7331.5209999999997</v>
      </c>
      <c r="U949">
        <v>28698.682000000001</v>
      </c>
      <c r="V949">
        <v>2.5550000000000002</v>
      </c>
      <c r="W949" t="s">
        <v>403</v>
      </c>
      <c r="X949">
        <v>0.6</v>
      </c>
    </row>
    <row r="950" spans="1:25" x14ac:dyDescent="0.45">
      <c r="A950">
        <v>67</v>
      </c>
      <c r="B950">
        <v>67</v>
      </c>
      <c r="C950" t="s">
        <v>472</v>
      </c>
      <c r="D950" t="s">
        <v>414</v>
      </c>
      <c r="F950">
        <v>2.83</v>
      </c>
      <c r="G950">
        <v>9443.7029999999995</v>
      </c>
      <c r="H950">
        <v>19649.723000000002</v>
      </c>
      <c r="I950">
        <v>4.806</v>
      </c>
      <c r="J950" t="s">
        <v>403</v>
      </c>
      <c r="K950">
        <v>1.2</v>
      </c>
      <c r="N950">
        <v>67</v>
      </c>
      <c r="O950">
        <v>67</v>
      </c>
      <c r="P950" t="s">
        <v>577</v>
      </c>
      <c r="Q950" t="s">
        <v>414</v>
      </c>
      <c r="S950">
        <v>2.82</v>
      </c>
      <c r="T950">
        <v>4880.2</v>
      </c>
      <c r="U950">
        <v>19813.550999999999</v>
      </c>
      <c r="V950">
        <v>2.4630000000000001</v>
      </c>
      <c r="W950" t="s">
        <v>412</v>
      </c>
      <c r="X950">
        <v>0.6</v>
      </c>
    </row>
    <row r="951" spans="1:25" x14ac:dyDescent="0.45">
      <c r="A951">
        <v>68</v>
      </c>
      <c r="B951">
        <v>68</v>
      </c>
      <c r="C951" t="s">
        <v>473</v>
      </c>
      <c r="D951" t="s">
        <v>414</v>
      </c>
      <c r="F951">
        <v>2.83</v>
      </c>
      <c r="G951">
        <v>11933.368</v>
      </c>
      <c r="H951">
        <v>28559.511999999999</v>
      </c>
      <c r="I951">
        <v>4.1779999999999999</v>
      </c>
      <c r="J951" t="s">
        <v>403</v>
      </c>
      <c r="K951">
        <v>1</v>
      </c>
      <c r="N951">
        <v>68</v>
      </c>
      <c r="O951">
        <v>68</v>
      </c>
      <c r="P951" t="s">
        <v>578</v>
      </c>
      <c r="Q951" t="s">
        <v>414</v>
      </c>
      <c r="S951">
        <v>2.82</v>
      </c>
      <c r="T951">
        <v>8491.6679999999997</v>
      </c>
      <c r="U951">
        <v>26488.107</v>
      </c>
      <c r="V951">
        <v>3.206</v>
      </c>
      <c r="W951" t="s">
        <v>403</v>
      </c>
      <c r="X951">
        <v>0.8</v>
      </c>
    </row>
    <row r="952" spans="1:25" x14ac:dyDescent="0.45">
      <c r="A952">
        <v>69</v>
      </c>
      <c r="B952">
        <v>69</v>
      </c>
      <c r="C952" t="s">
        <v>474</v>
      </c>
      <c r="D952" t="s">
        <v>414</v>
      </c>
      <c r="F952">
        <v>2.83</v>
      </c>
      <c r="G952">
        <v>15677.713</v>
      </c>
      <c r="H952">
        <v>36485.035000000003</v>
      </c>
      <c r="I952">
        <v>4.2969999999999997</v>
      </c>
      <c r="J952" t="s">
        <v>412</v>
      </c>
      <c r="K952">
        <v>1</v>
      </c>
      <c r="N952">
        <v>69</v>
      </c>
      <c r="O952">
        <v>69</v>
      </c>
      <c r="P952" t="s">
        <v>579</v>
      </c>
      <c r="Q952" t="s">
        <v>414</v>
      </c>
      <c r="S952">
        <v>2.82</v>
      </c>
      <c r="T952">
        <v>6160.5370000000003</v>
      </c>
      <c r="U952">
        <v>23743.311000000002</v>
      </c>
      <c r="V952">
        <v>2.5950000000000002</v>
      </c>
      <c r="W952" t="s">
        <v>412</v>
      </c>
      <c r="X952">
        <v>0.6</v>
      </c>
    </row>
    <row r="954" spans="1:25" x14ac:dyDescent="0.45">
      <c r="A954" t="s">
        <v>386</v>
      </c>
      <c r="N954" t="s">
        <v>386</v>
      </c>
    </row>
    <row r="956" spans="1:25" x14ac:dyDescent="0.45">
      <c r="A956" t="s">
        <v>653</v>
      </c>
      <c r="N956" t="s">
        <v>652</v>
      </c>
    </row>
    <row r="958" spans="1:25" x14ac:dyDescent="0.45">
      <c r="A958" t="s">
        <v>499</v>
      </c>
      <c r="N958" t="s">
        <v>499</v>
      </c>
    </row>
    <row r="960" spans="1:25" x14ac:dyDescent="0.45">
      <c r="B960" t="s">
        <v>389</v>
      </c>
      <c r="C960" t="s">
        <v>123</v>
      </c>
      <c r="D960" t="s">
        <v>390</v>
      </c>
      <c r="E960" t="s">
        <v>391</v>
      </c>
      <c r="F960" t="s">
        <v>392</v>
      </c>
      <c r="G960" t="s">
        <v>393</v>
      </c>
      <c r="H960" t="s">
        <v>394</v>
      </c>
      <c r="I960" t="s">
        <v>395</v>
      </c>
      <c r="J960" t="s">
        <v>396</v>
      </c>
      <c r="K960" t="s">
        <v>397</v>
      </c>
      <c r="L960" t="s">
        <v>398</v>
      </c>
      <c r="O960" t="s">
        <v>389</v>
      </c>
      <c r="P960" t="s">
        <v>123</v>
      </c>
      <c r="Q960" t="s">
        <v>390</v>
      </c>
      <c r="R960" t="s">
        <v>391</v>
      </c>
      <c r="S960" t="s">
        <v>392</v>
      </c>
      <c r="T960" t="s">
        <v>393</v>
      </c>
      <c r="U960" t="s">
        <v>394</v>
      </c>
      <c r="V960" t="s">
        <v>395</v>
      </c>
      <c r="W960" t="s">
        <v>396</v>
      </c>
      <c r="X960" t="s">
        <v>397</v>
      </c>
      <c r="Y960" t="s">
        <v>398</v>
      </c>
    </row>
    <row r="961" spans="1:25" x14ac:dyDescent="0.45">
      <c r="A961">
        <v>1</v>
      </c>
      <c r="B961">
        <v>1</v>
      </c>
      <c r="C961" t="s">
        <v>399</v>
      </c>
      <c r="D961" t="s">
        <v>400</v>
      </c>
      <c r="E961">
        <v>0.05</v>
      </c>
      <c r="F961">
        <v>2.78</v>
      </c>
      <c r="G961">
        <v>1093.529</v>
      </c>
      <c r="H961">
        <v>54757.120999999999</v>
      </c>
      <c r="I961">
        <v>0.2</v>
      </c>
      <c r="J961" t="s">
        <v>483</v>
      </c>
      <c r="N961">
        <v>1</v>
      </c>
      <c r="O961">
        <v>1</v>
      </c>
      <c r="P961" t="s">
        <v>511</v>
      </c>
      <c r="Q961" t="s">
        <v>400</v>
      </c>
      <c r="R961">
        <v>0.05</v>
      </c>
      <c r="S961">
        <v>2.78</v>
      </c>
      <c r="T961">
        <v>2912.973</v>
      </c>
      <c r="U961">
        <v>138715.5</v>
      </c>
      <c r="V961">
        <v>0.21</v>
      </c>
      <c r="W961" t="s">
        <v>478</v>
      </c>
    </row>
    <row r="962" spans="1:25" x14ac:dyDescent="0.45">
      <c r="A962">
        <v>2</v>
      </c>
      <c r="B962">
        <v>2</v>
      </c>
      <c r="C962" t="s">
        <v>402</v>
      </c>
      <c r="D962" t="s">
        <v>400</v>
      </c>
      <c r="E962">
        <v>0.5</v>
      </c>
      <c r="F962">
        <v>2.79</v>
      </c>
      <c r="G962">
        <v>6879.683</v>
      </c>
      <c r="H962">
        <v>68647.562999999995</v>
      </c>
      <c r="I962">
        <v>1.002</v>
      </c>
      <c r="J962" t="s">
        <v>412</v>
      </c>
      <c r="K962">
        <v>0.7</v>
      </c>
      <c r="L962">
        <v>34</v>
      </c>
      <c r="N962">
        <v>2</v>
      </c>
      <c r="O962">
        <v>2</v>
      </c>
      <c r="P962" t="s">
        <v>512</v>
      </c>
      <c r="Q962" t="s">
        <v>400</v>
      </c>
      <c r="R962">
        <v>0.5</v>
      </c>
      <c r="S962">
        <v>2.78</v>
      </c>
      <c r="T962">
        <v>10700.462</v>
      </c>
      <c r="U962">
        <v>139613.56299999999</v>
      </c>
      <c r="V962">
        <v>0.76600000000000001</v>
      </c>
      <c r="W962" t="s">
        <v>403</v>
      </c>
      <c r="X962">
        <v>0.6</v>
      </c>
      <c r="Y962">
        <v>20.2</v>
      </c>
    </row>
    <row r="963" spans="1:25" x14ac:dyDescent="0.45">
      <c r="A963">
        <v>3</v>
      </c>
      <c r="B963">
        <v>3</v>
      </c>
      <c r="C963" t="s">
        <v>404</v>
      </c>
      <c r="D963" t="s">
        <v>400</v>
      </c>
      <c r="E963">
        <v>1.25</v>
      </c>
      <c r="F963">
        <v>2.79</v>
      </c>
      <c r="G963">
        <v>16586.463</v>
      </c>
      <c r="H963">
        <v>82431.304999999993</v>
      </c>
      <c r="I963">
        <v>2.012</v>
      </c>
      <c r="J963" t="s">
        <v>491</v>
      </c>
      <c r="K963">
        <v>1.7</v>
      </c>
      <c r="L963">
        <v>36.299999999999997</v>
      </c>
      <c r="N963">
        <v>3</v>
      </c>
      <c r="O963">
        <v>3</v>
      </c>
      <c r="P963" t="s">
        <v>513</v>
      </c>
      <c r="Q963" t="s">
        <v>400</v>
      </c>
      <c r="R963">
        <v>1.25</v>
      </c>
      <c r="S963">
        <v>2.78</v>
      </c>
      <c r="T963">
        <v>22532.27</v>
      </c>
      <c r="U963">
        <v>137451.70300000001</v>
      </c>
      <c r="V963">
        <v>1.639</v>
      </c>
      <c r="W963" t="s">
        <v>491</v>
      </c>
      <c r="X963">
        <v>1.8</v>
      </c>
      <c r="Y963">
        <v>45.6</v>
      </c>
    </row>
    <row r="964" spans="1:25" x14ac:dyDescent="0.45">
      <c r="A964">
        <v>4</v>
      </c>
      <c r="B964">
        <v>4</v>
      </c>
      <c r="C964" t="s">
        <v>405</v>
      </c>
      <c r="D964" t="s">
        <v>400</v>
      </c>
      <c r="E964">
        <v>2.5</v>
      </c>
      <c r="F964">
        <v>2.79</v>
      </c>
      <c r="G964">
        <v>27756.043000000001</v>
      </c>
      <c r="H964">
        <v>93451.562999999995</v>
      </c>
      <c r="I964">
        <v>2.97</v>
      </c>
      <c r="J964" t="s">
        <v>403</v>
      </c>
      <c r="K964">
        <v>2.7</v>
      </c>
      <c r="L964">
        <v>7.4</v>
      </c>
      <c r="N964">
        <v>4</v>
      </c>
      <c r="O964">
        <v>4</v>
      </c>
      <c r="P964" t="s">
        <v>514</v>
      </c>
      <c r="Q964" t="s">
        <v>400</v>
      </c>
      <c r="R964">
        <v>2.5</v>
      </c>
      <c r="S964">
        <v>2.78</v>
      </c>
      <c r="T964">
        <v>28599.221000000001</v>
      </c>
      <c r="U964">
        <v>127404.773</v>
      </c>
      <c r="V964">
        <v>2.2450000000000001</v>
      </c>
      <c r="W964" t="s">
        <v>403</v>
      </c>
      <c r="X964">
        <v>2.7</v>
      </c>
      <c r="Y964">
        <v>6.6</v>
      </c>
    </row>
    <row r="965" spans="1:25" x14ac:dyDescent="0.45">
      <c r="A965">
        <v>5</v>
      </c>
      <c r="B965">
        <v>5</v>
      </c>
      <c r="C965" t="s">
        <v>406</v>
      </c>
      <c r="D965" t="s">
        <v>400</v>
      </c>
      <c r="E965">
        <v>3.5</v>
      </c>
      <c r="F965">
        <v>2.79</v>
      </c>
      <c r="G965">
        <v>38295.964999999997</v>
      </c>
      <c r="H965">
        <v>105865.648</v>
      </c>
      <c r="I965">
        <v>3.617</v>
      </c>
      <c r="J965" t="s">
        <v>403</v>
      </c>
      <c r="K965">
        <v>3.3</v>
      </c>
      <c r="L965">
        <v>-4.4000000000000004</v>
      </c>
      <c r="N965">
        <v>5</v>
      </c>
      <c r="O965">
        <v>5</v>
      </c>
      <c r="P965" t="s">
        <v>515</v>
      </c>
      <c r="Q965" t="s">
        <v>400</v>
      </c>
      <c r="R965">
        <v>3.5</v>
      </c>
      <c r="S965">
        <v>2.78</v>
      </c>
      <c r="T965">
        <v>37807.233999999997</v>
      </c>
      <c r="U965">
        <v>127694.93799999999</v>
      </c>
      <c r="V965">
        <v>2.9609999999999999</v>
      </c>
      <c r="W965" t="s">
        <v>403</v>
      </c>
      <c r="X965">
        <v>3.7</v>
      </c>
      <c r="Y965">
        <v>4.7</v>
      </c>
    </row>
    <row r="966" spans="1:25" x14ac:dyDescent="0.45">
      <c r="A966">
        <v>6</v>
      </c>
      <c r="B966">
        <v>6</v>
      </c>
      <c r="C966" t="s">
        <v>407</v>
      </c>
      <c r="D966" t="s">
        <v>400</v>
      </c>
      <c r="E966">
        <v>5</v>
      </c>
      <c r="F966">
        <v>2.79</v>
      </c>
      <c r="G966">
        <v>49325.402000000002</v>
      </c>
      <c r="H966">
        <v>118528.32000000001</v>
      </c>
      <c r="I966">
        <v>4.1609999999999996</v>
      </c>
      <c r="J966" t="s">
        <v>491</v>
      </c>
      <c r="K966">
        <v>3.9</v>
      </c>
      <c r="L966">
        <v>-21.9</v>
      </c>
      <c r="N966">
        <v>6</v>
      </c>
      <c r="O966">
        <v>6</v>
      </c>
      <c r="P966" t="s">
        <v>516</v>
      </c>
      <c r="Q966" t="s">
        <v>400</v>
      </c>
      <c r="R966">
        <v>5</v>
      </c>
      <c r="S966">
        <v>2.78</v>
      </c>
      <c r="T966">
        <v>46933.523000000001</v>
      </c>
      <c r="U966">
        <v>124542.516</v>
      </c>
      <c r="V966">
        <v>3.7679999999999998</v>
      </c>
      <c r="W966" t="s">
        <v>403</v>
      </c>
      <c r="X966">
        <v>4.8</v>
      </c>
      <c r="Y966">
        <v>-4.0999999999999996</v>
      </c>
    </row>
    <row r="967" spans="1:25" x14ac:dyDescent="0.45">
      <c r="A967">
        <v>7</v>
      </c>
      <c r="B967">
        <v>7</v>
      </c>
      <c r="C967" t="s">
        <v>408</v>
      </c>
      <c r="D967" t="s">
        <v>400</v>
      </c>
      <c r="E967">
        <v>7</v>
      </c>
      <c r="F967">
        <v>2.79</v>
      </c>
      <c r="G967">
        <v>62021.851999999999</v>
      </c>
      <c r="H967">
        <v>126230.219</v>
      </c>
      <c r="I967">
        <v>4.9130000000000003</v>
      </c>
      <c r="J967" t="s">
        <v>491</v>
      </c>
      <c r="K967">
        <v>4.7</v>
      </c>
      <c r="L967">
        <v>-33.200000000000003</v>
      </c>
      <c r="N967">
        <v>7</v>
      </c>
      <c r="O967">
        <v>7</v>
      </c>
      <c r="P967" t="s">
        <v>517</v>
      </c>
      <c r="Q967" t="s">
        <v>400</v>
      </c>
      <c r="R967">
        <v>7</v>
      </c>
      <c r="S967">
        <v>2.78</v>
      </c>
      <c r="T967">
        <v>57183.065999999999</v>
      </c>
      <c r="U967">
        <v>123471.383</v>
      </c>
      <c r="V967">
        <v>4.6310000000000002</v>
      </c>
      <c r="W967" t="s">
        <v>491</v>
      </c>
      <c r="X967">
        <v>6</v>
      </c>
      <c r="Y967">
        <v>-14.3</v>
      </c>
    </row>
    <row r="968" spans="1:25" x14ac:dyDescent="0.45">
      <c r="A968">
        <v>8</v>
      </c>
      <c r="B968">
        <v>8</v>
      </c>
      <c r="C968" t="s">
        <v>409</v>
      </c>
      <c r="D968" t="s">
        <v>410</v>
      </c>
      <c r="F968">
        <v>4.12</v>
      </c>
      <c r="G968">
        <v>3203.915</v>
      </c>
      <c r="H968">
        <v>7635.74</v>
      </c>
      <c r="I968">
        <v>4.1959999999999997</v>
      </c>
      <c r="J968" t="s">
        <v>403</v>
      </c>
      <c r="K968">
        <v>3.9</v>
      </c>
      <c r="N968">
        <v>8</v>
      </c>
      <c r="O968">
        <v>8</v>
      </c>
      <c r="P968" t="s">
        <v>518</v>
      </c>
      <c r="Q968" t="s">
        <v>410</v>
      </c>
      <c r="S968">
        <v>2.8</v>
      </c>
      <c r="T968">
        <v>4640.6570000000002</v>
      </c>
      <c r="U968">
        <v>354.48</v>
      </c>
      <c r="V968">
        <v>130.91399999999999</v>
      </c>
      <c r="W968" t="s">
        <v>403</v>
      </c>
      <c r="X968">
        <v>182.3</v>
      </c>
    </row>
    <row r="969" spans="1:25" x14ac:dyDescent="0.45">
      <c r="A969">
        <v>9</v>
      </c>
      <c r="B969">
        <v>9</v>
      </c>
      <c r="C969" t="s">
        <v>411</v>
      </c>
      <c r="D969" t="s">
        <v>410</v>
      </c>
      <c r="F969">
        <v>4.01</v>
      </c>
      <c r="G969">
        <v>4204.04</v>
      </c>
      <c r="H969">
        <v>9386.8430000000008</v>
      </c>
      <c r="I969">
        <v>4.4790000000000001</v>
      </c>
      <c r="J969" t="s">
        <v>401</v>
      </c>
      <c r="K969">
        <v>4.2</v>
      </c>
      <c r="N969">
        <v>9</v>
      </c>
      <c r="O969">
        <v>9</v>
      </c>
      <c r="P969" t="s">
        <v>519</v>
      </c>
      <c r="Q969" t="s">
        <v>410</v>
      </c>
      <c r="S969">
        <v>4.12</v>
      </c>
      <c r="T969">
        <v>8261.4650000000001</v>
      </c>
      <c r="U969">
        <v>329.17399999999998</v>
      </c>
      <c r="V969">
        <v>250.976</v>
      </c>
      <c r="W969" t="s">
        <v>403</v>
      </c>
      <c r="X969">
        <v>350</v>
      </c>
    </row>
    <row r="970" spans="1:25" x14ac:dyDescent="0.45">
      <c r="A970">
        <v>10</v>
      </c>
      <c r="B970">
        <v>10</v>
      </c>
      <c r="C970" t="s">
        <v>413</v>
      </c>
      <c r="D970" t="s">
        <v>414</v>
      </c>
      <c r="F970">
        <v>2.78</v>
      </c>
      <c r="G970">
        <v>5388.7120000000004</v>
      </c>
      <c r="H970">
        <v>36198.711000000003</v>
      </c>
      <c r="I970">
        <v>1.4890000000000001</v>
      </c>
      <c r="J970" t="s">
        <v>403</v>
      </c>
      <c r="K970">
        <v>1.2</v>
      </c>
      <c r="N970">
        <v>10</v>
      </c>
      <c r="O970">
        <v>10</v>
      </c>
      <c r="P970" t="s">
        <v>520</v>
      </c>
      <c r="Q970" t="s">
        <v>414</v>
      </c>
      <c r="S970">
        <v>2.78</v>
      </c>
      <c r="T970">
        <v>9545.7710000000006</v>
      </c>
      <c r="U970">
        <v>65575.851999999999</v>
      </c>
      <c r="V970">
        <v>1.456</v>
      </c>
      <c r="W970" t="s">
        <v>403</v>
      </c>
      <c r="X970">
        <v>1.6</v>
      </c>
    </row>
    <row r="971" spans="1:25" x14ac:dyDescent="0.45">
      <c r="A971">
        <v>11</v>
      </c>
      <c r="B971">
        <v>11</v>
      </c>
      <c r="C971" t="s">
        <v>416</v>
      </c>
      <c r="D971" t="s">
        <v>414</v>
      </c>
      <c r="F971">
        <v>2.78</v>
      </c>
      <c r="G971">
        <v>2825.1030000000001</v>
      </c>
      <c r="H971">
        <v>37259.983999999997</v>
      </c>
      <c r="I971">
        <v>0.75800000000000001</v>
      </c>
      <c r="J971" t="s">
        <v>488</v>
      </c>
      <c r="K971">
        <v>0.4</v>
      </c>
      <c r="N971">
        <v>11</v>
      </c>
      <c r="O971">
        <v>11</v>
      </c>
      <c r="P971" t="s">
        <v>521</v>
      </c>
      <c r="Q971" t="s">
        <v>414</v>
      </c>
      <c r="S971">
        <v>2.78</v>
      </c>
      <c r="T971">
        <v>4717.9399999999996</v>
      </c>
      <c r="U971">
        <v>31911.914000000001</v>
      </c>
      <c r="V971">
        <v>1.478</v>
      </c>
      <c r="W971" t="s">
        <v>403</v>
      </c>
      <c r="X971">
        <v>1.6</v>
      </c>
    </row>
    <row r="972" spans="1:25" x14ac:dyDescent="0.45">
      <c r="A972">
        <v>12</v>
      </c>
      <c r="B972">
        <v>12</v>
      </c>
      <c r="C972" t="s">
        <v>417</v>
      </c>
      <c r="D972" t="s">
        <v>414</v>
      </c>
      <c r="F972">
        <v>2.79</v>
      </c>
      <c r="G972">
        <v>5154.9949999999999</v>
      </c>
      <c r="H972">
        <v>29153.873</v>
      </c>
      <c r="I972">
        <v>1.768</v>
      </c>
      <c r="J972" t="s">
        <v>403</v>
      </c>
      <c r="K972">
        <v>1.5</v>
      </c>
      <c r="N972">
        <v>12</v>
      </c>
      <c r="O972">
        <v>12</v>
      </c>
      <c r="P972" t="s">
        <v>522</v>
      </c>
      <c r="Q972" t="s">
        <v>414</v>
      </c>
      <c r="S972">
        <v>2.78</v>
      </c>
      <c r="T972">
        <v>2449.163</v>
      </c>
      <c r="U972">
        <v>26627.116999999998</v>
      </c>
      <c r="V972">
        <v>0.92</v>
      </c>
      <c r="W972" t="s">
        <v>488</v>
      </c>
      <c r="X972">
        <v>0.8</v>
      </c>
    </row>
    <row r="973" spans="1:25" x14ac:dyDescent="0.45">
      <c r="A973">
        <v>13</v>
      </c>
      <c r="B973">
        <v>13</v>
      </c>
      <c r="C973" t="s">
        <v>418</v>
      </c>
      <c r="D973" t="s">
        <v>414</v>
      </c>
      <c r="F973">
        <v>2.78</v>
      </c>
      <c r="G973">
        <v>1631.617</v>
      </c>
      <c r="H973">
        <v>28852.092000000001</v>
      </c>
      <c r="I973">
        <v>0.56599999999999995</v>
      </c>
      <c r="J973" t="s">
        <v>488</v>
      </c>
      <c r="K973">
        <v>0.2</v>
      </c>
      <c r="N973">
        <v>13</v>
      </c>
      <c r="O973">
        <v>13</v>
      </c>
      <c r="P973" t="s">
        <v>523</v>
      </c>
      <c r="Q973" t="s">
        <v>414</v>
      </c>
      <c r="S973">
        <v>2.78</v>
      </c>
      <c r="T973">
        <v>7559.357</v>
      </c>
      <c r="U973">
        <v>41929.008000000002</v>
      </c>
      <c r="V973">
        <v>1.8029999999999999</v>
      </c>
      <c r="W973" t="s">
        <v>403</v>
      </c>
      <c r="X973">
        <v>2</v>
      </c>
    </row>
    <row r="974" spans="1:25" x14ac:dyDescent="0.45">
      <c r="A974">
        <v>14</v>
      </c>
      <c r="B974">
        <v>14</v>
      </c>
      <c r="C974" t="s">
        <v>419</v>
      </c>
      <c r="D974" t="s">
        <v>414</v>
      </c>
      <c r="F974">
        <v>2.78</v>
      </c>
      <c r="G974">
        <v>2160.3649999999998</v>
      </c>
      <c r="H974">
        <v>47779.652000000002</v>
      </c>
      <c r="I974">
        <v>0.45200000000000001</v>
      </c>
      <c r="J974" t="s">
        <v>488</v>
      </c>
      <c r="K974">
        <v>0.1</v>
      </c>
      <c r="N974">
        <v>14</v>
      </c>
      <c r="O974">
        <v>14</v>
      </c>
      <c r="P974" t="s">
        <v>524</v>
      </c>
      <c r="Q974" t="s">
        <v>414</v>
      </c>
      <c r="S974">
        <v>2.78</v>
      </c>
      <c r="T974">
        <v>3852.0079999999998</v>
      </c>
      <c r="U974">
        <v>26629.145</v>
      </c>
      <c r="V974">
        <v>1.4470000000000001</v>
      </c>
      <c r="W974" t="s">
        <v>488</v>
      </c>
      <c r="X974">
        <v>1.6</v>
      </c>
    </row>
    <row r="975" spans="1:25" x14ac:dyDescent="0.45">
      <c r="A975">
        <v>15</v>
      </c>
      <c r="B975">
        <v>15</v>
      </c>
      <c r="C975" t="s">
        <v>420</v>
      </c>
      <c r="D975" t="s">
        <v>414</v>
      </c>
      <c r="F975">
        <v>2.78</v>
      </c>
      <c r="G975">
        <v>4356.9350000000004</v>
      </c>
      <c r="H975">
        <v>41973.648000000001</v>
      </c>
      <c r="I975">
        <v>1.038</v>
      </c>
      <c r="J975" t="s">
        <v>403</v>
      </c>
      <c r="K975">
        <v>0.7</v>
      </c>
      <c r="N975">
        <v>15</v>
      </c>
      <c r="O975">
        <v>15</v>
      </c>
      <c r="P975" t="s">
        <v>525</v>
      </c>
      <c r="Q975" t="s">
        <v>414</v>
      </c>
      <c r="S975">
        <v>2.78</v>
      </c>
      <c r="T975">
        <v>4708.5590000000002</v>
      </c>
      <c r="U975">
        <v>29385.945</v>
      </c>
      <c r="V975">
        <v>1.6020000000000001</v>
      </c>
      <c r="W975" t="s">
        <v>403</v>
      </c>
      <c r="X975">
        <v>1.8</v>
      </c>
    </row>
    <row r="976" spans="1:25" x14ac:dyDescent="0.45">
      <c r="A976">
        <v>16</v>
      </c>
      <c r="B976">
        <v>16</v>
      </c>
      <c r="C976" t="s">
        <v>421</v>
      </c>
      <c r="D976" t="s">
        <v>414</v>
      </c>
      <c r="F976">
        <v>2.79</v>
      </c>
      <c r="G976">
        <v>3719.9029999999998</v>
      </c>
      <c r="H976">
        <v>44841.082000000002</v>
      </c>
      <c r="I976">
        <v>0.83</v>
      </c>
      <c r="J976" t="s">
        <v>403</v>
      </c>
      <c r="K976">
        <v>0.5</v>
      </c>
      <c r="N976">
        <v>16</v>
      </c>
      <c r="O976">
        <v>16</v>
      </c>
      <c r="P976" t="s">
        <v>526</v>
      </c>
      <c r="Q976" t="s">
        <v>414</v>
      </c>
      <c r="S976">
        <v>2.77</v>
      </c>
      <c r="T976">
        <v>6377.2179999999998</v>
      </c>
      <c r="U976">
        <v>45724.652000000002</v>
      </c>
      <c r="V976">
        <v>1.395</v>
      </c>
      <c r="W976" t="s">
        <v>403</v>
      </c>
      <c r="X976">
        <v>1.5</v>
      </c>
    </row>
    <row r="977" spans="1:24" x14ac:dyDescent="0.45">
      <c r="A977">
        <v>17</v>
      </c>
      <c r="B977">
        <v>17</v>
      </c>
      <c r="C977" t="s">
        <v>422</v>
      </c>
      <c r="D977" t="s">
        <v>414</v>
      </c>
      <c r="F977">
        <v>2.78</v>
      </c>
      <c r="G977">
        <v>2120.5700000000002</v>
      </c>
      <c r="H977">
        <v>44476.762000000002</v>
      </c>
      <c r="I977">
        <v>0.47699999999999998</v>
      </c>
      <c r="J977" t="s">
        <v>488</v>
      </c>
      <c r="K977">
        <v>0.1</v>
      </c>
      <c r="N977">
        <v>17</v>
      </c>
      <c r="O977">
        <v>17</v>
      </c>
      <c r="P977" t="s">
        <v>527</v>
      </c>
      <c r="Q977" t="s">
        <v>414</v>
      </c>
      <c r="S977">
        <v>2.78</v>
      </c>
      <c r="T977">
        <v>2521.0590000000002</v>
      </c>
      <c r="U977">
        <v>27573.828000000001</v>
      </c>
      <c r="V977">
        <v>0.91400000000000003</v>
      </c>
      <c r="W977" t="s">
        <v>488</v>
      </c>
      <c r="X977">
        <v>0.8</v>
      </c>
    </row>
    <row r="978" spans="1:24" x14ac:dyDescent="0.45">
      <c r="A978">
        <v>18</v>
      </c>
      <c r="B978">
        <v>18</v>
      </c>
      <c r="C978" t="s">
        <v>423</v>
      </c>
      <c r="D978" t="s">
        <v>414</v>
      </c>
      <c r="F978">
        <v>2.79</v>
      </c>
      <c r="G978">
        <v>2965.701</v>
      </c>
      <c r="H978">
        <v>47677.940999999999</v>
      </c>
      <c r="I978">
        <v>0.622</v>
      </c>
      <c r="J978" t="s">
        <v>488</v>
      </c>
      <c r="K978">
        <v>0.3</v>
      </c>
      <c r="N978">
        <v>18</v>
      </c>
      <c r="O978">
        <v>18</v>
      </c>
      <c r="P978" t="s">
        <v>528</v>
      </c>
      <c r="Q978" t="s">
        <v>414</v>
      </c>
      <c r="S978">
        <v>2.78</v>
      </c>
      <c r="T978">
        <v>6134.7460000000001</v>
      </c>
      <c r="U978">
        <v>32794.449000000001</v>
      </c>
      <c r="V978">
        <v>1.871</v>
      </c>
      <c r="W978" t="s">
        <v>403</v>
      </c>
      <c r="X978">
        <v>2.1</v>
      </c>
    </row>
    <row r="979" spans="1:24" x14ac:dyDescent="0.45">
      <c r="A979">
        <v>19</v>
      </c>
      <c r="B979">
        <v>19</v>
      </c>
      <c r="C979" t="s">
        <v>424</v>
      </c>
      <c r="D979" t="s">
        <v>414</v>
      </c>
      <c r="F979">
        <v>2.79</v>
      </c>
      <c r="G979">
        <v>4738.0820000000003</v>
      </c>
      <c r="H979">
        <v>47722.449000000001</v>
      </c>
      <c r="I979">
        <v>0.99299999999999999</v>
      </c>
      <c r="J979" t="s">
        <v>403</v>
      </c>
      <c r="K979">
        <v>0.7</v>
      </c>
      <c r="N979">
        <v>19</v>
      </c>
      <c r="O979">
        <v>19</v>
      </c>
      <c r="P979" t="s">
        <v>529</v>
      </c>
      <c r="Q979" t="s">
        <v>414</v>
      </c>
      <c r="S979">
        <v>2.78</v>
      </c>
      <c r="T979">
        <v>6544.2939999999999</v>
      </c>
      <c r="U979">
        <v>57897.152000000002</v>
      </c>
      <c r="V979">
        <v>1.1299999999999999</v>
      </c>
      <c r="W979" t="s">
        <v>403</v>
      </c>
      <c r="X979">
        <v>1.1000000000000001</v>
      </c>
    </row>
    <row r="980" spans="1:24" x14ac:dyDescent="0.45">
      <c r="A980">
        <v>20</v>
      </c>
      <c r="B980">
        <v>20</v>
      </c>
      <c r="C980" t="s">
        <v>425</v>
      </c>
      <c r="D980" t="s">
        <v>414</v>
      </c>
      <c r="F980">
        <v>2.79</v>
      </c>
      <c r="G980">
        <v>1706.838</v>
      </c>
      <c r="H980">
        <v>31126.537</v>
      </c>
      <c r="I980">
        <v>0.54800000000000004</v>
      </c>
      <c r="J980" t="s">
        <v>488</v>
      </c>
      <c r="K980">
        <v>0.2</v>
      </c>
      <c r="N980">
        <v>20</v>
      </c>
      <c r="O980">
        <v>20</v>
      </c>
      <c r="P980" t="s">
        <v>530</v>
      </c>
      <c r="Q980" t="s">
        <v>414</v>
      </c>
      <c r="S980">
        <v>2.78</v>
      </c>
      <c r="T980">
        <v>6127.2730000000001</v>
      </c>
      <c r="U980">
        <v>29653.035</v>
      </c>
      <c r="V980">
        <v>2.0659999999999998</v>
      </c>
      <c r="W980" t="s">
        <v>403</v>
      </c>
      <c r="X980">
        <v>2.4</v>
      </c>
    </row>
    <row r="981" spans="1:24" x14ac:dyDescent="0.45">
      <c r="A981">
        <v>21</v>
      </c>
      <c r="B981">
        <v>21</v>
      </c>
      <c r="C981" t="s">
        <v>426</v>
      </c>
      <c r="D981" t="s">
        <v>414</v>
      </c>
      <c r="F981">
        <v>2.79</v>
      </c>
      <c r="G981">
        <v>3345.915</v>
      </c>
      <c r="H981">
        <v>46073.02</v>
      </c>
      <c r="I981">
        <v>0.72599999999999998</v>
      </c>
      <c r="J981" t="s">
        <v>403</v>
      </c>
      <c r="K981">
        <v>0.4</v>
      </c>
      <c r="N981">
        <v>21</v>
      </c>
      <c r="O981">
        <v>21</v>
      </c>
      <c r="P981" t="s">
        <v>531</v>
      </c>
      <c r="Q981" t="s">
        <v>414</v>
      </c>
      <c r="S981">
        <v>2.78</v>
      </c>
      <c r="T981">
        <v>1917.229</v>
      </c>
      <c r="U981">
        <v>29433.728999999999</v>
      </c>
      <c r="V981">
        <v>0.65100000000000002</v>
      </c>
      <c r="W981" t="s">
        <v>488</v>
      </c>
      <c r="X981">
        <v>0.4</v>
      </c>
    </row>
    <row r="982" spans="1:24" x14ac:dyDescent="0.45">
      <c r="A982">
        <v>22</v>
      </c>
      <c r="B982">
        <v>22</v>
      </c>
      <c r="C982" t="s">
        <v>427</v>
      </c>
      <c r="D982" t="s">
        <v>414</v>
      </c>
      <c r="F982">
        <v>2.79</v>
      </c>
      <c r="G982">
        <v>4285.4989999999998</v>
      </c>
      <c r="H982">
        <v>22960.187999999998</v>
      </c>
      <c r="I982">
        <v>1.8660000000000001</v>
      </c>
      <c r="J982" t="s">
        <v>403</v>
      </c>
      <c r="K982">
        <v>1.6</v>
      </c>
      <c r="N982">
        <v>22</v>
      </c>
      <c r="O982">
        <v>22</v>
      </c>
      <c r="P982" t="s">
        <v>532</v>
      </c>
      <c r="Q982" t="s">
        <v>414</v>
      </c>
      <c r="S982">
        <v>2.78</v>
      </c>
      <c r="T982">
        <v>4714.9520000000002</v>
      </c>
      <c r="U982">
        <v>34721.004000000001</v>
      </c>
      <c r="V982">
        <v>1.3580000000000001</v>
      </c>
      <c r="W982" t="s">
        <v>403</v>
      </c>
      <c r="X982">
        <v>1.4</v>
      </c>
    </row>
    <row r="983" spans="1:24" x14ac:dyDescent="0.45">
      <c r="A983">
        <v>23</v>
      </c>
      <c r="B983">
        <v>23</v>
      </c>
      <c r="C983" t="s">
        <v>428</v>
      </c>
      <c r="D983" t="s">
        <v>414</v>
      </c>
      <c r="F983">
        <v>2.79</v>
      </c>
      <c r="G983">
        <v>1872.7929999999999</v>
      </c>
      <c r="H983">
        <v>26251.32</v>
      </c>
      <c r="I983">
        <v>0.71299999999999997</v>
      </c>
      <c r="J983" t="s">
        <v>488</v>
      </c>
      <c r="K983">
        <v>0.4</v>
      </c>
      <c r="N983">
        <v>23</v>
      </c>
      <c r="O983">
        <v>23</v>
      </c>
      <c r="P983" t="s">
        <v>533</v>
      </c>
      <c r="Q983" t="s">
        <v>414</v>
      </c>
      <c r="S983">
        <v>2.78</v>
      </c>
      <c r="T983">
        <v>6458.17</v>
      </c>
      <c r="U983">
        <v>38887.836000000003</v>
      </c>
      <c r="V983">
        <v>1.661</v>
      </c>
      <c r="W983" t="s">
        <v>403</v>
      </c>
      <c r="X983">
        <v>1.9</v>
      </c>
    </row>
    <row r="984" spans="1:24" x14ac:dyDescent="0.45">
      <c r="A984">
        <v>24</v>
      </c>
      <c r="B984">
        <v>24</v>
      </c>
      <c r="C984" t="s">
        <v>429</v>
      </c>
      <c r="D984" t="s">
        <v>414</v>
      </c>
      <c r="F984">
        <v>2.78</v>
      </c>
      <c r="G984">
        <v>1923.49</v>
      </c>
      <c r="H984">
        <v>31467.695</v>
      </c>
      <c r="I984">
        <v>0.61099999999999999</v>
      </c>
      <c r="J984" t="s">
        <v>488</v>
      </c>
      <c r="K984">
        <v>0.3</v>
      </c>
      <c r="N984">
        <v>24</v>
      </c>
      <c r="O984">
        <v>24</v>
      </c>
      <c r="P984" t="s">
        <v>534</v>
      </c>
      <c r="Q984" t="s">
        <v>414</v>
      </c>
      <c r="S984">
        <v>2.78</v>
      </c>
      <c r="T984">
        <v>2964.123</v>
      </c>
      <c r="U984">
        <v>34815.644999999997</v>
      </c>
      <c r="V984">
        <v>0.85099999999999998</v>
      </c>
      <c r="W984" t="s">
        <v>488</v>
      </c>
      <c r="X984">
        <v>0.7</v>
      </c>
    </row>
    <row r="985" spans="1:24" x14ac:dyDescent="0.45">
      <c r="A985">
        <v>25</v>
      </c>
      <c r="B985">
        <v>25</v>
      </c>
      <c r="C985" t="s">
        <v>430</v>
      </c>
      <c r="D985" t="s">
        <v>414</v>
      </c>
      <c r="F985">
        <v>2.79</v>
      </c>
      <c r="G985">
        <v>3800.07</v>
      </c>
      <c r="H985">
        <v>33507.792999999998</v>
      </c>
      <c r="I985">
        <v>1.1339999999999999</v>
      </c>
      <c r="J985" t="s">
        <v>403</v>
      </c>
      <c r="K985">
        <v>0.8</v>
      </c>
      <c r="N985">
        <v>25</v>
      </c>
      <c r="O985">
        <v>25</v>
      </c>
      <c r="P985" t="s">
        <v>535</v>
      </c>
      <c r="Q985" t="s">
        <v>414</v>
      </c>
      <c r="S985">
        <v>2.78</v>
      </c>
      <c r="T985">
        <v>6123.0860000000002</v>
      </c>
      <c r="U985">
        <v>48963.288999999997</v>
      </c>
      <c r="V985">
        <v>1.2509999999999999</v>
      </c>
      <c r="W985" t="s">
        <v>403</v>
      </c>
      <c r="X985">
        <v>1.3</v>
      </c>
    </row>
    <row r="986" spans="1:24" x14ac:dyDescent="0.45">
      <c r="A986">
        <v>26</v>
      </c>
      <c r="B986">
        <v>26</v>
      </c>
      <c r="C986" t="s">
        <v>431</v>
      </c>
      <c r="D986" t="s">
        <v>414</v>
      </c>
      <c r="F986">
        <v>2.79</v>
      </c>
      <c r="G986">
        <v>4060.1619999999998</v>
      </c>
      <c r="H986">
        <v>30449.791000000001</v>
      </c>
      <c r="I986">
        <v>1.333</v>
      </c>
      <c r="J986" t="s">
        <v>403</v>
      </c>
      <c r="K986">
        <v>1</v>
      </c>
      <c r="N986">
        <v>26</v>
      </c>
      <c r="O986">
        <v>26</v>
      </c>
      <c r="P986" t="s">
        <v>536</v>
      </c>
      <c r="Q986" t="s">
        <v>414</v>
      </c>
      <c r="S986">
        <v>2.78</v>
      </c>
      <c r="T986">
        <v>4945.6400000000003</v>
      </c>
      <c r="U986">
        <v>25055.787</v>
      </c>
      <c r="V986">
        <v>1.974</v>
      </c>
      <c r="W986" t="s">
        <v>403</v>
      </c>
      <c r="X986">
        <v>2.2999999999999998</v>
      </c>
    </row>
    <row r="987" spans="1:24" x14ac:dyDescent="0.45">
      <c r="A987">
        <v>27</v>
      </c>
      <c r="B987">
        <v>27</v>
      </c>
      <c r="C987" t="s">
        <v>432</v>
      </c>
      <c r="D987" t="s">
        <v>414</v>
      </c>
      <c r="F987">
        <v>2.78</v>
      </c>
      <c r="G987">
        <v>4740.3130000000001</v>
      </c>
      <c r="H987">
        <v>28251.775000000001</v>
      </c>
      <c r="I987">
        <v>1.6779999999999999</v>
      </c>
      <c r="J987" t="s">
        <v>403</v>
      </c>
      <c r="K987">
        <v>1.4</v>
      </c>
      <c r="N987">
        <v>27</v>
      </c>
      <c r="O987">
        <v>27</v>
      </c>
      <c r="P987" t="s">
        <v>537</v>
      </c>
      <c r="Q987" t="s">
        <v>414</v>
      </c>
      <c r="S987">
        <v>2.78</v>
      </c>
      <c r="T987">
        <v>2820.8029999999999</v>
      </c>
      <c r="U987">
        <v>21222.025000000001</v>
      </c>
      <c r="V987">
        <v>1.329</v>
      </c>
      <c r="W987" t="s">
        <v>488</v>
      </c>
      <c r="X987">
        <v>1.4</v>
      </c>
    </row>
    <row r="988" spans="1:24" x14ac:dyDescent="0.45">
      <c r="A988">
        <v>28</v>
      </c>
      <c r="B988">
        <v>28</v>
      </c>
      <c r="C988" t="s">
        <v>433</v>
      </c>
      <c r="D988" t="s">
        <v>414</v>
      </c>
      <c r="F988">
        <v>2.79</v>
      </c>
      <c r="G988">
        <v>2737.8470000000002</v>
      </c>
      <c r="H988">
        <v>33173.711000000003</v>
      </c>
      <c r="I988">
        <v>0.82499999999999996</v>
      </c>
      <c r="J988" t="s">
        <v>488</v>
      </c>
      <c r="K988">
        <v>0.5</v>
      </c>
      <c r="N988">
        <v>28</v>
      </c>
      <c r="O988">
        <v>28</v>
      </c>
      <c r="P988" t="s">
        <v>538</v>
      </c>
      <c r="Q988" t="s">
        <v>414</v>
      </c>
      <c r="S988">
        <v>2.78</v>
      </c>
      <c r="T988">
        <v>2628.42</v>
      </c>
      <c r="U988">
        <v>29085.828000000001</v>
      </c>
      <c r="V988">
        <v>0.90400000000000003</v>
      </c>
      <c r="W988" t="s">
        <v>488</v>
      </c>
      <c r="X988">
        <v>0.8</v>
      </c>
    </row>
    <row r="989" spans="1:24" x14ac:dyDescent="0.45">
      <c r="A989">
        <v>29</v>
      </c>
      <c r="B989">
        <v>29</v>
      </c>
      <c r="C989" t="s">
        <v>434</v>
      </c>
      <c r="D989" t="s">
        <v>414</v>
      </c>
      <c r="F989">
        <v>2.78</v>
      </c>
      <c r="G989">
        <v>2464.5540000000001</v>
      </c>
      <c r="H989">
        <v>27324.113000000001</v>
      </c>
      <c r="I989">
        <v>0.90200000000000002</v>
      </c>
      <c r="J989" t="s">
        <v>403</v>
      </c>
      <c r="K989">
        <v>0.6</v>
      </c>
      <c r="N989">
        <v>29</v>
      </c>
      <c r="O989">
        <v>29</v>
      </c>
      <c r="P989" t="s">
        <v>539</v>
      </c>
      <c r="Q989" t="s">
        <v>414</v>
      </c>
      <c r="S989">
        <v>2.78</v>
      </c>
      <c r="T989">
        <v>3458.4690000000001</v>
      </c>
      <c r="U989">
        <v>37808.120999999999</v>
      </c>
      <c r="V989">
        <v>0.91500000000000004</v>
      </c>
      <c r="W989" t="s">
        <v>488</v>
      </c>
      <c r="X989">
        <v>0.8</v>
      </c>
    </row>
    <row r="990" spans="1:24" x14ac:dyDescent="0.45">
      <c r="A990">
        <v>30</v>
      </c>
      <c r="B990">
        <v>30</v>
      </c>
      <c r="C990" t="s">
        <v>435</v>
      </c>
      <c r="D990" t="s">
        <v>414</v>
      </c>
      <c r="F990">
        <v>2.79</v>
      </c>
      <c r="G990">
        <v>3186.335</v>
      </c>
      <c r="H990">
        <v>23075.34</v>
      </c>
      <c r="I990">
        <v>1.381</v>
      </c>
      <c r="J990" t="s">
        <v>403</v>
      </c>
      <c r="K990">
        <v>1.1000000000000001</v>
      </c>
      <c r="N990">
        <v>30</v>
      </c>
      <c r="O990">
        <v>30</v>
      </c>
      <c r="P990" t="s">
        <v>540</v>
      </c>
      <c r="Q990" t="s">
        <v>414</v>
      </c>
      <c r="S990">
        <v>2.78</v>
      </c>
      <c r="T990">
        <v>6072.2479999999996</v>
      </c>
      <c r="U990">
        <v>38764.953000000001</v>
      </c>
      <c r="V990">
        <v>1.5660000000000001</v>
      </c>
      <c r="W990" t="s">
        <v>403</v>
      </c>
      <c r="X990">
        <v>1.7</v>
      </c>
    </row>
    <row r="991" spans="1:24" x14ac:dyDescent="0.45">
      <c r="A991">
        <v>31</v>
      </c>
      <c r="B991">
        <v>31</v>
      </c>
      <c r="C991" t="s">
        <v>436</v>
      </c>
      <c r="D991" t="s">
        <v>414</v>
      </c>
      <c r="F991">
        <v>2.79</v>
      </c>
      <c r="G991">
        <v>1240.4110000000001</v>
      </c>
      <c r="H991">
        <v>38690.695</v>
      </c>
      <c r="I991">
        <v>0.32100000000000001</v>
      </c>
      <c r="J991" t="s">
        <v>483</v>
      </c>
      <c r="N991">
        <v>31</v>
      </c>
      <c r="O991">
        <v>31</v>
      </c>
      <c r="P991" t="s">
        <v>541</v>
      </c>
      <c r="Q991" t="s">
        <v>414</v>
      </c>
      <c r="S991">
        <v>2.78</v>
      </c>
      <c r="T991">
        <v>4493.1040000000003</v>
      </c>
      <c r="U991">
        <v>30695.300999999999</v>
      </c>
      <c r="V991">
        <v>1.464</v>
      </c>
      <c r="W991" t="s">
        <v>403</v>
      </c>
      <c r="X991">
        <v>1.6</v>
      </c>
    </row>
    <row r="992" spans="1:24" x14ac:dyDescent="0.45">
      <c r="A992">
        <v>32</v>
      </c>
      <c r="B992">
        <v>32</v>
      </c>
      <c r="C992" t="s">
        <v>437</v>
      </c>
      <c r="D992" t="s">
        <v>414</v>
      </c>
      <c r="F992">
        <v>2.78</v>
      </c>
      <c r="G992">
        <v>2998.2890000000002</v>
      </c>
      <c r="H992">
        <v>27913.932000000001</v>
      </c>
      <c r="I992">
        <v>1.0740000000000001</v>
      </c>
      <c r="J992" t="s">
        <v>403</v>
      </c>
      <c r="K992">
        <v>0.7</v>
      </c>
      <c r="N992">
        <v>32</v>
      </c>
      <c r="O992">
        <v>32</v>
      </c>
      <c r="P992" t="s">
        <v>542</v>
      </c>
      <c r="Q992" t="s">
        <v>414</v>
      </c>
      <c r="S992">
        <v>2.78</v>
      </c>
      <c r="T992">
        <v>4548.4849999999997</v>
      </c>
      <c r="U992">
        <v>30905.263999999999</v>
      </c>
      <c r="V992">
        <v>1.472</v>
      </c>
      <c r="W992" t="s">
        <v>403</v>
      </c>
      <c r="X992">
        <v>1.6</v>
      </c>
    </row>
    <row r="993" spans="1:24" x14ac:dyDescent="0.45">
      <c r="A993">
        <v>33</v>
      </c>
      <c r="B993">
        <v>33</v>
      </c>
      <c r="C993" t="s">
        <v>438</v>
      </c>
      <c r="D993" t="s">
        <v>414</v>
      </c>
      <c r="F993">
        <v>2.78</v>
      </c>
      <c r="G993">
        <v>2709.9780000000001</v>
      </c>
      <c r="H993">
        <v>29889.187999999998</v>
      </c>
      <c r="I993">
        <v>0.90700000000000003</v>
      </c>
      <c r="J993" t="s">
        <v>403</v>
      </c>
      <c r="K993">
        <v>0.6</v>
      </c>
      <c r="N993">
        <v>33</v>
      </c>
      <c r="O993">
        <v>33</v>
      </c>
      <c r="P993" t="s">
        <v>543</v>
      </c>
      <c r="Q993" t="s">
        <v>414</v>
      </c>
      <c r="S993">
        <v>2.78</v>
      </c>
      <c r="T993">
        <v>4508.8739999999998</v>
      </c>
      <c r="U993">
        <v>24396.973000000002</v>
      </c>
      <c r="V993">
        <v>1.8480000000000001</v>
      </c>
      <c r="W993" t="s">
        <v>403</v>
      </c>
      <c r="X993">
        <v>2.1</v>
      </c>
    </row>
    <row r="994" spans="1:24" x14ac:dyDescent="0.45">
      <c r="A994">
        <v>34</v>
      </c>
      <c r="B994">
        <v>34</v>
      </c>
      <c r="C994" t="s">
        <v>439</v>
      </c>
      <c r="D994" t="s">
        <v>414</v>
      </c>
      <c r="F994">
        <v>2.79</v>
      </c>
      <c r="G994">
        <v>3679.694</v>
      </c>
      <c r="H994">
        <v>32617.508000000002</v>
      </c>
      <c r="I994">
        <v>1.1279999999999999</v>
      </c>
      <c r="J994" t="s">
        <v>403</v>
      </c>
      <c r="K994">
        <v>0.8</v>
      </c>
      <c r="N994">
        <v>34</v>
      </c>
      <c r="O994">
        <v>34</v>
      </c>
      <c r="P994" t="s">
        <v>544</v>
      </c>
      <c r="Q994" t="s">
        <v>414</v>
      </c>
      <c r="S994">
        <v>2.78</v>
      </c>
      <c r="T994">
        <v>5431.3050000000003</v>
      </c>
      <c r="U994">
        <v>26908.307000000001</v>
      </c>
      <c r="V994">
        <v>2.0179999999999998</v>
      </c>
      <c r="W994" t="s">
        <v>403</v>
      </c>
      <c r="X994">
        <v>2.2999999999999998</v>
      </c>
    </row>
    <row r="995" spans="1:24" x14ac:dyDescent="0.45">
      <c r="A995">
        <v>35</v>
      </c>
      <c r="B995">
        <v>35</v>
      </c>
      <c r="C995" t="s">
        <v>440</v>
      </c>
      <c r="D995" t="s">
        <v>414</v>
      </c>
      <c r="F995">
        <v>2.78</v>
      </c>
      <c r="G995">
        <v>4074.413</v>
      </c>
      <c r="H995">
        <v>38328.726999999999</v>
      </c>
      <c r="I995">
        <v>1.0629999999999999</v>
      </c>
      <c r="J995" t="s">
        <v>403</v>
      </c>
      <c r="K995">
        <v>0.7</v>
      </c>
      <c r="N995">
        <v>35</v>
      </c>
      <c r="O995">
        <v>35</v>
      </c>
      <c r="P995" t="s">
        <v>545</v>
      </c>
      <c r="Q995" t="s">
        <v>414</v>
      </c>
      <c r="S995">
        <v>2.78</v>
      </c>
      <c r="T995">
        <v>5341.0550000000003</v>
      </c>
      <c r="U995">
        <v>22746.907999999999</v>
      </c>
      <c r="V995">
        <v>2.3479999999999999</v>
      </c>
      <c r="W995" t="s">
        <v>403</v>
      </c>
      <c r="X995">
        <v>2.8</v>
      </c>
    </row>
    <row r="996" spans="1:24" x14ac:dyDescent="0.45">
      <c r="A996">
        <v>36</v>
      </c>
      <c r="B996">
        <v>36</v>
      </c>
      <c r="C996" t="s">
        <v>441</v>
      </c>
      <c r="D996" t="s">
        <v>414</v>
      </c>
      <c r="F996">
        <v>2.79</v>
      </c>
      <c r="G996">
        <v>2943.5569999999998</v>
      </c>
      <c r="H996">
        <v>33316.108999999997</v>
      </c>
      <c r="I996">
        <v>0.88400000000000001</v>
      </c>
      <c r="J996" t="s">
        <v>488</v>
      </c>
      <c r="K996">
        <v>0.5</v>
      </c>
      <c r="N996">
        <v>36</v>
      </c>
      <c r="O996">
        <v>36</v>
      </c>
      <c r="P996" t="s">
        <v>546</v>
      </c>
      <c r="Q996" t="s">
        <v>414</v>
      </c>
      <c r="S996">
        <v>2.78</v>
      </c>
      <c r="T996">
        <v>5372.34</v>
      </c>
      <c r="U996">
        <v>39284.027000000002</v>
      </c>
      <c r="V996">
        <v>1.3680000000000001</v>
      </c>
      <c r="W996" t="s">
        <v>403</v>
      </c>
      <c r="X996">
        <v>1.4</v>
      </c>
    </row>
    <row r="997" spans="1:24" x14ac:dyDescent="0.45">
      <c r="A997">
        <v>37</v>
      </c>
      <c r="B997">
        <v>37</v>
      </c>
      <c r="C997" t="s">
        <v>442</v>
      </c>
      <c r="D997" t="s">
        <v>414</v>
      </c>
      <c r="F997">
        <v>2.79</v>
      </c>
      <c r="G997">
        <v>3586.924</v>
      </c>
      <c r="H997">
        <v>35440.858999999997</v>
      </c>
      <c r="I997">
        <v>1.012</v>
      </c>
      <c r="J997" t="s">
        <v>403</v>
      </c>
      <c r="K997">
        <v>0.7</v>
      </c>
      <c r="N997">
        <v>37</v>
      </c>
      <c r="O997">
        <v>37</v>
      </c>
      <c r="P997" t="s">
        <v>547</v>
      </c>
      <c r="Q997" t="s">
        <v>414</v>
      </c>
      <c r="S997">
        <v>2.78</v>
      </c>
      <c r="T997">
        <v>1950.268</v>
      </c>
      <c r="U997">
        <v>27871.921999999999</v>
      </c>
      <c r="V997">
        <v>0.7</v>
      </c>
      <c r="W997" t="s">
        <v>488</v>
      </c>
      <c r="X997">
        <v>0.5</v>
      </c>
    </row>
    <row r="998" spans="1:24" x14ac:dyDescent="0.45">
      <c r="A998">
        <v>38</v>
      </c>
      <c r="B998">
        <v>38</v>
      </c>
      <c r="C998" t="s">
        <v>443</v>
      </c>
      <c r="D998" t="s">
        <v>414</v>
      </c>
      <c r="F998">
        <v>2.79</v>
      </c>
      <c r="G998">
        <v>3346.8829999999998</v>
      </c>
      <c r="H998">
        <v>27635.585999999999</v>
      </c>
      <c r="I998">
        <v>1.2110000000000001</v>
      </c>
      <c r="J998" t="s">
        <v>403</v>
      </c>
      <c r="K998">
        <v>0.9</v>
      </c>
      <c r="N998">
        <v>38</v>
      </c>
      <c r="O998">
        <v>38</v>
      </c>
      <c r="P998" t="s">
        <v>548</v>
      </c>
      <c r="Q998" t="s">
        <v>414</v>
      </c>
      <c r="S998">
        <v>2.78</v>
      </c>
      <c r="T998">
        <v>3473.9520000000002</v>
      </c>
      <c r="U998">
        <v>26612.745999999999</v>
      </c>
      <c r="V998">
        <v>1.3049999999999999</v>
      </c>
      <c r="W998" t="s">
        <v>488</v>
      </c>
      <c r="X998">
        <v>1.4</v>
      </c>
    </row>
    <row r="999" spans="1:24" x14ac:dyDescent="0.45">
      <c r="A999">
        <v>39</v>
      </c>
      <c r="B999">
        <v>39</v>
      </c>
      <c r="C999" t="s">
        <v>444</v>
      </c>
      <c r="D999" t="s">
        <v>414</v>
      </c>
      <c r="F999">
        <v>2.79</v>
      </c>
      <c r="G999">
        <v>5341.8819999999996</v>
      </c>
      <c r="H999">
        <v>32910.730000000003</v>
      </c>
      <c r="I999">
        <v>1.623</v>
      </c>
      <c r="J999" t="s">
        <v>403</v>
      </c>
      <c r="K999">
        <v>1.3</v>
      </c>
      <c r="N999">
        <v>39</v>
      </c>
      <c r="O999">
        <v>39</v>
      </c>
      <c r="P999" t="s">
        <v>549</v>
      </c>
      <c r="Q999" t="s">
        <v>414</v>
      </c>
      <c r="S999">
        <v>2.78</v>
      </c>
      <c r="T999">
        <v>2870.4319999999998</v>
      </c>
      <c r="U999">
        <v>22955.355</v>
      </c>
      <c r="V999">
        <v>1.25</v>
      </c>
      <c r="W999" t="s">
        <v>488</v>
      </c>
      <c r="X999">
        <v>1.3</v>
      </c>
    </row>
    <row r="1000" spans="1:24" x14ac:dyDescent="0.45">
      <c r="A1000">
        <v>40</v>
      </c>
      <c r="B1000">
        <v>40</v>
      </c>
      <c r="C1000" t="s">
        <v>445</v>
      </c>
      <c r="D1000" t="s">
        <v>414</v>
      </c>
      <c r="F1000">
        <v>2.79</v>
      </c>
      <c r="G1000">
        <v>5805.6210000000001</v>
      </c>
      <c r="H1000">
        <v>54350.112999999998</v>
      </c>
      <c r="I1000">
        <v>1.0680000000000001</v>
      </c>
      <c r="J1000" t="s">
        <v>403</v>
      </c>
      <c r="K1000">
        <v>0.7</v>
      </c>
      <c r="N1000">
        <v>40</v>
      </c>
      <c r="O1000">
        <v>40</v>
      </c>
      <c r="P1000" t="s">
        <v>550</v>
      </c>
      <c r="Q1000" t="s">
        <v>414</v>
      </c>
      <c r="S1000">
        <v>2.78</v>
      </c>
      <c r="T1000">
        <v>3238.88</v>
      </c>
      <c r="U1000">
        <v>29845.423999999999</v>
      </c>
      <c r="V1000">
        <v>1.085</v>
      </c>
      <c r="W1000" t="s">
        <v>488</v>
      </c>
      <c r="X1000">
        <v>1</v>
      </c>
    </row>
    <row r="1001" spans="1:24" x14ac:dyDescent="0.45">
      <c r="A1001">
        <v>41</v>
      </c>
      <c r="B1001">
        <v>41</v>
      </c>
      <c r="C1001" t="s">
        <v>446</v>
      </c>
      <c r="D1001" t="s">
        <v>414</v>
      </c>
      <c r="F1001">
        <v>2.79</v>
      </c>
      <c r="G1001">
        <v>4891.54</v>
      </c>
      <c r="H1001">
        <v>45150.57</v>
      </c>
      <c r="I1001">
        <v>1.083</v>
      </c>
      <c r="J1001" t="s">
        <v>403</v>
      </c>
      <c r="K1001">
        <v>0.8</v>
      </c>
      <c r="N1001">
        <v>41</v>
      </c>
      <c r="O1001">
        <v>41</v>
      </c>
      <c r="P1001" t="s">
        <v>551</v>
      </c>
      <c r="Q1001" t="s">
        <v>414</v>
      </c>
      <c r="S1001">
        <v>2.78</v>
      </c>
      <c r="T1001">
        <v>4523.9269999999997</v>
      </c>
      <c r="U1001">
        <v>42807.828000000001</v>
      </c>
      <c r="V1001">
        <v>1.0569999999999999</v>
      </c>
      <c r="W1001" t="s">
        <v>488</v>
      </c>
      <c r="X1001">
        <v>1</v>
      </c>
    </row>
    <row r="1002" spans="1:24" x14ac:dyDescent="0.45">
      <c r="A1002">
        <v>42</v>
      </c>
      <c r="B1002">
        <v>42</v>
      </c>
      <c r="C1002" t="s">
        <v>447</v>
      </c>
      <c r="D1002" t="s">
        <v>414</v>
      </c>
      <c r="F1002">
        <v>2.79</v>
      </c>
      <c r="G1002">
        <v>3873.5770000000002</v>
      </c>
      <c r="H1002">
        <v>47664.578000000001</v>
      </c>
      <c r="I1002">
        <v>0.81299999999999994</v>
      </c>
      <c r="J1002" t="s">
        <v>403</v>
      </c>
      <c r="K1002">
        <v>0.5</v>
      </c>
      <c r="N1002">
        <v>42</v>
      </c>
      <c r="O1002">
        <v>42</v>
      </c>
      <c r="P1002" t="s">
        <v>552</v>
      </c>
      <c r="Q1002" t="s">
        <v>414</v>
      </c>
      <c r="S1002">
        <v>2.78</v>
      </c>
      <c r="T1002">
        <v>3028.7280000000001</v>
      </c>
      <c r="U1002">
        <v>31504.971000000001</v>
      </c>
      <c r="V1002">
        <v>0.96099999999999997</v>
      </c>
      <c r="W1002" t="s">
        <v>488</v>
      </c>
      <c r="X1002">
        <v>0.9</v>
      </c>
    </row>
    <row r="1003" spans="1:24" x14ac:dyDescent="0.45">
      <c r="A1003">
        <v>43</v>
      </c>
      <c r="B1003">
        <v>43</v>
      </c>
      <c r="C1003" t="s">
        <v>448</v>
      </c>
      <c r="D1003" t="s">
        <v>414</v>
      </c>
      <c r="F1003">
        <v>2.79</v>
      </c>
      <c r="G1003">
        <v>4963.9790000000003</v>
      </c>
      <c r="H1003">
        <v>42751.445</v>
      </c>
      <c r="I1003">
        <v>1.161</v>
      </c>
      <c r="J1003" t="s">
        <v>403</v>
      </c>
      <c r="K1003">
        <v>0.8</v>
      </c>
      <c r="N1003">
        <v>43</v>
      </c>
      <c r="O1003">
        <v>43</v>
      </c>
      <c r="P1003" t="s">
        <v>553</v>
      </c>
      <c r="Q1003" t="s">
        <v>414</v>
      </c>
      <c r="S1003">
        <v>2.78</v>
      </c>
      <c r="T1003">
        <v>3110.5880000000002</v>
      </c>
      <c r="U1003">
        <v>26411.412</v>
      </c>
      <c r="V1003">
        <v>1.1779999999999999</v>
      </c>
      <c r="W1003" t="s">
        <v>488</v>
      </c>
      <c r="X1003">
        <v>1.2</v>
      </c>
    </row>
    <row r="1004" spans="1:24" x14ac:dyDescent="0.45">
      <c r="A1004">
        <v>44</v>
      </c>
      <c r="B1004">
        <v>44</v>
      </c>
      <c r="C1004" t="s">
        <v>449</v>
      </c>
      <c r="D1004" t="s">
        <v>414</v>
      </c>
      <c r="F1004">
        <v>2.79</v>
      </c>
      <c r="G1004">
        <v>4668.0200000000004</v>
      </c>
      <c r="H1004">
        <v>45594.832000000002</v>
      </c>
      <c r="I1004">
        <v>1.024</v>
      </c>
      <c r="J1004" t="s">
        <v>403</v>
      </c>
      <c r="K1004">
        <v>0.7</v>
      </c>
      <c r="N1004">
        <v>44</v>
      </c>
      <c r="O1004">
        <v>44</v>
      </c>
      <c r="P1004" t="s">
        <v>554</v>
      </c>
      <c r="Q1004" t="s">
        <v>414</v>
      </c>
      <c r="S1004">
        <v>2.78</v>
      </c>
      <c r="T1004">
        <v>2747.7809999999999</v>
      </c>
      <c r="U1004">
        <v>31106.798999999999</v>
      </c>
      <c r="V1004">
        <v>0.88300000000000001</v>
      </c>
      <c r="W1004" t="s">
        <v>488</v>
      </c>
      <c r="X1004">
        <v>0.8</v>
      </c>
    </row>
    <row r="1005" spans="1:24" x14ac:dyDescent="0.45">
      <c r="A1005">
        <v>45</v>
      </c>
      <c r="B1005">
        <v>45</v>
      </c>
      <c r="C1005" t="s">
        <v>450</v>
      </c>
      <c r="D1005" t="s">
        <v>414</v>
      </c>
      <c r="F1005">
        <v>2.79</v>
      </c>
      <c r="G1005">
        <v>2902.4639999999999</v>
      </c>
      <c r="H1005">
        <v>45338.758000000002</v>
      </c>
      <c r="I1005">
        <v>0.64</v>
      </c>
      <c r="J1005" t="s">
        <v>403</v>
      </c>
      <c r="K1005">
        <v>0.3</v>
      </c>
      <c r="N1005">
        <v>45</v>
      </c>
      <c r="O1005">
        <v>45</v>
      </c>
      <c r="P1005" t="s">
        <v>555</v>
      </c>
      <c r="Q1005" t="s">
        <v>414</v>
      </c>
      <c r="S1005">
        <v>2.78</v>
      </c>
      <c r="T1005">
        <v>3213.4349999999999</v>
      </c>
      <c r="U1005">
        <v>31106.664000000001</v>
      </c>
      <c r="V1005">
        <v>1.0329999999999999</v>
      </c>
      <c r="W1005" t="s">
        <v>488</v>
      </c>
      <c r="X1005">
        <v>1</v>
      </c>
    </row>
    <row r="1006" spans="1:24" x14ac:dyDescent="0.45">
      <c r="A1006">
        <v>46</v>
      </c>
      <c r="B1006">
        <v>46</v>
      </c>
      <c r="C1006" t="s">
        <v>451</v>
      </c>
      <c r="D1006" t="s">
        <v>414</v>
      </c>
      <c r="F1006">
        <v>2.79</v>
      </c>
      <c r="G1006">
        <v>2621.4470000000001</v>
      </c>
      <c r="H1006">
        <v>39915.461000000003</v>
      </c>
      <c r="I1006">
        <v>0.65700000000000003</v>
      </c>
      <c r="J1006" t="s">
        <v>488</v>
      </c>
      <c r="K1006">
        <v>0.3</v>
      </c>
      <c r="N1006">
        <v>46</v>
      </c>
      <c r="O1006">
        <v>46</v>
      </c>
      <c r="P1006" t="s">
        <v>556</v>
      </c>
      <c r="Q1006" t="s">
        <v>414</v>
      </c>
      <c r="S1006">
        <v>2.78</v>
      </c>
      <c r="T1006">
        <v>2255.8220000000001</v>
      </c>
      <c r="U1006">
        <v>21170.359</v>
      </c>
      <c r="V1006">
        <v>1.0660000000000001</v>
      </c>
      <c r="W1006" t="s">
        <v>488</v>
      </c>
      <c r="X1006">
        <v>1</v>
      </c>
    </row>
    <row r="1007" spans="1:24" x14ac:dyDescent="0.45">
      <c r="A1007">
        <v>47</v>
      </c>
      <c r="B1007">
        <v>47</v>
      </c>
      <c r="C1007" t="s">
        <v>452</v>
      </c>
      <c r="D1007" t="s">
        <v>414</v>
      </c>
      <c r="F1007">
        <v>2.79</v>
      </c>
      <c r="G1007">
        <v>1229.136</v>
      </c>
      <c r="H1007">
        <v>22828.648000000001</v>
      </c>
      <c r="I1007">
        <v>0.53800000000000003</v>
      </c>
      <c r="J1007" t="s">
        <v>488</v>
      </c>
      <c r="K1007">
        <v>0.2</v>
      </c>
      <c r="N1007">
        <v>47</v>
      </c>
      <c r="O1007">
        <v>47</v>
      </c>
      <c r="P1007" t="s">
        <v>557</v>
      </c>
      <c r="Q1007" t="s">
        <v>414</v>
      </c>
      <c r="S1007">
        <v>2.78</v>
      </c>
      <c r="T1007">
        <v>1785.87</v>
      </c>
      <c r="U1007">
        <v>21451.958999999999</v>
      </c>
      <c r="V1007">
        <v>0.83199999999999996</v>
      </c>
      <c r="W1007" t="s">
        <v>488</v>
      </c>
      <c r="X1007">
        <v>0.7</v>
      </c>
    </row>
    <row r="1008" spans="1:24" x14ac:dyDescent="0.45">
      <c r="A1008">
        <v>48</v>
      </c>
      <c r="B1008">
        <v>48</v>
      </c>
      <c r="C1008" t="s">
        <v>453</v>
      </c>
      <c r="D1008" t="s">
        <v>414</v>
      </c>
      <c r="F1008">
        <v>2.79</v>
      </c>
      <c r="G1008">
        <v>1682.8779999999999</v>
      </c>
      <c r="H1008">
        <v>28742.078000000001</v>
      </c>
      <c r="I1008">
        <v>0.58599999999999997</v>
      </c>
      <c r="J1008" t="s">
        <v>488</v>
      </c>
      <c r="K1008">
        <v>0.2</v>
      </c>
      <c r="N1008">
        <v>48</v>
      </c>
      <c r="O1008">
        <v>48</v>
      </c>
      <c r="P1008" t="s">
        <v>558</v>
      </c>
      <c r="Q1008" t="s">
        <v>414</v>
      </c>
      <c r="S1008">
        <v>2.78</v>
      </c>
      <c r="T1008">
        <v>1813.0070000000001</v>
      </c>
      <c r="U1008">
        <v>20507.863000000001</v>
      </c>
      <c r="V1008">
        <v>0.88400000000000001</v>
      </c>
      <c r="W1008" t="s">
        <v>488</v>
      </c>
      <c r="X1008">
        <v>0.8</v>
      </c>
    </row>
    <row r="1009" spans="1:24" x14ac:dyDescent="0.45">
      <c r="A1009">
        <v>49</v>
      </c>
      <c r="B1009">
        <v>49</v>
      </c>
      <c r="C1009" t="s">
        <v>454</v>
      </c>
      <c r="D1009" t="s">
        <v>414</v>
      </c>
      <c r="F1009">
        <v>2.79</v>
      </c>
      <c r="G1009">
        <v>3422.71</v>
      </c>
      <c r="H1009">
        <v>29729.976999999999</v>
      </c>
      <c r="I1009">
        <v>1.151</v>
      </c>
      <c r="J1009" t="s">
        <v>403</v>
      </c>
      <c r="K1009">
        <v>0.8</v>
      </c>
      <c r="N1009">
        <v>49</v>
      </c>
      <c r="O1009">
        <v>49</v>
      </c>
      <c r="P1009" t="s">
        <v>559</v>
      </c>
      <c r="Q1009" t="s">
        <v>414</v>
      </c>
      <c r="S1009">
        <v>2.78</v>
      </c>
      <c r="T1009">
        <v>1833.5519999999999</v>
      </c>
      <c r="U1009">
        <v>23997.541000000001</v>
      </c>
      <c r="V1009">
        <v>0.76400000000000001</v>
      </c>
      <c r="W1009" t="s">
        <v>488</v>
      </c>
      <c r="X1009">
        <v>0.6</v>
      </c>
    </row>
    <row r="1010" spans="1:24" x14ac:dyDescent="0.45">
      <c r="A1010">
        <v>50</v>
      </c>
      <c r="B1010">
        <v>50</v>
      </c>
      <c r="C1010" t="s">
        <v>455</v>
      </c>
      <c r="D1010" t="s">
        <v>414</v>
      </c>
      <c r="F1010">
        <v>2.79</v>
      </c>
      <c r="G1010">
        <v>2260.5100000000002</v>
      </c>
      <c r="H1010">
        <v>34292.305</v>
      </c>
      <c r="I1010">
        <v>0.65900000000000003</v>
      </c>
      <c r="J1010" t="s">
        <v>488</v>
      </c>
      <c r="K1010">
        <v>0.3</v>
      </c>
      <c r="N1010">
        <v>50</v>
      </c>
      <c r="O1010">
        <v>50</v>
      </c>
      <c r="P1010" t="s">
        <v>560</v>
      </c>
      <c r="Q1010" t="s">
        <v>414</v>
      </c>
      <c r="S1010">
        <v>2.78</v>
      </c>
      <c r="T1010">
        <v>2458</v>
      </c>
      <c r="U1010">
        <v>23443.261999999999</v>
      </c>
      <c r="V1010">
        <v>1.048</v>
      </c>
      <c r="W1010" t="s">
        <v>488</v>
      </c>
      <c r="X1010">
        <v>1</v>
      </c>
    </row>
    <row r="1011" spans="1:24" x14ac:dyDescent="0.45">
      <c r="A1011">
        <v>51</v>
      </c>
      <c r="B1011">
        <v>51</v>
      </c>
      <c r="C1011" t="s">
        <v>456</v>
      </c>
      <c r="D1011" t="s">
        <v>414</v>
      </c>
      <c r="F1011">
        <v>2.79</v>
      </c>
      <c r="G1011">
        <v>1987.0050000000001</v>
      </c>
      <c r="H1011">
        <v>30581.535</v>
      </c>
      <c r="I1011">
        <v>0.65</v>
      </c>
      <c r="J1011" t="s">
        <v>488</v>
      </c>
      <c r="K1011">
        <v>0.3</v>
      </c>
      <c r="N1011">
        <v>51</v>
      </c>
      <c r="O1011">
        <v>51</v>
      </c>
      <c r="P1011" t="s">
        <v>561</v>
      </c>
      <c r="Q1011" t="s">
        <v>414</v>
      </c>
      <c r="S1011">
        <v>2.78</v>
      </c>
      <c r="T1011">
        <v>1785.865</v>
      </c>
      <c r="U1011">
        <v>18425.164000000001</v>
      </c>
      <c r="V1011">
        <v>0.96899999999999997</v>
      </c>
      <c r="W1011" t="s">
        <v>488</v>
      </c>
      <c r="X1011">
        <v>0.9</v>
      </c>
    </row>
    <row r="1012" spans="1:24" x14ac:dyDescent="0.45">
      <c r="A1012">
        <v>52</v>
      </c>
      <c r="B1012">
        <v>52</v>
      </c>
      <c r="C1012" t="s">
        <v>457</v>
      </c>
      <c r="D1012" t="s">
        <v>414</v>
      </c>
      <c r="F1012">
        <v>2.79</v>
      </c>
      <c r="G1012">
        <v>2097.36</v>
      </c>
      <c r="H1012">
        <v>25827.717000000001</v>
      </c>
      <c r="I1012">
        <v>0.81200000000000006</v>
      </c>
      <c r="J1012" t="s">
        <v>488</v>
      </c>
      <c r="K1012">
        <v>0.5</v>
      </c>
      <c r="N1012">
        <v>52</v>
      </c>
      <c r="O1012">
        <v>52</v>
      </c>
      <c r="P1012" t="s">
        <v>562</v>
      </c>
      <c r="Q1012" t="s">
        <v>414</v>
      </c>
      <c r="S1012">
        <v>2.78</v>
      </c>
      <c r="T1012">
        <v>2209.15</v>
      </c>
      <c r="U1012">
        <v>25454.1</v>
      </c>
      <c r="V1012">
        <v>0.86799999999999999</v>
      </c>
      <c r="W1012" t="s">
        <v>488</v>
      </c>
      <c r="X1012">
        <v>0.7</v>
      </c>
    </row>
    <row r="1013" spans="1:24" x14ac:dyDescent="0.45">
      <c r="A1013">
        <v>53</v>
      </c>
      <c r="B1013">
        <v>53</v>
      </c>
      <c r="C1013" t="s">
        <v>458</v>
      </c>
      <c r="D1013" t="s">
        <v>414</v>
      </c>
      <c r="F1013">
        <v>2.78</v>
      </c>
      <c r="G1013">
        <v>2685.5329999999999</v>
      </c>
      <c r="H1013">
        <v>31508.085999999999</v>
      </c>
      <c r="I1013">
        <v>0.85199999999999998</v>
      </c>
      <c r="J1013" t="s">
        <v>403</v>
      </c>
      <c r="K1013">
        <v>0.5</v>
      </c>
      <c r="N1013">
        <v>53</v>
      </c>
      <c r="O1013">
        <v>53</v>
      </c>
      <c r="P1013" t="s">
        <v>563</v>
      </c>
      <c r="Q1013" t="s">
        <v>414</v>
      </c>
      <c r="S1013">
        <v>2.78</v>
      </c>
      <c r="T1013">
        <v>5092.625</v>
      </c>
      <c r="U1013">
        <v>31461.855</v>
      </c>
      <c r="V1013">
        <v>1.619</v>
      </c>
      <c r="W1013" t="s">
        <v>403</v>
      </c>
      <c r="X1013">
        <v>1.8</v>
      </c>
    </row>
    <row r="1014" spans="1:24" x14ac:dyDescent="0.45">
      <c r="A1014">
        <v>54</v>
      </c>
      <c r="B1014">
        <v>54</v>
      </c>
      <c r="C1014" t="s">
        <v>459</v>
      </c>
      <c r="D1014" t="s">
        <v>414</v>
      </c>
      <c r="F1014">
        <v>2.79</v>
      </c>
      <c r="G1014">
        <v>1879.527</v>
      </c>
      <c r="H1014">
        <v>35588.597999999998</v>
      </c>
      <c r="I1014">
        <v>0.52800000000000002</v>
      </c>
      <c r="J1014" t="s">
        <v>488</v>
      </c>
      <c r="K1014">
        <v>0.2</v>
      </c>
      <c r="N1014">
        <v>54</v>
      </c>
      <c r="O1014">
        <v>54</v>
      </c>
      <c r="P1014" t="s">
        <v>564</v>
      </c>
      <c r="Q1014" t="s">
        <v>414</v>
      </c>
      <c r="S1014">
        <v>2.78</v>
      </c>
      <c r="T1014">
        <v>2788.114</v>
      </c>
      <c r="U1014">
        <v>22482.026999999998</v>
      </c>
      <c r="V1014">
        <v>1.24</v>
      </c>
      <c r="W1014" t="s">
        <v>488</v>
      </c>
      <c r="X1014">
        <v>1.3</v>
      </c>
    </row>
    <row r="1015" spans="1:24" x14ac:dyDescent="0.45">
      <c r="A1015">
        <v>55</v>
      </c>
      <c r="B1015">
        <v>55</v>
      </c>
      <c r="C1015" t="s">
        <v>460</v>
      </c>
      <c r="D1015" t="s">
        <v>414</v>
      </c>
      <c r="F1015">
        <v>2.78</v>
      </c>
      <c r="G1015">
        <v>1548.951</v>
      </c>
      <c r="H1015">
        <v>28695.206999999999</v>
      </c>
      <c r="I1015">
        <v>0.54</v>
      </c>
      <c r="J1015" t="s">
        <v>488</v>
      </c>
      <c r="K1015">
        <v>0.2</v>
      </c>
      <c r="N1015">
        <v>55</v>
      </c>
      <c r="O1015">
        <v>55</v>
      </c>
      <c r="P1015" t="s">
        <v>565</v>
      </c>
      <c r="Q1015" t="s">
        <v>414</v>
      </c>
      <c r="S1015">
        <v>2.78</v>
      </c>
      <c r="T1015">
        <v>2231.0129999999999</v>
      </c>
      <c r="U1015">
        <v>30518.518</v>
      </c>
      <c r="V1015">
        <v>0.73099999999999998</v>
      </c>
      <c r="W1015" t="s">
        <v>488</v>
      </c>
      <c r="X1015">
        <v>0.6</v>
      </c>
    </row>
    <row r="1016" spans="1:24" x14ac:dyDescent="0.45">
      <c r="A1016">
        <v>56</v>
      </c>
      <c r="B1016">
        <v>56</v>
      </c>
      <c r="C1016" t="s">
        <v>461</v>
      </c>
      <c r="D1016" t="s">
        <v>414</v>
      </c>
      <c r="F1016">
        <v>2.79</v>
      </c>
      <c r="G1016">
        <v>1750.8009999999999</v>
      </c>
      <c r="H1016">
        <v>30756.798999999999</v>
      </c>
      <c r="I1016">
        <v>0.56899999999999995</v>
      </c>
      <c r="J1016" t="s">
        <v>488</v>
      </c>
      <c r="K1016">
        <v>0.2</v>
      </c>
      <c r="N1016">
        <v>56</v>
      </c>
      <c r="O1016">
        <v>56</v>
      </c>
      <c r="P1016" t="s">
        <v>566</v>
      </c>
      <c r="Q1016" t="s">
        <v>414</v>
      </c>
      <c r="S1016">
        <v>2.78</v>
      </c>
      <c r="T1016">
        <v>2249.5059999999999</v>
      </c>
      <c r="U1016">
        <v>20053.349999999999</v>
      </c>
      <c r="V1016">
        <v>1.1220000000000001</v>
      </c>
      <c r="W1016" t="s">
        <v>488</v>
      </c>
      <c r="X1016">
        <v>1.1000000000000001</v>
      </c>
    </row>
    <row r="1017" spans="1:24" x14ac:dyDescent="0.45">
      <c r="A1017">
        <v>57</v>
      </c>
      <c r="B1017">
        <v>57</v>
      </c>
      <c r="C1017" t="s">
        <v>462</v>
      </c>
      <c r="D1017" t="s">
        <v>414</v>
      </c>
      <c r="F1017">
        <v>2.79</v>
      </c>
      <c r="G1017">
        <v>4059.681</v>
      </c>
      <c r="H1017">
        <v>29948.467000000001</v>
      </c>
      <c r="I1017">
        <v>1.3560000000000001</v>
      </c>
      <c r="J1017" t="s">
        <v>403</v>
      </c>
      <c r="K1017">
        <v>1</v>
      </c>
      <c r="N1017">
        <v>57</v>
      </c>
      <c r="O1017">
        <v>57</v>
      </c>
      <c r="P1017" t="s">
        <v>567</v>
      </c>
      <c r="Q1017" t="s">
        <v>414</v>
      </c>
      <c r="S1017">
        <v>2.78</v>
      </c>
      <c r="T1017">
        <v>4666.2449999999999</v>
      </c>
      <c r="U1017">
        <v>24814.947</v>
      </c>
      <c r="V1017">
        <v>1.88</v>
      </c>
      <c r="W1017" t="s">
        <v>403</v>
      </c>
      <c r="X1017">
        <v>2.2000000000000002</v>
      </c>
    </row>
    <row r="1018" spans="1:24" x14ac:dyDescent="0.45">
      <c r="A1018">
        <v>58</v>
      </c>
      <c r="B1018">
        <v>58</v>
      </c>
      <c r="C1018" t="s">
        <v>463</v>
      </c>
      <c r="D1018" t="s">
        <v>414</v>
      </c>
      <c r="F1018">
        <v>2.79</v>
      </c>
      <c r="G1018">
        <v>1394.454</v>
      </c>
      <c r="H1018">
        <v>28448.541000000001</v>
      </c>
      <c r="I1018">
        <v>0.49</v>
      </c>
      <c r="J1018" t="s">
        <v>488</v>
      </c>
      <c r="K1018">
        <v>0.1</v>
      </c>
      <c r="N1018">
        <v>58</v>
      </c>
      <c r="O1018">
        <v>58</v>
      </c>
      <c r="P1018" t="s">
        <v>568</v>
      </c>
      <c r="Q1018" t="s">
        <v>414</v>
      </c>
      <c r="S1018">
        <v>2.78</v>
      </c>
      <c r="T1018">
        <v>5768.085</v>
      </c>
      <c r="U1018">
        <v>36884.593999999997</v>
      </c>
      <c r="V1018">
        <v>1.5640000000000001</v>
      </c>
      <c r="W1018" t="s">
        <v>403</v>
      </c>
      <c r="X1018">
        <v>1.7</v>
      </c>
    </row>
    <row r="1019" spans="1:24" x14ac:dyDescent="0.45">
      <c r="A1019">
        <v>59</v>
      </c>
      <c r="B1019">
        <v>59</v>
      </c>
      <c r="C1019" t="s">
        <v>464</v>
      </c>
      <c r="D1019" t="s">
        <v>414</v>
      </c>
      <c r="F1019">
        <v>2.79</v>
      </c>
      <c r="G1019">
        <v>1391.018</v>
      </c>
      <c r="H1019">
        <v>27359.388999999999</v>
      </c>
      <c r="I1019">
        <v>0.50800000000000001</v>
      </c>
      <c r="J1019" t="s">
        <v>488</v>
      </c>
      <c r="K1019">
        <v>0.2</v>
      </c>
      <c r="N1019">
        <v>59</v>
      </c>
      <c r="O1019">
        <v>59</v>
      </c>
      <c r="P1019" t="s">
        <v>569</v>
      </c>
      <c r="Q1019" t="s">
        <v>414</v>
      </c>
      <c r="S1019">
        <v>2.78</v>
      </c>
      <c r="T1019">
        <v>3270.107</v>
      </c>
      <c r="U1019">
        <v>22278.85</v>
      </c>
      <c r="V1019">
        <v>1.468</v>
      </c>
      <c r="W1019" t="s">
        <v>488</v>
      </c>
      <c r="X1019">
        <v>1.6</v>
      </c>
    </row>
    <row r="1020" spans="1:24" x14ac:dyDescent="0.45">
      <c r="A1020">
        <v>60</v>
      </c>
      <c r="B1020">
        <v>60</v>
      </c>
      <c r="C1020" t="s">
        <v>465</v>
      </c>
      <c r="D1020" t="s">
        <v>414</v>
      </c>
      <c r="F1020">
        <v>2.79</v>
      </c>
      <c r="G1020">
        <v>5507.9650000000001</v>
      </c>
      <c r="H1020">
        <v>37867.616999999998</v>
      </c>
      <c r="I1020">
        <v>1.4550000000000001</v>
      </c>
      <c r="J1020" t="s">
        <v>403</v>
      </c>
      <c r="K1020">
        <v>1.1000000000000001</v>
      </c>
      <c r="N1020">
        <v>60</v>
      </c>
      <c r="O1020">
        <v>60</v>
      </c>
      <c r="P1020" t="s">
        <v>570</v>
      </c>
      <c r="Q1020" t="s">
        <v>414</v>
      </c>
      <c r="S1020">
        <v>2.78</v>
      </c>
      <c r="T1020">
        <v>7192.8670000000002</v>
      </c>
      <c r="U1020">
        <v>39831.156000000003</v>
      </c>
      <c r="V1020">
        <v>1.806</v>
      </c>
      <c r="W1020" t="s">
        <v>403</v>
      </c>
      <c r="X1020">
        <v>2.1</v>
      </c>
    </row>
    <row r="1021" spans="1:24" x14ac:dyDescent="0.45">
      <c r="A1021">
        <v>61</v>
      </c>
      <c r="B1021">
        <v>61</v>
      </c>
      <c r="C1021" t="s">
        <v>466</v>
      </c>
      <c r="D1021" t="s">
        <v>414</v>
      </c>
      <c r="F1021">
        <v>2.79</v>
      </c>
      <c r="G1021">
        <v>3691.326</v>
      </c>
      <c r="H1021">
        <v>35823.042999999998</v>
      </c>
      <c r="I1021">
        <v>1.03</v>
      </c>
      <c r="J1021" t="s">
        <v>403</v>
      </c>
      <c r="K1021">
        <v>0.7</v>
      </c>
      <c r="N1021">
        <v>61</v>
      </c>
      <c r="O1021">
        <v>61</v>
      </c>
      <c r="P1021" t="s">
        <v>571</v>
      </c>
      <c r="Q1021" t="s">
        <v>414</v>
      </c>
      <c r="S1021">
        <v>2.78</v>
      </c>
      <c r="T1021">
        <v>2491.136</v>
      </c>
      <c r="U1021">
        <v>24766.322</v>
      </c>
      <c r="V1021">
        <v>1.006</v>
      </c>
      <c r="W1021" t="s">
        <v>488</v>
      </c>
      <c r="X1021">
        <v>0.9</v>
      </c>
    </row>
    <row r="1022" spans="1:24" x14ac:dyDescent="0.45">
      <c r="A1022">
        <v>62</v>
      </c>
      <c r="B1022">
        <v>62</v>
      </c>
      <c r="C1022" t="s">
        <v>467</v>
      </c>
      <c r="D1022" t="s">
        <v>414</v>
      </c>
      <c r="F1022">
        <v>2.78</v>
      </c>
      <c r="G1022">
        <v>4613.8519999999999</v>
      </c>
      <c r="H1022">
        <v>38068.190999999999</v>
      </c>
      <c r="I1022">
        <v>1.212</v>
      </c>
      <c r="J1022" t="s">
        <v>403</v>
      </c>
      <c r="K1022">
        <v>0.9</v>
      </c>
      <c r="N1022">
        <v>62</v>
      </c>
      <c r="O1022">
        <v>62</v>
      </c>
      <c r="P1022" t="s">
        <v>572</v>
      </c>
      <c r="Q1022" t="s">
        <v>414</v>
      </c>
      <c r="S1022">
        <v>2.78</v>
      </c>
      <c r="T1022">
        <v>4153.1930000000002</v>
      </c>
      <c r="U1022">
        <v>21988.245999999999</v>
      </c>
      <c r="V1022">
        <v>1.889</v>
      </c>
      <c r="W1022" t="s">
        <v>403</v>
      </c>
      <c r="X1022">
        <v>2.2000000000000002</v>
      </c>
    </row>
    <row r="1023" spans="1:24" x14ac:dyDescent="0.45">
      <c r="A1023">
        <v>63</v>
      </c>
      <c r="B1023">
        <v>63</v>
      </c>
      <c r="C1023" t="s">
        <v>468</v>
      </c>
      <c r="D1023" t="s">
        <v>414</v>
      </c>
      <c r="F1023">
        <v>2.79</v>
      </c>
      <c r="G1023">
        <v>3121.2710000000002</v>
      </c>
      <c r="H1023">
        <v>35791.434000000001</v>
      </c>
      <c r="I1023">
        <v>0.872</v>
      </c>
      <c r="J1023" t="s">
        <v>403</v>
      </c>
      <c r="K1023">
        <v>0.5</v>
      </c>
      <c r="N1023">
        <v>63</v>
      </c>
      <c r="O1023">
        <v>63</v>
      </c>
      <c r="P1023" t="s">
        <v>573</v>
      </c>
      <c r="Q1023" t="s">
        <v>414</v>
      </c>
      <c r="S1023">
        <v>2.78</v>
      </c>
      <c r="T1023">
        <v>3251.5010000000002</v>
      </c>
      <c r="U1023">
        <v>32068.280999999999</v>
      </c>
      <c r="V1023">
        <v>1.014</v>
      </c>
      <c r="W1023" t="s">
        <v>488</v>
      </c>
      <c r="X1023">
        <v>0.9</v>
      </c>
    </row>
    <row r="1024" spans="1:24" x14ac:dyDescent="0.45">
      <c r="A1024">
        <v>64</v>
      </c>
      <c r="B1024">
        <v>64</v>
      </c>
      <c r="C1024" t="s">
        <v>469</v>
      </c>
      <c r="D1024" t="s">
        <v>414</v>
      </c>
      <c r="F1024">
        <v>2.79</v>
      </c>
      <c r="G1024">
        <v>2095.7020000000002</v>
      </c>
      <c r="H1024">
        <v>34964.07</v>
      </c>
      <c r="I1024">
        <v>0.59899999999999998</v>
      </c>
      <c r="J1024" t="s">
        <v>488</v>
      </c>
      <c r="K1024">
        <v>0.3</v>
      </c>
      <c r="N1024">
        <v>64</v>
      </c>
      <c r="O1024">
        <v>64</v>
      </c>
      <c r="P1024" t="s">
        <v>574</v>
      </c>
      <c r="Q1024" t="s">
        <v>414</v>
      </c>
      <c r="S1024">
        <v>2.78</v>
      </c>
      <c r="T1024">
        <v>2658.5720000000001</v>
      </c>
      <c r="U1024">
        <v>29612.971000000001</v>
      </c>
      <c r="V1024">
        <v>0.89800000000000002</v>
      </c>
      <c r="W1024" t="s">
        <v>488</v>
      </c>
      <c r="X1024">
        <v>0.8</v>
      </c>
    </row>
    <row r="1025" spans="1:25" x14ac:dyDescent="0.45">
      <c r="A1025">
        <v>65</v>
      </c>
      <c r="B1025">
        <v>65</v>
      </c>
      <c r="C1025" t="s">
        <v>470</v>
      </c>
      <c r="D1025" t="s">
        <v>414</v>
      </c>
      <c r="F1025">
        <v>2.79</v>
      </c>
      <c r="G1025">
        <v>4728.2039999999997</v>
      </c>
      <c r="H1025">
        <v>30122.881000000001</v>
      </c>
      <c r="I1025">
        <v>1.57</v>
      </c>
      <c r="J1025" t="s">
        <v>403</v>
      </c>
      <c r="K1025">
        <v>1.3</v>
      </c>
      <c r="N1025">
        <v>65</v>
      </c>
      <c r="O1025">
        <v>65</v>
      </c>
      <c r="P1025" t="s">
        <v>575</v>
      </c>
      <c r="Q1025" t="s">
        <v>414</v>
      </c>
      <c r="S1025">
        <v>2.78</v>
      </c>
      <c r="T1025">
        <v>6212.174</v>
      </c>
      <c r="U1025">
        <v>28570.973000000002</v>
      </c>
      <c r="V1025">
        <v>2.1739999999999999</v>
      </c>
      <c r="W1025" t="s">
        <v>403</v>
      </c>
      <c r="X1025">
        <v>2.6</v>
      </c>
    </row>
    <row r="1027" spans="1:25" x14ac:dyDescent="0.45">
      <c r="A1027" t="s">
        <v>500</v>
      </c>
      <c r="N1027" t="s">
        <v>500</v>
      </c>
    </row>
    <row r="1029" spans="1:25" x14ac:dyDescent="0.45">
      <c r="B1029" t="s">
        <v>389</v>
      </c>
      <c r="C1029" t="s">
        <v>123</v>
      </c>
      <c r="D1029" t="s">
        <v>390</v>
      </c>
      <c r="E1029" t="s">
        <v>391</v>
      </c>
      <c r="F1029" t="s">
        <v>392</v>
      </c>
      <c r="G1029" t="s">
        <v>393</v>
      </c>
      <c r="H1029" t="s">
        <v>394</v>
      </c>
      <c r="I1029" t="s">
        <v>395</v>
      </c>
      <c r="J1029" t="s">
        <v>396</v>
      </c>
      <c r="K1029" t="s">
        <v>397</v>
      </c>
      <c r="L1029" t="s">
        <v>398</v>
      </c>
      <c r="O1029" t="s">
        <v>389</v>
      </c>
      <c r="P1029" t="s">
        <v>123</v>
      </c>
      <c r="Q1029" t="s">
        <v>390</v>
      </c>
      <c r="R1029" t="s">
        <v>391</v>
      </c>
      <c r="S1029" t="s">
        <v>392</v>
      </c>
      <c r="T1029" t="s">
        <v>393</v>
      </c>
      <c r="U1029" t="s">
        <v>394</v>
      </c>
      <c r="V1029" t="s">
        <v>395</v>
      </c>
      <c r="W1029" t="s">
        <v>396</v>
      </c>
      <c r="X1029" t="s">
        <v>397</v>
      </c>
      <c r="Y1029" t="s">
        <v>398</v>
      </c>
    </row>
    <row r="1030" spans="1:25" x14ac:dyDescent="0.45">
      <c r="A1030">
        <v>1</v>
      </c>
      <c r="B1030">
        <v>1</v>
      </c>
      <c r="C1030" t="s">
        <v>399</v>
      </c>
      <c r="D1030" t="s">
        <v>400</v>
      </c>
      <c r="E1030">
        <v>10</v>
      </c>
      <c r="F1030">
        <v>3.07</v>
      </c>
      <c r="G1030">
        <v>37850.171999999999</v>
      </c>
      <c r="I1030">
        <v>37850.171999999999</v>
      </c>
      <c r="J1030" t="s">
        <v>403</v>
      </c>
      <c r="K1030">
        <v>7.9</v>
      </c>
      <c r="L1030">
        <v>-21.5</v>
      </c>
      <c r="N1030">
        <v>1</v>
      </c>
      <c r="O1030">
        <v>1</v>
      </c>
      <c r="P1030" t="s">
        <v>511</v>
      </c>
      <c r="Q1030" t="s">
        <v>400</v>
      </c>
      <c r="R1030">
        <v>10</v>
      </c>
      <c r="S1030">
        <v>3.06</v>
      </c>
      <c r="T1030">
        <v>57921.266000000003</v>
      </c>
      <c r="V1030">
        <v>57921.266000000003</v>
      </c>
      <c r="W1030" t="s">
        <v>403</v>
      </c>
      <c r="X1030">
        <v>9.6</v>
      </c>
      <c r="Y1030">
        <v>-3.9</v>
      </c>
    </row>
    <row r="1031" spans="1:25" x14ac:dyDescent="0.45">
      <c r="A1031">
        <v>2</v>
      </c>
      <c r="B1031">
        <v>2</v>
      </c>
      <c r="C1031" t="s">
        <v>402</v>
      </c>
      <c r="D1031" t="s">
        <v>400</v>
      </c>
      <c r="E1031">
        <v>10</v>
      </c>
      <c r="F1031">
        <v>3.07</v>
      </c>
      <c r="G1031">
        <v>41562.281000000003</v>
      </c>
      <c r="I1031">
        <v>41562.281000000003</v>
      </c>
      <c r="J1031" t="s">
        <v>403</v>
      </c>
      <c r="K1031">
        <v>8.6</v>
      </c>
      <c r="L1031">
        <v>-13.8</v>
      </c>
      <c r="N1031">
        <v>2</v>
      </c>
      <c r="O1031">
        <v>2</v>
      </c>
      <c r="P1031" t="s">
        <v>512</v>
      </c>
      <c r="Q1031" t="s">
        <v>400</v>
      </c>
      <c r="R1031">
        <v>10</v>
      </c>
      <c r="S1031">
        <v>3.06</v>
      </c>
      <c r="T1031">
        <v>60703.667999999998</v>
      </c>
      <c r="V1031">
        <v>60703.667999999998</v>
      </c>
      <c r="W1031" t="s">
        <v>403</v>
      </c>
      <c r="X1031">
        <v>10.1</v>
      </c>
      <c r="Y1031">
        <v>0.7</v>
      </c>
    </row>
    <row r="1032" spans="1:25" x14ac:dyDescent="0.45">
      <c r="A1032">
        <v>3</v>
      </c>
      <c r="B1032">
        <v>3</v>
      </c>
      <c r="C1032" t="s">
        <v>404</v>
      </c>
      <c r="D1032" t="s">
        <v>400</v>
      </c>
      <c r="E1032">
        <v>10</v>
      </c>
      <c r="F1032">
        <v>3.07</v>
      </c>
      <c r="G1032">
        <v>46373.038999999997</v>
      </c>
      <c r="I1032">
        <v>46373.038999999997</v>
      </c>
      <c r="J1032" t="s">
        <v>403</v>
      </c>
      <c r="K1032">
        <v>9.6</v>
      </c>
      <c r="L1032">
        <v>-3.8</v>
      </c>
      <c r="N1032">
        <v>3</v>
      </c>
      <c r="O1032">
        <v>3</v>
      </c>
      <c r="P1032" t="s">
        <v>513</v>
      </c>
      <c r="Q1032" t="s">
        <v>400</v>
      </c>
      <c r="R1032">
        <v>10</v>
      </c>
      <c r="S1032">
        <v>3.06</v>
      </c>
      <c r="T1032">
        <v>59847.233999999997</v>
      </c>
      <c r="V1032">
        <v>59847.233999999997</v>
      </c>
      <c r="W1032" t="s">
        <v>403</v>
      </c>
      <c r="X1032">
        <v>9.9</v>
      </c>
      <c r="Y1032">
        <v>-0.7</v>
      </c>
    </row>
    <row r="1033" spans="1:25" x14ac:dyDescent="0.45">
      <c r="A1033">
        <v>4</v>
      </c>
      <c r="B1033">
        <v>4</v>
      </c>
      <c r="C1033" t="s">
        <v>405</v>
      </c>
      <c r="D1033" t="s">
        <v>400</v>
      </c>
      <c r="E1033">
        <v>10</v>
      </c>
      <c r="F1033">
        <v>3.07</v>
      </c>
      <c r="G1033">
        <v>51413.949000000001</v>
      </c>
      <c r="I1033">
        <v>51413.949000000001</v>
      </c>
      <c r="J1033" t="s">
        <v>403</v>
      </c>
      <c r="K1033">
        <v>10.7</v>
      </c>
      <c r="L1033">
        <v>6.7</v>
      </c>
      <c r="N1033">
        <v>4</v>
      </c>
      <c r="O1033">
        <v>4</v>
      </c>
      <c r="P1033" t="s">
        <v>514</v>
      </c>
      <c r="Q1033" t="s">
        <v>400</v>
      </c>
      <c r="R1033">
        <v>10</v>
      </c>
      <c r="S1033">
        <v>3.06</v>
      </c>
      <c r="T1033">
        <v>59862.137000000002</v>
      </c>
      <c r="V1033">
        <v>59862.137000000002</v>
      </c>
      <c r="W1033" t="s">
        <v>403</v>
      </c>
      <c r="X1033">
        <v>9.9</v>
      </c>
      <c r="Y1033">
        <v>-0.7</v>
      </c>
    </row>
    <row r="1034" spans="1:25" x14ac:dyDescent="0.45">
      <c r="A1034">
        <v>5</v>
      </c>
      <c r="B1034">
        <v>5</v>
      </c>
      <c r="C1034" t="s">
        <v>406</v>
      </c>
      <c r="D1034" t="s">
        <v>400</v>
      </c>
      <c r="E1034">
        <v>10</v>
      </c>
      <c r="F1034">
        <v>3.07</v>
      </c>
      <c r="G1034">
        <v>54456.370999999999</v>
      </c>
      <c r="I1034">
        <v>54456.370999999999</v>
      </c>
      <c r="J1034" t="s">
        <v>401</v>
      </c>
      <c r="K1034">
        <v>11.3</v>
      </c>
      <c r="L1034">
        <v>13</v>
      </c>
      <c r="N1034">
        <v>5</v>
      </c>
      <c r="O1034">
        <v>5</v>
      </c>
      <c r="P1034" t="s">
        <v>515</v>
      </c>
      <c r="Q1034" t="s">
        <v>400</v>
      </c>
      <c r="R1034">
        <v>10</v>
      </c>
      <c r="S1034">
        <v>3.06</v>
      </c>
      <c r="T1034">
        <v>61719.156000000003</v>
      </c>
      <c r="V1034">
        <v>61719.156000000003</v>
      </c>
      <c r="W1034" t="s">
        <v>403</v>
      </c>
      <c r="X1034">
        <v>10.199999999999999</v>
      </c>
      <c r="Y1034">
        <v>2.4</v>
      </c>
    </row>
    <row r="1035" spans="1:25" x14ac:dyDescent="0.45">
      <c r="A1035">
        <v>6</v>
      </c>
      <c r="B1035">
        <v>6</v>
      </c>
      <c r="C1035" t="s">
        <v>407</v>
      </c>
      <c r="D1035" t="s">
        <v>400</v>
      </c>
      <c r="E1035">
        <v>10</v>
      </c>
      <c r="F1035">
        <v>3.07</v>
      </c>
      <c r="G1035">
        <v>52267.851999999999</v>
      </c>
      <c r="I1035">
        <v>52267.851999999999</v>
      </c>
      <c r="J1035" t="s">
        <v>403</v>
      </c>
      <c r="K1035">
        <v>10.8</v>
      </c>
      <c r="L1035">
        <v>8.4</v>
      </c>
      <c r="N1035">
        <v>6</v>
      </c>
      <c r="O1035">
        <v>6</v>
      </c>
      <c r="P1035" t="s">
        <v>516</v>
      </c>
      <c r="Q1035" t="s">
        <v>400</v>
      </c>
      <c r="R1035">
        <v>10</v>
      </c>
      <c r="S1035">
        <v>3.06</v>
      </c>
      <c r="T1035">
        <v>60989.391000000003</v>
      </c>
      <c r="V1035">
        <v>60989.391000000003</v>
      </c>
      <c r="W1035" t="s">
        <v>403</v>
      </c>
      <c r="X1035">
        <v>10.1</v>
      </c>
      <c r="Y1035">
        <v>1.2</v>
      </c>
    </row>
    <row r="1036" spans="1:25" x14ac:dyDescent="0.45">
      <c r="A1036">
        <v>7</v>
      </c>
      <c r="B1036">
        <v>7</v>
      </c>
      <c r="C1036" t="s">
        <v>408</v>
      </c>
      <c r="D1036" t="s">
        <v>400</v>
      </c>
      <c r="E1036">
        <v>10</v>
      </c>
      <c r="F1036">
        <v>3.07</v>
      </c>
      <c r="G1036">
        <v>53458.148000000001</v>
      </c>
      <c r="I1036">
        <v>53458.148000000001</v>
      </c>
      <c r="J1036" t="s">
        <v>403</v>
      </c>
      <c r="K1036">
        <v>11.1</v>
      </c>
      <c r="L1036">
        <v>10.9</v>
      </c>
      <c r="N1036">
        <v>7</v>
      </c>
      <c r="O1036">
        <v>7</v>
      </c>
      <c r="P1036" t="s">
        <v>517</v>
      </c>
      <c r="Q1036" t="s">
        <v>400</v>
      </c>
      <c r="R1036">
        <v>10</v>
      </c>
      <c r="S1036">
        <v>3.06</v>
      </c>
      <c r="T1036">
        <v>60756.241999999998</v>
      </c>
      <c r="V1036">
        <v>60756.241999999998</v>
      </c>
      <c r="W1036" t="s">
        <v>403</v>
      </c>
      <c r="X1036">
        <v>10.1</v>
      </c>
      <c r="Y1036">
        <v>0.8</v>
      </c>
    </row>
    <row r="1037" spans="1:25" x14ac:dyDescent="0.45">
      <c r="A1037">
        <v>8</v>
      </c>
      <c r="B1037">
        <v>8</v>
      </c>
      <c r="C1037" t="s">
        <v>409</v>
      </c>
      <c r="D1037" t="s">
        <v>410</v>
      </c>
      <c r="E1037">
        <v>10</v>
      </c>
      <c r="F1037">
        <v>3.09</v>
      </c>
      <c r="G1037">
        <v>3238.904</v>
      </c>
      <c r="I1037">
        <v>3238.904</v>
      </c>
      <c r="J1037" t="s">
        <v>403</v>
      </c>
      <c r="K1037">
        <v>0.7</v>
      </c>
      <c r="L1037">
        <v>-93.3</v>
      </c>
      <c r="N1037">
        <v>8</v>
      </c>
      <c r="O1037">
        <v>8</v>
      </c>
      <c r="P1037" t="s">
        <v>518</v>
      </c>
      <c r="Q1037" t="s">
        <v>410</v>
      </c>
      <c r="R1037">
        <v>10</v>
      </c>
      <c r="S1037">
        <v>4.97</v>
      </c>
      <c r="T1037">
        <v>120.629</v>
      </c>
      <c r="V1037">
        <v>120.629</v>
      </c>
      <c r="W1037" t="s">
        <v>401</v>
      </c>
      <c r="X1037">
        <v>0</v>
      </c>
      <c r="Y1037">
        <v>-99.8</v>
      </c>
    </row>
    <row r="1038" spans="1:25" x14ac:dyDescent="0.45">
      <c r="A1038">
        <v>9</v>
      </c>
      <c r="B1038">
        <v>9</v>
      </c>
      <c r="C1038" t="s">
        <v>411</v>
      </c>
      <c r="D1038" t="s">
        <v>410</v>
      </c>
      <c r="E1038">
        <v>10</v>
      </c>
      <c r="F1038">
        <v>2.4300000000000002</v>
      </c>
      <c r="G1038">
        <v>2770.3530000000001</v>
      </c>
      <c r="I1038">
        <v>2770.3530000000001</v>
      </c>
      <c r="J1038" t="s">
        <v>403</v>
      </c>
      <c r="K1038">
        <v>0.6</v>
      </c>
      <c r="L1038">
        <v>-94.3</v>
      </c>
      <c r="N1038">
        <v>9</v>
      </c>
      <c r="O1038">
        <v>9</v>
      </c>
      <c r="P1038" t="s">
        <v>519</v>
      </c>
      <c r="Q1038" t="s">
        <v>410</v>
      </c>
      <c r="R1038">
        <v>10</v>
      </c>
      <c r="S1038">
        <v>3.59</v>
      </c>
      <c r="T1038">
        <v>171.69</v>
      </c>
      <c r="V1038">
        <v>171.69</v>
      </c>
      <c r="W1038" t="s">
        <v>403</v>
      </c>
      <c r="X1038">
        <v>0</v>
      </c>
      <c r="Y1038">
        <v>-99.7</v>
      </c>
    </row>
    <row r="1039" spans="1:25" x14ac:dyDescent="0.45">
      <c r="A1039">
        <v>10</v>
      </c>
      <c r="B1039">
        <v>10</v>
      </c>
      <c r="C1039" t="s">
        <v>413</v>
      </c>
      <c r="D1039" t="s">
        <v>414</v>
      </c>
      <c r="E1039">
        <v>10</v>
      </c>
      <c r="F1039">
        <v>3.07</v>
      </c>
      <c r="G1039">
        <v>29547.296999999999</v>
      </c>
      <c r="I1039">
        <v>29547.296999999999</v>
      </c>
      <c r="J1039" t="s">
        <v>403</v>
      </c>
      <c r="K1039">
        <v>6.1</v>
      </c>
      <c r="L1039">
        <v>-38.700000000000003</v>
      </c>
      <c r="N1039">
        <v>10</v>
      </c>
      <c r="O1039">
        <v>10</v>
      </c>
      <c r="P1039" t="s">
        <v>520</v>
      </c>
      <c r="Q1039" t="s">
        <v>414</v>
      </c>
      <c r="R1039">
        <v>10</v>
      </c>
      <c r="S1039">
        <v>3.06</v>
      </c>
      <c r="T1039">
        <v>52610.813000000002</v>
      </c>
      <c r="V1039">
        <v>52610.813000000002</v>
      </c>
      <c r="W1039" t="s">
        <v>403</v>
      </c>
      <c r="X1039">
        <v>8.6999999999999993</v>
      </c>
      <c r="Y1039">
        <v>-12.7</v>
      </c>
    </row>
    <row r="1040" spans="1:25" x14ac:dyDescent="0.45">
      <c r="A1040">
        <v>11</v>
      </c>
      <c r="B1040">
        <v>11</v>
      </c>
      <c r="C1040" t="s">
        <v>416</v>
      </c>
      <c r="D1040" t="s">
        <v>414</v>
      </c>
      <c r="E1040">
        <v>10</v>
      </c>
      <c r="F1040">
        <v>3.07</v>
      </c>
      <c r="G1040">
        <v>36206.199000000001</v>
      </c>
      <c r="I1040">
        <v>36206.199000000001</v>
      </c>
      <c r="J1040" t="s">
        <v>403</v>
      </c>
      <c r="K1040">
        <v>7.5</v>
      </c>
      <c r="L1040">
        <v>-24.9</v>
      </c>
      <c r="N1040">
        <v>11</v>
      </c>
      <c r="O1040">
        <v>11</v>
      </c>
      <c r="P1040" t="s">
        <v>521</v>
      </c>
      <c r="Q1040" t="s">
        <v>414</v>
      </c>
      <c r="R1040">
        <v>10</v>
      </c>
      <c r="S1040">
        <v>3.06</v>
      </c>
      <c r="T1040">
        <v>27280.190999999999</v>
      </c>
      <c r="V1040">
        <v>27280.190999999999</v>
      </c>
      <c r="W1040" t="s">
        <v>401</v>
      </c>
      <c r="X1040">
        <v>4.5</v>
      </c>
      <c r="Y1040">
        <v>-54.7</v>
      </c>
    </row>
    <row r="1041" spans="1:25" x14ac:dyDescent="0.45">
      <c r="A1041">
        <v>12</v>
      </c>
      <c r="B1041">
        <v>12</v>
      </c>
      <c r="C1041" t="s">
        <v>417</v>
      </c>
      <c r="D1041" t="s">
        <v>414</v>
      </c>
      <c r="E1041">
        <v>10</v>
      </c>
      <c r="F1041">
        <v>3.07</v>
      </c>
      <c r="G1041">
        <v>28794.282999999999</v>
      </c>
      <c r="I1041">
        <v>28794.282999999999</v>
      </c>
      <c r="J1041" t="s">
        <v>403</v>
      </c>
      <c r="K1041">
        <v>6</v>
      </c>
      <c r="L1041">
        <v>-40.299999999999997</v>
      </c>
      <c r="N1041">
        <v>12</v>
      </c>
      <c r="O1041">
        <v>12</v>
      </c>
      <c r="P1041" t="s">
        <v>522</v>
      </c>
      <c r="Q1041" t="s">
        <v>414</v>
      </c>
      <c r="R1041">
        <v>10</v>
      </c>
      <c r="S1041">
        <v>3.06</v>
      </c>
      <c r="T1041">
        <v>24072.826000000001</v>
      </c>
      <c r="V1041">
        <v>24072.826000000001</v>
      </c>
      <c r="W1041" t="s">
        <v>401</v>
      </c>
      <c r="X1041">
        <v>4</v>
      </c>
      <c r="Y1041">
        <v>-60</v>
      </c>
    </row>
    <row r="1042" spans="1:25" x14ac:dyDescent="0.45">
      <c r="A1042">
        <v>13</v>
      </c>
      <c r="B1042">
        <v>13</v>
      </c>
      <c r="C1042" t="s">
        <v>418</v>
      </c>
      <c r="D1042" t="s">
        <v>414</v>
      </c>
      <c r="E1042">
        <v>10</v>
      </c>
      <c r="F1042">
        <v>3.07</v>
      </c>
      <c r="G1042">
        <v>25391.655999999999</v>
      </c>
      <c r="I1042">
        <v>25391.655999999999</v>
      </c>
      <c r="J1042" t="s">
        <v>403</v>
      </c>
      <c r="K1042">
        <v>5.3</v>
      </c>
      <c r="L1042">
        <v>-47.3</v>
      </c>
      <c r="N1042">
        <v>13</v>
      </c>
      <c r="O1042">
        <v>13</v>
      </c>
      <c r="P1042" t="s">
        <v>523</v>
      </c>
      <c r="Q1042" t="s">
        <v>414</v>
      </c>
      <c r="R1042">
        <v>10</v>
      </c>
      <c r="S1042">
        <v>3.06</v>
      </c>
      <c r="T1042">
        <v>35754.375</v>
      </c>
      <c r="V1042">
        <v>35754.375</v>
      </c>
      <c r="W1042" t="s">
        <v>401</v>
      </c>
      <c r="X1042">
        <v>5.9</v>
      </c>
      <c r="Y1042">
        <v>-40.700000000000003</v>
      </c>
    </row>
    <row r="1043" spans="1:25" x14ac:dyDescent="0.45">
      <c r="A1043">
        <v>14</v>
      </c>
      <c r="B1043">
        <v>14</v>
      </c>
      <c r="C1043" t="s">
        <v>419</v>
      </c>
      <c r="D1043" t="s">
        <v>414</v>
      </c>
      <c r="E1043">
        <v>10</v>
      </c>
      <c r="F1043">
        <v>3.07</v>
      </c>
      <c r="G1043">
        <v>33072.078000000001</v>
      </c>
      <c r="I1043">
        <v>33072.078000000001</v>
      </c>
      <c r="J1043" t="s">
        <v>403</v>
      </c>
      <c r="K1043">
        <v>6.9</v>
      </c>
      <c r="L1043">
        <v>-31.4</v>
      </c>
      <c r="N1043">
        <v>14</v>
      </c>
      <c r="O1043">
        <v>14</v>
      </c>
      <c r="P1043" t="s">
        <v>524</v>
      </c>
      <c r="Q1043" t="s">
        <v>414</v>
      </c>
      <c r="R1043">
        <v>10</v>
      </c>
      <c r="S1043">
        <v>3.06</v>
      </c>
      <c r="T1043">
        <v>22574.831999999999</v>
      </c>
      <c r="V1043">
        <v>22574.831999999999</v>
      </c>
      <c r="W1043" t="s">
        <v>401</v>
      </c>
      <c r="X1043">
        <v>3.7</v>
      </c>
      <c r="Y1043">
        <v>-62.5</v>
      </c>
    </row>
    <row r="1044" spans="1:25" x14ac:dyDescent="0.45">
      <c r="A1044">
        <v>15</v>
      </c>
      <c r="B1044">
        <v>15</v>
      </c>
      <c r="C1044" t="s">
        <v>420</v>
      </c>
      <c r="D1044" t="s">
        <v>414</v>
      </c>
      <c r="E1044">
        <v>10</v>
      </c>
      <c r="F1044">
        <v>3.07</v>
      </c>
      <c r="G1044">
        <v>37934.870999999999</v>
      </c>
      <c r="I1044">
        <v>37934.870999999999</v>
      </c>
      <c r="J1044" t="s">
        <v>403</v>
      </c>
      <c r="K1044">
        <v>7.9</v>
      </c>
      <c r="L1044">
        <v>-21.3</v>
      </c>
      <c r="N1044">
        <v>15</v>
      </c>
      <c r="O1044">
        <v>15</v>
      </c>
      <c r="P1044" t="s">
        <v>525</v>
      </c>
      <c r="Q1044" t="s">
        <v>414</v>
      </c>
      <c r="R1044">
        <v>10</v>
      </c>
      <c r="S1044">
        <v>3.06</v>
      </c>
      <c r="T1044">
        <v>23625.574000000001</v>
      </c>
      <c r="V1044">
        <v>23625.574000000001</v>
      </c>
      <c r="W1044" t="s">
        <v>403</v>
      </c>
      <c r="X1044">
        <v>3.9</v>
      </c>
      <c r="Y1044">
        <v>-60.8</v>
      </c>
    </row>
    <row r="1045" spans="1:25" x14ac:dyDescent="0.45">
      <c r="A1045">
        <v>16</v>
      </c>
      <c r="B1045">
        <v>16</v>
      </c>
      <c r="C1045" t="s">
        <v>421</v>
      </c>
      <c r="D1045" t="s">
        <v>414</v>
      </c>
      <c r="E1045">
        <v>10</v>
      </c>
      <c r="F1045">
        <v>3.07</v>
      </c>
      <c r="G1045">
        <v>34938.203000000001</v>
      </c>
      <c r="I1045">
        <v>34938.203000000001</v>
      </c>
      <c r="J1045" t="s">
        <v>403</v>
      </c>
      <c r="K1045">
        <v>7.2</v>
      </c>
      <c r="L1045">
        <v>-27.5</v>
      </c>
      <c r="N1045">
        <v>16</v>
      </c>
      <c r="O1045">
        <v>16</v>
      </c>
      <c r="P1045" t="s">
        <v>526</v>
      </c>
      <c r="Q1045" t="s">
        <v>414</v>
      </c>
      <c r="R1045">
        <v>10</v>
      </c>
      <c r="S1045">
        <v>3.06</v>
      </c>
      <c r="T1045">
        <v>32827.847999999998</v>
      </c>
      <c r="V1045">
        <v>32827.847999999998</v>
      </c>
      <c r="W1045" t="s">
        <v>403</v>
      </c>
      <c r="X1045">
        <v>5.4</v>
      </c>
      <c r="Y1045">
        <v>-45.5</v>
      </c>
    </row>
    <row r="1046" spans="1:25" x14ac:dyDescent="0.45">
      <c r="A1046">
        <v>17</v>
      </c>
      <c r="B1046">
        <v>17</v>
      </c>
      <c r="C1046" t="s">
        <v>422</v>
      </c>
      <c r="D1046" t="s">
        <v>414</v>
      </c>
      <c r="E1046">
        <v>10</v>
      </c>
      <c r="F1046">
        <v>3.07</v>
      </c>
      <c r="G1046">
        <v>32101.521000000001</v>
      </c>
      <c r="I1046">
        <v>32101.521000000001</v>
      </c>
      <c r="J1046" t="s">
        <v>403</v>
      </c>
      <c r="K1046">
        <v>6.7</v>
      </c>
      <c r="L1046">
        <v>-33.4</v>
      </c>
      <c r="N1046">
        <v>17</v>
      </c>
      <c r="O1046">
        <v>17</v>
      </c>
      <c r="P1046" t="s">
        <v>527</v>
      </c>
      <c r="Q1046" t="s">
        <v>414</v>
      </c>
      <c r="R1046">
        <v>10</v>
      </c>
      <c r="S1046">
        <v>3.06</v>
      </c>
      <c r="T1046">
        <v>21031.434000000001</v>
      </c>
      <c r="V1046">
        <v>21031.434000000001</v>
      </c>
      <c r="W1046" t="s">
        <v>403</v>
      </c>
      <c r="X1046">
        <v>3.5</v>
      </c>
      <c r="Y1046">
        <v>-65.099999999999994</v>
      </c>
    </row>
    <row r="1047" spans="1:25" x14ac:dyDescent="0.45">
      <c r="A1047">
        <v>18</v>
      </c>
      <c r="B1047">
        <v>18</v>
      </c>
      <c r="C1047" t="s">
        <v>423</v>
      </c>
      <c r="D1047" t="s">
        <v>414</v>
      </c>
      <c r="E1047">
        <v>10</v>
      </c>
      <c r="F1047">
        <v>3.07</v>
      </c>
      <c r="G1047">
        <v>34423.266000000003</v>
      </c>
      <c r="I1047">
        <v>34423.266000000003</v>
      </c>
      <c r="J1047" t="s">
        <v>403</v>
      </c>
      <c r="K1047">
        <v>7.1</v>
      </c>
      <c r="L1047">
        <v>-28.6</v>
      </c>
      <c r="N1047">
        <v>18</v>
      </c>
      <c r="O1047">
        <v>18</v>
      </c>
      <c r="P1047" t="s">
        <v>528</v>
      </c>
      <c r="Q1047" t="s">
        <v>414</v>
      </c>
      <c r="R1047">
        <v>10</v>
      </c>
      <c r="S1047">
        <v>3.06</v>
      </c>
      <c r="T1047">
        <v>30196.365000000002</v>
      </c>
      <c r="V1047">
        <v>30196.365000000002</v>
      </c>
      <c r="W1047" t="s">
        <v>401</v>
      </c>
      <c r="X1047">
        <v>5</v>
      </c>
      <c r="Y1047">
        <v>-49.9</v>
      </c>
    </row>
    <row r="1048" spans="1:25" x14ac:dyDescent="0.45">
      <c r="A1048">
        <v>19</v>
      </c>
      <c r="B1048">
        <v>19</v>
      </c>
      <c r="C1048" t="s">
        <v>424</v>
      </c>
      <c r="D1048" t="s">
        <v>414</v>
      </c>
      <c r="E1048">
        <v>10</v>
      </c>
      <c r="F1048">
        <v>3.07</v>
      </c>
      <c r="G1048">
        <v>39836.754000000001</v>
      </c>
      <c r="I1048">
        <v>39836.754000000001</v>
      </c>
      <c r="J1048" t="s">
        <v>403</v>
      </c>
      <c r="K1048">
        <v>8.3000000000000007</v>
      </c>
      <c r="L1048">
        <v>-17.3</v>
      </c>
      <c r="N1048">
        <v>19</v>
      </c>
      <c r="O1048">
        <v>19</v>
      </c>
      <c r="P1048" t="s">
        <v>529</v>
      </c>
      <c r="Q1048" t="s">
        <v>414</v>
      </c>
      <c r="R1048">
        <v>10</v>
      </c>
      <c r="S1048">
        <v>3.06</v>
      </c>
      <c r="T1048">
        <v>43884.116999999998</v>
      </c>
      <c r="V1048">
        <v>43884.116999999998</v>
      </c>
      <c r="W1048" t="s">
        <v>401</v>
      </c>
      <c r="X1048">
        <v>7.3</v>
      </c>
      <c r="Y1048">
        <v>-27.2</v>
      </c>
    </row>
    <row r="1049" spans="1:25" x14ac:dyDescent="0.45">
      <c r="A1049">
        <v>20</v>
      </c>
      <c r="B1049">
        <v>20</v>
      </c>
      <c r="C1049" t="s">
        <v>425</v>
      </c>
      <c r="D1049" t="s">
        <v>414</v>
      </c>
      <c r="E1049">
        <v>10</v>
      </c>
      <c r="F1049">
        <v>3.07</v>
      </c>
      <c r="G1049">
        <v>25446.662</v>
      </c>
      <c r="I1049">
        <v>25446.662</v>
      </c>
      <c r="J1049" t="s">
        <v>403</v>
      </c>
      <c r="K1049">
        <v>5.3</v>
      </c>
      <c r="L1049">
        <v>-47.2</v>
      </c>
      <c r="N1049">
        <v>20</v>
      </c>
      <c r="O1049">
        <v>20</v>
      </c>
      <c r="P1049" t="s">
        <v>530</v>
      </c>
      <c r="Q1049" t="s">
        <v>414</v>
      </c>
      <c r="R1049">
        <v>10</v>
      </c>
      <c r="S1049">
        <v>3.06</v>
      </c>
      <c r="T1049">
        <v>22539.842000000001</v>
      </c>
      <c r="V1049">
        <v>22539.842000000001</v>
      </c>
      <c r="W1049" t="s">
        <v>401</v>
      </c>
      <c r="X1049">
        <v>3.7</v>
      </c>
      <c r="Y1049">
        <v>-62.6</v>
      </c>
    </row>
    <row r="1050" spans="1:25" x14ac:dyDescent="0.45">
      <c r="A1050">
        <v>21</v>
      </c>
      <c r="B1050">
        <v>21</v>
      </c>
      <c r="C1050" t="s">
        <v>426</v>
      </c>
      <c r="D1050" t="s">
        <v>414</v>
      </c>
      <c r="E1050">
        <v>10</v>
      </c>
      <c r="F1050">
        <v>3.07</v>
      </c>
      <c r="G1050">
        <v>32067.66</v>
      </c>
      <c r="I1050">
        <v>32067.66</v>
      </c>
      <c r="J1050" t="s">
        <v>403</v>
      </c>
      <c r="K1050">
        <v>6.7</v>
      </c>
      <c r="L1050">
        <v>-33.5</v>
      </c>
      <c r="N1050">
        <v>21</v>
      </c>
      <c r="O1050">
        <v>21</v>
      </c>
      <c r="P1050" t="s">
        <v>531</v>
      </c>
      <c r="Q1050" t="s">
        <v>414</v>
      </c>
      <c r="R1050">
        <v>10</v>
      </c>
      <c r="S1050">
        <v>3.06</v>
      </c>
      <c r="T1050">
        <v>24519.092000000001</v>
      </c>
      <c r="V1050">
        <v>24519.092000000001</v>
      </c>
      <c r="W1050" t="s">
        <v>403</v>
      </c>
      <c r="X1050">
        <v>4.0999999999999996</v>
      </c>
      <c r="Y1050">
        <v>-59.3</v>
      </c>
    </row>
    <row r="1051" spans="1:25" x14ac:dyDescent="0.45">
      <c r="A1051">
        <v>22</v>
      </c>
      <c r="B1051">
        <v>22</v>
      </c>
      <c r="C1051" t="s">
        <v>427</v>
      </c>
      <c r="D1051" t="s">
        <v>414</v>
      </c>
      <c r="E1051">
        <v>10</v>
      </c>
      <c r="F1051">
        <v>3.07</v>
      </c>
      <c r="G1051">
        <v>26188.508000000002</v>
      </c>
      <c r="I1051">
        <v>26188.508000000002</v>
      </c>
      <c r="J1051" t="s">
        <v>403</v>
      </c>
      <c r="K1051">
        <v>5.4</v>
      </c>
      <c r="L1051">
        <v>-45.7</v>
      </c>
      <c r="N1051">
        <v>22</v>
      </c>
      <c r="O1051">
        <v>22</v>
      </c>
      <c r="P1051" t="s">
        <v>532</v>
      </c>
      <c r="Q1051" t="s">
        <v>414</v>
      </c>
      <c r="R1051">
        <v>10</v>
      </c>
      <c r="S1051">
        <v>3.06</v>
      </c>
      <c r="T1051">
        <v>27552.648000000001</v>
      </c>
      <c r="V1051">
        <v>27552.648000000001</v>
      </c>
      <c r="W1051" t="s">
        <v>403</v>
      </c>
      <c r="X1051">
        <v>4.5999999999999996</v>
      </c>
      <c r="Y1051">
        <v>-54.3</v>
      </c>
    </row>
    <row r="1052" spans="1:25" x14ac:dyDescent="0.45">
      <c r="A1052">
        <v>23</v>
      </c>
      <c r="B1052">
        <v>23</v>
      </c>
      <c r="C1052" t="s">
        <v>428</v>
      </c>
      <c r="D1052" t="s">
        <v>414</v>
      </c>
      <c r="E1052">
        <v>10</v>
      </c>
      <c r="F1052">
        <v>3.07</v>
      </c>
      <c r="G1052">
        <v>27376.719000000001</v>
      </c>
      <c r="I1052">
        <v>27376.719000000001</v>
      </c>
      <c r="J1052" t="s">
        <v>403</v>
      </c>
      <c r="K1052">
        <v>5.7</v>
      </c>
      <c r="L1052">
        <v>-43.2</v>
      </c>
      <c r="N1052">
        <v>23</v>
      </c>
      <c r="O1052">
        <v>23</v>
      </c>
      <c r="P1052" t="s">
        <v>533</v>
      </c>
      <c r="Q1052" t="s">
        <v>414</v>
      </c>
      <c r="R1052">
        <v>10</v>
      </c>
      <c r="S1052">
        <v>3.06</v>
      </c>
      <c r="T1052">
        <v>36978.883000000002</v>
      </c>
      <c r="V1052">
        <v>36978.883000000002</v>
      </c>
      <c r="W1052" t="s">
        <v>403</v>
      </c>
      <c r="X1052">
        <v>6.1</v>
      </c>
      <c r="Y1052">
        <v>-38.6</v>
      </c>
    </row>
    <row r="1053" spans="1:25" x14ac:dyDescent="0.45">
      <c r="A1053">
        <v>24</v>
      </c>
      <c r="B1053">
        <v>24</v>
      </c>
      <c r="C1053" t="s">
        <v>429</v>
      </c>
      <c r="D1053" t="s">
        <v>414</v>
      </c>
      <c r="E1053">
        <v>10</v>
      </c>
      <c r="F1053">
        <v>3.07</v>
      </c>
      <c r="G1053">
        <v>28330.701000000001</v>
      </c>
      <c r="I1053">
        <v>28330.701000000001</v>
      </c>
      <c r="J1053" t="s">
        <v>403</v>
      </c>
      <c r="K1053">
        <v>5.9</v>
      </c>
      <c r="L1053">
        <v>-41.2</v>
      </c>
      <c r="N1053">
        <v>24</v>
      </c>
      <c r="O1053">
        <v>24</v>
      </c>
      <c r="P1053" t="s">
        <v>534</v>
      </c>
      <c r="Q1053" t="s">
        <v>414</v>
      </c>
      <c r="R1053">
        <v>10</v>
      </c>
      <c r="S1053">
        <v>3.06</v>
      </c>
      <c r="T1053">
        <v>31122.594000000001</v>
      </c>
      <c r="V1053">
        <v>31122.594000000001</v>
      </c>
      <c r="W1053" t="s">
        <v>412</v>
      </c>
      <c r="X1053">
        <v>5.2</v>
      </c>
      <c r="Y1053">
        <v>-48.4</v>
      </c>
    </row>
    <row r="1054" spans="1:25" x14ac:dyDescent="0.45">
      <c r="A1054">
        <v>25</v>
      </c>
      <c r="B1054">
        <v>25</v>
      </c>
      <c r="C1054" t="s">
        <v>430</v>
      </c>
      <c r="D1054" t="s">
        <v>414</v>
      </c>
      <c r="E1054">
        <v>10</v>
      </c>
      <c r="F1054">
        <v>3.07</v>
      </c>
      <c r="G1054">
        <v>31735.366999999998</v>
      </c>
      <c r="I1054">
        <v>31735.366999999998</v>
      </c>
      <c r="J1054" t="s">
        <v>403</v>
      </c>
      <c r="K1054">
        <v>6.6</v>
      </c>
      <c r="L1054">
        <v>-34.200000000000003</v>
      </c>
      <c r="N1054">
        <v>25</v>
      </c>
      <c r="O1054">
        <v>25</v>
      </c>
      <c r="P1054" t="s">
        <v>535</v>
      </c>
      <c r="Q1054" t="s">
        <v>414</v>
      </c>
      <c r="R1054">
        <v>10</v>
      </c>
      <c r="S1054">
        <v>3.06</v>
      </c>
      <c r="T1054">
        <v>45529.77</v>
      </c>
      <c r="V1054">
        <v>45529.77</v>
      </c>
      <c r="W1054" t="s">
        <v>401</v>
      </c>
      <c r="X1054">
        <v>7.6</v>
      </c>
      <c r="Y1054">
        <v>-24.4</v>
      </c>
    </row>
    <row r="1055" spans="1:25" x14ac:dyDescent="0.45">
      <c r="A1055">
        <v>26</v>
      </c>
      <c r="B1055">
        <v>26</v>
      </c>
      <c r="C1055" t="s">
        <v>431</v>
      </c>
      <c r="D1055" t="s">
        <v>414</v>
      </c>
      <c r="E1055">
        <v>10</v>
      </c>
      <c r="F1055">
        <v>3.07</v>
      </c>
      <c r="G1055">
        <v>23727.705000000002</v>
      </c>
      <c r="I1055">
        <v>23727.705000000002</v>
      </c>
      <c r="J1055" t="s">
        <v>403</v>
      </c>
      <c r="K1055">
        <v>4.9000000000000004</v>
      </c>
      <c r="L1055">
        <v>-50.8</v>
      </c>
      <c r="N1055">
        <v>26</v>
      </c>
      <c r="O1055">
        <v>26</v>
      </c>
      <c r="P1055" t="s">
        <v>536</v>
      </c>
      <c r="Q1055" t="s">
        <v>414</v>
      </c>
      <c r="R1055">
        <v>10</v>
      </c>
      <c r="S1055">
        <v>3.06</v>
      </c>
      <c r="T1055">
        <v>26557.603999999999</v>
      </c>
      <c r="V1055">
        <v>26557.603999999999</v>
      </c>
      <c r="W1055" t="s">
        <v>403</v>
      </c>
      <c r="X1055">
        <v>4.4000000000000004</v>
      </c>
      <c r="Y1055">
        <v>-55.9</v>
      </c>
    </row>
    <row r="1056" spans="1:25" x14ac:dyDescent="0.45">
      <c r="A1056">
        <v>27</v>
      </c>
      <c r="B1056">
        <v>27</v>
      </c>
      <c r="C1056" t="s">
        <v>432</v>
      </c>
      <c r="D1056" t="s">
        <v>414</v>
      </c>
      <c r="E1056">
        <v>10</v>
      </c>
      <c r="F1056">
        <v>3.07</v>
      </c>
      <c r="G1056">
        <v>23831.333999999999</v>
      </c>
      <c r="I1056">
        <v>23831.333999999999</v>
      </c>
      <c r="J1056" t="s">
        <v>403</v>
      </c>
      <c r="K1056">
        <v>4.9000000000000004</v>
      </c>
      <c r="L1056">
        <v>-50.6</v>
      </c>
      <c r="N1056">
        <v>27</v>
      </c>
      <c r="O1056">
        <v>27</v>
      </c>
      <c r="P1056" t="s">
        <v>537</v>
      </c>
      <c r="Q1056" t="s">
        <v>414</v>
      </c>
      <c r="R1056">
        <v>10</v>
      </c>
      <c r="S1056">
        <v>3.06</v>
      </c>
      <c r="T1056">
        <v>20408.879000000001</v>
      </c>
      <c r="V1056">
        <v>20408.879000000001</v>
      </c>
      <c r="W1056" t="s">
        <v>403</v>
      </c>
      <c r="X1056">
        <v>3.4</v>
      </c>
      <c r="Y1056">
        <v>-66.099999999999994</v>
      </c>
    </row>
    <row r="1057" spans="1:25" x14ac:dyDescent="0.45">
      <c r="A1057">
        <v>28</v>
      </c>
      <c r="B1057">
        <v>28</v>
      </c>
      <c r="C1057" t="s">
        <v>433</v>
      </c>
      <c r="D1057" t="s">
        <v>414</v>
      </c>
      <c r="E1057">
        <v>10</v>
      </c>
      <c r="F1057">
        <v>3.07</v>
      </c>
      <c r="G1057">
        <v>27246.131000000001</v>
      </c>
      <c r="I1057">
        <v>27246.131000000001</v>
      </c>
      <c r="J1057" t="s">
        <v>403</v>
      </c>
      <c r="K1057">
        <v>5.7</v>
      </c>
      <c r="L1057">
        <v>-43.5</v>
      </c>
      <c r="N1057">
        <v>28</v>
      </c>
      <c r="O1057">
        <v>28</v>
      </c>
      <c r="P1057" t="s">
        <v>538</v>
      </c>
      <c r="Q1057" t="s">
        <v>414</v>
      </c>
      <c r="R1057">
        <v>10</v>
      </c>
      <c r="S1057">
        <v>3.06</v>
      </c>
      <c r="T1057">
        <v>26014.530999999999</v>
      </c>
      <c r="V1057">
        <v>26014.530999999999</v>
      </c>
      <c r="W1057" t="s">
        <v>403</v>
      </c>
      <c r="X1057">
        <v>4.3</v>
      </c>
      <c r="Y1057">
        <v>-56.8</v>
      </c>
    </row>
    <row r="1058" spans="1:25" x14ac:dyDescent="0.45">
      <c r="A1058">
        <v>29</v>
      </c>
      <c r="B1058">
        <v>29</v>
      </c>
      <c r="C1058" t="s">
        <v>434</v>
      </c>
      <c r="D1058" t="s">
        <v>414</v>
      </c>
      <c r="E1058">
        <v>10</v>
      </c>
      <c r="F1058">
        <v>3.07</v>
      </c>
      <c r="G1058">
        <v>27690.42</v>
      </c>
      <c r="I1058">
        <v>27690.42</v>
      </c>
      <c r="J1058" t="s">
        <v>403</v>
      </c>
      <c r="K1058">
        <v>5.7</v>
      </c>
      <c r="L1058">
        <v>-42.5</v>
      </c>
      <c r="N1058">
        <v>29</v>
      </c>
      <c r="O1058">
        <v>29</v>
      </c>
      <c r="P1058" t="s">
        <v>539</v>
      </c>
      <c r="Q1058" t="s">
        <v>414</v>
      </c>
      <c r="R1058">
        <v>10</v>
      </c>
      <c r="S1058">
        <v>3.06</v>
      </c>
      <c r="T1058">
        <v>36472.184000000001</v>
      </c>
      <c r="V1058">
        <v>36472.184000000001</v>
      </c>
      <c r="W1058" t="s">
        <v>403</v>
      </c>
      <c r="X1058">
        <v>6.1</v>
      </c>
      <c r="Y1058">
        <v>-39.5</v>
      </c>
    </row>
    <row r="1059" spans="1:25" x14ac:dyDescent="0.45">
      <c r="A1059">
        <v>30</v>
      </c>
      <c r="B1059">
        <v>30</v>
      </c>
      <c r="C1059" t="s">
        <v>435</v>
      </c>
      <c r="D1059" t="s">
        <v>414</v>
      </c>
      <c r="E1059">
        <v>10</v>
      </c>
      <c r="F1059">
        <v>3.07</v>
      </c>
      <c r="G1059">
        <v>21747.738000000001</v>
      </c>
      <c r="I1059">
        <v>21747.738000000001</v>
      </c>
      <c r="J1059" t="s">
        <v>403</v>
      </c>
      <c r="K1059">
        <v>4.5</v>
      </c>
      <c r="L1059">
        <v>-54.9</v>
      </c>
      <c r="N1059">
        <v>30</v>
      </c>
      <c r="O1059">
        <v>30</v>
      </c>
      <c r="P1059" t="s">
        <v>540</v>
      </c>
      <c r="Q1059" t="s">
        <v>414</v>
      </c>
      <c r="R1059">
        <v>10</v>
      </c>
      <c r="S1059">
        <v>3.06</v>
      </c>
      <c r="T1059">
        <v>31681.574000000001</v>
      </c>
      <c r="V1059">
        <v>31681.574000000001</v>
      </c>
      <c r="W1059" t="s">
        <v>403</v>
      </c>
      <c r="X1059">
        <v>5.3</v>
      </c>
      <c r="Y1059">
        <v>-47.4</v>
      </c>
    </row>
    <row r="1060" spans="1:25" x14ac:dyDescent="0.45">
      <c r="A1060">
        <v>31</v>
      </c>
      <c r="B1060">
        <v>31</v>
      </c>
      <c r="C1060" t="s">
        <v>436</v>
      </c>
      <c r="D1060" t="s">
        <v>414</v>
      </c>
      <c r="E1060">
        <v>10</v>
      </c>
      <c r="F1060">
        <v>3.07</v>
      </c>
      <c r="G1060">
        <v>26762.016</v>
      </c>
      <c r="I1060">
        <v>26762.016</v>
      </c>
      <c r="J1060" t="s">
        <v>403</v>
      </c>
      <c r="K1060">
        <v>5.6</v>
      </c>
      <c r="L1060">
        <v>-44.5</v>
      </c>
      <c r="N1060">
        <v>31</v>
      </c>
      <c r="O1060">
        <v>31</v>
      </c>
      <c r="P1060" t="s">
        <v>541</v>
      </c>
      <c r="Q1060" t="s">
        <v>414</v>
      </c>
      <c r="R1060">
        <v>10</v>
      </c>
      <c r="S1060">
        <v>3.06</v>
      </c>
      <c r="T1060">
        <v>27736.148000000001</v>
      </c>
      <c r="V1060">
        <v>27736.148000000001</v>
      </c>
      <c r="W1060" t="s">
        <v>403</v>
      </c>
      <c r="X1060">
        <v>4.5999999999999996</v>
      </c>
      <c r="Y1060">
        <v>-54</v>
      </c>
    </row>
    <row r="1061" spans="1:25" x14ac:dyDescent="0.45">
      <c r="A1061">
        <v>32</v>
      </c>
      <c r="B1061">
        <v>32</v>
      </c>
      <c r="C1061" t="s">
        <v>437</v>
      </c>
      <c r="D1061" t="s">
        <v>414</v>
      </c>
      <c r="E1061">
        <v>10</v>
      </c>
      <c r="F1061">
        <v>3.07</v>
      </c>
      <c r="G1061">
        <v>23484.151999999998</v>
      </c>
      <c r="I1061">
        <v>23484.151999999998</v>
      </c>
      <c r="J1061" t="s">
        <v>403</v>
      </c>
      <c r="K1061">
        <v>4.9000000000000004</v>
      </c>
      <c r="L1061">
        <v>-51.3</v>
      </c>
      <c r="N1061">
        <v>32</v>
      </c>
      <c r="O1061">
        <v>32</v>
      </c>
      <c r="P1061" t="s">
        <v>542</v>
      </c>
      <c r="Q1061" t="s">
        <v>414</v>
      </c>
      <c r="R1061">
        <v>10</v>
      </c>
      <c r="S1061">
        <v>3.06</v>
      </c>
      <c r="T1061">
        <v>26005.937999999998</v>
      </c>
      <c r="V1061">
        <v>26005.937999999998</v>
      </c>
      <c r="W1061" t="s">
        <v>403</v>
      </c>
      <c r="X1061">
        <v>4.3</v>
      </c>
      <c r="Y1061">
        <v>-56.8</v>
      </c>
    </row>
    <row r="1062" spans="1:25" x14ac:dyDescent="0.45">
      <c r="A1062">
        <v>33</v>
      </c>
      <c r="B1062">
        <v>33</v>
      </c>
      <c r="C1062" t="s">
        <v>438</v>
      </c>
      <c r="D1062" t="s">
        <v>414</v>
      </c>
      <c r="E1062">
        <v>10</v>
      </c>
      <c r="F1062">
        <v>3.07</v>
      </c>
      <c r="G1062">
        <v>24883.574000000001</v>
      </c>
      <c r="I1062">
        <v>24883.574000000001</v>
      </c>
      <c r="J1062" t="s">
        <v>403</v>
      </c>
      <c r="K1062">
        <v>5.2</v>
      </c>
      <c r="L1062">
        <v>-48.4</v>
      </c>
      <c r="N1062">
        <v>33</v>
      </c>
      <c r="O1062">
        <v>33</v>
      </c>
      <c r="P1062" t="s">
        <v>543</v>
      </c>
      <c r="Q1062" t="s">
        <v>414</v>
      </c>
      <c r="R1062">
        <v>10</v>
      </c>
      <c r="S1062">
        <v>3.06</v>
      </c>
      <c r="T1062">
        <v>23878.141</v>
      </c>
      <c r="V1062">
        <v>23878.141</v>
      </c>
      <c r="W1062" t="s">
        <v>403</v>
      </c>
      <c r="X1062">
        <v>4</v>
      </c>
      <c r="Y1062">
        <v>-60.4</v>
      </c>
    </row>
    <row r="1063" spans="1:25" x14ac:dyDescent="0.45">
      <c r="A1063">
        <v>34</v>
      </c>
      <c r="B1063">
        <v>34</v>
      </c>
      <c r="C1063" t="s">
        <v>439</v>
      </c>
      <c r="D1063" t="s">
        <v>414</v>
      </c>
      <c r="E1063">
        <v>10</v>
      </c>
      <c r="F1063">
        <v>3.07</v>
      </c>
      <c r="G1063">
        <v>24549.675999999999</v>
      </c>
      <c r="I1063">
        <v>24549.675999999999</v>
      </c>
      <c r="J1063" t="s">
        <v>403</v>
      </c>
      <c r="K1063">
        <v>5.0999999999999996</v>
      </c>
      <c r="L1063">
        <v>-49.1</v>
      </c>
      <c r="N1063">
        <v>34</v>
      </c>
      <c r="O1063">
        <v>34</v>
      </c>
      <c r="P1063" t="s">
        <v>544</v>
      </c>
      <c r="Q1063" t="s">
        <v>414</v>
      </c>
      <c r="R1063">
        <v>10</v>
      </c>
      <c r="S1063">
        <v>3.06</v>
      </c>
      <c r="T1063">
        <v>30157.050999999999</v>
      </c>
      <c r="V1063">
        <v>30157.050999999999</v>
      </c>
      <c r="W1063" t="s">
        <v>415</v>
      </c>
      <c r="X1063">
        <v>5</v>
      </c>
      <c r="Y1063">
        <v>-50</v>
      </c>
    </row>
    <row r="1064" spans="1:25" x14ac:dyDescent="0.45">
      <c r="A1064">
        <v>35</v>
      </c>
      <c r="B1064">
        <v>35</v>
      </c>
      <c r="C1064" t="s">
        <v>440</v>
      </c>
      <c r="D1064" t="s">
        <v>414</v>
      </c>
      <c r="E1064">
        <v>10</v>
      </c>
      <c r="F1064">
        <v>3.07</v>
      </c>
      <c r="G1064">
        <v>31427.671999999999</v>
      </c>
      <c r="I1064">
        <v>31427.671999999999</v>
      </c>
      <c r="J1064" t="s">
        <v>403</v>
      </c>
      <c r="K1064">
        <v>6.5</v>
      </c>
      <c r="L1064">
        <v>-34.799999999999997</v>
      </c>
      <c r="N1064">
        <v>35</v>
      </c>
      <c r="O1064">
        <v>35</v>
      </c>
      <c r="P1064" t="s">
        <v>545</v>
      </c>
      <c r="Q1064" t="s">
        <v>414</v>
      </c>
      <c r="R1064">
        <v>10</v>
      </c>
      <c r="S1064">
        <v>3.06</v>
      </c>
      <c r="T1064">
        <v>22259.907999999999</v>
      </c>
      <c r="V1064">
        <v>22259.907999999999</v>
      </c>
      <c r="W1064" t="s">
        <v>415</v>
      </c>
      <c r="X1064">
        <v>3.7</v>
      </c>
      <c r="Y1064">
        <v>-63.1</v>
      </c>
    </row>
    <row r="1065" spans="1:25" x14ac:dyDescent="0.45">
      <c r="A1065">
        <v>36</v>
      </c>
      <c r="B1065">
        <v>36</v>
      </c>
      <c r="C1065" t="s">
        <v>441</v>
      </c>
      <c r="D1065" t="s">
        <v>414</v>
      </c>
      <c r="E1065">
        <v>10</v>
      </c>
      <c r="F1065">
        <v>3.07</v>
      </c>
      <c r="G1065">
        <v>28172.438999999998</v>
      </c>
      <c r="I1065">
        <v>28172.438999999998</v>
      </c>
      <c r="J1065" t="s">
        <v>403</v>
      </c>
      <c r="K1065">
        <v>5.8</v>
      </c>
      <c r="L1065">
        <v>-41.5</v>
      </c>
      <c r="N1065">
        <v>36</v>
      </c>
      <c r="O1065">
        <v>36</v>
      </c>
      <c r="P1065" t="s">
        <v>546</v>
      </c>
      <c r="Q1065" t="s">
        <v>414</v>
      </c>
      <c r="R1065">
        <v>10</v>
      </c>
      <c r="S1065">
        <v>3.06</v>
      </c>
      <c r="T1065">
        <v>37166.120999999999</v>
      </c>
      <c r="V1065">
        <v>37166.120999999999</v>
      </c>
      <c r="W1065" t="s">
        <v>415</v>
      </c>
      <c r="X1065">
        <v>6.2</v>
      </c>
      <c r="Y1065">
        <v>-38.299999999999997</v>
      </c>
    </row>
    <row r="1066" spans="1:25" x14ac:dyDescent="0.45">
      <c r="A1066">
        <v>37</v>
      </c>
      <c r="B1066">
        <v>37</v>
      </c>
      <c r="C1066" t="s">
        <v>442</v>
      </c>
      <c r="D1066" t="s">
        <v>414</v>
      </c>
      <c r="E1066">
        <v>10</v>
      </c>
      <c r="F1066">
        <v>3.07</v>
      </c>
      <c r="G1066">
        <v>25285.471000000001</v>
      </c>
      <c r="I1066">
        <v>25285.471000000001</v>
      </c>
      <c r="J1066" t="s">
        <v>403</v>
      </c>
      <c r="K1066">
        <v>5.2</v>
      </c>
      <c r="L1066">
        <v>-47.5</v>
      </c>
      <c r="N1066">
        <v>37</v>
      </c>
      <c r="O1066">
        <v>37</v>
      </c>
      <c r="P1066" t="s">
        <v>547</v>
      </c>
      <c r="Q1066" t="s">
        <v>414</v>
      </c>
      <c r="R1066">
        <v>10</v>
      </c>
      <c r="S1066">
        <v>3.06</v>
      </c>
      <c r="T1066">
        <v>23065.666000000001</v>
      </c>
      <c r="V1066">
        <v>23065.666000000001</v>
      </c>
      <c r="W1066" t="s">
        <v>403</v>
      </c>
      <c r="X1066">
        <v>3.8</v>
      </c>
      <c r="Y1066">
        <v>-61.7</v>
      </c>
    </row>
    <row r="1067" spans="1:25" x14ac:dyDescent="0.45">
      <c r="A1067">
        <v>38</v>
      </c>
      <c r="B1067">
        <v>38</v>
      </c>
      <c r="C1067" t="s">
        <v>443</v>
      </c>
      <c r="D1067" t="s">
        <v>414</v>
      </c>
      <c r="E1067">
        <v>10</v>
      </c>
      <c r="F1067">
        <v>3.07</v>
      </c>
      <c r="G1067">
        <v>18952.687999999998</v>
      </c>
      <c r="I1067">
        <v>18952.687999999998</v>
      </c>
      <c r="J1067" t="s">
        <v>403</v>
      </c>
      <c r="K1067">
        <v>3.9</v>
      </c>
      <c r="L1067">
        <v>-60.7</v>
      </c>
      <c r="N1067">
        <v>38</v>
      </c>
      <c r="O1067">
        <v>38</v>
      </c>
      <c r="P1067" t="s">
        <v>548</v>
      </c>
      <c r="Q1067" t="s">
        <v>414</v>
      </c>
      <c r="R1067">
        <v>10</v>
      </c>
      <c r="S1067">
        <v>3.06</v>
      </c>
      <c r="T1067">
        <v>23567.273000000001</v>
      </c>
      <c r="V1067">
        <v>23567.273000000001</v>
      </c>
      <c r="W1067" t="s">
        <v>403</v>
      </c>
      <c r="X1067">
        <v>3.9</v>
      </c>
      <c r="Y1067">
        <v>-60.9</v>
      </c>
    </row>
    <row r="1068" spans="1:25" x14ac:dyDescent="0.45">
      <c r="A1068">
        <v>39</v>
      </c>
      <c r="B1068">
        <v>39</v>
      </c>
      <c r="C1068" t="s">
        <v>444</v>
      </c>
      <c r="D1068" t="s">
        <v>414</v>
      </c>
      <c r="E1068">
        <v>10</v>
      </c>
      <c r="F1068">
        <v>3.07</v>
      </c>
      <c r="G1068">
        <v>25155.440999999999</v>
      </c>
      <c r="I1068">
        <v>25155.440999999999</v>
      </c>
      <c r="J1068" t="s">
        <v>403</v>
      </c>
      <c r="K1068">
        <v>5.2</v>
      </c>
      <c r="L1068">
        <v>-47.8</v>
      </c>
      <c r="N1068">
        <v>39</v>
      </c>
      <c r="O1068">
        <v>39</v>
      </c>
      <c r="P1068" t="s">
        <v>549</v>
      </c>
      <c r="Q1068" t="s">
        <v>414</v>
      </c>
      <c r="R1068">
        <v>10</v>
      </c>
      <c r="S1068">
        <v>3.06</v>
      </c>
      <c r="T1068">
        <v>22090.773000000001</v>
      </c>
      <c r="V1068">
        <v>22090.773000000001</v>
      </c>
      <c r="W1068" t="s">
        <v>403</v>
      </c>
      <c r="X1068">
        <v>3.7</v>
      </c>
      <c r="Y1068">
        <v>-63.3</v>
      </c>
    </row>
    <row r="1069" spans="1:25" x14ac:dyDescent="0.45">
      <c r="A1069">
        <v>40</v>
      </c>
      <c r="B1069">
        <v>40</v>
      </c>
      <c r="C1069" t="s">
        <v>445</v>
      </c>
      <c r="D1069" t="s">
        <v>414</v>
      </c>
      <c r="E1069">
        <v>10</v>
      </c>
      <c r="F1069">
        <v>3.07</v>
      </c>
      <c r="G1069">
        <v>37813.733999999997</v>
      </c>
      <c r="I1069">
        <v>37813.733999999997</v>
      </c>
      <c r="J1069" t="s">
        <v>403</v>
      </c>
      <c r="K1069">
        <v>7.8</v>
      </c>
      <c r="L1069">
        <v>-21.5</v>
      </c>
      <c r="N1069">
        <v>40</v>
      </c>
      <c r="O1069">
        <v>40</v>
      </c>
      <c r="P1069" t="s">
        <v>550</v>
      </c>
      <c r="Q1069" t="s">
        <v>414</v>
      </c>
      <c r="R1069">
        <v>10</v>
      </c>
      <c r="S1069">
        <v>3.06</v>
      </c>
      <c r="T1069">
        <v>25158.643</v>
      </c>
      <c r="V1069">
        <v>25158.643</v>
      </c>
      <c r="W1069" t="s">
        <v>403</v>
      </c>
      <c r="X1069">
        <v>4.2</v>
      </c>
      <c r="Y1069">
        <v>-58.2</v>
      </c>
    </row>
    <row r="1070" spans="1:25" x14ac:dyDescent="0.45">
      <c r="A1070">
        <v>41</v>
      </c>
      <c r="B1070">
        <v>41</v>
      </c>
      <c r="C1070" t="s">
        <v>446</v>
      </c>
      <c r="D1070" t="s">
        <v>414</v>
      </c>
      <c r="E1070">
        <v>10</v>
      </c>
      <c r="F1070">
        <v>3.07</v>
      </c>
      <c r="G1070">
        <v>34635.637000000002</v>
      </c>
      <c r="I1070">
        <v>34635.637000000002</v>
      </c>
      <c r="J1070" t="s">
        <v>403</v>
      </c>
      <c r="K1070">
        <v>7.2</v>
      </c>
      <c r="L1070">
        <v>-28.1</v>
      </c>
      <c r="N1070">
        <v>41</v>
      </c>
      <c r="O1070">
        <v>41</v>
      </c>
      <c r="P1070" t="s">
        <v>551</v>
      </c>
      <c r="Q1070" t="s">
        <v>414</v>
      </c>
      <c r="R1070">
        <v>10</v>
      </c>
      <c r="S1070">
        <v>3.06</v>
      </c>
      <c r="T1070">
        <v>33849.027000000002</v>
      </c>
      <c r="V1070">
        <v>33849.027000000002</v>
      </c>
      <c r="W1070" t="s">
        <v>403</v>
      </c>
      <c r="X1070">
        <v>5.6</v>
      </c>
      <c r="Y1070">
        <v>-43.8</v>
      </c>
    </row>
    <row r="1071" spans="1:25" x14ac:dyDescent="0.45">
      <c r="A1071">
        <v>42</v>
      </c>
      <c r="B1071">
        <v>42</v>
      </c>
      <c r="C1071" t="s">
        <v>447</v>
      </c>
      <c r="D1071" t="s">
        <v>414</v>
      </c>
      <c r="E1071">
        <v>10</v>
      </c>
      <c r="F1071">
        <v>3.07</v>
      </c>
      <c r="G1071">
        <v>27063.011999999999</v>
      </c>
      <c r="I1071">
        <v>27063.011999999999</v>
      </c>
      <c r="J1071" t="s">
        <v>403</v>
      </c>
      <c r="K1071">
        <v>5.6</v>
      </c>
      <c r="L1071">
        <v>-43.8</v>
      </c>
      <c r="N1071">
        <v>42</v>
      </c>
      <c r="O1071">
        <v>42</v>
      </c>
      <c r="P1071" t="s">
        <v>552</v>
      </c>
      <c r="Q1071" t="s">
        <v>414</v>
      </c>
      <c r="R1071">
        <v>10</v>
      </c>
      <c r="S1071">
        <v>3.06</v>
      </c>
      <c r="T1071">
        <v>24819.046999999999</v>
      </c>
      <c r="V1071">
        <v>24819.046999999999</v>
      </c>
      <c r="W1071" t="s">
        <v>403</v>
      </c>
      <c r="X1071">
        <v>4.0999999999999996</v>
      </c>
      <c r="Y1071">
        <v>-58.8</v>
      </c>
    </row>
    <row r="1072" spans="1:25" x14ac:dyDescent="0.45">
      <c r="A1072">
        <v>43</v>
      </c>
      <c r="B1072">
        <v>43</v>
      </c>
      <c r="C1072" t="s">
        <v>448</v>
      </c>
      <c r="D1072" t="s">
        <v>414</v>
      </c>
      <c r="E1072">
        <v>10</v>
      </c>
      <c r="F1072">
        <v>3.07</v>
      </c>
      <c r="G1072">
        <v>24648.592000000001</v>
      </c>
      <c r="I1072">
        <v>24648.592000000001</v>
      </c>
      <c r="J1072" t="s">
        <v>403</v>
      </c>
      <c r="K1072">
        <v>5.0999999999999996</v>
      </c>
      <c r="L1072">
        <v>-48.9</v>
      </c>
      <c r="N1072">
        <v>43</v>
      </c>
      <c r="O1072">
        <v>43</v>
      </c>
      <c r="P1072" t="s">
        <v>553</v>
      </c>
      <c r="Q1072" t="s">
        <v>414</v>
      </c>
      <c r="R1072">
        <v>10</v>
      </c>
      <c r="S1072">
        <v>3.06</v>
      </c>
      <c r="T1072">
        <v>24654.065999999999</v>
      </c>
      <c r="V1072">
        <v>24654.065999999999</v>
      </c>
      <c r="W1072" t="s">
        <v>403</v>
      </c>
      <c r="X1072">
        <v>4.0999999999999996</v>
      </c>
      <c r="Y1072">
        <v>-59.1</v>
      </c>
    </row>
    <row r="1073" spans="1:25" x14ac:dyDescent="0.45">
      <c r="A1073">
        <v>44</v>
      </c>
      <c r="B1073">
        <v>44</v>
      </c>
      <c r="C1073" t="s">
        <v>449</v>
      </c>
      <c r="D1073" t="s">
        <v>414</v>
      </c>
      <c r="E1073">
        <v>10</v>
      </c>
      <c r="F1073">
        <v>3.07</v>
      </c>
      <c r="G1073">
        <v>28947.363000000001</v>
      </c>
      <c r="I1073">
        <v>28947.363000000001</v>
      </c>
      <c r="J1073" t="s">
        <v>403</v>
      </c>
      <c r="K1073">
        <v>6</v>
      </c>
      <c r="L1073">
        <v>-39.9</v>
      </c>
      <c r="N1073">
        <v>44</v>
      </c>
      <c r="O1073">
        <v>44</v>
      </c>
      <c r="P1073" t="s">
        <v>554</v>
      </c>
      <c r="Q1073" t="s">
        <v>414</v>
      </c>
      <c r="R1073">
        <v>10</v>
      </c>
      <c r="S1073">
        <v>3.06</v>
      </c>
      <c r="T1073">
        <v>25879.072</v>
      </c>
      <c r="V1073">
        <v>25879.072</v>
      </c>
      <c r="W1073" t="s">
        <v>401</v>
      </c>
      <c r="X1073">
        <v>4.3</v>
      </c>
      <c r="Y1073">
        <v>-57.1</v>
      </c>
    </row>
    <row r="1074" spans="1:25" x14ac:dyDescent="0.45">
      <c r="A1074">
        <v>45</v>
      </c>
      <c r="B1074">
        <v>45</v>
      </c>
      <c r="C1074" t="s">
        <v>450</v>
      </c>
      <c r="D1074" t="s">
        <v>414</v>
      </c>
      <c r="E1074">
        <v>10</v>
      </c>
      <c r="F1074">
        <v>3.07</v>
      </c>
      <c r="G1074">
        <v>23909.138999999999</v>
      </c>
      <c r="I1074">
        <v>23909.138999999999</v>
      </c>
      <c r="J1074" t="s">
        <v>403</v>
      </c>
      <c r="K1074">
        <v>5</v>
      </c>
      <c r="L1074">
        <v>-50.4</v>
      </c>
      <c r="N1074">
        <v>45</v>
      </c>
      <c r="O1074">
        <v>45</v>
      </c>
      <c r="P1074" t="s">
        <v>555</v>
      </c>
      <c r="Q1074" t="s">
        <v>414</v>
      </c>
      <c r="R1074">
        <v>10</v>
      </c>
      <c r="S1074">
        <v>3.06</v>
      </c>
      <c r="T1074">
        <v>25374.615000000002</v>
      </c>
      <c r="V1074">
        <v>25374.615000000002</v>
      </c>
      <c r="W1074" t="s">
        <v>403</v>
      </c>
      <c r="X1074">
        <v>4.2</v>
      </c>
      <c r="Y1074">
        <v>-57.9</v>
      </c>
    </row>
    <row r="1075" spans="1:25" x14ac:dyDescent="0.45">
      <c r="A1075">
        <v>46</v>
      </c>
      <c r="B1075">
        <v>46</v>
      </c>
      <c r="C1075" t="s">
        <v>451</v>
      </c>
      <c r="D1075" t="s">
        <v>414</v>
      </c>
      <c r="E1075">
        <v>10</v>
      </c>
      <c r="F1075">
        <v>3.07</v>
      </c>
      <c r="G1075">
        <v>27205.532999999999</v>
      </c>
      <c r="I1075">
        <v>27205.532999999999</v>
      </c>
      <c r="J1075" t="s">
        <v>403</v>
      </c>
      <c r="K1075">
        <v>5.6</v>
      </c>
      <c r="L1075">
        <v>-43.6</v>
      </c>
      <c r="N1075">
        <v>46</v>
      </c>
      <c r="O1075">
        <v>46</v>
      </c>
      <c r="P1075" t="s">
        <v>556</v>
      </c>
      <c r="Q1075" t="s">
        <v>414</v>
      </c>
      <c r="R1075">
        <v>10</v>
      </c>
      <c r="S1075">
        <v>3.06</v>
      </c>
      <c r="T1075">
        <v>19399.217000000001</v>
      </c>
      <c r="V1075">
        <v>19399.217000000001</v>
      </c>
      <c r="W1075" t="s">
        <v>403</v>
      </c>
      <c r="X1075">
        <v>3.2</v>
      </c>
      <c r="Y1075">
        <v>-67.8</v>
      </c>
    </row>
    <row r="1076" spans="1:25" x14ac:dyDescent="0.45">
      <c r="A1076">
        <v>47</v>
      </c>
      <c r="B1076">
        <v>47</v>
      </c>
      <c r="C1076" t="s">
        <v>452</v>
      </c>
      <c r="D1076" t="s">
        <v>414</v>
      </c>
      <c r="E1076">
        <v>10</v>
      </c>
      <c r="F1076">
        <v>3.06</v>
      </c>
      <c r="G1076">
        <v>16033.282999999999</v>
      </c>
      <c r="I1076">
        <v>16033.282999999999</v>
      </c>
      <c r="J1076" t="s">
        <v>403</v>
      </c>
      <c r="K1076">
        <v>3.3</v>
      </c>
      <c r="L1076">
        <v>-66.7</v>
      </c>
      <c r="N1076">
        <v>47</v>
      </c>
      <c r="O1076">
        <v>47</v>
      </c>
      <c r="P1076" t="s">
        <v>557</v>
      </c>
      <c r="Q1076" t="s">
        <v>414</v>
      </c>
      <c r="R1076">
        <v>10</v>
      </c>
      <c r="S1076">
        <v>3.06</v>
      </c>
      <c r="T1076">
        <v>18775.544999999998</v>
      </c>
      <c r="V1076">
        <v>18775.544999999998</v>
      </c>
      <c r="W1076" t="s">
        <v>401</v>
      </c>
      <c r="X1076">
        <v>3.1</v>
      </c>
      <c r="Y1076">
        <v>-68.8</v>
      </c>
    </row>
    <row r="1077" spans="1:25" x14ac:dyDescent="0.45">
      <c r="A1077">
        <v>48</v>
      </c>
      <c r="B1077">
        <v>48</v>
      </c>
      <c r="C1077" t="s">
        <v>453</v>
      </c>
      <c r="D1077" t="s">
        <v>414</v>
      </c>
      <c r="E1077">
        <v>10</v>
      </c>
      <c r="F1077">
        <v>3.06</v>
      </c>
      <c r="G1077">
        <v>18168.881000000001</v>
      </c>
      <c r="I1077">
        <v>18168.881000000001</v>
      </c>
      <c r="J1077" t="s">
        <v>403</v>
      </c>
      <c r="K1077">
        <v>3.8</v>
      </c>
      <c r="L1077">
        <v>-62.3</v>
      </c>
      <c r="N1077">
        <v>48</v>
      </c>
      <c r="O1077">
        <v>48</v>
      </c>
      <c r="P1077" t="s">
        <v>558</v>
      </c>
      <c r="Q1077" t="s">
        <v>414</v>
      </c>
      <c r="R1077">
        <v>10</v>
      </c>
      <c r="S1077">
        <v>3.06</v>
      </c>
      <c r="T1077">
        <v>18927.028999999999</v>
      </c>
      <c r="V1077">
        <v>18927.028999999999</v>
      </c>
      <c r="W1077" t="s">
        <v>403</v>
      </c>
      <c r="X1077">
        <v>3.1</v>
      </c>
      <c r="Y1077">
        <v>-68.599999999999994</v>
      </c>
    </row>
    <row r="1078" spans="1:25" x14ac:dyDescent="0.45">
      <c r="A1078">
        <v>49</v>
      </c>
      <c r="B1078">
        <v>49</v>
      </c>
      <c r="C1078" t="s">
        <v>454</v>
      </c>
      <c r="D1078" t="s">
        <v>414</v>
      </c>
      <c r="E1078">
        <v>10</v>
      </c>
      <c r="F1078">
        <v>3.07</v>
      </c>
      <c r="G1078">
        <v>17177.039000000001</v>
      </c>
      <c r="I1078">
        <v>17177.039000000001</v>
      </c>
      <c r="J1078" t="s">
        <v>412</v>
      </c>
      <c r="K1078">
        <v>3.6</v>
      </c>
      <c r="L1078">
        <v>-64.400000000000006</v>
      </c>
      <c r="N1078">
        <v>49</v>
      </c>
      <c r="O1078">
        <v>49</v>
      </c>
      <c r="P1078" t="s">
        <v>559</v>
      </c>
      <c r="Q1078" t="s">
        <v>414</v>
      </c>
      <c r="R1078">
        <v>10</v>
      </c>
      <c r="S1078">
        <v>3.06</v>
      </c>
      <c r="T1078">
        <v>21528.359</v>
      </c>
      <c r="V1078">
        <v>21528.359</v>
      </c>
      <c r="W1078" t="s">
        <v>403</v>
      </c>
      <c r="X1078">
        <v>3.6</v>
      </c>
      <c r="Y1078">
        <v>-64.3</v>
      </c>
    </row>
    <row r="1079" spans="1:25" x14ac:dyDescent="0.45">
      <c r="A1079">
        <v>50</v>
      </c>
      <c r="B1079">
        <v>50</v>
      </c>
      <c r="C1079" t="s">
        <v>455</v>
      </c>
      <c r="D1079" t="s">
        <v>414</v>
      </c>
      <c r="E1079">
        <v>10</v>
      </c>
      <c r="F1079">
        <v>3.07</v>
      </c>
      <c r="G1079">
        <v>22097.914000000001</v>
      </c>
      <c r="I1079">
        <v>22097.914000000001</v>
      </c>
      <c r="J1079" t="s">
        <v>403</v>
      </c>
      <c r="K1079">
        <v>4.5999999999999996</v>
      </c>
      <c r="L1079">
        <v>-54.2</v>
      </c>
      <c r="N1079">
        <v>50</v>
      </c>
      <c r="O1079">
        <v>50</v>
      </c>
      <c r="P1079" t="s">
        <v>560</v>
      </c>
      <c r="Q1079" t="s">
        <v>414</v>
      </c>
      <c r="R1079">
        <v>10</v>
      </c>
      <c r="S1079">
        <v>3.06</v>
      </c>
      <c r="T1079">
        <v>21208.414000000001</v>
      </c>
      <c r="V1079">
        <v>21208.414000000001</v>
      </c>
      <c r="W1079" t="s">
        <v>403</v>
      </c>
      <c r="X1079">
        <v>3.5</v>
      </c>
      <c r="Y1079">
        <v>-64.8</v>
      </c>
    </row>
    <row r="1080" spans="1:25" x14ac:dyDescent="0.45">
      <c r="A1080">
        <v>51</v>
      </c>
      <c r="B1080">
        <v>51</v>
      </c>
      <c r="C1080" t="s">
        <v>456</v>
      </c>
      <c r="D1080" t="s">
        <v>414</v>
      </c>
      <c r="E1080">
        <v>10</v>
      </c>
      <c r="F1080">
        <v>3.06</v>
      </c>
      <c r="G1080">
        <v>21249.488000000001</v>
      </c>
      <c r="I1080">
        <v>21249.488000000001</v>
      </c>
      <c r="J1080" t="s">
        <v>403</v>
      </c>
      <c r="K1080">
        <v>4.4000000000000004</v>
      </c>
      <c r="L1080">
        <v>-55.9</v>
      </c>
      <c r="N1080">
        <v>51</v>
      </c>
      <c r="O1080">
        <v>51</v>
      </c>
      <c r="P1080" t="s">
        <v>561</v>
      </c>
      <c r="Q1080" t="s">
        <v>414</v>
      </c>
      <c r="R1080">
        <v>10</v>
      </c>
      <c r="S1080">
        <v>3.06</v>
      </c>
      <c r="T1080">
        <v>17102.215</v>
      </c>
      <c r="V1080">
        <v>17102.215</v>
      </c>
      <c r="W1080" t="s">
        <v>403</v>
      </c>
      <c r="X1080">
        <v>2.8</v>
      </c>
      <c r="Y1080">
        <v>-71.599999999999994</v>
      </c>
    </row>
    <row r="1081" spans="1:25" x14ac:dyDescent="0.45">
      <c r="A1081">
        <v>52</v>
      </c>
      <c r="B1081">
        <v>52</v>
      </c>
      <c r="C1081" t="s">
        <v>457</v>
      </c>
      <c r="D1081" t="s">
        <v>414</v>
      </c>
      <c r="E1081">
        <v>10</v>
      </c>
      <c r="F1081">
        <v>3.07</v>
      </c>
      <c r="G1081">
        <v>18038.375</v>
      </c>
      <c r="I1081">
        <v>18038.375</v>
      </c>
      <c r="J1081" t="s">
        <v>412</v>
      </c>
      <c r="K1081">
        <v>3.7</v>
      </c>
      <c r="L1081">
        <v>-62.6</v>
      </c>
      <c r="N1081">
        <v>52</v>
      </c>
      <c r="O1081">
        <v>52</v>
      </c>
      <c r="P1081" t="s">
        <v>562</v>
      </c>
      <c r="Q1081" t="s">
        <v>414</v>
      </c>
      <c r="R1081">
        <v>10</v>
      </c>
      <c r="S1081">
        <v>3.06</v>
      </c>
      <c r="T1081">
        <v>22294.403999999999</v>
      </c>
      <c r="V1081">
        <v>22294.403999999999</v>
      </c>
      <c r="W1081" t="s">
        <v>403</v>
      </c>
      <c r="X1081">
        <v>3.7</v>
      </c>
      <c r="Y1081">
        <v>-63</v>
      </c>
    </row>
    <row r="1082" spans="1:25" x14ac:dyDescent="0.45">
      <c r="A1082">
        <v>53</v>
      </c>
      <c r="B1082">
        <v>53</v>
      </c>
      <c r="C1082" t="s">
        <v>458</v>
      </c>
      <c r="D1082" t="s">
        <v>414</v>
      </c>
      <c r="E1082">
        <v>10</v>
      </c>
      <c r="F1082">
        <v>3.06</v>
      </c>
      <c r="G1082">
        <v>23398.543000000001</v>
      </c>
      <c r="I1082">
        <v>23398.543000000001</v>
      </c>
      <c r="J1082" t="s">
        <v>403</v>
      </c>
      <c r="K1082">
        <v>4.9000000000000004</v>
      </c>
      <c r="L1082">
        <v>-51.5</v>
      </c>
      <c r="N1082">
        <v>53</v>
      </c>
      <c r="O1082">
        <v>53</v>
      </c>
      <c r="P1082" t="s">
        <v>563</v>
      </c>
      <c r="Q1082" t="s">
        <v>414</v>
      </c>
      <c r="R1082">
        <v>10</v>
      </c>
      <c r="S1082">
        <v>3.06</v>
      </c>
      <c r="T1082">
        <v>27526.559000000001</v>
      </c>
      <c r="V1082">
        <v>27526.559000000001</v>
      </c>
      <c r="W1082" t="s">
        <v>403</v>
      </c>
      <c r="X1082">
        <v>4.5999999999999996</v>
      </c>
      <c r="Y1082">
        <v>-54.3</v>
      </c>
    </row>
    <row r="1083" spans="1:25" x14ac:dyDescent="0.45">
      <c r="A1083">
        <v>54</v>
      </c>
      <c r="B1083">
        <v>54</v>
      </c>
      <c r="C1083" t="s">
        <v>459</v>
      </c>
      <c r="D1083" t="s">
        <v>414</v>
      </c>
      <c r="E1083">
        <v>10</v>
      </c>
      <c r="F1083">
        <v>3.06</v>
      </c>
      <c r="G1083">
        <v>22582.43</v>
      </c>
      <c r="I1083">
        <v>22582.43</v>
      </c>
      <c r="J1083" t="s">
        <v>403</v>
      </c>
      <c r="K1083">
        <v>4.7</v>
      </c>
      <c r="L1083">
        <v>-53.1</v>
      </c>
      <c r="N1083">
        <v>54</v>
      </c>
      <c r="O1083">
        <v>54</v>
      </c>
      <c r="P1083" t="s">
        <v>564</v>
      </c>
      <c r="Q1083" t="s">
        <v>414</v>
      </c>
      <c r="R1083">
        <v>10</v>
      </c>
      <c r="S1083">
        <v>3.06</v>
      </c>
      <c r="T1083">
        <v>20566.309000000001</v>
      </c>
      <c r="V1083">
        <v>20566.309000000001</v>
      </c>
      <c r="W1083" t="s">
        <v>415</v>
      </c>
      <c r="X1083">
        <v>3.4</v>
      </c>
      <c r="Y1083">
        <v>-65.900000000000006</v>
      </c>
    </row>
    <row r="1084" spans="1:25" x14ac:dyDescent="0.45">
      <c r="A1084">
        <v>55</v>
      </c>
      <c r="B1084">
        <v>55</v>
      </c>
      <c r="C1084" t="s">
        <v>460</v>
      </c>
      <c r="D1084" t="s">
        <v>414</v>
      </c>
      <c r="E1084">
        <v>10</v>
      </c>
      <c r="F1084">
        <v>3.07</v>
      </c>
      <c r="G1084">
        <v>17100.574000000001</v>
      </c>
      <c r="I1084">
        <v>17100.574000000001</v>
      </c>
      <c r="J1084" t="s">
        <v>412</v>
      </c>
      <c r="K1084">
        <v>3.5</v>
      </c>
      <c r="L1084">
        <v>-64.5</v>
      </c>
      <c r="N1084">
        <v>55</v>
      </c>
      <c r="O1084">
        <v>55</v>
      </c>
      <c r="P1084" t="s">
        <v>565</v>
      </c>
      <c r="Q1084" t="s">
        <v>414</v>
      </c>
      <c r="R1084">
        <v>10</v>
      </c>
      <c r="S1084">
        <v>3.06</v>
      </c>
      <c r="T1084">
        <v>23887.645</v>
      </c>
      <c r="V1084">
        <v>23887.645</v>
      </c>
      <c r="W1084" t="s">
        <v>403</v>
      </c>
      <c r="X1084">
        <v>4</v>
      </c>
      <c r="Y1084">
        <v>-60.4</v>
      </c>
    </row>
    <row r="1085" spans="1:25" x14ac:dyDescent="0.45">
      <c r="A1085">
        <v>56</v>
      </c>
      <c r="B1085">
        <v>56</v>
      </c>
      <c r="C1085" t="s">
        <v>461</v>
      </c>
      <c r="D1085" t="s">
        <v>414</v>
      </c>
      <c r="E1085">
        <v>10</v>
      </c>
      <c r="F1085">
        <v>3.06</v>
      </c>
      <c r="G1085">
        <v>18386.206999999999</v>
      </c>
      <c r="I1085">
        <v>18386.206999999999</v>
      </c>
      <c r="J1085" t="s">
        <v>403</v>
      </c>
      <c r="K1085">
        <v>3.8</v>
      </c>
      <c r="L1085">
        <v>-61.9</v>
      </c>
      <c r="N1085">
        <v>56</v>
      </c>
      <c r="O1085">
        <v>56</v>
      </c>
      <c r="P1085" t="s">
        <v>566</v>
      </c>
      <c r="Q1085" t="s">
        <v>414</v>
      </c>
      <c r="R1085">
        <v>10</v>
      </c>
      <c r="S1085">
        <v>3.06</v>
      </c>
      <c r="T1085">
        <v>19922.282999999999</v>
      </c>
      <c r="V1085">
        <v>19922.282999999999</v>
      </c>
      <c r="W1085" t="s">
        <v>403</v>
      </c>
      <c r="X1085">
        <v>3.3</v>
      </c>
      <c r="Y1085">
        <v>-66.900000000000006</v>
      </c>
    </row>
    <row r="1086" spans="1:25" x14ac:dyDescent="0.45">
      <c r="A1086">
        <v>57</v>
      </c>
      <c r="B1086">
        <v>57</v>
      </c>
      <c r="C1086" t="s">
        <v>462</v>
      </c>
      <c r="D1086" t="s">
        <v>414</v>
      </c>
      <c r="E1086">
        <v>10</v>
      </c>
      <c r="F1086">
        <v>3.06</v>
      </c>
      <c r="G1086">
        <v>18538.583999999999</v>
      </c>
      <c r="I1086">
        <v>18538.583999999999</v>
      </c>
      <c r="J1086" t="s">
        <v>403</v>
      </c>
      <c r="K1086">
        <v>3.8</v>
      </c>
      <c r="L1086">
        <v>-61.5</v>
      </c>
      <c r="N1086">
        <v>57</v>
      </c>
      <c r="O1086">
        <v>57</v>
      </c>
      <c r="P1086" t="s">
        <v>567</v>
      </c>
      <c r="Q1086" t="s">
        <v>414</v>
      </c>
      <c r="R1086">
        <v>10</v>
      </c>
      <c r="S1086">
        <v>3.06</v>
      </c>
      <c r="T1086">
        <v>22601.754000000001</v>
      </c>
      <c r="V1086">
        <v>22601.754000000001</v>
      </c>
      <c r="W1086" t="s">
        <v>401</v>
      </c>
      <c r="X1086">
        <v>3.8</v>
      </c>
      <c r="Y1086">
        <v>-62.5</v>
      </c>
    </row>
    <row r="1087" spans="1:25" x14ac:dyDescent="0.45">
      <c r="A1087">
        <v>58</v>
      </c>
      <c r="B1087">
        <v>58</v>
      </c>
      <c r="C1087" t="s">
        <v>463</v>
      </c>
      <c r="D1087" t="s">
        <v>414</v>
      </c>
      <c r="E1087">
        <v>10</v>
      </c>
      <c r="F1087">
        <v>3.06</v>
      </c>
      <c r="G1087">
        <v>22372.467000000001</v>
      </c>
      <c r="I1087">
        <v>22372.467000000001</v>
      </c>
      <c r="J1087" t="s">
        <v>403</v>
      </c>
      <c r="K1087">
        <v>4.5999999999999996</v>
      </c>
      <c r="L1087">
        <v>-53.6</v>
      </c>
      <c r="N1087">
        <v>58</v>
      </c>
      <c r="O1087">
        <v>58</v>
      </c>
      <c r="P1087" t="s">
        <v>568</v>
      </c>
      <c r="Q1087" t="s">
        <v>414</v>
      </c>
      <c r="R1087">
        <v>10</v>
      </c>
      <c r="S1087">
        <v>3.06</v>
      </c>
      <c r="T1087">
        <v>30723.868999999999</v>
      </c>
      <c r="V1087">
        <v>30723.868999999999</v>
      </c>
      <c r="W1087" t="s">
        <v>403</v>
      </c>
      <c r="X1087">
        <v>5.0999999999999996</v>
      </c>
      <c r="Y1087">
        <v>-49</v>
      </c>
    </row>
    <row r="1088" spans="1:25" x14ac:dyDescent="0.45">
      <c r="A1088">
        <v>59</v>
      </c>
      <c r="B1088">
        <v>59</v>
      </c>
      <c r="C1088" t="s">
        <v>464</v>
      </c>
      <c r="D1088" t="s">
        <v>414</v>
      </c>
      <c r="E1088">
        <v>10</v>
      </c>
      <c r="F1088">
        <v>3.06</v>
      </c>
      <c r="G1088">
        <v>22371.648000000001</v>
      </c>
      <c r="I1088">
        <v>22371.648000000001</v>
      </c>
      <c r="J1088" t="s">
        <v>403</v>
      </c>
      <c r="K1088">
        <v>4.5999999999999996</v>
      </c>
      <c r="L1088">
        <v>-53.6</v>
      </c>
      <c r="N1088">
        <v>59</v>
      </c>
      <c r="O1088">
        <v>59</v>
      </c>
      <c r="P1088" t="s">
        <v>569</v>
      </c>
      <c r="Q1088" t="s">
        <v>414</v>
      </c>
      <c r="R1088">
        <v>10</v>
      </c>
      <c r="S1088">
        <v>3.06</v>
      </c>
      <c r="T1088">
        <v>20073.651999999998</v>
      </c>
      <c r="V1088">
        <v>20073.651999999998</v>
      </c>
      <c r="W1088" t="s">
        <v>403</v>
      </c>
      <c r="X1088">
        <v>3.3</v>
      </c>
      <c r="Y1088">
        <v>-66.7</v>
      </c>
    </row>
    <row r="1089" spans="1:25" x14ac:dyDescent="0.45">
      <c r="A1089">
        <v>60</v>
      </c>
      <c r="B1089">
        <v>60</v>
      </c>
      <c r="C1089" t="s">
        <v>465</v>
      </c>
      <c r="D1089" t="s">
        <v>414</v>
      </c>
      <c r="E1089">
        <v>10</v>
      </c>
      <c r="F1089">
        <v>3.06</v>
      </c>
      <c r="G1089">
        <v>25031.723000000002</v>
      </c>
      <c r="I1089">
        <v>25031.723000000002</v>
      </c>
      <c r="J1089" t="s">
        <v>403</v>
      </c>
      <c r="K1089">
        <v>5.2</v>
      </c>
      <c r="L1089">
        <v>-48.1</v>
      </c>
      <c r="N1089">
        <v>60</v>
      </c>
      <c r="O1089">
        <v>60</v>
      </c>
      <c r="P1089" t="s">
        <v>570</v>
      </c>
      <c r="Q1089" t="s">
        <v>414</v>
      </c>
      <c r="R1089">
        <v>10</v>
      </c>
      <c r="S1089">
        <v>3.06</v>
      </c>
      <c r="T1089">
        <v>37451.57</v>
      </c>
      <c r="V1089">
        <v>37451.57</v>
      </c>
      <c r="W1089" t="s">
        <v>403</v>
      </c>
      <c r="X1089">
        <v>6.2</v>
      </c>
      <c r="Y1089">
        <v>-37.799999999999997</v>
      </c>
    </row>
    <row r="1090" spans="1:25" x14ac:dyDescent="0.45">
      <c r="A1090">
        <v>61</v>
      </c>
      <c r="B1090">
        <v>61</v>
      </c>
      <c r="C1090" t="s">
        <v>466</v>
      </c>
      <c r="D1090" t="s">
        <v>414</v>
      </c>
      <c r="E1090">
        <v>10</v>
      </c>
      <c r="F1090">
        <v>3.06</v>
      </c>
      <c r="G1090">
        <v>24166.763999999999</v>
      </c>
      <c r="I1090">
        <v>24166.763999999999</v>
      </c>
      <c r="J1090" t="s">
        <v>403</v>
      </c>
      <c r="K1090">
        <v>5</v>
      </c>
      <c r="L1090">
        <v>-49.9</v>
      </c>
      <c r="N1090">
        <v>61</v>
      </c>
      <c r="O1090">
        <v>61</v>
      </c>
      <c r="P1090" t="s">
        <v>571</v>
      </c>
      <c r="Q1090" t="s">
        <v>414</v>
      </c>
      <c r="R1090">
        <v>10</v>
      </c>
      <c r="S1090">
        <v>3.06</v>
      </c>
      <c r="T1090">
        <v>21917.164000000001</v>
      </c>
      <c r="V1090">
        <v>21917.164000000001</v>
      </c>
      <c r="W1090" t="s">
        <v>401</v>
      </c>
      <c r="X1090">
        <v>3.6</v>
      </c>
      <c r="Y1090">
        <v>-63.6</v>
      </c>
    </row>
    <row r="1091" spans="1:25" x14ac:dyDescent="0.45">
      <c r="A1091">
        <v>62</v>
      </c>
      <c r="B1091">
        <v>62</v>
      </c>
      <c r="C1091" t="s">
        <v>467</v>
      </c>
      <c r="D1091" t="s">
        <v>414</v>
      </c>
      <c r="E1091">
        <v>10</v>
      </c>
      <c r="F1091">
        <v>3.06</v>
      </c>
      <c r="G1091">
        <v>28895.703000000001</v>
      </c>
      <c r="I1091">
        <v>28895.703000000001</v>
      </c>
      <c r="J1091" t="s">
        <v>403</v>
      </c>
      <c r="K1091">
        <v>6</v>
      </c>
      <c r="L1091">
        <v>-40</v>
      </c>
      <c r="N1091">
        <v>62</v>
      </c>
      <c r="O1091">
        <v>62</v>
      </c>
      <c r="P1091" t="s">
        <v>572</v>
      </c>
      <c r="Q1091" t="s">
        <v>414</v>
      </c>
      <c r="R1091">
        <v>10</v>
      </c>
      <c r="S1091">
        <v>3.06</v>
      </c>
      <c r="T1091">
        <v>21837.35</v>
      </c>
      <c r="V1091">
        <v>21837.35</v>
      </c>
      <c r="W1091" t="s">
        <v>403</v>
      </c>
      <c r="X1091">
        <v>3.6</v>
      </c>
      <c r="Y1091">
        <v>-63.8</v>
      </c>
    </row>
    <row r="1092" spans="1:25" x14ac:dyDescent="0.45">
      <c r="A1092">
        <v>63</v>
      </c>
      <c r="B1092">
        <v>63</v>
      </c>
      <c r="C1092" t="s">
        <v>468</v>
      </c>
      <c r="D1092" t="s">
        <v>414</v>
      </c>
      <c r="E1092">
        <v>10</v>
      </c>
      <c r="F1092">
        <v>3.06</v>
      </c>
      <c r="G1092">
        <v>25797.562999999998</v>
      </c>
      <c r="I1092">
        <v>25797.562999999998</v>
      </c>
      <c r="J1092" t="s">
        <v>403</v>
      </c>
      <c r="K1092">
        <v>5.4</v>
      </c>
      <c r="L1092">
        <v>-46.5</v>
      </c>
      <c r="N1092">
        <v>63</v>
      </c>
      <c r="O1092">
        <v>63</v>
      </c>
      <c r="P1092" t="s">
        <v>573</v>
      </c>
      <c r="Q1092" t="s">
        <v>414</v>
      </c>
      <c r="R1092">
        <v>10</v>
      </c>
      <c r="S1092">
        <v>3.06</v>
      </c>
      <c r="T1092">
        <v>30773.223000000002</v>
      </c>
      <c r="V1092">
        <v>30773.223000000002</v>
      </c>
      <c r="W1092" t="s">
        <v>401</v>
      </c>
      <c r="X1092">
        <v>5.0999999999999996</v>
      </c>
      <c r="Y1092">
        <v>-48.9</v>
      </c>
    </row>
    <row r="1093" spans="1:25" x14ac:dyDescent="0.45">
      <c r="A1093">
        <v>64</v>
      </c>
      <c r="B1093">
        <v>64</v>
      </c>
      <c r="C1093" t="s">
        <v>469</v>
      </c>
      <c r="D1093" t="s">
        <v>414</v>
      </c>
      <c r="E1093">
        <v>10</v>
      </c>
      <c r="F1093">
        <v>3.06</v>
      </c>
      <c r="G1093">
        <v>25773.723000000002</v>
      </c>
      <c r="I1093">
        <v>25773.723000000002</v>
      </c>
      <c r="J1093" t="s">
        <v>403</v>
      </c>
      <c r="K1093">
        <v>5.3</v>
      </c>
      <c r="L1093">
        <v>-46.5</v>
      </c>
      <c r="N1093">
        <v>64</v>
      </c>
      <c r="O1093">
        <v>64</v>
      </c>
      <c r="P1093" t="s">
        <v>574</v>
      </c>
      <c r="Q1093" t="s">
        <v>414</v>
      </c>
      <c r="R1093">
        <v>10</v>
      </c>
      <c r="S1093">
        <v>3.06</v>
      </c>
      <c r="T1093">
        <v>25564.107</v>
      </c>
      <c r="V1093">
        <v>25564.107</v>
      </c>
      <c r="W1093" t="s">
        <v>401</v>
      </c>
      <c r="X1093">
        <v>4.2</v>
      </c>
      <c r="Y1093">
        <v>-57.6</v>
      </c>
    </row>
    <row r="1094" spans="1:25" x14ac:dyDescent="0.45">
      <c r="A1094">
        <v>65</v>
      </c>
      <c r="B1094">
        <v>65</v>
      </c>
      <c r="C1094" t="s">
        <v>470</v>
      </c>
      <c r="D1094" t="s">
        <v>414</v>
      </c>
      <c r="E1094">
        <v>10</v>
      </c>
      <c r="F1094">
        <v>3.06</v>
      </c>
      <c r="G1094">
        <v>24000.574000000001</v>
      </c>
      <c r="I1094">
        <v>24000.574000000001</v>
      </c>
      <c r="J1094" t="s">
        <v>403</v>
      </c>
      <c r="K1094">
        <v>5</v>
      </c>
      <c r="L1094">
        <v>-50.2</v>
      </c>
      <c r="N1094">
        <v>65</v>
      </c>
      <c r="O1094">
        <v>65</v>
      </c>
      <c r="P1094" t="s">
        <v>575</v>
      </c>
      <c r="Q1094" t="s">
        <v>414</v>
      </c>
      <c r="R1094">
        <v>10</v>
      </c>
      <c r="S1094">
        <v>3.06</v>
      </c>
      <c r="T1094">
        <v>25234.873</v>
      </c>
      <c r="V1094">
        <v>25234.873</v>
      </c>
      <c r="W1094" t="s">
        <v>403</v>
      </c>
      <c r="X1094">
        <v>4.2</v>
      </c>
      <c r="Y1094">
        <v>-58.1</v>
      </c>
    </row>
    <row r="1095" spans="1:25" x14ac:dyDescent="0.45">
      <c r="A1095">
        <v>66</v>
      </c>
      <c r="B1095">
        <v>66</v>
      </c>
      <c r="C1095" t="s">
        <v>471</v>
      </c>
      <c r="D1095" t="s">
        <v>414</v>
      </c>
      <c r="E1095">
        <v>10</v>
      </c>
      <c r="F1095">
        <v>3.06</v>
      </c>
      <c r="G1095">
        <v>24894.263999999999</v>
      </c>
      <c r="I1095">
        <v>24894.263999999999</v>
      </c>
      <c r="J1095" t="s">
        <v>403</v>
      </c>
      <c r="K1095">
        <v>5.2</v>
      </c>
      <c r="L1095">
        <v>-48.3</v>
      </c>
      <c r="N1095">
        <v>66</v>
      </c>
      <c r="O1095">
        <v>66</v>
      </c>
      <c r="P1095" t="s">
        <v>576</v>
      </c>
      <c r="Q1095" t="s">
        <v>414</v>
      </c>
      <c r="R1095">
        <v>10</v>
      </c>
      <c r="S1095">
        <v>3.06</v>
      </c>
      <c r="T1095">
        <v>25525.695</v>
      </c>
      <c r="V1095">
        <v>25525.695</v>
      </c>
      <c r="W1095" t="s">
        <v>403</v>
      </c>
      <c r="X1095">
        <v>4.2</v>
      </c>
      <c r="Y1095">
        <v>-57.6</v>
      </c>
    </row>
    <row r="1096" spans="1:25" x14ac:dyDescent="0.45">
      <c r="A1096">
        <v>67</v>
      </c>
      <c r="B1096">
        <v>67</v>
      </c>
      <c r="C1096" t="s">
        <v>472</v>
      </c>
      <c r="D1096" t="s">
        <v>414</v>
      </c>
      <c r="E1096">
        <v>10</v>
      </c>
      <c r="F1096">
        <v>3.06</v>
      </c>
      <c r="G1096">
        <v>14587.661</v>
      </c>
      <c r="I1096">
        <v>14587.661</v>
      </c>
      <c r="J1096" t="s">
        <v>403</v>
      </c>
      <c r="K1096">
        <v>3</v>
      </c>
      <c r="L1096">
        <v>-69.7</v>
      </c>
      <c r="N1096">
        <v>67</v>
      </c>
      <c r="O1096">
        <v>67</v>
      </c>
      <c r="P1096" t="s">
        <v>577</v>
      </c>
      <c r="Q1096" t="s">
        <v>414</v>
      </c>
      <c r="R1096">
        <v>10</v>
      </c>
      <c r="S1096">
        <v>3.06</v>
      </c>
      <c r="T1096">
        <v>16517.393</v>
      </c>
      <c r="V1096">
        <v>16517.393</v>
      </c>
      <c r="W1096" t="s">
        <v>403</v>
      </c>
      <c r="X1096">
        <v>2.7</v>
      </c>
      <c r="Y1096">
        <v>-72.599999999999994</v>
      </c>
    </row>
    <row r="1097" spans="1:25" x14ac:dyDescent="0.45">
      <c r="A1097">
        <v>68</v>
      </c>
      <c r="B1097">
        <v>68</v>
      </c>
      <c r="C1097" t="s">
        <v>473</v>
      </c>
      <c r="D1097" t="s">
        <v>414</v>
      </c>
      <c r="E1097">
        <v>10</v>
      </c>
      <c r="F1097">
        <v>3.07</v>
      </c>
      <c r="G1097">
        <v>19391.498</v>
      </c>
      <c r="I1097">
        <v>19391.498</v>
      </c>
      <c r="J1097" t="s">
        <v>415</v>
      </c>
      <c r="K1097">
        <v>4</v>
      </c>
      <c r="L1097">
        <v>-59.8</v>
      </c>
      <c r="N1097">
        <v>68</v>
      </c>
      <c r="O1097">
        <v>68</v>
      </c>
      <c r="P1097" t="s">
        <v>578</v>
      </c>
      <c r="Q1097" t="s">
        <v>414</v>
      </c>
      <c r="R1097">
        <v>10</v>
      </c>
      <c r="S1097">
        <v>3.06</v>
      </c>
      <c r="T1097">
        <v>20746.732</v>
      </c>
      <c r="V1097">
        <v>20746.732</v>
      </c>
      <c r="W1097" t="s">
        <v>403</v>
      </c>
      <c r="X1097">
        <v>3.4</v>
      </c>
      <c r="Y1097">
        <v>-65.599999999999994</v>
      </c>
    </row>
    <row r="1098" spans="1:25" x14ac:dyDescent="0.45">
      <c r="A1098">
        <v>69</v>
      </c>
      <c r="B1098">
        <v>69</v>
      </c>
      <c r="C1098" t="s">
        <v>474</v>
      </c>
      <c r="D1098" t="s">
        <v>414</v>
      </c>
      <c r="E1098">
        <v>10</v>
      </c>
      <c r="F1098">
        <v>3.06</v>
      </c>
      <c r="G1098">
        <v>28867.609</v>
      </c>
      <c r="I1098">
        <v>28867.609</v>
      </c>
      <c r="J1098" t="s">
        <v>403</v>
      </c>
      <c r="K1098">
        <v>6</v>
      </c>
      <c r="L1098">
        <v>-40.1</v>
      </c>
      <c r="N1098">
        <v>69</v>
      </c>
      <c r="O1098">
        <v>69</v>
      </c>
      <c r="P1098" t="s">
        <v>579</v>
      </c>
      <c r="Q1098" t="s">
        <v>414</v>
      </c>
      <c r="R1098">
        <v>10</v>
      </c>
      <c r="S1098">
        <v>3.06</v>
      </c>
      <c r="T1098">
        <v>19862.232</v>
      </c>
      <c r="V1098">
        <v>19862.232</v>
      </c>
      <c r="W1098" t="s">
        <v>403</v>
      </c>
      <c r="X1098">
        <v>3.3</v>
      </c>
      <c r="Y1098">
        <v>-67</v>
      </c>
    </row>
    <row r="1100" spans="1:25" x14ac:dyDescent="0.45">
      <c r="A1100" t="s">
        <v>501</v>
      </c>
      <c r="N1100" t="s">
        <v>501</v>
      </c>
    </row>
    <row r="1102" spans="1:25" x14ac:dyDescent="0.45">
      <c r="B1102" t="s">
        <v>389</v>
      </c>
      <c r="C1102" t="s">
        <v>123</v>
      </c>
      <c r="D1102" t="s">
        <v>390</v>
      </c>
      <c r="E1102" t="s">
        <v>391</v>
      </c>
      <c r="F1102" t="s">
        <v>392</v>
      </c>
      <c r="G1102" t="s">
        <v>393</v>
      </c>
      <c r="H1102" t="s">
        <v>394</v>
      </c>
      <c r="I1102" t="s">
        <v>395</v>
      </c>
      <c r="J1102" t="s">
        <v>396</v>
      </c>
      <c r="K1102" t="s">
        <v>397</v>
      </c>
      <c r="L1102" t="s">
        <v>398</v>
      </c>
      <c r="O1102" t="s">
        <v>389</v>
      </c>
      <c r="P1102" t="s">
        <v>123</v>
      </c>
      <c r="Q1102" t="s">
        <v>390</v>
      </c>
      <c r="R1102" t="s">
        <v>391</v>
      </c>
      <c r="S1102" t="s">
        <v>392</v>
      </c>
      <c r="T1102" t="s">
        <v>393</v>
      </c>
      <c r="U1102" t="s">
        <v>394</v>
      </c>
      <c r="V1102" t="s">
        <v>395</v>
      </c>
      <c r="W1102" t="s">
        <v>396</v>
      </c>
      <c r="X1102" t="s">
        <v>397</v>
      </c>
      <c r="Y1102" t="s">
        <v>398</v>
      </c>
    </row>
    <row r="1103" spans="1:25" x14ac:dyDescent="0.45">
      <c r="A1103">
        <v>1</v>
      </c>
      <c r="B1103">
        <v>1</v>
      </c>
      <c r="C1103" t="s">
        <v>399</v>
      </c>
      <c r="D1103" t="s">
        <v>400</v>
      </c>
      <c r="E1103">
        <v>10</v>
      </c>
      <c r="F1103">
        <v>3.01</v>
      </c>
      <c r="G1103">
        <v>89740.976999999999</v>
      </c>
      <c r="I1103">
        <v>89740.976999999999</v>
      </c>
      <c r="J1103" t="s">
        <v>403</v>
      </c>
      <c r="K1103">
        <v>8.1</v>
      </c>
      <c r="L1103">
        <v>-18.7</v>
      </c>
      <c r="N1103">
        <v>1</v>
      </c>
      <c r="O1103">
        <v>1</v>
      </c>
      <c r="P1103" t="s">
        <v>511</v>
      </c>
      <c r="Q1103" t="s">
        <v>400</v>
      </c>
      <c r="R1103">
        <v>10</v>
      </c>
      <c r="S1103">
        <v>3.01</v>
      </c>
      <c r="T1103">
        <v>151662.141</v>
      </c>
      <c r="V1103">
        <v>151662.141</v>
      </c>
      <c r="W1103" t="s">
        <v>403</v>
      </c>
      <c r="X1103">
        <v>11.9</v>
      </c>
      <c r="Y1103">
        <v>19</v>
      </c>
    </row>
    <row r="1104" spans="1:25" x14ac:dyDescent="0.45">
      <c r="A1104">
        <v>2</v>
      </c>
      <c r="B1104">
        <v>2</v>
      </c>
      <c r="C1104" t="s">
        <v>402</v>
      </c>
      <c r="D1104" t="s">
        <v>400</v>
      </c>
      <c r="E1104">
        <v>10</v>
      </c>
      <c r="F1104">
        <v>3.01</v>
      </c>
      <c r="G1104">
        <v>97054.835999999996</v>
      </c>
      <c r="I1104">
        <v>97054.835999999996</v>
      </c>
      <c r="J1104" t="s">
        <v>401</v>
      </c>
      <c r="K1104">
        <v>8.8000000000000007</v>
      </c>
      <c r="L1104">
        <v>-12.1</v>
      </c>
      <c r="N1104">
        <v>2</v>
      </c>
      <c r="O1104">
        <v>2</v>
      </c>
      <c r="P1104" t="s">
        <v>512</v>
      </c>
      <c r="Q1104" t="s">
        <v>400</v>
      </c>
      <c r="R1104">
        <v>10</v>
      </c>
      <c r="S1104">
        <v>3.02</v>
      </c>
      <c r="T1104">
        <v>133515.5</v>
      </c>
      <c r="V1104">
        <v>133515.5</v>
      </c>
      <c r="W1104" t="s">
        <v>403</v>
      </c>
      <c r="X1104">
        <v>10.5</v>
      </c>
      <c r="Y1104">
        <v>4.7</v>
      </c>
    </row>
    <row r="1105" spans="1:25" x14ac:dyDescent="0.45">
      <c r="A1105">
        <v>3</v>
      </c>
      <c r="B1105">
        <v>3</v>
      </c>
      <c r="C1105" t="s">
        <v>404</v>
      </c>
      <c r="D1105" t="s">
        <v>400</v>
      </c>
      <c r="E1105">
        <v>10</v>
      </c>
      <c r="F1105">
        <v>3.02</v>
      </c>
      <c r="G1105">
        <v>97600.343999999997</v>
      </c>
      <c r="I1105">
        <v>97600.343999999997</v>
      </c>
      <c r="J1105" t="s">
        <v>403</v>
      </c>
      <c r="K1105">
        <v>8.8000000000000007</v>
      </c>
      <c r="L1105">
        <v>-11.6</v>
      </c>
      <c r="N1105">
        <v>3</v>
      </c>
      <c r="O1105">
        <v>3</v>
      </c>
      <c r="P1105" t="s">
        <v>513</v>
      </c>
      <c r="Q1105" t="s">
        <v>400</v>
      </c>
      <c r="R1105">
        <v>10</v>
      </c>
      <c r="S1105">
        <v>3.03</v>
      </c>
      <c r="T1105">
        <v>125573.781</v>
      </c>
      <c r="V1105">
        <v>125573.781</v>
      </c>
      <c r="W1105" t="s">
        <v>401</v>
      </c>
      <c r="X1105">
        <v>9.9</v>
      </c>
      <c r="Y1105">
        <v>-1.5</v>
      </c>
    </row>
    <row r="1106" spans="1:25" x14ac:dyDescent="0.45">
      <c r="A1106">
        <v>4</v>
      </c>
      <c r="B1106">
        <v>4</v>
      </c>
      <c r="C1106" t="s">
        <v>405</v>
      </c>
      <c r="D1106" t="s">
        <v>400</v>
      </c>
      <c r="E1106">
        <v>10</v>
      </c>
      <c r="F1106">
        <v>3.02</v>
      </c>
      <c r="G1106">
        <v>106558.664</v>
      </c>
      <c r="I1106">
        <v>106558.664</v>
      </c>
      <c r="J1106" t="s">
        <v>415</v>
      </c>
      <c r="K1106">
        <v>9.6999999999999993</v>
      </c>
      <c r="L1106">
        <v>-3.5</v>
      </c>
      <c r="N1106">
        <v>4</v>
      </c>
      <c r="O1106">
        <v>4</v>
      </c>
      <c r="P1106" t="s">
        <v>514</v>
      </c>
      <c r="Q1106" t="s">
        <v>400</v>
      </c>
      <c r="R1106">
        <v>10</v>
      </c>
      <c r="S1106">
        <v>3.03</v>
      </c>
      <c r="T1106">
        <v>107842.852</v>
      </c>
      <c r="V1106">
        <v>107842.852</v>
      </c>
      <c r="W1106" t="s">
        <v>415</v>
      </c>
      <c r="X1106">
        <v>8.5</v>
      </c>
      <c r="Y1106">
        <v>-15.4</v>
      </c>
    </row>
    <row r="1107" spans="1:25" x14ac:dyDescent="0.45">
      <c r="A1107">
        <v>5</v>
      </c>
      <c r="B1107">
        <v>5</v>
      </c>
      <c r="C1107" t="s">
        <v>406</v>
      </c>
      <c r="D1107" t="s">
        <v>400</v>
      </c>
      <c r="E1107">
        <v>10</v>
      </c>
      <c r="F1107">
        <v>3.02</v>
      </c>
      <c r="G1107">
        <v>119451.109</v>
      </c>
      <c r="I1107">
        <v>119451.109</v>
      </c>
      <c r="J1107" t="s">
        <v>401</v>
      </c>
      <c r="K1107">
        <v>10.8</v>
      </c>
      <c r="L1107">
        <v>8.1999999999999993</v>
      </c>
      <c r="N1107">
        <v>5</v>
      </c>
      <c r="O1107">
        <v>5</v>
      </c>
      <c r="P1107" t="s">
        <v>515</v>
      </c>
      <c r="Q1107" t="s">
        <v>400</v>
      </c>
      <c r="R1107">
        <v>10</v>
      </c>
      <c r="S1107">
        <v>3.03</v>
      </c>
      <c r="T1107">
        <v>123482.891</v>
      </c>
      <c r="V1107">
        <v>123482.891</v>
      </c>
      <c r="W1107" t="s">
        <v>401</v>
      </c>
      <c r="X1107">
        <v>9.6999999999999993</v>
      </c>
      <c r="Y1107">
        <v>-3.1</v>
      </c>
    </row>
    <row r="1108" spans="1:25" x14ac:dyDescent="0.45">
      <c r="A1108">
        <v>6</v>
      </c>
      <c r="B1108">
        <v>6</v>
      </c>
      <c r="C1108" t="s">
        <v>407</v>
      </c>
      <c r="D1108" t="s">
        <v>400</v>
      </c>
      <c r="E1108">
        <v>10</v>
      </c>
      <c r="F1108">
        <v>3.03</v>
      </c>
      <c r="G1108">
        <v>124350.31299999999</v>
      </c>
      <c r="I1108">
        <v>124350.31299999999</v>
      </c>
      <c r="J1108" t="s">
        <v>403</v>
      </c>
      <c r="K1108">
        <v>11.3</v>
      </c>
      <c r="L1108">
        <v>12.6</v>
      </c>
      <c r="N1108">
        <v>6</v>
      </c>
      <c r="O1108">
        <v>6</v>
      </c>
      <c r="P1108" t="s">
        <v>516</v>
      </c>
      <c r="Q1108" t="s">
        <v>400</v>
      </c>
      <c r="R1108">
        <v>10</v>
      </c>
      <c r="S1108">
        <v>3.04</v>
      </c>
      <c r="T1108">
        <v>125161.523</v>
      </c>
      <c r="V1108">
        <v>125161.523</v>
      </c>
      <c r="W1108" t="s">
        <v>403</v>
      </c>
      <c r="X1108">
        <v>9.8000000000000007</v>
      </c>
      <c r="Y1108">
        <v>-1.8</v>
      </c>
    </row>
    <row r="1109" spans="1:25" x14ac:dyDescent="0.45">
      <c r="A1109">
        <v>7</v>
      </c>
      <c r="B1109">
        <v>7</v>
      </c>
      <c r="C1109" t="s">
        <v>408</v>
      </c>
      <c r="D1109" t="s">
        <v>400</v>
      </c>
      <c r="E1109">
        <v>10</v>
      </c>
      <c r="F1109">
        <v>3.03</v>
      </c>
      <c r="G1109">
        <v>138067.32800000001</v>
      </c>
      <c r="I1109">
        <v>138067.32800000001</v>
      </c>
      <c r="J1109" t="s">
        <v>401</v>
      </c>
      <c r="K1109">
        <v>12.5</v>
      </c>
      <c r="L1109">
        <v>25.1</v>
      </c>
      <c r="N1109">
        <v>7</v>
      </c>
      <c r="O1109">
        <v>7</v>
      </c>
      <c r="P1109" t="s">
        <v>517</v>
      </c>
      <c r="Q1109" t="s">
        <v>400</v>
      </c>
      <c r="R1109">
        <v>10</v>
      </c>
      <c r="S1109">
        <v>3.04</v>
      </c>
      <c r="T1109">
        <v>125042.19500000001</v>
      </c>
      <c r="V1109">
        <v>125042.19500000001</v>
      </c>
      <c r="W1109" t="s">
        <v>403</v>
      </c>
      <c r="X1109">
        <v>9.8000000000000007</v>
      </c>
      <c r="Y1109">
        <v>-1.9</v>
      </c>
    </row>
    <row r="1110" spans="1:25" x14ac:dyDescent="0.45">
      <c r="A1110">
        <v>8</v>
      </c>
      <c r="B1110">
        <v>8</v>
      </c>
      <c r="C1110" t="s">
        <v>409</v>
      </c>
      <c r="D1110" t="s">
        <v>410</v>
      </c>
      <c r="E1110">
        <v>10</v>
      </c>
      <c r="F1110">
        <v>3.05</v>
      </c>
      <c r="G1110">
        <v>1652.0650000000001</v>
      </c>
      <c r="I1110">
        <v>1652.0650000000001</v>
      </c>
      <c r="J1110" t="s">
        <v>403</v>
      </c>
      <c r="K1110">
        <v>0.1</v>
      </c>
      <c r="L1110">
        <v>-98.5</v>
      </c>
      <c r="N1110">
        <v>8</v>
      </c>
      <c r="O1110">
        <v>8</v>
      </c>
      <c r="P1110" t="s">
        <v>518</v>
      </c>
      <c r="Q1110" t="s">
        <v>410</v>
      </c>
      <c r="R1110">
        <v>10</v>
      </c>
      <c r="S1110">
        <v>4.26</v>
      </c>
      <c r="T1110">
        <v>1479.43</v>
      </c>
      <c r="V1110">
        <v>1479.43</v>
      </c>
      <c r="W1110" t="s">
        <v>403</v>
      </c>
      <c r="X1110">
        <v>0.1</v>
      </c>
      <c r="Y1110">
        <v>-98.8</v>
      </c>
    </row>
    <row r="1111" spans="1:25" x14ac:dyDescent="0.45">
      <c r="A1111">
        <v>9</v>
      </c>
      <c r="B1111">
        <v>9</v>
      </c>
      <c r="C1111" t="s">
        <v>411</v>
      </c>
      <c r="D1111" t="s">
        <v>410</v>
      </c>
      <c r="E1111">
        <v>10</v>
      </c>
      <c r="F1111">
        <v>3.47</v>
      </c>
      <c r="G1111">
        <v>1311.23</v>
      </c>
      <c r="I1111">
        <v>1311.23</v>
      </c>
      <c r="J1111" t="s">
        <v>412</v>
      </c>
      <c r="K1111">
        <v>0.1</v>
      </c>
      <c r="L1111">
        <v>-98.8</v>
      </c>
      <c r="N1111">
        <v>9</v>
      </c>
      <c r="O1111">
        <v>9</v>
      </c>
      <c r="P1111" t="s">
        <v>519</v>
      </c>
      <c r="Q1111" t="s">
        <v>410</v>
      </c>
      <c r="R1111">
        <v>10</v>
      </c>
      <c r="S1111">
        <v>3.49</v>
      </c>
      <c r="T1111">
        <v>1617.126</v>
      </c>
      <c r="V1111">
        <v>1617.126</v>
      </c>
      <c r="W1111" t="s">
        <v>412</v>
      </c>
      <c r="X1111">
        <v>0.1</v>
      </c>
      <c r="Y1111">
        <v>-98.7</v>
      </c>
    </row>
    <row r="1112" spans="1:25" x14ac:dyDescent="0.45">
      <c r="A1112">
        <v>10</v>
      </c>
      <c r="B1112">
        <v>10</v>
      </c>
      <c r="C1112" t="s">
        <v>413</v>
      </c>
      <c r="D1112" t="s">
        <v>414</v>
      </c>
      <c r="E1112">
        <v>10</v>
      </c>
      <c r="N1112">
        <v>10</v>
      </c>
      <c r="O1112">
        <v>10</v>
      </c>
      <c r="P1112" t="s">
        <v>520</v>
      </c>
      <c r="Q1112" t="s">
        <v>414</v>
      </c>
      <c r="R1112">
        <v>10</v>
      </c>
      <c r="S1112">
        <v>3.04</v>
      </c>
      <c r="T1112">
        <v>114391.117</v>
      </c>
      <c r="V1112">
        <v>114391.117</v>
      </c>
      <c r="W1112" t="s">
        <v>403</v>
      </c>
      <c r="X1112">
        <v>9</v>
      </c>
      <c r="Y1112">
        <v>-10.3</v>
      </c>
    </row>
    <row r="1113" spans="1:25" x14ac:dyDescent="0.45">
      <c r="A1113">
        <v>11</v>
      </c>
      <c r="B1113">
        <v>11</v>
      </c>
      <c r="C1113" t="s">
        <v>416</v>
      </c>
      <c r="D1113" t="s">
        <v>414</v>
      </c>
      <c r="E1113">
        <v>10</v>
      </c>
      <c r="F1113">
        <v>3.04</v>
      </c>
      <c r="G1113">
        <v>84309.358999999997</v>
      </c>
      <c r="I1113">
        <v>84309.358999999997</v>
      </c>
      <c r="J1113" t="s">
        <v>403</v>
      </c>
      <c r="K1113">
        <v>7.6</v>
      </c>
      <c r="L1113">
        <v>-23.6</v>
      </c>
      <c r="N1113">
        <v>11</v>
      </c>
      <c r="O1113">
        <v>11</v>
      </c>
      <c r="P1113" t="s">
        <v>521</v>
      </c>
      <c r="Q1113" t="s">
        <v>414</v>
      </c>
      <c r="R1113">
        <v>10</v>
      </c>
      <c r="S1113">
        <v>3.04</v>
      </c>
      <c r="T1113">
        <v>51954.921999999999</v>
      </c>
      <c r="V1113">
        <v>51954.921999999999</v>
      </c>
      <c r="W1113" t="s">
        <v>403</v>
      </c>
      <c r="X1113">
        <v>4.0999999999999996</v>
      </c>
      <c r="Y1113">
        <v>-59.2</v>
      </c>
    </row>
    <row r="1114" spans="1:25" x14ac:dyDescent="0.45">
      <c r="A1114">
        <v>12</v>
      </c>
      <c r="B1114">
        <v>12</v>
      </c>
      <c r="C1114" t="s">
        <v>417</v>
      </c>
      <c r="D1114" t="s">
        <v>414</v>
      </c>
      <c r="E1114">
        <v>10</v>
      </c>
      <c r="F1114">
        <v>3.04</v>
      </c>
      <c r="G1114">
        <v>66132.679999999993</v>
      </c>
      <c r="I1114">
        <v>66132.679999999993</v>
      </c>
      <c r="J1114" t="s">
        <v>401</v>
      </c>
      <c r="K1114">
        <v>6</v>
      </c>
      <c r="L1114">
        <v>-40.1</v>
      </c>
      <c r="N1114">
        <v>12</v>
      </c>
      <c r="O1114">
        <v>12</v>
      </c>
      <c r="P1114" t="s">
        <v>522</v>
      </c>
      <c r="Q1114" t="s">
        <v>414</v>
      </c>
      <c r="R1114">
        <v>10</v>
      </c>
      <c r="S1114">
        <v>3.05</v>
      </c>
      <c r="T1114">
        <v>41871.016000000003</v>
      </c>
      <c r="V1114">
        <v>41871.016000000003</v>
      </c>
      <c r="W1114" t="s">
        <v>403</v>
      </c>
      <c r="X1114">
        <v>3.3</v>
      </c>
      <c r="Y1114">
        <v>-67.2</v>
      </c>
    </row>
    <row r="1115" spans="1:25" x14ac:dyDescent="0.45">
      <c r="A1115">
        <v>13</v>
      </c>
      <c r="B1115">
        <v>13</v>
      </c>
      <c r="C1115" t="s">
        <v>418</v>
      </c>
      <c r="D1115" t="s">
        <v>414</v>
      </c>
      <c r="E1115">
        <v>10</v>
      </c>
      <c r="F1115">
        <v>3.04</v>
      </c>
      <c r="G1115">
        <v>52468.667999999998</v>
      </c>
      <c r="I1115">
        <v>52468.667999999998</v>
      </c>
      <c r="J1115" t="s">
        <v>403</v>
      </c>
      <c r="K1115">
        <v>4.8</v>
      </c>
      <c r="L1115">
        <v>-52.5</v>
      </c>
      <c r="N1115">
        <v>13</v>
      </c>
      <c r="O1115">
        <v>13</v>
      </c>
      <c r="P1115" t="s">
        <v>523</v>
      </c>
      <c r="Q1115" t="s">
        <v>414</v>
      </c>
      <c r="R1115">
        <v>10</v>
      </c>
      <c r="S1115">
        <v>3.05</v>
      </c>
      <c r="T1115">
        <v>54000.101999999999</v>
      </c>
      <c r="V1115">
        <v>54000.101999999999</v>
      </c>
      <c r="W1115" t="s">
        <v>403</v>
      </c>
      <c r="X1115">
        <v>4.2</v>
      </c>
      <c r="Y1115">
        <v>-57.6</v>
      </c>
    </row>
    <row r="1116" spans="1:25" x14ac:dyDescent="0.45">
      <c r="A1116">
        <v>14</v>
      </c>
      <c r="B1116">
        <v>14</v>
      </c>
      <c r="C1116" t="s">
        <v>419</v>
      </c>
      <c r="D1116" t="s">
        <v>414</v>
      </c>
      <c r="E1116">
        <v>10</v>
      </c>
      <c r="F1116">
        <v>3.04</v>
      </c>
      <c r="G1116">
        <v>74077.156000000003</v>
      </c>
      <c r="I1116">
        <v>74077.156000000003</v>
      </c>
      <c r="J1116" t="s">
        <v>403</v>
      </c>
      <c r="K1116">
        <v>6.7</v>
      </c>
      <c r="L1116">
        <v>-32.9</v>
      </c>
      <c r="N1116">
        <v>14</v>
      </c>
      <c r="O1116">
        <v>14</v>
      </c>
      <c r="P1116" t="s">
        <v>524</v>
      </c>
      <c r="Q1116" t="s">
        <v>414</v>
      </c>
      <c r="R1116">
        <v>10</v>
      </c>
      <c r="S1116">
        <v>3.05</v>
      </c>
      <c r="T1116">
        <v>38490.843999999997</v>
      </c>
      <c r="V1116">
        <v>38490.843999999997</v>
      </c>
      <c r="W1116" t="s">
        <v>403</v>
      </c>
      <c r="X1116">
        <v>3</v>
      </c>
      <c r="Y1116">
        <v>-69.8</v>
      </c>
    </row>
    <row r="1117" spans="1:25" x14ac:dyDescent="0.45">
      <c r="A1117">
        <v>15</v>
      </c>
      <c r="B1117">
        <v>15</v>
      </c>
      <c r="C1117" t="s">
        <v>420</v>
      </c>
      <c r="D1117" t="s">
        <v>414</v>
      </c>
      <c r="E1117">
        <v>10</v>
      </c>
      <c r="F1117">
        <v>3.04</v>
      </c>
      <c r="G1117">
        <v>91490.358999999997</v>
      </c>
      <c r="I1117">
        <v>91490.358999999997</v>
      </c>
      <c r="J1117" t="s">
        <v>403</v>
      </c>
      <c r="K1117">
        <v>8.3000000000000007</v>
      </c>
      <c r="L1117">
        <v>-17.100000000000001</v>
      </c>
      <c r="N1117">
        <v>15</v>
      </c>
      <c r="O1117">
        <v>15</v>
      </c>
      <c r="P1117" t="s">
        <v>525</v>
      </c>
      <c r="Q1117" t="s">
        <v>414</v>
      </c>
      <c r="R1117">
        <v>10</v>
      </c>
      <c r="S1117">
        <v>3.05</v>
      </c>
      <c r="T1117">
        <v>37209.313000000002</v>
      </c>
      <c r="V1117">
        <v>37209.313000000002</v>
      </c>
      <c r="W1117" t="s">
        <v>403</v>
      </c>
      <c r="X1117">
        <v>2.9</v>
      </c>
      <c r="Y1117">
        <v>-70.8</v>
      </c>
    </row>
    <row r="1118" spans="1:25" x14ac:dyDescent="0.45">
      <c r="A1118">
        <v>16</v>
      </c>
      <c r="B1118">
        <v>16</v>
      </c>
      <c r="C1118" t="s">
        <v>421</v>
      </c>
      <c r="D1118" t="s">
        <v>414</v>
      </c>
      <c r="E1118">
        <v>10</v>
      </c>
      <c r="F1118">
        <v>3.04</v>
      </c>
      <c r="G1118">
        <v>82730.25</v>
      </c>
      <c r="I1118">
        <v>82730.25</v>
      </c>
      <c r="J1118" t="s">
        <v>403</v>
      </c>
      <c r="K1118">
        <v>7.5</v>
      </c>
      <c r="L1118">
        <v>-25.1</v>
      </c>
      <c r="N1118">
        <v>16</v>
      </c>
      <c r="O1118">
        <v>16</v>
      </c>
      <c r="P1118" t="s">
        <v>526</v>
      </c>
      <c r="Q1118" t="s">
        <v>414</v>
      </c>
      <c r="R1118">
        <v>10</v>
      </c>
      <c r="S1118">
        <v>3.05</v>
      </c>
      <c r="T1118">
        <v>56212.527000000002</v>
      </c>
      <c r="V1118">
        <v>56212.527000000002</v>
      </c>
      <c r="W1118" t="s">
        <v>403</v>
      </c>
      <c r="X1118">
        <v>4.4000000000000004</v>
      </c>
      <c r="Y1118">
        <v>-55.9</v>
      </c>
    </row>
    <row r="1119" spans="1:25" x14ac:dyDescent="0.45">
      <c r="A1119">
        <v>17</v>
      </c>
      <c r="B1119">
        <v>17</v>
      </c>
      <c r="C1119" t="s">
        <v>422</v>
      </c>
      <c r="D1119" t="s">
        <v>414</v>
      </c>
      <c r="E1119">
        <v>10</v>
      </c>
      <c r="F1119">
        <v>3.05</v>
      </c>
      <c r="G1119">
        <v>75166.812999999995</v>
      </c>
      <c r="I1119">
        <v>75166.812999999995</v>
      </c>
      <c r="J1119" t="s">
        <v>403</v>
      </c>
      <c r="K1119">
        <v>6.8</v>
      </c>
      <c r="L1119">
        <v>-31.9</v>
      </c>
      <c r="N1119">
        <v>17</v>
      </c>
      <c r="O1119">
        <v>17</v>
      </c>
      <c r="P1119" t="s">
        <v>527</v>
      </c>
      <c r="Q1119" t="s">
        <v>414</v>
      </c>
      <c r="R1119">
        <v>10</v>
      </c>
      <c r="S1119">
        <v>3.05</v>
      </c>
      <c r="T1119">
        <v>33520.605000000003</v>
      </c>
      <c r="V1119">
        <v>33520.605000000003</v>
      </c>
      <c r="W1119" t="s">
        <v>403</v>
      </c>
      <c r="X1119">
        <v>2.6</v>
      </c>
      <c r="Y1119">
        <v>-73.7</v>
      </c>
    </row>
    <row r="1120" spans="1:25" x14ac:dyDescent="0.45">
      <c r="A1120">
        <v>18</v>
      </c>
      <c r="B1120">
        <v>18</v>
      </c>
      <c r="C1120" t="s">
        <v>423</v>
      </c>
      <c r="D1120" t="s">
        <v>414</v>
      </c>
      <c r="E1120">
        <v>10</v>
      </c>
      <c r="F1120">
        <v>3.05</v>
      </c>
      <c r="G1120">
        <v>91170.82</v>
      </c>
      <c r="I1120">
        <v>91170.82</v>
      </c>
      <c r="J1120" t="s">
        <v>403</v>
      </c>
      <c r="K1120">
        <v>8.3000000000000007</v>
      </c>
      <c r="L1120">
        <v>-17.399999999999999</v>
      </c>
      <c r="N1120">
        <v>18</v>
      </c>
      <c r="O1120">
        <v>18</v>
      </c>
      <c r="P1120" t="s">
        <v>528</v>
      </c>
      <c r="Q1120" t="s">
        <v>414</v>
      </c>
      <c r="R1120">
        <v>10</v>
      </c>
      <c r="S1120">
        <v>3.05</v>
      </c>
      <c r="T1120">
        <v>48430.309000000001</v>
      </c>
      <c r="V1120">
        <v>48430.309000000001</v>
      </c>
      <c r="W1120" t="s">
        <v>403</v>
      </c>
      <c r="X1120">
        <v>3.8</v>
      </c>
      <c r="Y1120">
        <v>-62</v>
      </c>
    </row>
    <row r="1121" spans="1:25" x14ac:dyDescent="0.45">
      <c r="A1121">
        <v>19</v>
      </c>
      <c r="B1121">
        <v>19</v>
      </c>
      <c r="C1121" t="s">
        <v>424</v>
      </c>
      <c r="D1121" t="s">
        <v>414</v>
      </c>
      <c r="E1121">
        <v>10</v>
      </c>
      <c r="F1121">
        <v>3.05</v>
      </c>
      <c r="G1121">
        <v>104416.516</v>
      </c>
      <c r="I1121">
        <v>104416.516</v>
      </c>
      <c r="J1121" t="s">
        <v>403</v>
      </c>
      <c r="K1121">
        <v>9.5</v>
      </c>
      <c r="L1121">
        <v>-5.4</v>
      </c>
      <c r="N1121">
        <v>19</v>
      </c>
      <c r="O1121">
        <v>19</v>
      </c>
      <c r="P1121" t="s">
        <v>529</v>
      </c>
      <c r="Q1121" t="s">
        <v>414</v>
      </c>
      <c r="R1121">
        <v>10</v>
      </c>
      <c r="S1121">
        <v>3.05</v>
      </c>
      <c r="T1121">
        <v>93421.702999999994</v>
      </c>
      <c r="V1121">
        <v>93421.702999999994</v>
      </c>
      <c r="W1121" t="s">
        <v>403</v>
      </c>
      <c r="X1121">
        <v>7.3</v>
      </c>
      <c r="Y1121">
        <v>-26.7</v>
      </c>
    </row>
    <row r="1122" spans="1:25" x14ac:dyDescent="0.45">
      <c r="A1122">
        <v>20</v>
      </c>
      <c r="B1122">
        <v>20</v>
      </c>
      <c r="C1122" t="s">
        <v>425</v>
      </c>
      <c r="D1122" t="s">
        <v>414</v>
      </c>
      <c r="E1122">
        <v>10</v>
      </c>
      <c r="F1122">
        <v>3.05</v>
      </c>
      <c r="G1122">
        <v>55192.343999999997</v>
      </c>
      <c r="I1122">
        <v>55192.343999999997</v>
      </c>
      <c r="J1122" t="s">
        <v>401</v>
      </c>
      <c r="K1122">
        <v>5</v>
      </c>
      <c r="L1122">
        <v>-50</v>
      </c>
      <c r="N1122">
        <v>20</v>
      </c>
      <c r="O1122">
        <v>20</v>
      </c>
      <c r="P1122" t="s">
        <v>530</v>
      </c>
      <c r="Q1122" t="s">
        <v>414</v>
      </c>
      <c r="R1122">
        <v>10</v>
      </c>
      <c r="S1122">
        <v>3.06</v>
      </c>
      <c r="T1122">
        <v>33901.855000000003</v>
      </c>
      <c r="V1122">
        <v>33901.855000000003</v>
      </c>
      <c r="W1122" t="s">
        <v>403</v>
      </c>
      <c r="X1122">
        <v>2.7</v>
      </c>
      <c r="Y1122">
        <v>-73.400000000000006</v>
      </c>
    </row>
    <row r="1123" spans="1:25" x14ac:dyDescent="0.45">
      <c r="A1123">
        <v>21</v>
      </c>
      <c r="B1123">
        <v>21</v>
      </c>
      <c r="C1123" t="s">
        <v>426</v>
      </c>
      <c r="D1123" t="s">
        <v>414</v>
      </c>
      <c r="E1123">
        <v>10</v>
      </c>
      <c r="F1123">
        <v>3.05</v>
      </c>
      <c r="G1123">
        <v>83788.687999999995</v>
      </c>
      <c r="I1123">
        <v>83788.687999999995</v>
      </c>
      <c r="J1123" t="s">
        <v>403</v>
      </c>
      <c r="K1123">
        <v>7.6</v>
      </c>
      <c r="L1123">
        <v>-24.1</v>
      </c>
      <c r="N1123">
        <v>21</v>
      </c>
      <c r="O1123">
        <v>21</v>
      </c>
      <c r="P1123" t="s">
        <v>531</v>
      </c>
      <c r="Q1123" t="s">
        <v>414</v>
      </c>
      <c r="R1123">
        <v>10</v>
      </c>
      <c r="S1123">
        <v>3.06</v>
      </c>
      <c r="T1123">
        <v>41808.836000000003</v>
      </c>
      <c r="V1123">
        <v>41808.836000000003</v>
      </c>
      <c r="W1123" t="s">
        <v>403</v>
      </c>
      <c r="X1123">
        <v>3.3</v>
      </c>
      <c r="Y1123">
        <v>-67.2</v>
      </c>
    </row>
    <row r="1124" spans="1:25" x14ac:dyDescent="0.45">
      <c r="A1124">
        <v>22</v>
      </c>
      <c r="B1124">
        <v>22</v>
      </c>
      <c r="C1124" t="s">
        <v>427</v>
      </c>
      <c r="D1124" t="s">
        <v>414</v>
      </c>
      <c r="E1124">
        <v>10</v>
      </c>
      <c r="F1124">
        <v>3.05</v>
      </c>
      <c r="G1124">
        <v>61919.858999999997</v>
      </c>
      <c r="I1124">
        <v>61919.858999999997</v>
      </c>
      <c r="J1124" t="s">
        <v>403</v>
      </c>
      <c r="K1124">
        <v>5.6</v>
      </c>
      <c r="L1124">
        <v>-43.9</v>
      </c>
      <c r="N1124">
        <v>22</v>
      </c>
      <c r="O1124">
        <v>22</v>
      </c>
      <c r="P1124" t="s">
        <v>532</v>
      </c>
      <c r="Q1124" t="s">
        <v>414</v>
      </c>
      <c r="R1124">
        <v>10</v>
      </c>
      <c r="S1124">
        <v>3.05</v>
      </c>
      <c r="T1124">
        <v>43682.531000000003</v>
      </c>
      <c r="V1124">
        <v>43682.531000000003</v>
      </c>
      <c r="W1124" t="s">
        <v>403</v>
      </c>
      <c r="X1124">
        <v>3.4</v>
      </c>
      <c r="Y1124">
        <v>-65.7</v>
      </c>
    </row>
    <row r="1125" spans="1:25" x14ac:dyDescent="0.45">
      <c r="A1125">
        <v>23</v>
      </c>
      <c r="B1125">
        <v>23</v>
      </c>
      <c r="C1125" t="s">
        <v>428</v>
      </c>
      <c r="D1125" t="s">
        <v>414</v>
      </c>
      <c r="E1125">
        <v>10</v>
      </c>
      <c r="F1125">
        <v>3.05</v>
      </c>
      <c r="G1125">
        <v>63825.245999999999</v>
      </c>
      <c r="I1125">
        <v>63825.245999999999</v>
      </c>
      <c r="J1125" t="s">
        <v>403</v>
      </c>
      <c r="K1125">
        <v>5.8</v>
      </c>
      <c r="L1125">
        <v>-42.2</v>
      </c>
      <c r="N1125">
        <v>23</v>
      </c>
      <c r="O1125">
        <v>23</v>
      </c>
      <c r="P1125" t="s">
        <v>533</v>
      </c>
      <c r="Q1125" t="s">
        <v>414</v>
      </c>
      <c r="R1125">
        <v>10</v>
      </c>
      <c r="S1125">
        <v>3.05</v>
      </c>
      <c r="T1125">
        <v>71635.726999999999</v>
      </c>
      <c r="V1125">
        <v>71635.726999999999</v>
      </c>
      <c r="W1125" t="s">
        <v>403</v>
      </c>
      <c r="X1125">
        <v>5.6</v>
      </c>
      <c r="Y1125">
        <v>-43.8</v>
      </c>
    </row>
    <row r="1126" spans="1:25" x14ac:dyDescent="0.45">
      <c r="A1126">
        <v>24</v>
      </c>
      <c r="B1126">
        <v>24</v>
      </c>
      <c r="C1126" t="s">
        <v>429</v>
      </c>
      <c r="D1126" t="s">
        <v>414</v>
      </c>
      <c r="E1126">
        <v>10</v>
      </c>
      <c r="F1126">
        <v>3.05</v>
      </c>
      <c r="G1126">
        <v>67217.312999999995</v>
      </c>
      <c r="I1126">
        <v>67217.312999999995</v>
      </c>
      <c r="J1126" t="s">
        <v>403</v>
      </c>
      <c r="K1126">
        <v>6.1</v>
      </c>
      <c r="L1126">
        <v>-39.1</v>
      </c>
      <c r="N1126">
        <v>24</v>
      </c>
      <c r="O1126">
        <v>24</v>
      </c>
      <c r="P1126" t="s">
        <v>534</v>
      </c>
      <c r="Q1126" t="s">
        <v>414</v>
      </c>
      <c r="R1126">
        <v>10</v>
      </c>
      <c r="S1126">
        <v>3.06</v>
      </c>
      <c r="T1126">
        <v>54890.055</v>
      </c>
      <c r="V1126">
        <v>54890.055</v>
      </c>
      <c r="W1126" t="s">
        <v>401</v>
      </c>
      <c r="X1126">
        <v>4.3</v>
      </c>
      <c r="Y1126">
        <v>-56.9</v>
      </c>
    </row>
    <row r="1127" spans="1:25" x14ac:dyDescent="0.45">
      <c r="A1127">
        <v>25</v>
      </c>
      <c r="B1127">
        <v>25</v>
      </c>
      <c r="C1127" t="s">
        <v>430</v>
      </c>
      <c r="D1127" t="s">
        <v>414</v>
      </c>
      <c r="E1127">
        <v>10</v>
      </c>
      <c r="F1127">
        <v>3.05</v>
      </c>
      <c r="G1127">
        <v>73208.968999999997</v>
      </c>
      <c r="I1127">
        <v>73208.968999999997</v>
      </c>
      <c r="J1127" t="s">
        <v>403</v>
      </c>
      <c r="K1127">
        <v>6.6</v>
      </c>
      <c r="L1127">
        <v>-33.700000000000003</v>
      </c>
      <c r="N1127">
        <v>25</v>
      </c>
      <c r="O1127">
        <v>25</v>
      </c>
      <c r="P1127" t="s">
        <v>535</v>
      </c>
      <c r="Q1127" t="s">
        <v>414</v>
      </c>
      <c r="R1127">
        <v>10</v>
      </c>
      <c r="S1127">
        <v>3.05</v>
      </c>
      <c r="T1127">
        <v>92329.875</v>
      </c>
      <c r="V1127">
        <v>92329.875</v>
      </c>
      <c r="W1127" t="s">
        <v>403</v>
      </c>
      <c r="X1127">
        <v>7.2</v>
      </c>
      <c r="Y1127">
        <v>-27.6</v>
      </c>
    </row>
    <row r="1128" spans="1:25" x14ac:dyDescent="0.45">
      <c r="A1128">
        <v>26</v>
      </c>
      <c r="B1128">
        <v>26</v>
      </c>
      <c r="C1128" t="s">
        <v>431</v>
      </c>
      <c r="D1128" t="s">
        <v>414</v>
      </c>
      <c r="E1128">
        <v>10</v>
      </c>
      <c r="F1128">
        <v>3.05</v>
      </c>
      <c r="G1128">
        <v>54099.112999999998</v>
      </c>
      <c r="I1128">
        <v>54099.112999999998</v>
      </c>
      <c r="J1128" t="s">
        <v>403</v>
      </c>
      <c r="K1128">
        <v>4.9000000000000004</v>
      </c>
      <c r="L1128">
        <v>-51</v>
      </c>
      <c r="N1128">
        <v>26</v>
      </c>
      <c r="O1128">
        <v>26</v>
      </c>
      <c r="P1128" t="s">
        <v>536</v>
      </c>
      <c r="Q1128" t="s">
        <v>414</v>
      </c>
      <c r="R1128">
        <v>10</v>
      </c>
      <c r="S1128">
        <v>3.06</v>
      </c>
      <c r="T1128">
        <v>45908.906000000003</v>
      </c>
      <c r="V1128">
        <v>45908.906000000003</v>
      </c>
      <c r="W1128" t="s">
        <v>403</v>
      </c>
      <c r="X1128">
        <v>3.6</v>
      </c>
      <c r="Y1128">
        <v>-64</v>
      </c>
    </row>
    <row r="1129" spans="1:25" x14ac:dyDescent="0.45">
      <c r="A1129">
        <v>27</v>
      </c>
      <c r="B1129">
        <v>27</v>
      </c>
      <c r="C1129" t="s">
        <v>432</v>
      </c>
      <c r="D1129" t="s">
        <v>414</v>
      </c>
      <c r="E1129">
        <v>10</v>
      </c>
      <c r="F1129">
        <v>3.05</v>
      </c>
      <c r="G1129">
        <v>55670.851999999999</v>
      </c>
      <c r="I1129">
        <v>55670.851999999999</v>
      </c>
      <c r="J1129" t="s">
        <v>403</v>
      </c>
      <c r="K1129">
        <v>5</v>
      </c>
      <c r="L1129">
        <v>-49.6</v>
      </c>
      <c r="N1129">
        <v>27</v>
      </c>
      <c r="O1129">
        <v>27</v>
      </c>
      <c r="P1129" t="s">
        <v>537</v>
      </c>
      <c r="Q1129" t="s">
        <v>414</v>
      </c>
      <c r="R1129">
        <v>10</v>
      </c>
      <c r="S1129">
        <v>3.06</v>
      </c>
      <c r="T1129">
        <v>35462.035000000003</v>
      </c>
      <c r="V1129">
        <v>35462.035000000003</v>
      </c>
      <c r="W1129" t="s">
        <v>403</v>
      </c>
      <c r="X1129">
        <v>2.8</v>
      </c>
      <c r="Y1129">
        <v>-72.2</v>
      </c>
    </row>
    <row r="1130" spans="1:25" x14ac:dyDescent="0.45">
      <c r="A1130">
        <v>28</v>
      </c>
      <c r="B1130">
        <v>28</v>
      </c>
      <c r="C1130" t="s">
        <v>433</v>
      </c>
      <c r="D1130" t="s">
        <v>414</v>
      </c>
      <c r="E1130">
        <v>10</v>
      </c>
      <c r="F1130">
        <v>3.05</v>
      </c>
      <c r="G1130">
        <v>65772.023000000001</v>
      </c>
      <c r="I1130">
        <v>65772.023000000001</v>
      </c>
      <c r="J1130" t="s">
        <v>403</v>
      </c>
      <c r="K1130">
        <v>6</v>
      </c>
      <c r="L1130">
        <v>-40.4</v>
      </c>
      <c r="N1130">
        <v>28</v>
      </c>
      <c r="O1130">
        <v>28</v>
      </c>
      <c r="P1130" t="s">
        <v>538</v>
      </c>
      <c r="Q1130" t="s">
        <v>414</v>
      </c>
      <c r="R1130">
        <v>10</v>
      </c>
      <c r="S1130">
        <v>3.06</v>
      </c>
      <c r="T1130">
        <v>41089.019999999997</v>
      </c>
      <c r="V1130">
        <v>41089.019999999997</v>
      </c>
      <c r="W1130" t="s">
        <v>401</v>
      </c>
      <c r="X1130">
        <v>3.2</v>
      </c>
      <c r="Y1130">
        <v>-67.8</v>
      </c>
    </row>
    <row r="1131" spans="1:25" x14ac:dyDescent="0.45">
      <c r="A1131">
        <v>29</v>
      </c>
      <c r="B1131">
        <v>29</v>
      </c>
      <c r="C1131" t="s">
        <v>434</v>
      </c>
      <c r="D1131" t="s">
        <v>414</v>
      </c>
      <c r="E1131">
        <v>10</v>
      </c>
      <c r="F1131">
        <v>3.05</v>
      </c>
      <c r="G1131">
        <v>67222.835999999996</v>
      </c>
      <c r="I1131">
        <v>67222.835999999996</v>
      </c>
      <c r="J1131" t="s">
        <v>403</v>
      </c>
      <c r="K1131">
        <v>6.1</v>
      </c>
      <c r="L1131">
        <v>-39.1</v>
      </c>
      <c r="N1131">
        <v>29</v>
      </c>
      <c r="O1131">
        <v>29</v>
      </c>
      <c r="P1131" t="s">
        <v>539</v>
      </c>
      <c r="Q1131" t="s">
        <v>414</v>
      </c>
      <c r="R1131">
        <v>10</v>
      </c>
      <c r="S1131">
        <v>3.06</v>
      </c>
      <c r="T1131">
        <v>70525.358999999997</v>
      </c>
      <c r="V1131">
        <v>70525.358999999997</v>
      </c>
      <c r="W1131" t="s">
        <v>403</v>
      </c>
      <c r="X1131">
        <v>5.5</v>
      </c>
      <c r="Y1131">
        <v>-44.7</v>
      </c>
    </row>
    <row r="1132" spans="1:25" x14ac:dyDescent="0.45">
      <c r="A1132">
        <v>30</v>
      </c>
      <c r="B1132">
        <v>30</v>
      </c>
      <c r="C1132" t="s">
        <v>435</v>
      </c>
      <c r="D1132" t="s">
        <v>414</v>
      </c>
      <c r="E1132">
        <v>10</v>
      </c>
      <c r="F1132">
        <v>3.05</v>
      </c>
      <c r="G1132">
        <v>53743.601999999999</v>
      </c>
      <c r="I1132">
        <v>53743.601999999999</v>
      </c>
      <c r="J1132" t="s">
        <v>401</v>
      </c>
      <c r="K1132">
        <v>4.9000000000000004</v>
      </c>
      <c r="L1132">
        <v>-51.3</v>
      </c>
      <c r="N1132">
        <v>30</v>
      </c>
      <c r="O1132">
        <v>30</v>
      </c>
      <c r="P1132" t="s">
        <v>540</v>
      </c>
      <c r="Q1132" t="s">
        <v>414</v>
      </c>
      <c r="R1132">
        <v>10</v>
      </c>
      <c r="S1132">
        <v>3.06</v>
      </c>
      <c r="T1132">
        <v>57675.995999999999</v>
      </c>
      <c r="V1132">
        <v>57675.995999999999</v>
      </c>
      <c r="W1132" t="s">
        <v>403</v>
      </c>
      <c r="X1132">
        <v>4.5</v>
      </c>
      <c r="Y1132">
        <v>-54.8</v>
      </c>
    </row>
    <row r="1133" spans="1:25" x14ac:dyDescent="0.45">
      <c r="A1133">
        <v>31</v>
      </c>
      <c r="B1133">
        <v>31</v>
      </c>
      <c r="C1133" t="s">
        <v>436</v>
      </c>
      <c r="D1133" t="s">
        <v>414</v>
      </c>
      <c r="E1133">
        <v>10</v>
      </c>
      <c r="F1133">
        <v>3.06</v>
      </c>
      <c r="G1133">
        <v>63825.035000000003</v>
      </c>
      <c r="I1133">
        <v>63825.035000000003</v>
      </c>
      <c r="J1133" t="s">
        <v>403</v>
      </c>
      <c r="K1133">
        <v>5.8</v>
      </c>
      <c r="L1133">
        <v>-42.2</v>
      </c>
      <c r="N1133">
        <v>31</v>
      </c>
      <c r="O1133">
        <v>31</v>
      </c>
      <c r="P1133" t="s">
        <v>541</v>
      </c>
      <c r="Q1133" t="s">
        <v>414</v>
      </c>
      <c r="R1133">
        <v>10</v>
      </c>
      <c r="S1133">
        <v>3.06</v>
      </c>
      <c r="T1133">
        <v>53143.934000000001</v>
      </c>
      <c r="V1133">
        <v>53143.934000000001</v>
      </c>
      <c r="W1133" t="s">
        <v>403</v>
      </c>
      <c r="X1133">
        <v>4.2</v>
      </c>
      <c r="Y1133">
        <v>-58.3</v>
      </c>
    </row>
    <row r="1134" spans="1:25" x14ac:dyDescent="0.45">
      <c r="A1134">
        <v>32</v>
      </c>
      <c r="B1134">
        <v>32</v>
      </c>
      <c r="C1134" t="s">
        <v>437</v>
      </c>
      <c r="D1134" t="s">
        <v>414</v>
      </c>
      <c r="E1134">
        <v>10</v>
      </c>
      <c r="F1134">
        <v>3.05</v>
      </c>
      <c r="G1134">
        <v>49027.273000000001</v>
      </c>
      <c r="I1134">
        <v>49027.273000000001</v>
      </c>
      <c r="J1134" t="s">
        <v>403</v>
      </c>
      <c r="K1134">
        <v>4.4000000000000004</v>
      </c>
      <c r="L1134">
        <v>-55.6</v>
      </c>
      <c r="N1134">
        <v>32</v>
      </c>
      <c r="O1134">
        <v>32</v>
      </c>
      <c r="P1134" t="s">
        <v>542</v>
      </c>
      <c r="Q1134" t="s">
        <v>414</v>
      </c>
      <c r="R1134">
        <v>10</v>
      </c>
      <c r="S1134">
        <v>3.06</v>
      </c>
      <c r="T1134">
        <v>39442.32</v>
      </c>
      <c r="V1134">
        <v>39442.32</v>
      </c>
      <c r="W1134" t="s">
        <v>403</v>
      </c>
      <c r="X1134">
        <v>3.1</v>
      </c>
      <c r="Y1134">
        <v>-69.099999999999994</v>
      </c>
    </row>
    <row r="1135" spans="1:25" x14ac:dyDescent="0.45">
      <c r="A1135">
        <v>33</v>
      </c>
      <c r="B1135">
        <v>33</v>
      </c>
      <c r="C1135" t="s">
        <v>438</v>
      </c>
      <c r="D1135" t="s">
        <v>414</v>
      </c>
      <c r="E1135">
        <v>10</v>
      </c>
      <c r="F1135">
        <v>3.06</v>
      </c>
      <c r="G1135">
        <v>55418.148000000001</v>
      </c>
      <c r="I1135">
        <v>55418.148000000001</v>
      </c>
      <c r="J1135" t="s">
        <v>401</v>
      </c>
      <c r="K1135">
        <v>5</v>
      </c>
      <c r="L1135">
        <v>-49.8</v>
      </c>
      <c r="N1135">
        <v>33</v>
      </c>
      <c r="O1135">
        <v>33</v>
      </c>
      <c r="P1135" t="s">
        <v>543</v>
      </c>
      <c r="Q1135" t="s">
        <v>414</v>
      </c>
      <c r="R1135">
        <v>10</v>
      </c>
      <c r="S1135">
        <v>3.06</v>
      </c>
      <c r="T1135">
        <v>39358.858999999997</v>
      </c>
      <c r="V1135">
        <v>39358.858999999997</v>
      </c>
      <c r="W1135" t="s">
        <v>403</v>
      </c>
      <c r="X1135">
        <v>3.1</v>
      </c>
      <c r="Y1135">
        <v>-69.099999999999994</v>
      </c>
    </row>
    <row r="1136" spans="1:25" x14ac:dyDescent="0.45">
      <c r="A1136">
        <v>34</v>
      </c>
      <c r="B1136">
        <v>34</v>
      </c>
      <c r="C1136" t="s">
        <v>439</v>
      </c>
      <c r="D1136" t="s">
        <v>414</v>
      </c>
      <c r="E1136">
        <v>10</v>
      </c>
      <c r="F1136">
        <v>3.06</v>
      </c>
      <c r="G1136">
        <v>43340.773000000001</v>
      </c>
      <c r="I1136">
        <v>43340.773000000001</v>
      </c>
      <c r="J1136" t="s">
        <v>401</v>
      </c>
      <c r="K1136">
        <v>3.9</v>
      </c>
      <c r="L1136">
        <v>-60.7</v>
      </c>
      <c r="N1136">
        <v>34</v>
      </c>
      <c r="O1136">
        <v>34</v>
      </c>
      <c r="P1136" t="s">
        <v>544</v>
      </c>
      <c r="Q1136" t="s">
        <v>414</v>
      </c>
      <c r="R1136">
        <v>10</v>
      </c>
      <c r="S1136">
        <v>3.06</v>
      </c>
      <c r="T1136">
        <v>44301.563000000002</v>
      </c>
      <c r="V1136">
        <v>44301.563000000002</v>
      </c>
      <c r="W1136" t="s">
        <v>403</v>
      </c>
      <c r="X1136">
        <v>3.5</v>
      </c>
      <c r="Y1136">
        <v>-65.2</v>
      </c>
    </row>
    <row r="1137" spans="1:25" x14ac:dyDescent="0.45">
      <c r="A1137">
        <v>35</v>
      </c>
      <c r="B1137">
        <v>35</v>
      </c>
      <c r="C1137" t="s">
        <v>440</v>
      </c>
      <c r="D1137" t="s">
        <v>414</v>
      </c>
      <c r="E1137">
        <v>10</v>
      </c>
      <c r="F1137">
        <v>3.06</v>
      </c>
      <c r="G1137">
        <v>65802.508000000002</v>
      </c>
      <c r="I1137">
        <v>65802.508000000002</v>
      </c>
      <c r="J1137" t="s">
        <v>403</v>
      </c>
      <c r="K1137">
        <v>6</v>
      </c>
      <c r="L1137">
        <v>-40.4</v>
      </c>
      <c r="N1137">
        <v>35</v>
      </c>
      <c r="O1137">
        <v>35</v>
      </c>
      <c r="P1137" t="s">
        <v>545</v>
      </c>
      <c r="Q1137" t="s">
        <v>414</v>
      </c>
      <c r="R1137">
        <v>10</v>
      </c>
    </row>
    <row r="1138" spans="1:25" x14ac:dyDescent="0.45">
      <c r="A1138">
        <v>36</v>
      </c>
      <c r="B1138">
        <v>36</v>
      </c>
      <c r="C1138" t="s">
        <v>441</v>
      </c>
      <c r="D1138" t="s">
        <v>414</v>
      </c>
      <c r="E1138">
        <v>10</v>
      </c>
      <c r="F1138">
        <v>3.06</v>
      </c>
      <c r="G1138">
        <v>59743.625</v>
      </c>
      <c r="I1138">
        <v>59743.625</v>
      </c>
      <c r="J1138" t="s">
        <v>403</v>
      </c>
      <c r="K1138">
        <v>5.4</v>
      </c>
      <c r="L1138">
        <v>-45.9</v>
      </c>
      <c r="N1138">
        <v>36</v>
      </c>
      <c r="O1138">
        <v>36</v>
      </c>
      <c r="P1138" t="s">
        <v>546</v>
      </c>
      <c r="Q1138" t="s">
        <v>414</v>
      </c>
      <c r="R1138">
        <v>10</v>
      </c>
      <c r="S1138">
        <v>3.06</v>
      </c>
      <c r="T1138">
        <v>53864.137000000002</v>
      </c>
      <c r="V1138">
        <v>53864.137000000002</v>
      </c>
      <c r="W1138" t="s">
        <v>403</v>
      </c>
      <c r="X1138">
        <v>4.2</v>
      </c>
      <c r="Y1138">
        <v>-57.7</v>
      </c>
    </row>
    <row r="1139" spans="1:25" x14ac:dyDescent="0.45">
      <c r="A1139">
        <v>37</v>
      </c>
      <c r="B1139">
        <v>37</v>
      </c>
      <c r="C1139" t="s">
        <v>442</v>
      </c>
      <c r="D1139" t="s">
        <v>414</v>
      </c>
      <c r="E1139">
        <v>10</v>
      </c>
      <c r="F1139">
        <v>3.06</v>
      </c>
      <c r="G1139">
        <v>55387.097999999998</v>
      </c>
      <c r="I1139">
        <v>55387.097999999998</v>
      </c>
      <c r="J1139" t="s">
        <v>403</v>
      </c>
      <c r="K1139">
        <v>5</v>
      </c>
      <c r="L1139">
        <v>-49.8</v>
      </c>
      <c r="N1139">
        <v>37</v>
      </c>
      <c r="O1139">
        <v>37</v>
      </c>
      <c r="P1139" t="s">
        <v>547</v>
      </c>
      <c r="Q1139" t="s">
        <v>414</v>
      </c>
      <c r="R1139">
        <v>10</v>
      </c>
      <c r="S1139">
        <v>3.06</v>
      </c>
      <c r="T1139">
        <v>37767.457000000002</v>
      </c>
      <c r="V1139">
        <v>37767.457000000002</v>
      </c>
      <c r="W1139" t="s">
        <v>403</v>
      </c>
      <c r="X1139">
        <v>3</v>
      </c>
      <c r="Y1139">
        <v>-70.400000000000006</v>
      </c>
    </row>
    <row r="1140" spans="1:25" x14ac:dyDescent="0.45">
      <c r="A1140">
        <v>38</v>
      </c>
      <c r="B1140">
        <v>38</v>
      </c>
      <c r="C1140" t="s">
        <v>443</v>
      </c>
      <c r="D1140" t="s">
        <v>414</v>
      </c>
      <c r="E1140">
        <v>10</v>
      </c>
      <c r="F1140">
        <v>3.06</v>
      </c>
      <c r="G1140">
        <v>41473.434000000001</v>
      </c>
      <c r="I1140">
        <v>41473.434000000001</v>
      </c>
      <c r="J1140" t="s">
        <v>403</v>
      </c>
      <c r="K1140">
        <v>3.8</v>
      </c>
      <c r="L1140">
        <v>-62.4</v>
      </c>
      <c r="N1140">
        <v>38</v>
      </c>
      <c r="O1140">
        <v>38</v>
      </c>
      <c r="P1140" t="s">
        <v>548</v>
      </c>
      <c r="Q1140" t="s">
        <v>414</v>
      </c>
      <c r="R1140">
        <v>10</v>
      </c>
      <c r="S1140">
        <v>3.06</v>
      </c>
      <c r="T1140">
        <v>35809.042999999998</v>
      </c>
      <c r="V1140">
        <v>35809.042999999998</v>
      </c>
      <c r="W1140" t="s">
        <v>403</v>
      </c>
      <c r="X1140">
        <v>2.8</v>
      </c>
      <c r="Y1140">
        <v>-71.900000000000006</v>
      </c>
    </row>
    <row r="1141" spans="1:25" x14ac:dyDescent="0.45">
      <c r="A1141">
        <v>39</v>
      </c>
      <c r="B1141">
        <v>39</v>
      </c>
      <c r="C1141" t="s">
        <v>444</v>
      </c>
      <c r="D1141" t="s">
        <v>414</v>
      </c>
      <c r="E1141">
        <v>10</v>
      </c>
      <c r="F1141">
        <v>3.06</v>
      </c>
      <c r="G1141">
        <v>59012.796999999999</v>
      </c>
      <c r="I1141">
        <v>59012.796999999999</v>
      </c>
      <c r="J1141" t="s">
        <v>403</v>
      </c>
      <c r="K1141">
        <v>5.3</v>
      </c>
      <c r="L1141">
        <v>-46.5</v>
      </c>
      <c r="N1141">
        <v>39</v>
      </c>
      <c r="O1141">
        <v>39</v>
      </c>
      <c r="P1141" t="s">
        <v>549</v>
      </c>
      <c r="Q1141" t="s">
        <v>414</v>
      </c>
      <c r="R1141">
        <v>10</v>
      </c>
      <c r="S1141">
        <v>3.06</v>
      </c>
      <c r="T1141">
        <v>37341.199000000001</v>
      </c>
      <c r="V1141">
        <v>37341.199000000001</v>
      </c>
      <c r="W1141" t="s">
        <v>403</v>
      </c>
      <c r="X1141">
        <v>2.9</v>
      </c>
      <c r="Y1141">
        <v>-70.7</v>
      </c>
    </row>
    <row r="1142" spans="1:25" x14ac:dyDescent="0.45">
      <c r="A1142">
        <v>40</v>
      </c>
      <c r="B1142">
        <v>40</v>
      </c>
      <c r="C1142" t="s">
        <v>445</v>
      </c>
      <c r="D1142" t="s">
        <v>414</v>
      </c>
      <c r="E1142">
        <v>10</v>
      </c>
      <c r="F1142">
        <v>3.06</v>
      </c>
      <c r="G1142">
        <v>86755.460999999996</v>
      </c>
      <c r="I1142">
        <v>86755.460999999996</v>
      </c>
      <c r="J1142" t="s">
        <v>403</v>
      </c>
      <c r="K1142">
        <v>7.9</v>
      </c>
      <c r="L1142">
        <v>-21.4</v>
      </c>
      <c r="N1142">
        <v>40</v>
      </c>
      <c r="O1142">
        <v>40</v>
      </c>
      <c r="P1142" t="s">
        <v>550</v>
      </c>
      <c r="Q1142" t="s">
        <v>414</v>
      </c>
      <c r="R1142">
        <v>10</v>
      </c>
      <c r="S1142">
        <v>3.06</v>
      </c>
      <c r="T1142">
        <v>39614.887000000002</v>
      </c>
      <c r="V1142">
        <v>39614.887000000002</v>
      </c>
      <c r="W1142" t="s">
        <v>403</v>
      </c>
      <c r="X1142">
        <v>3.1</v>
      </c>
      <c r="Y1142">
        <v>-68.900000000000006</v>
      </c>
    </row>
    <row r="1143" spans="1:25" x14ac:dyDescent="0.45">
      <c r="A1143">
        <v>41</v>
      </c>
      <c r="B1143">
        <v>41</v>
      </c>
      <c r="C1143" t="s">
        <v>446</v>
      </c>
      <c r="D1143" t="s">
        <v>414</v>
      </c>
      <c r="E1143">
        <v>10</v>
      </c>
      <c r="F1143">
        <v>3.06</v>
      </c>
      <c r="G1143">
        <v>74128.952999999994</v>
      </c>
      <c r="I1143">
        <v>74128.952999999994</v>
      </c>
      <c r="J1143" t="s">
        <v>403</v>
      </c>
      <c r="K1143">
        <v>6.7</v>
      </c>
      <c r="L1143">
        <v>-32.9</v>
      </c>
      <c r="N1143">
        <v>41</v>
      </c>
      <c r="O1143">
        <v>41</v>
      </c>
      <c r="P1143" t="s">
        <v>551</v>
      </c>
      <c r="Q1143" t="s">
        <v>414</v>
      </c>
      <c r="R1143">
        <v>10</v>
      </c>
      <c r="S1143">
        <v>3.06</v>
      </c>
      <c r="T1143">
        <v>51640.351999999999</v>
      </c>
      <c r="V1143">
        <v>51640.351999999999</v>
      </c>
      <c r="W1143" t="s">
        <v>403</v>
      </c>
      <c r="X1143">
        <v>4.0999999999999996</v>
      </c>
      <c r="Y1143">
        <v>-59.5</v>
      </c>
    </row>
    <row r="1144" spans="1:25" x14ac:dyDescent="0.45">
      <c r="A1144">
        <v>42</v>
      </c>
      <c r="B1144">
        <v>42</v>
      </c>
      <c r="C1144" t="s">
        <v>447</v>
      </c>
      <c r="D1144" t="s">
        <v>414</v>
      </c>
      <c r="E1144">
        <v>10</v>
      </c>
      <c r="F1144">
        <v>3.06</v>
      </c>
      <c r="G1144">
        <v>73521.539000000004</v>
      </c>
      <c r="I1144">
        <v>73521.539000000004</v>
      </c>
      <c r="J1144" t="s">
        <v>403</v>
      </c>
      <c r="K1144">
        <v>6.7</v>
      </c>
      <c r="L1144">
        <v>-33.4</v>
      </c>
      <c r="N1144">
        <v>42</v>
      </c>
      <c r="O1144">
        <v>42</v>
      </c>
      <c r="P1144" t="s">
        <v>552</v>
      </c>
      <c r="Q1144" t="s">
        <v>414</v>
      </c>
      <c r="R1144">
        <v>10</v>
      </c>
      <c r="S1144">
        <v>3.06</v>
      </c>
      <c r="T1144">
        <v>45321.336000000003</v>
      </c>
      <c r="V1144">
        <v>45321.336000000003</v>
      </c>
      <c r="W1144" t="s">
        <v>403</v>
      </c>
      <c r="X1144">
        <v>3.6</v>
      </c>
      <c r="Y1144">
        <v>-64.400000000000006</v>
      </c>
    </row>
    <row r="1145" spans="1:25" x14ac:dyDescent="0.45">
      <c r="A1145">
        <v>43</v>
      </c>
      <c r="B1145">
        <v>43</v>
      </c>
      <c r="C1145" t="s">
        <v>448</v>
      </c>
      <c r="D1145" t="s">
        <v>414</v>
      </c>
      <c r="E1145">
        <v>10</v>
      </c>
      <c r="F1145">
        <v>3.06</v>
      </c>
      <c r="G1145">
        <v>67320.906000000003</v>
      </c>
      <c r="I1145">
        <v>67320.906000000003</v>
      </c>
      <c r="J1145" t="s">
        <v>403</v>
      </c>
      <c r="K1145">
        <v>6.1</v>
      </c>
      <c r="L1145">
        <v>-39</v>
      </c>
      <c r="N1145">
        <v>43</v>
      </c>
      <c r="O1145">
        <v>43</v>
      </c>
      <c r="P1145" t="s">
        <v>553</v>
      </c>
      <c r="Q1145" t="s">
        <v>414</v>
      </c>
      <c r="R1145">
        <v>10</v>
      </c>
      <c r="S1145">
        <v>3.06</v>
      </c>
      <c r="T1145">
        <v>47150.667999999998</v>
      </c>
      <c r="V1145">
        <v>47150.667999999998</v>
      </c>
      <c r="W1145" t="s">
        <v>403</v>
      </c>
      <c r="X1145">
        <v>3.7</v>
      </c>
      <c r="Y1145">
        <v>-63</v>
      </c>
    </row>
    <row r="1146" spans="1:25" x14ac:dyDescent="0.45">
      <c r="A1146">
        <v>44</v>
      </c>
      <c r="B1146">
        <v>44</v>
      </c>
      <c r="C1146" t="s">
        <v>449</v>
      </c>
      <c r="D1146" t="s">
        <v>414</v>
      </c>
      <c r="E1146">
        <v>10</v>
      </c>
      <c r="F1146">
        <v>3.06</v>
      </c>
      <c r="G1146">
        <v>77383.422000000006</v>
      </c>
      <c r="I1146">
        <v>77383.422000000006</v>
      </c>
      <c r="J1146" t="s">
        <v>403</v>
      </c>
      <c r="K1146">
        <v>7</v>
      </c>
      <c r="L1146">
        <v>-29.9</v>
      </c>
      <c r="N1146">
        <v>44</v>
      </c>
      <c r="O1146">
        <v>44</v>
      </c>
      <c r="P1146" t="s">
        <v>554</v>
      </c>
      <c r="Q1146" t="s">
        <v>414</v>
      </c>
      <c r="R1146">
        <v>10</v>
      </c>
      <c r="S1146">
        <v>3.06</v>
      </c>
      <c r="T1146">
        <v>46629.98</v>
      </c>
      <c r="V1146">
        <v>46629.98</v>
      </c>
      <c r="W1146" t="s">
        <v>403</v>
      </c>
      <c r="X1146">
        <v>3.7</v>
      </c>
      <c r="Y1146">
        <v>-63.4</v>
      </c>
    </row>
    <row r="1147" spans="1:25" x14ac:dyDescent="0.45">
      <c r="A1147">
        <v>45</v>
      </c>
      <c r="B1147">
        <v>45</v>
      </c>
      <c r="C1147" t="s">
        <v>450</v>
      </c>
      <c r="D1147" t="s">
        <v>414</v>
      </c>
      <c r="E1147">
        <v>10</v>
      </c>
      <c r="F1147">
        <v>3.06</v>
      </c>
      <c r="G1147">
        <v>66085.508000000002</v>
      </c>
      <c r="I1147">
        <v>66085.508000000002</v>
      </c>
      <c r="J1147" t="s">
        <v>403</v>
      </c>
      <c r="K1147">
        <v>6</v>
      </c>
      <c r="L1147">
        <v>-40.1</v>
      </c>
      <c r="N1147">
        <v>45</v>
      </c>
      <c r="O1147">
        <v>45</v>
      </c>
      <c r="P1147" t="s">
        <v>555</v>
      </c>
      <c r="Q1147" t="s">
        <v>414</v>
      </c>
      <c r="R1147">
        <v>10</v>
      </c>
      <c r="S1147">
        <v>3.06</v>
      </c>
      <c r="T1147">
        <v>44670.222999999998</v>
      </c>
      <c r="V1147">
        <v>44670.222999999998</v>
      </c>
      <c r="W1147" t="s">
        <v>403</v>
      </c>
      <c r="X1147">
        <v>3.5</v>
      </c>
      <c r="Y1147">
        <v>-65</v>
      </c>
    </row>
    <row r="1148" spans="1:25" x14ac:dyDescent="0.45">
      <c r="A1148">
        <v>46</v>
      </c>
      <c r="B1148">
        <v>46</v>
      </c>
      <c r="C1148" t="s">
        <v>451</v>
      </c>
      <c r="D1148" t="s">
        <v>414</v>
      </c>
      <c r="E1148">
        <v>10</v>
      </c>
      <c r="F1148">
        <v>3.06</v>
      </c>
      <c r="G1148">
        <v>68848.991999999998</v>
      </c>
      <c r="I1148">
        <v>68848.991999999998</v>
      </c>
      <c r="J1148" t="s">
        <v>403</v>
      </c>
      <c r="K1148">
        <v>6.2</v>
      </c>
      <c r="L1148">
        <v>-37.6</v>
      </c>
      <c r="N1148">
        <v>46</v>
      </c>
      <c r="O1148">
        <v>46</v>
      </c>
      <c r="P1148" t="s">
        <v>556</v>
      </c>
      <c r="Q1148" t="s">
        <v>414</v>
      </c>
      <c r="R1148">
        <v>10</v>
      </c>
      <c r="S1148">
        <v>3.06</v>
      </c>
      <c r="T1148">
        <v>31667.127</v>
      </c>
      <c r="V1148">
        <v>31667.127</v>
      </c>
      <c r="W1148" t="s">
        <v>403</v>
      </c>
      <c r="X1148">
        <v>2.5</v>
      </c>
      <c r="Y1148">
        <v>-75.2</v>
      </c>
    </row>
    <row r="1149" spans="1:25" x14ac:dyDescent="0.45">
      <c r="A1149">
        <v>47</v>
      </c>
      <c r="B1149">
        <v>47</v>
      </c>
      <c r="C1149" t="s">
        <v>452</v>
      </c>
      <c r="D1149" t="s">
        <v>414</v>
      </c>
      <c r="E1149">
        <v>10</v>
      </c>
      <c r="F1149">
        <v>3.06</v>
      </c>
      <c r="G1149">
        <v>40148.351999999999</v>
      </c>
      <c r="I1149">
        <v>40148.351999999999</v>
      </c>
      <c r="J1149" t="s">
        <v>403</v>
      </c>
      <c r="K1149">
        <v>3.6</v>
      </c>
      <c r="L1149">
        <v>-63.6</v>
      </c>
      <c r="N1149">
        <v>47</v>
      </c>
      <c r="O1149">
        <v>47</v>
      </c>
      <c r="P1149" t="s">
        <v>557</v>
      </c>
      <c r="Q1149" t="s">
        <v>414</v>
      </c>
      <c r="R1149">
        <v>10</v>
      </c>
      <c r="S1149">
        <v>3.07</v>
      </c>
      <c r="T1149">
        <v>31993.508000000002</v>
      </c>
      <c r="V1149">
        <v>31993.508000000002</v>
      </c>
      <c r="W1149" t="s">
        <v>403</v>
      </c>
      <c r="X1149">
        <v>2.5</v>
      </c>
      <c r="Y1149">
        <v>-74.900000000000006</v>
      </c>
    </row>
    <row r="1150" spans="1:25" x14ac:dyDescent="0.45">
      <c r="A1150">
        <v>48</v>
      </c>
      <c r="B1150">
        <v>48</v>
      </c>
      <c r="C1150" t="s">
        <v>453</v>
      </c>
      <c r="D1150" t="s">
        <v>414</v>
      </c>
      <c r="E1150">
        <v>10</v>
      </c>
      <c r="F1150">
        <v>3.06</v>
      </c>
      <c r="G1150">
        <v>44919.417999999998</v>
      </c>
      <c r="I1150">
        <v>44919.417999999998</v>
      </c>
      <c r="J1150" t="s">
        <v>403</v>
      </c>
      <c r="K1150">
        <v>4.0999999999999996</v>
      </c>
      <c r="L1150">
        <v>-59.3</v>
      </c>
      <c r="N1150">
        <v>48</v>
      </c>
      <c r="O1150">
        <v>48</v>
      </c>
      <c r="P1150" t="s">
        <v>558</v>
      </c>
      <c r="Q1150" t="s">
        <v>414</v>
      </c>
      <c r="R1150">
        <v>10</v>
      </c>
      <c r="S1150">
        <v>3.07</v>
      </c>
      <c r="T1150">
        <v>32571.208999999999</v>
      </c>
      <c r="V1150">
        <v>32571.208999999999</v>
      </c>
      <c r="W1150" t="s">
        <v>403</v>
      </c>
      <c r="X1150">
        <v>2.6</v>
      </c>
      <c r="Y1150">
        <v>-74.400000000000006</v>
      </c>
    </row>
    <row r="1151" spans="1:25" x14ac:dyDescent="0.45">
      <c r="A1151">
        <v>49</v>
      </c>
      <c r="B1151">
        <v>49</v>
      </c>
      <c r="C1151" t="s">
        <v>454</v>
      </c>
      <c r="D1151" t="s">
        <v>414</v>
      </c>
      <c r="E1151">
        <v>10</v>
      </c>
      <c r="F1151">
        <v>3.06</v>
      </c>
      <c r="G1151">
        <v>41859.870999999999</v>
      </c>
      <c r="I1151">
        <v>41859.870999999999</v>
      </c>
      <c r="J1151" t="s">
        <v>403</v>
      </c>
      <c r="K1151">
        <v>3.8</v>
      </c>
      <c r="L1151">
        <v>-62.1</v>
      </c>
      <c r="N1151">
        <v>49</v>
      </c>
      <c r="O1151">
        <v>49</v>
      </c>
      <c r="P1151" t="s">
        <v>559</v>
      </c>
      <c r="Q1151" t="s">
        <v>414</v>
      </c>
      <c r="R1151">
        <v>10</v>
      </c>
      <c r="S1151">
        <v>3.06</v>
      </c>
      <c r="T1151">
        <v>38486.949000000001</v>
      </c>
      <c r="V1151">
        <v>38486.949000000001</v>
      </c>
      <c r="W1151" t="s">
        <v>403</v>
      </c>
      <c r="X1151">
        <v>3</v>
      </c>
      <c r="Y1151">
        <v>-69.8</v>
      </c>
    </row>
    <row r="1152" spans="1:25" x14ac:dyDescent="0.45">
      <c r="A1152">
        <v>50</v>
      </c>
      <c r="B1152">
        <v>50</v>
      </c>
      <c r="C1152" t="s">
        <v>455</v>
      </c>
      <c r="D1152" t="s">
        <v>414</v>
      </c>
      <c r="E1152">
        <v>10</v>
      </c>
      <c r="F1152">
        <v>3.06</v>
      </c>
      <c r="G1152">
        <v>56855.038999999997</v>
      </c>
      <c r="I1152">
        <v>56855.038999999997</v>
      </c>
      <c r="J1152" t="s">
        <v>403</v>
      </c>
      <c r="K1152">
        <v>5.0999999999999996</v>
      </c>
      <c r="L1152">
        <v>-48.5</v>
      </c>
      <c r="N1152">
        <v>50</v>
      </c>
      <c r="O1152">
        <v>50</v>
      </c>
      <c r="P1152" t="s">
        <v>560</v>
      </c>
      <c r="Q1152" t="s">
        <v>414</v>
      </c>
      <c r="R1152">
        <v>10</v>
      </c>
      <c r="S1152">
        <v>3.06</v>
      </c>
      <c r="T1152">
        <v>37523.108999999997</v>
      </c>
      <c r="V1152">
        <v>37523.108999999997</v>
      </c>
      <c r="W1152" t="s">
        <v>403</v>
      </c>
      <c r="X1152">
        <v>2.9</v>
      </c>
      <c r="Y1152">
        <v>-70.599999999999994</v>
      </c>
    </row>
    <row r="1153" spans="1:25" x14ac:dyDescent="0.45">
      <c r="A1153">
        <v>51</v>
      </c>
      <c r="B1153">
        <v>51</v>
      </c>
      <c r="C1153" t="s">
        <v>456</v>
      </c>
      <c r="D1153" t="s">
        <v>414</v>
      </c>
      <c r="E1153">
        <v>10</v>
      </c>
      <c r="F1153">
        <v>3.06</v>
      </c>
      <c r="G1153">
        <v>50161.078000000001</v>
      </c>
      <c r="I1153">
        <v>50161.078000000001</v>
      </c>
      <c r="J1153" t="s">
        <v>403</v>
      </c>
      <c r="K1153">
        <v>4.5</v>
      </c>
      <c r="L1153">
        <v>-54.6</v>
      </c>
      <c r="N1153">
        <v>51</v>
      </c>
      <c r="O1153">
        <v>51</v>
      </c>
      <c r="P1153" t="s">
        <v>561</v>
      </c>
      <c r="Q1153" t="s">
        <v>414</v>
      </c>
      <c r="R1153">
        <v>10</v>
      </c>
      <c r="S1153">
        <v>3.06</v>
      </c>
      <c r="T1153">
        <v>31793.794999999998</v>
      </c>
      <c r="V1153">
        <v>31793.794999999998</v>
      </c>
      <c r="W1153" t="s">
        <v>403</v>
      </c>
      <c r="X1153">
        <v>2.5</v>
      </c>
      <c r="Y1153">
        <v>-75.099999999999994</v>
      </c>
    </row>
    <row r="1154" spans="1:25" x14ac:dyDescent="0.45">
      <c r="A1154">
        <v>52</v>
      </c>
      <c r="B1154">
        <v>52</v>
      </c>
      <c r="C1154" t="s">
        <v>457</v>
      </c>
      <c r="D1154" t="s">
        <v>414</v>
      </c>
      <c r="E1154">
        <v>10</v>
      </c>
      <c r="F1154">
        <v>3.06</v>
      </c>
      <c r="G1154">
        <v>48811.171999999999</v>
      </c>
      <c r="I1154">
        <v>48811.171999999999</v>
      </c>
      <c r="J1154" t="s">
        <v>403</v>
      </c>
      <c r="K1154">
        <v>4.4000000000000004</v>
      </c>
      <c r="L1154">
        <v>-55.8</v>
      </c>
      <c r="N1154">
        <v>52</v>
      </c>
      <c r="O1154">
        <v>52</v>
      </c>
      <c r="P1154" t="s">
        <v>562</v>
      </c>
      <c r="Q1154" t="s">
        <v>414</v>
      </c>
      <c r="R1154">
        <v>10</v>
      </c>
      <c r="S1154">
        <v>3.07</v>
      </c>
      <c r="T1154">
        <v>39503.074000000001</v>
      </c>
      <c r="V1154">
        <v>39503.074000000001</v>
      </c>
      <c r="W1154" t="s">
        <v>403</v>
      </c>
      <c r="X1154">
        <v>3.1</v>
      </c>
      <c r="Y1154">
        <v>-69</v>
      </c>
    </row>
    <row r="1155" spans="1:25" x14ac:dyDescent="0.45">
      <c r="A1155">
        <v>53</v>
      </c>
      <c r="B1155">
        <v>53</v>
      </c>
      <c r="C1155" t="s">
        <v>458</v>
      </c>
      <c r="D1155" t="s">
        <v>414</v>
      </c>
      <c r="E1155">
        <v>10</v>
      </c>
      <c r="F1155">
        <v>3.06</v>
      </c>
      <c r="G1155">
        <v>54851.605000000003</v>
      </c>
      <c r="I1155">
        <v>54851.605000000003</v>
      </c>
      <c r="J1155" t="s">
        <v>403</v>
      </c>
      <c r="K1155">
        <v>5</v>
      </c>
      <c r="L1155">
        <v>-50.3</v>
      </c>
      <c r="N1155">
        <v>53</v>
      </c>
      <c r="O1155">
        <v>53</v>
      </c>
      <c r="P1155" t="s">
        <v>563</v>
      </c>
      <c r="Q1155" t="s">
        <v>414</v>
      </c>
      <c r="R1155">
        <v>10</v>
      </c>
      <c r="S1155">
        <v>3.07</v>
      </c>
      <c r="T1155">
        <v>48938.792999999998</v>
      </c>
      <c r="V1155">
        <v>48938.792999999998</v>
      </c>
      <c r="W1155" t="s">
        <v>403</v>
      </c>
      <c r="X1155">
        <v>3.8</v>
      </c>
      <c r="Y1155">
        <v>-61.6</v>
      </c>
    </row>
    <row r="1156" spans="1:25" x14ac:dyDescent="0.45">
      <c r="A1156">
        <v>54</v>
      </c>
      <c r="B1156">
        <v>54</v>
      </c>
      <c r="C1156" t="s">
        <v>459</v>
      </c>
      <c r="D1156" t="s">
        <v>414</v>
      </c>
      <c r="E1156">
        <v>10</v>
      </c>
      <c r="F1156">
        <v>3.06</v>
      </c>
      <c r="G1156">
        <v>58443.324000000001</v>
      </c>
      <c r="I1156">
        <v>58443.324000000001</v>
      </c>
      <c r="J1156" t="s">
        <v>403</v>
      </c>
      <c r="K1156">
        <v>5.3</v>
      </c>
      <c r="L1156">
        <v>-47.1</v>
      </c>
      <c r="N1156">
        <v>54</v>
      </c>
      <c r="O1156">
        <v>54</v>
      </c>
      <c r="P1156" t="s">
        <v>564</v>
      </c>
      <c r="Q1156" t="s">
        <v>414</v>
      </c>
      <c r="R1156">
        <v>10</v>
      </c>
      <c r="S1156">
        <v>3.07</v>
      </c>
      <c r="T1156">
        <v>41008.964999999997</v>
      </c>
      <c r="V1156">
        <v>41008.964999999997</v>
      </c>
      <c r="W1156" t="s">
        <v>403</v>
      </c>
      <c r="X1156">
        <v>3.2</v>
      </c>
      <c r="Y1156">
        <v>-67.8</v>
      </c>
    </row>
    <row r="1157" spans="1:25" x14ac:dyDescent="0.45">
      <c r="A1157">
        <v>55</v>
      </c>
      <c r="B1157">
        <v>55</v>
      </c>
      <c r="C1157" t="s">
        <v>460</v>
      </c>
      <c r="D1157" t="s">
        <v>414</v>
      </c>
      <c r="E1157">
        <v>10</v>
      </c>
      <c r="F1157">
        <v>3.07</v>
      </c>
      <c r="G1157">
        <v>40287.612999999998</v>
      </c>
      <c r="I1157">
        <v>40287.612999999998</v>
      </c>
      <c r="J1157" t="s">
        <v>415</v>
      </c>
      <c r="K1157">
        <v>3.6</v>
      </c>
      <c r="L1157">
        <v>-63.5</v>
      </c>
      <c r="N1157">
        <v>55</v>
      </c>
      <c r="O1157">
        <v>55</v>
      </c>
      <c r="P1157" t="s">
        <v>565</v>
      </c>
      <c r="Q1157" t="s">
        <v>414</v>
      </c>
      <c r="R1157">
        <v>10</v>
      </c>
      <c r="S1157">
        <v>3.07</v>
      </c>
      <c r="T1157">
        <v>44491.097999999998</v>
      </c>
      <c r="V1157">
        <v>44491.097999999998</v>
      </c>
      <c r="W1157" t="s">
        <v>403</v>
      </c>
      <c r="X1157">
        <v>3.5</v>
      </c>
      <c r="Y1157">
        <v>-65.099999999999994</v>
      </c>
    </row>
    <row r="1158" spans="1:25" x14ac:dyDescent="0.45">
      <c r="A1158">
        <v>56</v>
      </c>
      <c r="B1158">
        <v>56</v>
      </c>
      <c r="C1158" t="s">
        <v>461</v>
      </c>
      <c r="D1158" t="s">
        <v>414</v>
      </c>
      <c r="E1158">
        <v>10</v>
      </c>
      <c r="F1158">
        <v>3.06</v>
      </c>
      <c r="G1158">
        <v>47666.879000000001</v>
      </c>
      <c r="I1158">
        <v>47666.879000000001</v>
      </c>
      <c r="J1158" t="s">
        <v>403</v>
      </c>
      <c r="K1158">
        <v>4.3</v>
      </c>
      <c r="L1158">
        <v>-56.8</v>
      </c>
      <c r="N1158">
        <v>56</v>
      </c>
      <c r="O1158">
        <v>56</v>
      </c>
      <c r="P1158" t="s">
        <v>566</v>
      </c>
      <c r="Q1158" t="s">
        <v>414</v>
      </c>
      <c r="R1158">
        <v>10</v>
      </c>
      <c r="S1158">
        <v>3.07</v>
      </c>
      <c r="T1158">
        <v>37134.421999999999</v>
      </c>
      <c r="V1158">
        <v>37134.421999999999</v>
      </c>
      <c r="W1158" t="s">
        <v>403</v>
      </c>
      <c r="X1158">
        <v>2.9</v>
      </c>
      <c r="Y1158">
        <v>-70.900000000000006</v>
      </c>
    </row>
    <row r="1159" spans="1:25" x14ac:dyDescent="0.45">
      <c r="A1159">
        <v>57</v>
      </c>
      <c r="B1159">
        <v>57</v>
      </c>
      <c r="C1159" t="s">
        <v>462</v>
      </c>
      <c r="D1159" t="s">
        <v>414</v>
      </c>
      <c r="E1159">
        <v>10</v>
      </c>
      <c r="F1159">
        <v>3.07</v>
      </c>
      <c r="G1159">
        <v>50324.906000000003</v>
      </c>
      <c r="I1159">
        <v>50324.906000000003</v>
      </c>
      <c r="J1159" t="s">
        <v>403</v>
      </c>
      <c r="K1159">
        <v>4.5999999999999996</v>
      </c>
      <c r="L1159">
        <v>-54.4</v>
      </c>
      <c r="N1159">
        <v>57</v>
      </c>
      <c r="O1159">
        <v>57</v>
      </c>
      <c r="P1159" t="s">
        <v>567</v>
      </c>
      <c r="Q1159" t="s">
        <v>414</v>
      </c>
      <c r="R1159">
        <v>10</v>
      </c>
      <c r="S1159">
        <v>3.07</v>
      </c>
      <c r="T1159">
        <v>40540.438000000002</v>
      </c>
      <c r="V1159">
        <v>40540.438000000002</v>
      </c>
      <c r="W1159" t="s">
        <v>403</v>
      </c>
      <c r="X1159">
        <v>3.2</v>
      </c>
      <c r="Y1159">
        <v>-68.2</v>
      </c>
    </row>
    <row r="1160" spans="1:25" x14ac:dyDescent="0.45">
      <c r="A1160">
        <v>58</v>
      </c>
      <c r="B1160">
        <v>58</v>
      </c>
      <c r="C1160" t="s">
        <v>463</v>
      </c>
      <c r="D1160" t="s">
        <v>414</v>
      </c>
      <c r="E1160">
        <v>10</v>
      </c>
      <c r="F1160">
        <v>3.07</v>
      </c>
      <c r="G1160">
        <v>51102.370999999999</v>
      </c>
      <c r="I1160">
        <v>51102.370999999999</v>
      </c>
      <c r="J1160" t="s">
        <v>403</v>
      </c>
      <c r="K1160">
        <v>4.5999999999999996</v>
      </c>
      <c r="L1160">
        <v>-53.7</v>
      </c>
      <c r="N1160">
        <v>58</v>
      </c>
      <c r="O1160">
        <v>58</v>
      </c>
      <c r="P1160" t="s">
        <v>568</v>
      </c>
      <c r="Q1160" t="s">
        <v>414</v>
      </c>
      <c r="R1160">
        <v>10</v>
      </c>
      <c r="S1160">
        <v>3.07</v>
      </c>
      <c r="T1160">
        <v>69129.202999999994</v>
      </c>
      <c r="V1160">
        <v>69129.202999999994</v>
      </c>
      <c r="W1160" t="s">
        <v>401</v>
      </c>
      <c r="X1160">
        <v>5.4</v>
      </c>
      <c r="Y1160">
        <v>-45.8</v>
      </c>
    </row>
    <row r="1161" spans="1:25" x14ac:dyDescent="0.45">
      <c r="A1161">
        <v>59</v>
      </c>
      <c r="B1161">
        <v>59</v>
      </c>
      <c r="C1161" t="s">
        <v>464</v>
      </c>
      <c r="D1161" t="s">
        <v>414</v>
      </c>
      <c r="E1161">
        <v>10</v>
      </c>
      <c r="F1161">
        <v>3.07</v>
      </c>
      <c r="G1161">
        <v>51337.425999999999</v>
      </c>
      <c r="I1161">
        <v>51337.425999999999</v>
      </c>
      <c r="J1161" t="s">
        <v>403</v>
      </c>
      <c r="K1161">
        <v>4.5999999999999996</v>
      </c>
      <c r="L1161">
        <v>-53.5</v>
      </c>
      <c r="N1161">
        <v>59</v>
      </c>
      <c r="O1161">
        <v>59</v>
      </c>
      <c r="P1161" t="s">
        <v>569</v>
      </c>
      <c r="Q1161" t="s">
        <v>414</v>
      </c>
      <c r="R1161">
        <v>10</v>
      </c>
      <c r="S1161">
        <v>3.07</v>
      </c>
      <c r="T1161">
        <v>37554.292999999998</v>
      </c>
      <c r="V1161">
        <v>37554.292999999998</v>
      </c>
      <c r="W1161" t="s">
        <v>403</v>
      </c>
      <c r="X1161">
        <v>2.9</v>
      </c>
      <c r="Y1161">
        <v>-70.5</v>
      </c>
    </row>
    <row r="1162" spans="1:25" x14ac:dyDescent="0.45">
      <c r="A1162">
        <v>60</v>
      </c>
      <c r="B1162">
        <v>60</v>
      </c>
      <c r="C1162" t="s">
        <v>465</v>
      </c>
      <c r="D1162" t="s">
        <v>414</v>
      </c>
      <c r="E1162">
        <v>10</v>
      </c>
      <c r="F1162">
        <v>3.07</v>
      </c>
      <c r="G1162">
        <v>59640.565999999999</v>
      </c>
      <c r="I1162">
        <v>59640.565999999999</v>
      </c>
      <c r="J1162" t="s">
        <v>401</v>
      </c>
      <c r="K1162">
        <v>5.4</v>
      </c>
      <c r="L1162">
        <v>-46</v>
      </c>
      <c r="N1162">
        <v>60</v>
      </c>
      <c r="O1162">
        <v>60</v>
      </c>
      <c r="P1162" t="s">
        <v>570</v>
      </c>
      <c r="Q1162" t="s">
        <v>414</v>
      </c>
      <c r="R1162">
        <v>10</v>
      </c>
      <c r="S1162">
        <v>3.07</v>
      </c>
      <c r="T1162">
        <v>79110.508000000002</v>
      </c>
      <c r="V1162">
        <v>79110.508000000002</v>
      </c>
      <c r="W1162" t="s">
        <v>403</v>
      </c>
      <c r="X1162">
        <v>6.2</v>
      </c>
      <c r="Y1162">
        <v>-37.9</v>
      </c>
    </row>
    <row r="1163" spans="1:25" x14ac:dyDescent="0.45">
      <c r="A1163">
        <v>61</v>
      </c>
      <c r="B1163">
        <v>61</v>
      </c>
      <c r="C1163" t="s">
        <v>466</v>
      </c>
      <c r="D1163" t="s">
        <v>414</v>
      </c>
      <c r="E1163">
        <v>10</v>
      </c>
      <c r="F1163">
        <v>3.07</v>
      </c>
      <c r="G1163">
        <v>62493.625</v>
      </c>
      <c r="I1163">
        <v>62493.625</v>
      </c>
      <c r="J1163" t="s">
        <v>403</v>
      </c>
      <c r="K1163">
        <v>5.7</v>
      </c>
      <c r="L1163">
        <v>-43.4</v>
      </c>
      <c r="N1163">
        <v>61</v>
      </c>
      <c r="O1163">
        <v>61</v>
      </c>
      <c r="P1163" t="s">
        <v>571</v>
      </c>
      <c r="Q1163" t="s">
        <v>414</v>
      </c>
      <c r="R1163">
        <v>10</v>
      </c>
      <c r="S1163">
        <v>3.07</v>
      </c>
      <c r="T1163">
        <v>42275.324000000001</v>
      </c>
      <c r="V1163">
        <v>42275.324000000001</v>
      </c>
      <c r="W1163" t="s">
        <v>403</v>
      </c>
      <c r="X1163">
        <v>3.3</v>
      </c>
      <c r="Y1163">
        <v>-66.8</v>
      </c>
    </row>
    <row r="1164" spans="1:25" x14ac:dyDescent="0.45">
      <c r="A1164">
        <v>62</v>
      </c>
      <c r="B1164">
        <v>62</v>
      </c>
      <c r="C1164" t="s">
        <v>467</v>
      </c>
      <c r="D1164" t="s">
        <v>414</v>
      </c>
      <c r="E1164">
        <v>10</v>
      </c>
      <c r="F1164">
        <v>3.07</v>
      </c>
      <c r="G1164">
        <v>74909.664000000004</v>
      </c>
      <c r="I1164">
        <v>74909.664000000004</v>
      </c>
      <c r="J1164" t="s">
        <v>403</v>
      </c>
      <c r="K1164">
        <v>6.8</v>
      </c>
      <c r="L1164">
        <v>-32.1</v>
      </c>
      <c r="N1164">
        <v>62</v>
      </c>
      <c r="O1164">
        <v>62</v>
      </c>
      <c r="P1164" t="s">
        <v>572</v>
      </c>
      <c r="Q1164" t="s">
        <v>414</v>
      </c>
      <c r="R1164">
        <v>10</v>
      </c>
      <c r="S1164">
        <v>3.07</v>
      </c>
      <c r="T1164">
        <v>40421.563000000002</v>
      </c>
      <c r="V1164">
        <v>40421.563000000002</v>
      </c>
      <c r="W1164" t="s">
        <v>403</v>
      </c>
      <c r="X1164">
        <v>3.2</v>
      </c>
      <c r="Y1164">
        <v>-68.3</v>
      </c>
    </row>
    <row r="1165" spans="1:25" x14ac:dyDescent="0.45">
      <c r="A1165">
        <v>63</v>
      </c>
      <c r="B1165">
        <v>63</v>
      </c>
      <c r="C1165" t="s">
        <v>468</v>
      </c>
      <c r="D1165" t="s">
        <v>414</v>
      </c>
      <c r="E1165">
        <v>10</v>
      </c>
      <c r="F1165">
        <v>3.07</v>
      </c>
      <c r="G1165">
        <v>63882.688000000002</v>
      </c>
      <c r="I1165">
        <v>63882.688000000002</v>
      </c>
      <c r="J1165" t="s">
        <v>403</v>
      </c>
      <c r="K1165">
        <v>5.8</v>
      </c>
      <c r="L1165">
        <v>-42.1</v>
      </c>
      <c r="N1165">
        <v>63</v>
      </c>
      <c r="O1165">
        <v>63</v>
      </c>
      <c r="P1165" t="s">
        <v>573</v>
      </c>
      <c r="Q1165" t="s">
        <v>414</v>
      </c>
      <c r="R1165">
        <v>10</v>
      </c>
      <c r="S1165">
        <v>3.07</v>
      </c>
      <c r="T1165">
        <v>59335.031000000003</v>
      </c>
      <c r="V1165">
        <v>59335.031000000003</v>
      </c>
      <c r="W1165" t="s">
        <v>403</v>
      </c>
      <c r="X1165">
        <v>4.7</v>
      </c>
      <c r="Y1165">
        <v>-53.5</v>
      </c>
    </row>
    <row r="1166" spans="1:25" x14ac:dyDescent="0.45">
      <c r="A1166">
        <v>64</v>
      </c>
      <c r="B1166">
        <v>64</v>
      </c>
      <c r="C1166" t="s">
        <v>469</v>
      </c>
      <c r="D1166" t="s">
        <v>414</v>
      </c>
      <c r="E1166">
        <v>10</v>
      </c>
      <c r="F1166">
        <v>3.07</v>
      </c>
      <c r="G1166">
        <v>62556.828000000001</v>
      </c>
      <c r="I1166">
        <v>62556.828000000001</v>
      </c>
      <c r="J1166" t="s">
        <v>403</v>
      </c>
      <c r="K1166">
        <v>5.7</v>
      </c>
      <c r="L1166">
        <v>-43.3</v>
      </c>
      <c r="N1166">
        <v>64</v>
      </c>
      <c r="O1166">
        <v>64</v>
      </c>
      <c r="P1166" t="s">
        <v>574</v>
      </c>
      <c r="Q1166" t="s">
        <v>414</v>
      </c>
      <c r="R1166">
        <v>10</v>
      </c>
      <c r="S1166">
        <v>3.07</v>
      </c>
      <c r="T1166">
        <v>48512.425999999999</v>
      </c>
      <c r="V1166">
        <v>48512.425999999999</v>
      </c>
      <c r="W1166" t="s">
        <v>403</v>
      </c>
      <c r="X1166">
        <v>3.8</v>
      </c>
      <c r="Y1166">
        <v>-61.9</v>
      </c>
    </row>
    <row r="1167" spans="1:25" x14ac:dyDescent="0.45">
      <c r="A1167">
        <v>65</v>
      </c>
      <c r="B1167">
        <v>65</v>
      </c>
      <c r="C1167" t="s">
        <v>470</v>
      </c>
      <c r="D1167" t="s">
        <v>414</v>
      </c>
      <c r="E1167">
        <v>10</v>
      </c>
      <c r="F1167">
        <v>3.07</v>
      </c>
      <c r="G1167">
        <v>58757.387000000002</v>
      </c>
      <c r="I1167">
        <v>58757.387000000002</v>
      </c>
      <c r="J1167" t="s">
        <v>403</v>
      </c>
      <c r="K1167">
        <v>5.3</v>
      </c>
      <c r="L1167">
        <v>-46.8</v>
      </c>
      <c r="N1167">
        <v>65</v>
      </c>
      <c r="O1167">
        <v>65</v>
      </c>
      <c r="P1167" t="s">
        <v>575</v>
      </c>
      <c r="Q1167" t="s">
        <v>414</v>
      </c>
      <c r="R1167">
        <v>10</v>
      </c>
      <c r="S1167">
        <v>3.07</v>
      </c>
      <c r="T1167">
        <v>46699.91</v>
      </c>
      <c r="V1167">
        <v>46699.91</v>
      </c>
      <c r="W1167" t="s">
        <v>403</v>
      </c>
      <c r="X1167">
        <v>3.7</v>
      </c>
      <c r="Y1167">
        <v>-63.4</v>
      </c>
    </row>
    <row r="1168" spans="1:25" x14ac:dyDescent="0.45">
      <c r="A1168">
        <v>66</v>
      </c>
      <c r="B1168">
        <v>66</v>
      </c>
      <c r="C1168" t="s">
        <v>471</v>
      </c>
      <c r="D1168" t="s">
        <v>414</v>
      </c>
      <c r="E1168">
        <v>10</v>
      </c>
      <c r="F1168">
        <v>3.07</v>
      </c>
      <c r="G1168">
        <v>58986.688000000002</v>
      </c>
      <c r="I1168">
        <v>58986.688000000002</v>
      </c>
      <c r="J1168" t="s">
        <v>403</v>
      </c>
      <c r="K1168">
        <v>5.3</v>
      </c>
      <c r="L1168">
        <v>-46.6</v>
      </c>
      <c r="N1168">
        <v>66</v>
      </c>
      <c r="O1168">
        <v>66</v>
      </c>
      <c r="P1168" t="s">
        <v>576</v>
      </c>
      <c r="Q1168" t="s">
        <v>414</v>
      </c>
      <c r="R1168">
        <v>10</v>
      </c>
      <c r="S1168">
        <v>3.07</v>
      </c>
      <c r="T1168">
        <v>48016.792999999998</v>
      </c>
      <c r="V1168">
        <v>48016.792999999998</v>
      </c>
      <c r="W1168" t="s">
        <v>403</v>
      </c>
      <c r="X1168">
        <v>3.8</v>
      </c>
      <c r="Y1168">
        <v>-62.3</v>
      </c>
    </row>
    <row r="1169" spans="1:25" x14ac:dyDescent="0.45">
      <c r="A1169">
        <v>67</v>
      </c>
      <c r="B1169">
        <v>67</v>
      </c>
      <c r="C1169" t="s">
        <v>472</v>
      </c>
      <c r="D1169" t="s">
        <v>414</v>
      </c>
      <c r="E1169">
        <v>10</v>
      </c>
      <c r="F1169">
        <v>3.07</v>
      </c>
      <c r="G1169">
        <v>38346.292999999998</v>
      </c>
      <c r="I1169">
        <v>38346.292999999998</v>
      </c>
      <c r="J1169" t="s">
        <v>403</v>
      </c>
      <c r="K1169">
        <v>3.5</v>
      </c>
      <c r="L1169">
        <v>-65.3</v>
      </c>
      <c r="N1169">
        <v>67</v>
      </c>
      <c r="O1169">
        <v>67</v>
      </c>
      <c r="P1169" t="s">
        <v>577</v>
      </c>
      <c r="Q1169" t="s">
        <v>414</v>
      </c>
      <c r="R1169">
        <v>10</v>
      </c>
      <c r="S1169">
        <v>3.07</v>
      </c>
      <c r="T1169">
        <v>33370.980000000003</v>
      </c>
      <c r="V1169">
        <v>33370.980000000003</v>
      </c>
      <c r="W1169" t="s">
        <v>403</v>
      </c>
      <c r="X1169">
        <v>2.6</v>
      </c>
      <c r="Y1169">
        <v>-73.8</v>
      </c>
    </row>
    <row r="1170" spans="1:25" x14ac:dyDescent="0.45">
      <c r="A1170">
        <v>68</v>
      </c>
      <c r="B1170">
        <v>68</v>
      </c>
      <c r="C1170" t="s">
        <v>473</v>
      </c>
      <c r="D1170" t="s">
        <v>414</v>
      </c>
      <c r="E1170">
        <v>10</v>
      </c>
      <c r="F1170">
        <v>3.07</v>
      </c>
      <c r="G1170">
        <v>50182.722999999998</v>
      </c>
      <c r="I1170">
        <v>50182.722999999998</v>
      </c>
      <c r="J1170" t="s">
        <v>403</v>
      </c>
      <c r="K1170">
        <v>4.5</v>
      </c>
      <c r="L1170">
        <v>-54.5</v>
      </c>
      <c r="N1170">
        <v>68</v>
      </c>
      <c r="O1170">
        <v>68</v>
      </c>
      <c r="P1170" t="s">
        <v>578</v>
      </c>
      <c r="Q1170" t="s">
        <v>414</v>
      </c>
      <c r="R1170">
        <v>10</v>
      </c>
      <c r="S1170">
        <v>3.07</v>
      </c>
      <c r="T1170">
        <v>39011.684000000001</v>
      </c>
      <c r="V1170">
        <v>39011.684000000001</v>
      </c>
      <c r="W1170" t="s">
        <v>403</v>
      </c>
      <c r="X1170">
        <v>3.1</v>
      </c>
      <c r="Y1170">
        <v>-69.400000000000006</v>
      </c>
    </row>
    <row r="1171" spans="1:25" x14ac:dyDescent="0.45">
      <c r="A1171">
        <v>69</v>
      </c>
      <c r="B1171">
        <v>69</v>
      </c>
      <c r="C1171" t="s">
        <v>474</v>
      </c>
      <c r="D1171" t="s">
        <v>414</v>
      </c>
      <c r="E1171">
        <v>10</v>
      </c>
      <c r="F1171">
        <v>3.07</v>
      </c>
      <c r="G1171">
        <v>68892.789000000004</v>
      </c>
      <c r="I1171">
        <v>68892.789000000004</v>
      </c>
      <c r="J1171" t="s">
        <v>403</v>
      </c>
      <c r="K1171">
        <v>6.2</v>
      </c>
      <c r="L1171">
        <v>-37.6</v>
      </c>
      <c r="N1171">
        <v>69</v>
      </c>
      <c r="O1171">
        <v>69</v>
      </c>
      <c r="P1171" t="s">
        <v>579</v>
      </c>
      <c r="Q1171" t="s">
        <v>414</v>
      </c>
      <c r="R1171">
        <v>10</v>
      </c>
      <c r="S1171">
        <v>3.07</v>
      </c>
      <c r="T1171">
        <v>35675.266000000003</v>
      </c>
      <c r="V1171">
        <v>35675.266000000003</v>
      </c>
      <c r="W1171" t="s">
        <v>403</v>
      </c>
      <c r="X1171">
        <v>2.8</v>
      </c>
      <c r="Y1171">
        <v>-72</v>
      </c>
    </row>
    <row r="1173" spans="1:25" x14ac:dyDescent="0.45">
      <c r="A1173" t="s">
        <v>502</v>
      </c>
      <c r="N1173" t="s">
        <v>502</v>
      </c>
    </row>
    <row r="1175" spans="1:25" x14ac:dyDescent="0.45">
      <c r="B1175" t="s">
        <v>389</v>
      </c>
      <c r="C1175" t="s">
        <v>123</v>
      </c>
      <c r="D1175" t="s">
        <v>390</v>
      </c>
      <c r="E1175" t="s">
        <v>391</v>
      </c>
      <c r="F1175" t="s">
        <v>392</v>
      </c>
      <c r="G1175" t="s">
        <v>393</v>
      </c>
      <c r="H1175" t="s">
        <v>394</v>
      </c>
      <c r="I1175" t="s">
        <v>395</v>
      </c>
      <c r="J1175" t="s">
        <v>396</v>
      </c>
      <c r="K1175" t="s">
        <v>397</v>
      </c>
      <c r="L1175" t="s">
        <v>398</v>
      </c>
      <c r="O1175" t="s">
        <v>389</v>
      </c>
      <c r="P1175" t="s">
        <v>123</v>
      </c>
      <c r="Q1175" t="s">
        <v>390</v>
      </c>
      <c r="R1175" t="s">
        <v>391</v>
      </c>
      <c r="S1175" t="s">
        <v>392</v>
      </c>
      <c r="T1175" t="s">
        <v>393</v>
      </c>
      <c r="U1175" t="s">
        <v>394</v>
      </c>
      <c r="V1175" t="s">
        <v>395</v>
      </c>
      <c r="W1175" t="s">
        <v>396</v>
      </c>
      <c r="X1175" t="s">
        <v>397</v>
      </c>
      <c r="Y1175" t="s">
        <v>398</v>
      </c>
    </row>
    <row r="1176" spans="1:25" x14ac:dyDescent="0.45">
      <c r="A1176">
        <v>1</v>
      </c>
      <c r="B1176">
        <v>1</v>
      </c>
      <c r="C1176" t="s">
        <v>399</v>
      </c>
      <c r="D1176" t="s">
        <v>400</v>
      </c>
      <c r="E1176">
        <v>10</v>
      </c>
      <c r="F1176">
        <v>3.38</v>
      </c>
      <c r="G1176">
        <v>4482.692</v>
      </c>
      <c r="I1176">
        <v>4482.692</v>
      </c>
      <c r="J1176" t="s">
        <v>401</v>
      </c>
      <c r="K1176">
        <v>7.4</v>
      </c>
      <c r="L1176">
        <v>-26.1</v>
      </c>
      <c r="N1176">
        <v>1</v>
      </c>
      <c r="O1176">
        <v>1</v>
      </c>
      <c r="P1176" t="s">
        <v>511</v>
      </c>
      <c r="Q1176" t="s">
        <v>400</v>
      </c>
      <c r="R1176">
        <v>10</v>
      </c>
      <c r="S1176">
        <v>3.36</v>
      </c>
      <c r="T1176">
        <v>5833.1880000000001</v>
      </c>
      <c r="V1176">
        <v>5833.1880000000001</v>
      </c>
      <c r="W1176" t="s">
        <v>403</v>
      </c>
      <c r="X1176">
        <v>7.6</v>
      </c>
      <c r="Y1176">
        <v>-23.5</v>
      </c>
    </row>
    <row r="1177" spans="1:25" x14ac:dyDescent="0.45">
      <c r="A1177">
        <v>2</v>
      </c>
      <c r="B1177">
        <v>2</v>
      </c>
      <c r="C1177" t="s">
        <v>402</v>
      </c>
      <c r="D1177" t="s">
        <v>400</v>
      </c>
      <c r="E1177">
        <v>10</v>
      </c>
      <c r="F1177">
        <v>3.37</v>
      </c>
      <c r="G1177">
        <v>4072.8789999999999</v>
      </c>
      <c r="I1177">
        <v>4072.8789999999999</v>
      </c>
      <c r="J1177" t="s">
        <v>415</v>
      </c>
      <c r="K1177">
        <v>6.7</v>
      </c>
      <c r="L1177">
        <v>-32.9</v>
      </c>
      <c r="N1177">
        <v>2</v>
      </c>
      <c r="O1177">
        <v>2</v>
      </c>
      <c r="P1177" t="s">
        <v>512</v>
      </c>
      <c r="Q1177" t="s">
        <v>400</v>
      </c>
      <c r="R1177">
        <v>10</v>
      </c>
      <c r="S1177">
        <v>3.36</v>
      </c>
      <c r="T1177">
        <v>6316.1059999999998</v>
      </c>
      <c r="V1177">
        <v>6316.1059999999998</v>
      </c>
      <c r="W1177" t="s">
        <v>403</v>
      </c>
      <c r="X1177">
        <v>8.3000000000000007</v>
      </c>
      <c r="Y1177">
        <v>-17.2</v>
      </c>
    </row>
    <row r="1178" spans="1:25" x14ac:dyDescent="0.45">
      <c r="A1178">
        <v>3</v>
      </c>
      <c r="B1178">
        <v>3</v>
      </c>
      <c r="C1178" t="s">
        <v>404</v>
      </c>
      <c r="D1178" t="s">
        <v>400</v>
      </c>
      <c r="E1178">
        <v>10</v>
      </c>
      <c r="F1178">
        <v>3.37</v>
      </c>
      <c r="G1178">
        <v>5671.5519999999997</v>
      </c>
      <c r="I1178">
        <v>5671.5519999999997</v>
      </c>
      <c r="J1178" t="s">
        <v>401</v>
      </c>
      <c r="K1178">
        <v>9.3000000000000007</v>
      </c>
      <c r="L1178">
        <v>-6.5</v>
      </c>
      <c r="N1178">
        <v>3</v>
      </c>
      <c r="O1178">
        <v>3</v>
      </c>
      <c r="P1178" t="s">
        <v>513</v>
      </c>
      <c r="Q1178" t="s">
        <v>400</v>
      </c>
      <c r="R1178">
        <v>10</v>
      </c>
      <c r="S1178">
        <v>3.36</v>
      </c>
      <c r="T1178">
        <v>7041.6369999999997</v>
      </c>
      <c r="V1178">
        <v>7041.6369999999997</v>
      </c>
      <c r="W1178" t="s">
        <v>401</v>
      </c>
      <c r="X1178">
        <v>9.1999999999999993</v>
      </c>
      <c r="Y1178">
        <v>-7.7</v>
      </c>
    </row>
    <row r="1179" spans="1:25" x14ac:dyDescent="0.45">
      <c r="A1179">
        <v>4</v>
      </c>
      <c r="B1179">
        <v>4</v>
      </c>
      <c r="C1179" t="s">
        <v>405</v>
      </c>
      <c r="D1179" t="s">
        <v>400</v>
      </c>
      <c r="E1179">
        <v>10</v>
      </c>
      <c r="F1179">
        <v>3.37</v>
      </c>
      <c r="G1179">
        <v>5434.165</v>
      </c>
      <c r="I1179">
        <v>5434.165</v>
      </c>
      <c r="J1179" t="s">
        <v>415</v>
      </c>
      <c r="K1179">
        <v>9</v>
      </c>
      <c r="L1179">
        <v>-10.5</v>
      </c>
      <c r="N1179">
        <v>4</v>
      </c>
      <c r="O1179">
        <v>4</v>
      </c>
      <c r="P1179" t="s">
        <v>514</v>
      </c>
      <c r="Q1179" t="s">
        <v>400</v>
      </c>
      <c r="R1179">
        <v>10</v>
      </c>
      <c r="S1179">
        <v>3.36</v>
      </c>
      <c r="T1179">
        <v>7346.1270000000004</v>
      </c>
      <c r="V1179">
        <v>7346.1270000000004</v>
      </c>
      <c r="W1179" t="s">
        <v>403</v>
      </c>
      <c r="X1179">
        <v>9.6</v>
      </c>
      <c r="Y1179">
        <v>-3.7</v>
      </c>
    </row>
    <row r="1180" spans="1:25" x14ac:dyDescent="0.45">
      <c r="A1180">
        <v>5</v>
      </c>
      <c r="B1180">
        <v>5</v>
      </c>
      <c r="C1180" t="s">
        <v>406</v>
      </c>
      <c r="D1180" t="s">
        <v>400</v>
      </c>
      <c r="E1180">
        <v>10</v>
      </c>
      <c r="F1180">
        <v>3.37</v>
      </c>
      <c r="G1180">
        <v>6773.0469999999996</v>
      </c>
      <c r="I1180">
        <v>6773.0469999999996</v>
      </c>
      <c r="J1180" t="s">
        <v>403</v>
      </c>
      <c r="K1180">
        <v>11.2</v>
      </c>
      <c r="L1180">
        <v>11.6</v>
      </c>
      <c r="N1180">
        <v>5</v>
      </c>
      <c r="O1180">
        <v>5</v>
      </c>
      <c r="P1180" t="s">
        <v>515</v>
      </c>
      <c r="Q1180" t="s">
        <v>400</v>
      </c>
      <c r="R1180">
        <v>10</v>
      </c>
      <c r="S1180">
        <v>3.36</v>
      </c>
      <c r="T1180">
        <v>8302.4369999999999</v>
      </c>
      <c r="V1180">
        <v>8302.4369999999999</v>
      </c>
      <c r="W1180" t="s">
        <v>403</v>
      </c>
      <c r="X1180">
        <v>10.9</v>
      </c>
      <c r="Y1180">
        <v>8.8000000000000007</v>
      </c>
    </row>
    <row r="1181" spans="1:25" x14ac:dyDescent="0.45">
      <c r="A1181">
        <v>6</v>
      </c>
      <c r="B1181">
        <v>6</v>
      </c>
      <c r="C1181" t="s">
        <v>407</v>
      </c>
      <c r="D1181" t="s">
        <v>400</v>
      </c>
      <c r="E1181">
        <v>10</v>
      </c>
      <c r="F1181">
        <v>3.37</v>
      </c>
      <c r="G1181">
        <v>7379.0450000000001</v>
      </c>
      <c r="I1181">
        <v>7379.0450000000001</v>
      </c>
      <c r="J1181" t="s">
        <v>401</v>
      </c>
      <c r="K1181">
        <v>12.2</v>
      </c>
      <c r="L1181">
        <v>21.6</v>
      </c>
      <c r="N1181">
        <v>6</v>
      </c>
      <c r="O1181">
        <v>6</v>
      </c>
      <c r="P1181" t="s">
        <v>516</v>
      </c>
      <c r="Q1181" t="s">
        <v>400</v>
      </c>
      <c r="R1181">
        <v>10</v>
      </c>
      <c r="S1181">
        <v>3.36</v>
      </c>
      <c r="T1181">
        <v>8805.1380000000008</v>
      </c>
      <c r="V1181">
        <v>8805.1380000000008</v>
      </c>
      <c r="W1181" t="s">
        <v>401</v>
      </c>
      <c r="X1181">
        <v>11.5</v>
      </c>
      <c r="Y1181">
        <v>15.4</v>
      </c>
    </row>
    <row r="1182" spans="1:25" x14ac:dyDescent="0.45">
      <c r="A1182">
        <v>7</v>
      </c>
      <c r="B1182">
        <v>7</v>
      </c>
      <c r="C1182" t="s">
        <v>408</v>
      </c>
      <c r="D1182" t="s">
        <v>400</v>
      </c>
      <c r="E1182">
        <v>10</v>
      </c>
      <c r="F1182">
        <v>3.37</v>
      </c>
      <c r="G1182">
        <v>8669.6759999999995</v>
      </c>
      <c r="I1182">
        <v>8669.6759999999995</v>
      </c>
      <c r="J1182" t="s">
        <v>401</v>
      </c>
      <c r="K1182">
        <v>14.3</v>
      </c>
      <c r="L1182">
        <v>42.9</v>
      </c>
      <c r="N1182">
        <v>7</v>
      </c>
      <c r="O1182">
        <v>7</v>
      </c>
      <c r="P1182" t="s">
        <v>517</v>
      </c>
      <c r="Q1182" t="s">
        <v>400</v>
      </c>
      <c r="R1182">
        <v>10</v>
      </c>
      <c r="S1182">
        <v>3.36</v>
      </c>
      <c r="T1182">
        <v>9749.7939999999999</v>
      </c>
      <c r="V1182">
        <v>9749.7939999999999</v>
      </c>
      <c r="W1182" t="s">
        <v>401</v>
      </c>
      <c r="X1182">
        <v>12.8</v>
      </c>
      <c r="Y1182">
        <v>27.8</v>
      </c>
    </row>
    <row r="1183" spans="1:25" x14ac:dyDescent="0.45">
      <c r="A1183">
        <v>8</v>
      </c>
      <c r="B1183">
        <v>8</v>
      </c>
      <c r="C1183" t="s">
        <v>409</v>
      </c>
      <c r="D1183" t="s">
        <v>410</v>
      </c>
      <c r="E1183">
        <v>10</v>
      </c>
      <c r="F1183">
        <v>3.37</v>
      </c>
      <c r="G1183">
        <v>6170.5420000000004</v>
      </c>
      <c r="I1183">
        <v>6170.5420000000004</v>
      </c>
      <c r="J1183" t="s">
        <v>403</v>
      </c>
      <c r="K1183">
        <v>10.199999999999999</v>
      </c>
      <c r="L1183">
        <v>1.7</v>
      </c>
      <c r="N1183">
        <v>8</v>
      </c>
      <c r="O1183">
        <v>8</v>
      </c>
      <c r="P1183" t="s">
        <v>518</v>
      </c>
      <c r="Q1183" t="s">
        <v>410</v>
      </c>
      <c r="R1183">
        <v>10</v>
      </c>
      <c r="S1183">
        <v>3.36</v>
      </c>
      <c r="T1183">
        <v>6754.6180000000004</v>
      </c>
      <c r="V1183">
        <v>6754.6180000000004</v>
      </c>
      <c r="W1183" t="s">
        <v>403</v>
      </c>
      <c r="X1183">
        <v>8.9</v>
      </c>
      <c r="Y1183">
        <v>-11.4</v>
      </c>
    </row>
    <row r="1184" spans="1:25" x14ac:dyDescent="0.45">
      <c r="A1184">
        <v>9</v>
      </c>
      <c r="B1184">
        <v>9</v>
      </c>
      <c r="C1184" t="s">
        <v>411</v>
      </c>
      <c r="D1184" t="s">
        <v>410</v>
      </c>
      <c r="E1184">
        <v>10</v>
      </c>
      <c r="F1184">
        <v>3.37</v>
      </c>
      <c r="G1184">
        <v>5401.3549999999996</v>
      </c>
      <c r="I1184">
        <v>5401.3549999999996</v>
      </c>
      <c r="J1184" t="s">
        <v>415</v>
      </c>
      <c r="K1184">
        <v>8.9</v>
      </c>
      <c r="L1184">
        <v>-11</v>
      </c>
      <c r="N1184">
        <v>9</v>
      </c>
      <c r="O1184">
        <v>9</v>
      </c>
      <c r="P1184" t="s">
        <v>519</v>
      </c>
      <c r="Q1184" t="s">
        <v>410</v>
      </c>
      <c r="R1184">
        <v>10</v>
      </c>
      <c r="S1184">
        <v>3.36</v>
      </c>
      <c r="T1184">
        <v>6767.0410000000002</v>
      </c>
      <c r="V1184">
        <v>6767.0410000000002</v>
      </c>
      <c r="W1184" t="s">
        <v>403</v>
      </c>
      <c r="X1184">
        <v>8.9</v>
      </c>
      <c r="Y1184">
        <v>-11.3</v>
      </c>
    </row>
    <row r="1185" spans="1:25" x14ac:dyDescent="0.45">
      <c r="A1185">
        <v>10</v>
      </c>
      <c r="B1185">
        <v>10</v>
      </c>
      <c r="C1185" t="s">
        <v>413</v>
      </c>
      <c r="D1185" t="s">
        <v>414</v>
      </c>
      <c r="E1185">
        <v>10</v>
      </c>
      <c r="F1185">
        <v>3.37</v>
      </c>
      <c r="G1185">
        <v>9017.14</v>
      </c>
      <c r="I1185">
        <v>9017.14</v>
      </c>
      <c r="J1185" t="s">
        <v>403</v>
      </c>
      <c r="K1185">
        <v>14.9</v>
      </c>
      <c r="L1185">
        <v>48.6</v>
      </c>
      <c r="N1185">
        <v>10</v>
      </c>
      <c r="O1185">
        <v>10</v>
      </c>
      <c r="P1185" t="s">
        <v>520</v>
      </c>
      <c r="Q1185" t="s">
        <v>414</v>
      </c>
      <c r="R1185">
        <v>10</v>
      </c>
      <c r="S1185">
        <v>3.36</v>
      </c>
      <c r="T1185">
        <v>10182.797</v>
      </c>
      <c r="V1185">
        <v>10182.797</v>
      </c>
      <c r="W1185" t="s">
        <v>403</v>
      </c>
      <c r="X1185">
        <v>13.3</v>
      </c>
      <c r="Y1185">
        <v>33.5</v>
      </c>
    </row>
    <row r="1186" spans="1:25" x14ac:dyDescent="0.45">
      <c r="A1186">
        <v>11</v>
      </c>
      <c r="B1186">
        <v>11</v>
      </c>
      <c r="C1186" t="s">
        <v>416</v>
      </c>
      <c r="D1186" t="s">
        <v>414</v>
      </c>
      <c r="E1186">
        <v>10</v>
      </c>
      <c r="F1186">
        <v>3.37</v>
      </c>
      <c r="G1186">
        <v>9025.1779999999999</v>
      </c>
      <c r="I1186">
        <v>9025.1779999999999</v>
      </c>
      <c r="J1186" t="s">
        <v>415</v>
      </c>
      <c r="K1186">
        <v>14.9</v>
      </c>
      <c r="L1186">
        <v>48.7</v>
      </c>
      <c r="N1186">
        <v>11</v>
      </c>
      <c r="O1186">
        <v>11</v>
      </c>
      <c r="P1186" t="s">
        <v>521</v>
      </c>
      <c r="Q1186" t="s">
        <v>414</v>
      </c>
      <c r="R1186">
        <v>10</v>
      </c>
      <c r="S1186">
        <v>3.36</v>
      </c>
      <c r="T1186">
        <v>6582.0659999999998</v>
      </c>
      <c r="V1186">
        <v>6582.0659999999998</v>
      </c>
      <c r="W1186" t="s">
        <v>415</v>
      </c>
      <c r="X1186">
        <v>8.6</v>
      </c>
      <c r="Y1186">
        <v>-13.7</v>
      </c>
    </row>
    <row r="1187" spans="1:25" x14ac:dyDescent="0.45">
      <c r="A1187">
        <v>12</v>
      </c>
      <c r="B1187">
        <v>12</v>
      </c>
      <c r="C1187" t="s">
        <v>417</v>
      </c>
      <c r="D1187" t="s">
        <v>414</v>
      </c>
      <c r="E1187">
        <v>10</v>
      </c>
      <c r="F1187">
        <v>3.37</v>
      </c>
      <c r="G1187">
        <v>6619.4639999999999</v>
      </c>
      <c r="I1187">
        <v>6619.4639999999999</v>
      </c>
      <c r="J1187" t="s">
        <v>415</v>
      </c>
      <c r="K1187">
        <v>10.9</v>
      </c>
      <c r="L1187">
        <v>9.1</v>
      </c>
      <c r="N1187">
        <v>12</v>
      </c>
      <c r="O1187">
        <v>12</v>
      </c>
      <c r="P1187" t="s">
        <v>522</v>
      </c>
      <c r="Q1187" t="s">
        <v>414</v>
      </c>
      <c r="R1187">
        <v>10</v>
      </c>
      <c r="S1187">
        <v>3.36</v>
      </c>
      <c r="T1187">
        <v>8208.0810000000001</v>
      </c>
      <c r="V1187">
        <v>8208.0810000000001</v>
      </c>
      <c r="W1187" t="s">
        <v>403</v>
      </c>
      <c r="X1187">
        <v>10.8</v>
      </c>
      <c r="Y1187">
        <v>7.6</v>
      </c>
    </row>
    <row r="1188" spans="1:25" x14ac:dyDescent="0.45">
      <c r="A1188">
        <v>13</v>
      </c>
      <c r="B1188">
        <v>13</v>
      </c>
      <c r="C1188" t="s">
        <v>418</v>
      </c>
      <c r="D1188" t="s">
        <v>414</v>
      </c>
      <c r="E1188">
        <v>10</v>
      </c>
      <c r="F1188">
        <v>3.37</v>
      </c>
      <c r="G1188">
        <v>6539.7879999999996</v>
      </c>
      <c r="I1188">
        <v>6539.7879999999996</v>
      </c>
      <c r="J1188" t="s">
        <v>403</v>
      </c>
      <c r="K1188">
        <v>10.8</v>
      </c>
      <c r="L1188">
        <v>7.8</v>
      </c>
      <c r="N1188">
        <v>13</v>
      </c>
      <c r="O1188">
        <v>13</v>
      </c>
      <c r="P1188" t="s">
        <v>523</v>
      </c>
      <c r="Q1188" t="s">
        <v>414</v>
      </c>
      <c r="R1188">
        <v>10</v>
      </c>
      <c r="S1188">
        <v>3.36</v>
      </c>
      <c r="T1188">
        <v>7629.2250000000004</v>
      </c>
      <c r="V1188">
        <v>7629.2250000000004</v>
      </c>
      <c r="W1188" t="s">
        <v>403</v>
      </c>
      <c r="X1188">
        <v>10</v>
      </c>
      <c r="Y1188">
        <v>0</v>
      </c>
    </row>
    <row r="1189" spans="1:25" x14ac:dyDescent="0.45">
      <c r="A1189">
        <v>14</v>
      </c>
      <c r="B1189">
        <v>14</v>
      </c>
      <c r="C1189" t="s">
        <v>419</v>
      </c>
      <c r="D1189" t="s">
        <v>414</v>
      </c>
      <c r="E1189">
        <v>10</v>
      </c>
      <c r="F1189">
        <v>3.37</v>
      </c>
      <c r="G1189">
        <v>7247.3209999999999</v>
      </c>
      <c r="I1189">
        <v>7247.3209999999999</v>
      </c>
      <c r="J1189" t="s">
        <v>403</v>
      </c>
      <c r="K1189">
        <v>11.9</v>
      </c>
      <c r="L1189">
        <v>19.399999999999999</v>
      </c>
      <c r="N1189">
        <v>14</v>
      </c>
      <c r="O1189">
        <v>14</v>
      </c>
      <c r="P1189" t="s">
        <v>524</v>
      </c>
      <c r="Q1189" t="s">
        <v>414</v>
      </c>
      <c r="R1189">
        <v>10</v>
      </c>
      <c r="S1189">
        <v>3.36</v>
      </c>
      <c r="T1189">
        <v>7858.0169999999998</v>
      </c>
      <c r="V1189">
        <v>7858.0169999999998</v>
      </c>
      <c r="W1189" t="s">
        <v>403</v>
      </c>
      <c r="X1189">
        <v>10.3</v>
      </c>
      <c r="Y1189">
        <v>3</v>
      </c>
    </row>
    <row r="1190" spans="1:25" x14ac:dyDescent="0.45">
      <c r="A1190">
        <v>15</v>
      </c>
      <c r="B1190">
        <v>15</v>
      </c>
      <c r="C1190" t="s">
        <v>420</v>
      </c>
      <c r="D1190" t="s">
        <v>414</v>
      </c>
      <c r="E1190">
        <v>10</v>
      </c>
      <c r="F1190">
        <v>3.37</v>
      </c>
      <c r="G1190">
        <v>6693.5349999999999</v>
      </c>
      <c r="I1190">
        <v>6693.5349999999999</v>
      </c>
      <c r="J1190" t="s">
        <v>403</v>
      </c>
      <c r="K1190">
        <v>11</v>
      </c>
      <c r="L1190">
        <v>10.3</v>
      </c>
      <c r="N1190">
        <v>15</v>
      </c>
      <c r="O1190">
        <v>15</v>
      </c>
      <c r="P1190" t="s">
        <v>525</v>
      </c>
      <c r="Q1190" t="s">
        <v>414</v>
      </c>
      <c r="R1190">
        <v>10</v>
      </c>
      <c r="S1190">
        <v>3.36</v>
      </c>
      <c r="T1190">
        <v>7001.4809999999998</v>
      </c>
      <c r="V1190">
        <v>7001.4809999999998</v>
      </c>
      <c r="W1190" t="s">
        <v>401</v>
      </c>
      <c r="X1190">
        <v>9.1999999999999993</v>
      </c>
      <c r="Y1190">
        <v>-8.1999999999999993</v>
      </c>
    </row>
    <row r="1191" spans="1:25" x14ac:dyDescent="0.45">
      <c r="A1191">
        <v>16</v>
      </c>
      <c r="B1191">
        <v>16</v>
      </c>
      <c r="C1191" t="s">
        <v>421</v>
      </c>
      <c r="D1191" t="s">
        <v>414</v>
      </c>
      <c r="E1191">
        <v>10</v>
      </c>
      <c r="F1191">
        <v>3.37</v>
      </c>
      <c r="G1191">
        <v>10132.905000000001</v>
      </c>
      <c r="I1191">
        <v>10132.905000000001</v>
      </c>
      <c r="J1191" t="s">
        <v>403</v>
      </c>
      <c r="K1191">
        <v>16.7</v>
      </c>
      <c r="L1191">
        <v>67</v>
      </c>
      <c r="N1191">
        <v>16</v>
      </c>
      <c r="O1191">
        <v>16</v>
      </c>
      <c r="P1191" t="s">
        <v>526</v>
      </c>
      <c r="Q1191" t="s">
        <v>414</v>
      </c>
      <c r="R1191">
        <v>10</v>
      </c>
      <c r="S1191">
        <v>3.36</v>
      </c>
      <c r="T1191">
        <v>7982.2290000000003</v>
      </c>
      <c r="V1191">
        <v>7982.2290000000003</v>
      </c>
      <c r="W1191" t="s">
        <v>403</v>
      </c>
      <c r="X1191">
        <v>10.5</v>
      </c>
      <c r="Y1191">
        <v>4.5999999999999996</v>
      </c>
    </row>
    <row r="1192" spans="1:25" x14ac:dyDescent="0.45">
      <c r="A1192">
        <v>17</v>
      </c>
      <c r="B1192">
        <v>17</v>
      </c>
      <c r="C1192" t="s">
        <v>422</v>
      </c>
      <c r="D1192" t="s">
        <v>414</v>
      </c>
      <c r="E1192">
        <v>10</v>
      </c>
      <c r="F1192">
        <v>3.37</v>
      </c>
      <c r="G1192">
        <v>6827.1090000000004</v>
      </c>
      <c r="I1192">
        <v>6827.1090000000004</v>
      </c>
      <c r="J1192" t="s">
        <v>403</v>
      </c>
      <c r="K1192">
        <v>11.2</v>
      </c>
      <c r="L1192">
        <v>12.5</v>
      </c>
      <c r="N1192">
        <v>17</v>
      </c>
      <c r="O1192">
        <v>17</v>
      </c>
      <c r="P1192" t="s">
        <v>527</v>
      </c>
      <c r="Q1192" t="s">
        <v>414</v>
      </c>
      <c r="R1192">
        <v>10</v>
      </c>
      <c r="S1192">
        <v>3.36</v>
      </c>
      <c r="T1192">
        <v>7291.2690000000002</v>
      </c>
      <c r="V1192">
        <v>7291.2690000000002</v>
      </c>
      <c r="W1192" t="s">
        <v>403</v>
      </c>
      <c r="X1192">
        <v>9.6</v>
      </c>
      <c r="Y1192">
        <v>-4.4000000000000004</v>
      </c>
    </row>
    <row r="1193" spans="1:25" x14ac:dyDescent="0.45">
      <c r="A1193">
        <v>18</v>
      </c>
      <c r="B1193">
        <v>18</v>
      </c>
      <c r="C1193" t="s">
        <v>423</v>
      </c>
      <c r="D1193" t="s">
        <v>414</v>
      </c>
      <c r="E1193">
        <v>10</v>
      </c>
      <c r="F1193">
        <v>3.37</v>
      </c>
      <c r="G1193">
        <v>10677.118</v>
      </c>
      <c r="I1193">
        <v>10677.118</v>
      </c>
      <c r="J1193" t="s">
        <v>403</v>
      </c>
      <c r="K1193">
        <v>17.600000000000001</v>
      </c>
      <c r="L1193">
        <v>75.900000000000006</v>
      </c>
      <c r="N1193">
        <v>18</v>
      </c>
      <c r="O1193">
        <v>18</v>
      </c>
      <c r="P1193" t="s">
        <v>528</v>
      </c>
      <c r="Q1193" t="s">
        <v>414</v>
      </c>
      <c r="R1193">
        <v>10</v>
      </c>
      <c r="S1193">
        <v>3.36</v>
      </c>
      <c r="T1193">
        <v>7895.8289999999997</v>
      </c>
      <c r="V1193">
        <v>7895.8289999999997</v>
      </c>
      <c r="W1193" t="s">
        <v>403</v>
      </c>
      <c r="X1193">
        <v>10.4</v>
      </c>
      <c r="Y1193">
        <v>3.5</v>
      </c>
    </row>
    <row r="1194" spans="1:25" x14ac:dyDescent="0.45">
      <c r="A1194">
        <v>19</v>
      </c>
      <c r="B1194">
        <v>19</v>
      </c>
      <c r="C1194" t="s">
        <v>424</v>
      </c>
      <c r="D1194" t="s">
        <v>414</v>
      </c>
      <c r="E1194">
        <v>10</v>
      </c>
      <c r="F1194">
        <v>3.37</v>
      </c>
      <c r="G1194">
        <v>7081.1239999999998</v>
      </c>
      <c r="I1194">
        <v>7081.1239999999998</v>
      </c>
      <c r="J1194" t="s">
        <v>415</v>
      </c>
      <c r="K1194">
        <v>11.7</v>
      </c>
      <c r="L1194">
        <v>16.7</v>
      </c>
      <c r="N1194">
        <v>19</v>
      </c>
      <c r="O1194">
        <v>19</v>
      </c>
      <c r="P1194" t="s">
        <v>529</v>
      </c>
      <c r="Q1194" t="s">
        <v>414</v>
      </c>
      <c r="R1194">
        <v>10</v>
      </c>
      <c r="S1194">
        <v>3.36</v>
      </c>
      <c r="T1194">
        <v>6915.8689999999997</v>
      </c>
      <c r="V1194">
        <v>6915.8689999999997</v>
      </c>
      <c r="W1194" t="s">
        <v>403</v>
      </c>
      <c r="X1194">
        <v>9.1</v>
      </c>
      <c r="Y1194">
        <v>-9.3000000000000007</v>
      </c>
    </row>
    <row r="1195" spans="1:25" x14ac:dyDescent="0.45">
      <c r="A1195">
        <v>20</v>
      </c>
      <c r="B1195">
        <v>20</v>
      </c>
      <c r="C1195" t="s">
        <v>425</v>
      </c>
      <c r="D1195" t="s">
        <v>414</v>
      </c>
      <c r="E1195">
        <v>10</v>
      </c>
      <c r="F1195">
        <v>3.37</v>
      </c>
      <c r="G1195">
        <v>7432.8040000000001</v>
      </c>
      <c r="I1195">
        <v>7432.8040000000001</v>
      </c>
      <c r="J1195" t="s">
        <v>415</v>
      </c>
      <c r="K1195">
        <v>12.2</v>
      </c>
      <c r="L1195">
        <v>22.5</v>
      </c>
      <c r="N1195">
        <v>20</v>
      </c>
      <c r="O1195">
        <v>20</v>
      </c>
      <c r="P1195" t="s">
        <v>530</v>
      </c>
      <c r="Q1195" t="s">
        <v>414</v>
      </c>
      <c r="R1195">
        <v>10</v>
      </c>
      <c r="S1195">
        <v>3.36</v>
      </c>
      <c r="T1195">
        <v>6714.5870000000004</v>
      </c>
      <c r="V1195">
        <v>6714.5870000000004</v>
      </c>
      <c r="W1195" t="s">
        <v>415</v>
      </c>
      <c r="X1195">
        <v>8.8000000000000007</v>
      </c>
      <c r="Y1195">
        <v>-12</v>
      </c>
    </row>
    <row r="1196" spans="1:25" x14ac:dyDescent="0.45">
      <c r="A1196">
        <v>21</v>
      </c>
      <c r="B1196">
        <v>21</v>
      </c>
      <c r="C1196" t="s">
        <v>426</v>
      </c>
      <c r="D1196" t="s">
        <v>414</v>
      </c>
      <c r="E1196">
        <v>10</v>
      </c>
      <c r="F1196">
        <v>3.37</v>
      </c>
      <c r="G1196">
        <v>7223.7060000000001</v>
      </c>
      <c r="I1196">
        <v>7223.7060000000001</v>
      </c>
      <c r="J1196" t="s">
        <v>403</v>
      </c>
      <c r="K1196">
        <v>11.9</v>
      </c>
      <c r="L1196">
        <v>19</v>
      </c>
      <c r="N1196">
        <v>21</v>
      </c>
      <c r="O1196">
        <v>21</v>
      </c>
      <c r="P1196" t="s">
        <v>531</v>
      </c>
      <c r="Q1196" t="s">
        <v>414</v>
      </c>
      <c r="R1196">
        <v>10</v>
      </c>
      <c r="S1196">
        <v>3.36</v>
      </c>
      <c r="T1196">
        <v>6922.5410000000002</v>
      </c>
      <c r="V1196">
        <v>6922.5410000000002</v>
      </c>
      <c r="W1196" t="s">
        <v>403</v>
      </c>
      <c r="X1196">
        <v>9.1</v>
      </c>
      <c r="Y1196">
        <v>-9.1999999999999993</v>
      </c>
    </row>
    <row r="1197" spans="1:25" x14ac:dyDescent="0.45">
      <c r="A1197">
        <v>22</v>
      </c>
      <c r="B1197">
        <v>22</v>
      </c>
      <c r="C1197" t="s">
        <v>427</v>
      </c>
      <c r="D1197" t="s">
        <v>414</v>
      </c>
      <c r="E1197">
        <v>10</v>
      </c>
      <c r="F1197">
        <v>3.37</v>
      </c>
      <c r="G1197">
        <v>7883.8760000000002</v>
      </c>
      <c r="I1197">
        <v>7883.8760000000002</v>
      </c>
      <c r="J1197" t="s">
        <v>403</v>
      </c>
      <c r="K1197">
        <v>13</v>
      </c>
      <c r="L1197">
        <v>29.9</v>
      </c>
      <c r="N1197">
        <v>22</v>
      </c>
      <c r="O1197">
        <v>22</v>
      </c>
      <c r="P1197" t="s">
        <v>532</v>
      </c>
      <c r="Q1197" t="s">
        <v>414</v>
      </c>
      <c r="R1197">
        <v>10</v>
      </c>
      <c r="S1197">
        <v>3.36</v>
      </c>
      <c r="T1197">
        <v>8604.9220000000005</v>
      </c>
      <c r="V1197">
        <v>8604.9220000000005</v>
      </c>
      <c r="W1197" t="s">
        <v>403</v>
      </c>
      <c r="X1197">
        <v>11.3</v>
      </c>
      <c r="Y1197">
        <v>12.8</v>
      </c>
    </row>
    <row r="1198" spans="1:25" x14ac:dyDescent="0.45">
      <c r="A1198">
        <v>23</v>
      </c>
      <c r="B1198">
        <v>23</v>
      </c>
      <c r="C1198" t="s">
        <v>428</v>
      </c>
      <c r="D1198" t="s">
        <v>414</v>
      </c>
      <c r="E1198">
        <v>10</v>
      </c>
      <c r="F1198">
        <v>3.37</v>
      </c>
      <c r="G1198">
        <v>7068.2380000000003</v>
      </c>
      <c r="I1198">
        <v>7068.2380000000003</v>
      </c>
      <c r="J1198" t="s">
        <v>403</v>
      </c>
      <c r="K1198">
        <v>11.6</v>
      </c>
      <c r="L1198">
        <v>16.5</v>
      </c>
      <c r="N1198">
        <v>23</v>
      </c>
      <c r="O1198">
        <v>23</v>
      </c>
      <c r="P1198" t="s">
        <v>533</v>
      </c>
      <c r="Q1198" t="s">
        <v>414</v>
      </c>
      <c r="R1198">
        <v>10</v>
      </c>
      <c r="S1198">
        <v>3.36</v>
      </c>
      <c r="T1198">
        <v>8426.7659999999996</v>
      </c>
      <c r="V1198">
        <v>8426.7659999999996</v>
      </c>
      <c r="W1198" t="s">
        <v>403</v>
      </c>
      <c r="X1198">
        <v>11</v>
      </c>
      <c r="Y1198">
        <v>10.5</v>
      </c>
    </row>
    <row r="1199" spans="1:25" x14ac:dyDescent="0.45">
      <c r="A1199">
        <v>24</v>
      </c>
      <c r="B1199">
        <v>24</v>
      </c>
      <c r="C1199" t="s">
        <v>429</v>
      </c>
      <c r="D1199" t="s">
        <v>414</v>
      </c>
      <c r="E1199">
        <v>10</v>
      </c>
      <c r="F1199">
        <v>3.37</v>
      </c>
      <c r="G1199">
        <v>7478.8670000000002</v>
      </c>
      <c r="I1199">
        <v>7478.8670000000002</v>
      </c>
      <c r="J1199" t="s">
        <v>403</v>
      </c>
      <c r="K1199">
        <v>12.3</v>
      </c>
      <c r="L1199">
        <v>23.2</v>
      </c>
      <c r="N1199">
        <v>24</v>
      </c>
      <c r="O1199">
        <v>24</v>
      </c>
      <c r="P1199" t="s">
        <v>534</v>
      </c>
      <c r="Q1199" t="s">
        <v>414</v>
      </c>
      <c r="R1199">
        <v>10</v>
      </c>
      <c r="S1199">
        <v>3.36</v>
      </c>
      <c r="T1199">
        <v>7510.0119999999997</v>
      </c>
      <c r="V1199">
        <v>7510.0119999999997</v>
      </c>
      <c r="W1199" t="s">
        <v>415</v>
      </c>
      <c r="X1199">
        <v>9.8000000000000007</v>
      </c>
      <c r="Y1199">
        <v>-1.5</v>
      </c>
    </row>
    <row r="1200" spans="1:25" x14ac:dyDescent="0.45">
      <c r="A1200">
        <v>25</v>
      </c>
      <c r="B1200">
        <v>25</v>
      </c>
      <c r="C1200" t="s">
        <v>430</v>
      </c>
      <c r="D1200" t="s">
        <v>414</v>
      </c>
      <c r="E1200">
        <v>10</v>
      </c>
      <c r="F1200">
        <v>3.37</v>
      </c>
      <c r="G1200">
        <v>6980.3410000000003</v>
      </c>
      <c r="I1200">
        <v>6980.3410000000003</v>
      </c>
      <c r="J1200" t="s">
        <v>403</v>
      </c>
      <c r="K1200">
        <v>11.5</v>
      </c>
      <c r="L1200">
        <v>15</v>
      </c>
      <c r="N1200">
        <v>25</v>
      </c>
      <c r="O1200">
        <v>25</v>
      </c>
      <c r="P1200" t="s">
        <v>535</v>
      </c>
      <c r="Q1200" t="s">
        <v>414</v>
      </c>
      <c r="R1200">
        <v>10</v>
      </c>
      <c r="S1200">
        <v>3.36</v>
      </c>
      <c r="T1200">
        <v>8598.6270000000004</v>
      </c>
      <c r="V1200">
        <v>8598.6270000000004</v>
      </c>
      <c r="W1200" t="s">
        <v>403</v>
      </c>
      <c r="X1200">
        <v>11.3</v>
      </c>
      <c r="Y1200">
        <v>12.7</v>
      </c>
    </row>
    <row r="1201" spans="1:25" x14ac:dyDescent="0.45">
      <c r="A1201">
        <v>26</v>
      </c>
      <c r="B1201">
        <v>26</v>
      </c>
      <c r="C1201" t="s">
        <v>431</v>
      </c>
      <c r="D1201" t="s">
        <v>414</v>
      </c>
      <c r="E1201">
        <v>10</v>
      </c>
      <c r="F1201">
        <v>3.37</v>
      </c>
      <c r="G1201">
        <v>9325.1839999999993</v>
      </c>
      <c r="I1201">
        <v>9325.1839999999993</v>
      </c>
      <c r="J1201" t="s">
        <v>403</v>
      </c>
      <c r="K1201">
        <v>15.4</v>
      </c>
      <c r="L1201">
        <v>53.7</v>
      </c>
      <c r="N1201">
        <v>26</v>
      </c>
      <c r="O1201">
        <v>26</v>
      </c>
      <c r="P1201" t="s">
        <v>536</v>
      </c>
      <c r="Q1201" t="s">
        <v>414</v>
      </c>
      <c r="R1201">
        <v>10</v>
      </c>
      <c r="S1201">
        <v>3.36</v>
      </c>
      <c r="T1201">
        <v>6821.7979999999998</v>
      </c>
      <c r="V1201">
        <v>6821.7979999999998</v>
      </c>
      <c r="W1201" t="s">
        <v>415</v>
      </c>
      <c r="X1201">
        <v>8.9</v>
      </c>
      <c r="Y1201">
        <v>-10.6</v>
      </c>
    </row>
    <row r="1202" spans="1:25" x14ac:dyDescent="0.45">
      <c r="A1202">
        <v>27</v>
      </c>
      <c r="B1202">
        <v>27</v>
      </c>
      <c r="C1202" t="s">
        <v>432</v>
      </c>
      <c r="D1202" t="s">
        <v>414</v>
      </c>
      <c r="E1202">
        <v>10</v>
      </c>
      <c r="F1202">
        <v>3.37</v>
      </c>
      <c r="G1202">
        <v>7336.6819999999998</v>
      </c>
      <c r="I1202">
        <v>7336.6819999999998</v>
      </c>
      <c r="J1202" t="s">
        <v>401</v>
      </c>
      <c r="K1202">
        <v>12.1</v>
      </c>
      <c r="L1202">
        <v>20.9</v>
      </c>
      <c r="N1202">
        <v>27</v>
      </c>
      <c r="O1202">
        <v>27</v>
      </c>
      <c r="P1202" t="s">
        <v>537</v>
      </c>
      <c r="Q1202" t="s">
        <v>414</v>
      </c>
      <c r="R1202">
        <v>10</v>
      </c>
      <c r="S1202">
        <v>3.36</v>
      </c>
      <c r="T1202">
        <v>7455.3760000000002</v>
      </c>
      <c r="V1202">
        <v>7455.3760000000002</v>
      </c>
      <c r="W1202" t="s">
        <v>403</v>
      </c>
      <c r="X1202">
        <v>9.8000000000000007</v>
      </c>
      <c r="Y1202">
        <v>-2.2999999999999998</v>
      </c>
    </row>
    <row r="1203" spans="1:25" x14ac:dyDescent="0.45">
      <c r="A1203">
        <v>28</v>
      </c>
      <c r="B1203">
        <v>28</v>
      </c>
      <c r="C1203" t="s">
        <v>433</v>
      </c>
      <c r="D1203" t="s">
        <v>414</v>
      </c>
      <c r="E1203">
        <v>10</v>
      </c>
      <c r="F1203">
        <v>3.37</v>
      </c>
      <c r="G1203">
        <v>8331.1389999999992</v>
      </c>
      <c r="I1203">
        <v>8331.1389999999992</v>
      </c>
      <c r="J1203" t="s">
        <v>403</v>
      </c>
      <c r="K1203">
        <v>13.7</v>
      </c>
      <c r="L1203">
        <v>37.299999999999997</v>
      </c>
      <c r="N1203">
        <v>28</v>
      </c>
      <c r="O1203">
        <v>28</v>
      </c>
      <c r="P1203" t="s">
        <v>538</v>
      </c>
      <c r="Q1203" t="s">
        <v>414</v>
      </c>
      <c r="R1203">
        <v>10</v>
      </c>
      <c r="S1203">
        <v>3.36</v>
      </c>
      <c r="T1203">
        <v>7785.6840000000002</v>
      </c>
      <c r="V1203">
        <v>7785.6840000000002</v>
      </c>
      <c r="W1203" t="s">
        <v>403</v>
      </c>
      <c r="X1203">
        <v>10.199999999999999</v>
      </c>
      <c r="Y1203">
        <v>2.1</v>
      </c>
    </row>
    <row r="1204" spans="1:25" x14ac:dyDescent="0.45">
      <c r="A1204">
        <v>29</v>
      </c>
      <c r="B1204">
        <v>29</v>
      </c>
      <c r="C1204" t="s">
        <v>434</v>
      </c>
      <c r="D1204" t="s">
        <v>414</v>
      </c>
      <c r="E1204">
        <v>10</v>
      </c>
      <c r="F1204">
        <v>3.37</v>
      </c>
      <c r="G1204">
        <v>7062.5519999999997</v>
      </c>
      <c r="I1204">
        <v>7062.5519999999997</v>
      </c>
      <c r="J1204" t="s">
        <v>403</v>
      </c>
      <c r="K1204">
        <v>11.6</v>
      </c>
      <c r="L1204">
        <v>16.399999999999999</v>
      </c>
      <c r="N1204">
        <v>29</v>
      </c>
      <c r="O1204">
        <v>29</v>
      </c>
      <c r="P1204" t="s">
        <v>539</v>
      </c>
      <c r="Q1204" t="s">
        <v>414</v>
      </c>
      <c r="R1204">
        <v>10</v>
      </c>
      <c r="S1204">
        <v>3.36</v>
      </c>
      <c r="T1204">
        <v>7988.5780000000004</v>
      </c>
      <c r="V1204">
        <v>7988.5780000000004</v>
      </c>
      <c r="W1204" t="s">
        <v>403</v>
      </c>
      <c r="X1204">
        <v>10.5</v>
      </c>
      <c r="Y1204">
        <v>4.7</v>
      </c>
    </row>
    <row r="1205" spans="1:25" x14ac:dyDescent="0.45">
      <c r="A1205">
        <v>30</v>
      </c>
      <c r="B1205">
        <v>30</v>
      </c>
      <c r="C1205" t="s">
        <v>435</v>
      </c>
      <c r="D1205" t="s">
        <v>414</v>
      </c>
      <c r="E1205">
        <v>10</v>
      </c>
      <c r="F1205">
        <v>3.37</v>
      </c>
      <c r="G1205">
        <v>7605.9170000000004</v>
      </c>
      <c r="I1205">
        <v>7605.9170000000004</v>
      </c>
      <c r="J1205" t="s">
        <v>403</v>
      </c>
      <c r="K1205">
        <v>12.5</v>
      </c>
      <c r="L1205">
        <v>25.3</v>
      </c>
      <c r="N1205">
        <v>30</v>
      </c>
      <c r="O1205">
        <v>30</v>
      </c>
      <c r="P1205" t="s">
        <v>540</v>
      </c>
      <c r="Q1205" t="s">
        <v>414</v>
      </c>
      <c r="R1205">
        <v>10</v>
      </c>
      <c r="S1205">
        <v>3.36</v>
      </c>
      <c r="T1205">
        <v>7969.3149999999996</v>
      </c>
      <c r="V1205">
        <v>7969.3149999999996</v>
      </c>
      <c r="W1205" t="s">
        <v>403</v>
      </c>
      <c r="X1205">
        <v>10.4</v>
      </c>
      <c r="Y1205">
        <v>4.5</v>
      </c>
    </row>
    <row r="1206" spans="1:25" x14ac:dyDescent="0.45">
      <c r="A1206">
        <v>31</v>
      </c>
      <c r="B1206">
        <v>31</v>
      </c>
      <c r="C1206" t="s">
        <v>436</v>
      </c>
      <c r="D1206" t="s">
        <v>414</v>
      </c>
      <c r="E1206">
        <v>10</v>
      </c>
      <c r="F1206">
        <v>3.37</v>
      </c>
      <c r="G1206">
        <v>6608.0010000000002</v>
      </c>
      <c r="I1206">
        <v>6608.0010000000002</v>
      </c>
      <c r="J1206" t="s">
        <v>403</v>
      </c>
      <c r="K1206">
        <v>10.9</v>
      </c>
      <c r="L1206">
        <v>8.9</v>
      </c>
      <c r="N1206">
        <v>31</v>
      </c>
      <c r="O1206">
        <v>31</v>
      </c>
      <c r="P1206" t="s">
        <v>541</v>
      </c>
      <c r="Q1206" t="s">
        <v>414</v>
      </c>
      <c r="R1206">
        <v>10</v>
      </c>
      <c r="S1206">
        <v>3.36</v>
      </c>
      <c r="T1206">
        <v>7504.2659999999996</v>
      </c>
      <c r="V1206">
        <v>7504.2659999999996</v>
      </c>
      <c r="W1206" t="s">
        <v>403</v>
      </c>
      <c r="X1206">
        <v>9.8000000000000007</v>
      </c>
      <c r="Y1206">
        <v>-1.6</v>
      </c>
    </row>
    <row r="1207" spans="1:25" x14ac:dyDescent="0.45">
      <c r="A1207">
        <v>32</v>
      </c>
      <c r="B1207">
        <v>32</v>
      </c>
      <c r="C1207" t="s">
        <v>437</v>
      </c>
      <c r="D1207" t="s">
        <v>414</v>
      </c>
      <c r="E1207">
        <v>10</v>
      </c>
      <c r="F1207">
        <v>3.37</v>
      </c>
      <c r="G1207">
        <v>6991.433</v>
      </c>
      <c r="I1207">
        <v>6991.433</v>
      </c>
      <c r="J1207" t="s">
        <v>415</v>
      </c>
      <c r="K1207">
        <v>11.5</v>
      </c>
      <c r="L1207">
        <v>15.2</v>
      </c>
      <c r="N1207">
        <v>32</v>
      </c>
      <c r="O1207">
        <v>32</v>
      </c>
      <c r="P1207" t="s">
        <v>542</v>
      </c>
      <c r="Q1207" t="s">
        <v>414</v>
      </c>
      <c r="R1207">
        <v>10</v>
      </c>
      <c r="S1207">
        <v>3.36</v>
      </c>
      <c r="T1207">
        <v>7626.067</v>
      </c>
      <c r="V1207">
        <v>7626.067</v>
      </c>
      <c r="W1207" t="s">
        <v>403</v>
      </c>
      <c r="X1207">
        <v>10</v>
      </c>
      <c r="Y1207">
        <v>0</v>
      </c>
    </row>
    <row r="1208" spans="1:25" x14ac:dyDescent="0.45">
      <c r="A1208">
        <v>33</v>
      </c>
      <c r="B1208">
        <v>33</v>
      </c>
      <c r="C1208" t="s">
        <v>438</v>
      </c>
      <c r="D1208" t="s">
        <v>414</v>
      </c>
      <c r="E1208">
        <v>10</v>
      </c>
      <c r="F1208">
        <v>3.37</v>
      </c>
      <c r="G1208">
        <v>6956.2820000000002</v>
      </c>
      <c r="I1208">
        <v>6956.2820000000002</v>
      </c>
      <c r="J1208" t="s">
        <v>403</v>
      </c>
      <c r="K1208">
        <v>11.5</v>
      </c>
      <c r="L1208">
        <v>14.6</v>
      </c>
      <c r="N1208">
        <v>33</v>
      </c>
      <c r="O1208">
        <v>33</v>
      </c>
      <c r="P1208" t="s">
        <v>543</v>
      </c>
      <c r="Q1208" t="s">
        <v>414</v>
      </c>
      <c r="R1208">
        <v>10</v>
      </c>
      <c r="S1208">
        <v>3.36</v>
      </c>
      <c r="T1208">
        <v>7258.335</v>
      </c>
      <c r="V1208">
        <v>7258.335</v>
      </c>
      <c r="W1208" t="s">
        <v>403</v>
      </c>
      <c r="X1208">
        <v>9.5</v>
      </c>
      <c r="Y1208">
        <v>-4.8</v>
      </c>
    </row>
    <row r="1209" spans="1:25" x14ac:dyDescent="0.45">
      <c r="A1209">
        <v>34</v>
      </c>
      <c r="B1209">
        <v>34</v>
      </c>
      <c r="C1209" t="s">
        <v>439</v>
      </c>
      <c r="D1209" t="s">
        <v>414</v>
      </c>
      <c r="E1209">
        <v>10</v>
      </c>
      <c r="F1209">
        <v>3.37</v>
      </c>
      <c r="G1209">
        <v>8466.2909999999993</v>
      </c>
      <c r="I1209">
        <v>8466.2909999999993</v>
      </c>
      <c r="J1209" t="s">
        <v>403</v>
      </c>
      <c r="K1209">
        <v>14</v>
      </c>
      <c r="L1209">
        <v>39.5</v>
      </c>
      <c r="N1209">
        <v>34</v>
      </c>
      <c r="O1209">
        <v>34</v>
      </c>
      <c r="P1209" t="s">
        <v>544</v>
      </c>
      <c r="Q1209" t="s">
        <v>414</v>
      </c>
      <c r="R1209">
        <v>10</v>
      </c>
      <c r="S1209">
        <v>3.36</v>
      </c>
      <c r="T1209">
        <v>7330.5919999999996</v>
      </c>
      <c r="V1209">
        <v>7330.5919999999996</v>
      </c>
      <c r="W1209" t="s">
        <v>401</v>
      </c>
      <c r="X1209">
        <v>9.6</v>
      </c>
      <c r="Y1209">
        <v>-3.9</v>
      </c>
    </row>
    <row r="1210" spans="1:25" x14ac:dyDescent="0.45">
      <c r="A1210">
        <v>35</v>
      </c>
      <c r="B1210">
        <v>35</v>
      </c>
      <c r="C1210" t="s">
        <v>440</v>
      </c>
      <c r="D1210" t="s">
        <v>414</v>
      </c>
      <c r="E1210">
        <v>10</v>
      </c>
      <c r="F1210">
        <v>3.37</v>
      </c>
      <c r="G1210">
        <v>7126.7250000000004</v>
      </c>
      <c r="I1210">
        <v>7126.7250000000004</v>
      </c>
      <c r="J1210" t="s">
        <v>401</v>
      </c>
      <c r="K1210">
        <v>11.7</v>
      </c>
      <c r="L1210">
        <v>17.399999999999999</v>
      </c>
      <c r="N1210">
        <v>35</v>
      </c>
      <c r="O1210">
        <v>35</v>
      </c>
      <c r="P1210" t="s">
        <v>545</v>
      </c>
      <c r="Q1210" t="s">
        <v>414</v>
      </c>
      <c r="R1210">
        <v>10</v>
      </c>
      <c r="S1210">
        <v>3.36</v>
      </c>
      <c r="T1210">
        <v>7072.0320000000002</v>
      </c>
      <c r="V1210">
        <v>7072.0320000000002</v>
      </c>
      <c r="W1210" t="s">
        <v>403</v>
      </c>
      <c r="X1210">
        <v>9.3000000000000007</v>
      </c>
      <c r="Y1210">
        <v>-7.3</v>
      </c>
    </row>
    <row r="1211" spans="1:25" x14ac:dyDescent="0.45">
      <c r="A1211">
        <v>36</v>
      </c>
      <c r="B1211">
        <v>36</v>
      </c>
      <c r="C1211" t="s">
        <v>441</v>
      </c>
      <c r="D1211" t="s">
        <v>414</v>
      </c>
      <c r="E1211">
        <v>10</v>
      </c>
      <c r="F1211">
        <v>3.37</v>
      </c>
      <c r="G1211">
        <v>8521.1139999999996</v>
      </c>
      <c r="I1211">
        <v>8521.1139999999996</v>
      </c>
      <c r="J1211" t="s">
        <v>403</v>
      </c>
      <c r="K1211">
        <v>14</v>
      </c>
      <c r="L1211">
        <v>40.4</v>
      </c>
      <c r="N1211">
        <v>36</v>
      </c>
      <c r="O1211">
        <v>36</v>
      </c>
      <c r="P1211" t="s">
        <v>546</v>
      </c>
      <c r="Q1211" t="s">
        <v>414</v>
      </c>
      <c r="R1211">
        <v>10</v>
      </c>
      <c r="S1211">
        <v>3.36</v>
      </c>
      <c r="T1211">
        <v>7474.3029999999999</v>
      </c>
      <c r="V1211">
        <v>7474.3029999999999</v>
      </c>
      <c r="W1211" t="s">
        <v>403</v>
      </c>
      <c r="X1211">
        <v>9.8000000000000007</v>
      </c>
      <c r="Y1211">
        <v>-2</v>
      </c>
    </row>
    <row r="1212" spans="1:25" x14ac:dyDescent="0.45">
      <c r="A1212">
        <v>37</v>
      </c>
      <c r="B1212">
        <v>37</v>
      </c>
      <c r="C1212" t="s">
        <v>442</v>
      </c>
      <c r="D1212" t="s">
        <v>414</v>
      </c>
      <c r="E1212">
        <v>10</v>
      </c>
      <c r="F1212">
        <v>3.37</v>
      </c>
      <c r="G1212">
        <v>7027.1350000000002</v>
      </c>
      <c r="I1212">
        <v>7027.1350000000002</v>
      </c>
      <c r="J1212" t="s">
        <v>415</v>
      </c>
      <c r="K1212">
        <v>11.6</v>
      </c>
      <c r="L1212">
        <v>15.8</v>
      </c>
      <c r="N1212">
        <v>37</v>
      </c>
      <c r="O1212">
        <v>37</v>
      </c>
      <c r="P1212" t="s">
        <v>547</v>
      </c>
      <c r="Q1212" t="s">
        <v>414</v>
      </c>
      <c r="R1212">
        <v>10</v>
      </c>
      <c r="S1212">
        <v>3.36</v>
      </c>
      <c r="T1212">
        <v>6877.7139999999999</v>
      </c>
      <c r="V1212">
        <v>6877.7139999999999</v>
      </c>
      <c r="W1212" t="s">
        <v>401</v>
      </c>
      <c r="X1212">
        <v>9</v>
      </c>
      <c r="Y1212">
        <v>-9.8000000000000007</v>
      </c>
    </row>
    <row r="1213" spans="1:25" x14ac:dyDescent="0.45">
      <c r="A1213">
        <v>38</v>
      </c>
      <c r="B1213">
        <v>38</v>
      </c>
      <c r="C1213" t="s">
        <v>443</v>
      </c>
      <c r="D1213" t="s">
        <v>414</v>
      </c>
      <c r="E1213">
        <v>10</v>
      </c>
      <c r="F1213">
        <v>3.37</v>
      </c>
      <c r="G1213">
        <v>7902.5889999999999</v>
      </c>
      <c r="I1213">
        <v>7902.5889999999999</v>
      </c>
      <c r="J1213" t="s">
        <v>401</v>
      </c>
      <c r="K1213">
        <v>13</v>
      </c>
      <c r="L1213">
        <v>30.2</v>
      </c>
      <c r="N1213">
        <v>38</v>
      </c>
      <c r="O1213">
        <v>38</v>
      </c>
      <c r="P1213" t="s">
        <v>548</v>
      </c>
      <c r="Q1213" t="s">
        <v>414</v>
      </c>
      <c r="R1213">
        <v>10</v>
      </c>
      <c r="S1213">
        <v>3.36</v>
      </c>
      <c r="T1213">
        <v>7098.9589999999998</v>
      </c>
      <c r="V1213">
        <v>7098.9589999999998</v>
      </c>
      <c r="W1213" t="s">
        <v>403</v>
      </c>
      <c r="X1213">
        <v>9.3000000000000007</v>
      </c>
      <c r="Y1213">
        <v>-6.9</v>
      </c>
    </row>
    <row r="1214" spans="1:25" x14ac:dyDescent="0.45">
      <c r="A1214">
        <v>39</v>
      </c>
      <c r="B1214">
        <v>39</v>
      </c>
      <c r="C1214" t="s">
        <v>444</v>
      </c>
      <c r="D1214" t="s">
        <v>414</v>
      </c>
      <c r="E1214">
        <v>10</v>
      </c>
      <c r="F1214">
        <v>3.37</v>
      </c>
      <c r="G1214">
        <v>6901.027</v>
      </c>
      <c r="I1214">
        <v>6901.027</v>
      </c>
      <c r="J1214" t="s">
        <v>403</v>
      </c>
      <c r="K1214">
        <v>11.4</v>
      </c>
      <c r="L1214">
        <v>13.7</v>
      </c>
      <c r="N1214">
        <v>39</v>
      </c>
      <c r="O1214">
        <v>39</v>
      </c>
      <c r="P1214" t="s">
        <v>549</v>
      </c>
      <c r="Q1214" t="s">
        <v>414</v>
      </c>
      <c r="R1214">
        <v>10</v>
      </c>
      <c r="S1214">
        <v>3.36</v>
      </c>
      <c r="T1214">
        <v>6981.3389999999999</v>
      </c>
      <c r="V1214">
        <v>6981.3389999999999</v>
      </c>
      <c r="W1214" t="s">
        <v>403</v>
      </c>
      <c r="X1214">
        <v>9.1999999999999993</v>
      </c>
      <c r="Y1214">
        <v>-8.5</v>
      </c>
    </row>
    <row r="1215" spans="1:25" x14ac:dyDescent="0.45">
      <c r="A1215">
        <v>40</v>
      </c>
      <c r="B1215">
        <v>40</v>
      </c>
      <c r="C1215" t="s">
        <v>445</v>
      </c>
      <c r="D1215" t="s">
        <v>414</v>
      </c>
      <c r="E1215">
        <v>10</v>
      </c>
      <c r="F1215">
        <v>3.37</v>
      </c>
      <c r="G1215">
        <v>11168.128000000001</v>
      </c>
      <c r="I1215">
        <v>11168.128000000001</v>
      </c>
      <c r="J1215" t="s">
        <v>403</v>
      </c>
      <c r="K1215">
        <v>18.399999999999999</v>
      </c>
      <c r="L1215">
        <v>84</v>
      </c>
      <c r="N1215">
        <v>40</v>
      </c>
      <c r="O1215">
        <v>40</v>
      </c>
      <c r="P1215" t="s">
        <v>550</v>
      </c>
      <c r="Q1215" t="s">
        <v>414</v>
      </c>
      <c r="R1215">
        <v>10</v>
      </c>
      <c r="S1215">
        <v>3.36</v>
      </c>
      <c r="T1215">
        <v>7124.0559999999996</v>
      </c>
      <c r="V1215">
        <v>7124.0559999999996</v>
      </c>
      <c r="W1215" t="s">
        <v>403</v>
      </c>
      <c r="X1215">
        <v>9.3000000000000007</v>
      </c>
      <c r="Y1215">
        <v>-6.6</v>
      </c>
    </row>
    <row r="1216" spans="1:25" x14ac:dyDescent="0.45">
      <c r="A1216">
        <v>41</v>
      </c>
      <c r="B1216">
        <v>41</v>
      </c>
      <c r="C1216" t="s">
        <v>446</v>
      </c>
      <c r="D1216" t="s">
        <v>414</v>
      </c>
      <c r="E1216">
        <v>10</v>
      </c>
      <c r="F1216">
        <v>3.37</v>
      </c>
      <c r="G1216">
        <v>7128.973</v>
      </c>
      <c r="I1216">
        <v>7128.973</v>
      </c>
      <c r="J1216" t="s">
        <v>403</v>
      </c>
      <c r="K1216">
        <v>11.7</v>
      </c>
      <c r="L1216">
        <v>17.5</v>
      </c>
      <c r="N1216">
        <v>41</v>
      </c>
      <c r="O1216">
        <v>41</v>
      </c>
      <c r="P1216" t="s">
        <v>551</v>
      </c>
      <c r="Q1216" t="s">
        <v>414</v>
      </c>
      <c r="R1216">
        <v>10</v>
      </c>
      <c r="S1216">
        <v>3.36</v>
      </c>
      <c r="T1216">
        <v>7161.6040000000003</v>
      </c>
      <c r="V1216">
        <v>7161.6040000000003</v>
      </c>
      <c r="W1216" t="s">
        <v>403</v>
      </c>
      <c r="X1216">
        <v>9.4</v>
      </c>
      <c r="Y1216">
        <v>-6.1</v>
      </c>
    </row>
    <row r="1217" spans="1:25" x14ac:dyDescent="0.45">
      <c r="A1217">
        <v>42</v>
      </c>
      <c r="B1217">
        <v>42</v>
      </c>
      <c r="C1217" t="s">
        <v>447</v>
      </c>
      <c r="D1217" t="s">
        <v>414</v>
      </c>
      <c r="E1217">
        <v>10</v>
      </c>
      <c r="F1217">
        <v>3.37</v>
      </c>
      <c r="G1217">
        <v>16006.259</v>
      </c>
      <c r="I1217">
        <v>16006.259</v>
      </c>
      <c r="J1217" t="s">
        <v>403</v>
      </c>
      <c r="K1217">
        <v>26.4</v>
      </c>
      <c r="L1217">
        <v>163.69999999999999</v>
      </c>
      <c r="N1217">
        <v>42</v>
      </c>
      <c r="O1217">
        <v>42</v>
      </c>
      <c r="P1217" t="s">
        <v>552</v>
      </c>
      <c r="Q1217" t="s">
        <v>414</v>
      </c>
      <c r="R1217">
        <v>10</v>
      </c>
      <c r="S1217">
        <v>3.36</v>
      </c>
      <c r="T1217">
        <v>7509.0609999999997</v>
      </c>
      <c r="V1217">
        <v>7509.0609999999997</v>
      </c>
      <c r="W1217" t="s">
        <v>401</v>
      </c>
      <c r="X1217">
        <v>9.8000000000000007</v>
      </c>
      <c r="Y1217">
        <v>-1.6</v>
      </c>
    </row>
    <row r="1218" spans="1:25" x14ac:dyDescent="0.45">
      <c r="A1218">
        <v>43</v>
      </c>
      <c r="B1218">
        <v>43</v>
      </c>
      <c r="C1218" t="s">
        <v>448</v>
      </c>
      <c r="D1218" t="s">
        <v>414</v>
      </c>
      <c r="E1218">
        <v>10</v>
      </c>
      <c r="F1218">
        <v>3.37</v>
      </c>
      <c r="G1218">
        <v>8548.3539999999994</v>
      </c>
      <c r="I1218">
        <v>8548.3539999999994</v>
      </c>
      <c r="J1218" t="s">
        <v>403</v>
      </c>
      <c r="K1218">
        <v>14.1</v>
      </c>
      <c r="L1218">
        <v>40.9</v>
      </c>
      <c r="N1218">
        <v>43</v>
      </c>
      <c r="O1218">
        <v>43</v>
      </c>
      <c r="P1218" t="s">
        <v>553</v>
      </c>
      <c r="Q1218" t="s">
        <v>414</v>
      </c>
      <c r="R1218">
        <v>10</v>
      </c>
      <c r="S1218">
        <v>3.36</v>
      </c>
      <c r="T1218">
        <v>6995.9070000000002</v>
      </c>
      <c r="V1218">
        <v>6995.9070000000002</v>
      </c>
      <c r="W1218" t="s">
        <v>403</v>
      </c>
      <c r="X1218">
        <v>9.1999999999999993</v>
      </c>
      <c r="Y1218">
        <v>-8.3000000000000007</v>
      </c>
    </row>
    <row r="1219" spans="1:25" x14ac:dyDescent="0.45">
      <c r="A1219">
        <v>44</v>
      </c>
      <c r="B1219">
        <v>44</v>
      </c>
      <c r="C1219" t="s">
        <v>449</v>
      </c>
      <c r="D1219" t="s">
        <v>414</v>
      </c>
      <c r="E1219">
        <v>10</v>
      </c>
      <c r="F1219">
        <v>3.37</v>
      </c>
      <c r="G1219">
        <v>7317.39</v>
      </c>
      <c r="I1219">
        <v>7317.39</v>
      </c>
      <c r="J1219" t="s">
        <v>403</v>
      </c>
      <c r="K1219">
        <v>12.1</v>
      </c>
      <c r="L1219">
        <v>20.6</v>
      </c>
      <c r="N1219">
        <v>44</v>
      </c>
      <c r="O1219">
        <v>44</v>
      </c>
      <c r="P1219" t="s">
        <v>554</v>
      </c>
      <c r="Q1219" t="s">
        <v>414</v>
      </c>
      <c r="R1219">
        <v>10</v>
      </c>
      <c r="S1219">
        <v>3.36</v>
      </c>
      <c r="T1219">
        <v>7700.0290000000005</v>
      </c>
      <c r="V1219">
        <v>7700.0290000000005</v>
      </c>
      <c r="W1219" t="s">
        <v>403</v>
      </c>
      <c r="X1219">
        <v>10.1</v>
      </c>
      <c r="Y1219">
        <v>0.9</v>
      </c>
    </row>
    <row r="1220" spans="1:25" x14ac:dyDescent="0.45">
      <c r="A1220">
        <v>45</v>
      </c>
      <c r="B1220">
        <v>45</v>
      </c>
      <c r="C1220" t="s">
        <v>450</v>
      </c>
      <c r="D1220" t="s">
        <v>414</v>
      </c>
      <c r="E1220">
        <v>10</v>
      </c>
      <c r="F1220">
        <v>3.37</v>
      </c>
      <c r="G1220">
        <v>7308.4309999999996</v>
      </c>
      <c r="I1220">
        <v>7308.4309999999996</v>
      </c>
      <c r="J1220" t="s">
        <v>401</v>
      </c>
      <c r="K1220">
        <v>12</v>
      </c>
      <c r="L1220">
        <v>20.399999999999999</v>
      </c>
      <c r="N1220">
        <v>45</v>
      </c>
      <c r="O1220">
        <v>45</v>
      </c>
      <c r="P1220" t="s">
        <v>555</v>
      </c>
      <c r="Q1220" t="s">
        <v>414</v>
      </c>
      <c r="R1220">
        <v>10</v>
      </c>
      <c r="S1220">
        <v>3.36</v>
      </c>
      <c r="T1220">
        <v>7077.7659999999996</v>
      </c>
      <c r="V1220">
        <v>7077.7659999999996</v>
      </c>
      <c r="W1220" t="s">
        <v>403</v>
      </c>
      <c r="X1220">
        <v>9.3000000000000007</v>
      </c>
      <c r="Y1220">
        <v>-7.2</v>
      </c>
    </row>
    <row r="1221" spans="1:25" x14ac:dyDescent="0.45">
      <c r="A1221">
        <v>46</v>
      </c>
      <c r="B1221">
        <v>46</v>
      </c>
      <c r="C1221" t="s">
        <v>451</v>
      </c>
      <c r="D1221" t="s">
        <v>414</v>
      </c>
      <c r="E1221">
        <v>10</v>
      </c>
      <c r="F1221">
        <v>3.37</v>
      </c>
      <c r="G1221">
        <v>7933.5439999999999</v>
      </c>
      <c r="I1221">
        <v>7933.5439999999999</v>
      </c>
      <c r="J1221" t="s">
        <v>403</v>
      </c>
      <c r="K1221">
        <v>13.1</v>
      </c>
      <c r="L1221">
        <v>30.7</v>
      </c>
      <c r="N1221">
        <v>46</v>
      </c>
      <c r="O1221">
        <v>46</v>
      </c>
      <c r="P1221" t="s">
        <v>556</v>
      </c>
      <c r="Q1221" t="s">
        <v>414</v>
      </c>
      <c r="R1221">
        <v>10</v>
      </c>
      <c r="S1221">
        <v>3.36</v>
      </c>
      <c r="T1221">
        <v>6280.5839999999998</v>
      </c>
      <c r="V1221">
        <v>6280.5839999999998</v>
      </c>
      <c r="W1221" t="s">
        <v>415</v>
      </c>
      <c r="X1221">
        <v>8.1999999999999993</v>
      </c>
      <c r="Y1221">
        <v>-17.7</v>
      </c>
    </row>
    <row r="1222" spans="1:25" x14ac:dyDescent="0.45">
      <c r="A1222">
        <v>47</v>
      </c>
      <c r="B1222">
        <v>47</v>
      </c>
      <c r="C1222" t="s">
        <v>452</v>
      </c>
      <c r="D1222" t="s">
        <v>414</v>
      </c>
      <c r="E1222">
        <v>10</v>
      </c>
      <c r="F1222">
        <v>3.37</v>
      </c>
      <c r="G1222">
        <v>6131.0839999999998</v>
      </c>
      <c r="I1222">
        <v>6131.0839999999998</v>
      </c>
      <c r="J1222" t="s">
        <v>415</v>
      </c>
      <c r="K1222">
        <v>10.1</v>
      </c>
      <c r="L1222">
        <v>1</v>
      </c>
      <c r="N1222">
        <v>47</v>
      </c>
      <c r="O1222">
        <v>47</v>
      </c>
      <c r="P1222" t="s">
        <v>557</v>
      </c>
      <c r="Q1222" t="s">
        <v>414</v>
      </c>
      <c r="R1222">
        <v>10</v>
      </c>
      <c r="S1222">
        <v>3.36</v>
      </c>
      <c r="T1222">
        <v>6168.0659999999998</v>
      </c>
      <c r="V1222">
        <v>6168.0659999999998</v>
      </c>
      <c r="W1222" t="s">
        <v>415</v>
      </c>
      <c r="X1222">
        <v>8.1</v>
      </c>
      <c r="Y1222">
        <v>-19.100000000000001</v>
      </c>
    </row>
    <row r="1223" spans="1:25" x14ac:dyDescent="0.45">
      <c r="A1223">
        <v>48</v>
      </c>
      <c r="B1223">
        <v>48</v>
      </c>
      <c r="C1223" t="s">
        <v>453</v>
      </c>
      <c r="D1223" t="s">
        <v>414</v>
      </c>
      <c r="E1223">
        <v>10</v>
      </c>
      <c r="F1223">
        <v>3.36</v>
      </c>
      <c r="G1223">
        <v>7789.53</v>
      </c>
      <c r="I1223">
        <v>7789.53</v>
      </c>
      <c r="J1223" t="s">
        <v>403</v>
      </c>
      <c r="K1223">
        <v>12.8</v>
      </c>
      <c r="L1223">
        <v>28.3</v>
      </c>
      <c r="N1223">
        <v>48</v>
      </c>
      <c r="O1223">
        <v>48</v>
      </c>
      <c r="P1223" t="s">
        <v>558</v>
      </c>
      <c r="Q1223" t="s">
        <v>414</v>
      </c>
      <c r="R1223">
        <v>10</v>
      </c>
      <c r="S1223">
        <v>3.36</v>
      </c>
      <c r="T1223">
        <v>7595.2809999999999</v>
      </c>
      <c r="V1223">
        <v>7595.2809999999999</v>
      </c>
      <c r="W1223" t="s">
        <v>403</v>
      </c>
      <c r="X1223">
        <v>10</v>
      </c>
      <c r="Y1223">
        <v>-0.4</v>
      </c>
    </row>
    <row r="1224" spans="1:25" x14ac:dyDescent="0.45">
      <c r="A1224">
        <v>49</v>
      </c>
      <c r="B1224">
        <v>49</v>
      </c>
      <c r="C1224" t="s">
        <v>454</v>
      </c>
      <c r="D1224" t="s">
        <v>414</v>
      </c>
      <c r="E1224">
        <v>10</v>
      </c>
      <c r="F1224">
        <v>3.37</v>
      </c>
      <c r="G1224">
        <v>6667.8320000000003</v>
      </c>
      <c r="I1224">
        <v>6667.8320000000003</v>
      </c>
      <c r="J1224" t="s">
        <v>403</v>
      </c>
      <c r="K1224">
        <v>11</v>
      </c>
      <c r="L1224">
        <v>9.9</v>
      </c>
      <c r="N1224">
        <v>49</v>
      </c>
      <c r="O1224">
        <v>49</v>
      </c>
      <c r="P1224" t="s">
        <v>559</v>
      </c>
      <c r="Q1224" t="s">
        <v>414</v>
      </c>
      <c r="R1224">
        <v>10</v>
      </c>
      <c r="S1224">
        <v>3.36</v>
      </c>
      <c r="T1224">
        <v>6758.07</v>
      </c>
      <c r="V1224">
        <v>6758.07</v>
      </c>
      <c r="W1224" t="s">
        <v>403</v>
      </c>
      <c r="X1224">
        <v>8.9</v>
      </c>
      <c r="Y1224">
        <v>-11.4</v>
      </c>
    </row>
    <row r="1225" spans="1:25" x14ac:dyDescent="0.45">
      <c r="A1225">
        <v>50</v>
      </c>
      <c r="B1225">
        <v>50</v>
      </c>
      <c r="C1225" t="s">
        <v>455</v>
      </c>
      <c r="D1225" t="s">
        <v>414</v>
      </c>
      <c r="E1225">
        <v>10</v>
      </c>
      <c r="F1225">
        <v>3.37</v>
      </c>
      <c r="G1225">
        <v>8085.1329999999998</v>
      </c>
      <c r="I1225">
        <v>8085.1329999999998</v>
      </c>
      <c r="J1225" t="s">
        <v>403</v>
      </c>
      <c r="K1225">
        <v>13.3</v>
      </c>
      <c r="L1225">
        <v>33.200000000000003</v>
      </c>
      <c r="N1225">
        <v>50</v>
      </c>
      <c r="O1225">
        <v>50</v>
      </c>
      <c r="P1225" t="s">
        <v>560</v>
      </c>
      <c r="Q1225" t="s">
        <v>414</v>
      </c>
      <c r="R1225">
        <v>10</v>
      </c>
      <c r="S1225">
        <v>3.36</v>
      </c>
      <c r="T1225">
        <v>7132.4709999999995</v>
      </c>
      <c r="V1225">
        <v>7132.4709999999995</v>
      </c>
      <c r="W1225" t="s">
        <v>403</v>
      </c>
      <c r="X1225">
        <v>9.4</v>
      </c>
      <c r="Y1225">
        <v>-6.5</v>
      </c>
    </row>
    <row r="1226" spans="1:25" x14ac:dyDescent="0.45">
      <c r="A1226">
        <v>51</v>
      </c>
      <c r="B1226">
        <v>51</v>
      </c>
      <c r="C1226" t="s">
        <v>456</v>
      </c>
      <c r="D1226" t="s">
        <v>414</v>
      </c>
      <c r="E1226">
        <v>10</v>
      </c>
      <c r="F1226">
        <v>3.36</v>
      </c>
      <c r="G1226">
        <v>6785.1270000000004</v>
      </c>
      <c r="I1226">
        <v>6785.1270000000004</v>
      </c>
      <c r="J1226" t="s">
        <v>403</v>
      </c>
      <c r="K1226">
        <v>11.2</v>
      </c>
      <c r="L1226">
        <v>11.8</v>
      </c>
      <c r="N1226">
        <v>51</v>
      </c>
      <c r="O1226">
        <v>51</v>
      </c>
      <c r="P1226" t="s">
        <v>561</v>
      </c>
      <c r="Q1226" t="s">
        <v>414</v>
      </c>
      <c r="R1226">
        <v>10</v>
      </c>
      <c r="S1226">
        <v>3.36</v>
      </c>
      <c r="T1226">
        <v>6940.0910000000003</v>
      </c>
      <c r="V1226">
        <v>6940.0910000000003</v>
      </c>
      <c r="W1226" t="s">
        <v>403</v>
      </c>
      <c r="X1226">
        <v>9.1</v>
      </c>
      <c r="Y1226">
        <v>-9</v>
      </c>
    </row>
    <row r="1227" spans="1:25" x14ac:dyDescent="0.45">
      <c r="A1227">
        <v>52</v>
      </c>
      <c r="B1227">
        <v>52</v>
      </c>
      <c r="C1227" t="s">
        <v>457</v>
      </c>
      <c r="D1227" t="s">
        <v>414</v>
      </c>
      <c r="E1227">
        <v>10</v>
      </c>
      <c r="F1227">
        <v>3.37</v>
      </c>
      <c r="G1227">
        <v>7839.5169999999998</v>
      </c>
      <c r="I1227">
        <v>7839.5169999999998</v>
      </c>
      <c r="J1227" t="s">
        <v>401</v>
      </c>
      <c r="K1227">
        <v>12.9</v>
      </c>
      <c r="L1227">
        <v>29.2</v>
      </c>
      <c r="N1227">
        <v>52</v>
      </c>
      <c r="O1227">
        <v>52</v>
      </c>
      <c r="P1227" t="s">
        <v>562</v>
      </c>
      <c r="Q1227" t="s">
        <v>414</v>
      </c>
      <c r="R1227">
        <v>10</v>
      </c>
      <c r="S1227">
        <v>3.36</v>
      </c>
      <c r="T1227">
        <v>7246.6679999999997</v>
      </c>
      <c r="V1227">
        <v>7246.6679999999997</v>
      </c>
      <c r="W1227" t="s">
        <v>403</v>
      </c>
      <c r="X1227">
        <v>9.5</v>
      </c>
      <c r="Y1227">
        <v>-5</v>
      </c>
    </row>
    <row r="1228" spans="1:25" x14ac:dyDescent="0.45">
      <c r="A1228">
        <v>53</v>
      </c>
      <c r="B1228">
        <v>53</v>
      </c>
      <c r="C1228" t="s">
        <v>458</v>
      </c>
      <c r="D1228" t="s">
        <v>414</v>
      </c>
      <c r="E1228">
        <v>10</v>
      </c>
      <c r="F1228">
        <v>3.36</v>
      </c>
      <c r="G1228">
        <v>7068.5309999999999</v>
      </c>
      <c r="I1228">
        <v>7068.5309999999999</v>
      </c>
      <c r="J1228" t="s">
        <v>403</v>
      </c>
      <c r="K1228">
        <v>11.6</v>
      </c>
      <c r="L1228">
        <v>16.5</v>
      </c>
      <c r="N1228">
        <v>53</v>
      </c>
      <c r="O1228">
        <v>53</v>
      </c>
      <c r="P1228" t="s">
        <v>563</v>
      </c>
      <c r="Q1228" t="s">
        <v>414</v>
      </c>
      <c r="R1228">
        <v>10</v>
      </c>
      <c r="S1228">
        <v>3.36</v>
      </c>
      <c r="T1228">
        <v>7165.5730000000003</v>
      </c>
      <c r="V1228">
        <v>7165.5730000000003</v>
      </c>
      <c r="W1228" t="s">
        <v>403</v>
      </c>
      <c r="X1228">
        <v>9.4</v>
      </c>
      <c r="Y1228">
        <v>-6.1</v>
      </c>
    </row>
    <row r="1229" spans="1:25" x14ac:dyDescent="0.45">
      <c r="A1229">
        <v>54</v>
      </c>
      <c r="B1229">
        <v>54</v>
      </c>
      <c r="C1229" t="s">
        <v>459</v>
      </c>
      <c r="D1229" t="s">
        <v>414</v>
      </c>
      <c r="E1229">
        <v>10</v>
      </c>
      <c r="F1229">
        <v>3.36</v>
      </c>
      <c r="G1229">
        <v>7708.73</v>
      </c>
      <c r="I1229">
        <v>7708.73</v>
      </c>
      <c r="J1229" t="s">
        <v>403</v>
      </c>
      <c r="K1229">
        <v>12.7</v>
      </c>
      <c r="L1229">
        <v>27</v>
      </c>
      <c r="N1229">
        <v>54</v>
      </c>
      <c r="O1229">
        <v>54</v>
      </c>
      <c r="P1229" t="s">
        <v>564</v>
      </c>
      <c r="Q1229" t="s">
        <v>414</v>
      </c>
      <c r="R1229">
        <v>10</v>
      </c>
      <c r="S1229">
        <v>3.36</v>
      </c>
      <c r="T1229">
        <v>6939.1859999999997</v>
      </c>
      <c r="V1229">
        <v>6939.1859999999997</v>
      </c>
      <c r="W1229" t="s">
        <v>403</v>
      </c>
      <c r="X1229">
        <v>9.1</v>
      </c>
      <c r="Y1229">
        <v>-9</v>
      </c>
    </row>
    <row r="1230" spans="1:25" x14ac:dyDescent="0.45">
      <c r="A1230">
        <v>55</v>
      </c>
      <c r="B1230">
        <v>55</v>
      </c>
      <c r="C1230" t="s">
        <v>460</v>
      </c>
      <c r="D1230" t="s">
        <v>414</v>
      </c>
      <c r="E1230">
        <v>10</v>
      </c>
      <c r="F1230">
        <v>3.37</v>
      </c>
      <c r="G1230">
        <v>7125.7309999999998</v>
      </c>
      <c r="I1230">
        <v>7125.7309999999998</v>
      </c>
      <c r="J1230" t="s">
        <v>403</v>
      </c>
      <c r="K1230">
        <v>11.7</v>
      </c>
      <c r="L1230">
        <v>17.399999999999999</v>
      </c>
      <c r="N1230">
        <v>55</v>
      </c>
      <c r="O1230">
        <v>55</v>
      </c>
      <c r="P1230" t="s">
        <v>565</v>
      </c>
      <c r="Q1230" t="s">
        <v>414</v>
      </c>
      <c r="R1230">
        <v>10</v>
      </c>
      <c r="S1230">
        <v>3.36</v>
      </c>
      <c r="T1230">
        <v>7124.7920000000004</v>
      </c>
      <c r="V1230">
        <v>7124.7920000000004</v>
      </c>
      <c r="W1230" t="s">
        <v>403</v>
      </c>
      <c r="X1230">
        <v>9.3000000000000007</v>
      </c>
      <c r="Y1230">
        <v>-6.6</v>
      </c>
    </row>
    <row r="1231" spans="1:25" x14ac:dyDescent="0.45">
      <c r="A1231">
        <v>56</v>
      </c>
      <c r="B1231">
        <v>56</v>
      </c>
      <c r="C1231" t="s">
        <v>461</v>
      </c>
      <c r="D1231" t="s">
        <v>414</v>
      </c>
      <c r="E1231">
        <v>10</v>
      </c>
      <c r="F1231">
        <v>3.37</v>
      </c>
      <c r="G1231">
        <v>7895.8059999999996</v>
      </c>
      <c r="I1231">
        <v>7895.8059999999996</v>
      </c>
      <c r="J1231" t="s">
        <v>403</v>
      </c>
      <c r="K1231">
        <v>13</v>
      </c>
      <c r="L1231">
        <v>30.1</v>
      </c>
      <c r="N1231">
        <v>56</v>
      </c>
      <c r="O1231">
        <v>56</v>
      </c>
      <c r="P1231" t="s">
        <v>566</v>
      </c>
      <c r="Q1231" t="s">
        <v>414</v>
      </c>
      <c r="R1231">
        <v>10</v>
      </c>
      <c r="S1231">
        <v>3.36</v>
      </c>
      <c r="T1231">
        <v>7521.3</v>
      </c>
      <c r="V1231">
        <v>7521.3</v>
      </c>
      <c r="W1231" t="s">
        <v>403</v>
      </c>
      <c r="X1231">
        <v>9.9</v>
      </c>
      <c r="Y1231">
        <v>-1.4</v>
      </c>
    </row>
    <row r="1232" spans="1:25" x14ac:dyDescent="0.45">
      <c r="A1232">
        <v>57</v>
      </c>
      <c r="B1232">
        <v>57</v>
      </c>
      <c r="C1232" t="s">
        <v>462</v>
      </c>
      <c r="D1232" t="s">
        <v>414</v>
      </c>
      <c r="E1232">
        <v>10</v>
      </c>
      <c r="F1232">
        <v>3.36</v>
      </c>
      <c r="G1232">
        <v>6333.9629999999997</v>
      </c>
      <c r="I1232">
        <v>6333.9629999999997</v>
      </c>
      <c r="J1232" t="s">
        <v>403</v>
      </c>
      <c r="K1232">
        <v>10.4</v>
      </c>
      <c r="L1232">
        <v>4.4000000000000004</v>
      </c>
      <c r="N1232">
        <v>57</v>
      </c>
      <c r="O1232">
        <v>57</v>
      </c>
      <c r="P1232" t="s">
        <v>567</v>
      </c>
      <c r="Q1232" t="s">
        <v>414</v>
      </c>
      <c r="R1232">
        <v>10</v>
      </c>
      <c r="S1232">
        <v>3.36</v>
      </c>
      <c r="T1232">
        <v>7498.36</v>
      </c>
      <c r="V1232">
        <v>7498.36</v>
      </c>
      <c r="W1232" t="s">
        <v>403</v>
      </c>
      <c r="X1232">
        <v>9.8000000000000007</v>
      </c>
      <c r="Y1232">
        <v>-1.7</v>
      </c>
    </row>
    <row r="1233" spans="1:25" x14ac:dyDescent="0.45">
      <c r="A1233">
        <v>58</v>
      </c>
      <c r="B1233">
        <v>58</v>
      </c>
      <c r="C1233" t="s">
        <v>463</v>
      </c>
      <c r="D1233" t="s">
        <v>414</v>
      </c>
      <c r="E1233">
        <v>10</v>
      </c>
      <c r="F1233">
        <v>3.37</v>
      </c>
      <c r="G1233">
        <v>8089.1289999999999</v>
      </c>
      <c r="I1233">
        <v>8089.1289999999999</v>
      </c>
      <c r="J1233" t="s">
        <v>403</v>
      </c>
      <c r="K1233">
        <v>13.3</v>
      </c>
      <c r="L1233">
        <v>33.299999999999997</v>
      </c>
      <c r="N1233">
        <v>58</v>
      </c>
      <c r="O1233">
        <v>58</v>
      </c>
      <c r="P1233" t="s">
        <v>568</v>
      </c>
      <c r="Q1233" t="s">
        <v>414</v>
      </c>
      <c r="R1233">
        <v>10</v>
      </c>
      <c r="S1233">
        <v>3.36</v>
      </c>
      <c r="T1233">
        <v>7488.5870000000004</v>
      </c>
      <c r="V1233">
        <v>7488.5870000000004</v>
      </c>
      <c r="W1233" t="s">
        <v>403</v>
      </c>
      <c r="X1233">
        <v>9.8000000000000007</v>
      </c>
      <c r="Y1233">
        <v>-1.8</v>
      </c>
    </row>
    <row r="1234" spans="1:25" x14ac:dyDescent="0.45">
      <c r="A1234">
        <v>59</v>
      </c>
      <c r="B1234">
        <v>59</v>
      </c>
      <c r="C1234" t="s">
        <v>464</v>
      </c>
      <c r="D1234" t="s">
        <v>414</v>
      </c>
      <c r="E1234">
        <v>10</v>
      </c>
      <c r="F1234">
        <v>3.36</v>
      </c>
      <c r="G1234">
        <v>7447.3540000000003</v>
      </c>
      <c r="I1234">
        <v>7447.3540000000003</v>
      </c>
      <c r="J1234" t="s">
        <v>403</v>
      </c>
      <c r="K1234">
        <v>12.3</v>
      </c>
      <c r="L1234">
        <v>22.7</v>
      </c>
      <c r="N1234">
        <v>59</v>
      </c>
      <c r="O1234">
        <v>59</v>
      </c>
      <c r="P1234" t="s">
        <v>569</v>
      </c>
      <c r="Q1234" t="s">
        <v>414</v>
      </c>
      <c r="R1234">
        <v>10</v>
      </c>
      <c r="S1234">
        <v>3.36</v>
      </c>
      <c r="T1234">
        <v>7058.0659999999998</v>
      </c>
      <c r="V1234">
        <v>7058.0659999999998</v>
      </c>
      <c r="W1234" t="s">
        <v>403</v>
      </c>
      <c r="X1234">
        <v>9.3000000000000007</v>
      </c>
      <c r="Y1234">
        <v>-7.5</v>
      </c>
    </row>
    <row r="1235" spans="1:25" x14ac:dyDescent="0.45">
      <c r="A1235">
        <v>60</v>
      </c>
      <c r="B1235">
        <v>60</v>
      </c>
      <c r="C1235" t="s">
        <v>465</v>
      </c>
      <c r="D1235" t="s">
        <v>414</v>
      </c>
      <c r="E1235">
        <v>10</v>
      </c>
      <c r="F1235">
        <v>3.36</v>
      </c>
      <c r="G1235">
        <v>7256.6760000000004</v>
      </c>
      <c r="I1235">
        <v>7256.6760000000004</v>
      </c>
      <c r="J1235" t="s">
        <v>403</v>
      </c>
      <c r="K1235">
        <v>12</v>
      </c>
      <c r="L1235">
        <v>19.600000000000001</v>
      </c>
      <c r="N1235">
        <v>60</v>
      </c>
      <c r="O1235">
        <v>60</v>
      </c>
      <c r="P1235" t="s">
        <v>570</v>
      </c>
      <c r="Q1235" t="s">
        <v>414</v>
      </c>
      <c r="R1235">
        <v>10</v>
      </c>
      <c r="S1235">
        <v>3.36</v>
      </c>
      <c r="T1235">
        <v>8548.6260000000002</v>
      </c>
      <c r="V1235">
        <v>8548.6260000000002</v>
      </c>
      <c r="W1235" t="s">
        <v>403</v>
      </c>
      <c r="X1235">
        <v>11.2</v>
      </c>
      <c r="Y1235">
        <v>12.1</v>
      </c>
    </row>
    <row r="1236" spans="1:25" x14ac:dyDescent="0.45">
      <c r="A1236">
        <v>61</v>
      </c>
      <c r="B1236">
        <v>61</v>
      </c>
      <c r="C1236" t="s">
        <v>466</v>
      </c>
      <c r="D1236" t="s">
        <v>414</v>
      </c>
      <c r="E1236">
        <v>10</v>
      </c>
      <c r="F1236">
        <v>3.36</v>
      </c>
      <c r="G1236">
        <v>6733.87</v>
      </c>
      <c r="I1236">
        <v>6733.87</v>
      </c>
      <c r="J1236" t="s">
        <v>403</v>
      </c>
      <c r="K1236">
        <v>11.1</v>
      </c>
      <c r="L1236">
        <v>11</v>
      </c>
      <c r="N1236">
        <v>61</v>
      </c>
      <c r="O1236">
        <v>61</v>
      </c>
      <c r="P1236" t="s">
        <v>571</v>
      </c>
      <c r="Q1236" t="s">
        <v>414</v>
      </c>
      <c r="R1236">
        <v>10</v>
      </c>
      <c r="S1236">
        <v>3.36</v>
      </c>
      <c r="T1236">
        <v>7623.1270000000004</v>
      </c>
      <c r="V1236">
        <v>7623.1270000000004</v>
      </c>
      <c r="W1236" t="s">
        <v>401</v>
      </c>
      <c r="X1236">
        <v>10</v>
      </c>
      <c r="Y1236">
        <v>-0.1</v>
      </c>
    </row>
    <row r="1237" spans="1:25" x14ac:dyDescent="0.45">
      <c r="A1237">
        <v>62</v>
      </c>
      <c r="B1237">
        <v>62</v>
      </c>
      <c r="C1237" t="s">
        <v>467</v>
      </c>
      <c r="D1237" t="s">
        <v>414</v>
      </c>
      <c r="E1237">
        <v>10</v>
      </c>
      <c r="F1237">
        <v>3.36</v>
      </c>
      <c r="G1237">
        <v>8217.2029999999995</v>
      </c>
      <c r="I1237">
        <v>8217.2029999999995</v>
      </c>
      <c r="J1237" t="s">
        <v>403</v>
      </c>
      <c r="K1237">
        <v>13.5</v>
      </c>
      <c r="L1237">
        <v>35.4</v>
      </c>
      <c r="N1237">
        <v>62</v>
      </c>
      <c r="O1237">
        <v>62</v>
      </c>
      <c r="P1237" t="s">
        <v>572</v>
      </c>
      <c r="Q1237" t="s">
        <v>414</v>
      </c>
      <c r="R1237">
        <v>10</v>
      </c>
      <c r="S1237">
        <v>3.36</v>
      </c>
      <c r="T1237">
        <v>7798.893</v>
      </c>
      <c r="V1237">
        <v>7798.893</v>
      </c>
      <c r="W1237" t="s">
        <v>403</v>
      </c>
      <c r="X1237">
        <v>10.199999999999999</v>
      </c>
      <c r="Y1237">
        <v>2.2000000000000002</v>
      </c>
    </row>
    <row r="1238" spans="1:25" x14ac:dyDescent="0.45">
      <c r="A1238">
        <v>63</v>
      </c>
      <c r="B1238">
        <v>63</v>
      </c>
      <c r="C1238" t="s">
        <v>468</v>
      </c>
      <c r="D1238" t="s">
        <v>414</v>
      </c>
      <c r="E1238">
        <v>10</v>
      </c>
      <c r="F1238">
        <v>3.36</v>
      </c>
      <c r="G1238">
        <v>7178.7349999999997</v>
      </c>
      <c r="I1238">
        <v>7178.7349999999997</v>
      </c>
      <c r="J1238" t="s">
        <v>403</v>
      </c>
      <c r="K1238">
        <v>11.8</v>
      </c>
      <c r="L1238">
        <v>18.3</v>
      </c>
      <c r="N1238">
        <v>63</v>
      </c>
      <c r="O1238">
        <v>63</v>
      </c>
      <c r="P1238" t="s">
        <v>573</v>
      </c>
      <c r="Q1238" t="s">
        <v>414</v>
      </c>
      <c r="R1238">
        <v>10</v>
      </c>
      <c r="S1238">
        <v>3.36</v>
      </c>
      <c r="T1238">
        <v>7080.2690000000002</v>
      </c>
      <c r="V1238">
        <v>7080.2690000000002</v>
      </c>
      <c r="W1238" t="s">
        <v>403</v>
      </c>
      <c r="X1238">
        <v>9.3000000000000007</v>
      </c>
      <c r="Y1238">
        <v>-7.2</v>
      </c>
    </row>
    <row r="1239" spans="1:25" x14ac:dyDescent="0.45">
      <c r="A1239">
        <v>64</v>
      </c>
      <c r="B1239">
        <v>64</v>
      </c>
      <c r="C1239" t="s">
        <v>469</v>
      </c>
      <c r="D1239" t="s">
        <v>414</v>
      </c>
      <c r="E1239">
        <v>10</v>
      </c>
      <c r="F1239">
        <v>3.36</v>
      </c>
      <c r="G1239">
        <v>7916.7139999999999</v>
      </c>
      <c r="I1239">
        <v>7916.7139999999999</v>
      </c>
      <c r="J1239" t="s">
        <v>403</v>
      </c>
      <c r="K1239">
        <v>13</v>
      </c>
      <c r="L1239">
        <v>30.4</v>
      </c>
      <c r="N1239">
        <v>64</v>
      </c>
      <c r="O1239">
        <v>64</v>
      </c>
      <c r="P1239" t="s">
        <v>574</v>
      </c>
      <c r="Q1239" t="s">
        <v>414</v>
      </c>
      <c r="R1239">
        <v>10</v>
      </c>
      <c r="S1239">
        <v>3.36</v>
      </c>
      <c r="T1239">
        <v>7817.6019999999999</v>
      </c>
      <c r="V1239">
        <v>7817.6019999999999</v>
      </c>
      <c r="W1239" t="s">
        <v>403</v>
      </c>
      <c r="X1239">
        <v>10.199999999999999</v>
      </c>
      <c r="Y1239">
        <v>2.5</v>
      </c>
    </row>
    <row r="1240" spans="1:25" x14ac:dyDescent="0.45">
      <c r="A1240">
        <v>65</v>
      </c>
      <c r="B1240">
        <v>65</v>
      </c>
      <c r="C1240" t="s">
        <v>470</v>
      </c>
      <c r="D1240" t="s">
        <v>414</v>
      </c>
      <c r="E1240">
        <v>10</v>
      </c>
      <c r="F1240">
        <v>3.36</v>
      </c>
      <c r="G1240">
        <v>6764.1549999999997</v>
      </c>
      <c r="I1240">
        <v>6764.1549999999997</v>
      </c>
      <c r="J1240" t="s">
        <v>403</v>
      </c>
      <c r="K1240">
        <v>11.1</v>
      </c>
      <c r="L1240">
        <v>11.5</v>
      </c>
      <c r="N1240">
        <v>65</v>
      </c>
      <c r="O1240">
        <v>65</v>
      </c>
      <c r="P1240" t="s">
        <v>575</v>
      </c>
      <c r="Q1240" t="s">
        <v>414</v>
      </c>
      <c r="R1240">
        <v>10</v>
      </c>
      <c r="S1240">
        <v>3.36</v>
      </c>
      <c r="T1240">
        <v>7763.1670000000004</v>
      </c>
      <c r="V1240">
        <v>7763.1670000000004</v>
      </c>
      <c r="W1240" t="s">
        <v>403</v>
      </c>
      <c r="X1240">
        <v>10.199999999999999</v>
      </c>
      <c r="Y1240">
        <v>1.8</v>
      </c>
    </row>
    <row r="1241" spans="1:25" x14ac:dyDescent="0.45">
      <c r="A1241">
        <v>66</v>
      </c>
      <c r="B1241">
        <v>66</v>
      </c>
      <c r="C1241" t="s">
        <v>471</v>
      </c>
      <c r="D1241" t="s">
        <v>414</v>
      </c>
      <c r="E1241">
        <v>10</v>
      </c>
      <c r="F1241">
        <v>3.36</v>
      </c>
      <c r="G1241">
        <v>7816.8630000000003</v>
      </c>
      <c r="I1241">
        <v>7816.8630000000003</v>
      </c>
      <c r="J1241" t="s">
        <v>403</v>
      </c>
      <c r="K1241">
        <v>12.9</v>
      </c>
      <c r="L1241">
        <v>28.8</v>
      </c>
      <c r="N1241">
        <v>66</v>
      </c>
      <c r="O1241">
        <v>66</v>
      </c>
      <c r="P1241" t="s">
        <v>576</v>
      </c>
      <c r="Q1241" t="s">
        <v>414</v>
      </c>
      <c r="R1241">
        <v>10</v>
      </c>
      <c r="S1241">
        <v>3.36</v>
      </c>
      <c r="T1241">
        <v>7493.7950000000001</v>
      </c>
      <c r="V1241">
        <v>7493.7950000000001</v>
      </c>
      <c r="W1241" t="s">
        <v>403</v>
      </c>
      <c r="X1241">
        <v>9.8000000000000007</v>
      </c>
      <c r="Y1241">
        <v>-1.8</v>
      </c>
    </row>
    <row r="1242" spans="1:25" x14ac:dyDescent="0.45">
      <c r="A1242">
        <v>67</v>
      </c>
      <c r="B1242">
        <v>67</v>
      </c>
      <c r="C1242" t="s">
        <v>472</v>
      </c>
      <c r="D1242" t="s">
        <v>414</v>
      </c>
      <c r="E1242">
        <v>10</v>
      </c>
      <c r="F1242">
        <v>3.36</v>
      </c>
      <c r="G1242">
        <v>7387.9059999999999</v>
      </c>
      <c r="I1242">
        <v>7387.9059999999999</v>
      </c>
      <c r="J1242" t="s">
        <v>403</v>
      </c>
      <c r="K1242">
        <v>12.2</v>
      </c>
      <c r="L1242">
        <v>21.7</v>
      </c>
      <c r="N1242">
        <v>67</v>
      </c>
      <c r="O1242">
        <v>67</v>
      </c>
      <c r="P1242" t="s">
        <v>577</v>
      </c>
      <c r="Q1242" t="s">
        <v>414</v>
      </c>
      <c r="R1242">
        <v>10</v>
      </c>
      <c r="S1242">
        <v>3.36</v>
      </c>
      <c r="T1242">
        <v>7019.7879999999996</v>
      </c>
      <c r="V1242">
        <v>7019.7879999999996</v>
      </c>
      <c r="W1242" t="s">
        <v>403</v>
      </c>
      <c r="X1242">
        <v>9.1999999999999993</v>
      </c>
      <c r="Y1242">
        <v>-8</v>
      </c>
    </row>
    <row r="1243" spans="1:25" x14ac:dyDescent="0.45">
      <c r="A1243">
        <v>68</v>
      </c>
      <c r="B1243">
        <v>68</v>
      </c>
      <c r="C1243" t="s">
        <v>473</v>
      </c>
      <c r="D1243" t="s">
        <v>414</v>
      </c>
      <c r="E1243">
        <v>10</v>
      </c>
      <c r="F1243">
        <v>3.37</v>
      </c>
      <c r="G1243">
        <v>7177.9040000000005</v>
      </c>
      <c r="I1243">
        <v>7177.9040000000005</v>
      </c>
      <c r="J1243" t="s">
        <v>403</v>
      </c>
      <c r="K1243">
        <v>11.8</v>
      </c>
      <c r="L1243">
        <v>18.3</v>
      </c>
      <c r="N1243">
        <v>68</v>
      </c>
      <c r="O1243">
        <v>68</v>
      </c>
      <c r="P1243" t="s">
        <v>578</v>
      </c>
      <c r="Q1243" t="s">
        <v>414</v>
      </c>
      <c r="R1243">
        <v>10</v>
      </c>
      <c r="S1243">
        <v>3.36</v>
      </c>
      <c r="T1243">
        <v>7484.6940000000004</v>
      </c>
      <c r="V1243">
        <v>7484.6940000000004</v>
      </c>
      <c r="W1243" t="s">
        <v>403</v>
      </c>
      <c r="X1243">
        <v>9.8000000000000007</v>
      </c>
      <c r="Y1243">
        <v>-1.9</v>
      </c>
    </row>
    <row r="1244" spans="1:25" x14ac:dyDescent="0.45">
      <c r="A1244">
        <v>69</v>
      </c>
      <c r="B1244">
        <v>69</v>
      </c>
      <c r="C1244" t="s">
        <v>474</v>
      </c>
      <c r="D1244" t="s">
        <v>414</v>
      </c>
      <c r="E1244">
        <v>10</v>
      </c>
      <c r="F1244">
        <v>3.37</v>
      </c>
      <c r="G1244">
        <v>7564.3829999999998</v>
      </c>
      <c r="I1244">
        <v>7564.3829999999998</v>
      </c>
      <c r="J1244" t="s">
        <v>403</v>
      </c>
      <c r="K1244">
        <v>12.5</v>
      </c>
      <c r="L1244">
        <v>24.6</v>
      </c>
      <c r="N1244">
        <v>69</v>
      </c>
      <c r="O1244">
        <v>69</v>
      </c>
      <c r="P1244" t="s">
        <v>579</v>
      </c>
      <c r="Q1244" t="s">
        <v>414</v>
      </c>
      <c r="R1244">
        <v>10</v>
      </c>
      <c r="S1244">
        <v>3.36</v>
      </c>
      <c r="T1244">
        <v>7894.1769999999997</v>
      </c>
      <c r="V1244">
        <v>7894.1769999999997</v>
      </c>
      <c r="W1244" t="s">
        <v>403</v>
      </c>
      <c r="X1244">
        <v>10.3</v>
      </c>
      <c r="Y1244">
        <v>3.5</v>
      </c>
    </row>
    <row r="1246" spans="1:25" x14ac:dyDescent="0.45">
      <c r="A1246" t="s">
        <v>503</v>
      </c>
      <c r="N1246" t="s">
        <v>503</v>
      </c>
    </row>
    <row r="1248" spans="1:25" x14ac:dyDescent="0.45">
      <c r="B1248" t="s">
        <v>389</v>
      </c>
      <c r="C1248" t="s">
        <v>123</v>
      </c>
      <c r="D1248" t="s">
        <v>390</v>
      </c>
      <c r="E1248" t="s">
        <v>391</v>
      </c>
      <c r="F1248" t="s">
        <v>392</v>
      </c>
      <c r="G1248" t="s">
        <v>393</v>
      </c>
      <c r="H1248" t="s">
        <v>394</v>
      </c>
      <c r="I1248" t="s">
        <v>395</v>
      </c>
      <c r="J1248" t="s">
        <v>396</v>
      </c>
      <c r="K1248" t="s">
        <v>397</v>
      </c>
      <c r="L1248" t="s">
        <v>398</v>
      </c>
      <c r="O1248" t="s">
        <v>389</v>
      </c>
      <c r="P1248" t="s">
        <v>123</v>
      </c>
      <c r="Q1248" t="s">
        <v>390</v>
      </c>
      <c r="R1248" t="s">
        <v>391</v>
      </c>
      <c r="S1248" t="s">
        <v>392</v>
      </c>
      <c r="T1248" t="s">
        <v>393</v>
      </c>
      <c r="U1248" t="s">
        <v>394</v>
      </c>
      <c r="V1248" t="s">
        <v>395</v>
      </c>
      <c r="W1248" t="s">
        <v>396</v>
      </c>
      <c r="X1248" t="s">
        <v>397</v>
      </c>
      <c r="Y1248" t="s">
        <v>398</v>
      </c>
    </row>
    <row r="1249" spans="1:25" x14ac:dyDescent="0.45">
      <c r="A1249">
        <v>1</v>
      </c>
      <c r="B1249">
        <v>1</v>
      </c>
      <c r="C1249" t="s">
        <v>399</v>
      </c>
      <c r="D1249" t="s">
        <v>400</v>
      </c>
      <c r="E1249">
        <v>10</v>
      </c>
      <c r="F1249">
        <v>2.73</v>
      </c>
      <c r="G1249">
        <v>66.117999999999995</v>
      </c>
      <c r="I1249">
        <v>66.117999999999995</v>
      </c>
      <c r="J1249" t="s">
        <v>403</v>
      </c>
      <c r="K1249">
        <v>1.4</v>
      </c>
      <c r="L1249">
        <v>-86.5</v>
      </c>
      <c r="N1249">
        <v>1</v>
      </c>
      <c r="O1249">
        <v>1</v>
      </c>
      <c r="P1249" t="s">
        <v>511</v>
      </c>
      <c r="Q1249" t="s">
        <v>400</v>
      </c>
      <c r="R1249">
        <v>10</v>
      </c>
      <c r="S1249">
        <v>2.71</v>
      </c>
      <c r="T1249">
        <v>370.26900000000001</v>
      </c>
      <c r="V1249">
        <v>370.26900000000001</v>
      </c>
      <c r="W1249" t="s">
        <v>403</v>
      </c>
      <c r="X1249">
        <v>8.6</v>
      </c>
      <c r="Y1249">
        <v>-14.3</v>
      </c>
    </row>
    <row r="1250" spans="1:25" x14ac:dyDescent="0.45">
      <c r="A1250">
        <v>2</v>
      </c>
      <c r="B1250">
        <v>2</v>
      </c>
      <c r="C1250" t="s">
        <v>402</v>
      </c>
      <c r="D1250" t="s">
        <v>400</v>
      </c>
      <c r="E1250">
        <v>10</v>
      </c>
      <c r="F1250">
        <v>2.82</v>
      </c>
      <c r="G1250">
        <v>882.21500000000003</v>
      </c>
      <c r="I1250">
        <v>882.21500000000003</v>
      </c>
      <c r="J1250" t="s">
        <v>401</v>
      </c>
      <c r="K1250">
        <v>18</v>
      </c>
      <c r="L1250">
        <v>80.2</v>
      </c>
      <c r="N1250">
        <v>2</v>
      </c>
      <c r="O1250">
        <v>2</v>
      </c>
      <c r="P1250" t="s">
        <v>512</v>
      </c>
      <c r="Q1250" t="s">
        <v>400</v>
      </c>
      <c r="R1250">
        <v>10</v>
      </c>
      <c r="S1250">
        <v>2.71</v>
      </c>
      <c r="T1250">
        <v>313.78500000000003</v>
      </c>
      <c r="V1250">
        <v>313.78500000000003</v>
      </c>
      <c r="W1250" t="s">
        <v>412</v>
      </c>
      <c r="X1250">
        <v>7.3</v>
      </c>
      <c r="Y1250">
        <v>-27.4</v>
      </c>
    </row>
    <row r="1251" spans="1:25" x14ac:dyDescent="0.45">
      <c r="A1251">
        <v>3</v>
      </c>
      <c r="B1251">
        <v>3</v>
      </c>
      <c r="C1251" t="s">
        <v>404</v>
      </c>
      <c r="D1251" t="s">
        <v>400</v>
      </c>
      <c r="E1251">
        <v>10</v>
      </c>
      <c r="F1251">
        <v>2.7</v>
      </c>
      <c r="G1251">
        <v>134.965</v>
      </c>
      <c r="I1251">
        <v>134.965</v>
      </c>
      <c r="J1251" t="s">
        <v>415</v>
      </c>
      <c r="K1251">
        <v>2.8</v>
      </c>
      <c r="L1251">
        <v>-72.400000000000006</v>
      </c>
      <c r="N1251">
        <v>3</v>
      </c>
      <c r="O1251">
        <v>3</v>
      </c>
      <c r="P1251" t="s">
        <v>513</v>
      </c>
      <c r="Q1251" t="s">
        <v>400</v>
      </c>
      <c r="R1251">
        <v>10</v>
      </c>
      <c r="S1251">
        <v>2.71</v>
      </c>
      <c r="T1251">
        <v>258.298</v>
      </c>
      <c r="V1251">
        <v>258.298</v>
      </c>
      <c r="W1251" t="s">
        <v>412</v>
      </c>
      <c r="X1251">
        <v>6</v>
      </c>
      <c r="Y1251">
        <v>-40.200000000000003</v>
      </c>
    </row>
    <row r="1252" spans="1:25" x14ac:dyDescent="0.45">
      <c r="A1252">
        <v>4</v>
      </c>
      <c r="B1252">
        <v>4</v>
      </c>
      <c r="C1252" t="s">
        <v>405</v>
      </c>
      <c r="D1252" t="s">
        <v>400</v>
      </c>
      <c r="E1252">
        <v>10</v>
      </c>
      <c r="F1252">
        <v>2.71</v>
      </c>
      <c r="G1252">
        <v>510.90199999999999</v>
      </c>
      <c r="I1252">
        <v>510.90199999999999</v>
      </c>
      <c r="J1252" t="s">
        <v>412</v>
      </c>
      <c r="K1252">
        <v>10.4</v>
      </c>
      <c r="L1252">
        <v>4.4000000000000004</v>
      </c>
      <c r="N1252">
        <v>4</v>
      </c>
      <c r="O1252">
        <v>4</v>
      </c>
      <c r="P1252" t="s">
        <v>514</v>
      </c>
      <c r="Q1252" t="s">
        <v>400</v>
      </c>
      <c r="R1252">
        <v>10</v>
      </c>
      <c r="S1252">
        <v>2.71</v>
      </c>
      <c r="T1252">
        <v>280.71699999999998</v>
      </c>
      <c r="V1252">
        <v>280.71699999999998</v>
      </c>
      <c r="W1252" t="s">
        <v>412</v>
      </c>
      <c r="X1252">
        <v>6.5</v>
      </c>
      <c r="Y1252">
        <v>-35</v>
      </c>
    </row>
    <row r="1253" spans="1:25" x14ac:dyDescent="0.45">
      <c r="A1253">
        <v>5</v>
      </c>
      <c r="B1253">
        <v>5</v>
      </c>
      <c r="C1253" t="s">
        <v>406</v>
      </c>
      <c r="D1253" t="s">
        <v>400</v>
      </c>
      <c r="E1253">
        <v>10</v>
      </c>
      <c r="F1253">
        <v>2.71</v>
      </c>
      <c r="G1253">
        <v>978.01400000000001</v>
      </c>
      <c r="I1253">
        <v>978.01400000000001</v>
      </c>
      <c r="J1253" t="s">
        <v>403</v>
      </c>
      <c r="K1253">
        <v>20</v>
      </c>
      <c r="L1253">
        <v>99.8</v>
      </c>
      <c r="N1253">
        <v>5</v>
      </c>
      <c r="O1253">
        <v>5</v>
      </c>
      <c r="P1253" t="s">
        <v>515</v>
      </c>
      <c r="Q1253" t="s">
        <v>400</v>
      </c>
      <c r="R1253">
        <v>10</v>
      </c>
      <c r="S1253">
        <v>2.72</v>
      </c>
      <c r="T1253">
        <v>518.44299999999998</v>
      </c>
      <c r="V1253">
        <v>518.44299999999998</v>
      </c>
      <c r="W1253" t="s">
        <v>412</v>
      </c>
      <c r="X1253">
        <v>12</v>
      </c>
      <c r="Y1253">
        <v>20</v>
      </c>
    </row>
    <row r="1254" spans="1:25" x14ac:dyDescent="0.45">
      <c r="A1254">
        <v>6</v>
      </c>
      <c r="B1254">
        <v>6</v>
      </c>
      <c r="C1254" t="s">
        <v>407</v>
      </c>
      <c r="D1254" t="s">
        <v>400</v>
      </c>
      <c r="E1254">
        <v>10</v>
      </c>
      <c r="F1254">
        <v>2.73</v>
      </c>
      <c r="G1254">
        <v>319.63200000000001</v>
      </c>
      <c r="I1254">
        <v>319.63200000000001</v>
      </c>
      <c r="J1254" t="s">
        <v>403</v>
      </c>
      <c r="K1254">
        <v>6.5</v>
      </c>
      <c r="L1254">
        <v>-34.700000000000003</v>
      </c>
      <c r="N1254">
        <v>6</v>
      </c>
      <c r="O1254">
        <v>6</v>
      </c>
      <c r="P1254" t="s">
        <v>516</v>
      </c>
      <c r="Q1254" t="s">
        <v>400</v>
      </c>
      <c r="R1254">
        <v>10</v>
      </c>
      <c r="S1254">
        <v>2.72</v>
      </c>
      <c r="T1254">
        <v>513.33500000000004</v>
      </c>
      <c r="V1254">
        <v>513.33500000000004</v>
      </c>
      <c r="W1254" t="s">
        <v>412</v>
      </c>
      <c r="X1254">
        <v>11.9</v>
      </c>
      <c r="Y1254">
        <v>18.8</v>
      </c>
    </row>
    <row r="1255" spans="1:25" x14ac:dyDescent="0.45">
      <c r="A1255">
        <v>7</v>
      </c>
      <c r="B1255">
        <v>7</v>
      </c>
      <c r="C1255" t="s">
        <v>408</v>
      </c>
      <c r="D1255" t="s">
        <v>400</v>
      </c>
      <c r="E1255">
        <v>10</v>
      </c>
      <c r="F1255">
        <v>2.72</v>
      </c>
      <c r="G1255">
        <v>535.23299999999995</v>
      </c>
      <c r="I1255">
        <v>535.23299999999995</v>
      </c>
      <c r="J1255" t="s">
        <v>403</v>
      </c>
      <c r="K1255">
        <v>10.9</v>
      </c>
      <c r="L1255">
        <v>9.3000000000000007</v>
      </c>
      <c r="N1255">
        <v>7</v>
      </c>
      <c r="O1255">
        <v>7</v>
      </c>
      <c r="P1255" t="s">
        <v>517</v>
      </c>
      <c r="Q1255" t="s">
        <v>400</v>
      </c>
      <c r="R1255">
        <v>10</v>
      </c>
      <c r="S1255">
        <v>2.73</v>
      </c>
      <c r="T1255">
        <v>770.16399999999999</v>
      </c>
      <c r="V1255">
        <v>770.16399999999999</v>
      </c>
      <c r="W1255" t="s">
        <v>403</v>
      </c>
      <c r="X1255">
        <v>17.8</v>
      </c>
      <c r="Y1255">
        <v>78.2</v>
      </c>
    </row>
    <row r="1256" spans="1:25" x14ac:dyDescent="0.45">
      <c r="A1256">
        <v>8</v>
      </c>
      <c r="B1256">
        <v>8</v>
      </c>
      <c r="C1256" t="s">
        <v>409</v>
      </c>
      <c r="D1256" t="s">
        <v>410</v>
      </c>
      <c r="E1256">
        <v>10</v>
      </c>
      <c r="F1256">
        <v>2.8</v>
      </c>
      <c r="G1256">
        <v>466.37400000000002</v>
      </c>
      <c r="I1256">
        <v>466.37400000000002</v>
      </c>
      <c r="J1256" t="s">
        <v>403</v>
      </c>
      <c r="K1256">
        <v>9.5</v>
      </c>
      <c r="L1256">
        <v>-4.7</v>
      </c>
      <c r="N1256">
        <v>8</v>
      </c>
      <c r="O1256">
        <v>8</v>
      </c>
      <c r="P1256" t="s">
        <v>518</v>
      </c>
      <c r="Q1256" t="s">
        <v>410</v>
      </c>
      <c r="R1256">
        <v>10</v>
      </c>
      <c r="S1256">
        <v>2.78</v>
      </c>
      <c r="T1256">
        <v>221.44399999999999</v>
      </c>
      <c r="V1256">
        <v>221.44399999999999</v>
      </c>
      <c r="W1256" t="s">
        <v>403</v>
      </c>
      <c r="X1256">
        <v>5.0999999999999996</v>
      </c>
      <c r="Y1256">
        <v>-48.8</v>
      </c>
    </row>
    <row r="1257" spans="1:25" x14ac:dyDescent="0.45">
      <c r="A1257">
        <v>9</v>
      </c>
      <c r="B1257">
        <v>9</v>
      </c>
      <c r="C1257" t="s">
        <v>411</v>
      </c>
      <c r="D1257" t="s">
        <v>410</v>
      </c>
      <c r="E1257">
        <v>10</v>
      </c>
      <c r="F1257">
        <v>2.75</v>
      </c>
      <c r="G1257">
        <v>85.338999999999999</v>
      </c>
      <c r="I1257">
        <v>85.338999999999999</v>
      </c>
      <c r="J1257" t="s">
        <v>403</v>
      </c>
      <c r="K1257">
        <v>1.7</v>
      </c>
      <c r="L1257">
        <v>-82.6</v>
      </c>
      <c r="N1257">
        <v>9</v>
      </c>
      <c r="O1257">
        <v>9</v>
      </c>
      <c r="P1257" t="s">
        <v>519</v>
      </c>
      <c r="Q1257" t="s">
        <v>410</v>
      </c>
      <c r="R1257">
        <v>10</v>
      </c>
      <c r="S1257">
        <v>2.77</v>
      </c>
      <c r="T1257">
        <v>170.404</v>
      </c>
      <c r="V1257">
        <v>170.404</v>
      </c>
      <c r="W1257" t="s">
        <v>403</v>
      </c>
      <c r="X1257">
        <v>3.9</v>
      </c>
      <c r="Y1257">
        <v>-60.6</v>
      </c>
    </row>
    <row r="1258" spans="1:25" x14ac:dyDescent="0.45">
      <c r="A1258">
        <v>10</v>
      </c>
      <c r="B1258">
        <v>10</v>
      </c>
      <c r="C1258" t="s">
        <v>413</v>
      </c>
      <c r="D1258" t="s">
        <v>414</v>
      </c>
      <c r="E1258">
        <v>10</v>
      </c>
      <c r="F1258">
        <v>2.72</v>
      </c>
      <c r="G1258">
        <v>373.41399999999999</v>
      </c>
      <c r="I1258">
        <v>373.41399999999999</v>
      </c>
      <c r="J1258" t="s">
        <v>403</v>
      </c>
      <c r="K1258">
        <v>7.6</v>
      </c>
      <c r="L1258">
        <v>-23.7</v>
      </c>
      <c r="N1258">
        <v>10</v>
      </c>
      <c r="O1258">
        <v>10</v>
      </c>
      <c r="P1258" t="s">
        <v>520</v>
      </c>
      <c r="Q1258" t="s">
        <v>414</v>
      </c>
      <c r="R1258">
        <v>10</v>
      </c>
      <c r="S1258">
        <v>2.81</v>
      </c>
      <c r="T1258">
        <v>453.88200000000001</v>
      </c>
      <c r="V1258">
        <v>453.88200000000001</v>
      </c>
      <c r="W1258" t="s">
        <v>403</v>
      </c>
      <c r="X1258">
        <v>10.5</v>
      </c>
      <c r="Y1258">
        <v>5</v>
      </c>
    </row>
    <row r="1259" spans="1:25" x14ac:dyDescent="0.45">
      <c r="A1259">
        <v>11</v>
      </c>
      <c r="B1259">
        <v>11</v>
      </c>
      <c r="C1259" t="s">
        <v>416</v>
      </c>
      <c r="D1259" t="s">
        <v>414</v>
      </c>
      <c r="E1259">
        <v>10</v>
      </c>
      <c r="F1259">
        <v>2.8</v>
      </c>
      <c r="G1259">
        <v>1263.191</v>
      </c>
      <c r="I1259">
        <v>1263.191</v>
      </c>
      <c r="J1259" t="s">
        <v>403</v>
      </c>
      <c r="K1259">
        <v>25.8</v>
      </c>
      <c r="L1259">
        <v>158</v>
      </c>
      <c r="N1259">
        <v>11</v>
      </c>
      <c r="O1259">
        <v>11</v>
      </c>
      <c r="P1259" t="s">
        <v>521</v>
      </c>
      <c r="Q1259" t="s">
        <v>414</v>
      </c>
      <c r="R1259">
        <v>10</v>
      </c>
      <c r="S1259">
        <v>2.81</v>
      </c>
      <c r="T1259">
        <v>718.03399999999999</v>
      </c>
      <c r="V1259">
        <v>718.03399999999999</v>
      </c>
      <c r="W1259" t="s">
        <v>403</v>
      </c>
      <c r="X1259">
        <v>16.600000000000001</v>
      </c>
      <c r="Y1259">
        <v>66.2</v>
      </c>
    </row>
    <row r="1260" spans="1:25" x14ac:dyDescent="0.45">
      <c r="A1260">
        <v>12</v>
      </c>
      <c r="B1260">
        <v>12</v>
      </c>
      <c r="C1260" t="s">
        <v>417</v>
      </c>
      <c r="D1260" t="s">
        <v>414</v>
      </c>
      <c r="E1260">
        <v>10</v>
      </c>
      <c r="F1260">
        <v>2.75</v>
      </c>
      <c r="G1260">
        <v>189.411</v>
      </c>
      <c r="I1260">
        <v>189.411</v>
      </c>
      <c r="J1260" t="s">
        <v>403</v>
      </c>
      <c r="K1260">
        <v>3.9</v>
      </c>
      <c r="L1260">
        <v>-61.3</v>
      </c>
      <c r="N1260">
        <v>12</v>
      </c>
      <c r="O1260">
        <v>12</v>
      </c>
      <c r="P1260" t="s">
        <v>522</v>
      </c>
      <c r="Q1260" t="s">
        <v>414</v>
      </c>
      <c r="R1260">
        <v>10</v>
      </c>
      <c r="S1260">
        <v>2.75</v>
      </c>
      <c r="T1260">
        <v>129.54599999999999</v>
      </c>
      <c r="V1260">
        <v>129.54599999999999</v>
      </c>
      <c r="W1260" t="s">
        <v>403</v>
      </c>
      <c r="X1260">
        <v>3</v>
      </c>
      <c r="Y1260">
        <v>-70</v>
      </c>
    </row>
    <row r="1261" spans="1:25" x14ac:dyDescent="0.45">
      <c r="A1261">
        <v>13</v>
      </c>
      <c r="B1261">
        <v>13</v>
      </c>
      <c r="C1261" t="s">
        <v>418</v>
      </c>
      <c r="D1261" t="s">
        <v>414</v>
      </c>
      <c r="E1261">
        <v>10</v>
      </c>
      <c r="F1261">
        <v>2.72</v>
      </c>
      <c r="G1261">
        <v>256.83199999999999</v>
      </c>
      <c r="I1261">
        <v>256.83199999999999</v>
      </c>
      <c r="J1261" t="s">
        <v>415</v>
      </c>
      <c r="K1261">
        <v>5.2</v>
      </c>
      <c r="L1261">
        <v>-47.5</v>
      </c>
      <c r="N1261">
        <v>13</v>
      </c>
      <c r="O1261">
        <v>13</v>
      </c>
      <c r="P1261" t="s">
        <v>523</v>
      </c>
      <c r="Q1261" t="s">
        <v>414</v>
      </c>
      <c r="R1261">
        <v>10</v>
      </c>
      <c r="S1261">
        <v>2.76</v>
      </c>
      <c r="T1261">
        <v>48.652999999999999</v>
      </c>
      <c r="V1261">
        <v>48.652999999999999</v>
      </c>
      <c r="W1261" t="s">
        <v>403</v>
      </c>
      <c r="X1261">
        <v>1.1000000000000001</v>
      </c>
      <c r="Y1261">
        <v>-88.7</v>
      </c>
    </row>
    <row r="1262" spans="1:25" x14ac:dyDescent="0.45">
      <c r="A1262">
        <v>14</v>
      </c>
      <c r="B1262">
        <v>14</v>
      </c>
      <c r="C1262" t="s">
        <v>419</v>
      </c>
      <c r="D1262" t="s">
        <v>414</v>
      </c>
      <c r="E1262">
        <v>10</v>
      </c>
      <c r="F1262">
        <v>2.65</v>
      </c>
      <c r="G1262">
        <v>1119.0440000000001</v>
      </c>
      <c r="I1262">
        <v>1119.0440000000001</v>
      </c>
      <c r="J1262" t="s">
        <v>403</v>
      </c>
      <c r="K1262">
        <v>22.9</v>
      </c>
      <c r="L1262">
        <v>128.6</v>
      </c>
      <c r="N1262">
        <v>14</v>
      </c>
      <c r="O1262">
        <v>14</v>
      </c>
      <c r="P1262" t="s">
        <v>524</v>
      </c>
      <c r="Q1262" t="s">
        <v>414</v>
      </c>
      <c r="R1262">
        <v>10</v>
      </c>
      <c r="S1262">
        <v>2.8</v>
      </c>
      <c r="T1262">
        <v>261.435</v>
      </c>
      <c r="V1262">
        <v>261.435</v>
      </c>
      <c r="W1262" t="s">
        <v>403</v>
      </c>
      <c r="X1262">
        <v>6</v>
      </c>
      <c r="Y1262">
        <v>-39.5</v>
      </c>
    </row>
    <row r="1263" spans="1:25" x14ac:dyDescent="0.45">
      <c r="A1263">
        <v>15</v>
      </c>
      <c r="B1263">
        <v>15</v>
      </c>
      <c r="C1263" t="s">
        <v>420</v>
      </c>
      <c r="D1263" t="s">
        <v>414</v>
      </c>
      <c r="E1263">
        <v>10</v>
      </c>
      <c r="F1263">
        <v>2.66</v>
      </c>
      <c r="G1263">
        <v>1394.28</v>
      </c>
      <c r="I1263">
        <v>1394.28</v>
      </c>
      <c r="J1263" t="s">
        <v>403</v>
      </c>
      <c r="K1263">
        <v>28.5</v>
      </c>
      <c r="L1263">
        <v>184.8</v>
      </c>
      <c r="N1263">
        <v>15</v>
      </c>
      <c r="O1263">
        <v>15</v>
      </c>
      <c r="P1263" t="s">
        <v>525</v>
      </c>
      <c r="Q1263" t="s">
        <v>414</v>
      </c>
      <c r="R1263">
        <v>10</v>
      </c>
      <c r="S1263">
        <v>2.73</v>
      </c>
      <c r="T1263">
        <v>143.65700000000001</v>
      </c>
      <c r="V1263">
        <v>143.65700000000001</v>
      </c>
      <c r="W1263" t="s">
        <v>403</v>
      </c>
      <c r="X1263">
        <v>3.3</v>
      </c>
      <c r="Y1263">
        <v>-66.8</v>
      </c>
    </row>
    <row r="1264" spans="1:25" x14ac:dyDescent="0.45">
      <c r="A1264">
        <v>16</v>
      </c>
      <c r="B1264">
        <v>16</v>
      </c>
      <c r="C1264" t="s">
        <v>421</v>
      </c>
      <c r="D1264" t="s">
        <v>414</v>
      </c>
      <c r="E1264">
        <v>10</v>
      </c>
      <c r="F1264">
        <v>2.81</v>
      </c>
      <c r="G1264">
        <v>570.76300000000003</v>
      </c>
      <c r="I1264">
        <v>570.76300000000003</v>
      </c>
      <c r="J1264" t="s">
        <v>403</v>
      </c>
      <c r="K1264">
        <v>11.7</v>
      </c>
      <c r="L1264">
        <v>16.600000000000001</v>
      </c>
      <c r="N1264">
        <v>16</v>
      </c>
      <c r="O1264">
        <v>16</v>
      </c>
      <c r="P1264" t="s">
        <v>526</v>
      </c>
      <c r="Q1264" t="s">
        <v>414</v>
      </c>
      <c r="R1264">
        <v>10</v>
      </c>
      <c r="S1264">
        <v>2.73</v>
      </c>
      <c r="T1264">
        <v>130.17400000000001</v>
      </c>
      <c r="V1264">
        <v>130.17400000000001</v>
      </c>
      <c r="W1264" t="s">
        <v>403</v>
      </c>
      <c r="X1264">
        <v>3</v>
      </c>
      <c r="Y1264">
        <v>-69.900000000000006</v>
      </c>
    </row>
    <row r="1265" spans="1:25" x14ac:dyDescent="0.45">
      <c r="A1265">
        <v>17</v>
      </c>
      <c r="B1265">
        <v>17</v>
      </c>
      <c r="C1265" t="s">
        <v>422</v>
      </c>
      <c r="D1265" t="s">
        <v>414</v>
      </c>
      <c r="E1265">
        <v>10</v>
      </c>
      <c r="F1265">
        <v>2.73</v>
      </c>
      <c r="G1265">
        <v>111.32899999999999</v>
      </c>
      <c r="I1265">
        <v>111.32899999999999</v>
      </c>
      <c r="J1265" t="s">
        <v>412</v>
      </c>
      <c r="K1265">
        <v>2.2999999999999998</v>
      </c>
      <c r="L1265">
        <v>-77.3</v>
      </c>
      <c r="N1265">
        <v>17</v>
      </c>
      <c r="O1265">
        <v>17</v>
      </c>
      <c r="P1265" t="s">
        <v>527</v>
      </c>
      <c r="Q1265" t="s">
        <v>414</v>
      </c>
      <c r="R1265">
        <v>10</v>
      </c>
      <c r="S1265">
        <v>2.72</v>
      </c>
      <c r="T1265">
        <v>8.532</v>
      </c>
      <c r="V1265">
        <v>8.532</v>
      </c>
      <c r="W1265" t="s">
        <v>401</v>
      </c>
      <c r="X1265">
        <v>0.2</v>
      </c>
      <c r="Y1265">
        <v>-98</v>
      </c>
    </row>
    <row r="1266" spans="1:25" x14ac:dyDescent="0.45">
      <c r="A1266">
        <v>18</v>
      </c>
      <c r="B1266">
        <v>18</v>
      </c>
      <c r="C1266" t="s">
        <v>423</v>
      </c>
      <c r="D1266" t="s">
        <v>414</v>
      </c>
      <c r="E1266">
        <v>10</v>
      </c>
      <c r="F1266">
        <v>2.68</v>
      </c>
      <c r="G1266">
        <v>1014.1369999999999</v>
      </c>
      <c r="I1266">
        <v>1014.1369999999999</v>
      </c>
      <c r="J1266" t="s">
        <v>403</v>
      </c>
      <c r="K1266">
        <v>20.7</v>
      </c>
      <c r="L1266">
        <v>107.1</v>
      </c>
      <c r="N1266">
        <v>18</v>
      </c>
      <c r="O1266">
        <v>18</v>
      </c>
      <c r="P1266" t="s">
        <v>528</v>
      </c>
      <c r="Q1266" t="s">
        <v>414</v>
      </c>
      <c r="R1266">
        <v>10</v>
      </c>
      <c r="S1266">
        <v>2.8</v>
      </c>
      <c r="T1266">
        <v>125.36199999999999</v>
      </c>
      <c r="V1266">
        <v>125.36199999999999</v>
      </c>
      <c r="W1266" t="s">
        <v>403</v>
      </c>
      <c r="X1266">
        <v>2.9</v>
      </c>
      <c r="Y1266">
        <v>-71</v>
      </c>
    </row>
    <row r="1267" spans="1:25" x14ac:dyDescent="0.45">
      <c r="A1267">
        <v>19</v>
      </c>
      <c r="B1267">
        <v>19</v>
      </c>
      <c r="C1267" t="s">
        <v>424</v>
      </c>
      <c r="D1267" t="s">
        <v>414</v>
      </c>
      <c r="E1267">
        <v>10</v>
      </c>
      <c r="F1267">
        <v>2.66</v>
      </c>
      <c r="G1267">
        <v>806.23900000000003</v>
      </c>
      <c r="I1267">
        <v>806.23900000000003</v>
      </c>
      <c r="J1267" t="s">
        <v>401</v>
      </c>
      <c r="K1267">
        <v>16.5</v>
      </c>
      <c r="L1267">
        <v>64.7</v>
      </c>
      <c r="N1267">
        <v>19</v>
      </c>
      <c r="O1267">
        <v>19</v>
      </c>
      <c r="P1267" t="s">
        <v>529</v>
      </c>
      <c r="Q1267" t="s">
        <v>414</v>
      </c>
      <c r="R1267">
        <v>10</v>
      </c>
      <c r="S1267">
        <v>2.84</v>
      </c>
      <c r="T1267">
        <v>717.68</v>
      </c>
      <c r="V1267">
        <v>717.68</v>
      </c>
      <c r="W1267" t="s">
        <v>401</v>
      </c>
      <c r="X1267">
        <v>16.600000000000001</v>
      </c>
      <c r="Y1267">
        <v>66.099999999999994</v>
      </c>
    </row>
    <row r="1268" spans="1:25" x14ac:dyDescent="0.45">
      <c r="A1268">
        <v>20</v>
      </c>
      <c r="B1268">
        <v>20</v>
      </c>
      <c r="C1268" t="s">
        <v>425</v>
      </c>
      <c r="D1268" t="s">
        <v>414</v>
      </c>
      <c r="E1268">
        <v>10</v>
      </c>
      <c r="F1268">
        <v>2.77</v>
      </c>
      <c r="G1268">
        <v>14.394</v>
      </c>
      <c r="I1268">
        <v>14.394</v>
      </c>
      <c r="J1268" t="s">
        <v>412</v>
      </c>
      <c r="K1268">
        <v>0.3</v>
      </c>
      <c r="L1268">
        <v>-97.1</v>
      </c>
      <c r="N1268">
        <v>20</v>
      </c>
      <c r="O1268">
        <v>20</v>
      </c>
      <c r="P1268" t="s">
        <v>530</v>
      </c>
      <c r="Q1268" t="s">
        <v>414</v>
      </c>
      <c r="R1268">
        <v>10</v>
      </c>
      <c r="S1268">
        <v>2.73</v>
      </c>
      <c r="T1268">
        <v>19.603999999999999</v>
      </c>
      <c r="V1268">
        <v>19.603999999999999</v>
      </c>
      <c r="W1268" t="s">
        <v>412</v>
      </c>
      <c r="X1268">
        <v>0.5</v>
      </c>
      <c r="Y1268">
        <v>-95.5</v>
      </c>
    </row>
    <row r="1269" spans="1:25" x14ac:dyDescent="0.45">
      <c r="A1269">
        <v>21</v>
      </c>
      <c r="B1269">
        <v>21</v>
      </c>
      <c r="C1269" t="s">
        <v>426</v>
      </c>
      <c r="D1269" t="s">
        <v>414</v>
      </c>
      <c r="E1269">
        <v>10</v>
      </c>
      <c r="F1269">
        <v>2.77</v>
      </c>
      <c r="G1269">
        <v>108.54</v>
      </c>
      <c r="I1269">
        <v>108.54</v>
      </c>
      <c r="J1269" t="s">
        <v>403</v>
      </c>
      <c r="K1269">
        <v>2.2000000000000002</v>
      </c>
      <c r="L1269">
        <v>-77.8</v>
      </c>
      <c r="N1269">
        <v>21</v>
      </c>
      <c r="O1269">
        <v>21</v>
      </c>
      <c r="P1269" t="s">
        <v>531</v>
      </c>
      <c r="Q1269" t="s">
        <v>414</v>
      </c>
      <c r="R1269">
        <v>10</v>
      </c>
      <c r="S1269">
        <v>2.71</v>
      </c>
      <c r="T1269">
        <v>319.29399999999998</v>
      </c>
      <c r="V1269">
        <v>319.29399999999998</v>
      </c>
      <c r="W1269" t="s">
        <v>412</v>
      </c>
      <c r="X1269">
        <v>7.4</v>
      </c>
      <c r="Y1269">
        <v>-26.1</v>
      </c>
    </row>
    <row r="1270" spans="1:25" x14ac:dyDescent="0.45">
      <c r="A1270">
        <v>22</v>
      </c>
      <c r="B1270">
        <v>22</v>
      </c>
      <c r="C1270" t="s">
        <v>427</v>
      </c>
      <c r="D1270" t="s">
        <v>414</v>
      </c>
      <c r="E1270">
        <v>10</v>
      </c>
      <c r="F1270">
        <v>2.72</v>
      </c>
      <c r="G1270">
        <v>200.078</v>
      </c>
      <c r="I1270">
        <v>200.078</v>
      </c>
      <c r="J1270" t="s">
        <v>412</v>
      </c>
      <c r="K1270">
        <v>4.0999999999999996</v>
      </c>
      <c r="L1270">
        <v>-59.1</v>
      </c>
      <c r="N1270">
        <v>22</v>
      </c>
      <c r="O1270">
        <v>22</v>
      </c>
      <c r="P1270" t="s">
        <v>532</v>
      </c>
      <c r="Q1270" t="s">
        <v>414</v>
      </c>
      <c r="R1270">
        <v>10</v>
      </c>
      <c r="S1270">
        <v>2.82</v>
      </c>
      <c r="T1270">
        <v>425.73</v>
      </c>
      <c r="V1270">
        <v>425.73</v>
      </c>
      <c r="W1270" t="s">
        <v>403</v>
      </c>
      <c r="X1270">
        <v>9.9</v>
      </c>
      <c r="Y1270">
        <v>-1.5</v>
      </c>
    </row>
    <row r="1271" spans="1:25" x14ac:dyDescent="0.45">
      <c r="A1271">
        <v>23</v>
      </c>
      <c r="B1271">
        <v>23</v>
      </c>
      <c r="C1271" t="s">
        <v>428</v>
      </c>
      <c r="D1271" t="s">
        <v>414</v>
      </c>
      <c r="E1271">
        <v>10</v>
      </c>
      <c r="F1271">
        <v>2.73</v>
      </c>
      <c r="G1271">
        <v>8.6340000000000003</v>
      </c>
      <c r="I1271">
        <v>8.6340000000000003</v>
      </c>
      <c r="J1271" t="s">
        <v>415</v>
      </c>
      <c r="K1271">
        <v>0.2</v>
      </c>
      <c r="L1271">
        <v>-98.2</v>
      </c>
      <c r="N1271">
        <v>23</v>
      </c>
      <c r="O1271">
        <v>23</v>
      </c>
      <c r="P1271" t="s">
        <v>533</v>
      </c>
      <c r="Q1271" t="s">
        <v>414</v>
      </c>
      <c r="R1271">
        <v>10</v>
      </c>
      <c r="S1271">
        <v>2.8</v>
      </c>
      <c r="T1271">
        <v>502.77199999999999</v>
      </c>
      <c r="V1271">
        <v>502.77199999999999</v>
      </c>
      <c r="W1271" t="s">
        <v>403</v>
      </c>
      <c r="X1271">
        <v>11.6</v>
      </c>
      <c r="Y1271">
        <v>16.3</v>
      </c>
    </row>
    <row r="1272" spans="1:25" x14ac:dyDescent="0.45">
      <c r="A1272">
        <v>24</v>
      </c>
      <c r="B1272">
        <v>24</v>
      </c>
      <c r="C1272" t="s">
        <v>429</v>
      </c>
      <c r="D1272" t="s">
        <v>414</v>
      </c>
      <c r="E1272">
        <v>10</v>
      </c>
      <c r="F1272">
        <v>2.75</v>
      </c>
      <c r="G1272">
        <v>251.09100000000001</v>
      </c>
      <c r="I1272">
        <v>251.09100000000001</v>
      </c>
      <c r="J1272" t="s">
        <v>403</v>
      </c>
      <c r="K1272">
        <v>5.0999999999999996</v>
      </c>
      <c r="L1272">
        <v>-48.7</v>
      </c>
      <c r="N1272">
        <v>24</v>
      </c>
      <c r="O1272">
        <v>24</v>
      </c>
      <c r="P1272" t="s">
        <v>534</v>
      </c>
      <c r="Q1272" t="s">
        <v>414</v>
      </c>
      <c r="R1272">
        <v>10</v>
      </c>
      <c r="S1272">
        <v>2.67</v>
      </c>
      <c r="T1272">
        <v>898.04399999999998</v>
      </c>
      <c r="V1272">
        <v>898.04399999999998</v>
      </c>
      <c r="W1272" t="s">
        <v>415</v>
      </c>
      <c r="X1272">
        <v>20.8</v>
      </c>
      <c r="Y1272">
        <v>107.8</v>
      </c>
    </row>
    <row r="1273" spans="1:25" x14ac:dyDescent="0.45">
      <c r="A1273">
        <v>25</v>
      </c>
      <c r="B1273">
        <v>25</v>
      </c>
      <c r="C1273" t="s">
        <v>430</v>
      </c>
      <c r="D1273" t="s">
        <v>414</v>
      </c>
      <c r="E1273">
        <v>10</v>
      </c>
      <c r="F1273">
        <v>2.76</v>
      </c>
      <c r="G1273">
        <v>261.81400000000002</v>
      </c>
      <c r="I1273">
        <v>261.81400000000002</v>
      </c>
      <c r="J1273" t="s">
        <v>403</v>
      </c>
      <c r="K1273">
        <v>5.3</v>
      </c>
      <c r="L1273">
        <v>-46.5</v>
      </c>
      <c r="N1273">
        <v>25</v>
      </c>
      <c r="O1273">
        <v>25</v>
      </c>
      <c r="P1273" t="s">
        <v>535</v>
      </c>
      <c r="Q1273" t="s">
        <v>414</v>
      </c>
      <c r="R1273">
        <v>10</v>
      </c>
      <c r="S1273">
        <v>2.82</v>
      </c>
      <c r="T1273">
        <v>203.81899999999999</v>
      </c>
      <c r="V1273">
        <v>203.81899999999999</v>
      </c>
      <c r="W1273" t="s">
        <v>403</v>
      </c>
      <c r="X1273">
        <v>4.7</v>
      </c>
      <c r="Y1273">
        <v>-52.8</v>
      </c>
    </row>
    <row r="1274" spans="1:25" x14ac:dyDescent="0.45">
      <c r="A1274">
        <v>26</v>
      </c>
      <c r="B1274">
        <v>26</v>
      </c>
      <c r="C1274" t="s">
        <v>431</v>
      </c>
      <c r="D1274" t="s">
        <v>414</v>
      </c>
      <c r="E1274">
        <v>10</v>
      </c>
      <c r="F1274">
        <v>2.76</v>
      </c>
      <c r="G1274">
        <v>390.17500000000001</v>
      </c>
      <c r="I1274">
        <v>390.17500000000001</v>
      </c>
      <c r="J1274" t="s">
        <v>403</v>
      </c>
      <c r="K1274">
        <v>8</v>
      </c>
      <c r="L1274">
        <v>-20.3</v>
      </c>
      <c r="N1274">
        <v>26</v>
      </c>
      <c r="O1274">
        <v>26</v>
      </c>
      <c r="P1274" t="s">
        <v>536</v>
      </c>
      <c r="Q1274" t="s">
        <v>414</v>
      </c>
      <c r="R1274">
        <v>10</v>
      </c>
      <c r="S1274">
        <v>2.84</v>
      </c>
      <c r="T1274">
        <v>450.786</v>
      </c>
      <c r="V1274">
        <v>450.786</v>
      </c>
      <c r="W1274" t="s">
        <v>403</v>
      </c>
      <c r="X1274">
        <v>10.4</v>
      </c>
      <c r="Y1274">
        <v>4.3</v>
      </c>
    </row>
    <row r="1275" spans="1:25" x14ac:dyDescent="0.45">
      <c r="A1275">
        <v>27</v>
      </c>
      <c r="B1275">
        <v>27</v>
      </c>
      <c r="C1275" t="s">
        <v>432</v>
      </c>
      <c r="D1275" t="s">
        <v>414</v>
      </c>
      <c r="E1275">
        <v>10</v>
      </c>
      <c r="F1275">
        <v>2.85</v>
      </c>
      <c r="G1275">
        <v>686.05499999999995</v>
      </c>
      <c r="I1275">
        <v>686.05499999999995</v>
      </c>
      <c r="J1275" t="s">
        <v>403</v>
      </c>
      <c r="K1275">
        <v>14</v>
      </c>
      <c r="L1275">
        <v>40.1</v>
      </c>
      <c r="N1275">
        <v>27</v>
      </c>
      <c r="O1275">
        <v>27</v>
      </c>
      <c r="P1275" t="s">
        <v>537</v>
      </c>
      <c r="Q1275" t="s">
        <v>414</v>
      </c>
      <c r="R1275">
        <v>10</v>
      </c>
      <c r="S1275">
        <v>2.75</v>
      </c>
      <c r="T1275">
        <v>109.26300000000001</v>
      </c>
      <c r="V1275">
        <v>109.26300000000001</v>
      </c>
      <c r="W1275" t="s">
        <v>403</v>
      </c>
      <c r="X1275">
        <v>2.5</v>
      </c>
      <c r="Y1275">
        <v>-74.7</v>
      </c>
    </row>
    <row r="1276" spans="1:25" x14ac:dyDescent="0.45">
      <c r="A1276">
        <v>28</v>
      </c>
      <c r="B1276">
        <v>28</v>
      </c>
      <c r="C1276" t="s">
        <v>433</v>
      </c>
      <c r="D1276" t="s">
        <v>414</v>
      </c>
      <c r="E1276">
        <v>10</v>
      </c>
      <c r="F1276">
        <v>2.73</v>
      </c>
      <c r="G1276">
        <v>76.462999999999994</v>
      </c>
      <c r="I1276">
        <v>76.462999999999994</v>
      </c>
      <c r="J1276" t="s">
        <v>403</v>
      </c>
      <c r="K1276">
        <v>1.6</v>
      </c>
      <c r="L1276">
        <v>-84.4</v>
      </c>
      <c r="N1276">
        <v>28</v>
      </c>
      <c r="O1276">
        <v>28</v>
      </c>
      <c r="P1276" t="s">
        <v>538</v>
      </c>
      <c r="Q1276" t="s">
        <v>414</v>
      </c>
      <c r="R1276">
        <v>10</v>
      </c>
      <c r="S1276">
        <v>2.82</v>
      </c>
      <c r="T1276">
        <v>502.791</v>
      </c>
      <c r="V1276">
        <v>502.791</v>
      </c>
      <c r="W1276" t="s">
        <v>403</v>
      </c>
      <c r="X1276">
        <v>11.6</v>
      </c>
      <c r="Y1276">
        <v>16.3</v>
      </c>
    </row>
    <row r="1277" spans="1:25" x14ac:dyDescent="0.45">
      <c r="A1277">
        <v>29</v>
      </c>
      <c r="B1277">
        <v>29</v>
      </c>
      <c r="C1277" t="s">
        <v>434</v>
      </c>
      <c r="D1277" t="s">
        <v>414</v>
      </c>
      <c r="E1277">
        <v>10</v>
      </c>
      <c r="F1277">
        <v>2.84</v>
      </c>
      <c r="G1277">
        <v>469.77699999999999</v>
      </c>
      <c r="I1277">
        <v>469.77699999999999</v>
      </c>
      <c r="J1277" t="s">
        <v>403</v>
      </c>
      <c r="K1277">
        <v>9.6</v>
      </c>
      <c r="L1277">
        <v>-4</v>
      </c>
      <c r="N1277">
        <v>29</v>
      </c>
      <c r="O1277">
        <v>29</v>
      </c>
      <c r="P1277" t="s">
        <v>539</v>
      </c>
      <c r="Q1277" t="s">
        <v>414</v>
      </c>
      <c r="R1277">
        <v>10</v>
      </c>
      <c r="S1277">
        <v>2.83</v>
      </c>
      <c r="T1277">
        <v>995.005</v>
      </c>
      <c r="V1277">
        <v>995.005</v>
      </c>
      <c r="W1277" t="s">
        <v>403</v>
      </c>
      <c r="X1277">
        <v>23</v>
      </c>
      <c r="Y1277">
        <v>130.19999999999999</v>
      </c>
    </row>
    <row r="1278" spans="1:25" x14ac:dyDescent="0.45">
      <c r="A1278">
        <v>30</v>
      </c>
      <c r="B1278">
        <v>30</v>
      </c>
      <c r="C1278" t="s">
        <v>435</v>
      </c>
      <c r="D1278" t="s">
        <v>414</v>
      </c>
      <c r="E1278">
        <v>10</v>
      </c>
      <c r="F1278">
        <v>2.73</v>
      </c>
      <c r="G1278">
        <v>351.46899999999999</v>
      </c>
      <c r="I1278">
        <v>351.46899999999999</v>
      </c>
      <c r="J1278" t="s">
        <v>403</v>
      </c>
      <c r="K1278">
        <v>7.2</v>
      </c>
      <c r="L1278">
        <v>-28.2</v>
      </c>
      <c r="N1278">
        <v>30</v>
      </c>
      <c r="O1278">
        <v>30</v>
      </c>
      <c r="P1278" t="s">
        <v>540</v>
      </c>
      <c r="Q1278" t="s">
        <v>414</v>
      </c>
      <c r="R1278">
        <v>10</v>
      </c>
      <c r="S1278">
        <v>2.83</v>
      </c>
      <c r="T1278">
        <v>997.64499999999998</v>
      </c>
      <c r="V1278">
        <v>997.64499999999998</v>
      </c>
      <c r="W1278" t="s">
        <v>403</v>
      </c>
      <c r="X1278">
        <v>23.1</v>
      </c>
      <c r="Y1278">
        <v>130.9</v>
      </c>
    </row>
    <row r="1279" spans="1:25" x14ac:dyDescent="0.45">
      <c r="A1279">
        <v>31</v>
      </c>
      <c r="B1279">
        <v>31</v>
      </c>
      <c r="C1279" t="s">
        <v>436</v>
      </c>
      <c r="D1279" t="s">
        <v>414</v>
      </c>
      <c r="E1279">
        <v>10</v>
      </c>
      <c r="F1279">
        <v>2.76</v>
      </c>
      <c r="G1279">
        <v>39.122999999999998</v>
      </c>
      <c r="I1279">
        <v>39.122999999999998</v>
      </c>
      <c r="J1279" t="s">
        <v>401</v>
      </c>
      <c r="K1279">
        <v>0.8</v>
      </c>
      <c r="L1279">
        <v>-92</v>
      </c>
      <c r="N1279">
        <v>31</v>
      </c>
      <c r="O1279">
        <v>31</v>
      </c>
      <c r="P1279" t="s">
        <v>541</v>
      </c>
      <c r="Q1279" t="s">
        <v>414</v>
      </c>
      <c r="R1279">
        <v>10</v>
      </c>
      <c r="S1279">
        <v>2.73</v>
      </c>
      <c r="T1279">
        <v>182.54499999999999</v>
      </c>
      <c r="V1279">
        <v>182.54499999999999</v>
      </c>
      <c r="W1279" t="s">
        <v>403</v>
      </c>
      <c r="X1279">
        <v>4.2</v>
      </c>
      <c r="Y1279">
        <v>-57.8</v>
      </c>
    </row>
    <row r="1280" spans="1:25" x14ac:dyDescent="0.45">
      <c r="A1280">
        <v>32</v>
      </c>
      <c r="B1280">
        <v>32</v>
      </c>
      <c r="C1280" t="s">
        <v>437</v>
      </c>
      <c r="D1280" t="s">
        <v>414</v>
      </c>
      <c r="E1280">
        <v>10</v>
      </c>
      <c r="F1280">
        <v>2.78</v>
      </c>
      <c r="G1280">
        <v>115.595</v>
      </c>
      <c r="I1280">
        <v>115.595</v>
      </c>
      <c r="J1280" t="s">
        <v>403</v>
      </c>
      <c r="K1280">
        <v>2.4</v>
      </c>
      <c r="L1280">
        <v>-76.400000000000006</v>
      </c>
      <c r="N1280">
        <v>32</v>
      </c>
      <c r="O1280">
        <v>32</v>
      </c>
      <c r="P1280" t="s">
        <v>542</v>
      </c>
      <c r="Q1280" t="s">
        <v>414</v>
      </c>
      <c r="R1280">
        <v>10</v>
      </c>
      <c r="S1280">
        <v>2.81</v>
      </c>
      <c r="T1280">
        <v>529.07399999999996</v>
      </c>
      <c r="V1280">
        <v>529.07399999999996</v>
      </c>
      <c r="W1280" t="s">
        <v>403</v>
      </c>
      <c r="X1280">
        <v>12.2</v>
      </c>
      <c r="Y1280">
        <v>22.4</v>
      </c>
    </row>
    <row r="1281" spans="1:25" x14ac:dyDescent="0.45">
      <c r="A1281">
        <v>33</v>
      </c>
      <c r="B1281">
        <v>33</v>
      </c>
      <c r="C1281" t="s">
        <v>438</v>
      </c>
      <c r="D1281" t="s">
        <v>414</v>
      </c>
      <c r="E1281">
        <v>10</v>
      </c>
      <c r="F1281">
        <v>2.67</v>
      </c>
      <c r="G1281">
        <v>1303.96</v>
      </c>
      <c r="I1281">
        <v>1303.96</v>
      </c>
      <c r="J1281" t="s">
        <v>401</v>
      </c>
      <c r="K1281">
        <v>26.6</v>
      </c>
      <c r="L1281">
        <v>166.3</v>
      </c>
      <c r="N1281">
        <v>33</v>
      </c>
      <c r="O1281">
        <v>33</v>
      </c>
      <c r="P1281" t="s">
        <v>543</v>
      </c>
      <c r="Q1281" t="s">
        <v>414</v>
      </c>
      <c r="R1281">
        <v>10</v>
      </c>
      <c r="S1281">
        <v>2.78</v>
      </c>
      <c r="T1281">
        <v>42.143999999999998</v>
      </c>
      <c r="V1281">
        <v>42.143999999999998</v>
      </c>
      <c r="W1281" t="s">
        <v>403</v>
      </c>
      <c r="X1281">
        <v>1</v>
      </c>
      <c r="Y1281">
        <v>-90.2</v>
      </c>
    </row>
    <row r="1282" spans="1:25" x14ac:dyDescent="0.45">
      <c r="A1282">
        <v>34</v>
      </c>
      <c r="B1282">
        <v>34</v>
      </c>
      <c r="C1282" t="s">
        <v>439</v>
      </c>
      <c r="D1282" t="s">
        <v>414</v>
      </c>
      <c r="E1282">
        <v>10</v>
      </c>
      <c r="F1282">
        <v>2.84</v>
      </c>
      <c r="G1282">
        <v>454.726</v>
      </c>
      <c r="I1282">
        <v>454.726</v>
      </c>
      <c r="J1282" t="s">
        <v>401</v>
      </c>
      <c r="K1282">
        <v>9.3000000000000007</v>
      </c>
      <c r="L1282">
        <v>-7.1</v>
      </c>
      <c r="N1282">
        <v>34</v>
      </c>
      <c r="O1282">
        <v>34</v>
      </c>
      <c r="P1282" t="s">
        <v>544</v>
      </c>
      <c r="Q1282" t="s">
        <v>414</v>
      </c>
      <c r="R1282">
        <v>10</v>
      </c>
      <c r="S1282">
        <v>2.68</v>
      </c>
      <c r="T1282">
        <v>1144.3779999999999</v>
      </c>
      <c r="V1282">
        <v>1144.3779999999999</v>
      </c>
      <c r="W1282" t="s">
        <v>401</v>
      </c>
      <c r="X1282">
        <v>26.5</v>
      </c>
      <c r="Y1282">
        <v>164.8</v>
      </c>
    </row>
    <row r="1283" spans="1:25" x14ac:dyDescent="0.45">
      <c r="A1283">
        <v>35</v>
      </c>
      <c r="B1283">
        <v>35</v>
      </c>
      <c r="C1283" t="s">
        <v>440</v>
      </c>
      <c r="D1283" t="s">
        <v>414</v>
      </c>
      <c r="E1283">
        <v>10</v>
      </c>
      <c r="F1283">
        <v>2.82</v>
      </c>
      <c r="G1283">
        <v>476.95299999999997</v>
      </c>
      <c r="I1283">
        <v>476.95299999999997</v>
      </c>
      <c r="J1283" t="s">
        <v>403</v>
      </c>
      <c r="K1283">
        <v>9.6999999999999993</v>
      </c>
      <c r="L1283">
        <v>-2.6</v>
      </c>
      <c r="N1283">
        <v>35</v>
      </c>
      <c r="O1283">
        <v>35</v>
      </c>
      <c r="P1283" t="s">
        <v>545</v>
      </c>
      <c r="Q1283" t="s">
        <v>414</v>
      </c>
      <c r="R1283">
        <v>10</v>
      </c>
      <c r="S1283">
        <v>2.81</v>
      </c>
      <c r="T1283">
        <v>120.276</v>
      </c>
      <c r="V1283">
        <v>120.276</v>
      </c>
      <c r="W1283" t="s">
        <v>401</v>
      </c>
      <c r="X1283">
        <v>2.8</v>
      </c>
      <c r="Y1283">
        <v>-72.2</v>
      </c>
    </row>
    <row r="1284" spans="1:25" x14ac:dyDescent="0.45">
      <c r="A1284">
        <v>36</v>
      </c>
      <c r="B1284">
        <v>36</v>
      </c>
      <c r="C1284" t="s">
        <v>441</v>
      </c>
      <c r="D1284" t="s">
        <v>414</v>
      </c>
      <c r="E1284">
        <v>10</v>
      </c>
      <c r="F1284">
        <v>2.68</v>
      </c>
      <c r="G1284">
        <v>1730.1780000000001</v>
      </c>
      <c r="I1284">
        <v>1730.1780000000001</v>
      </c>
      <c r="J1284" t="s">
        <v>403</v>
      </c>
      <c r="K1284">
        <v>35.299999999999997</v>
      </c>
      <c r="L1284">
        <v>253.4</v>
      </c>
      <c r="N1284">
        <v>36</v>
      </c>
      <c r="O1284">
        <v>36</v>
      </c>
      <c r="P1284" t="s">
        <v>546</v>
      </c>
      <c r="Q1284" t="s">
        <v>414</v>
      </c>
      <c r="R1284">
        <v>10</v>
      </c>
      <c r="S1284">
        <v>2.73</v>
      </c>
      <c r="T1284">
        <v>221.55600000000001</v>
      </c>
      <c r="V1284">
        <v>221.55600000000001</v>
      </c>
      <c r="W1284" t="s">
        <v>403</v>
      </c>
      <c r="X1284">
        <v>5.0999999999999996</v>
      </c>
      <c r="Y1284">
        <v>-48.7</v>
      </c>
    </row>
    <row r="1285" spans="1:25" x14ac:dyDescent="0.45">
      <c r="A1285">
        <v>37</v>
      </c>
      <c r="B1285">
        <v>37</v>
      </c>
      <c r="C1285" t="s">
        <v>442</v>
      </c>
      <c r="D1285" t="s">
        <v>414</v>
      </c>
      <c r="E1285">
        <v>10</v>
      </c>
      <c r="F1285">
        <v>2.75</v>
      </c>
      <c r="G1285">
        <v>95.073999999999998</v>
      </c>
      <c r="I1285">
        <v>95.073999999999998</v>
      </c>
      <c r="J1285" t="s">
        <v>403</v>
      </c>
      <c r="K1285">
        <v>1.9</v>
      </c>
      <c r="L1285">
        <v>-80.599999999999994</v>
      </c>
      <c r="N1285">
        <v>37</v>
      </c>
      <c r="O1285">
        <v>37</v>
      </c>
      <c r="P1285" t="s">
        <v>547</v>
      </c>
      <c r="Q1285" t="s">
        <v>414</v>
      </c>
      <c r="R1285">
        <v>10</v>
      </c>
      <c r="S1285">
        <v>2.82</v>
      </c>
      <c r="T1285">
        <v>622.39700000000005</v>
      </c>
      <c r="V1285">
        <v>622.39700000000005</v>
      </c>
      <c r="W1285" t="s">
        <v>403</v>
      </c>
      <c r="X1285">
        <v>14.4</v>
      </c>
      <c r="Y1285">
        <v>44</v>
      </c>
    </row>
    <row r="1286" spans="1:25" x14ac:dyDescent="0.45">
      <c r="A1286">
        <v>38</v>
      </c>
      <c r="B1286">
        <v>38</v>
      </c>
      <c r="C1286" t="s">
        <v>443</v>
      </c>
      <c r="D1286" t="s">
        <v>414</v>
      </c>
      <c r="E1286">
        <v>10</v>
      </c>
      <c r="F1286">
        <v>2.82</v>
      </c>
      <c r="G1286">
        <v>399.83499999999998</v>
      </c>
      <c r="I1286">
        <v>399.83499999999998</v>
      </c>
      <c r="J1286" t="s">
        <v>403</v>
      </c>
      <c r="K1286">
        <v>8.1999999999999993</v>
      </c>
      <c r="L1286">
        <v>-18.3</v>
      </c>
      <c r="N1286">
        <v>38</v>
      </c>
      <c r="O1286">
        <v>38</v>
      </c>
      <c r="P1286" t="s">
        <v>548</v>
      </c>
      <c r="Q1286" t="s">
        <v>414</v>
      </c>
      <c r="R1286">
        <v>10</v>
      </c>
      <c r="S1286">
        <v>2.68</v>
      </c>
      <c r="T1286">
        <v>726.1</v>
      </c>
      <c r="V1286">
        <v>726.1</v>
      </c>
      <c r="W1286" t="s">
        <v>401</v>
      </c>
      <c r="X1286">
        <v>16.8</v>
      </c>
      <c r="Y1286">
        <v>68</v>
      </c>
    </row>
    <row r="1287" spans="1:25" x14ac:dyDescent="0.45">
      <c r="A1287">
        <v>39</v>
      </c>
      <c r="B1287">
        <v>39</v>
      </c>
      <c r="C1287" t="s">
        <v>444</v>
      </c>
      <c r="D1287" t="s">
        <v>414</v>
      </c>
      <c r="E1287">
        <v>10</v>
      </c>
      <c r="F1287">
        <v>2.8</v>
      </c>
      <c r="G1287">
        <v>485.185</v>
      </c>
      <c r="I1287">
        <v>485.185</v>
      </c>
      <c r="J1287" t="s">
        <v>412</v>
      </c>
      <c r="K1287">
        <v>9.9</v>
      </c>
      <c r="L1287">
        <v>-0.9</v>
      </c>
      <c r="N1287">
        <v>39</v>
      </c>
      <c r="O1287">
        <v>39</v>
      </c>
      <c r="P1287" t="s">
        <v>549</v>
      </c>
      <c r="Q1287" t="s">
        <v>414</v>
      </c>
      <c r="R1287">
        <v>10</v>
      </c>
      <c r="S1287">
        <v>2.75</v>
      </c>
      <c r="T1287">
        <v>112.767</v>
      </c>
      <c r="V1287">
        <v>112.767</v>
      </c>
      <c r="W1287" t="s">
        <v>403</v>
      </c>
      <c r="X1287">
        <v>2.6</v>
      </c>
      <c r="Y1287">
        <v>-73.900000000000006</v>
      </c>
    </row>
    <row r="1288" spans="1:25" x14ac:dyDescent="0.45">
      <c r="A1288">
        <v>40</v>
      </c>
      <c r="B1288">
        <v>40</v>
      </c>
      <c r="C1288" t="s">
        <v>445</v>
      </c>
      <c r="D1288" t="s">
        <v>414</v>
      </c>
      <c r="E1288">
        <v>10</v>
      </c>
      <c r="F1288">
        <v>2.83</v>
      </c>
      <c r="G1288">
        <v>661.95299999999997</v>
      </c>
      <c r="I1288">
        <v>661.95299999999997</v>
      </c>
      <c r="J1288" t="s">
        <v>403</v>
      </c>
      <c r="K1288">
        <v>13.5</v>
      </c>
      <c r="L1288">
        <v>35.200000000000003</v>
      </c>
      <c r="N1288">
        <v>40</v>
      </c>
      <c r="O1288">
        <v>40</v>
      </c>
      <c r="P1288" t="s">
        <v>550</v>
      </c>
      <c r="Q1288" t="s">
        <v>414</v>
      </c>
      <c r="R1288">
        <v>10</v>
      </c>
      <c r="S1288">
        <v>2.68</v>
      </c>
      <c r="T1288">
        <v>532.33299999999997</v>
      </c>
      <c r="V1288">
        <v>532.33299999999997</v>
      </c>
      <c r="W1288" t="s">
        <v>412</v>
      </c>
      <c r="X1288">
        <v>12.3</v>
      </c>
      <c r="Y1288">
        <v>23.2</v>
      </c>
    </row>
    <row r="1289" spans="1:25" x14ac:dyDescent="0.45">
      <c r="A1289">
        <v>41</v>
      </c>
      <c r="B1289">
        <v>41</v>
      </c>
      <c r="C1289" t="s">
        <v>446</v>
      </c>
      <c r="D1289" t="s">
        <v>414</v>
      </c>
      <c r="E1289">
        <v>10</v>
      </c>
      <c r="F1289">
        <v>2.67</v>
      </c>
      <c r="G1289">
        <v>791.91200000000003</v>
      </c>
      <c r="I1289">
        <v>791.91200000000003</v>
      </c>
      <c r="J1289" t="s">
        <v>401</v>
      </c>
      <c r="K1289">
        <v>16.2</v>
      </c>
      <c r="L1289">
        <v>61.8</v>
      </c>
      <c r="N1289">
        <v>41</v>
      </c>
      <c r="O1289">
        <v>41</v>
      </c>
      <c r="P1289" t="s">
        <v>551</v>
      </c>
      <c r="Q1289" t="s">
        <v>414</v>
      </c>
      <c r="R1289">
        <v>10</v>
      </c>
      <c r="S1289">
        <v>2.69</v>
      </c>
      <c r="T1289">
        <v>1018.571</v>
      </c>
      <c r="V1289">
        <v>1018.571</v>
      </c>
      <c r="W1289" t="s">
        <v>403</v>
      </c>
      <c r="X1289">
        <v>23.6</v>
      </c>
      <c r="Y1289">
        <v>135.69999999999999</v>
      </c>
    </row>
    <row r="1290" spans="1:25" x14ac:dyDescent="0.45">
      <c r="A1290">
        <v>42</v>
      </c>
      <c r="B1290">
        <v>42</v>
      </c>
      <c r="C1290" t="s">
        <v>447</v>
      </c>
      <c r="D1290" t="s">
        <v>414</v>
      </c>
      <c r="E1290">
        <v>10</v>
      </c>
      <c r="F1290">
        <v>2.8</v>
      </c>
      <c r="G1290">
        <v>316.28199999999998</v>
      </c>
      <c r="I1290">
        <v>316.28199999999998</v>
      </c>
      <c r="J1290" t="s">
        <v>403</v>
      </c>
      <c r="K1290">
        <v>6.5</v>
      </c>
      <c r="L1290">
        <v>-35.4</v>
      </c>
      <c r="N1290">
        <v>42</v>
      </c>
      <c r="O1290">
        <v>42</v>
      </c>
      <c r="P1290" t="s">
        <v>552</v>
      </c>
      <c r="Q1290" t="s">
        <v>414</v>
      </c>
      <c r="R1290">
        <v>10</v>
      </c>
      <c r="S1290">
        <v>2.8</v>
      </c>
      <c r="T1290">
        <v>497.90899999999999</v>
      </c>
      <c r="V1290">
        <v>497.90899999999999</v>
      </c>
      <c r="W1290" t="s">
        <v>403</v>
      </c>
      <c r="X1290">
        <v>11.5</v>
      </c>
      <c r="Y1290">
        <v>15.2</v>
      </c>
    </row>
    <row r="1291" spans="1:25" x14ac:dyDescent="0.45">
      <c r="A1291">
        <v>43</v>
      </c>
      <c r="B1291">
        <v>43</v>
      </c>
      <c r="C1291" t="s">
        <v>448</v>
      </c>
      <c r="D1291" t="s">
        <v>414</v>
      </c>
      <c r="E1291">
        <v>10</v>
      </c>
      <c r="F1291">
        <v>2.76</v>
      </c>
      <c r="G1291">
        <v>220.60400000000001</v>
      </c>
      <c r="I1291">
        <v>220.60400000000001</v>
      </c>
      <c r="J1291" t="s">
        <v>403</v>
      </c>
      <c r="K1291">
        <v>4.5</v>
      </c>
      <c r="L1291">
        <v>-54.9</v>
      </c>
      <c r="N1291">
        <v>43</v>
      </c>
      <c r="O1291">
        <v>43</v>
      </c>
      <c r="P1291" t="s">
        <v>553</v>
      </c>
      <c r="Q1291" t="s">
        <v>414</v>
      </c>
      <c r="R1291">
        <v>10</v>
      </c>
      <c r="S1291">
        <v>2.82</v>
      </c>
      <c r="T1291">
        <v>478.36200000000002</v>
      </c>
      <c r="V1291">
        <v>478.36200000000002</v>
      </c>
      <c r="W1291" t="s">
        <v>403</v>
      </c>
      <c r="X1291">
        <v>11.1</v>
      </c>
      <c r="Y1291">
        <v>10.7</v>
      </c>
    </row>
    <row r="1292" spans="1:25" x14ac:dyDescent="0.45">
      <c r="A1292">
        <v>44</v>
      </c>
      <c r="B1292">
        <v>44</v>
      </c>
      <c r="C1292" t="s">
        <v>449</v>
      </c>
      <c r="D1292" t="s">
        <v>414</v>
      </c>
      <c r="E1292">
        <v>10</v>
      </c>
      <c r="F1292">
        <v>2.68</v>
      </c>
      <c r="G1292">
        <v>1359.009</v>
      </c>
      <c r="I1292">
        <v>1359.009</v>
      </c>
      <c r="J1292" t="s">
        <v>401</v>
      </c>
      <c r="K1292">
        <v>27.8</v>
      </c>
      <c r="L1292">
        <v>177.6</v>
      </c>
      <c r="N1292">
        <v>44</v>
      </c>
      <c r="O1292">
        <v>44</v>
      </c>
      <c r="P1292" t="s">
        <v>554</v>
      </c>
      <c r="Q1292" t="s">
        <v>414</v>
      </c>
      <c r="R1292">
        <v>10</v>
      </c>
      <c r="S1292">
        <v>2.68</v>
      </c>
      <c r="T1292">
        <v>1000.434</v>
      </c>
      <c r="V1292">
        <v>1000.434</v>
      </c>
      <c r="W1292" t="s">
        <v>403</v>
      </c>
      <c r="X1292">
        <v>23.2</v>
      </c>
      <c r="Y1292">
        <v>131.5</v>
      </c>
    </row>
    <row r="1293" spans="1:25" x14ac:dyDescent="0.45">
      <c r="A1293">
        <v>45</v>
      </c>
      <c r="B1293">
        <v>45</v>
      </c>
      <c r="C1293" t="s">
        <v>450</v>
      </c>
      <c r="D1293" t="s">
        <v>414</v>
      </c>
      <c r="E1293">
        <v>10</v>
      </c>
      <c r="F1293">
        <v>2.84</v>
      </c>
      <c r="G1293">
        <v>886.93700000000001</v>
      </c>
      <c r="I1293">
        <v>886.93700000000001</v>
      </c>
      <c r="J1293" t="s">
        <v>401</v>
      </c>
      <c r="K1293">
        <v>18.100000000000001</v>
      </c>
      <c r="L1293">
        <v>81.2</v>
      </c>
      <c r="N1293">
        <v>45</v>
      </c>
      <c r="O1293">
        <v>45</v>
      </c>
      <c r="P1293" t="s">
        <v>555</v>
      </c>
      <c r="Q1293" t="s">
        <v>414</v>
      </c>
      <c r="R1293">
        <v>10</v>
      </c>
      <c r="S1293">
        <v>2.82</v>
      </c>
      <c r="T1293">
        <v>448.33100000000002</v>
      </c>
      <c r="V1293">
        <v>448.33100000000002</v>
      </c>
      <c r="W1293" t="s">
        <v>403</v>
      </c>
      <c r="X1293">
        <v>10.4</v>
      </c>
      <c r="Y1293">
        <v>3.7</v>
      </c>
    </row>
    <row r="1294" spans="1:25" x14ac:dyDescent="0.45">
      <c r="A1294">
        <v>46</v>
      </c>
      <c r="B1294">
        <v>46</v>
      </c>
      <c r="C1294" t="s">
        <v>451</v>
      </c>
      <c r="D1294" t="s">
        <v>414</v>
      </c>
      <c r="E1294">
        <v>10</v>
      </c>
      <c r="F1294">
        <v>2.72</v>
      </c>
      <c r="G1294">
        <v>80.168000000000006</v>
      </c>
      <c r="I1294">
        <v>80.168000000000006</v>
      </c>
      <c r="J1294" t="s">
        <v>412</v>
      </c>
      <c r="K1294">
        <v>1.6</v>
      </c>
      <c r="L1294">
        <v>-83.6</v>
      </c>
      <c r="N1294">
        <v>46</v>
      </c>
      <c r="O1294">
        <v>46</v>
      </c>
      <c r="P1294" t="s">
        <v>556</v>
      </c>
      <c r="Q1294" t="s">
        <v>414</v>
      </c>
      <c r="R1294">
        <v>10</v>
      </c>
      <c r="S1294">
        <v>2.68</v>
      </c>
      <c r="T1294">
        <v>984.202</v>
      </c>
      <c r="V1294">
        <v>984.202</v>
      </c>
      <c r="W1294" t="s">
        <v>401</v>
      </c>
      <c r="X1294">
        <v>22.8</v>
      </c>
      <c r="Y1294">
        <v>127.7</v>
      </c>
    </row>
    <row r="1295" spans="1:25" x14ac:dyDescent="0.45">
      <c r="A1295">
        <v>47</v>
      </c>
      <c r="B1295">
        <v>47</v>
      </c>
      <c r="C1295" t="s">
        <v>452</v>
      </c>
      <c r="D1295" t="s">
        <v>414</v>
      </c>
      <c r="E1295">
        <v>10</v>
      </c>
      <c r="F1295">
        <v>2.73</v>
      </c>
      <c r="G1295">
        <v>35.128999999999998</v>
      </c>
      <c r="I1295">
        <v>35.128999999999998</v>
      </c>
      <c r="J1295" t="s">
        <v>403</v>
      </c>
      <c r="K1295">
        <v>0.7</v>
      </c>
      <c r="L1295">
        <v>-92.8</v>
      </c>
      <c r="N1295">
        <v>47</v>
      </c>
      <c r="O1295">
        <v>47</v>
      </c>
      <c r="P1295" t="s">
        <v>557</v>
      </c>
      <c r="Q1295" t="s">
        <v>414</v>
      </c>
      <c r="R1295">
        <v>10</v>
      </c>
      <c r="S1295">
        <v>2.79</v>
      </c>
      <c r="T1295">
        <v>120.693</v>
      </c>
      <c r="V1295">
        <v>120.693</v>
      </c>
      <c r="W1295" t="s">
        <v>403</v>
      </c>
      <c r="X1295">
        <v>2.8</v>
      </c>
      <c r="Y1295">
        <v>-72.099999999999994</v>
      </c>
    </row>
    <row r="1296" spans="1:25" x14ac:dyDescent="0.45">
      <c r="A1296">
        <v>48</v>
      </c>
      <c r="B1296">
        <v>48</v>
      </c>
      <c r="C1296" t="s">
        <v>453</v>
      </c>
      <c r="D1296" t="s">
        <v>414</v>
      </c>
      <c r="E1296">
        <v>10</v>
      </c>
      <c r="F1296">
        <v>2.73</v>
      </c>
      <c r="G1296">
        <v>238.578</v>
      </c>
      <c r="I1296">
        <v>238.578</v>
      </c>
      <c r="J1296" t="s">
        <v>403</v>
      </c>
      <c r="K1296">
        <v>4.9000000000000004</v>
      </c>
      <c r="L1296">
        <v>-51.3</v>
      </c>
      <c r="N1296">
        <v>48</v>
      </c>
      <c r="O1296">
        <v>48</v>
      </c>
      <c r="P1296" t="s">
        <v>558</v>
      </c>
      <c r="Q1296" t="s">
        <v>414</v>
      </c>
      <c r="R1296">
        <v>10</v>
      </c>
      <c r="S1296">
        <v>2.8</v>
      </c>
      <c r="T1296">
        <v>188.249</v>
      </c>
      <c r="V1296">
        <v>188.249</v>
      </c>
      <c r="W1296" t="s">
        <v>403</v>
      </c>
      <c r="X1296">
        <v>4.4000000000000004</v>
      </c>
      <c r="Y1296">
        <v>-56.4</v>
      </c>
    </row>
    <row r="1297" spans="1:25" x14ac:dyDescent="0.45">
      <c r="A1297">
        <v>49</v>
      </c>
      <c r="B1297">
        <v>49</v>
      </c>
      <c r="C1297" t="s">
        <v>454</v>
      </c>
      <c r="D1297" t="s">
        <v>414</v>
      </c>
      <c r="E1297">
        <v>10</v>
      </c>
      <c r="F1297">
        <v>2.76</v>
      </c>
      <c r="G1297">
        <v>336.21699999999998</v>
      </c>
      <c r="I1297">
        <v>336.21699999999998</v>
      </c>
      <c r="J1297" t="s">
        <v>403</v>
      </c>
      <c r="K1297">
        <v>6.9</v>
      </c>
      <c r="L1297">
        <v>-31.3</v>
      </c>
      <c r="N1297">
        <v>49</v>
      </c>
      <c r="O1297">
        <v>49</v>
      </c>
      <c r="P1297" t="s">
        <v>559</v>
      </c>
      <c r="Q1297" t="s">
        <v>414</v>
      </c>
      <c r="R1297">
        <v>10</v>
      </c>
      <c r="S1297">
        <v>2.75</v>
      </c>
      <c r="T1297">
        <v>206.399</v>
      </c>
      <c r="V1297">
        <v>206.399</v>
      </c>
      <c r="W1297" t="s">
        <v>403</v>
      </c>
      <c r="X1297">
        <v>4.8</v>
      </c>
      <c r="Y1297">
        <v>-52.2</v>
      </c>
    </row>
    <row r="1298" spans="1:25" x14ac:dyDescent="0.45">
      <c r="A1298">
        <v>50</v>
      </c>
      <c r="B1298">
        <v>50</v>
      </c>
      <c r="C1298" t="s">
        <v>455</v>
      </c>
      <c r="D1298" t="s">
        <v>414</v>
      </c>
      <c r="E1298">
        <v>10</v>
      </c>
      <c r="F1298">
        <v>2.78</v>
      </c>
      <c r="G1298">
        <v>154.61600000000001</v>
      </c>
      <c r="I1298">
        <v>154.61600000000001</v>
      </c>
      <c r="J1298" t="s">
        <v>403</v>
      </c>
      <c r="K1298">
        <v>3.2</v>
      </c>
      <c r="L1298">
        <v>-68.400000000000006</v>
      </c>
      <c r="N1298">
        <v>50</v>
      </c>
      <c r="O1298">
        <v>50</v>
      </c>
      <c r="P1298" t="s">
        <v>560</v>
      </c>
      <c r="Q1298" t="s">
        <v>414</v>
      </c>
      <c r="R1298">
        <v>10</v>
      </c>
      <c r="S1298">
        <v>2.69</v>
      </c>
      <c r="T1298">
        <v>932.13599999999997</v>
      </c>
      <c r="V1298">
        <v>932.13599999999997</v>
      </c>
      <c r="W1298" t="s">
        <v>403</v>
      </c>
      <c r="X1298">
        <v>21.6</v>
      </c>
      <c r="Y1298">
        <v>115.7</v>
      </c>
    </row>
    <row r="1299" spans="1:25" x14ac:dyDescent="0.45">
      <c r="A1299">
        <v>51</v>
      </c>
      <c r="B1299">
        <v>51</v>
      </c>
      <c r="C1299" t="s">
        <v>456</v>
      </c>
      <c r="D1299" t="s">
        <v>414</v>
      </c>
      <c r="E1299">
        <v>10</v>
      </c>
      <c r="F1299">
        <v>2.8</v>
      </c>
      <c r="G1299">
        <v>54.941000000000003</v>
      </c>
      <c r="I1299">
        <v>54.941000000000003</v>
      </c>
      <c r="J1299" t="s">
        <v>403</v>
      </c>
      <c r="K1299">
        <v>1.1000000000000001</v>
      </c>
      <c r="L1299">
        <v>-88.8</v>
      </c>
      <c r="N1299">
        <v>51</v>
      </c>
      <c r="O1299">
        <v>51</v>
      </c>
      <c r="P1299" t="s">
        <v>561</v>
      </c>
      <c r="Q1299" t="s">
        <v>414</v>
      </c>
      <c r="R1299">
        <v>10</v>
      </c>
      <c r="S1299">
        <v>2.75</v>
      </c>
      <c r="T1299">
        <v>98.522000000000006</v>
      </c>
      <c r="V1299">
        <v>98.522000000000006</v>
      </c>
      <c r="W1299" t="s">
        <v>403</v>
      </c>
      <c r="X1299">
        <v>2.2999999999999998</v>
      </c>
      <c r="Y1299">
        <v>-77.2</v>
      </c>
    </row>
    <row r="1300" spans="1:25" x14ac:dyDescent="0.45">
      <c r="A1300">
        <v>52</v>
      </c>
      <c r="B1300">
        <v>52</v>
      </c>
      <c r="C1300" t="s">
        <v>457</v>
      </c>
      <c r="D1300" t="s">
        <v>414</v>
      </c>
      <c r="E1300">
        <v>10</v>
      </c>
      <c r="F1300">
        <v>2.75</v>
      </c>
      <c r="G1300">
        <v>60.972999999999999</v>
      </c>
      <c r="I1300">
        <v>60.972999999999999</v>
      </c>
      <c r="J1300" t="s">
        <v>412</v>
      </c>
      <c r="K1300">
        <v>1.2</v>
      </c>
      <c r="L1300">
        <v>-87.5</v>
      </c>
      <c r="N1300">
        <v>52</v>
      </c>
      <c r="O1300">
        <v>52</v>
      </c>
      <c r="P1300" t="s">
        <v>562</v>
      </c>
      <c r="Q1300" t="s">
        <v>414</v>
      </c>
      <c r="R1300">
        <v>10</v>
      </c>
      <c r="S1300">
        <v>2.82</v>
      </c>
      <c r="T1300">
        <v>528.10299999999995</v>
      </c>
      <c r="V1300">
        <v>528.10299999999995</v>
      </c>
      <c r="W1300" t="s">
        <v>403</v>
      </c>
      <c r="X1300">
        <v>12.2</v>
      </c>
      <c r="Y1300">
        <v>22.2</v>
      </c>
    </row>
    <row r="1301" spans="1:25" x14ac:dyDescent="0.45">
      <c r="A1301">
        <v>53</v>
      </c>
      <c r="B1301">
        <v>53</v>
      </c>
      <c r="C1301" t="s">
        <v>458</v>
      </c>
      <c r="D1301" t="s">
        <v>414</v>
      </c>
      <c r="E1301">
        <v>10</v>
      </c>
      <c r="F1301">
        <v>2.76</v>
      </c>
      <c r="G1301">
        <v>16.001999999999999</v>
      </c>
      <c r="I1301">
        <v>16.001999999999999</v>
      </c>
      <c r="J1301" t="s">
        <v>415</v>
      </c>
      <c r="K1301">
        <v>0.3</v>
      </c>
      <c r="L1301">
        <v>-96.7</v>
      </c>
      <c r="N1301">
        <v>53</v>
      </c>
      <c r="O1301">
        <v>53</v>
      </c>
      <c r="P1301" t="s">
        <v>563</v>
      </c>
      <c r="Q1301" t="s">
        <v>414</v>
      </c>
      <c r="R1301">
        <v>10</v>
      </c>
      <c r="S1301">
        <v>2.81</v>
      </c>
      <c r="T1301">
        <v>107.614</v>
      </c>
      <c r="V1301">
        <v>107.614</v>
      </c>
      <c r="W1301" t="s">
        <v>403</v>
      </c>
      <c r="X1301">
        <v>2.5</v>
      </c>
      <c r="Y1301">
        <v>-75.099999999999994</v>
      </c>
    </row>
    <row r="1302" spans="1:25" x14ac:dyDescent="0.45">
      <c r="A1302">
        <v>54</v>
      </c>
      <c r="B1302">
        <v>54</v>
      </c>
      <c r="C1302" t="s">
        <v>459</v>
      </c>
      <c r="D1302" t="s">
        <v>414</v>
      </c>
      <c r="E1302">
        <v>10</v>
      </c>
      <c r="F1302">
        <v>2.83</v>
      </c>
      <c r="G1302">
        <v>725.37900000000002</v>
      </c>
      <c r="I1302">
        <v>725.37900000000002</v>
      </c>
      <c r="J1302" t="s">
        <v>412</v>
      </c>
      <c r="K1302">
        <v>14.8</v>
      </c>
      <c r="L1302">
        <v>48.2</v>
      </c>
      <c r="N1302">
        <v>54</v>
      </c>
      <c r="O1302">
        <v>54</v>
      </c>
      <c r="P1302" t="s">
        <v>564</v>
      </c>
      <c r="Q1302" t="s">
        <v>414</v>
      </c>
      <c r="R1302">
        <v>10</v>
      </c>
      <c r="S1302">
        <v>2.78</v>
      </c>
      <c r="T1302">
        <v>129.441</v>
      </c>
      <c r="V1302">
        <v>129.441</v>
      </c>
      <c r="W1302" t="s">
        <v>403</v>
      </c>
      <c r="X1302">
        <v>3</v>
      </c>
      <c r="Y1302">
        <v>-70</v>
      </c>
    </row>
    <row r="1303" spans="1:25" x14ac:dyDescent="0.45">
      <c r="A1303">
        <v>55</v>
      </c>
      <c r="B1303">
        <v>55</v>
      </c>
      <c r="C1303" t="s">
        <v>460</v>
      </c>
      <c r="D1303" t="s">
        <v>414</v>
      </c>
      <c r="E1303">
        <v>10</v>
      </c>
      <c r="F1303">
        <v>2.73</v>
      </c>
      <c r="G1303">
        <v>401.88799999999998</v>
      </c>
      <c r="I1303">
        <v>401.88799999999998</v>
      </c>
      <c r="J1303" t="s">
        <v>403</v>
      </c>
      <c r="K1303">
        <v>8.1999999999999993</v>
      </c>
      <c r="L1303">
        <v>-17.899999999999999</v>
      </c>
      <c r="N1303">
        <v>55</v>
      </c>
      <c r="O1303">
        <v>55</v>
      </c>
      <c r="P1303" t="s">
        <v>565</v>
      </c>
      <c r="Q1303" t="s">
        <v>414</v>
      </c>
      <c r="R1303">
        <v>10</v>
      </c>
      <c r="S1303">
        <v>2.69</v>
      </c>
      <c r="T1303">
        <v>1124.902</v>
      </c>
      <c r="V1303">
        <v>1124.902</v>
      </c>
      <c r="W1303" t="s">
        <v>403</v>
      </c>
      <c r="X1303">
        <v>26</v>
      </c>
      <c r="Y1303">
        <v>160.30000000000001</v>
      </c>
    </row>
    <row r="1304" spans="1:25" x14ac:dyDescent="0.45">
      <c r="A1304">
        <v>56</v>
      </c>
      <c r="B1304">
        <v>56</v>
      </c>
      <c r="C1304" t="s">
        <v>461</v>
      </c>
      <c r="D1304" t="s">
        <v>414</v>
      </c>
      <c r="E1304">
        <v>10</v>
      </c>
      <c r="F1304">
        <v>2.71</v>
      </c>
      <c r="G1304">
        <v>62.591000000000001</v>
      </c>
      <c r="I1304">
        <v>62.591000000000001</v>
      </c>
      <c r="J1304" t="s">
        <v>412</v>
      </c>
      <c r="K1304">
        <v>1.3</v>
      </c>
      <c r="L1304">
        <v>-87.2</v>
      </c>
      <c r="N1304">
        <v>56</v>
      </c>
      <c r="O1304">
        <v>56</v>
      </c>
      <c r="P1304" t="s">
        <v>566</v>
      </c>
      <c r="Q1304" t="s">
        <v>414</v>
      </c>
      <c r="R1304">
        <v>10</v>
      </c>
      <c r="S1304">
        <v>2.82</v>
      </c>
      <c r="T1304">
        <v>482.20299999999997</v>
      </c>
      <c r="V1304">
        <v>482.20299999999997</v>
      </c>
      <c r="W1304" t="s">
        <v>403</v>
      </c>
      <c r="X1304">
        <v>11.2</v>
      </c>
      <c r="Y1304">
        <v>11.6</v>
      </c>
    </row>
    <row r="1305" spans="1:25" x14ac:dyDescent="0.45">
      <c r="A1305">
        <v>57</v>
      </c>
      <c r="B1305">
        <v>57</v>
      </c>
      <c r="C1305" t="s">
        <v>462</v>
      </c>
      <c r="D1305" t="s">
        <v>414</v>
      </c>
      <c r="E1305">
        <v>10</v>
      </c>
      <c r="F1305">
        <v>2.76</v>
      </c>
      <c r="G1305">
        <v>17.768999999999998</v>
      </c>
      <c r="I1305">
        <v>17.768999999999998</v>
      </c>
      <c r="J1305" t="s">
        <v>415</v>
      </c>
      <c r="K1305">
        <v>0.4</v>
      </c>
      <c r="L1305">
        <v>-96.4</v>
      </c>
      <c r="N1305">
        <v>57</v>
      </c>
      <c r="O1305">
        <v>57</v>
      </c>
      <c r="P1305" t="s">
        <v>567</v>
      </c>
      <c r="Q1305" t="s">
        <v>414</v>
      </c>
      <c r="R1305">
        <v>10</v>
      </c>
      <c r="S1305">
        <v>2.76</v>
      </c>
      <c r="T1305">
        <v>85.638000000000005</v>
      </c>
      <c r="V1305">
        <v>85.638000000000005</v>
      </c>
      <c r="W1305" t="s">
        <v>403</v>
      </c>
      <c r="X1305">
        <v>2</v>
      </c>
      <c r="Y1305">
        <v>-80.2</v>
      </c>
    </row>
    <row r="1306" spans="1:25" x14ac:dyDescent="0.45">
      <c r="A1306">
        <v>58</v>
      </c>
      <c r="B1306">
        <v>58</v>
      </c>
      <c r="C1306" t="s">
        <v>463</v>
      </c>
      <c r="D1306" t="s">
        <v>414</v>
      </c>
      <c r="E1306">
        <v>10</v>
      </c>
      <c r="F1306">
        <v>2.83</v>
      </c>
      <c r="G1306">
        <v>320.161</v>
      </c>
      <c r="I1306">
        <v>320.161</v>
      </c>
      <c r="J1306" t="s">
        <v>403</v>
      </c>
      <c r="K1306">
        <v>6.5</v>
      </c>
      <c r="L1306">
        <v>-34.6</v>
      </c>
      <c r="N1306">
        <v>58</v>
      </c>
      <c r="O1306">
        <v>58</v>
      </c>
      <c r="P1306" t="s">
        <v>568</v>
      </c>
      <c r="Q1306" t="s">
        <v>414</v>
      </c>
      <c r="R1306">
        <v>10</v>
      </c>
      <c r="S1306">
        <v>2.82</v>
      </c>
      <c r="T1306">
        <v>880.76599999999996</v>
      </c>
      <c r="V1306">
        <v>880.76599999999996</v>
      </c>
      <c r="W1306" t="s">
        <v>412</v>
      </c>
      <c r="X1306">
        <v>20.399999999999999</v>
      </c>
      <c r="Y1306">
        <v>103.8</v>
      </c>
    </row>
    <row r="1307" spans="1:25" x14ac:dyDescent="0.45">
      <c r="A1307">
        <v>59</v>
      </c>
      <c r="B1307">
        <v>59</v>
      </c>
      <c r="C1307" t="s">
        <v>464</v>
      </c>
      <c r="D1307" t="s">
        <v>414</v>
      </c>
      <c r="E1307">
        <v>10</v>
      </c>
      <c r="F1307">
        <v>2.72</v>
      </c>
      <c r="G1307">
        <v>464.84699999999998</v>
      </c>
      <c r="I1307">
        <v>464.84699999999998</v>
      </c>
      <c r="J1307" t="s">
        <v>403</v>
      </c>
      <c r="K1307">
        <v>9.5</v>
      </c>
      <c r="L1307">
        <v>-5.0999999999999996</v>
      </c>
      <c r="N1307">
        <v>59</v>
      </c>
      <c r="O1307">
        <v>59</v>
      </c>
      <c r="P1307" t="s">
        <v>569</v>
      </c>
      <c r="Q1307" t="s">
        <v>414</v>
      </c>
      <c r="R1307">
        <v>10</v>
      </c>
      <c r="S1307">
        <v>2.69</v>
      </c>
      <c r="T1307">
        <v>1043.9639999999999</v>
      </c>
      <c r="V1307">
        <v>1043.9639999999999</v>
      </c>
      <c r="W1307" t="s">
        <v>403</v>
      </c>
      <c r="X1307">
        <v>24.2</v>
      </c>
      <c r="Y1307">
        <v>141.6</v>
      </c>
    </row>
    <row r="1308" spans="1:25" x14ac:dyDescent="0.45">
      <c r="A1308">
        <v>60</v>
      </c>
      <c r="B1308">
        <v>60</v>
      </c>
      <c r="C1308" t="s">
        <v>465</v>
      </c>
      <c r="D1308" t="s">
        <v>414</v>
      </c>
      <c r="E1308">
        <v>10</v>
      </c>
      <c r="F1308">
        <v>2.8</v>
      </c>
      <c r="G1308">
        <v>209.43</v>
      </c>
      <c r="I1308">
        <v>209.43</v>
      </c>
      <c r="J1308" t="s">
        <v>401</v>
      </c>
      <c r="K1308">
        <v>4.3</v>
      </c>
      <c r="L1308">
        <v>-57.2</v>
      </c>
      <c r="N1308">
        <v>60</v>
      </c>
      <c r="O1308">
        <v>60</v>
      </c>
      <c r="P1308" t="s">
        <v>570</v>
      </c>
      <c r="Q1308" t="s">
        <v>414</v>
      </c>
      <c r="R1308">
        <v>10</v>
      </c>
      <c r="S1308">
        <v>2.68</v>
      </c>
      <c r="T1308">
        <v>1936.327</v>
      </c>
      <c r="V1308">
        <v>1936.327</v>
      </c>
      <c r="W1308" t="s">
        <v>403</v>
      </c>
      <c r="X1308">
        <v>44.8</v>
      </c>
      <c r="Y1308">
        <v>348.1</v>
      </c>
    </row>
    <row r="1309" spans="1:25" x14ac:dyDescent="0.45">
      <c r="A1309">
        <v>61</v>
      </c>
      <c r="B1309">
        <v>61</v>
      </c>
      <c r="C1309" t="s">
        <v>466</v>
      </c>
      <c r="D1309" t="s">
        <v>414</v>
      </c>
      <c r="E1309">
        <v>10</v>
      </c>
      <c r="F1309">
        <v>2.76</v>
      </c>
      <c r="G1309">
        <v>66.114999999999995</v>
      </c>
      <c r="I1309">
        <v>66.114999999999995</v>
      </c>
      <c r="J1309" t="s">
        <v>403</v>
      </c>
      <c r="K1309">
        <v>1.4</v>
      </c>
      <c r="L1309">
        <v>-86.5</v>
      </c>
      <c r="N1309">
        <v>61</v>
      </c>
      <c r="O1309">
        <v>61</v>
      </c>
      <c r="P1309" t="s">
        <v>571</v>
      </c>
      <c r="Q1309" t="s">
        <v>414</v>
      </c>
      <c r="R1309">
        <v>10</v>
      </c>
      <c r="S1309">
        <v>2.77</v>
      </c>
      <c r="T1309">
        <v>21.038</v>
      </c>
      <c r="V1309">
        <v>21.038</v>
      </c>
      <c r="W1309" t="s">
        <v>412</v>
      </c>
      <c r="X1309">
        <v>0.5</v>
      </c>
      <c r="Y1309">
        <v>-95.1</v>
      </c>
    </row>
    <row r="1310" spans="1:25" x14ac:dyDescent="0.45">
      <c r="A1310">
        <v>62</v>
      </c>
      <c r="B1310">
        <v>62</v>
      </c>
      <c r="C1310" t="s">
        <v>467</v>
      </c>
      <c r="D1310" t="s">
        <v>414</v>
      </c>
      <c r="E1310">
        <v>10</v>
      </c>
      <c r="F1310">
        <v>2.68</v>
      </c>
      <c r="G1310">
        <v>512.65300000000002</v>
      </c>
      <c r="I1310">
        <v>512.65300000000002</v>
      </c>
      <c r="J1310" t="s">
        <v>412</v>
      </c>
      <c r="K1310">
        <v>10.5</v>
      </c>
      <c r="L1310">
        <v>4.7</v>
      </c>
      <c r="N1310">
        <v>62</v>
      </c>
      <c r="O1310">
        <v>62</v>
      </c>
      <c r="P1310" t="s">
        <v>572</v>
      </c>
      <c r="Q1310" t="s">
        <v>414</v>
      </c>
      <c r="R1310">
        <v>10</v>
      </c>
      <c r="S1310">
        <v>2.68</v>
      </c>
      <c r="T1310">
        <v>970.54399999999998</v>
      </c>
      <c r="V1310">
        <v>970.54399999999998</v>
      </c>
      <c r="W1310" t="s">
        <v>401</v>
      </c>
      <c r="X1310">
        <v>22.5</v>
      </c>
      <c r="Y1310">
        <v>124.6</v>
      </c>
    </row>
    <row r="1311" spans="1:25" x14ac:dyDescent="0.45">
      <c r="A1311">
        <v>63</v>
      </c>
      <c r="B1311">
        <v>63</v>
      </c>
      <c r="C1311" t="s">
        <v>468</v>
      </c>
      <c r="D1311" t="s">
        <v>414</v>
      </c>
      <c r="E1311">
        <v>10</v>
      </c>
      <c r="F1311">
        <v>2.84</v>
      </c>
      <c r="G1311">
        <v>1224.2860000000001</v>
      </c>
      <c r="I1311">
        <v>1224.2860000000001</v>
      </c>
      <c r="J1311" t="s">
        <v>403</v>
      </c>
      <c r="K1311">
        <v>25</v>
      </c>
      <c r="L1311">
        <v>150.1</v>
      </c>
      <c r="N1311">
        <v>63</v>
      </c>
      <c r="O1311">
        <v>63</v>
      </c>
      <c r="P1311" t="s">
        <v>573</v>
      </c>
      <c r="Q1311" t="s">
        <v>414</v>
      </c>
      <c r="R1311">
        <v>10</v>
      </c>
      <c r="S1311">
        <v>2.8</v>
      </c>
      <c r="T1311">
        <v>357.49599999999998</v>
      </c>
      <c r="V1311">
        <v>357.49599999999998</v>
      </c>
      <c r="W1311" t="s">
        <v>403</v>
      </c>
      <c r="X1311">
        <v>8.3000000000000007</v>
      </c>
      <c r="Y1311">
        <v>-17.3</v>
      </c>
    </row>
    <row r="1312" spans="1:25" x14ac:dyDescent="0.45">
      <c r="A1312">
        <v>64</v>
      </c>
      <c r="B1312">
        <v>64</v>
      </c>
      <c r="C1312" t="s">
        <v>469</v>
      </c>
      <c r="D1312" t="s">
        <v>414</v>
      </c>
      <c r="E1312">
        <v>10</v>
      </c>
      <c r="F1312">
        <v>2.79</v>
      </c>
      <c r="G1312">
        <v>69.682000000000002</v>
      </c>
      <c r="I1312">
        <v>69.682000000000002</v>
      </c>
      <c r="J1312" t="s">
        <v>403</v>
      </c>
      <c r="K1312">
        <v>1.4</v>
      </c>
      <c r="L1312">
        <v>-85.8</v>
      </c>
      <c r="N1312">
        <v>64</v>
      </c>
      <c r="O1312">
        <v>64</v>
      </c>
      <c r="P1312" t="s">
        <v>574</v>
      </c>
      <c r="Q1312" t="s">
        <v>414</v>
      </c>
      <c r="R1312">
        <v>10</v>
      </c>
      <c r="S1312">
        <v>2.69</v>
      </c>
      <c r="T1312">
        <v>848.32899999999995</v>
      </c>
      <c r="V1312">
        <v>848.32899999999995</v>
      </c>
      <c r="W1312" t="s">
        <v>401</v>
      </c>
      <c r="X1312">
        <v>19.600000000000001</v>
      </c>
      <c r="Y1312">
        <v>96.3</v>
      </c>
    </row>
    <row r="1313" spans="1:25" x14ac:dyDescent="0.45">
      <c r="A1313">
        <v>65</v>
      </c>
      <c r="B1313">
        <v>65</v>
      </c>
      <c r="C1313" t="s">
        <v>470</v>
      </c>
      <c r="D1313" t="s">
        <v>414</v>
      </c>
      <c r="E1313">
        <v>10</v>
      </c>
      <c r="F1313">
        <v>2.81</v>
      </c>
      <c r="G1313">
        <v>2.3119999999999998</v>
      </c>
      <c r="I1313">
        <v>2.3119999999999998</v>
      </c>
      <c r="J1313" t="s">
        <v>401</v>
      </c>
      <c r="K1313">
        <v>0</v>
      </c>
      <c r="L1313">
        <v>-99.5</v>
      </c>
      <c r="N1313">
        <v>65</v>
      </c>
      <c r="O1313">
        <v>65</v>
      </c>
      <c r="P1313" t="s">
        <v>575</v>
      </c>
      <c r="Q1313" t="s">
        <v>414</v>
      </c>
      <c r="R1313">
        <v>10</v>
      </c>
      <c r="S1313">
        <v>2.68</v>
      </c>
      <c r="T1313">
        <v>467.22800000000001</v>
      </c>
      <c r="V1313">
        <v>467.22800000000001</v>
      </c>
      <c r="W1313" t="s">
        <v>415</v>
      </c>
      <c r="X1313">
        <v>10.8</v>
      </c>
      <c r="Y1313">
        <v>8.1</v>
      </c>
    </row>
    <row r="1314" spans="1:25" x14ac:dyDescent="0.45">
      <c r="A1314">
        <v>66</v>
      </c>
      <c r="B1314">
        <v>66</v>
      </c>
      <c r="C1314" t="s">
        <v>471</v>
      </c>
      <c r="D1314" t="s">
        <v>414</v>
      </c>
      <c r="E1314">
        <v>10</v>
      </c>
      <c r="F1314">
        <v>2.83</v>
      </c>
      <c r="G1314">
        <v>129.428</v>
      </c>
      <c r="I1314">
        <v>129.428</v>
      </c>
      <c r="J1314" t="s">
        <v>401</v>
      </c>
      <c r="K1314">
        <v>2.6</v>
      </c>
      <c r="L1314">
        <v>-73.599999999999994</v>
      </c>
      <c r="N1314">
        <v>66</v>
      </c>
      <c r="O1314">
        <v>66</v>
      </c>
      <c r="P1314" t="s">
        <v>576</v>
      </c>
      <c r="Q1314" t="s">
        <v>414</v>
      </c>
      <c r="R1314">
        <v>10</v>
      </c>
      <c r="S1314">
        <v>2.67</v>
      </c>
      <c r="T1314">
        <v>1043.8510000000001</v>
      </c>
      <c r="V1314">
        <v>1043.8510000000001</v>
      </c>
      <c r="W1314" t="s">
        <v>412</v>
      </c>
      <c r="X1314">
        <v>24.2</v>
      </c>
      <c r="Y1314">
        <v>141.6</v>
      </c>
    </row>
    <row r="1315" spans="1:25" x14ac:dyDescent="0.45">
      <c r="A1315">
        <v>67</v>
      </c>
      <c r="B1315">
        <v>67</v>
      </c>
      <c r="C1315" t="s">
        <v>472</v>
      </c>
      <c r="D1315" t="s">
        <v>414</v>
      </c>
      <c r="E1315">
        <v>10</v>
      </c>
      <c r="F1315">
        <v>2.68</v>
      </c>
      <c r="G1315">
        <v>368.245</v>
      </c>
      <c r="I1315">
        <v>368.245</v>
      </c>
      <c r="J1315" t="s">
        <v>412</v>
      </c>
      <c r="K1315">
        <v>7.5</v>
      </c>
      <c r="L1315">
        <v>-24.8</v>
      </c>
      <c r="N1315">
        <v>67</v>
      </c>
      <c r="O1315">
        <v>67</v>
      </c>
      <c r="P1315" t="s">
        <v>577</v>
      </c>
      <c r="Q1315" t="s">
        <v>414</v>
      </c>
      <c r="R1315">
        <v>10</v>
      </c>
      <c r="S1315">
        <v>2.8</v>
      </c>
      <c r="T1315">
        <v>159.239</v>
      </c>
      <c r="V1315">
        <v>159.239</v>
      </c>
      <c r="W1315" t="s">
        <v>403</v>
      </c>
      <c r="X1315">
        <v>3.7</v>
      </c>
      <c r="Y1315">
        <v>-63.2</v>
      </c>
    </row>
    <row r="1316" spans="1:25" x14ac:dyDescent="0.45">
      <c r="A1316">
        <v>68</v>
      </c>
      <c r="B1316">
        <v>68</v>
      </c>
      <c r="C1316" t="s">
        <v>473</v>
      </c>
      <c r="D1316" t="s">
        <v>414</v>
      </c>
      <c r="E1316">
        <v>10</v>
      </c>
      <c r="F1316">
        <v>2.7</v>
      </c>
      <c r="G1316">
        <v>895.78</v>
      </c>
      <c r="I1316">
        <v>895.78</v>
      </c>
      <c r="J1316" t="s">
        <v>403</v>
      </c>
      <c r="K1316">
        <v>18.3</v>
      </c>
      <c r="L1316">
        <v>83</v>
      </c>
      <c r="N1316">
        <v>68</v>
      </c>
      <c r="O1316">
        <v>68</v>
      </c>
      <c r="P1316" t="s">
        <v>578</v>
      </c>
      <c r="Q1316" t="s">
        <v>414</v>
      </c>
      <c r="R1316">
        <v>10</v>
      </c>
      <c r="S1316">
        <v>2.72</v>
      </c>
      <c r="T1316">
        <v>1023.135</v>
      </c>
      <c r="V1316">
        <v>1023.135</v>
      </c>
      <c r="W1316" t="s">
        <v>403</v>
      </c>
      <c r="X1316">
        <v>23.7</v>
      </c>
      <c r="Y1316">
        <v>136.80000000000001</v>
      </c>
    </row>
    <row r="1317" spans="1:25" x14ac:dyDescent="0.45">
      <c r="A1317">
        <v>69</v>
      </c>
      <c r="B1317">
        <v>69</v>
      </c>
      <c r="C1317" t="s">
        <v>474</v>
      </c>
      <c r="D1317" t="s">
        <v>414</v>
      </c>
      <c r="E1317">
        <v>10</v>
      </c>
      <c r="F1317">
        <v>2.68</v>
      </c>
      <c r="G1317">
        <v>1004.7910000000001</v>
      </c>
      <c r="I1317">
        <v>1004.7910000000001</v>
      </c>
      <c r="J1317" t="s">
        <v>403</v>
      </c>
      <c r="K1317">
        <v>20.5</v>
      </c>
      <c r="L1317">
        <v>105.2</v>
      </c>
      <c r="N1317">
        <v>69</v>
      </c>
      <c r="O1317">
        <v>69</v>
      </c>
      <c r="P1317" t="s">
        <v>579</v>
      </c>
      <c r="Q1317" t="s">
        <v>414</v>
      </c>
      <c r="R1317">
        <v>10</v>
      </c>
      <c r="S1317">
        <v>2.69</v>
      </c>
      <c r="T1317">
        <v>601.577</v>
      </c>
      <c r="V1317">
        <v>601.577</v>
      </c>
      <c r="W1317" t="s">
        <v>403</v>
      </c>
      <c r="X1317">
        <v>13.9</v>
      </c>
      <c r="Y1317">
        <v>39.200000000000003</v>
      </c>
    </row>
    <row r="1319" spans="1:25" x14ac:dyDescent="0.45">
      <c r="A1319" t="s">
        <v>504</v>
      </c>
      <c r="N1319" t="s">
        <v>504</v>
      </c>
    </row>
    <row r="1321" spans="1:25" x14ac:dyDescent="0.45">
      <c r="B1321" t="s">
        <v>389</v>
      </c>
      <c r="C1321" t="s">
        <v>123</v>
      </c>
      <c r="D1321" t="s">
        <v>390</v>
      </c>
      <c r="E1321" t="s">
        <v>391</v>
      </c>
      <c r="F1321" t="s">
        <v>392</v>
      </c>
      <c r="G1321" t="s">
        <v>393</v>
      </c>
      <c r="H1321" t="s">
        <v>394</v>
      </c>
      <c r="I1321" t="s">
        <v>395</v>
      </c>
      <c r="J1321" t="s">
        <v>396</v>
      </c>
      <c r="K1321" t="s">
        <v>397</v>
      </c>
      <c r="L1321" t="s">
        <v>398</v>
      </c>
      <c r="O1321" t="s">
        <v>389</v>
      </c>
      <c r="P1321" t="s">
        <v>123</v>
      </c>
      <c r="Q1321" t="s">
        <v>390</v>
      </c>
      <c r="R1321" t="s">
        <v>391</v>
      </c>
      <c r="S1321" t="s">
        <v>392</v>
      </c>
      <c r="T1321" t="s">
        <v>393</v>
      </c>
      <c r="U1321" t="s">
        <v>394</v>
      </c>
      <c r="V1321" t="s">
        <v>395</v>
      </c>
      <c r="W1321" t="s">
        <v>396</v>
      </c>
      <c r="X1321" t="s">
        <v>397</v>
      </c>
      <c r="Y1321" t="s">
        <v>398</v>
      </c>
    </row>
    <row r="1322" spans="1:25" x14ac:dyDescent="0.45">
      <c r="A1322">
        <v>1</v>
      </c>
      <c r="B1322">
        <v>1</v>
      </c>
      <c r="C1322" t="s">
        <v>399</v>
      </c>
      <c r="D1322" t="s">
        <v>400</v>
      </c>
      <c r="E1322">
        <v>10</v>
      </c>
      <c r="F1322">
        <v>2.82</v>
      </c>
      <c r="G1322">
        <v>54757.120999999999</v>
      </c>
      <c r="I1322">
        <v>54757.120999999999</v>
      </c>
      <c r="J1322" t="s">
        <v>403</v>
      </c>
      <c r="K1322">
        <v>5.9</v>
      </c>
      <c r="L1322">
        <v>-41</v>
      </c>
      <c r="N1322">
        <v>1</v>
      </c>
      <c r="O1322">
        <v>1</v>
      </c>
      <c r="P1322" t="s">
        <v>511</v>
      </c>
      <c r="Q1322" t="s">
        <v>400</v>
      </c>
      <c r="R1322">
        <v>10</v>
      </c>
      <c r="S1322">
        <v>2.81</v>
      </c>
      <c r="T1322">
        <v>138715.5</v>
      </c>
      <c r="V1322">
        <v>138715.5</v>
      </c>
      <c r="W1322" t="s">
        <v>401</v>
      </c>
      <c r="X1322">
        <v>10.6</v>
      </c>
      <c r="Y1322">
        <v>5.7</v>
      </c>
    </row>
    <row r="1323" spans="1:25" x14ac:dyDescent="0.45">
      <c r="A1323">
        <v>2</v>
      </c>
      <c r="B1323">
        <v>2</v>
      </c>
      <c r="C1323" t="s">
        <v>402</v>
      </c>
      <c r="D1323" t="s">
        <v>400</v>
      </c>
      <c r="E1323">
        <v>10</v>
      </c>
      <c r="F1323">
        <v>2.81</v>
      </c>
      <c r="G1323">
        <v>68647.562999999995</v>
      </c>
      <c r="I1323">
        <v>68647.562999999995</v>
      </c>
      <c r="J1323" t="s">
        <v>403</v>
      </c>
      <c r="K1323">
        <v>7.4</v>
      </c>
      <c r="L1323">
        <v>-26.1</v>
      </c>
      <c r="N1323">
        <v>2</v>
      </c>
      <c r="O1323">
        <v>2</v>
      </c>
      <c r="P1323" t="s">
        <v>512</v>
      </c>
      <c r="Q1323" t="s">
        <v>400</v>
      </c>
      <c r="R1323">
        <v>10</v>
      </c>
      <c r="S1323">
        <v>2.8</v>
      </c>
      <c r="T1323">
        <v>139613.56299999999</v>
      </c>
      <c r="V1323">
        <v>139613.56299999999</v>
      </c>
      <c r="W1323" t="s">
        <v>403</v>
      </c>
      <c r="X1323">
        <v>10.6</v>
      </c>
      <c r="Y1323">
        <v>6.4</v>
      </c>
    </row>
    <row r="1324" spans="1:25" x14ac:dyDescent="0.45">
      <c r="A1324">
        <v>3</v>
      </c>
      <c r="B1324">
        <v>3</v>
      </c>
      <c r="C1324" t="s">
        <v>404</v>
      </c>
      <c r="D1324" t="s">
        <v>400</v>
      </c>
      <c r="E1324">
        <v>10</v>
      </c>
      <c r="F1324">
        <v>2.81</v>
      </c>
      <c r="G1324">
        <v>82431.304999999993</v>
      </c>
      <c r="I1324">
        <v>82431.304999999993</v>
      </c>
      <c r="J1324" t="s">
        <v>403</v>
      </c>
      <c r="K1324">
        <v>8.9</v>
      </c>
      <c r="L1324">
        <v>-11.2</v>
      </c>
      <c r="N1324">
        <v>3</v>
      </c>
      <c r="O1324">
        <v>3</v>
      </c>
      <c r="P1324" t="s">
        <v>513</v>
      </c>
      <c r="Q1324" t="s">
        <v>400</v>
      </c>
      <c r="R1324">
        <v>10</v>
      </c>
      <c r="S1324">
        <v>2.8</v>
      </c>
      <c r="T1324">
        <v>137451.70300000001</v>
      </c>
      <c r="V1324">
        <v>137451.70300000001</v>
      </c>
      <c r="W1324" t="s">
        <v>401</v>
      </c>
      <c r="X1324">
        <v>10.5</v>
      </c>
      <c r="Y1324">
        <v>4.7</v>
      </c>
    </row>
    <row r="1325" spans="1:25" x14ac:dyDescent="0.45">
      <c r="A1325">
        <v>4</v>
      </c>
      <c r="B1325">
        <v>4</v>
      </c>
      <c r="C1325" t="s">
        <v>405</v>
      </c>
      <c r="D1325" t="s">
        <v>400</v>
      </c>
      <c r="E1325">
        <v>10</v>
      </c>
      <c r="F1325">
        <v>2.81</v>
      </c>
      <c r="G1325">
        <v>93451.562999999995</v>
      </c>
      <c r="I1325">
        <v>93451.562999999995</v>
      </c>
      <c r="J1325" t="s">
        <v>401</v>
      </c>
      <c r="K1325">
        <v>10.1</v>
      </c>
      <c r="L1325">
        <v>0.7</v>
      </c>
      <c r="N1325">
        <v>4</v>
      </c>
      <c r="O1325">
        <v>4</v>
      </c>
      <c r="P1325" t="s">
        <v>514</v>
      </c>
      <c r="Q1325" t="s">
        <v>400</v>
      </c>
      <c r="R1325">
        <v>10</v>
      </c>
      <c r="S1325">
        <v>2.8</v>
      </c>
      <c r="T1325">
        <v>127404.773</v>
      </c>
      <c r="V1325">
        <v>127404.773</v>
      </c>
      <c r="W1325" t="s">
        <v>401</v>
      </c>
      <c r="X1325">
        <v>9.6999999999999993</v>
      </c>
      <c r="Y1325">
        <v>-2.9</v>
      </c>
    </row>
    <row r="1326" spans="1:25" x14ac:dyDescent="0.45">
      <c r="A1326">
        <v>5</v>
      </c>
      <c r="B1326">
        <v>5</v>
      </c>
      <c r="C1326" t="s">
        <v>406</v>
      </c>
      <c r="D1326" t="s">
        <v>400</v>
      </c>
      <c r="E1326">
        <v>10</v>
      </c>
      <c r="F1326">
        <v>2.81</v>
      </c>
      <c r="G1326">
        <v>105865.648</v>
      </c>
      <c r="I1326">
        <v>105865.648</v>
      </c>
      <c r="J1326" t="s">
        <v>401</v>
      </c>
      <c r="K1326">
        <v>11.4</v>
      </c>
      <c r="L1326">
        <v>14</v>
      </c>
      <c r="N1326">
        <v>5</v>
      </c>
      <c r="O1326">
        <v>5</v>
      </c>
      <c r="P1326" t="s">
        <v>515</v>
      </c>
      <c r="Q1326" t="s">
        <v>400</v>
      </c>
      <c r="R1326">
        <v>10</v>
      </c>
      <c r="S1326">
        <v>2.81</v>
      </c>
      <c r="T1326">
        <v>127694.93799999999</v>
      </c>
      <c r="V1326">
        <v>127694.93799999999</v>
      </c>
      <c r="W1326" t="s">
        <v>401</v>
      </c>
      <c r="X1326">
        <v>9.6999999999999993</v>
      </c>
      <c r="Y1326">
        <v>-2.7</v>
      </c>
    </row>
    <row r="1327" spans="1:25" x14ac:dyDescent="0.45">
      <c r="A1327">
        <v>6</v>
      </c>
      <c r="B1327">
        <v>6</v>
      </c>
      <c r="C1327" t="s">
        <v>407</v>
      </c>
      <c r="D1327" t="s">
        <v>400</v>
      </c>
      <c r="E1327">
        <v>10</v>
      </c>
      <c r="F1327">
        <v>2.81</v>
      </c>
      <c r="G1327">
        <v>118528.32000000001</v>
      </c>
      <c r="I1327">
        <v>118528.32000000001</v>
      </c>
      <c r="J1327" t="s">
        <v>401</v>
      </c>
      <c r="K1327">
        <v>12.8</v>
      </c>
      <c r="L1327">
        <v>27.7</v>
      </c>
      <c r="N1327">
        <v>6</v>
      </c>
      <c r="O1327">
        <v>6</v>
      </c>
      <c r="P1327" t="s">
        <v>516</v>
      </c>
      <c r="Q1327" t="s">
        <v>400</v>
      </c>
      <c r="R1327">
        <v>10</v>
      </c>
      <c r="S1327">
        <v>2.81</v>
      </c>
      <c r="T1327">
        <v>124542.516</v>
      </c>
      <c r="V1327">
        <v>124542.516</v>
      </c>
      <c r="W1327" t="s">
        <v>401</v>
      </c>
      <c r="X1327">
        <v>9.5</v>
      </c>
      <c r="Y1327">
        <v>-5.0999999999999996</v>
      </c>
    </row>
    <row r="1328" spans="1:25" x14ac:dyDescent="0.45">
      <c r="A1328">
        <v>7</v>
      </c>
      <c r="B1328">
        <v>7</v>
      </c>
      <c r="C1328" t="s">
        <v>408</v>
      </c>
      <c r="D1328" t="s">
        <v>400</v>
      </c>
      <c r="E1328">
        <v>10</v>
      </c>
      <c r="F1328">
        <v>2.81</v>
      </c>
      <c r="G1328">
        <v>126230.219</v>
      </c>
      <c r="I1328">
        <v>126230.219</v>
      </c>
      <c r="J1328" t="s">
        <v>401</v>
      </c>
      <c r="K1328">
        <v>13.6</v>
      </c>
      <c r="L1328">
        <v>36</v>
      </c>
      <c r="N1328">
        <v>7</v>
      </c>
      <c r="O1328">
        <v>7</v>
      </c>
      <c r="P1328" t="s">
        <v>517</v>
      </c>
      <c r="Q1328" t="s">
        <v>400</v>
      </c>
      <c r="R1328">
        <v>10</v>
      </c>
      <c r="S1328">
        <v>2.81</v>
      </c>
      <c r="T1328">
        <v>123471.383</v>
      </c>
      <c r="V1328">
        <v>123471.383</v>
      </c>
      <c r="W1328" t="s">
        <v>401</v>
      </c>
      <c r="X1328">
        <v>9.4</v>
      </c>
      <c r="Y1328">
        <v>-5.9</v>
      </c>
    </row>
    <row r="1329" spans="1:25" x14ac:dyDescent="0.45">
      <c r="A1329">
        <v>8</v>
      </c>
      <c r="B1329">
        <v>8</v>
      </c>
      <c r="C1329" t="s">
        <v>409</v>
      </c>
      <c r="D1329" t="s">
        <v>410</v>
      </c>
      <c r="E1329">
        <v>10</v>
      </c>
      <c r="F1329">
        <v>2.21</v>
      </c>
      <c r="G1329">
        <v>7635.74</v>
      </c>
      <c r="I1329">
        <v>7635.74</v>
      </c>
      <c r="J1329" t="s">
        <v>403</v>
      </c>
      <c r="K1329">
        <v>0.8</v>
      </c>
      <c r="L1329">
        <v>-91.8</v>
      </c>
      <c r="N1329">
        <v>8</v>
      </c>
      <c r="O1329">
        <v>8</v>
      </c>
      <c r="P1329" t="s">
        <v>518</v>
      </c>
      <c r="Q1329" t="s">
        <v>410</v>
      </c>
      <c r="R1329">
        <v>10</v>
      </c>
      <c r="S1329">
        <v>2</v>
      </c>
      <c r="T1329">
        <v>354.48</v>
      </c>
      <c r="V1329">
        <v>354.48</v>
      </c>
      <c r="W1329" t="s">
        <v>403</v>
      </c>
      <c r="X1329">
        <v>0</v>
      </c>
      <c r="Y1329">
        <v>-99.7</v>
      </c>
    </row>
    <row r="1330" spans="1:25" x14ac:dyDescent="0.45">
      <c r="A1330">
        <v>9</v>
      </c>
      <c r="B1330">
        <v>9</v>
      </c>
      <c r="C1330" t="s">
        <v>411</v>
      </c>
      <c r="D1330" t="s">
        <v>410</v>
      </c>
      <c r="E1330">
        <v>10</v>
      </c>
      <c r="F1330">
        <v>2.34</v>
      </c>
      <c r="G1330">
        <v>9386.8430000000008</v>
      </c>
      <c r="I1330">
        <v>9386.8430000000008</v>
      </c>
      <c r="J1330" t="s">
        <v>403</v>
      </c>
      <c r="K1330">
        <v>1</v>
      </c>
      <c r="L1330">
        <v>-89.9</v>
      </c>
      <c r="N1330">
        <v>9</v>
      </c>
      <c r="O1330">
        <v>9</v>
      </c>
      <c r="P1330" t="s">
        <v>519</v>
      </c>
      <c r="Q1330" t="s">
        <v>410</v>
      </c>
      <c r="R1330">
        <v>10</v>
      </c>
      <c r="S1330">
        <v>2.0499999999999998</v>
      </c>
      <c r="T1330">
        <v>329.17399999999998</v>
      </c>
      <c r="V1330">
        <v>329.17399999999998</v>
      </c>
      <c r="W1330" t="s">
        <v>403</v>
      </c>
      <c r="X1330">
        <v>0</v>
      </c>
      <c r="Y1330">
        <v>-99.7</v>
      </c>
    </row>
    <row r="1331" spans="1:25" x14ac:dyDescent="0.45">
      <c r="A1331">
        <v>10</v>
      </c>
      <c r="B1331">
        <v>10</v>
      </c>
      <c r="C1331" t="s">
        <v>413</v>
      </c>
      <c r="D1331" t="s">
        <v>414</v>
      </c>
      <c r="E1331">
        <v>10</v>
      </c>
      <c r="F1331">
        <v>2.81</v>
      </c>
      <c r="G1331">
        <v>36198.711000000003</v>
      </c>
      <c r="I1331">
        <v>36198.711000000003</v>
      </c>
      <c r="J1331" t="s">
        <v>403</v>
      </c>
      <c r="K1331">
        <v>3.9</v>
      </c>
      <c r="L1331">
        <v>-61</v>
      </c>
      <c r="N1331">
        <v>10</v>
      </c>
      <c r="O1331">
        <v>10</v>
      </c>
      <c r="P1331" t="s">
        <v>520</v>
      </c>
      <c r="Q1331" t="s">
        <v>414</v>
      </c>
      <c r="R1331">
        <v>10</v>
      </c>
      <c r="S1331">
        <v>2.8</v>
      </c>
      <c r="T1331">
        <v>65575.851999999999</v>
      </c>
      <c r="V1331">
        <v>65575.851999999999</v>
      </c>
      <c r="W1331" t="s">
        <v>401</v>
      </c>
      <c r="X1331">
        <v>5</v>
      </c>
      <c r="Y1331">
        <v>-50</v>
      </c>
    </row>
    <row r="1332" spans="1:25" x14ac:dyDescent="0.45">
      <c r="A1332">
        <v>11</v>
      </c>
      <c r="B1332">
        <v>11</v>
      </c>
      <c r="C1332" t="s">
        <v>416</v>
      </c>
      <c r="D1332" t="s">
        <v>414</v>
      </c>
      <c r="E1332">
        <v>10</v>
      </c>
      <c r="F1332">
        <v>2.81</v>
      </c>
      <c r="G1332">
        <v>37259.983999999997</v>
      </c>
      <c r="I1332">
        <v>37259.983999999997</v>
      </c>
      <c r="J1332" t="s">
        <v>403</v>
      </c>
      <c r="K1332">
        <v>4</v>
      </c>
      <c r="L1332">
        <v>-59.9</v>
      </c>
      <c r="N1332">
        <v>11</v>
      </c>
      <c r="O1332">
        <v>11</v>
      </c>
      <c r="P1332" t="s">
        <v>521</v>
      </c>
      <c r="Q1332" t="s">
        <v>414</v>
      </c>
      <c r="R1332">
        <v>10</v>
      </c>
      <c r="S1332">
        <v>2.8</v>
      </c>
      <c r="T1332">
        <v>31911.914000000001</v>
      </c>
      <c r="V1332">
        <v>31911.914000000001</v>
      </c>
      <c r="W1332" t="s">
        <v>401</v>
      </c>
      <c r="X1332">
        <v>2.4</v>
      </c>
      <c r="Y1332">
        <v>-75.7</v>
      </c>
    </row>
    <row r="1333" spans="1:25" x14ac:dyDescent="0.45">
      <c r="A1333">
        <v>12</v>
      </c>
      <c r="B1333">
        <v>12</v>
      </c>
      <c r="C1333" t="s">
        <v>417</v>
      </c>
      <c r="D1333" t="s">
        <v>414</v>
      </c>
      <c r="E1333">
        <v>10</v>
      </c>
      <c r="F1333">
        <v>2.81</v>
      </c>
      <c r="G1333">
        <v>29153.873</v>
      </c>
      <c r="I1333">
        <v>29153.873</v>
      </c>
      <c r="J1333" t="s">
        <v>401</v>
      </c>
      <c r="K1333">
        <v>3.1</v>
      </c>
      <c r="L1333">
        <v>-68.599999999999994</v>
      </c>
      <c r="N1333">
        <v>12</v>
      </c>
      <c r="O1333">
        <v>12</v>
      </c>
      <c r="P1333" t="s">
        <v>522</v>
      </c>
      <c r="Q1333" t="s">
        <v>414</v>
      </c>
      <c r="R1333">
        <v>10</v>
      </c>
      <c r="S1333">
        <v>2.8</v>
      </c>
      <c r="T1333">
        <v>26627.116999999998</v>
      </c>
      <c r="V1333">
        <v>26627.116999999998</v>
      </c>
      <c r="W1333" t="s">
        <v>403</v>
      </c>
      <c r="X1333">
        <v>2</v>
      </c>
      <c r="Y1333">
        <v>-79.7</v>
      </c>
    </row>
    <row r="1334" spans="1:25" x14ac:dyDescent="0.45">
      <c r="A1334">
        <v>13</v>
      </c>
      <c r="B1334">
        <v>13</v>
      </c>
      <c r="C1334" t="s">
        <v>418</v>
      </c>
      <c r="D1334" t="s">
        <v>414</v>
      </c>
      <c r="E1334">
        <v>10</v>
      </c>
      <c r="F1334">
        <v>2.81</v>
      </c>
      <c r="G1334">
        <v>28852.092000000001</v>
      </c>
      <c r="I1334">
        <v>28852.092000000001</v>
      </c>
      <c r="J1334" t="s">
        <v>401</v>
      </c>
      <c r="K1334">
        <v>3.1</v>
      </c>
      <c r="L1334">
        <v>-68.900000000000006</v>
      </c>
      <c r="N1334">
        <v>13</v>
      </c>
      <c r="O1334">
        <v>13</v>
      </c>
      <c r="P1334" t="s">
        <v>523</v>
      </c>
      <c r="Q1334" t="s">
        <v>414</v>
      </c>
      <c r="R1334">
        <v>10</v>
      </c>
      <c r="S1334">
        <v>2.8</v>
      </c>
      <c r="T1334">
        <v>41929.008000000002</v>
      </c>
      <c r="V1334">
        <v>41929.008000000002</v>
      </c>
      <c r="W1334" t="s">
        <v>401</v>
      </c>
      <c r="X1334">
        <v>3.2</v>
      </c>
      <c r="Y1334">
        <v>-68.099999999999994</v>
      </c>
    </row>
    <row r="1335" spans="1:25" x14ac:dyDescent="0.45">
      <c r="A1335">
        <v>14</v>
      </c>
      <c r="B1335">
        <v>14</v>
      </c>
      <c r="C1335" t="s">
        <v>419</v>
      </c>
      <c r="D1335" t="s">
        <v>414</v>
      </c>
      <c r="E1335">
        <v>10</v>
      </c>
      <c r="F1335">
        <v>2.81</v>
      </c>
      <c r="G1335">
        <v>47779.652000000002</v>
      </c>
      <c r="I1335">
        <v>47779.652000000002</v>
      </c>
      <c r="J1335" t="s">
        <v>403</v>
      </c>
      <c r="K1335">
        <v>5.0999999999999996</v>
      </c>
      <c r="L1335">
        <v>-48.5</v>
      </c>
      <c r="N1335">
        <v>14</v>
      </c>
      <c r="O1335">
        <v>14</v>
      </c>
      <c r="P1335" t="s">
        <v>524</v>
      </c>
      <c r="Q1335" t="s">
        <v>414</v>
      </c>
      <c r="R1335">
        <v>10</v>
      </c>
      <c r="S1335">
        <v>2.8</v>
      </c>
      <c r="T1335">
        <v>26629.145</v>
      </c>
      <c r="V1335">
        <v>26629.145</v>
      </c>
      <c r="W1335" t="s">
        <v>403</v>
      </c>
      <c r="X1335">
        <v>2</v>
      </c>
      <c r="Y1335">
        <v>-79.7</v>
      </c>
    </row>
    <row r="1336" spans="1:25" x14ac:dyDescent="0.45">
      <c r="A1336">
        <v>15</v>
      </c>
      <c r="B1336">
        <v>15</v>
      </c>
      <c r="C1336" t="s">
        <v>420</v>
      </c>
      <c r="D1336" t="s">
        <v>414</v>
      </c>
      <c r="E1336">
        <v>10</v>
      </c>
      <c r="F1336">
        <v>2.81</v>
      </c>
      <c r="G1336">
        <v>41973.648000000001</v>
      </c>
      <c r="I1336">
        <v>41973.648000000001</v>
      </c>
      <c r="J1336" t="s">
        <v>401</v>
      </c>
      <c r="K1336">
        <v>4.5</v>
      </c>
      <c r="L1336">
        <v>-54.8</v>
      </c>
      <c r="N1336">
        <v>15</v>
      </c>
      <c r="O1336">
        <v>15</v>
      </c>
      <c r="P1336" t="s">
        <v>525</v>
      </c>
      <c r="Q1336" t="s">
        <v>414</v>
      </c>
      <c r="R1336">
        <v>10</v>
      </c>
      <c r="S1336">
        <v>2.8</v>
      </c>
      <c r="T1336">
        <v>29385.945</v>
      </c>
      <c r="V1336">
        <v>29385.945</v>
      </c>
      <c r="W1336" t="s">
        <v>403</v>
      </c>
      <c r="X1336">
        <v>2.2000000000000002</v>
      </c>
      <c r="Y1336">
        <v>-77.599999999999994</v>
      </c>
    </row>
    <row r="1337" spans="1:25" x14ac:dyDescent="0.45">
      <c r="A1337">
        <v>16</v>
      </c>
      <c r="B1337">
        <v>16</v>
      </c>
      <c r="C1337" t="s">
        <v>421</v>
      </c>
      <c r="D1337" t="s">
        <v>414</v>
      </c>
      <c r="E1337">
        <v>10</v>
      </c>
      <c r="F1337">
        <v>2.81</v>
      </c>
      <c r="G1337">
        <v>44841.082000000002</v>
      </c>
      <c r="I1337">
        <v>44841.082000000002</v>
      </c>
      <c r="J1337" t="s">
        <v>403</v>
      </c>
      <c r="K1337">
        <v>4.8</v>
      </c>
      <c r="L1337">
        <v>-51.7</v>
      </c>
      <c r="N1337">
        <v>16</v>
      </c>
      <c r="O1337">
        <v>16</v>
      </c>
      <c r="P1337" t="s">
        <v>526</v>
      </c>
      <c r="Q1337" t="s">
        <v>414</v>
      </c>
      <c r="R1337">
        <v>10</v>
      </c>
      <c r="S1337">
        <v>2.8</v>
      </c>
      <c r="T1337">
        <v>45724.652000000002</v>
      </c>
      <c r="V1337">
        <v>45724.652000000002</v>
      </c>
      <c r="W1337" t="s">
        <v>401</v>
      </c>
      <c r="X1337">
        <v>3.5</v>
      </c>
      <c r="Y1337">
        <v>-65.2</v>
      </c>
    </row>
    <row r="1338" spans="1:25" x14ac:dyDescent="0.45">
      <c r="A1338">
        <v>17</v>
      </c>
      <c r="B1338">
        <v>17</v>
      </c>
      <c r="C1338" t="s">
        <v>422</v>
      </c>
      <c r="D1338" t="s">
        <v>414</v>
      </c>
      <c r="E1338">
        <v>10</v>
      </c>
      <c r="F1338">
        <v>2.81</v>
      </c>
      <c r="G1338">
        <v>44476.762000000002</v>
      </c>
      <c r="I1338">
        <v>44476.762000000002</v>
      </c>
      <c r="J1338" t="s">
        <v>403</v>
      </c>
      <c r="K1338">
        <v>4.8</v>
      </c>
      <c r="L1338">
        <v>-52.1</v>
      </c>
      <c r="N1338">
        <v>17</v>
      </c>
      <c r="O1338">
        <v>17</v>
      </c>
      <c r="P1338" t="s">
        <v>527</v>
      </c>
      <c r="Q1338" t="s">
        <v>414</v>
      </c>
      <c r="R1338">
        <v>10</v>
      </c>
      <c r="S1338">
        <v>2.81</v>
      </c>
      <c r="T1338">
        <v>27573.828000000001</v>
      </c>
      <c r="V1338">
        <v>27573.828000000001</v>
      </c>
      <c r="W1338" t="s">
        <v>401</v>
      </c>
      <c r="X1338">
        <v>2.1</v>
      </c>
      <c r="Y1338">
        <v>-79</v>
      </c>
    </row>
    <row r="1339" spans="1:25" x14ac:dyDescent="0.45">
      <c r="A1339">
        <v>18</v>
      </c>
      <c r="B1339">
        <v>18</v>
      </c>
      <c r="C1339" t="s">
        <v>423</v>
      </c>
      <c r="D1339" t="s">
        <v>414</v>
      </c>
      <c r="E1339">
        <v>10</v>
      </c>
      <c r="F1339">
        <v>2.81</v>
      </c>
      <c r="G1339">
        <v>47677.940999999999</v>
      </c>
      <c r="I1339">
        <v>47677.940999999999</v>
      </c>
      <c r="J1339" t="s">
        <v>401</v>
      </c>
      <c r="K1339">
        <v>5.0999999999999996</v>
      </c>
      <c r="L1339">
        <v>-48.6</v>
      </c>
      <c r="N1339">
        <v>18</v>
      </c>
      <c r="O1339">
        <v>18</v>
      </c>
      <c r="P1339" t="s">
        <v>528</v>
      </c>
      <c r="Q1339" t="s">
        <v>414</v>
      </c>
      <c r="R1339">
        <v>10</v>
      </c>
      <c r="S1339">
        <v>2.81</v>
      </c>
      <c r="T1339">
        <v>32794.449000000001</v>
      </c>
      <c r="V1339">
        <v>32794.449000000001</v>
      </c>
      <c r="W1339" t="s">
        <v>401</v>
      </c>
      <c r="X1339">
        <v>2.5</v>
      </c>
      <c r="Y1339">
        <v>-75</v>
      </c>
    </row>
    <row r="1340" spans="1:25" x14ac:dyDescent="0.45">
      <c r="A1340">
        <v>19</v>
      </c>
      <c r="B1340">
        <v>19</v>
      </c>
      <c r="C1340" t="s">
        <v>424</v>
      </c>
      <c r="D1340" t="s">
        <v>414</v>
      </c>
      <c r="E1340">
        <v>10</v>
      </c>
      <c r="F1340">
        <v>2.81</v>
      </c>
      <c r="G1340">
        <v>47722.449000000001</v>
      </c>
      <c r="I1340">
        <v>47722.449000000001</v>
      </c>
      <c r="J1340" t="s">
        <v>401</v>
      </c>
      <c r="K1340">
        <v>5.0999999999999996</v>
      </c>
      <c r="L1340">
        <v>-48.6</v>
      </c>
      <c r="N1340">
        <v>19</v>
      </c>
      <c r="O1340">
        <v>19</v>
      </c>
      <c r="P1340" t="s">
        <v>529</v>
      </c>
      <c r="Q1340" t="s">
        <v>414</v>
      </c>
      <c r="R1340">
        <v>10</v>
      </c>
      <c r="S1340">
        <v>2.81</v>
      </c>
      <c r="T1340">
        <v>57897.152000000002</v>
      </c>
      <c r="V1340">
        <v>57897.152000000002</v>
      </c>
      <c r="W1340" t="s">
        <v>401</v>
      </c>
      <c r="X1340">
        <v>4.4000000000000004</v>
      </c>
      <c r="Y1340">
        <v>-55.9</v>
      </c>
    </row>
    <row r="1341" spans="1:25" x14ac:dyDescent="0.45">
      <c r="A1341">
        <v>20</v>
      </c>
      <c r="B1341">
        <v>20</v>
      </c>
      <c r="C1341" t="s">
        <v>425</v>
      </c>
      <c r="D1341" t="s">
        <v>414</v>
      </c>
      <c r="E1341">
        <v>10</v>
      </c>
      <c r="F1341">
        <v>2.81</v>
      </c>
      <c r="G1341">
        <v>31126.537</v>
      </c>
      <c r="I1341">
        <v>31126.537</v>
      </c>
      <c r="J1341" t="s">
        <v>401</v>
      </c>
      <c r="K1341">
        <v>3.4</v>
      </c>
      <c r="L1341">
        <v>-66.5</v>
      </c>
      <c r="N1341">
        <v>20</v>
      </c>
      <c r="O1341">
        <v>20</v>
      </c>
      <c r="P1341" t="s">
        <v>530</v>
      </c>
      <c r="Q1341" t="s">
        <v>414</v>
      </c>
      <c r="R1341">
        <v>10</v>
      </c>
      <c r="S1341">
        <v>2.81</v>
      </c>
      <c r="T1341">
        <v>29653.035</v>
      </c>
      <c r="V1341">
        <v>29653.035</v>
      </c>
      <c r="W1341" t="s">
        <v>401</v>
      </c>
      <c r="X1341">
        <v>2.2999999999999998</v>
      </c>
      <c r="Y1341">
        <v>-77.400000000000006</v>
      </c>
    </row>
    <row r="1342" spans="1:25" x14ac:dyDescent="0.45">
      <c r="A1342">
        <v>21</v>
      </c>
      <c r="B1342">
        <v>21</v>
      </c>
      <c r="C1342" t="s">
        <v>426</v>
      </c>
      <c r="D1342" t="s">
        <v>414</v>
      </c>
      <c r="E1342">
        <v>10</v>
      </c>
      <c r="F1342">
        <v>2.81</v>
      </c>
      <c r="G1342">
        <v>46073.02</v>
      </c>
      <c r="I1342">
        <v>46073.02</v>
      </c>
      <c r="J1342" t="s">
        <v>401</v>
      </c>
      <c r="K1342">
        <v>5</v>
      </c>
      <c r="L1342">
        <v>-50.4</v>
      </c>
      <c r="N1342">
        <v>21</v>
      </c>
      <c r="O1342">
        <v>21</v>
      </c>
      <c r="P1342" t="s">
        <v>531</v>
      </c>
      <c r="Q1342" t="s">
        <v>414</v>
      </c>
      <c r="R1342">
        <v>10</v>
      </c>
      <c r="S1342">
        <v>2.81</v>
      </c>
      <c r="T1342">
        <v>29433.728999999999</v>
      </c>
      <c r="V1342">
        <v>29433.728999999999</v>
      </c>
      <c r="W1342" t="s">
        <v>403</v>
      </c>
      <c r="X1342">
        <v>2.2000000000000002</v>
      </c>
      <c r="Y1342">
        <v>-77.599999999999994</v>
      </c>
    </row>
    <row r="1343" spans="1:25" x14ac:dyDescent="0.45">
      <c r="A1343">
        <v>22</v>
      </c>
      <c r="B1343">
        <v>22</v>
      </c>
      <c r="C1343" t="s">
        <v>427</v>
      </c>
      <c r="D1343" t="s">
        <v>414</v>
      </c>
      <c r="E1343">
        <v>10</v>
      </c>
      <c r="F1343">
        <v>2.81</v>
      </c>
      <c r="G1343">
        <v>22960.187999999998</v>
      </c>
      <c r="I1343">
        <v>22960.187999999998</v>
      </c>
      <c r="J1343" t="s">
        <v>403</v>
      </c>
      <c r="K1343">
        <v>2.5</v>
      </c>
      <c r="L1343">
        <v>-75.3</v>
      </c>
      <c r="N1343">
        <v>22</v>
      </c>
      <c r="O1343">
        <v>22</v>
      </c>
      <c r="P1343" t="s">
        <v>532</v>
      </c>
      <c r="Q1343" t="s">
        <v>414</v>
      </c>
      <c r="R1343">
        <v>10</v>
      </c>
      <c r="S1343">
        <v>2.81</v>
      </c>
      <c r="T1343">
        <v>34721.004000000001</v>
      </c>
      <c r="V1343">
        <v>34721.004000000001</v>
      </c>
      <c r="W1343" t="s">
        <v>403</v>
      </c>
      <c r="X1343">
        <v>2.6</v>
      </c>
      <c r="Y1343">
        <v>-73.599999999999994</v>
      </c>
    </row>
    <row r="1344" spans="1:25" x14ac:dyDescent="0.45">
      <c r="A1344">
        <v>23</v>
      </c>
      <c r="B1344">
        <v>23</v>
      </c>
      <c r="C1344" t="s">
        <v>428</v>
      </c>
      <c r="D1344" t="s">
        <v>414</v>
      </c>
      <c r="E1344">
        <v>10</v>
      </c>
      <c r="F1344">
        <v>2.81</v>
      </c>
      <c r="G1344">
        <v>26251.32</v>
      </c>
      <c r="I1344">
        <v>26251.32</v>
      </c>
      <c r="J1344" t="s">
        <v>403</v>
      </c>
      <c r="K1344">
        <v>2.8</v>
      </c>
      <c r="L1344">
        <v>-71.7</v>
      </c>
      <c r="N1344">
        <v>23</v>
      </c>
      <c r="O1344">
        <v>23</v>
      </c>
      <c r="P1344" t="s">
        <v>533</v>
      </c>
      <c r="Q1344" t="s">
        <v>414</v>
      </c>
      <c r="R1344">
        <v>10</v>
      </c>
      <c r="S1344">
        <v>2.81</v>
      </c>
      <c r="T1344">
        <v>38887.836000000003</v>
      </c>
      <c r="V1344">
        <v>38887.836000000003</v>
      </c>
      <c r="W1344" t="s">
        <v>401</v>
      </c>
      <c r="X1344">
        <v>3</v>
      </c>
      <c r="Y1344">
        <v>-70.400000000000006</v>
      </c>
    </row>
    <row r="1345" spans="1:25" x14ac:dyDescent="0.45">
      <c r="A1345">
        <v>24</v>
      </c>
      <c r="B1345">
        <v>24</v>
      </c>
      <c r="C1345" t="s">
        <v>429</v>
      </c>
      <c r="D1345" t="s">
        <v>414</v>
      </c>
      <c r="E1345">
        <v>10</v>
      </c>
      <c r="F1345">
        <v>2.81</v>
      </c>
      <c r="G1345">
        <v>31467.695</v>
      </c>
      <c r="I1345">
        <v>31467.695</v>
      </c>
      <c r="J1345" t="s">
        <v>403</v>
      </c>
      <c r="K1345">
        <v>3.4</v>
      </c>
      <c r="L1345">
        <v>-66.099999999999994</v>
      </c>
      <c r="N1345">
        <v>24</v>
      </c>
      <c r="O1345">
        <v>24</v>
      </c>
      <c r="P1345" t="s">
        <v>534</v>
      </c>
      <c r="Q1345" t="s">
        <v>414</v>
      </c>
      <c r="R1345">
        <v>10</v>
      </c>
      <c r="S1345">
        <v>2.81</v>
      </c>
      <c r="T1345">
        <v>34815.644999999997</v>
      </c>
      <c r="V1345">
        <v>34815.644999999997</v>
      </c>
      <c r="W1345" t="s">
        <v>403</v>
      </c>
      <c r="X1345">
        <v>2.7</v>
      </c>
      <c r="Y1345">
        <v>-73.5</v>
      </c>
    </row>
    <row r="1346" spans="1:25" x14ac:dyDescent="0.45">
      <c r="A1346">
        <v>25</v>
      </c>
      <c r="B1346">
        <v>25</v>
      </c>
      <c r="C1346" t="s">
        <v>430</v>
      </c>
      <c r="D1346" t="s">
        <v>414</v>
      </c>
      <c r="E1346">
        <v>10</v>
      </c>
      <c r="F1346">
        <v>2.81</v>
      </c>
      <c r="G1346">
        <v>33507.792999999998</v>
      </c>
      <c r="I1346">
        <v>33507.792999999998</v>
      </c>
      <c r="J1346" t="s">
        <v>403</v>
      </c>
      <c r="K1346">
        <v>3.6</v>
      </c>
      <c r="L1346">
        <v>-63.9</v>
      </c>
      <c r="N1346">
        <v>25</v>
      </c>
      <c r="O1346">
        <v>25</v>
      </c>
      <c r="P1346" t="s">
        <v>535</v>
      </c>
      <c r="Q1346" t="s">
        <v>414</v>
      </c>
      <c r="R1346">
        <v>10</v>
      </c>
      <c r="S1346">
        <v>2.81</v>
      </c>
      <c r="T1346">
        <v>48963.288999999997</v>
      </c>
      <c r="V1346">
        <v>48963.288999999997</v>
      </c>
      <c r="W1346" t="s">
        <v>401</v>
      </c>
      <c r="X1346">
        <v>3.7</v>
      </c>
      <c r="Y1346">
        <v>-62.7</v>
      </c>
    </row>
    <row r="1347" spans="1:25" x14ac:dyDescent="0.45">
      <c r="A1347">
        <v>26</v>
      </c>
      <c r="B1347">
        <v>26</v>
      </c>
      <c r="C1347" t="s">
        <v>431</v>
      </c>
      <c r="D1347" t="s">
        <v>414</v>
      </c>
      <c r="E1347">
        <v>10</v>
      </c>
      <c r="F1347">
        <v>2.81</v>
      </c>
      <c r="G1347">
        <v>30449.791000000001</v>
      </c>
      <c r="I1347">
        <v>30449.791000000001</v>
      </c>
      <c r="J1347" t="s">
        <v>403</v>
      </c>
      <c r="K1347">
        <v>3.3</v>
      </c>
      <c r="L1347">
        <v>-67.2</v>
      </c>
      <c r="N1347">
        <v>26</v>
      </c>
      <c r="O1347">
        <v>26</v>
      </c>
      <c r="P1347" t="s">
        <v>536</v>
      </c>
      <c r="Q1347" t="s">
        <v>414</v>
      </c>
      <c r="R1347">
        <v>10</v>
      </c>
      <c r="S1347">
        <v>2.81</v>
      </c>
      <c r="T1347">
        <v>25055.787</v>
      </c>
      <c r="V1347">
        <v>25055.787</v>
      </c>
      <c r="W1347" t="s">
        <v>401</v>
      </c>
      <c r="X1347">
        <v>1.9</v>
      </c>
      <c r="Y1347">
        <v>-80.900000000000006</v>
      </c>
    </row>
    <row r="1348" spans="1:25" x14ac:dyDescent="0.45">
      <c r="A1348">
        <v>27</v>
      </c>
      <c r="B1348">
        <v>27</v>
      </c>
      <c r="C1348" t="s">
        <v>432</v>
      </c>
      <c r="D1348" t="s">
        <v>414</v>
      </c>
      <c r="E1348">
        <v>10</v>
      </c>
      <c r="F1348">
        <v>2.81</v>
      </c>
      <c r="G1348">
        <v>28251.775000000001</v>
      </c>
      <c r="I1348">
        <v>28251.775000000001</v>
      </c>
      <c r="J1348" t="s">
        <v>401</v>
      </c>
      <c r="K1348">
        <v>3</v>
      </c>
      <c r="L1348">
        <v>-69.599999999999994</v>
      </c>
      <c r="N1348">
        <v>27</v>
      </c>
      <c r="O1348">
        <v>27</v>
      </c>
      <c r="P1348" t="s">
        <v>537</v>
      </c>
      <c r="Q1348" t="s">
        <v>414</v>
      </c>
      <c r="R1348">
        <v>10</v>
      </c>
      <c r="S1348">
        <v>2.81</v>
      </c>
      <c r="T1348">
        <v>21222.025000000001</v>
      </c>
      <c r="V1348">
        <v>21222.025000000001</v>
      </c>
      <c r="W1348" t="s">
        <v>401</v>
      </c>
      <c r="X1348">
        <v>1.6</v>
      </c>
      <c r="Y1348">
        <v>-83.8</v>
      </c>
    </row>
    <row r="1349" spans="1:25" x14ac:dyDescent="0.45">
      <c r="A1349">
        <v>28</v>
      </c>
      <c r="B1349">
        <v>28</v>
      </c>
      <c r="C1349" t="s">
        <v>433</v>
      </c>
      <c r="D1349" t="s">
        <v>414</v>
      </c>
      <c r="E1349">
        <v>10</v>
      </c>
      <c r="F1349">
        <v>2.81</v>
      </c>
      <c r="G1349">
        <v>33173.711000000003</v>
      </c>
      <c r="I1349">
        <v>33173.711000000003</v>
      </c>
      <c r="J1349" t="s">
        <v>403</v>
      </c>
      <c r="K1349">
        <v>3.6</v>
      </c>
      <c r="L1349">
        <v>-64.3</v>
      </c>
      <c r="N1349">
        <v>28</v>
      </c>
      <c r="O1349">
        <v>28</v>
      </c>
      <c r="P1349" t="s">
        <v>538</v>
      </c>
      <c r="Q1349" t="s">
        <v>414</v>
      </c>
      <c r="R1349">
        <v>10</v>
      </c>
      <c r="S1349">
        <v>2.81</v>
      </c>
      <c r="T1349">
        <v>29085.828000000001</v>
      </c>
      <c r="V1349">
        <v>29085.828000000001</v>
      </c>
      <c r="W1349" t="s">
        <v>401</v>
      </c>
      <c r="X1349">
        <v>2.2000000000000002</v>
      </c>
      <c r="Y1349">
        <v>-77.8</v>
      </c>
    </row>
    <row r="1350" spans="1:25" x14ac:dyDescent="0.45">
      <c r="A1350">
        <v>29</v>
      </c>
      <c r="B1350">
        <v>29</v>
      </c>
      <c r="C1350" t="s">
        <v>434</v>
      </c>
      <c r="D1350" t="s">
        <v>414</v>
      </c>
      <c r="E1350">
        <v>10</v>
      </c>
      <c r="F1350">
        <v>2.81</v>
      </c>
      <c r="G1350">
        <v>27324.113000000001</v>
      </c>
      <c r="I1350">
        <v>27324.113000000001</v>
      </c>
      <c r="J1350" t="s">
        <v>401</v>
      </c>
      <c r="K1350">
        <v>2.9</v>
      </c>
      <c r="L1350">
        <v>-70.599999999999994</v>
      </c>
      <c r="N1350">
        <v>29</v>
      </c>
      <c r="O1350">
        <v>29</v>
      </c>
      <c r="P1350" t="s">
        <v>539</v>
      </c>
      <c r="Q1350" t="s">
        <v>414</v>
      </c>
      <c r="R1350">
        <v>10</v>
      </c>
      <c r="S1350">
        <v>2.81</v>
      </c>
      <c r="T1350">
        <v>37808.120999999999</v>
      </c>
      <c r="V1350">
        <v>37808.120999999999</v>
      </c>
      <c r="W1350" t="s">
        <v>415</v>
      </c>
      <c r="X1350">
        <v>2.9</v>
      </c>
      <c r="Y1350">
        <v>-71.2</v>
      </c>
    </row>
    <row r="1351" spans="1:25" x14ac:dyDescent="0.45">
      <c r="A1351">
        <v>30</v>
      </c>
      <c r="B1351">
        <v>30</v>
      </c>
      <c r="C1351" t="s">
        <v>435</v>
      </c>
      <c r="D1351" t="s">
        <v>414</v>
      </c>
      <c r="E1351">
        <v>10</v>
      </c>
      <c r="F1351">
        <v>2.81</v>
      </c>
      <c r="G1351">
        <v>23075.34</v>
      </c>
      <c r="I1351">
        <v>23075.34</v>
      </c>
      <c r="J1351" t="s">
        <v>401</v>
      </c>
      <c r="K1351">
        <v>2.5</v>
      </c>
      <c r="L1351">
        <v>-75.099999999999994</v>
      </c>
      <c r="N1351">
        <v>30</v>
      </c>
      <c r="O1351">
        <v>30</v>
      </c>
      <c r="P1351" t="s">
        <v>540</v>
      </c>
      <c r="Q1351" t="s">
        <v>414</v>
      </c>
      <c r="R1351">
        <v>10</v>
      </c>
      <c r="S1351">
        <v>2.81</v>
      </c>
      <c r="T1351">
        <v>38764.953000000001</v>
      </c>
      <c r="V1351">
        <v>38764.953000000001</v>
      </c>
      <c r="W1351" t="s">
        <v>401</v>
      </c>
      <c r="X1351">
        <v>3</v>
      </c>
      <c r="Y1351">
        <v>-70.5</v>
      </c>
    </row>
    <row r="1352" spans="1:25" x14ac:dyDescent="0.45">
      <c r="A1352">
        <v>31</v>
      </c>
      <c r="B1352">
        <v>31</v>
      </c>
      <c r="C1352" t="s">
        <v>436</v>
      </c>
      <c r="D1352" t="s">
        <v>414</v>
      </c>
      <c r="E1352">
        <v>10</v>
      </c>
      <c r="F1352">
        <v>2.81</v>
      </c>
      <c r="G1352">
        <v>38690.695</v>
      </c>
      <c r="I1352">
        <v>38690.695</v>
      </c>
      <c r="J1352" t="s">
        <v>401</v>
      </c>
      <c r="K1352">
        <v>4.2</v>
      </c>
      <c r="L1352">
        <v>-58.3</v>
      </c>
      <c r="N1352">
        <v>31</v>
      </c>
      <c r="O1352">
        <v>31</v>
      </c>
      <c r="P1352" t="s">
        <v>541</v>
      </c>
      <c r="Q1352" t="s">
        <v>414</v>
      </c>
      <c r="R1352">
        <v>10</v>
      </c>
      <c r="S1352">
        <v>2.81</v>
      </c>
      <c r="T1352">
        <v>30695.300999999999</v>
      </c>
      <c r="V1352">
        <v>30695.300999999999</v>
      </c>
      <c r="W1352" t="s">
        <v>401</v>
      </c>
      <c r="X1352">
        <v>2.2999999999999998</v>
      </c>
      <c r="Y1352">
        <v>-76.599999999999994</v>
      </c>
    </row>
    <row r="1353" spans="1:25" x14ac:dyDescent="0.45">
      <c r="A1353">
        <v>32</v>
      </c>
      <c r="B1353">
        <v>32</v>
      </c>
      <c r="C1353" t="s">
        <v>437</v>
      </c>
      <c r="D1353" t="s">
        <v>414</v>
      </c>
      <c r="E1353">
        <v>10</v>
      </c>
      <c r="F1353">
        <v>2.81</v>
      </c>
      <c r="G1353">
        <v>27913.932000000001</v>
      </c>
      <c r="I1353">
        <v>27913.932000000001</v>
      </c>
      <c r="J1353" t="s">
        <v>403</v>
      </c>
      <c r="K1353">
        <v>3</v>
      </c>
      <c r="L1353">
        <v>-69.900000000000006</v>
      </c>
      <c r="N1353">
        <v>32</v>
      </c>
      <c r="O1353">
        <v>32</v>
      </c>
      <c r="P1353" t="s">
        <v>542</v>
      </c>
      <c r="Q1353" t="s">
        <v>414</v>
      </c>
      <c r="R1353">
        <v>10</v>
      </c>
      <c r="S1353">
        <v>2.81</v>
      </c>
      <c r="T1353">
        <v>30905.263999999999</v>
      </c>
      <c r="V1353">
        <v>30905.263999999999</v>
      </c>
      <c r="W1353" t="s">
        <v>401</v>
      </c>
      <c r="X1353">
        <v>2.4</v>
      </c>
      <c r="Y1353">
        <v>-76.5</v>
      </c>
    </row>
    <row r="1354" spans="1:25" x14ac:dyDescent="0.45">
      <c r="A1354">
        <v>33</v>
      </c>
      <c r="B1354">
        <v>33</v>
      </c>
      <c r="C1354" t="s">
        <v>438</v>
      </c>
      <c r="D1354" t="s">
        <v>414</v>
      </c>
      <c r="E1354">
        <v>10</v>
      </c>
      <c r="F1354">
        <v>2.81</v>
      </c>
      <c r="G1354">
        <v>29889.187999999998</v>
      </c>
      <c r="I1354">
        <v>29889.187999999998</v>
      </c>
      <c r="J1354" t="s">
        <v>403</v>
      </c>
      <c r="K1354">
        <v>3.2</v>
      </c>
      <c r="L1354">
        <v>-67.8</v>
      </c>
      <c r="N1354">
        <v>33</v>
      </c>
      <c r="O1354">
        <v>33</v>
      </c>
      <c r="P1354" t="s">
        <v>543</v>
      </c>
      <c r="Q1354" t="s">
        <v>414</v>
      </c>
      <c r="R1354">
        <v>10</v>
      </c>
      <c r="S1354">
        <v>2.81</v>
      </c>
      <c r="T1354">
        <v>24396.973000000002</v>
      </c>
      <c r="V1354">
        <v>24396.973000000002</v>
      </c>
      <c r="W1354" t="s">
        <v>403</v>
      </c>
      <c r="X1354">
        <v>1.9</v>
      </c>
      <c r="Y1354">
        <v>-81.400000000000006</v>
      </c>
    </row>
    <row r="1355" spans="1:25" x14ac:dyDescent="0.45">
      <c r="A1355">
        <v>34</v>
      </c>
      <c r="B1355">
        <v>34</v>
      </c>
      <c r="C1355" t="s">
        <v>439</v>
      </c>
      <c r="D1355" t="s">
        <v>414</v>
      </c>
      <c r="E1355">
        <v>10</v>
      </c>
      <c r="F1355">
        <v>2.81</v>
      </c>
      <c r="G1355">
        <v>32617.508000000002</v>
      </c>
      <c r="I1355">
        <v>32617.508000000002</v>
      </c>
      <c r="J1355" t="s">
        <v>403</v>
      </c>
      <c r="K1355">
        <v>3.5</v>
      </c>
      <c r="L1355">
        <v>-64.900000000000006</v>
      </c>
      <c r="N1355">
        <v>34</v>
      </c>
      <c r="O1355">
        <v>34</v>
      </c>
      <c r="P1355" t="s">
        <v>544</v>
      </c>
      <c r="Q1355" t="s">
        <v>414</v>
      </c>
      <c r="R1355">
        <v>10</v>
      </c>
      <c r="S1355">
        <v>2.81</v>
      </c>
      <c r="T1355">
        <v>26908.307000000001</v>
      </c>
      <c r="V1355">
        <v>26908.307000000001</v>
      </c>
      <c r="W1355" t="s">
        <v>401</v>
      </c>
      <c r="X1355">
        <v>2</v>
      </c>
      <c r="Y1355">
        <v>-79.5</v>
      </c>
    </row>
    <row r="1356" spans="1:25" x14ac:dyDescent="0.45">
      <c r="A1356">
        <v>35</v>
      </c>
      <c r="B1356">
        <v>35</v>
      </c>
      <c r="C1356" t="s">
        <v>440</v>
      </c>
      <c r="D1356" t="s">
        <v>414</v>
      </c>
      <c r="E1356">
        <v>10</v>
      </c>
      <c r="F1356">
        <v>2.81</v>
      </c>
      <c r="G1356">
        <v>38328.726999999999</v>
      </c>
      <c r="I1356">
        <v>38328.726999999999</v>
      </c>
      <c r="J1356" t="s">
        <v>403</v>
      </c>
      <c r="K1356">
        <v>4.0999999999999996</v>
      </c>
      <c r="L1356">
        <v>-58.7</v>
      </c>
      <c r="N1356">
        <v>35</v>
      </c>
      <c r="O1356">
        <v>35</v>
      </c>
      <c r="P1356" t="s">
        <v>545</v>
      </c>
      <c r="Q1356" t="s">
        <v>414</v>
      </c>
      <c r="R1356">
        <v>10</v>
      </c>
      <c r="S1356">
        <v>2.81</v>
      </c>
      <c r="T1356">
        <v>22746.907999999999</v>
      </c>
      <c r="V1356">
        <v>22746.907999999999</v>
      </c>
      <c r="W1356" t="s">
        <v>401</v>
      </c>
      <c r="X1356">
        <v>1.7</v>
      </c>
      <c r="Y1356">
        <v>-82.7</v>
      </c>
    </row>
    <row r="1357" spans="1:25" x14ac:dyDescent="0.45">
      <c r="A1357">
        <v>36</v>
      </c>
      <c r="B1357">
        <v>36</v>
      </c>
      <c r="C1357" t="s">
        <v>441</v>
      </c>
      <c r="D1357" t="s">
        <v>414</v>
      </c>
      <c r="E1357">
        <v>10</v>
      </c>
      <c r="F1357">
        <v>2.81</v>
      </c>
      <c r="G1357">
        <v>33316.108999999997</v>
      </c>
      <c r="I1357">
        <v>33316.108999999997</v>
      </c>
      <c r="J1357" t="s">
        <v>403</v>
      </c>
      <c r="K1357">
        <v>3.6</v>
      </c>
      <c r="L1357">
        <v>-64.099999999999994</v>
      </c>
      <c r="N1357">
        <v>36</v>
      </c>
      <c r="O1357">
        <v>36</v>
      </c>
      <c r="P1357" t="s">
        <v>546</v>
      </c>
      <c r="Q1357" t="s">
        <v>414</v>
      </c>
      <c r="R1357">
        <v>10</v>
      </c>
      <c r="S1357">
        <v>2.81</v>
      </c>
      <c r="T1357">
        <v>39284.027000000002</v>
      </c>
      <c r="V1357">
        <v>39284.027000000002</v>
      </c>
      <c r="W1357" t="s">
        <v>403</v>
      </c>
      <c r="X1357">
        <v>3</v>
      </c>
      <c r="Y1357">
        <v>-70.099999999999994</v>
      </c>
    </row>
    <row r="1358" spans="1:25" x14ac:dyDescent="0.45">
      <c r="A1358">
        <v>37</v>
      </c>
      <c r="B1358">
        <v>37</v>
      </c>
      <c r="C1358" t="s">
        <v>442</v>
      </c>
      <c r="D1358" t="s">
        <v>414</v>
      </c>
      <c r="E1358">
        <v>10</v>
      </c>
      <c r="F1358">
        <v>2.81</v>
      </c>
      <c r="G1358">
        <v>35440.858999999997</v>
      </c>
      <c r="I1358">
        <v>35440.858999999997</v>
      </c>
      <c r="J1358" t="s">
        <v>401</v>
      </c>
      <c r="K1358">
        <v>3.8</v>
      </c>
      <c r="L1358">
        <v>-61.8</v>
      </c>
      <c r="N1358">
        <v>37</v>
      </c>
      <c r="O1358">
        <v>37</v>
      </c>
      <c r="P1358" t="s">
        <v>547</v>
      </c>
      <c r="Q1358" t="s">
        <v>414</v>
      </c>
      <c r="R1358">
        <v>10</v>
      </c>
      <c r="S1358">
        <v>2.81</v>
      </c>
      <c r="T1358">
        <v>27871.921999999999</v>
      </c>
      <c r="V1358">
        <v>27871.921999999999</v>
      </c>
      <c r="W1358" t="s">
        <v>401</v>
      </c>
      <c r="X1358">
        <v>2.1</v>
      </c>
      <c r="Y1358">
        <v>-78.8</v>
      </c>
    </row>
    <row r="1359" spans="1:25" x14ac:dyDescent="0.45">
      <c r="A1359">
        <v>38</v>
      </c>
      <c r="B1359">
        <v>38</v>
      </c>
      <c r="C1359" t="s">
        <v>443</v>
      </c>
      <c r="D1359" t="s">
        <v>414</v>
      </c>
      <c r="E1359">
        <v>10</v>
      </c>
      <c r="F1359">
        <v>2.81</v>
      </c>
      <c r="G1359">
        <v>27635.585999999999</v>
      </c>
      <c r="I1359">
        <v>27635.585999999999</v>
      </c>
      <c r="J1359" t="s">
        <v>403</v>
      </c>
      <c r="K1359">
        <v>3</v>
      </c>
      <c r="L1359">
        <v>-70.2</v>
      </c>
      <c r="N1359">
        <v>38</v>
      </c>
      <c r="O1359">
        <v>38</v>
      </c>
      <c r="P1359" t="s">
        <v>548</v>
      </c>
      <c r="Q1359" t="s">
        <v>414</v>
      </c>
      <c r="R1359">
        <v>10</v>
      </c>
      <c r="S1359">
        <v>2.81</v>
      </c>
      <c r="T1359">
        <v>26612.745999999999</v>
      </c>
      <c r="V1359">
        <v>26612.745999999999</v>
      </c>
      <c r="W1359" t="s">
        <v>403</v>
      </c>
      <c r="X1359">
        <v>2</v>
      </c>
      <c r="Y1359">
        <v>-79.7</v>
      </c>
    </row>
    <row r="1360" spans="1:25" x14ac:dyDescent="0.45">
      <c r="A1360">
        <v>39</v>
      </c>
      <c r="B1360">
        <v>39</v>
      </c>
      <c r="C1360" t="s">
        <v>444</v>
      </c>
      <c r="D1360" t="s">
        <v>414</v>
      </c>
      <c r="E1360">
        <v>10</v>
      </c>
      <c r="F1360">
        <v>2.81</v>
      </c>
      <c r="G1360">
        <v>32910.730000000003</v>
      </c>
      <c r="I1360">
        <v>32910.730000000003</v>
      </c>
      <c r="J1360" t="s">
        <v>401</v>
      </c>
      <c r="K1360">
        <v>3.5</v>
      </c>
      <c r="L1360">
        <v>-64.599999999999994</v>
      </c>
      <c r="N1360">
        <v>39</v>
      </c>
      <c r="O1360">
        <v>39</v>
      </c>
      <c r="P1360" t="s">
        <v>549</v>
      </c>
      <c r="Q1360" t="s">
        <v>414</v>
      </c>
      <c r="R1360">
        <v>10</v>
      </c>
      <c r="S1360">
        <v>2.81</v>
      </c>
      <c r="T1360">
        <v>22955.355</v>
      </c>
      <c r="V1360">
        <v>22955.355</v>
      </c>
      <c r="W1360" t="s">
        <v>403</v>
      </c>
      <c r="X1360">
        <v>1.7</v>
      </c>
      <c r="Y1360">
        <v>-82.5</v>
      </c>
    </row>
    <row r="1361" spans="1:25" x14ac:dyDescent="0.45">
      <c r="A1361">
        <v>40</v>
      </c>
      <c r="B1361">
        <v>40</v>
      </c>
      <c r="C1361" t="s">
        <v>445</v>
      </c>
      <c r="D1361" t="s">
        <v>414</v>
      </c>
      <c r="E1361">
        <v>10</v>
      </c>
      <c r="F1361">
        <v>2.81</v>
      </c>
      <c r="G1361">
        <v>54350.112999999998</v>
      </c>
      <c r="I1361">
        <v>54350.112999999998</v>
      </c>
      <c r="J1361" t="s">
        <v>401</v>
      </c>
      <c r="K1361">
        <v>5.9</v>
      </c>
      <c r="L1361">
        <v>-41.5</v>
      </c>
      <c r="N1361">
        <v>40</v>
      </c>
      <c r="O1361">
        <v>40</v>
      </c>
      <c r="P1361" t="s">
        <v>550</v>
      </c>
      <c r="Q1361" t="s">
        <v>414</v>
      </c>
      <c r="R1361">
        <v>10</v>
      </c>
      <c r="S1361">
        <v>2.81</v>
      </c>
      <c r="T1361">
        <v>29845.423999999999</v>
      </c>
      <c r="V1361">
        <v>29845.423999999999</v>
      </c>
      <c r="W1361" t="s">
        <v>403</v>
      </c>
      <c r="X1361">
        <v>2.2999999999999998</v>
      </c>
      <c r="Y1361">
        <v>-77.3</v>
      </c>
    </row>
    <row r="1362" spans="1:25" x14ac:dyDescent="0.45">
      <c r="A1362">
        <v>41</v>
      </c>
      <c r="B1362">
        <v>41</v>
      </c>
      <c r="C1362" t="s">
        <v>446</v>
      </c>
      <c r="D1362" t="s">
        <v>414</v>
      </c>
      <c r="E1362">
        <v>10</v>
      </c>
      <c r="F1362">
        <v>2.82</v>
      </c>
      <c r="G1362">
        <v>45150.57</v>
      </c>
      <c r="I1362">
        <v>45150.57</v>
      </c>
      <c r="J1362" t="s">
        <v>401</v>
      </c>
      <c r="K1362">
        <v>4.9000000000000004</v>
      </c>
      <c r="L1362">
        <v>-51.4</v>
      </c>
      <c r="N1362">
        <v>41</v>
      </c>
      <c r="O1362">
        <v>41</v>
      </c>
      <c r="P1362" t="s">
        <v>551</v>
      </c>
      <c r="Q1362" t="s">
        <v>414</v>
      </c>
      <c r="R1362">
        <v>10</v>
      </c>
      <c r="S1362">
        <v>2.81</v>
      </c>
      <c r="T1362">
        <v>42807.828000000001</v>
      </c>
      <c r="V1362">
        <v>42807.828000000001</v>
      </c>
      <c r="W1362" t="s">
        <v>403</v>
      </c>
      <c r="X1362">
        <v>3.3</v>
      </c>
      <c r="Y1362">
        <v>-67.400000000000006</v>
      </c>
    </row>
    <row r="1363" spans="1:25" x14ac:dyDescent="0.45">
      <c r="A1363">
        <v>42</v>
      </c>
      <c r="B1363">
        <v>42</v>
      </c>
      <c r="C1363" t="s">
        <v>447</v>
      </c>
      <c r="D1363" t="s">
        <v>414</v>
      </c>
      <c r="E1363">
        <v>10</v>
      </c>
      <c r="F1363">
        <v>2.81</v>
      </c>
      <c r="G1363">
        <v>47664.578000000001</v>
      </c>
      <c r="I1363">
        <v>47664.578000000001</v>
      </c>
      <c r="J1363" t="s">
        <v>403</v>
      </c>
      <c r="K1363">
        <v>5.0999999999999996</v>
      </c>
      <c r="L1363">
        <v>-48.7</v>
      </c>
      <c r="N1363">
        <v>42</v>
      </c>
      <c r="O1363">
        <v>42</v>
      </c>
      <c r="P1363" t="s">
        <v>552</v>
      </c>
      <c r="Q1363" t="s">
        <v>414</v>
      </c>
      <c r="R1363">
        <v>10</v>
      </c>
      <c r="S1363">
        <v>2.81</v>
      </c>
      <c r="T1363">
        <v>31504.971000000001</v>
      </c>
      <c r="V1363">
        <v>31504.971000000001</v>
      </c>
      <c r="W1363" t="s">
        <v>403</v>
      </c>
      <c r="X1363">
        <v>2.4</v>
      </c>
      <c r="Y1363">
        <v>-76</v>
      </c>
    </row>
    <row r="1364" spans="1:25" x14ac:dyDescent="0.45">
      <c r="A1364">
        <v>43</v>
      </c>
      <c r="B1364">
        <v>43</v>
      </c>
      <c r="C1364" t="s">
        <v>448</v>
      </c>
      <c r="D1364" t="s">
        <v>414</v>
      </c>
      <c r="E1364">
        <v>10</v>
      </c>
      <c r="F1364">
        <v>2.82</v>
      </c>
      <c r="G1364">
        <v>42751.445</v>
      </c>
      <c r="I1364">
        <v>42751.445</v>
      </c>
      <c r="J1364" t="s">
        <v>401</v>
      </c>
      <c r="K1364">
        <v>4.5999999999999996</v>
      </c>
      <c r="L1364">
        <v>-54</v>
      </c>
      <c r="N1364">
        <v>43</v>
      </c>
      <c r="O1364">
        <v>43</v>
      </c>
      <c r="P1364" t="s">
        <v>553</v>
      </c>
      <c r="Q1364" t="s">
        <v>414</v>
      </c>
      <c r="R1364">
        <v>10</v>
      </c>
      <c r="S1364">
        <v>2.81</v>
      </c>
      <c r="T1364">
        <v>26411.412</v>
      </c>
      <c r="V1364">
        <v>26411.412</v>
      </c>
      <c r="W1364" t="s">
        <v>401</v>
      </c>
      <c r="X1364">
        <v>2</v>
      </c>
      <c r="Y1364">
        <v>-79.900000000000006</v>
      </c>
    </row>
    <row r="1365" spans="1:25" x14ac:dyDescent="0.45">
      <c r="A1365">
        <v>44</v>
      </c>
      <c r="B1365">
        <v>44</v>
      </c>
      <c r="C1365" t="s">
        <v>449</v>
      </c>
      <c r="D1365" t="s">
        <v>414</v>
      </c>
      <c r="E1365">
        <v>10</v>
      </c>
      <c r="F1365">
        <v>2.81</v>
      </c>
      <c r="G1365">
        <v>45594.832000000002</v>
      </c>
      <c r="I1365">
        <v>45594.832000000002</v>
      </c>
      <c r="J1365" t="s">
        <v>401</v>
      </c>
      <c r="K1365">
        <v>4.9000000000000004</v>
      </c>
      <c r="L1365">
        <v>-50.9</v>
      </c>
      <c r="N1365">
        <v>44</v>
      </c>
      <c r="O1365">
        <v>44</v>
      </c>
      <c r="P1365" t="s">
        <v>554</v>
      </c>
      <c r="Q1365" t="s">
        <v>414</v>
      </c>
      <c r="R1365">
        <v>10</v>
      </c>
      <c r="S1365">
        <v>2.81</v>
      </c>
      <c r="T1365">
        <v>31106.798999999999</v>
      </c>
      <c r="V1365">
        <v>31106.798999999999</v>
      </c>
      <c r="W1365" t="s">
        <v>401</v>
      </c>
      <c r="X1365">
        <v>2.4</v>
      </c>
      <c r="Y1365">
        <v>-76.3</v>
      </c>
    </row>
    <row r="1366" spans="1:25" x14ac:dyDescent="0.45">
      <c r="A1366">
        <v>45</v>
      </c>
      <c r="B1366">
        <v>45</v>
      </c>
      <c r="C1366" t="s">
        <v>450</v>
      </c>
      <c r="D1366" t="s">
        <v>414</v>
      </c>
      <c r="E1366">
        <v>10</v>
      </c>
      <c r="F1366">
        <v>2.81</v>
      </c>
      <c r="G1366">
        <v>45338.758000000002</v>
      </c>
      <c r="I1366">
        <v>45338.758000000002</v>
      </c>
      <c r="J1366" t="s">
        <v>403</v>
      </c>
      <c r="K1366">
        <v>4.9000000000000004</v>
      </c>
      <c r="L1366">
        <v>-51.2</v>
      </c>
      <c r="N1366">
        <v>45</v>
      </c>
      <c r="O1366">
        <v>45</v>
      </c>
      <c r="P1366" t="s">
        <v>555</v>
      </c>
      <c r="Q1366" t="s">
        <v>414</v>
      </c>
      <c r="R1366">
        <v>10</v>
      </c>
      <c r="S1366">
        <v>2.81</v>
      </c>
      <c r="T1366">
        <v>31106.664000000001</v>
      </c>
      <c r="V1366">
        <v>31106.664000000001</v>
      </c>
      <c r="W1366" t="s">
        <v>401</v>
      </c>
      <c r="X1366">
        <v>2.4</v>
      </c>
      <c r="Y1366">
        <v>-76.3</v>
      </c>
    </row>
    <row r="1367" spans="1:25" x14ac:dyDescent="0.45">
      <c r="A1367">
        <v>46</v>
      </c>
      <c r="B1367">
        <v>46</v>
      </c>
      <c r="C1367" t="s">
        <v>451</v>
      </c>
      <c r="D1367" t="s">
        <v>414</v>
      </c>
      <c r="E1367">
        <v>10</v>
      </c>
      <c r="F1367">
        <v>2.81</v>
      </c>
      <c r="G1367">
        <v>39915.461000000003</v>
      </c>
      <c r="I1367">
        <v>39915.461000000003</v>
      </c>
      <c r="J1367" t="s">
        <v>403</v>
      </c>
      <c r="K1367">
        <v>4.3</v>
      </c>
      <c r="L1367">
        <v>-57</v>
      </c>
      <c r="N1367">
        <v>46</v>
      </c>
      <c r="O1367">
        <v>46</v>
      </c>
      <c r="P1367" t="s">
        <v>556</v>
      </c>
      <c r="Q1367" t="s">
        <v>414</v>
      </c>
      <c r="R1367">
        <v>10</v>
      </c>
      <c r="S1367">
        <v>2.81</v>
      </c>
      <c r="T1367">
        <v>21170.359</v>
      </c>
      <c r="V1367">
        <v>21170.359</v>
      </c>
      <c r="W1367" t="s">
        <v>401</v>
      </c>
      <c r="X1367">
        <v>1.6</v>
      </c>
      <c r="Y1367">
        <v>-83.9</v>
      </c>
    </row>
    <row r="1368" spans="1:25" x14ac:dyDescent="0.45">
      <c r="A1368">
        <v>47</v>
      </c>
      <c r="B1368">
        <v>47</v>
      </c>
      <c r="C1368" t="s">
        <v>452</v>
      </c>
      <c r="D1368" t="s">
        <v>414</v>
      </c>
      <c r="E1368">
        <v>10</v>
      </c>
      <c r="F1368">
        <v>2.81</v>
      </c>
      <c r="G1368">
        <v>22828.648000000001</v>
      </c>
      <c r="I1368">
        <v>22828.648000000001</v>
      </c>
      <c r="J1368" t="s">
        <v>401</v>
      </c>
      <c r="K1368">
        <v>2.5</v>
      </c>
      <c r="L1368">
        <v>-75.400000000000006</v>
      </c>
      <c r="N1368">
        <v>47</v>
      </c>
      <c r="O1368">
        <v>47</v>
      </c>
      <c r="P1368" t="s">
        <v>557</v>
      </c>
      <c r="Q1368" t="s">
        <v>414</v>
      </c>
      <c r="R1368">
        <v>10</v>
      </c>
      <c r="S1368">
        <v>2.81</v>
      </c>
      <c r="T1368">
        <v>21451.958999999999</v>
      </c>
      <c r="V1368">
        <v>21451.958999999999</v>
      </c>
      <c r="W1368" t="s">
        <v>403</v>
      </c>
      <c r="X1368">
        <v>1.6</v>
      </c>
      <c r="Y1368">
        <v>-83.7</v>
      </c>
    </row>
    <row r="1369" spans="1:25" x14ac:dyDescent="0.45">
      <c r="A1369">
        <v>48</v>
      </c>
      <c r="B1369">
        <v>48</v>
      </c>
      <c r="C1369" t="s">
        <v>453</v>
      </c>
      <c r="D1369" t="s">
        <v>414</v>
      </c>
      <c r="E1369">
        <v>10</v>
      </c>
      <c r="F1369">
        <v>2.81</v>
      </c>
      <c r="G1369">
        <v>28742.078000000001</v>
      </c>
      <c r="I1369">
        <v>28742.078000000001</v>
      </c>
      <c r="J1369" t="s">
        <v>403</v>
      </c>
      <c r="K1369">
        <v>3.1</v>
      </c>
      <c r="L1369">
        <v>-69</v>
      </c>
      <c r="N1369">
        <v>48</v>
      </c>
      <c r="O1369">
        <v>48</v>
      </c>
      <c r="P1369" t="s">
        <v>558</v>
      </c>
      <c r="Q1369" t="s">
        <v>414</v>
      </c>
      <c r="R1369">
        <v>10</v>
      </c>
      <c r="S1369">
        <v>2.81</v>
      </c>
      <c r="T1369">
        <v>20507.863000000001</v>
      </c>
      <c r="V1369">
        <v>20507.863000000001</v>
      </c>
      <c r="W1369" t="s">
        <v>403</v>
      </c>
      <c r="X1369">
        <v>1.6</v>
      </c>
      <c r="Y1369">
        <v>-84.4</v>
      </c>
    </row>
    <row r="1370" spans="1:25" x14ac:dyDescent="0.45">
      <c r="A1370">
        <v>49</v>
      </c>
      <c r="B1370">
        <v>49</v>
      </c>
      <c r="C1370" t="s">
        <v>454</v>
      </c>
      <c r="D1370" t="s">
        <v>414</v>
      </c>
      <c r="E1370">
        <v>10</v>
      </c>
      <c r="F1370">
        <v>2.81</v>
      </c>
      <c r="G1370">
        <v>29729.976999999999</v>
      </c>
      <c r="I1370">
        <v>29729.976999999999</v>
      </c>
      <c r="J1370" t="s">
        <v>403</v>
      </c>
      <c r="K1370">
        <v>3.2</v>
      </c>
      <c r="L1370">
        <v>-68</v>
      </c>
      <c r="N1370">
        <v>49</v>
      </c>
      <c r="O1370">
        <v>49</v>
      </c>
      <c r="P1370" t="s">
        <v>559</v>
      </c>
      <c r="Q1370" t="s">
        <v>414</v>
      </c>
      <c r="R1370">
        <v>10</v>
      </c>
      <c r="S1370">
        <v>2.81</v>
      </c>
      <c r="T1370">
        <v>23997.541000000001</v>
      </c>
      <c r="V1370">
        <v>23997.541000000001</v>
      </c>
      <c r="W1370" t="s">
        <v>401</v>
      </c>
      <c r="X1370">
        <v>1.8</v>
      </c>
      <c r="Y1370">
        <v>-81.7</v>
      </c>
    </row>
    <row r="1371" spans="1:25" x14ac:dyDescent="0.45">
      <c r="A1371">
        <v>50</v>
      </c>
      <c r="B1371">
        <v>50</v>
      </c>
      <c r="C1371" t="s">
        <v>455</v>
      </c>
      <c r="D1371" t="s">
        <v>414</v>
      </c>
      <c r="E1371">
        <v>10</v>
      </c>
      <c r="F1371">
        <v>2.81</v>
      </c>
      <c r="G1371">
        <v>34292.305</v>
      </c>
      <c r="I1371">
        <v>34292.305</v>
      </c>
      <c r="J1371" t="s">
        <v>403</v>
      </c>
      <c r="K1371">
        <v>3.7</v>
      </c>
      <c r="L1371">
        <v>-63.1</v>
      </c>
      <c r="N1371">
        <v>50</v>
      </c>
      <c r="O1371">
        <v>50</v>
      </c>
      <c r="P1371" t="s">
        <v>560</v>
      </c>
      <c r="Q1371" t="s">
        <v>414</v>
      </c>
      <c r="R1371">
        <v>10</v>
      </c>
      <c r="S1371">
        <v>2.81</v>
      </c>
      <c r="T1371">
        <v>23443.261999999999</v>
      </c>
      <c r="V1371">
        <v>23443.261999999999</v>
      </c>
      <c r="W1371" t="s">
        <v>403</v>
      </c>
      <c r="X1371">
        <v>1.8</v>
      </c>
      <c r="Y1371">
        <v>-82.1</v>
      </c>
    </row>
    <row r="1372" spans="1:25" x14ac:dyDescent="0.45">
      <c r="A1372">
        <v>51</v>
      </c>
      <c r="B1372">
        <v>51</v>
      </c>
      <c r="C1372" t="s">
        <v>456</v>
      </c>
      <c r="D1372" t="s">
        <v>414</v>
      </c>
      <c r="E1372">
        <v>10</v>
      </c>
      <c r="F1372">
        <v>2.81</v>
      </c>
      <c r="G1372">
        <v>30581.535</v>
      </c>
      <c r="I1372">
        <v>30581.535</v>
      </c>
      <c r="J1372" t="s">
        <v>401</v>
      </c>
      <c r="K1372">
        <v>3.3</v>
      </c>
      <c r="L1372">
        <v>-67.099999999999994</v>
      </c>
      <c r="N1372">
        <v>51</v>
      </c>
      <c r="O1372">
        <v>51</v>
      </c>
      <c r="P1372" t="s">
        <v>561</v>
      </c>
      <c r="Q1372" t="s">
        <v>414</v>
      </c>
      <c r="R1372">
        <v>10</v>
      </c>
      <c r="S1372">
        <v>2.81</v>
      </c>
      <c r="T1372">
        <v>18425.164000000001</v>
      </c>
      <c r="V1372">
        <v>18425.164000000001</v>
      </c>
      <c r="W1372" t="s">
        <v>415</v>
      </c>
      <c r="X1372">
        <v>1.4</v>
      </c>
      <c r="Y1372">
        <v>-86</v>
      </c>
    </row>
    <row r="1373" spans="1:25" x14ac:dyDescent="0.45">
      <c r="A1373">
        <v>52</v>
      </c>
      <c r="B1373">
        <v>52</v>
      </c>
      <c r="C1373" t="s">
        <v>457</v>
      </c>
      <c r="D1373" t="s">
        <v>414</v>
      </c>
      <c r="E1373">
        <v>10</v>
      </c>
      <c r="F1373">
        <v>2.81</v>
      </c>
      <c r="G1373">
        <v>25827.717000000001</v>
      </c>
      <c r="I1373">
        <v>25827.717000000001</v>
      </c>
      <c r="J1373" t="s">
        <v>401</v>
      </c>
      <c r="K1373">
        <v>2.8</v>
      </c>
      <c r="L1373">
        <v>-72.2</v>
      </c>
      <c r="N1373">
        <v>52</v>
      </c>
      <c r="O1373">
        <v>52</v>
      </c>
      <c r="P1373" t="s">
        <v>562</v>
      </c>
      <c r="Q1373" t="s">
        <v>414</v>
      </c>
      <c r="R1373">
        <v>10</v>
      </c>
      <c r="S1373">
        <v>2.81</v>
      </c>
      <c r="T1373">
        <v>25454.1</v>
      </c>
      <c r="V1373">
        <v>25454.1</v>
      </c>
      <c r="W1373" t="s">
        <v>401</v>
      </c>
      <c r="X1373">
        <v>1.9</v>
      </c>
      <c r="Y1373">
        <v>-80.599999999999994</v>
      </c>
    </row>
    <row r="1374" spans="1:25" x14ac:dyDescent="0.45">
      <c r="A1374">
        <v>53</v>
      </c>
      <c r="B1374">
        <v>53</v>
      </c>
      <c r="C1374" t="s">
        <v>458</v>
      </c>
      <c r="D1374" t="s">
        <v>414</v>
      </c>
      <c r="E1374">
        <v>10</v>
      </c>
      <c r="F1374">
        <v>2.81</v>
      </c>
      <c r="G1374">
        <v>31508.085999999999</v>
      </c>
      <c r="I1374">
        <v>31508.085999999999</v>
      </c>
      <c r="J1374" t="s">
        <v>401</v>
      </c>
      <c r="K1374">
        <v>3.4</v>
      </c>
      <c r="L1374">
        <v>-66.099999999999994</v>
      </c>
      <c r="N1374">
        <v>53</v>
      </c>
      <c r="O1374">
        <v>53</v>
      </c>
      <c r="P1374" t="s">
        <v>563</v>
      </c>
      <c r="Q1374" t="s">
        <v>414</v>
      </c>
      <c r="R1374">
        <v>10</v>
      </c>
      <c r="S1374">
        <v>2.81</v>
      </c>
      <c r="T1374">
        <v>31461.855</v>
      </c>
      <c r="V1374">
        <v>31461.855</v>
      </c>
      <c r="W1374" t="s">
        <v>403</v>
      </c>
      <c r="X1374">
        <v>2.4</v>
      </c>
      <c r="Y1374">
        <v>-76</v>
      </c>
    </row>
    <row r="1375" spans="1:25" x14ac:dyDescent="0.45">
      <c r="A1375">
        <v>54</v>
      </c>
      <c r="B1375">
        <v>54</v>
      </c>
      <c r="C1375" t="s">
        <v>459</v>
      </c>
      <c r="D1375" t="s">
        <v>414</v>
      </c>
      <c r="E1375">
        <v>10</v>
      </c>
      <c r="F1375">
        <v>2.81</v>
      </c>
      <c r="G1375">
        <v>35588.597999999998</v>
      </c>
      <c r="I1375">
        <v>35588.597999999998</v>
      </c>
      <c r="J1375" t="s">
        <v>401</v>
      </c>
      <c r="K1375">
        <v>3.8</v>
      </c>
      <c r="L1375">
        <v>-61.7</v>
      </c>
      <c r="N1375">
        <v>54</v>
      </c>
      <c r="O1375">
        <v>54</v>
      </c>
      <c r="P1375" t="s">
        <v>564</v>
      </c>
      <c r="Q1375" t="s">
        <v>414</v>
      </c>
      <c r="R1375">
        <v>10</v>
      </c>
      <c r="S1375">
        <v>2.81</v>
      </c>
      <c r="T1375">
        <v>22482.026999999998</v>
      </c>
      <c r="V1375">
        <v>22482.026999999998</v>
      </c>
      <c r="W1375" t="s">
        <v>401</v>
      </c>
      <c r="X1375">
        <v>1.7</v>
      </c>
      <c r="Y1375">
        <v>-82.9</v>
      </c>
    </row>
    <row r="1376" spans="1:25" x14ac:dyDescent="0.45">
      <c r="A1376">
        <v>55</v>
      </c>
      <c r="B1376">
        <v>55</v>
      </c>
      <c r="C1376" t="s">
        <v>460</v>
      </c>
      <c r="D1376" t="s">
        <v>414</v>
      </c>
      <c r="E1376">
        <v>10</v>
      </c>
      <c r="F1376">
        <v>2.81</v>
      </c>
      <c r="G1376">
        <v>28695.206999999999</v>
      </c>
      <c r="I1376">
        <v>28695.206999999999</v>
      </c>
      <c r="J1376" t="s">
        <v>403</v>
      </c>
      <c r="K1376">
        <v>3.1</v>
      </c>
      <c r="L1376">
        <v>-69.099999999999994</v>
      </c>
      <c r="N1376">
        <v>55</v>
      </c>
      <c r="O1376">
        <v>55</v>
      </c>
      <c r="P1376" t="s">
        <v>565</v>
      </c>
      <c r="Q1376" t="s">
        <v>414</v>
      </c>
      <c r="R1376">
        <v>10</v>
      </c>
      <c r="S1376">
        <v>2.81</v>
      </c>
      <c r="T1376">
        <v>30518.518</v>
      </c>
      <c r="V1376">
        <v>30518.518</v>
      </c>
      <c r="W1376" t="s">
        <v>401</v>
      </c>
      <c r="X1376">
        <v>2.2999999999999998</v>
      </c>
      <c r="Y1376">
        <v>-76.8</v>
      </c>
    </row>
    <row r="1377" spans="1:25" x14ac:dyDescent="0.45">
      <c r="A1377">
        <v>56</v>
      </c>
      <c r="B1377">
        <v>56</v>
      </c>
      <c r="C1377" t="s">
        <v>461</v>
      </c>
      <c r="D1377" t="s">
        <v>414</v>
      </c>
      <c r="E1377">
        <v>10</v>
      </c>
      <c r="F1377">
        <v>2.81</v>
      </c>
      <c r="G1377">
        <v>30756.798999999999</v>
      </c>
      <c r="I1377">
        <v>30756.798999999999</v>
      </c>
      <c r="J1377" t="s">
        <v>403</v>
      </c>
      <c r="K1377">
        <v>3.3</v>
      </c>
      <c r="L1377">
        <v>-66.900000000000006</v>
      </c>
      <c r="N1377">
        <v>56</v>
      </c>
      <c r="O1377">
        <v>56</v>
      </c>
      <c r="P1377" t="s">
        <v>566</v>
      </c>
      <c r="Q1377" t="s">
        <v>414</v>
      </c>
      <c r="R1377">
        <v>10</v>
      </c>
      <c r="S1377">
        <v>2.81</v>
      </c>
      <c r="T1377">
        <v>20053.349999999999</v>
      </c>
      <c r="V1377">
        <v>20053.349999999999</v>
      </c>
      <c r="W1377" t="s">
        <v>401</v>
      </c>
      <c r="X1377">
        <v>1.5</v>
      </c>
      <c r="Y1377">
        <v>-84.7</v>
      </c>
    </row>
    <row r="1378" spans="1:25" x14ac:dyDescent="0.45">
      <c r="A1378">
        <v>57</v>
      </c>
      <c r="B1378">
        <v>57</v>
      </c>
      <c r="C1378" t="s">
        <v>462</v>
      </c>
      <c r="D1378" t="s">
        <v>414</v>
      </c>
      <c r="E1378">
        <v>10</v>
      </c>
      <c r="F1378">
        <v>2.81</v>
      </c>
      <c r="G1378">
        <v>29948.467000000001</v>
      </c>
      <c r="I1378">
        <v>29948.467000000001</v>
      </c>
      <c r="J1378" t="s">
        <v>403</v>
      </c>
      <c r="K1378">
        <v>3.2</v>
      </c>
      <c r="L1378">
        <v>-67.7</v>
      </c>
      <c r="N1378">
        <v>57</v>
      </c>
      <c r="O1378">
        <v>57</v>
      </c>
      <c r="P1378" t="s">
        <v>567</v>
      </c>
      <c r="Q1378" t="s">
        <v>414</v>
      </c>
      <c r="R1378">
        <v>10</v>
      </c>
      <c r="S1378">
        <v>2.81</v>
      </c>
      <c r="T1378">
        <v>24814.947</v>
      </c>
      <c r="V1378">
        <v>24814.947</v>
      </c>
      <c r="W1378" t="s">
        <v>401</v>
      </c>
      <c r="X1378">
        <v>1.9</v>
      </c>
      <c r="Y1378">
        <v>-81.099999999999994</v>
      </c>
    </row>
    <row r="1379" spans="1:25" x14ac:dyDescent="0.45">
      <c r="A1379">
        <v>58</v>
      </c>
      <c r="B1379">
        <v>58</v>
      </c>
      <c r="C1379" t="s">
        <v>463</v>
      </c>
      <c r="D1379" t="s">
        <v>414</v>
      </c>
      <c r="E1379">
        <v>10</v>
      </c>
      <c r="F1379">
        <v>2.81</v>
      </c>
      <c r="G1379">
        <v>28448.541000000001</v>
      </c>
      <c r="I1379">
        <v>28448.541000000001</v>
      </c>
      <c r="J1379" t="s">
        <v>401</v>
      </c>
      <c r="K1379">
        <v>3.1</v>
      </c>
      <c r="L1379">
        <v>-69.400000000000006</v>
      </c>
      <c r="N1379">
        <v>58</v>
      </c>
      <c r="O1379">
        <v>58</v>
      </c>
      <c r="P1379" t="s">
        <v>568</v>
      </c>
      <c r="Q1379" t="s">
        <v>414</v>
      </c>
      <c r="R1379">
        <v>10</v>
      </c>
      <c r="S1379">
        <v>2.81</v>
      </c>
      <c r="T1379">
        <v>36884.593999999997</v>
      </c>
      <c r="V1379">
        <v>36884.593999999997</v>
      </c>
      <c r="W1379" t="s">
        <v>401</v>
      </c>
      <c r="X1379">
        <v>2.8</v>
      </c>
      <c r="Y1379">
        <v>-71.900000000000006</v>
      </c>
    </row>
    <row r="1380" spans="1:25" x14ac:dyDescent="0.45">
      <c r="A1380">
        <v>59</v>
      </c>
      <c r="B1380">
        <v>59</v>
      </c>
      <c r="C1380" t="s">
        <v>464</v>
      </c>
      <c r="D1380" t="s">
        <v>414</v>
      </c>
      <c r="E1380">
        <v>10</v>
      </c>
      <c r="F1380">
        <v>2.81</v>
      </c>
      <c r="G1380">
        <v>27359.388999999999</v>
      </c>
      <c r="I1380">
        <v>27359.388999999999</v>
      </c>
      <c r="J1380" t="s">
        <v>401</v>
      </c>
      <c r="K1380">
        <v>2.9</v>
      </c>
      <c r="L1380">
        <v>-70.5</v>
      </c>
      <c r="N1380">
        <v>59</v>
      </c>
      <c r="O1380">
        <v>59</v>
      </c>
      <c r="P1380" t="s">
        <v>569</v>
      </c>
      <c r="Q1380" t="s">
        <v>414</v>
      </c>
      <c r="R1380">
        <v>10</v>
      </c>
      <c r="S1380">
        <v>2.81</v>
      </c>
      <c r="T1380">
        <v>22278.85</v>
      </c>
      <c r="V1380">
        <v>22278.85</v>
      </c>
      <c r="W1380" t="s">
        <v>403</v>
      </c>
      <c r="X1380">
        <v>1.7</v>
      </c>
      <c r="Y1380">
        <v>-83</v>
      </c>
    </row>
    <row r="1381" spans="1:25" x14ac:dyDescent="0.45">
      <c r="A1381">
        <v>60</v>
      </c>
      <c r="B1381">
        <v>60</v>
      </c>
      <c r="C1381" t="s">
        <v>465</v>
      </c>
      <c r="D1381" t="s">
        <v>414</v>
      </c>
      <c r="E1381">
        <v>10</v>
      </c>
      <c r="F1381">
        <v>2.81</v>
      </c>
      <c r="G1381">
        <v>37867.616999999998</v>
      </c>
      <c r="I1381">
        <v>37867.616999999998</v>
      </c>
      <c r="J1381" t="s">
        <v>403</v>
      </c>
      <c r="K1381">
        <v>4.0999999999999996</v>
      </c>
      <c r="L1381">
        <v>-59.2</v>
      </c>
      <c r="N1381">
        <v>60</v>
      </c>
      <c r="O1381">
        <v>60</v>
      </c>
      <c r="P1381" t="s">
        <v>570</v>
      </c>
      <c r="Q1381" t="s">
        <v>414</v>
      </c>
      <c r="R1381">
        <v>10</v>
      </c>
      <c r="S1381">
        <v>2.81</v>
      </c>
      <c r="T1381">
        <v>39831.156000000003</v>
      </c>
      <c r="V1381">
        <v>39831.156000000003</v>
      </c>
      <c r="W1381" t="s">
        <v>415</v>
      </c>
      <c r="X1381">
        <v>3</v>
      </c>
      <c r="Y1381">
        <v>-69.7</v>
      </c>
    </row>
    <row r="1382" spans="1:25" x14ac:dyDescent="0.45">
      <c r="A1382">
        <v>61</v>
      </c>
      <c r="B1382">
        <v>61</v>
      </c>
      <c r="C1382" t="s">
        <v>466</v>
      </c>
      <c r="D1382" t="s">
        <v>414</v>
      </c>
      <c r="E1382">
        <v>10</v>
      </c>
      <c r="F1382">
        <v>2.81</v>
      </c>
      <c r="G1382">
        <v>35823.042999999998</v>
      </c>
      <c r="I1382">
        <v>35823.042999999998</v>
      </c>
      <c r="J1382" t="s">
        <v>403</v>
      </c>
      <c r="K1382">
        <v>3.9</v>
      </c>
      <c r="L1382">
        <v>-61.4</v>
      </c>
      <c r="N1382">
        <v>61</v>
      </c>
      <c r="O1382">
        <v>61</v>
      </c>
      <c r="P1382" t="s">
        <v>571</v>
      </c>
      <c r="Q1382" t="s">
        <v>414</v>
      </c>
      <c r="R1382">
        <v>10</v>
      </c>
      <c r="S1382">
        <v>2.81</v>
      </c>
      <c r="T1382">
        <v>24766.322</v>
      </c>
      <c r="V1382">
        <v>24766.322</v>
      </c>
      <c r="W1382" t="s">
        <v>401</v>
      </c>
      <c r="X1382">
        <v>1.9</v>
      </c>
      <c r="Y1382">
        <v>-81.099999999999994</v>
      </c>
    </row>
    <row r="1383" spans="1:25" x14ac:dyDescent="0.45">
      <c r="A1383">
        <v>62</v>
      </c>
      <c r="B1383">
        <v>62</v>
      </c>
      <c r="C1383" t="s">
        <v>467</v>
      </c>
      <c r="D1383" t="s">
        <v>414</v>
      </c>
      <c r="E1383">
        <v>10</v>
      </c>
      <c r="F1383">
        <v>2.81</v>
      </c>
      <c r="G1383">
        <v>38068.190999999999</v>
      </c>
      <c r="I1383">
        <v>38068.190999999999</v>
      </c>
      <c r="J1383" t="s">
        <v>415</v>
      </c>
      <c r="K1383">
        <v>4.0999999999999996</v>
      </c>
      <c r="L1383">
        <v>-59</v>
      </c>
      <c r="N1383">
        <v>62</v>
      </c>
      <c r="O1383">
        <v>62</v>
      </c>
      <c r="P1383" t="s">
        <v>572</v>
      </c>
      <c r="Q1383" t="s">
        <v>414</v>
      </c>
      <c r="R1383">
        <v>10</v>
      </c>
      <c r="S1383">
        <v>2.81</v>
      </c>
      <c r="T1383">
        <v>21988.245999999999</v>
      </c>
      <c r="V1383">
        <v>21988.245999999999</v>
      </c>
      <c r="W1383" t="s">
        <v>403</v>
      </c>
      <c r="X1383">
        <v>1.7</v>
      </c>
      <c r="Y1383">
        <v>-83.2</v>
      </c>
    </row>
    <row r="1384" spans="1:25" x14ac:dyDescent="0.45">
      <c r="A1384">
        <v>63</v>
      </c>
      <c r="B1384">
        <v>63</v>
      </c>
      <c r="C1384" t="s">
        <v>468</v>
      </c>
      <c r="D1384" t="s">
        <v>414</v>
      </c>
      <c r="E1384">
        <v>10</v>
      </c>
      <c r="F1384">
        <v>2.81</v>
      </c>
      <c r="G1384">
        <v>35791.434000000001</v>
      </c>
      <c r="I1384">
        <v>35791.434000000001</v>
      </c>
      <c r="J1384" t="s">
        <v>401</v>
      </c>
      <c r="K1384">
        <v>3.9</v>
      </c>
      <c r="L1384">
        <v>-61.5</v>
      </c>
      <c r="N1384">
        <v>63</v>
      </c>
      <c r="O1384">
        <v>63</v>
      </c>
      <c r="P1384" t="s">
        <v>573</v>
      </c>
      <c r="Q1384" t="s">
        <v>414</v>
      </c>
      <c r="R1384">
        <v>10</v>
      </c>
      <c r="S1384">
        <v>2.81</v>
      </c>
      <c r="T1384">
        <v>32068.280999999999</v>
      </c>
      <c r="V1384">
        <v>32068.280999999999</v>
      </c>
      <c r="W1384" t="s">
        <v>401</v>
      </c>
      <c r="X1384">
        <v>2.4</v>
      </c>
      <c r="Y1384">
        <v>-75.599999999999994</v>
      </c>
    </row>
    <row r="1385" spans="1:25" x14ac:dyDescent="0.45">
      <c r="A1385">
        <v>64</v>
      </c>
      <c r="B1385">
        <v>64</v>
      </c>
      <c r="C1385" t="s">
        <v>469</v>
      </c>
      <c r="D1385" t="s">
        <v>414</v>
      </c>
      <c r="E1385">
        <v>10</v>
      </c>
      <c r="F1385">
        <v>2.81</v>
      </c>
      <c r="G1385">
        <v>34964.07</v>
      </c>
      <c r="I1385">
        <v>34964.07</v>
      </c>
      <c r="J1385" t="s">
        <v>403</v>
      </c>
      <c r="K1385">
        <v>3.8</v>
      </c>
      <c r="L1385">
        <v>-62.3</v>
      </c>
      <c r="N1385">
        <v>64</v>
      </c>
      <c r="O1385">
        <v>64</v>
      </c>
      <c r="P1385" t="s">
        <v>574</v>
      </c>
      <c r="Q1385" t="s">
        <v>414</v>
      </c>
      <c r="R1385">
        <v>10</v>
      </c>
      <c r="S1385">
        <v>2.81</v>
      </c>
      <c r="T1385">
        <v>29612.971000000001</v>
      </c>
      <c r="V1385">
        <v>29612.971000000001</v>
      </c>
      <c r="W1385" t="s">
        <v>401</v>
      </c>
      <c r="X1385">
        <v>2.2999999999999998</v>
      </c>
      <c r="Y1385">
        <v>-77.400000000000006</v>
      </c>
    </row>
    <row r="1386" spans="1:25" x14ac:dyDescent="0.45">
      <c r="A1386">
        <v>65</v>
      </c>
      <c r="B1386">
        <v>65</v>
      </c>
      <c r="C1386" t="s">
        <v>470</v>
      </c>
      <c r="D1386" t="s">
        <v>414</v>
      </c>
      <c r="E1386">
        <v>10</v>
      </c>
      <c r="F1386">
        <v>2.81</v>
      </c>
      <c r="G1386">
        <v>30122.881000000001</v>
      </c>
      <c r="I1386">
        <v>30122.881000000001</v>
      </c>
      <c r="J1386" t="s">
        <v>401</v>
      </c>
      <c r="K1386">
        <v>3.2</v>
      </c>
      <c r="L1386">
        <v>-67.599999999999994</v>
      </c>
      <c r="N1386">
        <v>65</v>
      </c>
      <c r="O1386">
        <v>65</v>
      </c>
      <c r="P1386" t="s">
        <v>575</v>
      </c>
      <c r="Q1386" t="s">
        <v>414</v>
      </c>
      <c r="R1386">
        <v>10</v>
      </c>
      <c r="S1386">
        <v>2.81</v>
      </c>
      <c r="T1386">
        <v>28570.973000000002</v>
      </c>
      <c r="V1386">
        <v>28570.973000000002</v>
      </c>
      <c r="W1386" t="s">
        <v>401</v>
      </c>
      <c r="X1386">
        <v>2.2000000000000002</v>
      </c>
      <c r="Y1386">
        <v>-78.2</v>
      </c>
    </row>
    <row r="1387" spans="1:25" x14ac:dyDescent="0.45">
      <c r="A1387">
        <v>66</v>
      </c>
      <c r="B1387">
        <v>66</v>
      </c>
      <c r="C1387" t="s">
        <v>471</v>
      </c>
      <c r="D1387" t="s">
        <v>414</v>
      </c>
      <c r="E1387">
        <v>10</v>
      </c>
      <c r="F1387">
        <v>2.81</v>
      </c>
      <c r="G1387">
        <v>33010.277000000002</v>
      </c>
      <c r="I1387">
        <v>33010.277000000002</v>
      </c>
      <c r="J1387" t="s">
        <v>401</v>
      </c>
      <c r="K1387">
        <v>3.6</v>
      </c>
      <c r="L1387">
        <v>-64.400000000000006</v>
      </c>
      <c r="N1387">
        <v>66</v>
      </c>
      <c r="O1387">
        <v>66</v>
      </c>
      <c r="P1387" t="s">
        <v>576</v>
      </c>
      <c r="Q1387" t="s">
        <v>414</v>
      </c>
      <c r="R1387">
        <v>10</v>
      </c>
      <c r="S1387">
        <v>2.81</v>
      </c>
      <c r="T1387">
        <v>28698.682000000001</v>
      </c>
      <c r="V1387">
        <v>28698.682000000001</v>
      </c>
      <c r="W1387" t="s">
        <v>415</v>
      </c>
      <c r="X1387">
        <v>2.2000000000000002</v>
      </c>
      <c r="Y1387">
        <v>-78.099999999999994</v>
      </c>
    </row>
    <row r="1388" spans="1:25" x14ac:dyDescent="0.45">
      <c r="A1388">
        <v>67</v>
      </c>
      <c r="B1388">
        <v>67</v>
      </c>
      <c r="C1388" t="s">
        <v>472</v>
      </c>
      <c r="D1388" t="s">
        <v>414</v>
      </c>
      <c r="E1388">
        <v>10</v>
      </c>
      <c r="F1388">
        <v>2.81</v>
      </c>
      <c r="G1388">
        <v>19649.723000000002</v>
      </c>
      <c r="I1388">
        <v>19649.723000000002</v>
      </c>
      <c r="J1388" t="s">
        <v>401</v>
      </c>
      <c r="K1388">
        <v>2.1</v>
      </c>
      <c r="L1388">
        <v>-78.8</v>
      </c>
      <c r="N1388">
        <v>67</v>
      </c>
      <c r="O1388">
        <v>67</v>
      </c>
      <c r="P1388" t="s">
        <v>577</v>
      </c>
      <c r="Q1388" t="s">
        <v>414</v>
      </c>
      <c r="R1388">
        <v>10</v>
      </c>
      <c r="S1388">
        <v>2.81</v>
      </c>
      <c r="T1388">
        <v>19813.550999999999</v>
      </c>
      <c r="V1388">
        <v>19813.550999999999</v>
      </c>
      <c r="W1388" t="s">
        <v>403</v>
      </c>
      <c r="X1388">
        <v>1.5</v>
      </c>
      <c r="Y1388">
        <v>-84.9</v>
      </c>
    </row>
    <row r="1389" spans="1:25" x14ac:dyDescent="0.45">
      <c r="A1389">
        <v>68</v>
      </c>
      <c r="B1389">
        <v>68</v>
      </c>
      <c r="C1389" t="s">
        <v>473</v>
      </c>
      <c r="D1389" t="s">
        <v>414</v>
      </c>
      <c r="E1389">
        <v>10</v>
      </c>
      <c r="F1389">
        <v>2.82</v>
      </c>
      <c r="G1389">
        <v>28559.511999999999</v>
      </c>
      <c r="I1389">
        <v>28559.511999999999</v>
      </c>
      <c r="J1389" t="s">
        <v>401</v>
      </c>
      <c r="K1389">
        <v>3.1</v>
      </c>
      <c r="L1389">
        <v>-69.2</v>
      </c>
      <c r="N1389">
        <v>68</v>
      </c>
      <c r="O1389">
        <v>68</v>
      </c>
      <c r="P1389" t="s">
        <v>578</v>
      </c>
      <c r="Q1389" t="s">
        <v>414</v>
      </c>
      <c r="R1389">
        <v>10</v>
      </c>
      <c r="S1389">
        <v>2.81</v>
      </c>
      <c r="T1389">
        <v>26488.107</v>
      </c>
      <c r="V1389">
        <v>26488.107</v>
      </c>
      <c r="W1389" t="s">
        <v>403</v>
      </c>
      <c r="X1389">
        <v>2</v>
      </c>
      <c r="Y1389">
        <v>-79.8</v>
      </c>
    </row>
    <row r="1390" spans="1:25" x14ac:dyDescent="0.45">
      <c r="A1390">
        <v>69</v>
      </c>
      <c r="B1390">
        <v>69</v>
      </c>
      <c r="C1390" t="s">
        <v>474</v>
      </c>
      <c r="D1390" t="s">
        <v>414</v>
      </c>
      <c r="E1390">
        <v>10</v>
      </c>
      <c r="F1390">
        <v>2.82</v>
      </c>
      <c r="G1390">
        <v>36485.035000000003</v>
      </c>
      <c r="I1390">
        <v>36485.035000000003</v>
      </c>
      <c r="J1390" t="s">
        <v>403</v>
      </c>
      <c r="K1390">
        <v>3.9</v>
      </c>
      <c r="L1390">
        <v>-60.7</v>
      </c>
      <c r="N1390">
        <v>69</v>
      </c>
      <c r="O1390">
        <v>69</v>
      </c>
      <c r="P1390" t="s">
        <v>579</v>
      </c>
      <c r="Q1390" t="s">
        <v>414</v>
      </c>
      <c r="R1390">
        <v>10</v>
      </c>
      <c r="S1390">
        <v>2.81</v>
      </c>
      <c r="T1390">
        <v>23743.311000000002</v>
      </c>
      <c r="V1390">
        <v>23743.311000000002</v>
      </c>
      <c r="W1390" t="s">
        <v>401</v>
      </c>
      <c r="X1390">
        <v>1.8</v>
      </c>
      <c r="Y1390">
        <v>-81.900000000000006</v>
      </c>
    </row>
    <row r="1392" spans="1:25" x14ac:dyDescent="0.45">
      <c r="A1392" t="s">
        <v>505</v>
      </c>
      <c r="N1392" t="s">
        <v>505</v>
      </c>
    </row>
    <row r="1394" spans="1:25" x14ac:dyDescent="0.45">
      <c r="B1394" t="s">
        <v>389</v>
      </c>
      <c r="C1394" t="s">
        <v>123</v>
      </c>
      <c r="D1394" t="s">
        <v>390</v>
      </c>
      <c r="E1394" t="s">
        <v>391</v>
      </c>
      <c r="F1394" t="s">
        <v>392</v>
      </c>
      <c r="G1394" t="s">
        <v>393</v>
      </c>
      <c r="H1394" t="s">
        <v>394</v>
      </c>
      <c r="I1394" t="s">
        <v>395</v>
      </c>
      <c r="J1394" t="s">
        <v>396</v>
      </c>
      <c r="K1394" t="s">
        <v>397</v>
      </c>
      <c r="L1394" t="s">
        <v>398</v>
      </c>
      <c r="O1394" t="s">
        <v>389</v>
      </c>
      <c r="P1394" t="s">
        <v>123</v>
      </c>
      <c r="Q1394" t="s">
        <v>390</v>
      </c>
      <c r="R1394" t="s">
        <v>391</v>
      </c>
      <c r="S1394" t="s">
        <v>392</v>
      </c>
      <c r="T1394" t="s">
        <v>393</v>
      </c>
      <c r="U1394" t="s">
        <v>394</v>
      </c>
      <c r="V1394" t="s">
        <v>395</v>
      </c>
      <c r="W1394" t="s">
        <v>396</v>
      </c>
      <c r="X1394" t="s">
        <v>397</v>
      </c>
      <c r="Y1394" t="s">
        <v>398</v>
      </c>
    </row>
    <row r="1395" spans="1:25" x14ac:dyDescent="0.45">
      <c r="A1395">
        <v>1</v>
      </c>
      <c r="B1395">
        <v>1</v>
      </c>
      <c r="C1395" t="s">
        <v>399</v>
      </c>
      <c r="D1395" t="s">
        <v>400</v>
      </c>
      <c r="E1395">
        <v>10</v>
      </c>
      <c r="F1395">
        <v>2.5099999999999998</v>
      </c>
      <c r="G1395">
        <v>610244</v>
      </c>
      <c r="I1395">
        <v>610244</v>
      </c>
      <c r="J1395" t="s">
        <v>403</v>
      </c>
      <c r="K1395">
        <v>8.6999999999999993</v>
      </c>
      <c r="L1395">
        <v>-12.8</v>
      </c>
      <c r="N1395">
        <v>1</v>
      </c>
      <c r="O1395">
        <v>1</v>
      </c>
      <c r="P1395" t="s">
        <v>511</v>
      </c>
      <c r="Q1395" t="s">
        <v>400</v>
      </c>
      <c r="R1395">
        <v>10</v>
      </c>
      <c r="S1395">
        <v>2.48</v>
      </c>
      <c r="T1395">
        <v>825046.43799999997</v>
      </c>
      <c r="V1395">
        <v>825046.43799999997</v>
      </c>
      <c r="W1395" t="s">
        <v>401</v>
      </c>
      <c r="X1395">
        <v>10</v>
      </c>
      <c r="Y1395">
        <v>0.3</v>
      </c>
    </row>
    <row r="1396" spans="1:25" x14ac:dyDescent="0.45">
      <c r="A1396">
        <v>2</v>
      </c>
      <c r="B1396">
        <v>2</v>
      </c>
      <c r="C1396" t="s">
        <v>402</v>
      </c>
      <c r="D1396" t="s">
        <v>400</v>
      </c>
      <c r="E1396">
        <v>10</v>
      </c>
      <c r="F1396">
        <v>2.5</v>
      </c>
      <c r="G1396">
        <v>659784.93799999997</v>
      </c>
      <c r="I1396">
        <v>659784.93799999997</v>
      </c>
      <c r="J1396" t="s">
        <v>403</v>
      </c>
      <c r="K1396">
        <v>9.4</v>
      </c>
      <c r="L1396">
        <v>-5.8</v>
      </c>
      <c r="N1396">
        <v>2</v>
      </c>
      <c r="O1396">
        <v>2</v>
      </c>
      <c r="P1396" t="s">
        <v>512</v>
      </c>
      <c r="Q1396" t="s">
        <v>400</v>
      </c>
      <c r="R1396">
        <v>10</v>
      </c>
      <c r="S1396">
        <v>2.48</v>
      </c>
      <c r="T1396">
        <v>841116.56299999997</v>
      </c>
      <c r="V1396">
        <v>841116.56299999997</v>
      </c>
      <c r="W1396" t="s">
        <v>401</v>
      </c>
      <c r="X1396">
        <v>10.199999999999999</v>
      </c>
      <c r="Y1396">
        <v>2.2999999999999998</v>
      </c>
    </row>
    <row r="1397" spans="1:25" x14ac:dyDescent="0.45">
      <c r="A1397">
        <v>3</v>
      </c>
      <c r="B1397">
        <v>3</v>
      </c>
      <c r="C1397" t="s">
        <v>404</v>
      </c>
      <c r="D1397" t="s">
        <v>400</v>
      </c>
      <c r="E1397">
        <v>10</v>
      </c>
      <c r="F1397">
        <v>2.5</v>
      </c>
      <c r="G1397">
        <v>675166.31299999997</v>
      </c>
      <c r="I1397">
        <v>675166.31299999997</v>
      </c>
      <c r="J1397" t="s">
        <v>403</v>
      </c>
      <c r="K1397">
        <v>9.6</v>
      </c>
      <c r="L1397">
        <v>-3.6</v>
      </c>
      <c r="N1397">
        <v>3</v>
      </c>
      <c r="O1397">
        <v>3</v>
      </c>
      <c r="P1397" t="s">
        <v>513</v>
      </c>
      <c r="Q1397" t="s">
        <v>400</v>
      </c>
      <c r="R1397">
        <v>10</v>
      </c>
      <c r="S1397">
        <v>2.5</v>
      </c>
      <c r="T1397">
        <v>824571.375</v>
      </c>
      <c r="V1397">
        <v>824571.375</v>
      </c>
      <c r="W1397" t="s">
        <v>401</v>
      </c>
      <c r="X1397">
        <v>10</v>
      </c>
      <c r="Y1397">
        <v>0.3</v>
      </c>
    </row>
    <row r="1398" spans="1:25" x14ac:dyDescent="0.45">
      <c r="A1398">
        <v>4</v>
      </c>
      <c r="B1398">
        <v>4</v>
      </c>
      <c r="C1398" t="s">
        <v>405</v>
      </c>
      <c r="D1398" t="s">
        <v>400</v>
      </c>
      <c r="E1398">
        <v>10</v>
      </c>
      <c r="F1398">
        <v>2.5</v>
      </c>
      <c r="G1398">
        <v>714385.68799999997</v>
      </c>
      <c r="I1398">
        <v>714385.68799999997</v>
      </c>
      <c r="J1398" t="s">
        <v>403</v>
      </c>
      <c r="K1398">
        <v>10.199999999999999</v>
      </c>
      <c r="L1398">
        <v>2</v>
      </c>
      <c r="N1398">
        <v>4</v>
      </c>
      <c r="O1398">
        <v>4</v>
      </c>
      <c r="P1398" t="s">
        <v>514</v>
      </c>
      <c r="Q1398" t="s">
        <v>400</v>
      </c>
      <c r="R1398">
        <v>10</v>
      </c>
      <c r="S1398">
        <v>2.5</v>
      </c>
      <c r="T1398">
        <v>819843.5</v>
      </c>
      <c r="V1398">
        <v>819843.5</v>
      </c>
      <c r="W1398" t="s">
        <v>401</v>
      </c>
      <c r="X1398">
        <v>10</v>
      </c>
      <c r="Y1398">
        <v>-0.3</v>
      </c>
    </row>
    <row r="1399" spans="1:25" x14ac:dyDescent="0.45">
      <c r="A1399">
        <v>5</v>
      </c>
      <c r="B1399">
        <v>5</v>
      </c>
      <c r="C1399" t="s">
        <v>406</v>
      </c>
      <c r="D1399" t="s">
        <v>400</v>
      </c>
      <c r="E1399">
        <v>10</v>
      </c>
      <c r="F1399">
        <v>2.5</v>
      </c>
      <c r="G1399">
        <v>728984.18799999997</v>
      </c>
      <c r="I1399">
        <v>728984.18799999997</v>
      </c>
      <c r="J1399" t="s">
        <v>403</v>
      </c>
      <c r="K1399">
        <v>10.4</v>
      </c>
      <c r="L1399">
        <v>4.0999999999999996</v>
      </c>
      <c r="N1399">
        <v>5</v>
      </c>
      <c r="O1399">
        <v>5</v>
      </c>
      <c r="P1399" t="s">
        <v>515</v>
      </c>
      <c r="Q1399" t="s">
        <v>400</v>
      </c>
      <c r="R1399">
        <v>10</v>
      </c>
      <c r="S1399">
        <v>2.5</v>
      </c>
      <c r="T1399">
        <v>820380</v>
      </c>
      <c r="V1399">
        <v>820380</v>
      </c>
      <c r="W1399" t="s">
        <v>401</v>
      </c>
      <c r="X1399">
        <v>10</v>
      </c>
      <c r="Y1399">
        <v>-0.3</v>
      </c>
    </row>
    <row r="1400" spans="1:25" x14ac:dyDescent="0.45">
      <c r="A1400">
        <v>6</v>
      </c>
      <c r="B1400">
        <v>6</v>
      </c>
      <c r="C1400" t="s">
        <v>407</v>
      </c>
      <c r="D1400" t="s">
        <v>400</v>
      </c>
      <c r="E1400">
        <v>10</v>
      </c>
      <c r="F1400">
        <v>2.5</v>
      </c>
      <c r="G1400">
        <v>755459</v>
      </c>
      <c r="I1400">
        <v>755459</v>
      </c>
      <c r="J1400" t="s">
        <v>403</v>
      </c>
      <c r="K1400">
        <v>10.8</v>
      </c>
      <c r="L1400">
        <v>7.9</v>
      </c>
      <c r="N1400">
        <v>6</v>
      </c>
      <c r="O1400">
        <v>6</v>
      </c>
      <c r="P1400" t="s">
        <v>516</v>
      </c>
      <c r="Q1400" t="s">
        <v>400</v>
      </c>
      <c r="R1400">
        <v>10</v>
      </c>
      <c r="S1400">
        <v>2.48</v>
      </c>
      <c r="T1400">
        <v>810480.625</v>
      </c>
      <c r="V1400">
        <v>810480.625</v>
      </c>
      <c r="W1400" t="s">
        <v>401</v>
      </c>
      <c r="X1400">
        <v>9.9</v>
      </c>
      <c r="Y1400">
        <v>-1.5</v>
      </c>
    </row>
    <row r="1401" spans="1:25" x14ac:dyDescent="0.45">
      <c r="A1401">
        <v>7</v>
      </c>
      <c r="B1401">
        <v>7</v>
      </c>
      <c r="C1401" t="s">
        <v>408</v>
      </c>
      <c r="D1401" t="s">
        <v>400</v>
      </c>
      <c r="E1401">
        <v>10</v>
      </c>
      <c r="F1401">
        <v>2.5</v>
      </c>
      <c r="G1401">
        <v>756295.18799999997</v>
      </c>
      <c r="I1401">
        <v>756295.18799999997</v>
      </c>
      <c r="J1401" t="s">
        <v>403</v>
      </c>
      <c r="K1401">
        <v>10.8</v>
      </c>
      <c r="L1401">
        <v>8</v>
      </c>
      <c r="N1401">
        <v>7</v>
      </c>
      <c r="O1401">
        <v>7</v>
      </c>
      <c r="P1401" t="s">
        <v>517</v>
      </c>
      <c r="Q1401" t="s">
        <v>400</v>
      </c>
      <c r="R1401">
        <v>10</v>
      </c>
      <c r="S1401">
        <v>2.48</v>
      </c>
      <c r="T1401">
        <v>815873.18799999997</v>
      </c>
      <c r="V1401">
        <v>815873.18799999997</v>
      </c>
      <c r="W1401" t="s">
        <v>403</v>
      </c>
      <c r="X1401">
        <v>9.9</v>
      </c>
      <c r="Y1401">
        <v>-0.8</v>
      </c>
    </row>
    <row r="1402" spans="1:25" x14ac:dyDescent="0.45">
      <c r="A1402">
        <v>8</v>
      </c>
      <c r="B1402">
        <v>8</v>
      </c>
      <c r="C1402" t="s">
        <v>409</v>
      </c>
      <c r="D1402" t="s">
        <v>410</v>
      </c>
      <c r="E1402">
        <v>10</v>
      </c>
      <c r="F1402">
        <v>4.05</v>
      </c>
      <c r="G1402">
        <v>3764.7739999999999</v>
      </c>
      <c r="I1402">
        <v>3764.7739999999999</v>
      </c>
      <c r="J1402" t="s">
        <v>403</v>
      </c>
      <c r="K1402">
        <v>0.1</v>
      </c>
      <c r="L1402">
        <v>-99.5</v>
      </c>
      <c r="N1402">
        <v>8</v>
      </c>
      <c r="O1402">
        <v>8</v>
      </c>
      <c r="P1402" t="s">
        <v>518</v>
      </c>
      <c r="Q1402" t="s">
        <v>410</v>
      </c>
      <c r="R1402">
        <v>10</v>
      </c>
      <c r="S1402">
        <v>4.07</v>
      </c>
      <c r="T1402">
        <v>2296.7179999999998</v>
      </c>
      <c r="V1402">
        <v>2296.7179999999998</v>
      </c>
      <c r="W1402" t="s">
        <v>403</v>
      </c>
      <c r="X1402">
        <v>0</v>
      </c>
      <c r="Y1402">
        <v>-99.7</v>
      </c>
    </row>
    <row r="1403" spans="1:25" x14ac:dyDescent="0.45">
      <c r="A1403">
        <v>9</v>
      </c>
      <c r="B1403">
        <v>9</v>
      </c>
      <c r="C1403" t="s">
        <v>411</v>
      </c>
      <c r="D1403" t="s">
        <v>410</v>
      </c>
      <c r="E1403">
        <v>10</v>
      </c>
      <c r="F1403">
        <v>4</v>
      </c>
      <c r="G1403">
        <v>2440.4029999999998</v>
      </c>
      <c r="I1403">
        <v>2440.4029999999998</v>
      </c>
      <c r="J1403" t="s">
        <v>403</v>
      </c>
      <c r="K1403">
        <v>0</v>
      </c>
      <c r="L1403">
        <v>-99.7</v>
      </c>
      <c r="N1403">
        <v>9</v>
      </c>
      <c r="O1403">
        <v>9</v>
      </c>
      <c r="P1403" t="s">
        <v>519</v>
      </c>
      <c r="Q1403" t="s">
        <v>410</v>
      </c>
      <c r="R1403">
        <v>10</v>
      </c>
      <c r="S1403">
        <v>4.07</v>
      </c>
      <c r="T1403">
        <v>2402.386</v>
      </c>
      <c r="V1403">
        <v>2402.386</v>
      </c>
      <c r="W1403" t="s">
        <v>403</v>
      </c>
      <c r="X1403">
        <v>0</v>
      </c>
      <c r="Y1403">
        <v>-99.7</v>
      </c>
    </row>
    <row r="1404" spans="1:25" x14ac:dyDescent="0.45">
      <c r="A1404">
        <v>10</v>
      </c>
      <c r="B1404">
        <v>10</v>
      </c>
      <c r="C1404" t="s">
        <v>413</v>
      </c>
      <c r="D1404" t="s">
        <v>414</v>
      </c>
      <c r="E1404">
        <v>10</v>
      </c>
      <c r="F1404">
        <v>2.5</v>
      </c>
      <c r="G1404">
        <v>50246.773000000001</v>
      </c>
      <c r="I1404">
        <v>50246.773000000001</v>
      </c>
      <c r="J1404" t="s">
        <v>401</v>
      </c>
      <c r="K1404">
        <v>0.7</v>
      </c>
      <c r="L1404">
        <v>-92.8</v>
      </c>
      <c r="N1404">
        <v>10</v>
      </c>
      <c r="O1404">
        <v>10</v>
      </c>
      <c r="P1404" t="s">
        <v>520</v>
      </c>
      <c r="Q1404" t="s">
        <v>414</v>
      </c>
      <c r="R1404">
        <v>10</v>
      </c>
      <c r="S1404">
        <v>2.48</v>
      </c>
      <c r="T1404">
        <v>240475.79699999999</v>
      </c>
      <c r="V1404">
        <v>240475.79699999999</v>
      </c>
      <c r="W1404" t="s">
        <v>415</v>
      </c>
      <c r="X1404">
        <v>2.9</v>
      </c>
      <c r="Y1404">
        <v>-70.8</v>
      </c>
    </row>
    <row r="1405" spans="1:25" x14ac:dyDescent="0.45">
      <c r="A1405">
        <v>11</v>
      </c>
      <c r="B1405">
        <v>11</v>
      </c>
      <c r="C1405" t="s">
        <v>416</v>
      </c>
      <c r="D1405" t="s">
        <v>414</v>
      </c>
      <c r="E1405">
        <v>10</v>
      </c>
      <c r="F1405">
        <v>2.48</v>
      </c>
      <c r="G1405">
        <v>70048.023000000001</v>
      </c>
      <c r="I1405">
        <v>70048.023000000001</v>
      </c>
      <c r="J1405" t="s">
        <v>415</v>
      </c>
      <c r="K1405">
        <v>1</v>
      </c>
      <c r="L1405">
        <v>-90</v>
      </c>
      <c r="N1405">
        <v>11</v>
      </c>
      <c r="O1405">
        <v>11</v>
      </c>
      <c r="P1405" t="s">
        <v>521</v>
      </c>
      <c r="Q1405" t="s">
        <v>414</v>
      </c>
      <c r="R1405">
        <v>10</v>
      </c>
      <c r="S1405">
        <v>2.48</v>
      </c>
      <c r="T1405">
        <v>82478.202999999994</v>
      </c>
      <c r="V1405">
        <v>82478.202999999994</v>
      </c>
      <c r="W1405" t="s">
        <v>401</v>
      </c>
      <c r="X1405">
        <v>1</v>
      </c>
      <c r="Y1405">
        <v>-90</v>
      </c>
    </row>
    <row r="1406" spans="1:25" x14ac:dyDescent="0.45">
      <c r="A1406">
        <v>12</v>
      </c>
      <c r="B1406">
        <v>12</v>
      </c>
      <c r="C1406" t="s">
        <v>417</v>
      </c>
      <c r="D1406" t="s">
        <v>414</v>
      </c>
      <c r="E1406">
        <v>10</v>
      </c>
      <c r="F1406">
        <v>2.48</v>
      </c>
      <c r="G1406">
        <v>32421.723000000002</v>
      </c>
      <c r="I1406">
        <v>32421.723000000002</v>
      </c>
      <c r="J1406" t="s">
        <v>403</v>
      </c>
      <c r="K1406">
        <v>0.5</v>
      </c>
      <c r="L1406">
        <v>-95.4</v>
      </c>
      <c r="N1406">
        <v>12</v>
      </c>
      <c r="O1406">
        <v>12</v>
      </c>
      <c r="P1406" t="s">
        <v>522</v>
      </c>
      <c r="Q1406" t="s">
        <v>414</v>
      </c>
      <c r="R1406">
        <v>10</v>
      </c>
      <c r="S1406">
        <v>2.48</v>
      </c>
      <c r="T1406">
        <v>56130.156000000003</v>
      </c>
      <c r="V1406">
        <v>56130.156000000003</v>
      </c>
      <c r="W1406" t="s">
        <v>401</v>
      </c>
      <c r="X1406">
        <v>0.7</v>
      </c>
      <c r="Y1406">
        <v>-93.2</v>
      </c>
    </row>
    <row r="1407" spans="1:25" x14ac:dyDescent="0.45">
      <c r="A1407">
        <v>13</v>
      </c>
      <c r="B1407">
        <v>13</v>
      </c>
      <c r="C1407" t="s">
        <v>418</v>
      </c>
      <c r="D1407" t="s">
        <v>414</v>
      </c>
      <c r="E1407">
        <v>10</v>
      </c>
      <c r="F1407">
        <v>2.5</v>
      </c>
      <c r="G1407">
        <v>30620.134999999998</v>
      </c>
      <c r="I1407">
        <v>30620.134999999998</v>
      </c>
      <c r="J1407" t="s">
        <v>415</v>
      </c>
      <c r="K1407">
        <v>0.4</v>
      </c>
      <c r="L1407">
        <v>-95.6</v>
      </c>
      <c r="N1407">
        <v>13</v>
      </c>
      <c r="O1407">
        <v>13</v>
      </c>
      <c r="P1407" t="s">
        <v>523</v>
      </c>
      <c r="Q1407" t="s">
        <v>414</v>
      </c>
      <c r="R1407">
        <v>10</v>
      </c>
      <c r="S1407">
        <v>2.48</v>
      </c>
      <c r="T1407">
        <v>126724.648</v>
      </c>
      <c r="V1407">
        <v>126724.648</v>
      </c>
      <c r="W1407" t="s">
        <v>403</v>
      </c>
      <c r="X1407">
        <v>1.5</v>
      </c>
      <c r="Y1407">
        <v>-84.6</v>
      </c>
    </row>
    <row r="1408" spans="1:25" x14ac:dyDescent="0.45">
      <c r="A1408">
        <v>14</v>
      </c>
      <c r="B1408">
        <v>14</v>
      </c>
      <c r="C1408" t="s">
        <v>419</v>
      </c>
      <c r="D1408" t="s">
        <v>414</v>
      </c>
      <c r="E1408">
        <v>10</v>
      </c>
      <c r="F1408">
        <v>2.48</v>
      </c>
      <c r="G1408">
        <v>83735.016000000003</v>
      </c>
      <c r="I1408">
        <v>83735.016000000003</v>
      </c>
      <c r="J1408" t="s">
        <v>403</v>
      </c>
      <c r="K1408">
        <v>1.2</v>
      </c>
      <c r="L1408">
        <v>-88</v>
      </c>
      <c r="N1408">
        <v>14</v>
      </c>
      <c r="O1408">
        <v>14</v>
      </c>
      <c r="P1408" t="s">
        <v>524</v>
      </c>
      <c r="Q1408" t="s">
        <v>414</v>
      </c>
      <c r="R1408">
        <v>10</v>
      </c>
      <c r="S1408">
        <v>2.48</v>
      </c>
      <c r="T1408">
        <v>63399.211000000003</v>
      </c>
      <c r="V1408">
        <v>63399.211000000003</v>
      </c>
      <c r="W1408" t="s">
        <v>401</v>
      </c>
      <c r="X1408">
        <v>0.8</v>
      </c>
      <c r="Y1408">
        <v>-92.3</v>
      </c>
    </row>
    <row r="1409" spans="1:25" x14ac:dyDescent="0.45">
      <c r="A1409">
        <v>15</v>
      </c>
      <c r="B1409">
        <v>15</v>
      </c>
      <c r="C1409" t="s">
        <v>420</v>
      </c>
      <c r="D1409" t="s">
        <v>414</v>
      </c>
      <c r="E1409">
        <v>10</v>
      </c>
      <c r="F1409">
        <v>2.5</v>
      </c>
      <c r="G1409">
        <v>104000.69500000001</v>
      </c>
      <c r="I1409">
        <v>104000.69500000001</v>
      </c>
      <c r="J1409" t="s">
        <v>401</v>
      </c>
      <c r="K1409">
        <v>1.5</v>
      </c>
      <c r="L1409">
        <v>-85.1</v>
      </c>
      <c r="N1409">
        <v>15</v>
      </c>
      <c r="O1409">
        <v>15</v>
      </c>
      <c r="P1409" t="s">
        <v>525</v>
      </c>
      <c r="Q1409" t="s">
        <v>414</v>
      </c>
      <c r="R1409">
        <v>10</v>
      </c>
      <c r="S1409">
        <v>2.48</v>
      </c>
      <c r="T1409">
        <v>74893.577999999994</v>
      </c>
      <c r="V1409">
        <v>74893.577999999994</v>
      </c>
      <c r="W1409" t="s">
        <v>401</v>
      </c>
      <c r="X1409">
        <v>0.9</v>
      </c>
      <c r="Y1409">
        <v>-90.9</v>
      </c>
    </row>
    <row r="1410" spans="1:25" x14ac:dyDescent="0.45">
      <c r="A1410">
        <v>16</v>
      </c>
      <c r="B1410">
        <v>16</v>
      </c>
      <c r="C1410" t="s">
        <v>421</v>
      </c>
      <c r="D1410" t="s">
        <v>414</v>
      </c>
      <c r="E1410">
        <v>10</v>
      </c>
      <c r="F1410">
        <v>2.5</v>
      </c>
      <c r="G1410">
        <v>61351.550999999999</v>
      </c>
      <c r="I1410">
        <v>61351.550999999999</v>
      </c>
      <c r="J1410" t="s">
        <v>403</v>
      </c>
      <c r="K1410">
        <v>0.9</v>
      </c>
      <c r="L1410">
        <v>-91.2</v>
      </c>
      <c r="N1410">
        <v>16</v>
      </c>
      <c r="O1410">
        <v>16</v>
      </c>
      <c r="P1410" t="s">
        <v>526</v>
      </c>
      <c r="Q1410" t="s">
        <v>414</v>
      </c>
      <c r="R1410">
        <v>10</v>
      </c>
      <c r="S1410">
        <v>2.48</v>
      </c>
      <c r="T1410">
        <v>101319.648</v>
      </c>
      <c r="V1410">
        <v>101319.648</v>
      </c>
      <c r="W1410" t="s">
        <v>401</v>
      </c>
      <c r="X1410">
        <v>1.2</v>
      </c>
      <c r="Y1410">
        <v>-87.7</v>
      </c>
    </row>
    <row r="1411" spans="1:25" x14ac:dyDescent="0.45">
      <c r="A1411">
        <v>17</v>
      </c>
      <c r="B1411">
        <v>17</v>
      </c>
      <c r="C1411" t="s">
        <v>422</v>
      </c>
      <c r="D1411" t="s">
        <v>414</v>
      </c>
      <c r="E1411">
        <v>10</v>
      </c>
      <c r="F1411">
        <v>2.5</v>
      </c>
      <c r="G1411">
        <v>89183.93</v>
      </c>
      <c r="I1411">
        <v>89183.93</v>
      </c>
      <c r="J1411" t="s">
        <v>401</v>
      </c>
      <c r="K1411">
        <v>1.3</v>
      </c>
      <c r="L1411">
        <v>-87.3</v>
      </c>
      <c r="N1411">
        <v>17</v>
      </c>
      <c r="O1411">
        <v>17</v>
      </c>
      <c r="P1411" t="s">
        <v>527</v>
      </c>
      <c r="Q1411" t="s">
        <v>414</v>
      </c>
      <c r="R1411">
        <v>10</v>
      </c>
      <c r="S1411">
        <v>2.48</v>
      </c>
      <c r="T1411">
        <v>56795.934000000001</v>
      </c>
      <c r="V1411">
        <v>56795.934000000001</v>
      </c>
      <c r="W1411" t="s">
        <v>401</v>
      </c>
      <c r="X1411">
        <v>0.7</v>
      </c>
      <c r="Y1411">
        <v>-93.1</v>
      </c>
    </row>
    <row r="1412" spans="1:25" x14ac:dyDescent="0.45">
      <c r="A1412">
        <v>18</v>
      </c>
      <c r="B1412">
        <v>18</v>
      </c>
      <c r="C1412" t="s">
        <v>423</v>
      </c>
      <c r="D1412" t="s">
        <v>414</v>
      </c>
      <c r="E1412">
        <v>10</v>
      </c>
      <c r="F1412">
        <v>2.5</v>
      </c>
      <c r="G1412">
        <v>71804.758000000002</v>
      </c>
      <c r="I1412">
        <v>71804.758000000002</v>
      </c>
      <c r="J1412" t="s">
        <v>401</v>
      </c>
      <c r="K1412">
        <v>1</v>
      </c>
      <c r="L1412">
        <v>-89.7</v>
      </c>
      <c r="N1412">
        <v>18</v>
      </c>
      <c r="O1412">
        <v>18</v>
      </c>
      <c r="P1412" t="s">
        <v>528</v>
      </c>
      <c r="Q1412" t="s">
        <v>414</v>
      </c>
      <c r="R1412">
        <v>10</v>
      </c>
      <c r="S1412">
        <v>2.48</v>
      </c>
      <c r="T1412">
        <v>84320.164000000004</v>
      </c>
      <c r="V1412">
        <v>84320.164000000004</v>
      </c>
      <c r="W1412" t="s">
        <v>401</v>
      </c>
      <c r="X1412">
        <v>1</v>
      </c>
      <c r="Y1412">
        <v>-89.7</v>
      </c>
    </row>
    <row r="1413" spans="1:25" x14ac:dyDescent="0.45">
      <c r="A1413">
        <v>19</v>
      </c>
      <c r="B1413">
        <v>19</v>
      </c>
      <c r="C1413" t="s">
        <v>424</v>
      </c>
      <c r="D1413" t="s">
        <v>414</v>
      </c>
      <c r="E1413">
        <v>10</v>
      </c>
      <c r="F1413">
        <v>2.5</v>
      </c>
      <c r="G1413">
        <v>105348.94500000001</v>
      </c>
      <c r="I1413">
        <v>105348.94500000001</v>
      </c>
      <c r="J1413" t="s">
        <v>401</v>
      </c>
      <c r="K1413">
        <v>1.5</v>
      </c>
      <c r="L1413">
        <v>-85</v>
      </c>
      <c r="N1413">
        <v>19</v>
      </c>
      <c r="O1413">
        <v>19</v>
      </c>
      <c r="P1413" t="s">
        <v>529</v>
      </c>
      <c r="Q1413" t="s">
        <v>414</v>
      </c>
      <c r="R1413">
        <v>10</v>
      </c>
      <c r="S1413">
        <v>2.48</v>
      </c>
      <c r="T1413">
        <v>298864.43800000002</v>
      </c>
      <c r="V1413">
        <v>298864.43800000002</v>
      </c>
      <c r="W1413" t="s">
        <v>401</v>
      </c>
      <c r="X1413">
        <v>3.6</v>
      </c>
      <c r="Y1413">
        <v>-63.7</v>
      </c>
    </row>
    <row r="1414" spans="1:25" x14ac:dyDescent="0.45">
      <c r="A1414">
        <v>20</v>
      </c>
      <c r="B1414">
        <v>20</v>
      </c>
      <c r="C1414" t="s">
        <v>425</v>
      </c>
      <c r="D1414" t="s">
        <v>414</v>
      </c>
      <c r="E1414">
        <v>10</v>
      </c>
      <c r="F1414">
        <v>2.5</v>
      </c>
      <c r="G1414">
        <v>33969.137000000002</v>
      </c>
      <c r="I1414">
        <v>33969.137000000002</v>
      </c>
      <c r="J1414" t="s">
        <v>401</v>
      </c>
      <c r="K1414">
        <v>0.5</v>
      </c>
      <c r="L1414">
        <v>-95.1</v>
      </c>
      <c r="N1414">
        <v>20</v>
      </c>
      <c r="O1414">
        <v>20</v>
      </c>
      <c r="P1414" t="s">
        <v>530</v>
      </c>
      <c r="Q1414" t="s">
        <v>414</v>
      </c>
      <c r="R1414">
        <v>10</v>
      </c>
      <c r="S1414">
        <v>2.48</v>
      </c>
      <c r="T1414">
        <v>59310.141000000003</v>
      </c>
      <c r="V1414">
        <v>59310.141000000003</v>
      </c>
      <c r="W1414" t="s">
        <v>403</v>
      </c>
      <c r="X1414">
        <v>0.7</v>
      </c>
      <c r="Y1414">
        <v>-92.8</v>
      </c>
    </row>
    <row r="1415" spans="1:25" x14ac:dyDescent="0.45">
      <c r="A1415">
        <v>21</v>
      </c>
      <c r="B1415">
        <v>21</v>
      </c>
      <c r="C1415" t="s">
        <v>426</v>
      </c>
      <c r="D1415" t="s">
        <v>414</v>
      </c>
      <c r="E1415">
        <v>10</v>
      </c>
      <c r="F1415">
        <v>2.5</v>
      </c>
      <c r="G1415">
        <v>31474.484</v>
      </c>
      <c r="I1415">
        <v>31474.484</v>
      </c>
      <c r="J1415" t="s">
        <v>403</v>
      </c>
      <c r="K1415">
        <v>0.4</v>
      </c>
      <c r="L1415">
        <v>-95.5</v>
      </c>
      <c r="N1415">
        <v>21</v>
      </c>
      <c r="O1415">
        <v>21</v>
      </c>
      <c r="P1415" t="s">
        <v>531</v>
      </c>
      <c r="Q1415" t="s">
        <v>414</v>
      </c>
      <c r="R1415">
        <v>10</v>
      </c>
      <c r="S1415">
        <v>2.48</v>
      </c>
      <c r="T1415">
        <v>53785.328000000001</v>
      </c>
      <c r="V1415">
        <v>53785.328000000001</v>
      </c>
      <c r="W1415" t="s">
        <v>403</v>
      </c>
      <c r="X1415">
        <v>0.7</v>
      </c>
      <c r="Y1415">
        <v>-93.5</v>
      </c>
    </row>
    <row r="1416" spans="1:25" x14ac:dyDescent="0.45">
      <c r="A1416">
        <v>22</v>
      </c>
      <c r="B1416">
        <v>22</v>
      </c>
      <c r="C1416" t="s">
        <v>427</v>
      </c>
      <c r="D1416" t="s">
        <v>414</v>
      </c>
      <c r="E1416">
        <v>10</v>
      </c>
      <c r="F1416">
        <v>2.5</v>
      </c>
      <c r="G1416">
        <v>28424.223000000002</v>
      </c>
      <c r="I1416">
        <v>28424.223000000002</v>
      </c>
      <c r="J1416" t="s">
        <v>403</v>
      </c>
      <c r="K1416">
        <v>0.4</v>
      </c>
      <c r="L1416">
        <v>-95.9</v>
      </c>
      <c r="N1416">
        <v>22</v>
      </c>
      <c r="O1416">
        <v>22</v>
      </c>
      <c r="P1416" t="s">
        <v>532</v>
      </c>
      <c r="Q1416" t="s">
        <v>414</v>
      </c>
      <c r="R1416">
        <v>10</v>
      </c>
      <c r="S1416">
        <v>2.48</v>
      </c>
      <c r="T1416">
        <v>63328.144999999997</v>
      </c>
      <c r="V1416">
        <v>63328.144999999997</v>
      </c>
      <c r="W1416" t="s">
        <v>403</v>
      </c>
      <c r="X1416">
        <v>0.8</v>
      </c>
      <c r="Y1416">
        <v>-92.3</v>
      </c>
    </row>
    <row r="1417" spans="1:25" x14ac:dyDescent="0.45">
      <c r="A1417">
        <v>23</v>
      </c>
      <c r="B1417">
        <v>23</v>
      </c>
      <c r="C1417" t="s">
        <v>428</v>
      </c>
      <c r="D1417" t="s">
        <v>414</v>
      </c>
      <c r="E1417">
        <v>10</v>
      </c>
      <c r="F1417">
        <v>2.5</v>
      </c>
      <c r="G1417">
        <v>40617.487999999998</v>
      </c>
      <c r="I1417">
        <v>40617.487999999998</v>
      </c>
      <c r="J1417" t="s">
        <v>403</v>
      </c>
      <c r="K1417">
        <v>0.6</v>
      </c>
      <c r="L1417">
        <v>-94.2</v>
      </c>
      <c r="N1417">
        <v>23</v>
      </c>
      <c r="O1417">
        <v>23</v>
      </c>
      <c r="P1417" t="s">
        <v>533</v>
      </c>
      <c r="Q1417" t="s">
        <v>414</v>
      </c>
      <c r="R1417">
        <v>10</v>
      </c>
      <c r="S1417">
        <v>2.48</v>
      </c>
      <c r="T1417">
        <v>41166.339999999997</v>
      </c>
      <c r="V1417">
        <v>41166.339999999997</v>
      </c>
      <c r="W1417" t="s">
        <v>401</v>
      </c>
      <c r="X1417">
        <v>0.5</v>
      </c>
      <c r="Y1417">
        <v>-95</v>
      </c>
    </row>
    <row r="1418" spans="1:25" x14ac:dyDescent="0.45">
      <c r="A1418">
        <v>24</v>
      </c>
      <c r="B1418">
        <v>24</v>
      </c>
      <c r="C1418" t="s">
        <v>429</v>
      </c>
      <c r="D1418" t="s">
        <v>414</v>
      </c>
      <c r="E1418">
        <v>10</v>
      </c>
      <c r="F1418">
        <v>2.5</v>
      </c>
      <c r="G1418">
        <v>28968.18</v>
      </c>
      <c r="I1418">
        <v>28968.18</v>
      </c>
      <c r="J1418" t="s">
        <v>401</v>
      </c>
      <c r="K1418">
        <v>0.4</v>
      </c>
      <c r="L1418">
        <v>-95.9</v>
      </c>
      <c r="N1418">
        <v>24</v>
      </c>
      <c r="O1418">
        <v>24</v>
      </c>
      <c r="P1418" t="s">
        <v>534</v>
      </c>
      <c r="Q1418" t="s">
        <v>414</v>
      </c>
      <c r="R1418">
        <v>10</v>
      </c>
      <c r="S1418">
        <v>2.48</v>
      </c>
      <c r="T1418">
        <v>68976.827999999994</v>
      </c>
      <c r="V1418">
        <v>68976.827999999994</v>
      </c>
      <c r="W1418" t="s">
        <v>415</v>
      </c>
      <c r="X1418">
        <v>0.8</v>
      </c>
      <c r="Y1418">
        <v>-91.6</v>
      </c>
    </row>
    <row r="1419" spans="1:25" x14ac:dyDescent="0.45">
      <c r="A1419">
        <v>25</v>
      </c>
      <c r="B1419">
        <v>25</v>
      </c>
      <c r="C1419" t="s">
        <v>430</v>
      </c>
      <c r="D1419" t="s">
        <v>414</v>
      </c>
      <c r="E1419">
        <v>10</v>
      </c>
      <c r="F1419">
        <v>2.48</v>
      </c>
      <c r="G1419">
        <v>42120.324000000001</v>
      </c>
      <c r="I1419">
        <v>42120.324000000001</v>
      </c>
      <c r="J1419" t="s">
        <v>401</v>
      </c>
      <c r="K1419">
        <v>0.6</v>
      </c>
      <c r="L1419">
        <v>-94</v>
      </c>
      <c r="N1419">
        <v>25</v>
      </c>
      <c r="O1419">
        <v>25</v>
      </c>
      <c r="P1419" t="s">
        <v>535</v>
      </c>
      <c r="Q1419" t="s">
        <v>414</v>
      </c>
      <c r="R1419">
        <v>10</v>
      </c>
      <c r="S1419">
        <v>2.48</v>
      </c>
      <c r="T1419">
        <v>100523.56299999999</v>
      </c>
      <c r="V1419">
        <v>100523.56299999999</v>
      </c>
      <c r="W1419" t="s">
        <v>415</v>
      </c>
      <c r="X1419">
        <v>1.2</v>
      </c>
      <c r="Y1419">
        <v>-87.8</v>
      </c>
    </row>
    <row r="1420" spans="1:25" x14ac:dyDescent="0.45">
      <c r="A1420">
        <v>26</v>
      </c>
      <c r="B1420">
        <v>26</v>
      </c>
      <c r="C1420" t="s">
        <v>431</v>
      </c>
      <c r="D1420" t="s">
        <v>414</v>
      </c>
      <c r="E1420">
        <v>10</v>
      </c>
      <c r="F1420">
        <v>2.48</v>
      </c>
      <c r="G1420">
        <v>22889.171999999999</v>
      </c>
      <c r="I1420">
        <v>22889.171999999999</v>
      </c>
      <c r="J1420" t="s">
        <v>403</v>
      </c>
      <c r="K1420">
        <v>0.3</v>
      </c>
      <c r="L1420">
        <v>-96.7</v>
      </c>
      <c r="N1420">
        <v>26</v>
      </c>
      <c r="O1420">
        <v>26</v>
      </c>
      <c r="P1420" t="s">
        <v>536</v>
      </c>
      <c r="Q1420" t="s">
        <v>414</v>
      </c>
      <c r="R1420">
        <v>10</v>
      </c>
      <c r="S1420">
        <v>2.48</v>
      </c>
      <c r="T1420">
        <v>63054.824000000001</v>
      </c>
      <c r="V1420">
        <v>63054.824000000001</v>
      </c>
      <c r="W1420" t="s">
        <v>401</v>
      </c>
      <c r="X1420">
        <v>0.8</v>
      </c>
      <c r="Y1420">
        <v>-92.3</v>
      </c>
    </row>
    <row r="1421" spans="1:25" x14ac:dyDescent="0.45">
      <c r="A1421">
        <v>27</v>
      </c>
      <c r="B1421">
        <v>27</v>
      </c>
      <c r="C1421" t="s">
        <v>432</v>
      </c>
      <c r="D1421" t="s">
        <v>414</v>
      </c>
      <c r="E1421">
        <v>10</v>
      </c>
      <c r="F1421">
        <v>2.48</v>
      </c>
      <c r="G1421">
        <v>35203.758000000002</v>
      </c>
      <c r="I1421">
        <v>35203.758000000002</v>
      </c>
      <c r="J1421" t="s">
        <v>403</v>
      </c>
      <c r="K1421">
        <v>0.5</v>
      </c>
      <c r="L1421">
        <v>-95</v>
      </c>
      <c r="N1421">
        <v>27</v>
      </c>
      <c r="O1421">
        <v>27</v>
      </c>
      <c r="P1421" t="s">
        <v>537</v>
      </c>
      <c r="Q1421" t="s">
        <v>414</v>
      </c>
      <c r="R1421">
        <v>10</v>
      </c>
      <c r="S1421">
        <v>2.48</v>
      </c>
      <c r="T1421">
        <v>42949.351999999999</v>
      </c>
      <c r="V1421">
        <v>42949.351999999999</v>
      </c>
      <c r="W1421" t="s">
        <v>403</v>
      </c>
      <c r="X1421">
        <v>0.5</v>
      </c>
      <c r="Y1421">
        <v>-94.8</v>
      </c>
    </row>
    <row r="1422" spans="1:25" x14ac:dyDescent="0.45">
      <c r="A1422">
        <v>28</v>
      </c>
      <c r="B1422">
        <v>28</v>
      </c>
      <c r="C1422" t="s">
        <v>433</v>
      </c>
      <c r="D1422" t="s">
        <v>414</v>
      </c>
      <c r="E1422">
        <v>10</v>
      </c>
      <c r="F1422">
        <v>2.48</v>
      </c>
      <c r="G1422">
        <v>34754.906000000003</v>
      </c>
      <c r="I1422">
        <v>34754.906000000003</v>
      </c>
      <c r="J1422" t="s">
        <v>403</v>
      </c>
      <c r="K1422">
        <v>0.5</v>
      </c>
      <c r="L1422">
        <v>-95</v>
      </c>
      <c r="N1422">
        <v>28</v>
      </c>
      <c r="O1422">
        <v>28</v>
      </c>
      <c r="P1422" t="s">
        <v>538</v>
      </c>
      <c r="Q1422" t="s">
        <v>414</v>
      </c>
      <c r="R1422">
        <v>10</v>
      </c>
      <c r="S1422">
        <v>2.5</v>
      </c>
      <c r="T1422">
        <v>77796.672000000006</v>
      </c>
      <c r="V1422">
        <v>77796.672000000006</v>
      </c>
      <c r="W1422" t="s">
        <v>401</v>
      </c>
      <c r="X1422">
        <v>0.9</v>
      </c>
      <c r="Y1422">
        <v>-90.5</v>
      </c>
    </row>
    <row r="1423" spans="1:25" x14ac:dyDescent="0.45">
      <c r="A1423">
        <v>29</v>
      </c>
      <c r="B1423">
        <v>29</v>
      </c>
      <c r="C1423" t="s">
        <v>434</v>
      </c>
      <c r="D1423" t="s">
        <v>414</v>
      </c>
      <c r="E1423">
        <v>10</v>
      </c>
      <c r="F1423">
        <v>2.48</v>
      </c>
      <c r="G1423">
        <v>32768.425999999999</v>
      </c>
      <c r="I1423">
        <v>32768.425999999999</v>
      </c>
      <c r="J1423" t="s">
        <v>403</v>
      </c>
      <c r="K1423">
        <v>0.5</v>
      </c>
      <c r="L1423">
        <v>-95.3</v>
      </c>
      <c r="N1423">
        <v>29</v>
      </c>
      <c r="O1423">
        <v>29</v>
      </c>
      <c r="P1423" t="s">
        <v>539</v>
      </c>
      <c r="Q1423" t="s">
        <v>414</v>
      </c>
      <c r="R1423">
        <v>10</v>
      </c>
      <c r="S1423">
        <v>2.48</v>
      </c>
      <c r="T1423">
        <v>74313.226999999999</v>
      </c>
      <c r="V1423">
        <v>74313.226999999999</v>
      </c>
      <c r="W1423" t="s">
        <v>401</v>
      </c>
      <c r="X1423">
        <v>0.9</v>
      </c>
      <c r="Y1423">
        <v>-91</v>
      </c>
    </row>
    <row r="1424" spans="1:25" x14ac:dyDescent="0.45">
      <c r="A1424">
        <v>30</v>
      </c>
      <c r="B1424">
        <v>30</v>
      </c>
      <c r="C1424" t="s">
        <v>435</v>
      </c>
      <c r="D1424" t="s">
        <v>414</v>
      </c>
      <c r="E1424">
        <v>10</v>
      </c>
      <c r="F1424">
        <v>2.48</v>
      </c>
      <c r="G1424">
        <v>24078.912</v>
      </c>
      <c r="I1424">
        <v>24078.912</v>
      </c>
      <c r="J1424" t="s">
        <v>415</v>
      </c>
      <c r="K1424">
        <v>0.3</v>
      </c>
      <c r="L1424">
        <v>-96.6</v>
      </c>
      <c r="N1424">
        <v>30</v>
      </c>
      <c r="O1424">
        <v>30</v>
      </c>
      <c r="P1424" t="s">
        <v>540</v>
      </c>
      <c r="Q1424" t="s">
        <v>414</v>
      </c>
      <c r="R1424">
        <v>10</v>
      </c>
      <c r="S1424">
        <v>2.48</v>
      </c>
      <c r="T1424">
        <v>54019.718999999997</v>
      </c>
      <c r="V1424">
        <v>54019.718999999997</v>
      </c>
      <c r="W1424" t="s">
        <v>401</v>
      </c>
      <c r="X1424">
        <v>0.7</v>
      </c>
      <c r="Y1424">
        <v>-93.4</v>
      </c>
    </row>
    <row r="1425" spans="1:25" x14ac:dyDescent="0.45">
      <c r="A1425">
        <v>31</v>
      </c>
      <c r="B1425">
        <v>31</v>
      </c>
      <c r="C1425" t="s">
        <v>436</v>
      </c>
      <c r="D1425" t="s">
        <v>414</v>
      </c>
      <c r="E1425">
        <v>10</v>
      </c>
      <c r="F1425">
        <v>2.48</v>
      </c>
      <c r="G1425">
        <v>30598.055</v>
      </c>
      <c r="I1425">
        <v>30598.055</v>
      </c>
      <c r="J1425" t="s">
        <v>403</v>
      </c>
      <c r="K1425">
        <v>0.4</v>
      </c>
      <c r="L1425">
        <v>-95.6</v>
      </c>
      <c r="N1425">
        <v>31</v>
      </c>
      <c r="O1425">
        <v>31</v>
      </c>
      <c r="P1425" t="s">
        <v>541</v>
      </c>
      <c r="Q1425" t="s">
        <v>414</v>
      </c>
      <c r="R1425">
        <v>10</v>
      </c>
      <c r="S1425">
        <v>2.48</v>
      </c>
      <c r="T1425">
        <v>38656.898000000001</v>
      </c>
      <c r="V1425">
        <v>38656.898000000001</v>
      </c>
      <c r="W1425" t="s">
        <v>401</v>
      </c>
      <c r="X1425">
        <v>0.5</v>
      </c>
      <c r="Y1425">
        <v>-95.3</v>
      </c>
    </row>
    <row r="1426" spans="1:25" x14ac:dyDescent="0.45">
      <c r="A1426">
        <v>32</v>
      </c>
      <c r="B1426">
        <v>32</v>
      </c>
      <c r="C1426" t="s">
        <v>437</v>
      </c>
      <c r="D1426" t="s">
        <v>414</v>
      </c>
      <c r="E1426">
        <v>10</v>
      </c>
      <c r="F1426">
        <v>2.48</v>
      </c>
      <c r="G1426">
        <v>43815.641000000003</v>
      </c>
      <c r="I1426">
        <v>43815.641000000003</v>
      </c>
      <c r="J1426" t="s">
        <v>401</v>
      </c>
      <c r="K1426">
        <v>0.6</v>
      </c>
      <c r="L1426">
        <v>-93.7</v>
      </c>
      <c r="N1426">
        <v>32</v>
      </c>
      <c r="O1426">
        <v>32</v>
      </c>
      <c r="P1426" t="s">
        <v>542</v>
      </c>
      <c r="Q1426" t="s">
        <v>414</v>
      </c>
      <c r="R1426">
        <v>10</v>
      </c>
      <c r="S1426">
        <v>2.48</v>
      </c>
      <c r="T1426">
        <v>73397.391000000003</v>
      </c>
      <c r="V1426">
        <v>73397.391000000003</v>
      </c>
      <c r="W1426" t="s">
        <v>401</v>
      </c>
      <c r="X1426">
        <v>0.9</v>
      </c>
      <c r="Y1426">
        <v>-91.1</v>
      </c>
    </row>
    <row r="1427" spans="1:25" x14ac:dyDescent="0.45">
      <c r="A1427">
        <v>33</v>
      </c>
      <c r="B1427">
        <v>33</v>
      </c>
      <c r="C1427" t="s">
        <v>438</v>
      </c>
      <c r="D1427" t="s">
        <v>414</v>
      </c>
      <c r="E1427">
        <v>10</v>
      </c>
      <c r="F1427">
        <v>2.48</v>
      </c>
      <c r="G1427">
        <v>27780.145</v>
      </c>
      <c r="I1427">
        <v>27780.145</v>
      </c>
      <c r="J1427" t="s">
        <v>403</v>
      </c>
      <c r="K1427">
        <v>0.4</v>
      </c>
      <c r="L1427">
        <v>-96</v>
      </c>
      <c r="N1427">
        <v>33</v>
      </c>
      <c r="O1427">
        <v>33</v>
      </c>
      <c r="P1427" t="s">
        <v>543</v>
      </c>
      <c r="Q1427" t="s">
        <v>414</v>
      </c>
      <c r="R1427">
        <v>10</v>
      </c>
      <c r="S1427">
        <v>2.48</v>
      </c>
      <c r="T1427">
        <v>55328.898000000001</v>
      </c>
      <c r="V1427">
        <v>55328.898000000001</v>
      </c>
      <c r="W1427" t="s">
        <v>403</v>
      </c>
      <c r="X1427">
        <v>0.7</v>
      </c>
      <c r="Y1427">
        <v>-93.3</v>
      </c>
    </row>
    <row r="1428" spans="1:25" x14ac:dyDescent="0.45">
      <c r="A1428">
        <v>34</v>
      </c>
      <c r="B1428">
        <v>34</v>
      </c>
      <c r="C1428" t="s">
        <v>439</v>
      </c>
      <c r="D1428" t="s">
        <v>414</v>
      </c>
      <c r="E1428">
        <v>10</v>
      </c>
      <c r="F1428">
        <v>2.48</v>
      </c>
      <c r="G1428">
        <v>35773.839999999997</v>
      </c>
      <c r="I1428">
        <v>35773.839999999997</v>
      </c>
      <c r="J1428" t="s">
        <v>401</v>
      </c>
      <c r="K1428">
        <v>0.5</v>
      </c>
      <c r="L1428">
        <v>-94.9</v>
      </c>
      <c r="N1428">
        <v>34</v>
      </c>
      <c r="O1428">
        <v>34</v>
      </c>
      <c r="P1428" t="s">
        <v>544</v>
      </c>
      <c r="Q1428" t="s">
        <v>414</v>
      </c>
      <c r="R1428">
        <v>10</v>
      </c>
      <c r="S1428">
        <v>2.48</v>
      </c>
      <c r="T1428">
        <v>61108.472999999998</v>
      </c>
      <c r="V1428">
        <v>61108.472999999998</v>
      </c>
      <c r="W1428" t="s">
        <v>401</v>
      </c>
      <c r="X1428">
        <v>0.7</v>
      </c>
      <c r="Y1428">
        <v>-92.6</v>
      </c>
    </row>
    <row r="1429" spans="1:25" x14ac:dyDescent="0.45">
      <c r="A1429">
        <v>35</v>
      </c>
      <c r="B1429">
        <v>35</v>
      </c>
      <c r="C1429" t="s">
        <v>440</v>
      </c>
      <c r="D1429" t="s">
        <v>414</v>
      </c>
      <c r="E1429">
        <v>10</v>
      </c>
      <c r="F1429">
        <v>2.48</v>
      </c>
      <c r="G1429">
        <v>73515.054999999993</v>
      </c>
      <c r="I1429">
        <v>73515.054999999993</v>
      </c>
      <c r="J1429" t="s">
        <v>401</v>
      </c>
      <c r="K1429">
        <v>1.1000000000000001</v>
      </c>
      <c r="L1429">
        <v>-89.5</v>
      </c>
      <c r="N1429">
        <v>35</v>
      </c>
      <c r="O1429">
        <v>35</v>
      </c>
      <c r="P1429" t="s">
        <v>545</v>
      </c>
      <c r="Q1429" t="s">
        <v>414</v>
      </c>
      <c r="R1429">
        <v>10</v>
      </c>
      <c r="S1429">
        <v>2.48</v>
      </c>
      <c r="T1429">
        <v>46444.875</v>
      </c>
      <c r="V1429">
        <v>46444.875</v>
      </c>
      <c r="W1429" t="s">
        <v>401</v>
      </c>
      <c r="X1429">
        <v>0.6</v>
      </c>
      <c r="Y1429">
        <v>-94.4</v>
      </c>
    </row>
    <row r="1430" spans="1:25" x14ac:dyDescent="0.45">
      <c r="A1430">
        <v>36</v>
      </c>
      <c r="B1430">
        <v>36</v>
      </c>
      <c r="C1430" t="s">
        <v>441</v>
      </c>
      <c r="D1430" t="s">
        <v>414</v>
      </c>
      <c r="E1430">
        <v>10</v>
      </c>
      <c r="F1430">
        <v>2.5</v>
      </c>
      <c r="G1430">
        <v>62755.921999999999</v>
      </c>
      <c r="I1430">
        <v>62755.921999999999</v>
      </c>
      <c r="J1430" t="s">
        <v>415</v>
      </c>
      <c r="K1430">
        <v>0.9</v>
      </c>
      <c r="L1430">
        <v>-91</v>
      </c>
      <c r="N1430">
        <v>36</v>
      </c>
      <c r="O1430">
        <v>36</v>
      </c>
      <c r="P1430" t="s">
        <v>546</v>
      </c>
      <c r="Q1430" t="s">
        <v>414</v>
      </c>
      <c r="R1430">
        <v>10</v>
      </c>
      <c r="S1430">
        <v>2.48</v>
      </c>
      <c r="T1430">
        <v>61837.129000000001</v>
      </c>
      <c r="V1430">
        <v>61837.129000000001</v>
      </c>
      <c r="W1430" t="s">
        <v>403</v>
      </c>
      <c r="X1430">
        <v>0.8</v>
      </c>
      <c r="Y1430">
        <v>-92.5</v>
      </c>
    </row>
    <row r="1431" spans="1:25" x14ac:dyDescent="0.45">
      <c r="A1431">
        <v>37</v>
      </c>
      <c r="B1431">
        <v>37</v>
      </c>
      <c r="C1431" t="s">
        <v>442</v>
      </c>
      <c r="D1431" t="s">
        <v>414</v>
      </c>
      <c r="E1431">
        <v>10</v>
      </c>
      <c r="F1431">
        <v>2.48</v>
      </c>
      <c r="G1431">
        <v>130701.25</v>
      </c>
      <c r="I1431">
        <v>130701.25</v>
      </c>
      <c r="J1431" t="s">
        <v>401</v>
      </c>
      <c r="K1431">
        <v>1.9</v>
      </c>
      <c r="L1431">
        <v>-81.3</v>
      </c>
      <c r="N1431">
        <v>37</v>
      </c>
      <c r="O1431">
        <v>37</v>
      </c>
      <c r="P1431" t="s">
        <v>547</v>
      </c>
      <c r="Q1431" t="s">
        <v>414</v>
      </c>
      <c r="R1431">
        <v>10</v>
      </c>
      <c r="S1431">
        <v>2.48</v>
      </c>
      <c r="T1431">
        <v>52939.555</v>
      </c>
      <c r="V1431">
        <v>52939.555</v>
      </c>
      <c r="W1431" t="s">
        <v>415</v>
      </c>
      <c r="X1431">
        <v>0.6</v>
      </c>
      <c r="Y1431">
        <v>-93.6</v>
      </c>
    </row>
    <row r="1432" spans="1:25" x14ac:dyDescent="0.45">
      <c r="A1432">
        <v>38</v>
      </c>
      <c r="B1432">
        <v>38</v>
      </c>
      <c r="C1432" t="s">
        <v>443</v>
      </c>
      <c r="D1432" t="s">
        <v>414</v>
      </c>
      <c r="E1432">
        <v>10</v>
      </c>
      <c r="F1432">
        <v>2.5</v>
      </c>
      <c r="G1432">
        <v>66387.391000000003</v>
      </c>
      <c r="I1432">
        <v>66387.391000000003</v>
      </c>
      <c r="J1432" t="s">
        <v>401</v>
      </c>
      <c r="K1432">
        <v>0.9</v>
      </c>
      <c r="L1432">
        <v>-90.5</v>
      </c>
      <c r="N1432">
        <v>38</v>
      </c>
      <c r="O1432">
        <v>38</v>
      </c>
      <c r="P1432" t="s">
        <v>548</v>
      </c>
      <c r="Q1432" t="s">
        <v>414</v>
      </c>
      <c r="R1432">
        <v>10</v>
      </c>
      <c r="S1432">
        <v>2.48</v>
      </c>
      <c r="T1432">
        <v>71734.141000000003</v>
      </c>
      <c r="V1432">
        <v>71734.141000000003</v>
      </c>
      <c r="W1432" t="s">
        <v>401</v>
      </c>
      <c r="X1432">
        <v>0.9</v>
      </c>
      <c r="Y1432">
        <v>-91.3</v>
      </c>
    </row>
    <row r="1433" spans="1:25" x14ac:dyDescent="0.45">
      <c r="A1433">
        <v>39</v>
      </c>
      <c r="B1433">
        <v>39</v>
      </c>
      <c r="C1433" t="s">
        <v>444</v>
      </c>
      <c r="D1433" t="s">
        <v>414</v>
      </c>
      <c r="E1433">
        <v>10</v>
      </c>
      <c r="F1433">
        <v>2.48</v>
      </c>
      <c r="G1433">
        <v>89399.608999999997</v>
      </c>
      <c r="I1433">
        <v>89399.608999999997</v>
      </c>
      <c r="J1433" t="s">
        <v>403</v>
      </c>
      <c r="K1433">
        <v>1.3</v>
      </c>
      <c r="L1433">
        <v>-87.2</v>
      </c>
      <c r="N1433">
        <v>39</v>
      </c>
      <c r="O1433">
        <v>39</v>
      </c>
      <c r="P1433" t="s">
        <v>549</v>
      </c>
      <c r="Q1433" t="s">
        <v>414</v>
      </c>
      <c r="R1433">
        <v>10</v>
      </c>
      <c r="S1433">
        <v>2.48</v>
      </c>
      <c r="T1433">
        <v>62230.055</v>
      </c>
      <c r="V1433">
        <v>62230.055</v>
      </c>
      <c r="W1433" t="s">
        <v>401</v>
      </c>
      <c r="X1433">
        <v>0.8</v>
      </c>
      <c r="Y1433">
        <v>-92.4</v>
      </c>
    </row>
    <row r="1434" spans="1:25" x14ac:dyDescent="0.45">
      <c r="A1434">
        <v>40</v>
      </c>
      <c r="B1434">
        <v>40</v>
      </c>
      <c r="C1434" t="s">
        <v>445</v>
      </c>
      <c r="D1434" t="s">
        <v>414</v>
      </c>
      <c r="E1434">
        <v>10</v>
      </c>
      <c r="F1434">
        <v>2.48</v>
      </c>
      <c r="G1434">
        <v>137766.609</v>
      </c>
      <c r="I1434">
        <v>137766.609</v>
      </c>
      <c r="J1434" t="s">
        <v>401</v>
      </c>
      <c r="K1434">
        <v>2</v>
      </c>
      <c r="L1434">
        <v>-80.3</v>
      </c>
      <c r="N1434">
        <v>40</v>
      </c>
      <c r="O1434">
        <v>40</v>
      </c>
      <c r="P1434" t="s">
        <v>550</v>
      </c>
      <c r="Q1434" t="s">
        <v>414</v>
      </c>
      <c r="R1434">
        <v>10</v>
      </c>
      <c r="S1434">
        <v>2.48</v>
      </c>
      <c r="T1434">
        <v>60277.222999999998</v>
      </c>
      <c r="V1434">
        <v>60277.222999999998</v>
      </c>
      <c r="W1434" t="s">
        <v>401</v>
      </c>
      <c r="X1434">
        <v>0.7</v>
      </c>
      <c r="Y1434">
        <v>-92.7</v>
      </c>
    </row>
    <row r="1435" spans="1:25" x14ac:dyDescent="0.45">
      <c r="A1435">
        <v>41</v>
      </c>
      <c r="B1435">
        <v>41</v>
      </c>
      <c r="C1435" t="s">
        <v>446</v>
      </c>
      <c r="D1435" t="s">
        <v>414</v>
      </c>
      <c r="E1435">
        <v>10</v>
      </c>
      <c r="F1435">
        <v>2.5</v>
      </c>
      <c r="G1435">
        <v>112936.586</v>
      </c>
      <c r="I1435">
        <v>112936.586</v>
      </c>
      <c r="J1435" t="s">
        <v>415</v>
      </c>
      <c r="K1435">
        <v>1.6</v>
      </c>
      <c r="L1435">
        <v>-83.9</v>
      </c>
      <c r="N1435">
        <v>41</v>
      </c>
      <c r="O1435">
        <v>41</v>
      </c>
      <c r="P1435" t="s">
        <v>551</v>
      </c>
      <c r="Q1435" t="s">
        <v>414</v>
      </c>
      <c r="R1435">
        <v>10</v>
      </c>
      <c r="S1435">
        <v>2.5</v>
      </c>
      <c r="T1435">
        <v>134563.67199999999</v>
      </c>
      <c r="V1435">
        <v>134563.67199999999</v>
      </c>
      <c r="W1435" t="s">
        <v>401</v>
      </c>
      <c r="X1435">
        <v>1.6</v>
      </c>
      <c r="Y1435">
        <v>-83.6</v>
      </c>
    </row>
    <row r="1436" spans="1:25" x14ac:dyDescent="0.45">
      <c r="A1436">
        <v>42</v>
      </c>
      <c r="B1436">
        <v>42</v>
      </c>
      <c r="C1436" t="s">
        <v>447</v>
      </c>
      <c r="D1436" t="s">
        <v>414</v>
      </c>
      <c r="E1436">
        <v>10</v>
      </c>
      <c r="F1436">
        <v>2.48</v>
      </c>
      <c r="G1436">
        <v>115509.977</v>
      </c>
      <c r="I1436">
        <v>115509.977</v>
      </c>
      <c r="J1436" t="s">
        <v>415</v>
      </c>
      <c r="K1436">
        <v>1.7</v>
      </c>
      <c r="L1436">
        <v>-83.5</v>
      </c>
      <c r="N1436">
        <v>42</v>
      </c>
      <c r="O1436">
        <v>42</v>
      </c>
      <c r="P1436" t="s">
        <v>552</v>
      </c>
      <c r="Q1436" t="s">
        <v>414</v>
      </c>
      <c r="R1436">
        <v>10</v>
      </c>
      <c r="S1436">
        <v>2.48</v>
      </c>
      <c r="T1436">
        <v>51946.667999999998</v>
      </c>
      <c r="V1436">
        <v>51946.667999999998</v>
      </c>
      <c r="W1436" t="s">
        <v>401</v>
      </c>
      <c r="X1436">
        <v>0.6</v>
      </c>
      <c r="Y1436">
        <v>-93.7</v>
      </c>
    </row>
    <row r="1437" spans="1:25" x14ac:dyDescent="0.45">
      <c r="A1437">
        <v>43</v>
      </c>
      <c r="B1437">
        <v>43</v>
      </c>
      <c r="C1437" t="s">
        <v>448</v>
      </c>
      <c r="D1437" t="s">
        <v>414</v>
      </c>
      <c r="E1437">
        <v>10</v>
      </c>
      <c r="F1437">
        <v>2.5</v>
      </c>
      <c r="G1437">
        <v>91048.804999999993</v>
      </c>
      <c r="I1437">
        <v>91048.804999999993</v>
      </c>
      <c r="J1437" t="s">
        <v>401</v>
      </c>
      <c r="K1437">
        <v>1.3</v>
      </c>
      <c r="L1437">
        <v>-87</v>
      </c>
      <c r="N1437">
        <v>43</v>
      </c>
      <c r="O1437">
        <v>43</v>
      </c>
      <c r="P1437" t="s">
        <v>553</v>
      </c>
      <c r="Q1437" t="s">
        <v>414</v>
      </c>
      <c r="R1437">
        <v>10</v>
      </c>
      <c r="S1437">
        <v>2.48</v>
      </c>
      <c r="T1437">
        <v>30973.495999999999</v>
      </c>
      <c r="V1437">
        <v>30973.495999999999</v>
      </c>
      <c r="W1437" t="s">
        <v>401</v>
      </c>
      <c r="X1437">
        <v>0.4</v>
      </c>
      <c r="Y1437">
        <v>-96.2</v>
      </c>
    </row>
    <row r="1438" spans="1:25" x14ac:dyDescent="0.45">
      <c r="A1438">
        <v>44</v>
      </c>
      <c r="B1438">
        <v>44</v>
      </c>
      <c r="C1438" t="s">
        <v>449</v>
      </c>
      <c r="D1438" t="s">
        <v>414</v>
      </c>
      <c r="E1438">
        <v>10</v>
      </c>
      <c r="F1438">
        <v>2.48</v>
      </c>
      <c r="G1438">
        <v>79466.539000000004</v>
      </c>
      <c r="I1438">
        <v>79466.539000000004</v>
      </c>
      <c r="J1438" t="s">
        <v>403</v>
      </c>
      <c r="K1438">
        <v>1.1000000000000001</v>
      </c>
      <c r="L1438">
        <v>-88.6</v>
      </c>
      <c r="N1438">
        <v>44</v>
      </c>
      <c r="O1438">
        <v>44</v>
      </c>
      <c r="P1438" t="s">
        <v>554</v>
      </c>
      <c r="Q1438" t="s">
        <v>414</v>
      </c>
      <c r="R1438">
        <v>10</v>
      </c>
      <c r="S1438">
        <v>2.48</v>
      </c>
      <c r="T1438">
        <v>60126.065999999999</v>
      </c>
      <c r="V1438">
        <v>60126.065999999999</v>
      </c>
      <c r="W1438" t="s">
        <v>401</v>
      </c>
      <c r="X1438">
        <v>0.7</v>
      </c>
      <c r="Y1438">
        <v>-92.7</v>
      </c>
    </row>
    <row r="1439" spans="1:25" x14ac:dyDescent="0.45">
      <c r="A1439">
        <v>45</v>
      </c>
      <c r="B1439">
        <v>45</v>
      </c>
      <c r="C1439" t="s">
        <v>450</v>
      </c>
      <c r="D1439" t="s">
        <v>414</v>
      </c>
      <c r="E1439">
        <v>10</v>
      </c>
      <c r="F1439">
        <v>2.5</v>
      </c>
      <c r="G1439">
        <v>51198.417999999998</v>
      </c>
      <c r="I1439">
        <v>51198.417999999998</v>
      </c>
      <c r="J1439" t="s">
        <v>403</v>
      </c>
      <c r="K1439">
        <v>0.7</v>
      </c>
      <c r="L1439">
        <v>-92.7</v>
      </c>
      <c r="N1439">
        <v>45</v>
      </c>
      <c r="O1439">
        <v>45</v>
      </c>
      <c r="P1439" t="s">
        <v>555</v>
      </c>
      <c r="Q1439" t="s">
        <v>414</v>
      </c>
      <c r="R1439">
        <v>10</v>
      </c>
      <c r="S1439">
        <v>2.48</v>
      </c>
      <c r="T1439">
        <v>71828.5</v>
      </c>
      <c r="V1439">
        <v>71828.5</v>
      </c>
      <c r="W1439" t="s">
        <v>403</v>
      </c>
      <c r="X1439">
        <v>0.9</v>
      </c>
      <c r="Y1439">
        <v>-91.3</v>
      </c>
    </row>
    <row r="1440" spans="1:25" x14ac:dyDescent="0.45">
      <c r="A1440">
        <v>46</v>
      </c>
      <c r="B1440">
        <v>46</v>
      </c>
      <c r="C1440" t="s">
        <v>451</v>
      </c>
      <c r="D1440" t="s">
        <v>414</v>
      </c>
      <c r="E1440">
        <v>10</v>
      </c>
      <c r="F1440">
        <v>2.48</v>
      </c>
      <c r="G1440">
        <v>67389.258000000002</v>
      </c>
      <c r="I1440">
        <v>67389.258000000002</v>
      </c>
      <c r="J1440" t="s">
        <v>401</v>
      </c>
      <c r="K1440">
        <v>1</v>
      </c>
      <c r="L1440">
        <v>-90.4</v>
      </c>
      <c r="N1440">
        <v>46</v>
      </c>
      <c r="O1440">
        <v>46</v>
      </c>
      <c r="P1440" t="s">
        <v>556</v>
      </c>
      <c r="Q1440" t="s">
        <v>414</v>
      </c>
      <c r="R1440">
        <v>10</v>
      </c>
      <c r="S1440">
        <v>2.48</v>
      </c>
      <c r="T1440">
        <v>45070.300999999999</v>
      </c>
      <c r="V1440">
        <v>45070.300999999999</v>
      </c>
      <c r="W1440" t="s">
        <v>401</v>
      </c>
      <c r="X1440">
        <v>0.5</v>
      </c>
      <c r="Y1440">
        <v>-94.5</v>
      </c>
    </row>
    <row r="1441" spans="1:25" x14ac:dyDescent="0.45">
      <c r="A1441">
        <v>47</v>
      </c>
      <c r="B1441">
        <v>47</v>
      </c>
      <c r="C1441" t="s">
        <v>452</v>
      </c>
      <c r="D1441" t="s">
        <v>414</v>
      </c>
      <c r="E1441">
        <v>10</v>
      </c>
      <c r="F1441">
        <v>2.48</v>
      </c>
      <c r="G1441">
        <v>44433.68</v>
      </c>
      <c r="I1441">
        <v>44433.68</v>
      </c>
      <c r="J1441" t="s">
        <v>403</v>
      </c>
      <c r="K1441">
        <v>0.6</v>
      </c>
      <c r="L1441">
        <v>-93.7</v>
      </c>
      <c r="N1441">
        <v>47</v>
      </c>
      <c r="O1441">
        <v>47</v>
      </c>
      <c r="P1441" t="s">
        <v>557</v>
      </c>
      <c r="Q1441" t="s">
        <v>414</v>
      </c>
      <c r="R1441">
        <v>10</v>
      </c>
      <c r="S1441">
        <v>2.48</v>
      </c>
      <c r="T1441">
        <v>45683.504000000001</v>
      </c>
      <c r="V1441">
        <v>45683.504000000001</v>
      </c>
      <c r="W1441" t="s">
        <v>415</v>
      </c>
      <c r="X1441">
        <v>0.6</v>
      </c>
      <c r="Y1441">
        <v>-94.4</v>
      </c>
    </row>
    <row r="1442" spans="1:25" x14ac:dyDescent="0.45">
      <c r="A1442">
        <v>48</v>
      </c>
      <c r="B1442">
        <v>48</v>
      </c>
      <c r="C1442" t="s">
        <v>453</v>
      </c>
      <c r="D1442" t="s">
        <v>414</v>
      </c>
      <c r="E1442">
        <v>10</v>
      </c>
      <c r="F1442">
        <v>2.48</v>
      </c>
      <c r="G1442">
        <v>40472.245999999999</v>
      </c>
      <c r="I1442">
        <v>40472.245999999999</v>
      </c>
      <c r="J1442" t="s">
        <v>403</v>
      </c>
      <c r="K1442">
        <v>0.6</v>
      </c>
      <c r="L1442">
        <v>-94.2</v>
      </c>
      <c r="N1442">
        <v>48</v>
      </c>
      <c r="O1442">
        <v>48</v>
      </c>
      <c r="P1442" t="s">
        <v>558</v>
      </c>
      <c r="Q1442" t="s">
        <v>414</v>
      </c>
      <c r="R1442">
        <v>10</v>
      </c>
      <c r="S1442">
        <v>2.48</v>
      </c>
      <c r="T1442">
        <v>44502.91</v>
      </c>
      <c r="V1442">
        <v>44502.91</v>
      </c>
      <c r="W1442" t="s">
        <v>415</v>
      </c>
      <c r="X1442">
        <v>0.5</v>
      </c>
      <c r="Y1442">
        <v>-94.6</v>
      </c>
    </row>
    <row r="1443" spans="1:25" x14ac:dyDescent="0.45">
      <c r="A1443">
        <v>49</v>
      </c>
      <c r="B1443">
        <v>49</v>
      </c>
      <c r="C1443" t="s">
        <v>454</v>
      </c>
      <c r="D1443" t="s">
        <v>414</v>
      </c>
      <c r="E1443">
        <v>10</v>
      </c>
      <c r="F1443">
        <v>2.48</v>
      </c>
      <c r="G1443">
        <v>61825.605000000003</v>
      </c>
      <c r="I1443">
        <v>61825.605000000003</v>
      </c>
      <c r="J1443" t="s">
        <v>401</v>
      </c>
      <c r="K1443">
        <v>0.9</v>
      </c>
      <c r="L1443">
        <v>-91.2</v>
      </c>
      <c r="N1443">
        <v>49</v>
      </c>
      <c r="O1443">
        <v>49</v>
      </c>
      <c r="P1443" t="s">
        <v>559</v>
      </c>
      <c r="Q1443" t="s">
        <v>414</v>
      </c>
      <c r="R1443">
        <v>10</v>
      </c>
      <c r="S1443">
        <v>2.48</v>
      </c>
      <c r="T1443">
        <v>48371.137000000002</v>
      </c>
      <c r="V1443">
        <v>48371.137000000002</v>
      </c>
      <c r="W1443" t="s">
        <v>415</v>
      </c>
      <c r="X1443">
        <v>0.6</v>
      </c>
      <c r="Y1443">
        <v>-94.1</v>
      </c>
    </row>
    <row r="1444" spans="1:25" x14ac:dyDescent="0.45">
      <c r="A1444">
        <v>50</v>
      </c>
      <c r="B1444">
        <v>50</v>
      </c>
      <c r="C1444" t="s">
        <v>455</v>
      </c>
      <c r="D1444" t="s">
        <v>414</v>
      </c>
      <c r="E1444">
        <v>10</v>
      </c>
      <c r="F1444">
        <v>2.48</v>
      </c>
      <c r="G1444">
        <v>58431.796999999999</v>
      </c>
      <c r="I1444">
        <v>58431.796999999999</v>
      </c>
      <c r="J1444" t="s">
        <v>403</v>
      </c>
      <c r="K1444">
        <v>0.8</v>
      </c>
      <c r="L1444">
        <v>-91.7</v>
      </c>
      <c r="N1444">
        <v>50</v>
      </c>
      <c r="O1444">
        <v>50</v>
      </c>
      <c r="P1444" t="s">
        <v>560</v>
      </c>
      <c r="Q1444" t="s">
        <v>414</v>
      </c>
      <c r="R1444">
        <v>10</v>
      </c>
      <c r="S1444">
        <v>2.48</v>
      </c>
      <c r="T1444">
        <v>43423.18</v>
      </c>
      <c r="V1444">
        <v>43423.18</v>
      </c>
      <c r="W1444" t="s">
        <v>401</v>
      </c>
      <c r="X1444">
        <v>0.5</v>
      </c>
      <c r="Y1444">
        <v>-94.7</v>
      </c>
    </row>
    <row r="1445" spans="1:25" x14ac:dyDescent="0.45">
      <c r="A1445">
        <v>51</v>
      </c>
      <c r="B1445">
        <v>51</v>
      </c>
      <c r="C1445" t="s">
        <v>456</v>
      </c>
      <c r="D1445" t="s">
        <v>414</v>
      </c>
      <c r="E1445">
        <v>10</v>
      </c>
      <c r="F1445">
        <v>2.48</v>
      </c>
      <c r="G1445">
        <v>39659.578000000001</v>
      </c>
      <c r="I1445">
        <v>39659.578000000001</v>
      </c>
      <c r="J1445" t="s">
        <v>401</v>
      </c>
      <c r="K1445">
        <v>0.6</v>
      </c>
      <c r="L1445">
        <v>-94.3</v>
      </c>
      <c r="N1445">
        <v>51</v>
      </c>
      <c r="O1445">
        <v>51</v>
      </c>
      <c r="P1445" t="s">
        <v>561</v>
      </c>
      <c r="Q1445" t="s">
        <v>414</v>
      </c>
      <c r="R1445">
        <v>10</v>
      </c>
      <c r="S1445">
        <v>2.48</v>
      </c>
      <c r="T1445">
        <v>43075.582000000002</v>
      </c>
      <c r="V1445">
        <v>43075.582000000002</v>
      </c>
      <c r="W1445" t="s">
        <v>401</v>
      </c>
      <c r="X1445">
        <v>0.5</v>
      </c>
      <c r="Y1445">
        <v>-94.8</v>
      </c>
    </row>
    <row r="1446" spans="1:25" x14ac:dyDescent="0.45">
      <c r="A1446">
        <v>52</v>
      </c>
      <c r="B1446">
        <v>52</v>
      </c>
      <c r="C1446" t="s">
        <v>457</v>
      </c>
      <c r="D1446" t="s">
        <v>414</v>
      </c>
      <c r="E1446">
        <v>10</v>
      </c>
      <c r="F1446">
        <v>2.48</v>
      </c>
      <c r="G1446">
        <v>50120.366999999998</v>
      </c>
      <c r="I1446">
        <v>50120.366999999998</v>
      </c>
      <c r="J1446" t="s">
        <v>403</v>
      </c>
      <c r="K1446">
        <v>0.7</v>
      </c>
      <c r="L1446">
        <v>-92.8</v>
      </c>
      <c r="N1446">
        <v>52</v>
      </c>
      <c r="O1446">
        <v>52</v>
      </c>
      <c r="P1446" t="s">
        <v>562</v>
      </c>
      <c r="Q1446" t="s">
        <v>414</v>
      </c>
      <c r="R1446">
        <v>10</v>
      </c>
      <c r="S1446">
        <v>2.48</v>
      </c>
      <c r="T1446">
        <v>47697.976999999999</v>
      </c>
      <c r="V1446">
        <v>47697.976999999999</v>
      </c>
      <c r="W1446" t="s">
        <v>401</v>
      </c>
      <c r="X1446">
        <v>0.6</v>
      </c>
      <c r="Y1446">
        <v>-94.2</v>
      </c>
    </row>
    <row r="1447" spans="1:25" x14ac:dyDescent="0.45">
      <c r="A1447">
        <v>53</v>
      </c>
      <c r="B1447">
        <v>53</v>
      </c>
      <c r="C1447" t="s">
        <v>458</v>
      </c>
      <c r="D1447" t="s">
        <v>414</v>
      </c>
      <c r="E1447">
        <v>10</v>
      </c>
      <c r="F1447">
        <v>2.48</v>
      </c>
      <c r="G1447">
        <v>53457.593999999997</v>
      </c>
      <c r="I1447">
        <v>53457.593999999997</v>
      </c>
      <c r="J1447" t="s">
        <v>401</v>
      </c>
      <c r="K1447">
        <v>0.8</v>
      </c>
      <c r="L1447">
        <v>-92.4</v>
      </c>
      <c r="N1447">
        <v>53</v>
      </c>
      <c r="O1447">
        <v>53</v>
      </c>
      <c r="P1447" t="s">
        <v>563</v>
      </c>
      <c r="Q1447" t="s">
        <v>414</v>
      </c>
      <c r="R1447">
        <v>10</v>
      </c>
      <c r="S1447">
        <v>2.48</v>
      </c>
      <c r="T1447">
        <v>61434.733999999997</v>
      </c>
      <c r="V1447">
        <v>61434.733999999997</v>
      </c>
      <c r="W1447" t="s">
        <v>415</v>
      </c>
      <c r="X1447">
        <v>0.7</v>
      </c>
      <c r="Y1447">
        <v>-92.5</v>
      </c>
    </row>
    <row r="1448" spans="1:25" x14ac:dyDescent="0.45">
      <c r="A1448">
        <v>54</v>
      </c>
      <c r="B1448">
        <v>54</v>
      </c>
      <c r="C1448" t="s">
        <v>459</v>
      </c>
      <c r="D1448" t="s">
        <v>414</v>
      </c>
      <c r="E1448">
        <v>10</v>
      </c>
      <c r="F1448">
        <v>2.48</v>
      </c>
      <c r="G1448">
        <v>53599.972999999998</v>
      </c>
      <c r="I1448">
        <v>53599.972999999998</v>
      </c>
      <c r="J1448" t="s">
        <v>401</v>
      </c>
      <c r="K1448">
        <v>0.8</v>
      </c>
      <c r="L1448">
        <v>-92.3</v>
      </c>
      <c r="N1448">
        <v>54</v>
      </c>
      <c r="O1448">
        <v>54</v>
      </c>
      <c r="P1448" t="s">
        <v>564</v>
      </c>
      <c r="Q1448" t="s">
        <v>414</v>
      </c>
      <c r="R1448">
        <v>10</v>
      </c>
      <c r="S1448">
        <v>2.48</v>
      </c>
      <c r="T1448">
        <v>44015.862999999998</v>
      </c>
      <c r="V1448">
        <v>44015.862999999998</v>
      </c>
      <c r="W1448" t="s">
        <v>401</v>
      </c>
      <c r="X1448">
        <v>0.5</v>
      </c>
      <c r="Y1448">
        <v>-94.6</v>
      </c>
    </row>
    <row r="1449" spans="1:25" x14ac:dyDescent="0.45">
      <c r="A1449">
        <v>55</v>
      </c>
      <c r="B1449">
        <v>55</v>
      </c>
      <c r="C1449" t="s">
        <v>460</v>
      </c>
      <c r="D1449" t="s">
        <v>414</v>
      </c>
      <c r="E1449">
        <v>10</v>
      </c>
      <c r="F1449">
        <v>2.5</v>
      </c>
      <c r="G1449">
        <v>43685.059000000001</v>
      </c>
      <c r="I1449">
        <v>43685.059000000001</v>
      </c>
      <c r="J1449" t="s">
        <v>415</v>
      </c>
      <c r="K1449">
        <v>0.6</v>
      </c>
      <c r="L1449">
        <v>-93.8</v>
      </c>
      <c r="N1449">
        <v>55</v>
      </c>
      <c r="O1449">
        <v>55</v>
      </c>
      <c r="P1449" t="s">
        <v>565</v>
      </c>
      <c r="Q1449" t="s">
        <v>414</v>
      </c>
      <c r="R1449">
        <v>10</v>
      </c>
      <c r="S1449">
        <v>2.5</v>
      </c>
      <c r="T1449">
        <v>54040.690999999999</v>
      </c>
      <c r="V1449">
        <v>54040.690999999999</v>
      </c>
      <c r="W1449" t="s">
        <v>403</v>
      </c>
      <c r="X1449">
        <v>0.7</v>
      </c>
      <c r="Y1449">
        <v>-93.4</v>
      </c>
    </row>
    <row r="1450" spans="1:25" x14ac:dyDescent="0.45">
      <c r="A1450">
        <v>56</v>
      </c>
      <c r="B1450">
        <v>56</v>
      </c>
      <c r="C1450" t="s">
        <v>461</v>
      </c>
      <c r="D1450" t="s">
        <v>414</v>
      </c>
      <c r="E1450">
        <v>10</v>
      </c>
      <c r="F1450">
        <v>2.5</v>
      </c>
      <c r="G1450">
        <v>41929.266000000003</v>
      </c>
      <c r="I1450">
        <v>41929.266000000003</v>
      </c>
      <c r="J1450" t="s">
        <v>401</v>
      </c>
      <c r="K1450">
        <v>0.6</v>
      </c>
      <c r="L1450">
        <v>-94</v>
      </c>
      <c r="N1450">
        <v>56</v>
      </c>
      <c r="O1450">
        <v>56</v>
      </c>
      <c r="P1450" t="s">
        <v>566</v>
      </c>
      <c r="Q1450" t="s">
        <v>414</v>
      </c>
      <c r="R1450">
        <v>10</v>
      </c>
      <c r="S1450">
        <v>2.5</v>
      </c>
      <c r="T1450">
        <v>30470.623</v>
      </c>
      <c r="V1450">
        <v>30470.623</v>
      </c>
      <c r="W1450" t="s">
        <v>401</v>
      </c>
      <c r="X1450">
        <v>0.4</v>
      </c>
      <c r="Y1450">
        <v>-96.3</v>
      </c>
    </row>
    <row r="1451" spans="1:25" x14ac:dyDescent="0.45">
      <c r="A1451">
        <v>57</v>
      </c>
      <c r="B1451">
        <v>57</v>
      </c>
      <c r="C1451" t="s">
        <v>462</v>
      </c>
      <c r="D1451" t="s">
        <v>414</v>
      </c>
      <c r="E1451">
        <v>10</v>
      </c>
      <c r="F1451">
        <v>2.48</v>
      </c>
      <c r="G1451">
        <v>45856.824000000001</v>
      </c>
      <c r="I1451">
        <v>45856.824000000001</v>
      </c>
      <c r="J1451" t="s">
        <v>401</v>
      </c>
      <c r="K1451">
        <v>0.7</v>
      </c>
      <c r="L1451">
        <v>-93.4</v>
      </c>
      <c r="N1451">
        <v>57</v>
      </c>
      <c r="O1451">
        <v>57</v>
      </c>
      <c r="P1451" t="s">
        <v>567</v>
      </c>
      <c r="Q1451" t="s">
        <v>414</v>
      </c>
      <c r="R1451">
        <v>10</v>
      </c>
      <c r="S1451">
        <v>2.5</v>
      </c>
      <c r="T1451">
        <v>36305.663999999997</v>
      </c>
      <c r="V1451">
        <v>36305.663999999997</v>
      </c>
      <c r="W1451" t="s">
        <v>415</v>
      </c>
      <c r="X1451">
        <v>0.4</v>
      </c>
      <c r="Y1451">
        <v>-95.6</v>
      </c>
    </row>
    <row r="1452" spans="1:25" x14ac:dyDescent="0.45">
      <c r="A1452">
        <v>58</v>
      </c>
      <c r="B1452">
        <v>58</v>
      </c>
      <c r="C1452" t="s">
        <v>463</v>
      </c>
      <c r="D1452" t="s">
        <v>414</v>
      </c>
      <c r="E1452">
        <v>10</v>
      </c>
      <c r="F1452">
        <v>2.48</v>
      </c>
      <c r="G1452">
        <v>49660.565999999999</v>
      </c>
      <c r="I1452">
        <v>49660.565999999999</v>
      </c>
      <c r="J1452" t="s">
        <v>403</v>
      </c>
      <c r="K1452">
        <v>0.7</v>
      </c>
      <c r="L1452">
        <v>-92.9</v>
      </c>
      <c r="N1452">
        <v>58</v>
      </c>
      <c r="O1452">
        <v>58</v>
      </c>
      <c r="P1452" t="s">
        <v>568</v>
      </c>
      <c r="Q1452" t="s">
        <v>414</v>
      </c>
      <c r="R1452">
        <v>10</v>
      </c>
      <c r="S1452">
        <v>2.48</v>
      </c>
      <c r="T1452">
        <v>245272.04699999999</v>
      </c>
      <c r="V1452">
        <v>245272.04699999999</v>
      </c>
      <c r="W1452" t="s">
        <v>415</v>
      </c>
      <c r="X1452">
        <v>3</v>
      </c>
      <c r="Y1452">
        <v>-70.2</v>
      </c>
    </row>
    <row r="1453" spans="1:25" x14ac:dyDescent="0.45">
      <c r="A1453">
        <v>59</v>
      </c>
      <c r="B1453">
        <v>59</v>
      </c>
      <c r="C1453" t="s">
        <v>464</v>
      </c>
      <c r="D1453" t="s">
        <v>414</v>
      </c>
      <c r="E1453">
        <v>10</v>
      </c>
      <c r="F1453">
        <v>2.5</v>
      </c>
      <c r="G1453">
        <v>44961.894999999997</v>
      </c>
      <c r="I1453">
        <v>44961.894999999997</v>
      </c>
      <c r="J1453" t="s">
        <v>401</v>
      </c>
      <c r="K1453">
        <v>0.6</v>
      </c>
      <c r="L1453">
        <v>-93.6</v>
      </c>
      <c r="N1453">
        <v>59</v>
      </c>
      <c r="O1453">
        <v>59</v>
      </c>
      <c r="P1453" t="s">
        <v>569</v>
      </c>
      <c r="Q1453" t="s">
        <v>414</v>
      </c>
      <c r="R1453">
        <v>10</v>
      </c>
      <c r="S1453">
        <v>2.5</v>
      </c>
      <c r="T1453">
        <v>45526.578000000001</v>
      </c>
      <c r="V1453">
        <v>45526.578000000001</v>
      </c>
      <c r="W1453" t="s">
        <v>401</v>
      </c>
      <c r="X1453">
        <v>0.6</v>
      </c>
      <c r="Y1453">
        <v>-94.5</v>
      </c>
    </row>
    <row r="1454" spans="1:25" x14ac:dyDescent="0.45">
      <c r="A1454">
        <v>60</v>
      </c>
      <c r="B1454">
        <v>60</v>
      </c>
      <c r="C1454" t="s">
        <v>465</v>
      </c>
      <c r="D1454" t="s">
        <v>414</v>
      </c>
      <c r="E1454">
        <v>10</v>
      </c>
      <c r="F1454">
        <v>2.5</v>
      </c>
      <c r="G1454">
        <v>50049.050999999999</v>
      </c>
      <c r="I1454">
        <v>50049.050999999999</v>
      </c>
      <c r="J1454" t="s">
        <v>403</v>
      </c>
      <c r="K1454">
        <v>0.7</v>
      </c>
      <c r="L1454">
        <v>-92.9</v>
      </c>
      <c r="N1454">
        <v>60</v>
      </c>
      <c r="O1454">
        <v>60</v>
      </c>
      <c r="P1454" t="s">
        <v>570</v>
      </c>
      <c r="Q1454" t="s">
        <v>414</v>
      </c>
      <c r="R1454">
        <v>10</v>
      </c>
      <c r="S1454">
        <v>2.48</v>
      </c>
      <c r="T1454">
        <v>215930.96900000001</v>
      </c>
      <c r="V1454">
        <v>215930.96900000001</v>
      </c>
      <c r="W1454" t="s">
        <v>415</v>
      </c>
      <c r="X1454">
        <v>2.6</v>
      </c>
      <c r="Y1454">
        <v>-73.7</v>
      </c>
    </row>
    <row r="1455" spans="1:25" x14ac:dyDescent="0.45">
      <c r="A1455">
        <v>61</v>
      </c>
      <c r="B1455">
        <v>61</v>
      </c>
      <c r="C1455" t="s">
        <v>466</v>
      </c>
      <c r="D1455" t="s">
        <v>414</v>
      </c>
      <c r="E1455">
        <v>10</v>
      </c>
      <c r="F1455">
        <v>2.48</v>
      </c>
      <c r="G1455">
        <v>46064.68</v>
      </c>
      <c r="I1455">
        <v>46064.68</v>
      </c>
      <c r="J1455" t="s">
        <v>401</v>
      </c>
      <c r="K1455">
        <v>0.7</v>
      </c>
      <c r="L1455">
        <v>-93.4</v>
      </c>
      <c r="N1455">
        <v>61</v>
      </c>
      <c r="O1455">
        <v>61</v>
      </c>
      <c r="P1455" t="s">
        <v>571</v>
      </c>
      <c r="Q1455" t="s">
        <v>414</v>
      </c>
      <c r="R1455">
        <v>10</v>
      </c>
      <c r="S1455">
        <v>2.5</v>
      </c>
      <c r="T1455">
        <v>45913.762000000002</v>
      </c>
      <c r="V1455">
        <v>45913.762000000002</v>
      </c>
      <c r="W1455" t="s">
        <v>403</v>
      </c>
      <c r="X1455">
        <v>0.6</v>
      </c>
      <c r="Y1455">
        <v>-94.4</v>
      </c>
    </row>
    <row r="1456" spans="1:25" x14ac:dyDescent="0.45">
      <c r="A1456">
        <v>62</v>
      </c>
      <c r="B1456">
        <v>62</v>
      </c>
      <c r="C1456" t="s">
        <v>467</v>
      </c>
      <c r="D1456" t="s">
        <v>414</v>
      </c>
      <c r="E1456">
        <v>10</v>
      </c>
      <c r="F1456">
        <v>2.48</v>
      </c>
      <c r="G1456">
        <v>74954.672000000006</v>
      </c>
      <c r="I1456">
        <v>74954.672000000006</v>
      </c>
      <c r="J1456" t="s">
        <v>401</v>
      </c>
      <c r="K1456">
        <v>1.1000000000000001</v>
      </c>
      <c r="L1456">
        <v>-89.3</v>
      </c>
      <c r="N1456">
        <v>62</v>
      </c>
      <c r="O1456">
        <v>62</v>
      </c>
      <c r="P1456" t="s">
        <v>572</v>
      </c>
      <c r="Q1456" t="s">
        <v>414</v>
      </c>
      <c r="R1456">
        <v>10</v>
      </c>
      <c r="S1456">
        <v>2.5</v>
      </c>
      <c r="T1456">
        <v>27385.046999999999</v>
      </c>
      <c r="V1456">
        <v>27385.046999999999</v>
      </c>
      <c r="W1456" t="s">
        <v>415</v>
      </c>
      <c r="X1456">
        <v>0.3</v>
      </c>
      <c r="Y1456">
        <v>-96.7</v>
      </c>
    </row>
    <row r="1457" spans="1:25" x14ac:dyDescent="0.45">
      <c r="A1457">
        <v>63</v>
      </c>
      <c r="B1457">
        <v>63</v>
      </c>
      <c r="C1457" t="s">
        <v>468</v>
      </c>
      <c r="D1457" t="s">
        <v>414</v>
      </c>
      <c r="E1457">
        <v>10</v>
      </c>
      <c r="F1457">
        <v>2.48</v>
      </c>
      <c r="G1457">
        <v>66215.741999999998</v>
      </c>
      <c r="I1457">
        <v>66215.741999999998</v>
      </c>
      <c r="J1457" t="s">
        <v>403</v>
      </c>
      <c r="K1457">
        <v>0.9</v>
      </c>
      <c r="L1457">
        <v>-90.5</v>
      </c>
      <c r="N1457">
        <v>63</v>
      </c>
      <c r="O1457">
        <v>63</v>
      </c>
      <c r="P1457" t="s">
        <v>573</v>
      </c>
      <c r="Q1457" t="s">
        <v>414</v>
      </c>
      <c r="R1457">
        <v>10</v>
      </c>
      <c r="S1457">
        <v>2.5</v>
      </c>
      <c r="T1457">
        <v>45359.48</v>
      </c>
      <c r="V1457">
        <v>45359.48</v>
      </c>
      <c r="W1457" t="s">
        <v>401</v>
      </c>
      <c r="X1457">
        <v>0.6</v>
      </c>
      <c r="Y1457">
        <v>-94.5</v>
      </c>
    </row>
    <row r="1458" spans="1:25" x14ac:dyDescent="0.45">
      <c r="A1458">
        <v>64</v>
      </c>
      <c r="B1458">
        <v>64</v>
      </c>
      <c r="C1458" t="s">
        <v>469</v>
      </c>
      <c r="D1458" t="s">
        <v>414</v>
      </c>
      <c r="E1458">
        <v>10</v>
      </c>
      <c r="F1458">
        <v>2.48</v>
      </c>
      <c r="G1458">
        <v>57035.616999999998</v>
      </c>
      <c r="I1458">
        <v>57035.616999999998</v>
      </c>
      <c r="J1458" t="s">
        <v>403</v>
      </c>
      <c r="K1458">
        <v>0.8</v>
      </c>
      <c r="L1458">
        <v>-91.9</v>
      </c>
      <c r="N1458">
        <v>64</v>
      </c>
      <c r="O1458">
        <v>64</v>
      </c>
      <c r="P1458" t="s">
        <v>574</v>
      </c>
      <c r="Q1458" t="s">
        <v>414</v>
      </c>
      <c r="R1458">
        <v>10</v>
      </c>
      <c r="S1458">
        <v>2.5</v>
      </c>
      <c r="T1458">
        <v>45202.964999999997</v>
      </c>
      <c r="V1458">
        <v>45202.964999999997</v>
      </c>
      <c r="W1458" t="s">
        <v>403</v>
      </c>
      <c r="X1458">
        <v>0.5</v>
      </c>
      <c r="Y1458">
        <v>-94.5</v>
      </c>
    </row>
    <row r="1459" spans="1:25" x14ac:dyDescent="0.45">
      <c r="A1459">
        <v>65</v>
      </c>
      <c r="B1459">
        <v>65</v>
      </c>
      <c r="C1459" t="s">
        <v>470</v>
      </c>
      <c r="D1459" t="s">
        <v>414</v>
      </c>
      <c r="E1459">
        <v>10</v>
      </c>
      <c r="F1459">
        <v>2.48</v>
      </c>
      <c r="G1459">
        <v>61449.940999999999</v>
      </c>
      <c r="I1459">
        <v>61449.940999999999</v>
      </c>
      <c r="J1459" t="s">
        <v>401</v>
      </c>
      <c r="K1459">
        <v>0.9</v>
      </c>
      <c r="L1459">
        <v>-91.2</v>
      </c>
      <c r="N1459">
        <v>65</v>
      </c>
      <c r="O1459">
        <v>65</v>
      </c>
      <c r="P1459" t="s">
        <v>575</v>
      </c>
      <c r="Q1459" t="s">
        <v>414</v>
      </c>
      <c r="R1459">
        <v>10</v>
      </c>
      <c r="S1459">
        <v>2.5</v>
      </c>
      <c r="T1459">
        <v>43703.453000000001</v>
      </c>
      <c r="V1459">
        <v>43703.453000000001</v>
      </c>
      <c r="W1459" t="s">
        <v>401</v>
      </c>
      <c r="X1459">
        <v>0.5</v>
      </c>
      <c r="Y1459">
        <v>-94.7</v>
      </c>
    </row>
    <row r="1460" spans="1:25" x14ac:dyDescent="0.45">
      <c r="A1460">
        <v>66</v>
      </c>
      <c r="B1460">
        <v>66</v>
      </c>
      <c r="C1460" t="s">
        <v>471</v>
      </c>
      <c r="D1460" t="s">
        <v>414</v>
      </c>
      <c r="E1460">
        <v>10</v>
      </c>
      <c r="F1460">
        <v>2.48</v>
      </c>
      <c r="G1460">
        <v>58520.714999999997</v>
      </c>
      <c r="I1460">
        <v>58520.714999999997</v>
      </c>
      <c r="J1460" t="s">
        <v>401</v>
      </c>
      <c r="K1460">
        <v>0.8</v>
      </c>
      <c r="L1460">
        <v>-91.6</v>
      </c>
      <c r="N1460">
        <v>66</v>
      </c>
      <c r="O1460">
        <v>66</v>
      </c>
      <c r="P1460" t="s">
        <v>576</v>
      </c>
      <c r="Q1460" t="s">
        <v>414</v>
      </c>
      <c r="R1460">
        <v>10</v>
      </c>
      <c r="S1460">
        <v>2.5</v>
      </c>
      <c r="T1460">
        <v>60548.887000000002</v>
      </c>
      <c r="V1460">
        <v>60548.887000000002</v>
      </c>
      <c r="W1460" t="s">
        <v>401</v>
      </c>
      <c r="X1460">
        <v>0.7</v>
      </c>
      <c r="Y1460">
        <v>-92.6</v>
      </c>
    </row>
    <row r="1461" spans="1:25" x14ac:dyDescent="0.45">
      <c r="A1461">
        <v>67</v>
      </c>
      <c r="B1461">
        <v>67</v>
      </c>
      <c r="C1461" t="s">
        <v>472</v>
      </c>
      <c r="D1461" t="s">
        <v>414</v>
      </c>
      <c r="E1461">
        <v>10</v>
      </c>
      <c r="F1461">
        <v>2.48</v>
      </c>
      <c r="G1461">
        <v>29961.67</v>
      </c>
      <c r="I1461">
        <v>29961.67</v>
      </c>
      <c r="J1461" t="s">
        <v>401</v>
      </c>
      <c r="K1461">
        <v>0.4</v>
      </c>
      <c r="L1461">
        <v>-95.7</v>
      </c>
      <c r="N1461">
        <v>67</v>
      </c>
      <c r="O1461">
        <v>67</v>
      </c>
      <c r="P1461" t="s">
        <v>577</v>
      </c>
      <c r="Q1461" t="s">
        <v>414</v>
      </c>
      <c r="R1461">
        <v>10</v>
      </c>
      <c r="S1461">
        <v>2.5</v>
      </c>
      <c r="T1461">
        <v>25882.414000000001</v>
      </c>
      <c r="V1461">
        <v>25882.414000000001</v>
      </c>
      <c r="W1461" t="s">
        <v>401</v>
      </c>
      <c r="X1461">
        <v>0.3</v>
      </c>
      <c r="Y1461">
        <v>-96.9</v>
      </c>
    </row>
    <row r="1462" spans="1:25" x14ac:dyDescent="0.45">
      <c r="A1462">
        <v>68</v>
      </c>
      <c r="B1462">
        <v>68</v>
      </c>
      <c r="C1462" t="s">
        <v>473</v>
      </c>
      <c r="D1462" t="s">
        <v>414</v>
      </c>
      <c r="E1462">
        <v>10</v>
      </c>
      <c r="F1462">
        <v>2.5</v>
      </c>
      <c r="G1462">
        <v>55322.75</v>
      </c>
      <c r="I1462">
        <v>55322.75</v>
      </c>
      <c r="J1462" t="s">
        <v>401</v>
      </c>
      <c r="K1462">
        <v>0.8</v>
      </c>
      <c r="L1462">
        <v>-92.1</v>
      </c>
      <c r="N1462">
        <v>68</v>
      </c>
      <c r="O1462">
        <v>68</v>
      </c>
      <c r="P1462" t="s">
        <v>578</v>
      </c>
      <c r="Q1462" t="s">
        <v>414</v>
      </c>
      <c r="R1462">
        <v>10</v>
      </c>
      <c r="S1462">
        <v>2.5</v>
      </c>
      <c r="T1462">
        <v>38871.269999999997</v>
      </c>
      <c r="V1462">
        <v>38871.269999999997</v>
      </c>
      <c r="W1462" t="s">
        <v>401</v>
      </c>
      <c r="X1462">
        <v>0.5</v>
      </c>
      <c r="Y1462">
        <v>-95.3</v>
      </c>
    </row>
    <row r="1463" spans="1:25" x14ac:dyDescent="0.45">
      <c r="A1463">
        <v>69</v>
      </c>
      <c r="B1463">
        <v>69</v>
      </c>
      <c r="C1463" t="s">
        <v>474</v>
      </c>
      <c r="D1463" t="s">
        <v>414</v>
      </c>
      <c r="E1463">
        <v>10</v>
      </c>
      <c r="F1463">
        <v>2.5</v>
      </c>
      <c r="G1463">
        <v>65281.93</v>
      </c>
      <c r="I1463">
        <v>65281.93</v>
      </c>
      <c r="J1463" t="s">
        <v>401</v>
      </c>
      <c r="K1463">
        <v>0.9</v>
      </c>
      <c r="L1463">
        <v>-90.7</v>
      </c>
      <c r="N1463">
        <v>69</v>
      </c>
      <c r="O1463">
        <v>69</v>
      </c>
      <c r="P1463" t="s">
        <v>579</v>
      </c>
      <c r="Q1463" t="s">
        <v>414</v>
      </c>
      <c r="R1463">
        <v>10</v>
      </c>
      <c r="S1463">
        <v>2.5</v>
      </c>
      <c r="T1463">
        <v>46125.906000000003</v>
      </c>
      <c r="V1463">
        <v>46125.906000000003</v>
      </c>
      <c r="W1463" t="s">
        <v>401</v>
      </c>
      <c r="X1463">
        <v>0.6</v>
      </c>
      <c r="Y1463">
        <v>-94.4</v>
      </c>
    </row>
    <row r="1465" spans="1:25" x14ac:dyDescent="0.45">
      <c r="A1465" t="s">
        <v>506</v>
      </c>
      <c r="N1465" t="s">
        <v>506</v>
      </c>
    </row>
    <row r="1467" spans="1:25" x14ac:dyDescent="0.45">
      <c r="B1467" t="s">
        <v>389</v>
      </c>
      <c r="C1467" t="s">
        <v>123</v>
      </c>
      <c r="D1467" t="s">
        <v>390</v>
      </c>
      <c r="E1467" t="s">
        <v>391</v>
      </c>
      <c r="F1467" t="s">
        <v>392</v>
      </c>
      <c r="G1467" t="s">
        <v>393</v>
      </c>
      <c r="H1467" t="s">
        <v>394</v>
      </c>
      <c r="I1467" t="s">
        <v>395</v>
      </c>
      <c r="J1467" t="s">
        <v>396</v>
      </c>
      <c r="K1467" t="s">
        <v>397</v>
      </c>
      <c r="L1467" t="s">
        <v>398</v>
      </c>
      <c r="O1467" t="s">
        <v>389</v>
      </c>
      <c r="P1467" t="s">
        <v>123</v>
      </c>
      <c r="Q1467" t="s">
        <v>390</v>
      </c>
      <c r="R1467" t="s">
        <v>391</v>
      </c>
      <c r="S1467" t="s">
        <v>392</v>
      </c>
      <c r="T1467" t="s">
        <v>393</v>
      </c>
      <c r="U1467" t="s">
        <v>394</v>
      </c>
      <c r="V1467" t="s">
        <v>395</v>
      </c>
      <c r="W1467" t="s">
        <v>396</v>
      </c>
      <c r="X1467" t="s">
        <v>397</v>
      </c>
      <c r="Y1467" t="s">
        <v>398</v>
      </c>
    </row>
    <row r="1468" spans="1:25" x14ac:dyDescent="0.45">
      <c r="A1468">
        <v>1</v>
      </c>
      <c r="B1468">
        <v>1</v>
      </c>
      <c r="C1468" t="s">
        <v>399</v>
      </c>
      <c r="D1468" t="s">
        <v>400</v>
      </c>
      <c r="E1468">
        <v>10</v>
      </c>
      <c r="N1468">
        <v>1</v>
      </c>
      <c r="O1468">
        <v>1</v>
      </c>
      <c r="P1468" t="s">
        <v>511</v>
      </c>
      <c r="Q1468" t="s">
        <v>400</v>
      </c>
      <c r="R1468">
        <v>10</v>
      </c>
    </row>
    <row r="1469" spans="1:25" x14ac:dyDescent="0.45">
      <c r="A1469">
        <v>2</v>
      </c>
      <c r="B1469">
        <v>2</v>
      </c>
      <c r="C1469" t="s">
        <v>402</v>
      </c>
      <c r="D1469" t="s">
        <v>400</v>
      </c>
      <c r="E1469">
        <v>10</v>
      </c>
      <c r="N1469">
        <v>2</v>
      </c>
      <c r="O1469">
        <v>2</v>
      </c>
      <c r="P1469" t="s">
        <v>512</v>
      </c>
      <c r="Q1469" t="s">
        <v>400</v>
      </c>
      <c r="R1469">
        <v>10</v>
      </c>
    </row>
    <row r="1470" spans="1:25" x14ac:dyDescent="0.45">
      <c r="A1470">
        <v>3</v>
      </c>
      <c r="B1470">
        <v>3</v>
      </c>
      <c r="C1470" t="s">
        <v>404</v>
      </c>
      <c r="D1470" t="s">
        <v>400</v>
      </c>
      <c r="E1470">
        <v>10</v>
      </c>
      <c r="N1470">
        <v>3</v>
      </c>
      <c r="O1470">
        <v>3</v>
      </c>
      <c r="P1470" t="s">
        <v>513</v>
      </c>
      <c r="Q1470" t="s">
        <v>400</v>
      </c>
      <c r="R1470">
        <v>10</v>
      </c>
    </row>
    <row r="1471" spans="1:25" x14ac:dyDescent="0.45">
      <c r="A1471">
        <v>4</v>
      </c>
      <c r="B1471">
        <v>4</v>
      </c>
      <c r="C1471" t="s">
        <v>405</v>
      </c>
      <c r="D1471" t="s">
        <v>400</v>
      </c>
      <c r="E1471">
        <v>10</v>
      </c>
      <c r="N1471">
        <v>4</v>
      </c>
      <c r="O1471">
        <v>4</v>
      </c>
      <c r="P1471" t="s">
        <v>514</v>
      </c>
      <c r="Q1471" t="s">
        <v>400</v>
      </c>
      <c r="R1471">
        <v>10</v>
      </c>
    </row>
    <row r="1472" spans="1:25" x14ac:dyDescent="0.45">
      <c r="A1472">
        <v>5</v>
      </c>
      <c r="B1472">
        <v>5</v>
      </c>
      <c r="C1472" t="s">
        <v>406</v>
      </c>
      <c r="D1472" t="s">
        <v>400</v>
      </c>
      <c r="E1472">
        <v>10</v>
      </c>
      <c r="N1472">
        <v>5</v>
      </c>
      <c r="O1472">
        <v>5</v>
      </c>
      <c r="P1472" t="s">
        <v>515</v>
      </c>
      <c r="Q1472" t="s">
        <v>400</v>
      </c>
      <c r="R1472">
        <v>10</v>
      </c>
    </row>
    <row r="1473" spans="1:18" x14ac:dyDescent="0.45">
      <c r="A1473">
        <v>6</v>
      </c>
      <c r="B1473">
        <v>6</v>
      </c>
      <c r="C1473" t="s">
        <v>407</v>
      </c>
      <c r="D1473" t="s">
        <v>400</v>
      </c>
      <c r="E1473">
        <v>10</v>
      </c>
      <c r="N1473">
        <v>6</v>
      </c>
      <c r="O1473">
        <v>6</v>
      </c>
      <c r="P1473" t="s">
        <v>516</v>
      </c>
      <c r="Q1473" t="s">
        <v>400</v>
      </c>
      <c r="R1473">
        <v>10</v>
      </c>
    </row>
    <row r="1474" spans="1:18" x14ac:dyDescent="0.45">
      <c r="A1474">
        <v>7</v>
      </c>
      <c r="B1474">
        <v>7</v>
      </c>
      <c r="C1474" t="s">
        <v>408</v>
      </c>
      <c r="D1474" t="s">
        <v>400</v>
      </c>
      <c r="E1474">
        <v>10</v>
      </c>
      <c r="N1474">
        <v>7</v>
      </c>
      <c r="O1474">
        <v>7</v>
      </c>
      <c r="P1474" t="s">
        <v>517</v>
      </c>
      <c r="Q1474" t="s">
        <v>400</v>
      </c>
      <c r="R1474">
        <v>10</v>
      </c>
    </row>
    <row r="1475" spans="1:18" x14ac:dyDescent="0.45">
      <c r="A1475">
        <v>8</v>
      </c>
      <c r="B1475">
        <v>8</v>
      </c>
      <c r="C1475" t="s">
        <v>409</v>
      </c>
      <c r="D1475" t="s">
        <v>410</v>
      </c>
      <c r="E1475">
        <v>10</v>
      </c>
      <c r="N1475">
        <v>8</v>
      </c>
      <c r="O1475">
        <v>8</v>
      </c>
      <c r="P1475" t="s">
        <v>518</v>
      </c>
      <c r="Q1475" t="s">
        <v>410</v>
      </c>
      <c r="R1475">
        <v>10</v>
      </c>
    </row>
    <row r="1476" spans="1:18" x14ac:dyDescent="0.45">
      <c r="A1476">
        <v>9</v>
      </c>
      <c r="B1476">
        <v>9</v>
      </c>
      <c r="C1476" t="s">
        <v>411</v>
      </c>
      <c r="D1476" t="s">
        <v>410</v>
      </c>
      <c r="E1476">
        <v>10</v>
      </c>
      <c r="N1476">
        <v>9</v>
      </c>
      <c r="O1476">
        <v>9</v>
      </c>
      <c r="P1476" t="s">
        <v>519</v>
      </c>
      <c r="Q1476" t="s">
        <v>410</v>
      </c>
      <c r="R1476">
        <v>10</v>
      </c>
    </row>
    <row r="1477" spans="1:18" x14ac:dyDescent="0.45">
      <c r="A1477">
        <v>10</v>
      </c>
      <c r="B1477">
        <v>10</v>
      </c>
      <c r="C1477" t="s">
        <v>413</v>
      </c>
      <c r="D1477" t="s">
        <v>414</v>
      </c>
      <c r="E1477">
        <v>10</v>
      </c>
      <c r="N1477">
        <v>10</v>
      </c>
      <c r="O1477">
        <v>10</v>
      </c>
      <c r="P1477" t="s">
        <v>520</v>
      </c>
      <c r="Q1477" t="s">
        <v>414</v>
      </c>
      <c r="R1477">
        <v>10</v>
      </c>
    </row>
    <row r="1478" spans="1:18" x14ac:dyDescent="0.45">
      <c r="A1478">
        <v>11</v>
      </c>
      <c r="B1478">
        <v>11</v>
      </c>
      <c r="C1478" t="s">
        <v>416</v>
      </c>
      <c r="D1478" t="s">
        <v>414</v>
      </c>
      <c r="E1478">
        <v>10</v>
      </c>
      <c r="N1478">
        <v>11</v>
      </c>
      <c r="O1478">
        <v>11</v>
      </c>
      <c r="P1478" t="s">
        <v>521</v>
      </c>
      <c r="Q1478" t="s">
        <v>414</v>
      </c>
      <c r="R1478">
        <v>10</v>
      </c>
    </row>
    <row r="1479" spans="1:18" x14ac:dyDescent="0.45">
      <c r="A1479">
        <v>12</v>
      </c>
      <c r="B1479">
        <v>12</v>
      </c>
      <c r="C1479" t="s">
        <v>417</v>
      </c>
      <c r="D1479" t="s">
        <v>414</v>
      </c>
      <c r="E1479">
        <v>10</v>
      </c>
      <c r="N1479">
        <v>12</v>
      </c>
      <c r="O1479">
        <v>12</v>
      </c>
      <c r="P1479" t="s">
        <v>522</v>
      </c>
      <c r="Q1479" t="s">
        <v>414</v>
      </c>
      <c r="R1479">
        <v>10</v>
      </c>
    </row>
    <row r="1480" spans="1:18" x14ac:dyDescent="0.45">
      <c r="A1480">
        <v>13</v>
      </c>
      <c r="B1480">
        <v>13</v>
      </c>
      <c r="C1480" t="s">
        <v>418</v>
      </c>
      <c r="D1480" t="s">
        <v>414</v>
      </c>
      <c r="E1480">
        <v>10</v>
      </c>
      <c r="N1480">
        <v>13</v>
      </c>
      <c r="O1480">
        <v>13</v>
      </c>
      <c r="P1480" t="s">
        <v>523</v>
      </c>
      <c r="Q1480" t="s">
        <v>414</v>
      </c>
      <c r="R1480">
        <v>10</v>
      </c>
    </row>
    <row r="1481" spans="1:18" x14ac:dyDescent="0.45">
      <c r="A1481">
        <v>14</v>
      </c>
      <c r="B1481">
        <v>14</v>
      </c>
      <c r="C1481" t="s">
        <v>419</v>
      </c>
      <c r="D1481" t="s">
        <v>414</v>
      </c>
      <c r="E1481">
        <v>10</v>
      </c>
      <c r="N1481">
        <v>14</v>
      </c>
      <c r="O1481">
        <v>14</v>
      </c>
      <c r="P1481" t="s">
        <v>524</v>
      </c>
      <c r="Q1481" t="s">
        <v>414</v>
      </c>
      <c r="R1481">
        <v>10</v>
      </c>
    </row>
    <row r="1482" spans="1:18" x14ac:dyDescent="0.45">
      <c r="A1482">
        <v>15</v>
      </c>
      <c r="B1482">
        <v>15</v>
      </c>
      <c r="C1482" t="s">
        <v>420</v>
      </c>
      <c r="D1482" t="s">
        <v>414</v>
      </c>
      <c r="E1482">
        <v>10</v>
      </c>
      <c r="N1482">
        <v>15</v>
      </c>
      <c r="O1482">
        <v>15</v>
      </c>
      <c r="P1482" t="s">
        <v>525</v>
      </c>
      <c r="Q1482" t="s">
        <v>414</v>
      </c>
      <c r="R1482">
        <v>10</v>
      </c>
    </row>
    <row r="1483" spans="1:18" x14ac:dyDescent="0.45">
      <c r="A1483">
        <v>16</v>
      </c>
      <c r="B1483">
        <v>16</v>
      </c>
      <c r="C1483" t="s">
        <v>421</v>
      </c>
      <c r="D1483" t="s">
        <v>414</v>
      </c>
      <c r="E1483">
        <v>10</v>
      </c>
      <c r="N1483">
        <v>16</v>
      </c>
      <c r="O1483">
        <v>16</v>
      </c>
      <c r="P1483" t="s">
        <v>526</v>
      </c>
      <c r="Q1483" t="s">
        <v>414</v>
      </c>
      <c r="R1483">
        <v>10</v>
      </c>
    </row>
    <row r="1484" spans="1:18" x14ac:dyDescent="0.45">
      <c r="A1484">
        <v>17</v>
      </c>
      <c r="B1484">
        <v>17</v>
      </c>
      <c r="C1484" t="s">
        <v>422</v>
      </c>
      <c r="D1484" t="s">
        <v>414</v>
      </c>
      <c r="E1484">
        <v>10</v>
      </c>
      <c r="N1484">
        <v>17</v>
      </c>
      <c r="O1484">
        <v>17</v>
      </c>
      <c r="P1484" t="s">
        <v>527</v>
      </c>
      <c r="Q1484" t="s">
        <v>414</v>
      </c>
      <c r="R1484">
        <v>10</v>
      </c>
    </row>
    <row r="1485" spans="1:18" x14ac:dyDescent="0.45">
      <c r="A1485">
        <v>18</v>
      </c>
      <c r="B1485">
        <v>18</v>
      </c>
      <c r="C1485" t="s">
        <v>423</v>
      </c>
      <c r="D1485" t="s">
        <v>414</v>
      </c>
      <c r="E1485">
        <v>10</v>
      </c>
      <c r="N1485">
        <v>18</v>
      </c>
      <c r="O1485">
        <v>18</v>
      </c>
      <c r="P1485" t="s">
        <v>528</v>
      </c>
      <c r="Q1485" t="s">
        <v>414</v>
      </c>
      <c r="R1485">
        <v>10</v>
      </c>
    </row>
    <row r="1486" spans="1:18" x14ac:dyDescent="0.45">
      <c r="A1486">
        <v>19</v>
      </c>
      <c r="B1486">
        <v>19</v>
      </c>
      <c r="C1486" t="s">
        <v>424</v>
      </c>
      <c r="D1486" t="s">
        <v>414</v>
      </c>
      <c r="E1486">
        <v>10</v>
      </c>
      <c r="N1486">
        <v>19</v>
      </c>
      <c r="O1486">
        <v>19</v>
      </c>
      <c r="P1486" t="s">
        <v>529</v>
      </c>
      <c r="Q1486" t="s">
        <v>414</v>
      </c>
      <c r="R1486">
        <v>10</v>
      </c>
    </row>
    <row r="1487" spans="1:18" x14ac:dyDescent="0.45">
      <c r="A1487">
        <v>20</v>
      </c>
      <c r="B1487">
        <v>20</v>
      </c>
      <c r="C1487" t="s">
        <v>425</v>
      </c>
      <c r="D1487" t="s">
        <v>414</v>
      </c>
      <c r="E1487">
        <v>10</v>
      </c>
      <c r="N1487">
        <v>20</v>
      </c>
      <c r="O1487">
        <v>20</v>
      </c>
      <c r="P1487" t="s">
        <v>530</v>
      </c>
      <c r="Q1487" t="s">
        <v>414</v>
      </c>
      <c r="R1487">
        <v>10</v>
      </c>
    </row>
    <row r="1488" spans="1:18" x14ac:dyDescent="0.45">
      <c r="A1488">
        <v>21</v>
      </c>
      <c r="B1488">
        <v>21</v>
      </c>
      <c r="C1488" t="s">
        <v>426</v>
      </c>
      <c r="D1488" t="s">
        <v>414</v>
      </c>
      <c r="E1488">
        <v>10</v>
      </c>
      <c r="N1488">
        <v>21</v>
      </c>
      <c r="O1488">
        <v>21</v>
      </c>
      <c r="P1488" t="s">
        <v>531</v>
      </c>
      <c r="Q1488" t="s">
        <v>414</v>
      </c>
      <c r="R1488">
        <v>10</v>
      </c>
    </row>
    <row r="1489" spans="1:18" x14ac:dyDescent="0.45">
      <c r="A1489">
        <v>22</v>
      </c>
      <c r="B1489">
        <v>22</v>
      </c>
      <c r="C1489" t="s">
        <v>427</v>
      </c>
      <c r="D1489" t="s">
        <v>414</v>
      </c>
      <c r="E1489">
        <v>10</v>
      </c>
      <c r="N1489">
        <v>22</v>
      </c>
      <c r="O1489">
        <v>22</v>
      </c>
      <c r="P1489" t="s">
        <v>532</v>
      </c>
      <c r="Q1489" t="s">
        <v>414</v>
      </c>
      <c r="R1489">
        <v>10</v>
      </c>
    </row>
    <row r="1490" spans="1:18" x14ac:dyDescent="0.45">
      <c r="A1490">
        <v>23</v>
      </c>
      <c r="B1490">
        <v>23</v>
      </c>
      <c r="C1490" t="s">
        <v>428</v>
      </c>
      <c r="D1490" t="s">
        <v>414</v>
      </c>
      <c r="E1490">
        <v>10</v>
      </c>
      <c r="N1490">
        <v>23</v>
      </c>
      <c r="O1490">
        <v>23</v>
      </c>
      <c r="P1490" t="s">
        <v>533</v>
      </c>
      <c r="Q1490" t="s">
        <v>414</v>
      </c>
      <c r="R1490">
        <v>10</v>
      </c>
    </row>
    <row r="1491" spans="1:18" x14ac:dyDescent="0.45">
      <c r="A1491">
        <v>24</v>
      </c>
      <c r="B1491">
        <v>24</v>
      </c>
      <c r="C1491" t="s">
        <v>429</v>
      </c>
      <c r="D1491" t="s">
        <v>414</v>
      </c>
      <c r="E1491">
        <v>10</v>
      </c>
      <c r="N1491">
        <v>24</v>
      </c>
      <c r="O1491">
        <v>24</v>
      </c>
      <c r="P1491" t="s">
        <v>534</v>
      </c>
      <c r="Q1491" t="s">
        <v>414</v>
      </c>
      <c r="R1491">
        <v>10</v>
      </c>
    </row>
    <row r="1492" spans="1:18" x14ac:dyDescent="0.45">
      <c r="A1492">
        <v>25</v>
      </c>
      <c r="B1492">
        <v>25</v>
      </c>
      <c r="C1492" t="s">
        <v>430</v>
      </c>
      <c r="D1492" t="s">
        <v>414</v>
      </c>
      <c r="E1492">
        <v>10</v>
      </c>
      <c r="N1492">
        <v>25</v>
      </c>
      <c r="O1492">
        <v>25</v>
      </c>
      <c r="P1492" t="s">
        <v>535</v>
      </c>
      <c r="Q1492" t="s">
        <v>414</v>
      </c>
      <c r="R1492">
        <v>10</v>
      </c>
    </row>
    <row r="1493" spans="1:18" x14ac:dyDescent="0.45">
      <c r="A1493">
        <v>26</v>
      </c>
      <c r="B1493">
        <v>26</v>
      </c>
      <c r="C1493" t="s">
        <v>431</v>
      </c>
      <c r="D1493" t="s">
        <v>414</v>
      </c>
      <c r="E1493">
        <v>10</v>
      </c>
      <c r="N1493">
        <v>26</v>
      </c>
      <c r="O1493">
        <v>26</v>
      </c>
      <c r="P1493" t="s">
        <v>536</v>
      </c>
      <c r="Q1493" t="s">
        <v>414</v>
      </c>
      <c r="R1493">
        <v>10</v>
      </c>
    </row>
    <row r="1494" spans="1:18" x14ac:dyDescent="0.45">
      <c r="A1494">
        <v>27</v>
      </c>
      <c r="B1494">
        <v>27</v>
      </c>
      <c r="C1494" t="s">
        <v>432</v>
      </c>
      <c r="D1494" t="s">
        <v>414</v>
      </c>
      <c r="E1494">
        <v>10</v>
      </c>
      <c r="N1494">
        <v>27</v>
      </c>
      <c r="O1494">
        <v>27</v>
      </c>
      <c r="P1494" t="s">
        <v>537</v>
      </c>
      <c r="Q1494" t="s">
        <v>414</v>
      </c>
      <c r="R1494">
        <v>10</v>
      </c>
    </row>
    <row r="1495" spans="1:18" x14ac:dyDescent="0.45">
      <c r="A1495">
        <v>28</v>
      </c>
      <c r="B1495">
        <v>28</v>
      </c>
      <c r="C1495" t="s">
        <v>433</v>
      </c>
      <c r="D1495" t="s">
        <v>414</v>
      </c>
      <c r="E1495">
        <v>10</v>
      </c>
      <c r="N1495">
        <v>28</v>
      </c>
      <c r="O1495">
        <v>28</v>
      </c>
      <c r="P1495" t="s">
        <v>538</v>
      </c>
      <c r="Q1495" t="s">
        <v>414</v>
      </c>
      <c r="R1495">
        <v>10</v>
      </c>
    </row>
    <row r="1496" spans="1:18" x14ac:dyDescent="0.45">
      <c r="A1496">
        <v>29</v>
      </c>
      <c r="B1496">
        <v>29</v>
      </c>
      <c r="C1496" t="s">
        <v>434</v>
      </c>
      <c r="D1496" t="s">
        <v>414</v>
      </c>
      <c r="E1496">
        <v>10</v>
      </c>
      <c r="N1496">
        <v>29</v>
      </c>
      <c r="O1496">
        <v>29</v>
      </c>
      <c r="P1496" t="s">
        <v>539</v>
      </c>
      <c r="Q1496" t="s">
        <v>414</v>
      </c>
      <c r="R1496">
        <v>10</v>
      </c>
    </row>
    <row r="1497" spans="1:18" x14ac:dyDescent="0.45">
      <c r="A1497">
        <v>30</v>
      </c>
      <c r="B1497">
        <v>30</v>
      </c>
      <c r="C1497" t="s">
        <v>435</v>
      </c>
      <c r="D1497" t="s">
        <v>414</v>
      </c>
      <c r="E1497">
        <v>10</v>
      </c>
      <c r="N1497">
        <v>30</v>
      </c>
      <c r="O1497">
        <v>30</v>
      </c>
      <c r="P1497" t="s">
        <v>540</v>
      </c>
      <c r="Q1497" t="s">
        <v>414</v>
      </c>
      <c r="R1497">
        <v>10</v>
      </c>
    </row>
    <row r="1498" spans="1:18" x14ac:dyDescent="0.45">
      <c r="A1498">
        <v>31</v>
      </c>
      <c r="B1498">
        <v>31</v>
      </c>
      <c r="C1498" t="s">
        <v>436</v>
      </c>
      <c r="D1498" t="s">
        <v>414</v>
      </c>
      <c r="E1498">
        <v>10</v>
      </c>
      <c r="N1498">
        <v>31</v>
      </c>
      <c r="O1498">
        <v>31</v>
      </c>
      <c r="P1498" t="s">
        <v>541</v>
      </c>
      <c r="Q1498" t="s">
        <v>414</v>
      </c>
      <c r="R1498">
        <v>10</v>
      </c>
    </row>
    <row r="1499" spans="1:18" x14ac:dyDescent="0.45">
      <c r="A1499">
        <v>32</v>
      </c>
      <c r="B1499">
        <v>32</v>
      </c>
      <c r="C1499" t="s">
        <v>437</v>
      </c>
      <c r="D1499" t="s">
        <v>414</v>
      </c>
      <c r="E1499">
        <v>10</v>
      </c>
      <c r="N1499">
        <v>32</v>
      </c>
      <c r="O1499">
        <v>32</v>
      </c>
      <c r="P1499" t="s">
        <v>542</v>
      </c>
      <c r="Q1499" t="s">
        <v>414</v>
      </c>
      <c r="R1499">
        <v>10</v>
      </c>
    </row>
    <row r="1500" spans="1:18" x14ac:dyDescent="0.45">
      <c r="A1500">
        <v>33</v>
      </c>
      <c r="B1500">
        <v>33</v>
      </c>
      <c r="C1500" t="s">
        <v>438</v>
      </c>
      <c r="D1500" t="s">
        <v>414</v>
      </c>
      <c r="E1500">
        <v>10</v>
      </c>
      <c r="N1500">
        <v>33</v>
      </c>
      <c r="O1500">
        <v>33</v>
      </c>
      <c r="P1500" t="s">
        <v>543</v>
      </c>
      <c r="Q1500" t="s">
        <v>414</v>
      </c>
      <c r="R1500">
        <v>10</v>
      </c>
    </row>
    <row r="1501" spans="1:18" x14ac:dyDescent="0.45">
      <c r="A1501">
        <v>34</v>
      </c>
      <c r="B1501">
        <v>34</v>
      </c>
      <c r="C1501" t="s">
        <v>439</v>
      </c>
      <c r="D1501" t="s">
        <v>414</v>
      </c>
      <c r="E1501">
        <v>10</v>
      </c>
      <c r="N1501">
        <v>34</v>
      </c>
      <c r="O1501">
        <v>34</v>
      </c>
      <c r="P1501" t="s">
        <v>544</v>
      </c>
      <c r="Q1501" t="s">
        <v>414</v>
      </c>
      <c r="R1501">
        <v>10</v>
      </c>
    </row>
    <row r="1502" spans="1:18" x14ac:dyDescent="0.45">
      <c r="A1502">
        <v>35</v>
      </c>
      <c r="B1502">
        <v>35</v>
      </c>
      <c r="C1502" t="s">
        <v>440</v>
      </c>
      <c r="D1502" t="s">
        <v>414</v>
      </c>
      <c r="E1502">
        <v>10</v>
      </c>
      <c r="N1502">
        <v>35</v>
      </c>
      <c r="O1502">
        <v>35</v>
      </c>
      <c r="P1502" t="s">
        <v>545</v>
      </c>
      <c r="Q1502" t="s">
        <v>414</v>
      </c>
      <c r="R1502">
        <v>10</v>
      </c>
    </row>
    <row r="1503" spans="1:18" x14ac:dyDescent="0.45">
      <c r="A1503">
        <v>36</v>
      </c>
      <c r="B1503">
        <v>36</v>
      </c>
      <c r="C1503" t="s">
        <v>441</v>
      </c>
      <c r="D1503" t="s">
        <v>414</v>
      </c>
      <c r="E1503">
        <v>10</v>
      </c>
      <c r="N1503">
        <v>36</v>
      </c>
      <c r="O1503">
        <v>36</v>
      </c>
      <c r="P1503" t="s">
        <v>546</v>
      </c>
      <c r="Q1503" t="s">
        <v>414</v>
      </c>
      <c r="R1503">
        <v>10</v>
      </c>
    </row>
    <row r="1504" spans="1:18" x14ac:dyDescent="0.45">
      <c r="A1504">
        <v>37</v>
      </c>
      <c r="B1504">
        <v>37</v>
      </c>
      <c r="C1504" t="s">
        <v>442</v>
      </c>
      <c r="D1504" t="s">
        <v>414</v>
      </c>
      <c r="E1504">
        <v>10</v>
      </c>
      <c r="N1504">
        <v>37</v>
      </c>
      <c r="O1504">
        <v>37</v>
      </c>
      <c r="P1504" t="s">
        <v>547</v>
      </c>
      <c r="Q1504" t="s">
        <v>414</v>
      </c>
      <c r="R1504">
        <v>10</v>
      </c>
    </row>
    <row r="1505" spans="1:18" x14ac:dyDescent="0.45">
      <c r="A1505">
        <v>38</v>
      </c>
      <c r="B1505">
        <v>38</v>
      </c>
      <c r="C1505" t="s">
        <v>443</v>
      </c>
      <c r="D1505" t="s">
        <v>414</v>
      </c>
      <c r="E1505">
        <v>10</v>
      </c>
      <c r="N1505">
        <v>38</v>
      </c>
      <c r="O1505">
        <v>38</v>
      </c>
      <c r="P1505" t="s">
        <v>548</v>
      </c>
      <c r="Q1505" t="s">
        <v>414</v>
      </c>
      <c r="R1505">
        <v>10</v>
      </c>
    </row>
    <row r="1506" spans="1:18" x14ac:dyDescent="0.45">
      <c r="A1506">
        <v>39</v>
      </c>
      <c r="B1506">
        <v>39</v>
      </c>
      <c r="C1506" t="s">
        <v>444</v>
      </c>
      <c r="D1506" t="s">
        <v>414</v>
      </c>
      <c r="E1506">
        <v>10</v>
      </c>
      <c r="N1506">
        <v>39</v>
      </c>
      <c r="O1506">
        <v>39</v>
      </c>
      <c r="P1506" t="s">
        <v>549</v>
      </c>
      <c r="Q1506" t="s">
        <v>414</v>
      </c>
      <c r="R1506">
        <v>10</v>
      </c>
    </row>
    <row r="1507" spans="1:18" x14ac:dyDescent="0.45">
      <c r="A1507">
        <v>40</v>
      </c>
      <c r="B1507">
        <v>40</v>
      </c>
      <c r="C1507" t="s">
        <v>445</v>
      </c>
      <c r="D1507" t="s">
        <v>414</v>
      </c>
      <c r="E1507">
        <v>10</v>
      </c>
      <c r="N1507">
        <v>40</v>
      </c>
      <c r="O1507">
        <v>40</v>
      </c>
      <c r="P1507" t="s">
        <v>550</v>
      </c>
      <c r="Q1507" t="s">
        <v>414</v>
      </c>
      <c r="R1507">
        <v>10</v>
      </c>
    </row>
    <row r="1508" spans="1:18" x14ac:dyDescent="0.45">
      <c r="A1508">
        <v>41</v>
      </c>
      <c r="B1508">
        <v>41</v>
      </c>
      <c r="C1508" t="s">
        <v>446</v>
      </c>
      <c r="D1508" t="s">
        <v>414</v>
      </c>
      <c r="E1508">
        <v>10</v>
      </c>
      <c r="N1508">
        <v>41</v>
      </c>
      <c r="O1508">
        <v>41</v>
      </c>
      <c r="P1508" t="s">
        <v>551</v>
      </c>
      <c r="Q1508" t="s">
        <v>414</v>
      </c>
      <c r="R1508">
        <v>10</v>
      </c>
    </row>
    <row r="1509" spans="1:18" x14ac:dyDescent="0.45">
      <c r="A1509">
        <v>42</v>
      </c>
      <c r="B1509">
        <v>42</v>
      </c>
      <c r="C1509" t="s">
        <v>447</v>
      </c>
      <c r="D1509" t="s">
        <v>414</v>
      </c>
      <c r="E1509">
        <v>10</v>
      </c>
      <c r="N1509">
        <v>42</v>
      </c>
      <c r="O1509">
        <v>42</v>
      </c>
      <c r="P1509" t="s">
        <v>552</v>
      </c>
      <c r="Q1509" t="s">
        <v>414</v>
      </c>
      <c r="R1509">
        <v>10</v>
      </c>
    </row>
    <row r="1510" spans="1:18" x14ac:dyDescent="0.45">
      <c r="A1510">
        <v>43</v>
      </c>
      <c r="B1510">
        <v>43</v>
      </c>
      <c r="C1510" t="s">
        <v>448</v>
      </c>
      <c r="D1510" t="s">
        <v>414</v>
      </c>
      <c r="E1510">
        <v>10</v>
      </c>
      <c r="N1510">
        <v>43</v>
      </c>
      <c r="O1510">
        <v>43</v>
      </c>
      <c r="P1510" t="s">
        <v>553</v>
      </c>
      <c r="Q1510" t="s">
        <v>414</v>
      </c>
      <c r="R1510">
        <v>10</v>
      </c>
    </row>
    <row r="1511" spans="1:18" x14ac:dyDescent="0.45">
      <c r="A1511">
        <v>44</v>
      </c>
      <c r="B1511">
        <v>44</v>
      </c>
      <c r="C1511" t="s">
        <v>449</v>
      </c>
      <c r="D1511" t="s">
        <v>414</v>
      </c>
      <c r="E1511">
        <v>10</v>
      </c>
      <c r="N1511">
        <v>44</v>
      </c>
      <c r="O1511">
        <v>44</v>
      </c>
      <c r="P1511" t="s">
        <v>554</v>
      </c>
      <c r="Q1511" t="s">
        <v>414</v>
      </c>
      <c r="R1511">
        <v>10</v>
      </c>
    </row>
    <row r="1512" spans="1:18" x14ac:dyDescent="0.45">
      <c r="A1512">
        <v>45</v>
      </c>
      <c r="B1512">
        <v>45</v>
      </c>
      <c r="C1512" t="s">
        <v>450</v>
      </c>
      <c r="D1512" t="s">
        <v>414</v>
      </c>
      <c r="E1512">
        <v>10</v>
      </c>
      <c r="N1512">
        <v>45</v>
      </c>
      <c r="O1512">
        <v>45</v>
      </c>
      <c r="P1512" t="s">
        <v>555</v>
      </c>
      <c r="Q1512" t="s">
        <v>414</v>
      </c>
      <c r="R1512">
        <v>10</v>
      </c>
    </row>
    <row r="1513" spans="1:18" x14ac:dyDescent="0.45">
      <c r="A1513">
        <v>46</v>
      </c>
      <c r="B1513">
        <v>46</v>
      </c>
      <c r="C1513" t="s">
        <v>451</v>
      </c>
      <c r="D1513" t="s">
        <v>414</v>
      </c>
      <c r="E1513">
        <v>10</v>
      </c>
      <c r="N1513">
        <v>46</v>
      </c>
      <c r="O1513">
        <v>46</v>
      </c>
      <c r="P1513" t="s">
        <v>556</v>
      </c>
      <c r="Q1513" t="s">
        <v>414</v>
      </c>
      <c r="R1513">
        <v>10</v>
      </c>
    </row>
    <row r="1514" spans="1:18" x14ac:dyDescent="0.45">
      <c r="A1514">
        <v>47</v>
      </c>
      <c r="B1514">
        <v>47</v>
      </c>
      <c r="C1514" t="s">
        <v>452</v>
      </c>
      <c r="D1514" t="s">
        <v>414</v>
      </c>
      <c r="E1514">
        <v>10</v>
      </c>
      <c r="N1514">
        <v>47</v>
      </c>
      <c r="O1514">
        <v>47</v>
      </c>
      <c r="P1514" t="s">
        <v>557</v>
      </c>
      <c r="Q1514" t="s">
        <v>414</v>
      </c>
      <c r="R1514">
        <v>10</v>
      </c>
    </row>
    <row r="1515" spans="1:18" x14ac:dyDescent="0.45">
      <c r="A1515">
        <v>48</v>
      </c>
      <c r="B1515">
        <v>48</v>
      </c>
      <c r="C1515" t="s">
        <v>453</v>
      </c>
      <c r="D1515" t="s">
        <v>414</v>
      </c>
      <c r="E1515">
        <v>10</v>
      </c>
      <c r="N1515">
        <v>48</v>
      </c>
      <c r="O1515">
        <v>48</v>
      </c>
      <c r="P1515" t="s">
        <v>558</v>
      </c>
      <c r="Q1515" t="s">
        <v>414</v>
      </c>
      <c r="R1515">
        <v>10</v>
      </c>
    </row>
    <row r="1516" spans="1:18" x14ac:dyDescent="0.45">
      <c r="A1516">
        <v>49</v>
      </c>
      <c r="B1516">
        <v>49</v>
      </c>
      <c r="C1516" t="s">
        <v>454</v>
      </c>
      <c r="D1516" t="s">
        <v>414</v>
      </c>
      <c r="E1516">
        <v>10</v>
      </c>
      <c r="N1516">
        <v>49</v>
      </c>
      <c r="O1516">
        <v>49</v>
      </c>
      <c r="P1516" t="s">
        <v>559</v>
      </c>
      <c r="Q1516" t="s">
        <v>414</v>
      </c>
      <c r="R1516">
        <v>10</v>
      </c>
    </row>
    <row r="1517" spans="1:18" x14ac:dyDescent="0.45">
      <c r="A1517">
        <v>50</v>
      </c>
      <c r="B1517">
        <v>50</v>
      </c>
      <c r="C1517" t="s">
        <v>455</v>
      </c>
      <c r="D1517" t="s">
        <v>414</v>
      </c>
      <c r="E1517">
        <v>10</v>
      </c>
      <c r="N1517">
        <v>50</v>
      </c>
      <c r="O1517">
        <v>50</v>
      </c>
      <c r="P1517" t="s">
        <v>560</v>
      </c>
      <c r="Q1517" t="s">
        <v>414</v>
      </c>
      <c r="R1517">
        <v>10</v>
      </c>
    </row>
    <row r="1518" spans="1:18" x14ac:dyDescent="0.45">
      <c r="A1518">
        <v>51</v>
      </c>
      <c r="B1518">
        <v>51</v>
      </c>
      <c r="C1518" t="s">
        <v>456</v>
      </c>
      <c r="D1518" t="s">
        <v>414</v>
      </c>
      <c r="E1518">
        <v>10</v>
      </c>
      <c r="N1518">
        <v>51</v>
      </c>
      <c r="O1518">
        <v>51</v>
      </c>
      <c r="P1518" t="s">
        <v>561</v>
      </c>
      <c r="Q1518" t="s">
        <v>414</v>
      </c>
      <c r="R1518">
        <v>10</v>
      </c>
    </row>
    <row r="1519" spans="1:18" x14ac:dyDescent="0.45">
      <c r="A1519">
        <v>52</v>
      </c>
      <c r="B1519">
        <v>52</v>
      </c>
      <c r="C1519" t="s">
        <v>457</v>
      </c>
      <c r="D1519" t="s">
        <v>414</v>
      </c>
      <c r="E1519">
        <v>10</v>
      </c>
      <c r="N1519">
        <v>52</v>
      </c>
      <c r="O1519">
        <v>52</v>
      </c>
      <c r="P1519" t="s">
        <v>562</v>
      </c>
      <c r="Q1519" t="s">
        <v>414</v>
      </c>
      <c r="R1519">
        <v>10</v>
      </c>
    </row>
    <row r="1520" spans="1:18" x14ac:dyDescent="0.45">
      <c r="A1520">
        <v>53</v>
      </c>
      <c r="B1520">
        <v>53</v>
      </c>
      <c r="C1520" t="s">
        <v>458</v>
      </c>
      <c r="D1520" t="s">
        <v>414</v>
      </c>
      <c r="E1520">
        <v>10</v>
      </c>
      <c r="N1520">
        <v>53</v>
      </c>
      <c r="O1520">
        <v>53</v>
      </c>
      <c r="P1520" t="s">
        <v>563</v>
      </c>
      <c r="Q1520" t="s">
        <v>414</v>
      </c>
      <c r="R1520">
        <v>10</v>
      </c>
    </row>
    <row r="1521" spans="1:18" x14ac:dyDescent="0.45">
      <c r="A1521">
        <v>54</v>
      </c>
      <c r="B1521">
        <v>54</v>
      </c>
      <c r="C1521" t="s">
        <v>459</v>
      </c>
      <c r="D1521" t="s">
        <v>414</v>
      </c>
      <c r="E1521">
        <v>10</v>
      </c>
      <c r="N1521">
        <v>54</v>
      </c>
      <c r="O1521">
        <v>54</v>
      </c>
      <c r="P1521" t="s">
        <v>564</v>
      </c>
      <c r="Q1521" t="s">
        <v>414</v>
      </c>
      <c r="R1521">
        <v>10</v>
      </c>
    </row>
    <row r="1522" spans="1:18" x14ac:dyDescent="0.45">
      <c r="A1522">
        <v>55</v>
      </c>
      <c r="B1522">
        <v>55</v>
      </c>
      <c r="C1522" t="s">
        <v>460</v>
      </c>
      <c r="D1522" t="s">
        <v>414</v>
      </c>
      <c r="E1522">
        <v>10</v>
      </c>
      <c r="N1522">
        <v>55</v>
      </c>
      <c r="O1522">
        <v>55</v>
      </c>
      <c r="P1522" t="s">
        <v>565</v>
      </c>
      <c r="Q1522" t="s">
        <v>414</v>
      </c>
      <c r="R1522">
        <v>10</v>
      </c>
    </row>
    <row r="1523" spans="1:18" x14ac:dyDescent="0.45">
      <c r="A1523">
        <v>56</v>
      </c>
      <c r="B1523">
        <v>56</v>
      </c>
      <c r="C1523" t="s">
        <v>461</v>
      </c>
      <c r="D1523" t="s">
        <v>414</v>
      </c>
      <c r="E1523">
        <v>10</v>
      </c>
      <c r="N1523">
        <v>56</v>
      </c>
      <c r="O1523">
        <v>56</v>
      </c>
      <c r="P1523" t="s">
        <v>566</v>
      </c>
      <c r="Q1523" t="s">
        <v>414</v>
      </c>
      <c r="R1523">
        <v>10</v>
      </c>
    </row>
    <row r="1524" spans="1:18" x14ac:dyDescent="0.45">
      <c r="A1524">
        <v>57</v>
      </c>
      <c r="B1524">
        <v>57</v>
      </c>
      <c r="C1524" t="s">
        <v>462</v>
      </c>
      <c r="D1524" t="s">
        <v>414</v>
      </c>
      <c r="E1524">
        <v>10</v>
      </c>
      <c r="N1524">
        <v>57</v>
      </c>
      <c r="O1524">
        <v>57</v>
      </c>
      <c r="P1524" t="s">
        <v>567</v>
      </c>
      <c r="Q1524" t="s">
        <v>414</v>
      </c>
      <c r="R1524">
        <v>10</v>
      </c>
    </row>
    <row r="1525" spans="1:18" x14ac:dyDescent="0.45">
      <c r="A1525">
        <v>58</v>
      </c>
      <c r="B1525">
        <v>58</v>
      </c>
      <c r="C1525" t="s">
        <v>463</v>
      </c>
      <c r="D1525" t="s">
        <v>414</v>
      </c>
      <c r="E1525">
        <v>10</v>
      </c>
      <c r="N1525">
        <v>58</v>
      </c>
      <c r="O1525">
        <v>58</v>
      </c>
      <c r="P1525" t="s">
        <v>568</v>
      </c>
      <c r="Q1525" t="s">
        <v>414</v>
      </c>
      <c r="R1525">
        <v>10</v>
      </c>
    </row>
    <row r="1526" spans="1:18" x14ac:dyDescent="0.45">
      <c r="A1526">
        <v>59</v>
      </c>
      <c r="B1526">
        <v>59</v>
      </c>
      <c r="C1526" t="s">
        <v>464</v>
      </c>
      <c r="D1526" t="s">
        <v>414</v>
      </c>
      <c r="E1526">
        <v>10</v>
      </c>
      <c r="N1526">
        <v>59</v>
      </c>
      <c r="O1526">
        <v>59</v>
      </c>
      <c r="P1526" t="s">
        <v>569</v>
      </c>
      <c r="Q1526" t="s">
        <v>414</v>
      </c>
      <c r="R1526">
        <v>10</v>
      </c>
    </row>
    <row r="1527" spans="1:18" x14ac:dyDescent="0.45">
      <c r="A1527">
        <v>60</v>
      </c>
      <c r="B1527">
        <v>60</v>
      </c>
      <c r="C1527" t="s">
        <v>465</v>
      </c>
      <c r="D1527" t="s">
        <v>414</v>
      </c>
      <c r="E1527">
        <v>10</v>
      </c>
      <c r="N1527">
        <v>60</v>
      </c>
      <c r="O1527">
        <v>60</v>
      </c>
      <c r="P1527" t="s">
        <v>570</v>
      </c>
      <c r="Q1527" t="s">
        <v>414</v>
      </c>
      <c r="R1527">
        <v>10</v>
      </c>
    </row>
    <row r="1528" spans="1:18" x14ac:dyDescent="0.45">
      <c r="A1528">
        <v>61</v>
      </c>
      <c r="B1528">
        <v>61</v>
      </c>
      <c r="C1528" t="s">
        <v>466</v>
      </c>
      <c r="D1528" t="s">
        <v>414</v>
      </c>
      <c r="E1528">
        <v>10</v>
      </c>
      <c r="N1528">
        <v>61</v>
      </c>
      <c r="O1528">
        <v>61</v>
      </c>
      <c r="P1528" t="s">
        <v>571</v>
      </c>
      <c r="Q1528" t="s">
        <v>414</v>
      </c>
      <c r="R1528">
        <v>10</v>
      </c>
    </row>
    <row r="1529" spans="1:18" x14ac:dyDescent="0.45">
      <c r="A1529">
        <v>62</v>
      </c>
      <c r="B1529">
        <v>62</v>
      </c>
      <c r="C1529" t="s">
        <v>467</v>
      </c>
      <c r="D1529" t="s">
        <v>414</v>
      </c>
      <c r="E1529">
        <v>10</v>
      </c>
      <c r="N1529">
        <v>62</v>
      </c>
      <c r="O1529">
        <v>62</v>
      </c>
      <c r="P1529" t="s">
        <v>572</v>
      </c>
      <c r="Q1529" t="s">
        <v>414</v>
      </c>
      <c r="R1529">
        <v>10</v>
      </c>
    </row>
    <row r="1530" spans="1:18" x14ac:dyDescent="0.45">
      <c r="A1530">
        <v>63</v>
      </c>
      <c r="B1530">
        <v>63</v>
      </c>
      <c r="C1530" t="s">
        <v>468</v>
      </c>
      <c r="D1530" t="s">
        <v>414</v>
      </c>
      <c r="E1530">
        <v>10</v>
      </c>
      <c r="N1530">
        <v>63</v>
      </c>
      <c r="O1530">
        <v>63</v>
      </c>
      <c r="P1530" t="s">
        <v>573</v>
      </c>
      <c r="Q1530" t="s">
        <v>414</v>
      </c>
      <c r="R1530">
        <v>10</v>
      </c>
    </row>
    <row r="1531" spans="1:18" x14ac:dyDescent="0.45">
      <c r="A1531">
        <v>64</v>
      </c>
      <c r="B1531">
        <v>64</v>
      </c>
      <c r="C1531" t="s">
        <v>469</v>
      </c>
      <c r="D1531" t="s">
        <v>414</v>
      </c>
      <c r="E1531">
        <v>10</v>
      </c>
      <c r="N1531">
        <v>64</v>
      </c>
      <c r="O1531">
        <v>64</v>
      </c>
      <c r="P1531" t="s">
        <v>574</v>
      </c>
      <c r="Q1531" t="s">
        <v>414</v>
      </c>
      <c r="R1531">
        <v>10</v>
      </c>
    </row>
    <row r="1532" spans="1:18" x14ac:dyDescent="0.45">
      <c r="A1532">
        <v>65</v>
      </c>
      <c r="B1532">
        <v>65</v>
      </c>
      <c r="C1532" t="s">
        <v>470</v>
      </c>
      <c r="D1532" t="s">
        <v>414</v>
      </c>
      <c r="E1532">
        <v>10</v>
      </c>
      <c r="N1532">
        <v>65</v>
      </c>
      <c r="O1532">
        <v>65</v>
      </c>
      <c r="P1532" t="s">
        <v>575</v>
      </c>
      <c r="Q1532" t="s">
        <v>414</v>
      </c>
      <c r="R1532">
        <v>10</v>
      </c>
    </row>
    <row r="1533" spans="1:18" x14ac:dyDescent="0.45">
      <c r="A1533">
        <v>66</v>
      </c>
      <c r="B1533">
        <v>66</v>
      </c>
      <c r="C1533" t="s">
        <v>471</v>
      </c>
      <c r="D1533" t="s">
        <v>414</v>
      </c>
      <c r="E1533">
        <v>10</v>
      </c>
      <c r="N1533">
        <v>66</v>
      </c>
      <c r="O1533">
        <v>66</v>
      </c>
      <c r="P1533" t="s">
        <v>576</v>
      </c>
      <c r="Q1533" t="s">
        <v>414</v>
      </c>
      <c r="R1533">
        <v>10</v>
      </c>
    </row>
    <row r="1534" spans="1:18" x14ac:dyDescent="0.45">
      <c r="A1534">
        <v>67</v>
      </c>
      <c r="B1534">
        <v>67</v>
      </c>
      <c r="C1534" t="s">
        <v>472</v>
      </c>
      <c r="D1534" t="s">
        <v>414</v>
      </c>
      <c r="E1534">
        <v>10</v>
      </c>
      <c r="N1534">
        <v>67</v>
      </c>
      <c r="O1534">
        <v>67</v>
      </c>
      <c r="P1534" t="s">
        <v>577</v>
      </c>
      <c r="Q1534" t="s">
        <v>414</v>
      </c>
      <c r="R1534">
        <v>10</v>
      </c>
    </row>
    <row r="1535" spans="1:18" x14ac:dyDescent="0.45">
      <c r="A1535">
        <v>68</v>
      </c>
      <c r="B1535">
        <v>68</v>
      </c>
      <c r="C1535" t="s">
        <v>473</v>
      </c>
      <c r="D1535" t="s">
        <v>414</v>
      </c>
      <c r="E1535">
        <v>10</v>
      </c>
      <c r="N1535">
        <v>68</v>
      </c>
      <c r="O1535">
        <v>68</v>
      </c>
      <c r="P1535" t="s">
        <v>578</v>
      </c>
      <c r="Q1535" t="s">
        <v>414</v>
      </c>
      <c r="R1535">
        <v>10</v>
      </c>
    </row>
    <row r="1536" spans="1:18" x14ac:dyDescent="0.45">
      <c r="A1536">
        <v>69</v>
      </c>
      <c r="B1536">
        <v>69</v>
      </c>
      <c r="C1536" t="s">
        <v>474</v>
      </c>
      <c r="D1536" t="s">
        <v>414</v>
      </c>
      <c r="E1536">
        <v>10</v>
      </c>
      <c r="N1536">
        <v>69</v>
      </c>
      <c r="O1536">
        <v>69</v>
      </c>
      <c r="P1536" t="s">
        <v>579</v>
      </c>
      <c r="Q1536" t="s">
        <v>414</v>
      </c>
      <c r="R1536">
        <v>10</v>
      </c>
    </row>
    <row r="1538" spans="1:25" x14ac:dyDescent="0.45">
      <c r="A1538" t="s">
        <v>507</v>
      </c>
      <c r="N1538" t="s">
        <v>507</v>
      </c>
    </row>
    <row r="1540" spans="1:25" x14ac:dyDescent="0.45">
      <c r="B1540" t="s">
        <v>389</v>
      </c>
      <c r="C1540" t="s">
        <v>123</v>
      </c>
      <c r="D1540" t="s">
        <v>390</v>
      </c>
      <c r="E1540" t="s">
        <v>391</v>
      </c>
      <c r="F1540" t="s">
        <v>392</v>
      </c>
      <c r="G1540" t="s">
        <v>393</v>
      </c>
      <c r="H1540" t="s">
        <v>394</v>
      </c>
      <c r="I1540" t="s">
        <v>395</v>
      </c>
      <c r="J1540" t="s">
        <v>396</v>
      </c>
      <c r="K1540" t="s">
        <v>397</v>
      </c>
      <c r="L1540" t="s">
        <v>398</v>
      </c>
      <c r="O1540" t="s">
        <v>389</v>
      </c>
      <c r="P1540" t="s">
        <v>123</v>
      </c>
      <c r="Q1540" t="s">
        <v>390</v>
      </c>
      <c r="R1540" t="s">
        <v>391</v>
      </c>
      <c r="S1540" t="s">
        <v>392</v>
      </c>
      <c r="T1540" t="s">
        <v>393</v>
      </c>
      <c r="U1540" t="s">
        <v>394</v>
      </c>
      <c r="V1540" t="s">
        <v>395</v>
      </c>
      <c r="W1540" t="s">
        <v>396</v>
      </c>
      <c r="X1540" t="s">
        <v>397</v>
      </c>
      <c r="Y1540" t="s">
        <v>398</v>
      </c>
    </row>
    <row r="1541" spans="1:25" x14ac:dyDescent="0.45">
      <c r="A1541">
        <v>1</v>
      </c>
      <c r="B1541">
        <v>1</v>
      </c>
      <c r="C1541" t="s">
        <v>399</v>
      </c>
      <c r="D1541" t="s">
        <v>400</v>
      </c>
      <c r="E1541">
        <v>10</v>
      </c>
      <c r="F1541">
        <v>3.48</v>
      </c>
      <c r="G1541">
        <v>7617.607</v>
      </c>
      <c r="I1541">
        <v>7617.607</v>
      </c>
      <c r="J1541" t="s">
        <v>415</v>
      </c>
      <c r="K1541">
        <v>8.6</v>
      </c>
      <c r="L1541">
        <v>-13.5</v>
      </c>
      <c r="N1541">
        <v>1</v>
      </c>
      <c r="O1541">
        <v>1</v>
      </c>
      <c r="P1541" t="s">
        <v>511</v>
      </c>
      <c r="Q1541" t="s">
        <v>400</v>
      </c>
      <c r="R1541">
        <v>10</v>
      </c>
      <c r="S1541">
        <v>3.47</v>
      </c>
      <c r="T1541">
        <v>9026.7479999999996</v>
      </c>
      <c r="V1541">
        <v>9026.7479999999996</v>
      </c>
      <c r="W1541" t="s">
        <v>415</v>
      </c>
      <c r="X1541">
        <v>9.6</v>
      </c>
      <c r="Y1541">
        <v>-4.2</v>
      </c>
    </row>
    <row r="1542" spans="1:25" x14ac:dyDescent="0.45">
      <c r="A1542">
        <v>2</v>
      </c>
      <c r="B1542">
        <v>2</v>
      </c>
      <c r="C1542" t="s">
        <v>402</v>
      </c>
      <c r="D1542" t="s">
        <v>400</v>
      </c>
      <c r="E1542">
        <v>10</v>
      </c>
      <c r="F1542">
        <v>3.48</v>
      </c>
      <c r="G1542">
        <v>8466.6470000000008</v>
      </c>
      <c r="I1542">
        <v>8466.6470000000008</v>
      </c>
      <c r="J1542" t="s">
        <v>415</v>
      </c>
      <c r="K1542">
        <v>9.6</v>
      </c>
      <c r="L1542">
        <v>-3.9</v>
      </c>
      <c r="N1542">
        <v>2</v>
      </c>
      <c r="O1542">
        <v>2</v>
      </c>
      <c r="P1542" t="s">
        <v>512</v>
      </c>
      <c r="Q1542" t="s">
        <v>400</v>
      </c>
      <c r="R1542">
        <v>10</v>
      </c>
      <c r="S1542">
        <v>3.47</v>
      </c>
      <c r="T1542">
        <v>8828.9110000000001</v>
      </c>
      <c r="V1542">
        <v>8828.9110000000001</v>
      </c>
      <c r="W1542" t="s">
        <v>415</v>
      </c>
      <c r="X1542">
        <v>9.4</v>
      </c>
      <c r="Y1542">
        <v>-6.3</v>
      </c>
    </row>
    <row r="1543" spans="1:25" x14ac:dyDescent="0.45">
      <c r="A1543">
        <v>3</v>
      </c>
      <c r="B1543">
        <v>3</v>
      </c>
      <c r="C1543" t="s">
        <v>404</v>
      </c>
      <c r="D1543" t="s">
        <v>400</v>
      </c>
      <c r="E1543">
        <v>10</v>
      </c>
      <c r="F1543">
        <v>3.48</v>
      </c>
      <c r="G1543">
        <v>8629.9860000000008</v>
      </c>
      <c r="I1543">
        <v>8629.9860000000008</v>
      </c>
      <c r="J1543" t="s">
        <v>401</v>
      </c>
      <c r="K1543">
        <v>9.8000000000000007</v>
      </c>
      <c r="L1543">
        <v>-2.1</v>
      </c>
      <c r="N1543">
        <v>3</v>
      </c>
      <c r="O1543">
        <v>3</v>
      </c>
      <c r="P1543" t="s">
        <v>513</v>
      </c>
      <c r="Q1543" t="s">
        <v>400</v>
      </c>
      <c r="R1543">
        <v>10</v>
      </c>
      <c r="S1543">
        <v>3.48</v>
      </c>
      <c r="T1543">
        <v>8753.5750000000007</v>
      </c>
      <c r="V1543">
        <v>8753.5750000000007</v>
      </c>
      <c r="W1543" t="s">
        <v>415</v>
      </c>
      <c r="X1543">
        <v>9.3000000000000007</v>
      </c>
      <c r="Y1543">
        <v>-7.1</v>
      </c>
    </row>
    <row r="1544" spans="1:25" x14ac:dyDescent="0.45">
      <c r="A1544">
        <v>4</v>
      </c>
      <c r="B1544">
        <v>4</v>
      </c>
      <c r="C1544" t="s">
        <v>405</v>
      </c>
      <c r="D1544" t="s">
        <v>400</v>
      </c>
      <c r="E1544">
        <v>10</v>
      </c>
      <c r="F1544">
        <v>3.48</v>
      </c>
      <c r="G1544">
        <v>9045.2389999999996</v>
      </c>
      <c r="I1544">
        <v>9045.2389999999996</v>
      </c>
      <c r="J1544" t="s">
        <v>415</v>
      </c>
      <c r="K1544">
        <v>10.3</v>
      </c>
      <c r="L1544">
        <v>2.7</v>
      </c>
      <c r="N1544">
        <v>4</v>
      </c>
      <c r="O1544">
        <v>4</v>
      </c>
      <c r="P1544" t="s">
        <v>514</v>
      </c>
      <c r="Q1544" t="s">
        <v>400</v>
      </c>
      <c r="R1544">
        <v>10</v>
      </c>
      <c r="S1544">
        <v>3.47</v>
      </c>
      <c r="T1544">
        <v>9408.9920000000002</v>
      </c>
      <c r="V1544">
        <v>9408.9920000000002</v>
      </c>
      <c r="W1544" t="s">
        <v>415</v>
      </c>
      <c r="X1544">
        <v>10</v>
      </c>
      <c r="Y1544">
        <v>-0.1</v>
      </c>
    </row>
    <row r="1545" spans="1:25" x14ac:dyDescent="0.45">
      <c r="A1545">
        <v>5</v>
      </c>
      <c r="B1545">
        <v>5</v>
      </c>
      <c r="C1545" t="s">
        <v>406</v>
      </c>
      <c r="D1545" t="s">
        <v>400</v>
      </c>
      <c r="E1545">
        <v>10</v>
      </c>
      <c r="F1545">
        <v>3.48</v>
      </c>
      <c r="G1545">
        <v>9413.5429999999997</v>
      </c>
      <c r="I1545">
        <v>9413.5429999999997</v>
      </c>
      <c r="J1545" t="s">
        <v>415</v>
      </c>
      <c r="K1545">
        <v>10.7</v>
      </c>
      <c r="L1545">
        <v>6.8</v>
      </c>
      <c r="N1545">
        <v>5</v>
      </c>
      <c r="O1545">
        <v>5</v>
      </c>
      <c r="P1545" t="s">
        <v>515</v>
      </c>
      <c r="Q1545" t="s">
        <v>400</v>
      </c>
      <c r="R1545">
        <v>10</v>
      </c>
      <c r="S1545">
        <v>3.48</v>
      </c>
      <c r="T1545">
        <v>10283.129999999999</v>
      </c>
      <c r="V1545">
        <v>10283.129999999999</v>
      </c>
      <c r="W1545" t="s">
        <v>401</v>
      </c>
      <c r="X1545">
        <v>10.9</v>
      </c>
      <c r="Y1545">
        <v>9.1999999999999993</v>
      </c>
    </row>
    <row r="1546" spans="1:25" x14ac:dyDescent="0.45">
      <c r="A1546">
        <v>6</v>
      </c>
      <c r="B1546">
        <v>6</v>
      </c>
      <c r="C1546" t="s">
        <v>407</v>
      </c>
      <c r="D1546" t="s">
        <v>400</v>
      </c>
      <c r="E1546">
        <v>10</v>
      </c>
      <c r="F1546">
        <v>3.48</v>
      </c>
      <c r="G1546">
        <v>8918.3860000000004</v>
      </c>
      <c r="I1546">
        <v>8918.3860000000004</v>
      </c>
      <c r="J1546" t="s">
        <v>415</v>
      </c>
      <c r="K1546">
        <v>10.1</v>
      </c>
      <c r="L1546">
        <v>1.2</v>
      </c>
      <c r="N1546">
        <v>6</v>
      </c>
      <c r="O1546">
        <v>6</v>
      </c>
      <c r="P1546" t="s">
        <v>516</v>
      </c>
      <c r="Q1546" t="s">
        <v>400</v>
      </c>
      <c r="R1546">
        <v>10</v>
      </c>
      <c r="S1546">
        <v>3.47</v>
      </c>
      <c r="T1546">
        <v>9924.1239999999998</v>
      </c>
      <c r="V1546">
        <v>9924.1239999999998</v>
      </c>
      <c r="W1546" t="s">
        <v>415</v>
      </c>
      <c r="X1546">
        <v>10.5</v>
      </c>
      <c r="Y1546">
        <v>5.3</v>
      </c>
    </row>
    <row r="1547" spans="1:25" x14ac:dyDescent="0.45">
      <c r="A1547">
        <v>7</v>
      </c>
      <c r="B1547">
        <v>7</v>
      </c>
      <c r="C1547" t="s">
        <v>408</v>
      </c>
      <c r="D1547" t="s">
        <v>400</v>
      </c>
      <c r="E1547">
        <v>10</v>
      </c>
      <c r="F1547">
        <v>3.48</v>
      </c>
      <c r="G1547">
        <v>9584.41</v>
      </c>
      <c r="I1547">
        <v>9584.41</v>
      </c>
      <c r="J1547" t="s">
        <v>401</v>
      </c>
      <c r="K1547">
        <v>10.9</v>
      </c>
      <c r="L1547">
        <v>8.8000000000000007</v>
      </c>
      <c r="N1547">
        <v>7</v>
      </c>
      <c r="O1547">
        <v>7</v>
      </c>
      <c r="P1547" t="s">
        <v>517</v>
      </c>
      <c r="Q1547" t="s">
        <v>400</v>
      </c>
      <c r="R1547">
        <v>10</v>
      </c>
      <c r="S1547">
        <v>3.47</v>
      </c>
      <c r="T1547">
        <v>9720.9380000000001</v>
      </c>
      <c r="V1547">
        <v>9720.9380000000001</v>
      </c>
      <c r="W1547" t="s">
        <v>401</v>
      </c>
      <c r="X1547">
        <v>10.3</v>
      </c>
      <c r="Y1547">
        <v>3.2</v>
      </c>
    </row>
    <row r="1548" spans="1:25" x14ac:dyDescent="0.45">
      <c r="A1548">
        <v>8</v>
      </c>
      <c r="B1548">
        <v>8</v>
      </c>
      <c r="C1548" t="s">
        <v>409</v>
      </c>
      <c r="D1548" t="s">
        <v>410</v>
      </c>
      <c r="E1548">
        <v>10</v>
      </c>
      <c r="F1548">
        <v>3.47</v>
      </c>
      <c r="G1548">
        <v>76.010000000000005</v>
      </c>
      <c r="I1548">
        <v>76.010000000000005</v>
      </c>
      <c r="J1548" t="s">
        <v>415</v>
      </c>
      <c r="K1548">
        <v>0.1</v>
      </c>
      <c r="L1548">
        <v>-99.1</v>
      </c>
      <c r="N1548">
        <v>8</v>
      </c>
      <c r="O1548">
        <v>8</v>
      </c>
      <c r="P1548" t="s">
        <v>518</v>
      </c>
      <c r="Q1548" t="s">
        <v>410</v>
      </c>
      <c r="R1548">
        <v>10</v>
      </c>
      <c r="S1548">
        <v>2.13</v>
      </c>
      <c r="T1548">
        <v>31.074999999999999</v>
      </c>
      <c r="V1548">
        <v>31.074999999999999</v>
      </c>
      <c r="W1548" t="s">
        <v>415</v>
      </c>
      <c r="X1548">
        <v>0</v>
      </c>
      <c r="Y1548">
        <v>-99.7</v>
      </c>
    </row>
    <row r="1549" spans="1:25" x14ac:dyDescent="0.45">
      <c r="A1549">
        <v>9</v>
      </c>
      <c r="B1549">
        <v>9</v>
      </c>
      <c r="C1549" t="s">
        <v>411</v>
      </c>
      <c r="D1549" t="s">
        <v>410</v>
      </c>
      <c r="E1549">
        <v>10</v>
      </c>
      <c r="F1549">
        <v>3.48</v>
      </c>
      <c r="G1549">
        <v>58.774000000000001</v>
      </c>
      <c r="I1549">
        <v>58.774000000000001</v>
      </c>
      <c r="J1549" t="s">
        <v>415</v>
      </c>
      <c r="K1549">
        <v>0.1</v>
      </c>
      <c r="L1549">
        <v>-99.3</v>
      </c>
      <c r="N1549">
        <v>9</v>
      </c>
      <c r="O1549">
        <v>9</v>
      </c>
      <c r="P1549" t="s">
        <v>519</v>
      </c>
      <c r="Q1549" t="s">
        <v>410</v>
      </c>
      <c r="R1549">
        <v>10</v>
      </c>
      <c r="S1549">
        <v>2.2799999999999998</v>
      </c>
      <c r="T1549">
        <v>18.582999999999998</v>
      </c>
      <c r="V1549">
        <v>18.582999999999998</v>
      </c>
      <c r="W1549" t="s">
        <v>415</v>
      </c>
      <c r="X1549">
        <v>0</v>
      </c>
      <c r="Y1549">
        <v>-99.8</v>
      </c>
    </row>
    <row r="1550" spans="1:25" x14ac:dyDescent="0.45">
      <c r="A1550">
        <v>10</v>
      </c>
      <c r="B1550">
        <v>10</v>
      </c>
      <c r="C1550" t="s">
        <v>413</v>
      </c>
      <c r="D1550" t="s">
        <v>414</v>
      </c>
      <c r="E1550">
        <v>10</v>
      </c>
      <c r="F1550">
        <v>3.48</v>
      </c>
      <c r="G1550">
        <v>5859.1049999999996</v>
      </c>
      <c r="I1550">
        <v>5859.1049999999996</v>
      </c>
      <c r="J1550" t="s">
        <v>415</v>
      </c>
      <c r="K1550">
        <v>6.6</v>
      </c>
      <c r="L1550">
        <v>-33.5</v>
      </c>
      <c r="N1550">
        <v>10</v>
      </c>
      <c r="O1550">
        <v>10</v>
      </c>
      <c r="P1550" t="s">
        <v>520</v>
      </c>
      <c r="Q1550" t="s">
        <v>414</v>
      </c>
      <c r="R1550">
        <v>10</v>
      </c>
      <c r="S1550">
        <v>3.48</v>
      </c>
      <c r="T1550">
        <v>10940.762000000001</v>
      </c>
      <c r="V1550">
        <v>10940.762000000001</v>
      </c>
      <c r="W1550" t="s">
        <v>415</v>
      </c>
      <c r="X1550">
        <v>11.6</v>
      </c>
      <c r="Y1550">
        <v>16.100000000000001</v>
      </c>
    </row>
    <row r="1551" spans="1:25" x14ac:dyDescent="0.45">
      <c r="A1551">
        <v>11</v>
      </c>
      <c r="B1551">
        <v>11</v>
      </c>
      <c r="C1551" t="s">
        <v>416</v>
      </c>
      <c r="D1551" t="s">
        <v>414</v>
      </c>
      <c r="E1551">
        <v>10</v>
      </c>
      <c r="F1551">
        <v>3.48</v>
      </c>
      <c r="G1551">
        <v>6982.8869999999997</v>
      </c>
      <c r="I1551">
        <v>6982.8869999999997</v>
      </c>
      <c r="J1551" t="s">
        <v>415</v>
      </c>
      <c r="K1551">
        <v>7.9</v>
      </c>
      <c r="L1551">
        <v>-20.7</v>
      </c>
      <c r="N1551">
        <v>11</v>
      </c>
      <c r="O1551">
        <v>11</v>
      </c>
      <c r="P1551" t="s">
        <v>521</v>
      </c>
      <c r="Q1551" t="s">
        <v>414</v>
      </c>
      <c r="R1551">
        <v>10</v>
      </c>
      <c r="S1551">
        <v>3.48</v>
      </c>
      <c r="T1551">
        <v>4689.8159999999998</v>
      </c>
      <c r="V1551">
        <v>4689.8159999999998</v>
      </c>
      <c r="W1551" t="s">
        <v>401</v>
      </c>
      <c r="X1551">
        <v>5</v>
      </c>
      <c r="Y1551">
        <v>-50.2</v>
      </c>
    </row>
    <row r="1552" spans="1:25" x14ac:dyDescent="0.45">
      <c r="A1552">
        <v>12</v>
      </c>
      <c r="B1552">
        <v>12</v>
      </c>
      <c r="C1552" t="s">
        <v>417</v>
      </c>
      <c r="D1552" t="s">
        <v>414</v>
      </c>
      <c r="E1552">
        <v>10</v>
      </c>
      <c r="F1552">
        <v>3.48</v>
      </c>
      <c r="G1552">
        <v>5133.5330000000004</v>
      </c>
      <c r="I1552">
        <v>5133.5330000000004</v>
      </c>
      <c r="J1552" t="s">
        <v>415</v>
      </c>
      <c r="K1552">
        <v>5.8</v>
      </c>
      <c r="L1552">
        <v>-41.7</v>
      </c>
      <c r="N1552">
        <v>12</v>
      </c>
      <c r="O1552">
        <v>12</v>
      </c>
      <c r="P1552" t="s">
        <v>522</v>
      </c>
      <c r="Q1552" t="s">
        <v>414</v>
      </c>
      <c r="R1552">
        <v>10</v>
      </c>
      <c r="S1552">
        <v>3.47</v>
      </c>
      <c r="T1552">
        <v>4088.4169999999999</v>
      </c>
      <c r="V1552">
        <v>4088.4169999999999</v>
      </c>
      <c r="W1552" t="s">
        <v>415</v>
      </c>
      <c r="X1552">
        <v>4.3</v>
      </c>
      <c r="Y1552">
        <v>-56.6</v>
      </c>
    </row>
    <row r="1553" spans="1:25" x14ac:dyDescent="0.45">
      <c r="A1553">
        <v>13</v>
      </c>
      <c r="B1553">
        <v>13</v>
      </c>
      <c r="C1553" t="s">
        <v>418</v>
      </c>
      <c r="D1553" t="s">
        <v>414</v>
      </c>
      <c r="E1553">
        <v>10</v>
      </c>
      <c r="F1553">
        <v>3.48</v>
      </c>
      <c r="G1553">
        <v>4248.8379999999997</v>
      </c>
      <c r="I1553">
        <v>4248.8379999999997</v>
      </c>
      <c r="J1553" t="s">
        <v>415</v>
      </c>
      <c r="K1553">
        <v>4.8</v>
      </c>
      <c r="L1553">
        <v>-51.8</v>
      </c>
      <c r="N1553">
        <v>13</v>
      </c>
      <c r="O1553">
        <v>13</v>
      </c>
      <c r="P1553" t="s">
        <v>523</v>
      </c>
      <c r="Q1553" t="s">
        <v>414</v>
      </c>
      <c r="R1553">
        <v>10</v>
      </c>
      <c r="S1553">
        <v>3.48</v>
      </c>
      <c r="T1553">
        <v>5756.9719999999998</v>
      </c>
      <c r="V1553">
        <v>5756.9719999999998</v>
      </c>
      <c r="W1553" t="s">
        <v>401</v>
      </c>
      <c r="X1553">
        <v>6.1</v>
      </c>
      <c r="Y1553">
        <v>-38.9</v>
      </c>
    </row>
    <row r="1554" spans="1:25" x14ac:dyDescent="0.45">
      <c r="A1554">
        <v>14</v>
      </c>
      <c r="B1554">
        <v>14</v>
      </c>
      <c r="C1554" t="s">
        <v>419</v>
      </c>
      <c r="D1554" t="s">
        <v>414</v>
      </c>
      <c r="E1554">
        <v>10</v>
      </c>
      <c r="F1554">
        <v>3.48</v>
      </c>
      <c r="G1554">
        <v>5412.8019999999997</v>
      </c>
      <c r="I1554">
        <v>5412.8019999999997</v>
      </c>
      <c r="J1554" t="s">
        <v>415</v>
      </c>
      <c r="K1554">
        <v>6.1</v>
      </c>
      <c r="L1554">
        <v>-38.6</v>
      </c>
      <c r="N1554">
        <v>14</v>
      </c>
      <c r="O1554">
        <v>14</v>
      </c>
      <c r="P1554" t="s">
        <v>524</v>
      </c>
      <c r="Q1554" t="s">
        <v>414</v>
      </c>
      <c r="R1554">
        <v>10</v>
      </c>
      <c r="S1554">
        <v>3.48</v>
      </c>
      <c r="T1554">
        <v>3728.3629999999998</v>
      </c>
      <c r="V1554">
        <v>3728.3629999999998</v>
      </c>
      <c r="W1554" t="s">
        <v>415</v>
      </c>
      <c r="X1554">
        <v>4</v>
      </c>
      <c r="Y1554">
        <v>-60.4</v>
      </c>
    </row>
    <row r="1555" spans="1:25" x14ac:dyDescent="0.45">
      <c r="A1555">
        <v>15</v>
      </c>
      <c r="B1555">
        <v>15</v>
      </c>
      <c r="C1555" t="s">
        <v>420</v>
      </c>
      <c r="D1555" t="s">
        <v>414</v>
      </c>
      <c r="E1555">
        <v>10</v>
      </c>
      <c r="F1555">
        <v>3.48</v>
      </c>
      <c r="G1555">
        <v>7177.9750000000004</v>
      </c>
      <c r="I1555">
        <v>7177.9750000000004</v>
      </c>
      <c r="J1555" t="s">
        <v>415</v>
      </c>
      <c r="K1555">
        <v>8.1</v>
      </c>
      <c r="L1555">
        <v>-18.5</v>
      </c>
      <c r="N1555">
        <v>15</v>
      </c>
      <c r="O1555">
        <v>15</v>
      </c>
      <c r="P1555" t="s">
        <v>525</v>
      </c>
      <c r="Q1555" t="s">
        <v>414</v>
      </c>
      <c r="R1555">
        <v>10</v>
      </c>
      <c r="S1555">
        <v>3.47</v>
      </c>
      <c r="T1555">
        <v>3907.61</v>
      </c>
      <c r="V1555">
        <v>3907.61</v>
      </c>
      <c r="W1555" t="s">
        <v>415</v>
      </c>
      <c r="X1555">
        <v>4.0999999999999996</v>
      </c>
      <c r="Y1555">
        <v>-58.5</v>
      </c>
    </row>
    <row r="1556" spans="1:25" x14ac:dyDescent="0.45">
      <c r="A1556">
        <v>16</v>
      </c>
      <c r="B1556">
        <v>16</v>
      </c>
      <c r="C1556" t="s">
        <v>421</v>
      </c>
      <c r="D1556" t="s">
        <v>414</v>
      </c>
      <c r="E1556">
        <v>10</v>
      </c>
      <c r="F1556">
        <v>3.48</v>
      </c>
      <c r="G1556">
        <v>7230.2070000000003</v>
      </c>
      <c r="I1556">
        <v>7230.2070000000003</v>
      </c>
      <c r="J1556" t="s">
        <v>401</v>
      </c>
      <c r="K1556">
        <v>8.1999999999999993</v>
      </c>
      <c r="L1556">
        <v>-17.899999999999999</v>
      </c>
      <c r="N1556">
        <v>16</v>
      </c>
      <c r="O1556">
        <v>16</v>
      </c>
      <c r="P1556" t="s">
        <v>526</v>
      </c>
      <c r="Q1556" t="s">
        <v>414</v>
      </c>
      <c r="R1556">
        <v>10</v>
      </c>
      <c r="S1556">
        <v>3.48</v>
      </c>
      <c r="T1556">
        <v>5068.6779999999999</v>
      </c>
      <c r="V1556">
        <v>5068.6779999999999</v>
      </c>
      <c r="W1556" t="s">
        <v>415</v>
      </c>
      <c r="X1556">
        <v>5.4</v>
      </c>
      <c r="Y1556">
        <v>-46.2</v>
      </c>
    </row>
    <row r="1557" spans="1:25" x14ac:dyDescent="0.45">
      <c r="A1557">
        <v>17</v>
      </c>
      <c r="B1557">
        <v>17</v>
      </c>
      <c r="C1557" t="s">
        <v>422</v>
      </c>
      <c r="D1557" t="s">
        <v>414</v>
      </c>
      <c r="E1557">
        <v>10</v>
      </c>
      <c r="F1557">
        <v>3.48</v>
      </c>
      <c r="G1557">
        <v>5449.1120000000001</v>
      </c>
      <c r="I1557">
        <v>5449.1120000000001</v>
      </c>
      <c r="J1557" t="s">
        <v>415</v>
      </c>
      <c r="K1557">
        <v>6.2</v>
      </c>
      <c r="L1557">
        <v>-38.200000000000003</v>
      </c>
      <c r="N1557">
        <v>17</v>
      </c>
      <c r="O1557">
        <v>17</v>
      </c>
      <c r="P1557" t="s">
        <v>527</v>
      </c>
      <c r="Q1557" t="s">
        <v>414</v>
      </c>
      <c r="R1557">
        <v>10</v>
      </c>
      <c r="S1557">
        <v>3.48</v>
      </c>
      <c r="T1557">
        <v>3313.43</v>
      </c>
      <c r="V1557">
        <v>3313.43</v>
      </c>
      <c r="W1557" t="s">
        <v>415</v>
      </c>
      <c r="X1557">
        <v>3.5</v>
      </c>
      <c r="Y1557">
        <v>-64.8</v>
      </c>
    </row>
    <row r="1558" spans="1:25" x14ac:dyDescent="0.45">
      <c r="A1558">
        <v>18</v>
      </c>
      <c r="B1558">
        <v>18</v>
      </c>
      <c r="C1558" t="s">
        <v>423</v>
      </c>
      <c r="D1558" t="s">
        <v>414</v>
      </c>
      <c r="E1558">
        <v>10</v>
      </c>
      <c r="F1558">
        <v>3.48</v>
      </c>
      <c r="G1558">
        <v>6554.23</v>
      </c>
      <c r="I1558">
        <v>6554.23</v>
      </c>
      <c r="J1558" t="s">
        <v>401</v>
      </c>
      <c r="K1558">
        <v>7.4</v>
      </c>
      <c r="L1558">
        <v>-25.6</v>
      </c>
      <c r="N1558">
        <v>18</v>
      </c>
      <c r="O1558">
        <v>18</v>
      </c>
      <c r="P1558" t="s">
        <v>528</v>
      </c>
      <c r="Q1558" t="s">
        <v>414</v>
      </c>
      <c r="R1558">
        <v>10</v>
      </c>
      <c r="S1558">
        <v>3.48</v>
      </c>
      <c r="T1558">
        <v>5333.7690000000002</v>
      </c>
      <c r="V1558">
        <v>5333.7690000000002</v>
      </c>
      <c r="W1558" t="s">
        <v>412</v>
      </c>
      <c r="X1558">
        <v>5.7</v>
      </c>
      <c r="Y1558">
        <v>-43.4</v>
      </c>
    </row>
    <row r="1559" spans="1:25" x14ac:dyDescent="0.45">
      <c r="A1559">
        <v>19</v>
      </c>
      <c r="B1559">
        <v>19</v>
      </c>
      <c r="C1559" t="s">
        <v>424</v>
      </c>
      <c r="D1559" t="s">
        <v>414</v>
      </c>
      <c r="E1559">
        <v>10</v>
      </c>
      <c r="F1559">
        <v>3.49</v>
      </c>
      <c r="G1559">
        <v>7784.9970000000003</v>
      </c>
      <c r="I1559">
        <v>7784.9970000000003</v>
      </c>
      <c r="J1559" t="s">
        <v>415</v>
      </c>
      <c r="K1559">
        <v>8.8000000000000007</v>
      </c>
      <c r="L1559">
        <v>-11.6</v>
      </c>
      <c r="N1559">
        <v>19</v>
      </c>
      <c r="O1559">
        <v>19</v>
      </c>
      <c r="P1559" t="s">
        <v>529</v>
      </c>
      <c r="Q1559" t="s">
        <v>414</v>
      </c>
      <c r="R1559">
        <v>10</v>
      </c>
      <c r="S1559">
        <v>3.48</v>
      </c>
      <c r="T1559">
        <v>8965.8130000000001</v>
      </c>
      <c r="V1559">
        <v>8965.8130000000001</v>
      </c>
      <c r="W1559" t="s">
        <v>415</v>
      </c>
      <c r="X1559">
        <v>9.5</v>
      </c>
      <c r="Y1559">
        <v>-4.8</v>
      </c>
    </row>
    <row r="1560" spans="1:25" x14ac:dyDescent="0.45">
      <c r="A1560">
        <v>20</v>
      </c>
      <c r="B1560">
        <v>20</v>
      </c>
      <c r="C1560" t="s">
        <v>425</v>
      </c>
      <c r="D1560" t="s">
        <v>414</v>
      </c>
      <c r="E1560">
        <v>10</v>
      </c>
      <c r="F1560">
        <v>3.48</v>
      </c>
      <c r="G1560">
        <v>3815.6210000000001</v>
      </c>
      <c r="I1560">
        <v>3815.6210000000001</v>
      </c>
      <c r="J1560" t="s">
        <v>415</v>
      </c>
      <c r="K1560">
        <v>4.3</v>
      </c>
      <c r="L1560">
        <v>-56.7</v>
      </c>
      <c r="N1560">
        <v>20</v>
      </c>
      <c r="O1560">
        <v>20</v>
      </c>
      <c r="P1560" t="s">
        <v>530</v>
      </c>
      <c r="Q1560" t="s">
        <v>414</v>
      </c>
      <c r="R1560">
        <v>10</v>
      </c>
      <c r="S1560">
        <v>3.48</v>
      </c>
      <c r="T1560">
        <v>4022.2939999999999</v>
      </c>
      <c r="V1560">
        <v>4022.2939999999999</v>
      </c>
      <c r="W1560" t="s">
        <v>415</v>
      </c>
      <c r="X1560">
        <v>4.3</v>
      </c>
      <c r="Y1560">
        <v>-57.3</v>
      </c>
    </row>
    <row r="1561" spans="1:25" x14ac:dyDescent="0.45">
      <c r="A1561">
        <v>21</v>
      </c>
      <c r="B1561">
        <v>21</v>
      </c>
      <c r="C1561" t="s">
        <v>426</v>
      </c>
      <c r="D1561" t="s">
        <v>414</v>
      </c>
      <c r="E1561">
        <v>10</v>
      </c>
      <c r="F1561">
        <v>3.48</v>
      </c>
      <c r="G1561">
        <v>6143.817</v>
      </c>
      <c r="I1561">
        <v>6143.817</v>
      </c>
      <c r="J1561" t="s">
        <v>415</v>
      </c>
      <c r="K1561">
        <v>7</v>
      </c>
      <c r="L1561">
        <v>-30.3</v>
      </c>
      <c r="N1561">
        <v>21</v>
      </c>
      <c r="O1561">
        <v>21</v>
      </c>
      <c r="P1561" t="s">
        <v>531</v>
      </c>
      <c r="Q1561" t="s">
        <v>414</v>
      </c>
      <c r="R1561">
        <v>10</v>
      </c>
      <c r="S1561">
        <v>3.48</v>
      </c>
      <c r="T1561">
        <v>3969.7779999999998</v>
      </c>
      <c r="V1561">
        <v>3969.7779999999998</v>
      </c>
      <c r="W1561" t="s">
        <v>415</v>
      </c>
      <c r="X1561">
        <v>4.2</v>
      </c>
      <c r="Y1561">
        <v>-57.9</v>
      </c>
    </row>
    <row r="1562" spans="1:25" x14ac:dyDescent="0.45">
      <c r="A1562">
        <v>22</v>
      </c>
      <c r="B1562">
        <v>22</v>
      </c>
      <c r="C1562" t="s">
        <v>427</v>
      </c>
      <c r="D1562" t="s">
        <v>414</v>
      </c>
      <c r="E1562">
        <v>10</v>
      </c>
      <c r="F1562">
        <v>3.47</v>
      </c>
      <c r="G1562">
        <v>4531.1390000000001</v>
      </c>
      <c r="I1562">
        <v>4531.1390000000001</v>
      </c>
      <c r="J1562" t="s">
        <v>401</v>
      </c>
      <c r="K1562">
        <v>5.0999999999999996</v>
      </c>
      <c r="L1562">
        <v>-48.6</v>
      </c>
      <c r="N1562">
        <v>22</v>
      </c>
      <c r="O1562">
        <v>22</v>
      </c>
      <c r="P1562" t="s">
        <v>532</v>
      </c>
      <c r="Q1562" t="s">
        <v>414</v>
      </c>
      <c r="R1562">
        <v>10</v>
      </c>
      <c r="S1562">
        <v>3.48</v>
      </c>
      <c r="T1562">
        <v>4303.62</v>
      </c>
      <c r="V1562">
        <v>4303.62</v>
      </c>
      <c r="W1562" t="s">
        <v>415</v>
      </c>
      <c r="X1562">
        <v>4.5999999999999996</v>
      </c>
      <c r="Y1562">
        <v>-54.3</v>
      </c>
    </row>
    <row r="1563" spans="1:25" x14ac:dyDescent="0.45">
      <c r="A1563">
        <v>23</v>
      </c>
      <c r="B1563">
        <v>23</v>
      </c>
      <c r="C1563" t="s">
        <v>428</v>
      </c>
      <c r="D1563" t="s">
        <v>414</v>
      </c>
      <c r="E1563">
        <v>10</v>
      </c>
      <c r="F1563">
        <v>3.48</v>
      </c>
      <c r="G1563">
        <v>5057.3459999999995</v>
      </c>
      <c r="I1563">
        <v>5057.3459999999995</v>
      </c>
      <c r="J1563" t="s">
        <v>401</v>
      </c>
      <c r="K1563">
        <v>5.7</v>
      </c>
      <c r="L1563">
        <v>-42.6</v>
      </c>
      <c r="N1563">
        <v>23</v>
      </c>
      <c r="O1563">
        <v>23</v>
      </c>
      <c r="P1563" t="s">
        <v>533</v>
      </c>
      <c r="Q1563" t="s">
        <v>414</v>
      </c>
      <c r="R1563">
        <v>10</v>
      </c>
      <c r="S1563">
        <v>3.48</v>
      </c>
      <c r="T1563">
        <v>5980.665</v>
      </c>
      <c r="V1563">
        <v>5980.665</v>
      </c>
      <c r="W1563" t="s">
        <v>415</v>
      </c>
      <c r="X1563">
        <v>6.3</v>
      </c>
      <c r="Y1563">
        <v>-36.5</v>
      </c>
    </row>
    <row r="1564" spans="1:25" x14ac:dyDescent="0.45">
      <c r="A1564">
        <v>24</v>
      </c>
      <c r="B1564">
        <v>24</v>
      </c>
      <c r="C1564" t="s">
        <v>429</v>
      </c>
      <c r="D1564" t="s">
        <v>414</v>
      </c>
      <c r="E1564">
        <v>10</v>
      </c>
      <c r="F1564">
        <v>3.47</v>
      </c>
      <c r="G1564">
        <v>5057.1210000000001</v>
      </c>
      <c r="I1564">
        <v>5057.1210000000001</v>
      </c>
      <c r="J1564" t="s">
        <v>415</v>
      </c>
      <c r="K1564">
        <v>5.7</v>
      </c>
      <c r="L1564">
        <v>-42.6</v>
      </c>
      <c r="N1564">
        <v>24</v>
      </c>
      <c r="O1564">
        <v>24</v>
      </c>
      <c r="P1564" t="s">
        <v>534</v>
      </c>
      <c r="Q1564" t="s">
        <v>414</v>
      </c>
      <c r="R1564">
        <v>10</v>
      </c>
      <c r="S1564">
        <v>3.48</v>
      </c>
      <c r="T1564">
        <v>5530.2709999999997</v>
      </c>
      <c r="V1564">
        <v>5530.2709999999997</v>
      </c>
      <c r="W1564" t="s">
        <v>401</v>
      </c>
      <c r="X1564">
        <v>5.9</v>
      </c>
      <c r="Y1564">
        <v>-41.3</v>
      </c>
    </row>
    <row r="1565" spans="1:25" x14ac:dyDescent="0.45">
      <c r="A1565">
        <v>25</v>
      </c>
      <c r="B1565">
        <v>25</v>
      </c>
      <c r="C1565" t="s">
        <v>430</v>
      </c>
      <c r="D1565" t="s">
        <v>414</v>
      </c>
      <c r="E1565">
        <v>10</v>
      </c>
      <c r="F1565">
        <v>3.48</v>
      </c>
      <c r="G1565">
        <v>5880.9309999999996</v>
      </c>
      <c r="I1565">
        <v>5880.9309999999996</v>
      </c>
      <c r="J1565" t="s">
        <v>415</v>
      </c>
      <c r="K1565">
        <v>6.7</v>
      </c>
      <c r="L1565">
        <v>-33.299999999999997</v>
      </c>
      <c r="N1565">
        <v>25</v>
      </c>
      <c r="O1565">
        <v>25</v>
      </c>
      <c r="P1565" t="s">
        <v>535</v>
      </c>
      <c r="Q1565" t="s">
        <v>414</v>
      </c>
      <c r="R1565">
        <v>10</v>
      </c>
      <c r="S1565">
        <v>3.48</v>
      </c>
      <c r="T1565">
        <v>9050.0169999999998</v>
      </c>
      <c r="V1565">
        <v>9050.0169999999998</v>
      </c>
      <c r="W1565" t="s">
        <v>415</v>
      </c>
      <c r="X1565">
        <v>9.6</v>
      </c>
      <c r="Y1565">
        <v>-3.9</v>
      </c>
    </row>
    <row r="1566" spans="1:25" x14ac:dyDescent="0.45">
      <c r="A1566">
        <v>26</v>
      </c>
      <c r="B1566">
        <v>26</v>
      </c>
      <c r="C1566" t="s">
        <v>431</v>
      </c>
      <c r="D1566" t="s">
        <v>414</v>
      </c>
      <c r="E1566">
        <v>10</v>
      </c>
      <c r="F1566">
        <v>3.48</v>
      </c>
      <c r="G1566">
        <v>4036.1190000000001</v>
      </c>
      <c r="I1566">
        <v>4036.1190000000001</v>
      </c>
      <c r="J1566" t="s">
        <v>415</v>
      </c>
      <c r="K1566">
        <v>4.5999999999999996</v>
      </c>
      <c r="L1566">
        <v>-54.2</v>
      </c>
      <c r="N1566">
        <v>26</v>
      </c>
      <c r="O1566">
        <v>26</v>
      </c>
      <c r="P1566" t="s">
        <v>536</v>
      </c>
      <c r="Q1566" t="s">
        <v>414</v>
      </c>
      <c r="R1566">
        <v>10</v>
      </c>
      <c r="S1566">
        <v>3.48</v>
      </c>
      <c r="T1566">
        <v>4373.93</v>
      </c>
      <c r="V1566">
        <v>4373.93</v>
      </c>
      <c r="W1566" t="s">
        <v>401</v>
      </c>
      <c r="X1566">
        <v>4.5999999999999996</v>
      </c>
      <c r="Y1566">
        <v>-53.6</v>
      </c>
    </row>
    <row r="1567" spans="1:25" x14ac:dyDescent="0.45">
      <c r="A1567">
        <v>27</v>
      </c>
      <c r="B1567">
        <v>27</v>
      </c>
      <c r="C1567" t="s">
        <v>432</v>
      </c>
      <c r="D1567" t="s">
        <v>414</v>
      </c>
      <c r="E1567">
        <v>10</v>
      </c>
      <c r="F1567">
        <v>3.48</v>
      </c>
      <c r="G1567">
        <v>4546.7030000000004</v>
      </c>
      <c r="I1567">
        <v>4546.7030000000004</v>
      </c>
      <c r="J1567" t="s">
        <v>415</v>
      </c>
      <c r="K1567">
        <v>5.2</v>
      </c>
      <c r="L1567">
        <v>-48.4</v>
      </c>
      <c r="N1567">
        <v>27</v>
      </c>
      <c r="O1567">
        <v>27</v>
      </c>
      <c r="P1567" t="s">
        <v>537</v>
      </c>
      <c r="Q1567" t="s">
        <v>414</v>
      </c>
      <c r="R1567">
        <v>10</v>
      </c>
      <c r="S1567">
        <v>3.48</v>
      </c>
      <c r="T1567">
        <v>3380.8449999999998</v>
      </c>
      <c r="V1567">
        <v>3380.8449999999998</v>
      </c>
      <c r="W1567" t="s">
        <v>401</v>
      </c>
      <c r="X1567">
        <v>3.6</v>
      </c>
      <c r="Y1567">
        <v>-64.099999999999994</v>
      </c>
    </row>
    <row r="1568" spans="1:25" x14ac:dyDescent="0.45">
      <c r="A1568">
        <v>28</v>
      </c>
      <c r="B1568">
        <v>28</v>
      </c>
      <c r="C1568" t="s">
        <v>433</v>
      </c>
      <c r="D1568" t="s">
        <v>414</v>
      </c>
      <c r="E1568">
        <v>10</v>
      </c>
      <c r="F1568">
        <v>3.48</v>
      </c>
      <c r="G1568">
        <v>4796.7749999999996</v>
      </c>
      <c r="I1568">
        <v>4796.7749999999996</v>
      </c>
      <c r="J1568" t="s">
        <v>415</v>
      </c>
      <c r="K1568">
        <v>5.4</v>
      </c>
      <c r="L1568">
        <v>-45.6</v>
      </c>
      <c r="N1568">
        <v>28</v>
      </c>
      <c r="O1568">
        <v>28</v>
      </c>
      <c r="P1568" t="s">
        <v>538</v>
      </c>
      <c r="Q1568" t="s">
        <v>414</v>
      </c>
      <c r="R1568">
        <v>10</v>
      </c>
      <c r="S1568">
        <v>3.48</v>
      </c>
      <c r="T1568">
        <v>4054.8220000000001</v>
      </c>
      <c r="V1568">
        <v>4054.8220000000001</v>
      </c>
      <c r="W1568" t="s">
        <v>415</v>
      </c>
      <c r="X1568">
        <v>4.3</v>
      </c>
      <c r="Y1568">
        <v>-57</v>
      </c>
    </row>
    <row r="1569" spans="1:25" x14ac:dyDescent="0.45">
      <c r="A1569">
        <v>29</v>
      </c>
      <c r="B1569">
        <v>29</v>
      </c>
      <c r="C1569" t="s">
        <v>434</v>
      </c>
      <c r="D1569" t="s">
        <v>414</v>
      </c>
      <c r="E1569">
        <v>10</v>
      </c>
      <c r="F1569">
        <v>3.48</v>
      </c>
      <c r="G1569">
        <v>4491.027</v>
      </c>
      <c r="I1569">
        <v>4491.027</v>
      </c>
      <c r="J1569" t="s">
        <v>401</v>
      </c>
      <c r="K1569">
        <v>5.0999999999999996</v>
      </c>
      <c r="L1569">
        <v>-49</v>
      </c>
      <c r="N1569">
        <v>29</v>
      </c>
      <c r="O1569">
        <v>29</v>
      </c>
      <c r="P1569" t="s">
        <v>539</v>
      </c>
      <c r="Q1569" t="s">
        <v>414</v>
      </c>
      <c r="R1569">
        <v>10</v>
      </c>
      <c r="S1569">
        <v>3.48</v>
      </c>
      <c r="T1569">
        <v>6392.9380000000001</v>
      </c>
      <c r="V1569">
        <v>6392.9380000000001</v>
      </c>
      <c r="W1569" t="s">
        <v>412</v>
      </c>
      <c r="X1569">
        <v>6.8</v>
      </c>
      <c r="Y1569">
        <v>-32.1</v>
      </c>
    </row>
    <row r="1570" spans="1:25" x14ac:dyDescent="0.45">
      <c r="A1570">
        <v>30</v>
      </c>
      <c r="B1570">
        <v>30</v>
      </c>
      <c r="C1570" t="s">
        <v>435</v>
      </c>
      <c r="D1570" t="s">
        <v>414</v>
      </c>
      <c r="E1570">
        <v>10</v>
      </c>
      <c r="F1570">
        <v>3.47</v>
      </c>
      <c r="G1570">
        <v>3855.3939999999998</v>
      </c>
      <c r="I1570">
        <v>3855.3939999999998</v>
      </c>
      <c r="J1570" t="s">
        <v>401</v>
      </c>
      <c r="K1570">
        <v>4.4000000000000004</v>
      </c>
      <c r="L1570">
        <v>-56.2</v>
      </c>
      <c r="N1570">
        <v>30</v>
      </c>
      <c r="O1570">
        <v>30</v>
      </c>
      <c r="P1570" t="s">
        <v>540</v>
      </c>
      <c r="Q1570" t="s">
        <v>414</v>
      </c>
      <c r="R1570">
        <v>10</v>
      </c>
      <c r="S1570">
        <v>3.48</v>
      </c>
      <c r="T1570">
        <v>5387.13</v>
      </c>
      <c r="V1570">
        <v>5387.13</v>
      </c>
      <c r="W1570" t="s">
        <v>415</v>
      </c>
      <c r="X1570">
        <v>5.7</v>
      </c>
      <c r="Y1570">
        <v>-42.8</v>
      </c>
    </row>
    <row r="1571" spans="1:25" x14ac:dyDescent="0.45">
      <c r="A1571">
        <v>31</v>
      </c>
      <c r="B1571">
        <v>31</v>
      </c>
      <c r="C1571" t="s">
        <v>436</v>
      </c>
      <c r="D1571" t="s">
        <v>414</v>
      </c>
      <c r="E1571">
        <v>10</v>
      </c>
      <c r="F1571">
        <v>3.48</v>
      </c>
      <c r="G1571">
        <v>4110.8580000000002</v>
      </c>
      <c r="I1571">
        <v>4110.8580000000002</v>
      </c>
      <c r="J1571" t="s">
        <v>415</v>
      </c>
      <c r="K1571">
        <v>4.7</v>
      </c>
      <c r="L1571">
        <v>-53.3</v>
      </c>
      <c r="N1571">
        <v>31</v>
      </c>
      <c r="O1571">
        <v>31</v>
      </c>
      <c r="P1571" t="s">
        <v>541</v>
      </c>
      <c r="Q1571" t="s">
        <v>414</v>
      </c>
      <c r="R1571">
        <v>10</v>
      </c>
      <c r="S1571">
        <v>3.47</v>
      </c>
      <c r="T1571">
        <v>4339.9809999999998</v>
      </c>
      <c r="V1571">
        <v>4339.9809999999998</v>
      </c>
      <c r="W1571" t="s">
        <v>415</v>
      </c>
      <c r="X1571">
        <v>4.5999999999999996</v>
      </c>
      <c r="Y1571">
        <v>-53.9</v>
      </c>
    </row>
    <row r="1572" spans="1:25" x14ac:dyDescent="0.45">
      <c r="A1572">
        <v>32</v>
      </c>
      <c r="B1572">
        <v>32</v>
      </c>
      <c r="C1572" t="s">
        <v>437</v>
      </c>
      <c r="D1572" t="s">
        <v>414</v>
      </c>
      <c r="E1572">
        <v>10</v>
      </c>
      <c r="F1572">
        <v>3.48</v>
      </c>
      <c r="G1572">
        <v>3768.0970000000002</v>
      </c>
      <c r="I1572">
        <v>3768.0970000000002</v>
      </c>
      <c r="J1572" t="s">
        <v>415</v>
      </c>
      <c r="K1572">
        <v>4.3</v>
      </c>
      <c r="L1572">
        <v>-57.2</v>
      </c>
      <c r="N1572">
        <v>32</v>
      </c>
      <c r="O1572">
        <v>32</v>
      </c>
      <c r="P1572" t="s">
        <v>542</v>
      </c>
      <c r="Q1572" t="s">
        <v>414</v>
      </c>
      <c r="R1572">
        <v>10</v>
      </c>
      <c r="S1572">
        <v>3.48</v>
      </c>
      <c r="T1572">
        <v>3942.8229999999999</v>
      </c>
      <c r="V1572">
        <v>3942.8229999999999</v>
      </c>
      <c r="W1572" t="s">
        <v>415</v>
      </c>
      <c r="X1572">
        <v>4.2</v>
      </c>
      <c r="Y1572">
        <v>-58.1</v>
      </c>
    </row>
    <row r="1573" spans="1:25" x14ac:dyDescent="0.45">
      <c r="A1573">
        <v>33</v>
      </c>
      <c r="B1573">
        <v>33</v>
      </c>
      <c r="C1573" t="s">
        <v>438</v>
      </c>
      <c r="D1573" t="s">
        <v>414</v>
      </c>
      <c r="E1573">
        <v>10</v>
      </c>
      <c r="F1573">
        <v>3.48</v>
      </c>
      <c r="G1573">
        <v>3900.3739999999998</v>
      </c>
      <c r="I1573">
        <v>3900.3739999999998</v>
      </c>
      <c r="J1573" t="s">
        <v>415</v>
      </c>
      <c r="K1573">
        <v>4.4000000000000004</v>
      </c>
      <c r="L1573">
        <v>-55.7</v>
      </c>
      <c r="N1573">
        <v>33</v>
      </c>
      <c r="O1573">
        <v>33</v>
      </c>
      <c r="P1573" t="s">
        <v>543</v>
      </c>
      <c r="Q1573" t="s">
        <v>414</v>
      </c>
      <c r="R1573">
        <v>10</v>
      </c>
      <c r="S1573">
        <v>3.48</v>
      </c>
      <c r="T1573">
        <v>4040.5540000000001</v>
      </c>
      <c r="V1573">
        <v>4040.5540000000001</v>
      </c>
      <c r="W1573" t="s">
        <v>415</v>
      </c>
      <c r="X1573">
        <v>4.3</v>
      </c>
      <c r="Y1573">
        <v>-57.1</v>
      </c>
    </row>
    <row r="1574" spans="1:25" x14ac:dyDescent="0.45">
      <c r="A1574">
        <v>34</v>
      </c>
      <c r="B1574">
        <v>34</v>
      </c>
      <c r="C1574" t="s">
        <v>439</v>
      </c>
      <c r="D1574" t="s">
        <v>414</v>
      </c>
      <c r="E1574">
        <v>10</v>
      </c>
      <c r="F1574">
        <v>3.48</v>
      </c>
      <c r="G1574">
        <v>5026.125</v>
      </c>
      <c r="I1574">
        <v>5026.125</v>
      </c>
      <c r="J1574" t="s">
        <v>415</v>
      </c>
      <c r="K1574">
        <v>5.7</v>
      </c>
      <c r="L1574">
        <v>-43</v>
      </c>
      <c r="N1574">
        <v>34</v>
      </c>
      <c r="O1574">
        <v>34</v>
      </c>
      <c r="P1574" t="s">
        <v>544</v>
      </c>
      <c r="Q1574" t="s">
        <v>414</v>
      </c>
      <c r="R1574">
        <v>10</v>
      </c>
      <c r="S1574">
        <v>3.47</v>
      </c>
      <c r="T1574">
        <v>4777.6329999999998</v>
      </c>
      <c r="V1574">
        <v>4777.6329999999998</v>
      </c>
      <c r="W1574" t="s">
        <v>401</v>
      </c>
      <c r="X1574">
        <v>5.0999999999999996</v>
      </c>
      <c r="Y1574">
        <v>-49.3</v>
      </c>
    </row>
    <row r="1575" spans="1:25" x14ac:dyDescent="0.45">
      <c r="A1575">
        <v>35</v>
      </c>
      <c r="B1575">
        <v>35</v>
      </c>
      <c r="C1575" t="s">
        <v>440</v>
      </c>
      <c r="D1575" t="s">
        <v>414</v>
      </c>
      <c r="E1575">
        <v>10</v>
      </c>
      <c r="F1575">
        <v>3.48</v>
      </c>
      <c r="G1575">
        <v>5474.3850000000002</v>
      </c>
      <c r="I1575">
        <v>5474.3850000000002</v>
      </c>
      <c r="J1575" t="s">
        <v>415</v>
      </c>
      <c r="K1575">
        <v>6.2</v>
      </c>
      <c r="L1575">
        <v>-37.9</v>
      </c>
      <c r="N1575">
        <v>35</v>
      </c>
      <c r="O1575">
        <v>35</v>
      </c>
      <c r="P1575" t="s">
        <v>545</v>
      </c>
      <c r="Q1575" t="s">
        <v>414</v>
      </c>
      <c r="R1575">
        <v>10</v>
      </c>
      <c r="S1575">
        <v>3.48</v>
      </c>
      <c r="T1575">
        <v>3847.5050000000001</v>
      </c>
      <c r="V1575">
        <v>3847.5050000000001</v>
      </c>
      <c r="W1575" t="s">
        <v>401</v>
      </c>
      <c r="X1575">
        <v>4.0999999999999996</v>
      </c>
      <c r="Y1575">
        <v>-59.2</v>
      </c>
    </row>
    <row r="1576" spans="1:25" x14ac:dyDescent="0.45">
      <c r="A1576">
        <v>36</v>
      </c>
      <c r="B1576">
        <v>36</v>
      </c>
      <c r="C1576" t="s">
        <v>441</v>
      </c>
      <c r="D1576" t="s">
        <v>414</v>
      </c>
      <c r="E1576">
        <v>10</v>
      </c>
      <c r="F1576">
        <v>3.48</v>
      </c>
      <c r="G1576">
        <v>5144.2939999999999</v>
      </c>
      <c r="I1576">
        <v>5144.2939999999999</v>
      </c>
      <c r="J1576" t="s">
        <v>415</v>
      </c>
      <c r="K1576">
        <v>5.8</v>
      </c>
      <c r="L1576">
        <v>-41.6</v>
      </c>
      <c r="N1576">
        <v>36</v>
      </c>
      <c r="O1576">
        <v>36</v>
      </c>
      <c r="P1576" t="s">
        <v>546</v>
      </c>
      <c r="Q1576" t="s">
        <v>414</v>
      </c>
      <c r="R1576">
        <v>10</v>
      </c>
      <c r="S1576">
        <v>3.48</v>
      </c>
      <c r="T1576">
        <v>6475.7070000000003</v>
      </c>
      <c r="V1576">
        <v>6475.7070000000003</v>
      </c>
      <c r="W1576" t="s">
        <v>401</v>
      </c>
      <c r="X1576">
        <v>6.9</v>
      </c>
      <c r="Y1576">
        <v>-31.3</v>
      </c>
    </row>
    <row r="1577" spans="1:25" x14ac:dyDescent="0.45">
      <c r="A1577">
        <v>37</v>
      </c>
      <c r="B1577">
        <v>37</v>
      </c>
      <c r="C1577" t="s">
        <v>442</v>
      </c>
      <c r="D1577" t="s">
        <v>414</v>
      </c>
      <c r="E1577">
        <v>10</v>
      </c>
      <c r="F1577">
        <v>3.48</v>
      </c>
      <c r="G1577">
        <v>4811.0640000000003</v>
      </c>
      <c r="I1577">
        <v>4811.0640000000003</v>
      </c>
      <c r="J1577" t="s">
        <v>415</v>
      </c>
      <c r="K1577">
        <v>5.5</v>
      </c>
      <c r="L1577">
        <v>-45.4</v>
      </c>
      <c r="N1577">
        <v>37</v>
      </c>
      <c r="O1577">
        <v>37</v>
      </c>
      <c r="P1577" t="s">
        <v>547</v>
      </c>
      <c r="Q1577" t="s">
        <v>414</v>
      </c>
      <c r="R1577">
        <v>10</v>
      </c>
      <c r="S1577">
        <v>3.47</v>
      </c>
      <c r="T1577">
        <v>3498.0659999999998</v>
      </c>
      <c r="V1577">
        <v>3498.0659999999998</v>
      </c>
      <c r="W1577" t="s">
        <v>401</v>
      </c>
      <c r="X1577">
        <v>3.7</v>
      </c>
      <c r="Y1577">
        <v>-62.9</v>
      </c>
    </row>
    <row r="1578" spans="1:25" x14ac:dyDescent="0.45">
      <c r="A1578">
        <v>38</v>
      </c>
      <c r="B1578">
        <v>38</v>
      </c>
      <c r="C1578" t="s">
        <v>443</v>
      </c>
      <c r="D1578" t="s">
        <v>414</v>
      </c>
      <c r="E1578">
        <v>10</v>
      </c>
      <c r="F1578">
        <v>3.48</v>
      </c>
      <c r="G1578">
        <v>3600.1410000000001</v>
      </c>
      <c r="I1578">
        <v>3600.1410000000001</v>
      </c>
      <c r="J1578" t="s">
        <v>415</v>
      </c>
      <c r="K1578">
        <v>4.0999999999999996</v>
      </c>
      <c r="L1578">
        <v>-59.1</v>
      </c>
      <c r="N1578">
        <v>38</v>
      </c>
      <c r="O1578">
        <v>38</v>
      </c>
      <c r="P1578" t="s">
        <v>548</v>
      </c>
      <c r="Q1578" t="s">
        <v>414</v>
      </c>
      <c r="R1578">
        <v>10</v>
      </c>
      <c r="S1578">
        <v>3.48</v>
      </c>
      <c r="T1578">
        <v>3811.5659999999998</v>
      </c>
      <c r="V1578">
        <v>3811.5659999999998</v>
      </c>
      <c r="W1578" t="s">
        <v>415</v>
      </c>
      <c r="X1578">
        <v>4</v>
      </c>
      <c r="Y1578">
        <v>-59.5</v>
      </c>
    </row>
    <row r="1579" spans="1:25" x14ac:dyDescent="0.45">
      <c r="A1579">
        <v>39</v>
      </c>
      <c r="B1579">
        <v>39</v>
      </c>
      <c r="C1579" t="s">
        <v>444</v>
      </c>
      <c r="D1579" t="s">
        <v>414</v>
      </c>
      <c r="E1579">
        <v>10</v>
      </c>
      <c r="F1579">
        <v>3.48</v>
      </c>
      <c r="G1579">
        <v>4838.0379999999996</v>
      </c>
      <c r="I1579">
        <v>4838.0379999999996</v>
      </c>
      <c r="J1579" t="s">
        <v>415</v>
      </c>
      <c r="K1579">
        <v>5.5</v>
      </c>
      <c r="L1579">
        <v>-45.1</v>
      </c>
      <c r="N1579">
        <v>39</v>
      </c>
      <c r="O1579">
        <v>39</v>
      </c>
      <c r="P1579" t="s">
        <v>549</v>
      </c>
      <c r="Q1579" t="s">
        <v>414</v>
      </c>
      <c r="R1579">
        <v>10</v>
      </c>
      <c r="S1579">
        <v>3.48</v>
      </c>
      <c r="T1579">
        <v>3671.01</v>
      </c>
      <c r="V1579">
        <v>3671.01</v>
      </c>
      <c r="W1579" t="s">
        <v>415</v>
      </c>
      <c r="X1579">
        <v>3.9</v>
      </c>
      <c r="Y1579">
        <v>-61</v>
      </c>
    </row>
    <row r="1580" spans="1:25" x14ac:dyDescent="0.45">
      <c r="A1580">
        <v>40</v>
      </c>
      <c r="B1580">
        <v>40</v>
      </c>
      <c r="C1580" t="s">
        <v>445</v>
      </c>
      <c r="D1580" t="s">
        <v>414</v>
      </c>
      <c r="E1580">
        <v>10</v>
      </c>
      <c r="F1580">
        <v>3.48</v>
      </c>
      <c r="G1580">
        <v>7479.0659999999998</v>
      </c>
      <c r="I1580">
        <v>7479.0659999999998</v>
      </c>
      <c r="J1580" t="s">
        <v>401</v>
      </c>
      <c r="K1580">
        <v>8.5</v>
      </c>
      <c r="L1580">
        <v>-15.1</v>
      </c>
      <c r="N1580">
        <v>40</v>
      </c>
      <c r="O1580">
        <v>40</v>
      </c>
      <c r="P1580" t="s">
        <v>550</v>
      </c>
      <c r="Q1580" t="s">
        <v>414</v>
      </c>
      <c r="R1580">
        <v>10</v>
      </c>
      <c r="S1580">
        <v>3.48</v>
      </c>
      <c r="T1580">
        <v>4791.009</v>
      </c>
      <c r="V1580">
        <v>4791.009</v>
      </c>
      <c r="W1580" t="s">
        <v>415</v>
      </c>
      <c r="X1580">
        <v>5.0999999999999996</v>
      </c>
      <c r="Y1580">
        <v>-49.1</v>
      </c>
    </row>
    <row r="1581" spans="1:25" x14ac:dyDescent="0.45">
      <c r="A1581">
        <v>41</v>
      </c>
      <c r="B1581">
        <v>41</v>
      </c>
      <c r="C1581" t="s">
        <v>446</v>
      </c>
      <c r="D1581" t="s">
        <v>414</v>
      </c>
      <c r="E1581">
        <v>10</v>
      </c>
      <c r="F1581">
        <v>3.48</v>
      </c>
      <c r="G1581">
        <v>5359.1779999999999</v>
      </c>
      <c r="I1581">
        <v>5359.1779999999999</v>
      </c>
      <c r="J1581" t="s">
        <v>415</v>
      </c>
      <c r="K1581">
        <v>6.1</v>
      </c>
      <c r="L1581">
        <v>-39.200000000000003</v>
      </c>
      <c r="N1581">
        <v>41</v>
      </c>
      <c r="O1581">
        <v>41</v>
      </c>
      <c r="P1581" t="s">
        <v>551</v>
      </c>
      <c r="Q1581" t="s">
        <v>414</v>
      </c>
      <c r="R1581">
        <v>10</v>
      </c>
      <c r="S1581">
        <v>3.48</v>
      </c>
      <c r="T1581">
        <v>5396.5559999999996</v>
      </c>
      <c r="V1581">
        <v>5396.5559999999996</v>
      </c>
      <c r="W1581" t="s">
        <v>415</v>
      </c>
      <c r="X1581">
        <v>5.7</v>
      </c>
      <c r="Y1581">
        <v>-42.7</v>
      </c>
    </row>
    <row r="1582" spans="1:25" x14ac:dyDescent="0.45">
      <c r="A1582">
        <v>42</v>
      </c>
      <c r="B1582">
        <v>42</v>
      </c>
      <c r="C1582" t="s">
        <v>447</v>
      </c>
      <c r="D1582" t="s">
        <v>414</v>
      </c>
      <c r="E1582">
        <v>10</v>
      </c>
      <c r="F1582">
        <v>3.48</v>
      </c>
      <c r="G1582">
        <v>5440.7259999999997</v>
      </c>
      <c r="I1582">
        <v>5440.7259999999997</v>
      </c>
      <c r="J1582" t="s">
        <v>415</v>
      </c>
      <c r="K1582">
        <v>6.2</v>
      </c>
      <c r="L1582">
        <v>-38.200000000000003</v>
      </c>
      <c r="N1582">
        <v>42</v>
      </c>
      <c r="O1582">
        <v>42</v>
      </c>
      <c r="P1582" t="s">
        <v>552</v>
      </c>
      <c r="Q1582" t="s">
        <v>414</v>
      </c>
      <c r="R1582">
        <v>10</v>
      </c>
      <c r="S1582">
        <v>3.48</v>
      </c>
      <c r="T1582">
        <v>3838.433</v>
      </c>
      <c r="V1582">
        <v>3838.433</v>
      </c>
      <c r="W1582" t="s">
        <v>401</v>
      </c>
      <c r="X1582">
        <v>4.0999999999999996</v>
      </c>
      <c r="Y1582">
        <v>-59.3</v>
      </c>
    </row>
    <row r="1583" spans="1:25" x14ac:dyDescent="0.45">
      <c r="A1583">
        <v>43</v>
      </c>
      <c r="B1583">
        <v>43</v>
      </c>
      <c r="C1583" t="s">
        <v>448</v>
      </c>
      <c r="D1583" t="s">
        <v>414</v>
      </c>
      <c r="E1583">
        <v>10</v>
      </c>
      <c r="F1583">
        <v>3.48</v>
      </c>
      <c r="G1583">
        <v>4394.1030000000001</v>
      </c>
      <c r="I1583">
        <v>4394.1030000000001</v>
      </c>
      <c r="J1583" t="s">
        <v>415</v>
      </c>
      <c r="K1583">
        <v>5</v>
      </c>
      <c r="L1583">
        <v>-50.1</v>
      </c>
      <c r="N1583">
        <v>43</v>
      </c>
      <c r="O1583">
        <v>43</v>
      </c>
      <c r="P1583" t="s">
        <v>553</v>
      </c>
      <c r="Q1583" t="s">
        <v>414</v>
      </c>
      <c r="R1583">
        <v>10</v>
      </c>
      <c r="S1583">
        <v>3.48</v>
      </c>
      <c r="T1583">
        <v>3887.3319999999999</v>
      </c>
      <c r="V1583">
        <v>3887.3319999999999</v>
      </c>
      <c r="W1583" t="s">
        <v>415</v>
      </c>
      <c r="X1583">
        <v>4.0999999999999996</v>
      </c>
      <c r="Y1583">
        <v>-58.7</v>
      </c>
    </row>
    <row r="1584" spans="1:25" x14ac:dyDescent="0.45">
      <c r="A1584">
        <v>44</v>
      </c>
      <c r="B1584">
        <v>44</v>
      </c>
      <c r="C1584" t="s">
        <v>449</v>
      </c>
      <c r="D1584" t="s">
        <v>414</v>
      </c>
      <c r="E1584">
        <v>10</v>
      </c>
      <c r="F1584">
        <v>3.48</v>
      </c>
      <c r="G1584">
        <v>5570.04</v>
      </c>
      <c r="I1584">
        <v>5570.04</v>
      </c>
      <c r="J1584" t="s">
        <v>415</v>
      </c>
      <c r="K1584">
        <v>6.3</v>
      </c>
      <c r="L1584">
        <v>-36.799999999999997</v>
      </c>
      <c r="N1584">
        <v>44</v>
      </c>
      <c r="O1584">
        <v>44</v>
      </c>
      <c r="P1584" t="s">
        <v>554</v>
      </c>
      <c r="Q1584" t="s">
        <v>414</v>
      </c>
      <c r="R1584">
        <v>10</v>
      </c>
      <c r="S1584">
        <v>3.48</v>
      </c>
      <c r="T1584">
        <v>4129.6180000000004</v>
      </c>
      <c r="V1584">
        <v>4129.6180000000004</v>
      </c>
      <c r="W1584" t="s">
        <v>415</v>
      </c>
      <c r="X1584">
        <v>4.4000000000000004</v>
      </c>
      <c r="Y1584">
        <v>-56.2</v>
      </c>
    </row>
    <row r="1585" spans="1:25" x14ac:dyDescent="0.45">
      <c r="A1585">
        <v>45</v>
      </c>
      <c r="B1585">
        <v>45</v>
      </c>
      <c r="C1585" t="s">
        <v>450</v>
      </c>
      <c r="D1585" t="s">
        <v>414</v>
      </c>
      <c r="E1585">
        <v>10</v>
      </c>
      <c r="F1585">
        <v>3.48</v>
      </c>
      <c r="G1585">
        <v>4240.3829999999998</v>
      </c>
      <c r="I1585">
        <v>4240.3829999999998</v>
      </c>
      <c r="J1585" t="s">
        <v>415</v>
      </c>
      <c r="K1585">
        <v>4.8</v>
      </c>
      <c r="L1585">
        <v>-51.9</v>
      </c>
      <c r="N1585">
        <v>45</v>
      </c>
      <c r="O1585">
        <v>45</v>
      </c>
      <c r="P1585" t="s">
        <v>555</v>
      </c>
      <c r="Q1585" t="s">
        <v>414</v>
      </c>
      <c r="R1585">
        <v>10</v>
      </c>
      <c r="S1585">
        <v>3.47</v>
      </c>
      <c r="T1585">
        <v>4450.9250000000002</v>
      </c>
      <c r="V1585">
        <v>4450.9250000000002</v>
      </c>
      <c r="W1585" t="s">
        <v>415</v>
      </c>
      <c r="X1585">
        <v>4.7</v>
      </c>
      <c r="Y1585">
        <v>-52.8</v>
      </c>
    </row>
    <row r="1586" spans="1:25" x14ac:dyDescent="0.45">
      <c r="A1586">
        <v>46</v>
      </c>
      <c r="B1586">
        <v>46</v>
      </c>
      <c r="C1586" t="s">
        <v>451</v>
      </c>
      <c r="D1586" t="s">
        <v>414</v>
      </c>
      <c r="E1586">
        <v>10</v>
      </c>
      <c r="F1586">
        <v>3.48</v>
      </c>
      <c r="G1586">
        <v>4851.6400000000003</v>
      </c>
      <c r="I1586">
        <v>4851.6400000000003</v>
      </c>
      <c r="J1586" t="s">
        <v>415</v>
      </c>
      <c r="K1586">
        <v>5.5</v>
      </c>
      <c r="L1586">
        <v>-44.9</v>
      </c>
      <c r="N1586">
        <v>46</v>
      </c>
      <c r="O1586">
        <v>46</v>
      </c>
      <c r="P1586" t="s">
        <v>556</v>
      </c>
      <c r="Q1586" t="s">
        <v>414</v>
      </c>
      <c r="R1586">
        <v>10</v>
      </c>
      <c r="S1586">
        <v>3.47</v>
      </c>
      <c r="T1586">
        <v>3103.7809999999999</v>
      </c>
      <c r="V1586">
        <v>3103.7809999999999</v>
      </c>
      <c r="W1586" t="s">
        <v>415</v>
      </c>
      <c r="X1586">
        <v>3.3</v>
      </c>
      <c r="Y1586">
        <v>-67.099999999999994</v>
      </c>
    </row>
    <row r="1587" spans="1:25" x14ac:dyDescent="0.45">
      <c r="A1587">
        <v>47</v>
      </c>
      <c r="B1587">
        <v>47</v>
      </c>
      <c r="C1587" t="s">
        <v>452</v>
      </c>
      <c r="D1587" t="s">
        <v>414</v>
      </c>
      <c r="E1587">
        <v>10</v>
      </c>
      <c r="F1587">
        <v>3.48</v>
      </c>
      <c r="G1587">
        <v>2830.5940000000001</v>
      </c>
      <c r="I1587">
        <v>2830.5940000000001</v>
      </c>
      <c r="J1587" t="s">
        <v>415</v>
      </c>
      <c r="K1587">
        <v>3.2</v>
      </c>
      <c r="L1587">
        <v>-67.900000000000006</v>
      </c>
      <c r="N1587">
        <v>47</v>
      </c>
      <c r="O1587">
        <v>47</v>
      </c>
      <c r="P1587" t="s">
        <v>557</v>
      </c>
      <c r="Q1587" t="s">
        <v>414</v>
      </c>
      <c r="R1587">
        <v>10</v>
      </c>
      <c r="S1587">
        <v>3.47</v>
      </c>
      <c r="T1587">
        <v>2665.95</v>
      </c>
      <c r="V1587">
        <v>2665.95</v>
      </c>
      <c r="W1587" t="s">
        <v>415</v>
      </c>
      <c r="X1587">
        <v>2.8</v>
      </c>
      <c r="Y1587">
        <v>-71.7</v>
      </c>
    </row>
    <row r="1588" spans="1:25" x14ac:dyDescent="0.45">
      <c r="A1588">
        <v>48</v>
      </c>
      <c r="B1588">
        <v>48</v>
      </c>
      <c r="C1588" t="s">
        <v>453</v>
      </c>
      <c r="D1588" t="s">
        <v>414</v>
      </c>
      <c r="E1588">
        <v>10</v>
      </c>
      <c r="F1588">
        <v>3.47</v>
      </c>
      <c r="G1588">
        <v>3094.933</v>
      </c>
      <c r="I1588">
        <v>3094.933</v>
      </c>
      <c r="J1588" t="s">
        <v>401</v>
      </c>
      <c r="K1588">
        <v>3.5</v>
      </c>
      <c r="L1588">
        <v>-64.900000000000006</v>
      </c>
      <c r="N1588">
        <v>48</v>
      </c>
      <c r="O1588">
        <v>48</v>
      </c>
      <c r="P1588" t="s">
        <v>558</v>
      </c>
      <c r="Q1588" t="s">
        <v>414</v>
      </c>
      <c r="R1588">
        <v>10</v>
      </c>
      <c r="S1588">
        <v>3.48</v>
      </c>
      <c r="T1588">
        <v>2898.8530000000001</v>
      </c>
      <c r="V1588">
        <v>2898.8530000000001</v>
      </c>
      <c r="W1588" t="s">
        <v>415</v>
      </c>
      <c r="X1588">
        <v>3.1</v>
      </c>
      <c r="Y1588">
        <v>-69.2</v>
      </c>
    </row>
    <row r="1589" spans="1:25" x14ac:dyDescent="0.45">
      <c r="A1589">
        <v>49</v>
      </c>
      <c r="B1589">
        <v>49</v>
      </c>
      <c r="C1589" t="s">
        <v>454</v>
      </c>
      <c r="D1589" t="s">
        <v>414</v>
      </c>
      <c r="E1589">
        <v>10</v>
      </c>
      <c r="F1589">
        <v>3.48</v>
      </c>
      <c r="G1589">
        <v>3153.2190000000001</v>
      </c>
      <c r="I1589">
        <v>3153.2190000000001</v>
      </c>
      <c r="J1589" t="s">
        <v>415</v>
      </c>
      <c r="K1589">
        <v>3.6</v>
      </c>
      <c r="L1589">
        <v>-64.2</v>
      </c>
      <c r="N1589">
        <v>49</v>
      </c>
      <c r="O1589">
        <v>49</v>
      </c>
      <c r="P1589" t="s">
        <v>559</v>
      </c>
      <c r="Q1589" t="s">
        <v>414</v>
      </c>
      <c r="R1589">
        <v>10</v>
      </c>
      <c r="S1589">
        <v>3.47</v>
      </c>
      <c r="T1589">
        <v>3288.8220000000001</v>
      </c>
      <c r="V1589">
        <v>3288.8220000000001</v>
      </c>
      <c r="W1589" t="s">
        <v>415</v>
      </c>
      <c r="X1589">
        <v>3.5</v>
      </c>
      <c r="Y1589">
        <v>-65.099999999999994</v>
      </c>
    </row>
    <row r="1590" spans="1:25" x14ac:dyDescent="0.45">
      <c r="A1590">
        <v>50</v>
      </c>
      <c r="B1590">
        <v>50</v>
      </c>
      <c r="C1590" t="s">
        <v>455</v>
      </c>
      <c r="D1590" t="s">
        <v>414</v>
      </c>
      <c r="E1590">
        <v>10</v>
      </c>
      <c r="F1590">
        <v>3.48</v>
      </c>
      <c r="G1590">
        <v>4140.152</v>
      </c>
      <c r="I1590">
        <v>4140.152</v>
      </c>
      <c r="J1590" t="s">
        <v>415</v>
      </c>
      <c r="K1590">
        <v>4.7</v>
      </c>
      <c r="L1590">
        <v>-53</v>
      </c>
      <c r="N1590">
        <v>50</v>
      </c>
      <c r="O1590">
        <v>50</v>
      </c>
      <c r="P1590" t="s">
        <v>560</v>
      </c>
      <c r="Q1590" t="s">
        <v>414</v>
      </c>
      <c r="R1590">
        <v>10</v>
      </c>
      <c r="S1590">
        <v>3.48</v>
      </c>
      <c r="T1590">
        <v>3578.1669999999999</v>
      </c>
      <c r="V1590">
        <v>3578.1669999999999</v>
      </c>
      <c r="W1590" t="s">
        <v>412</v>
      </c>
      <c r="X1590">
        <v>3.8</v>
      </c>
      <c r="Y1590">
        <v>-62</v>
      </c>
    </row>
    <row r="1591" spans="1:25" x14ac:dyDescent="0.45">
      <c r="A1591">
        <v>51</v>
      </c>
      <c r="B1591">
        <v>51</v>
      </c>
      <c r="C1591" t="s">
        <v>456</v>
      </c>
      <c r="D1591" t="s">
        <v>414</v>
      </c>
      <c r="E1591">
        <v>10</v>
      </c>
      <c r="F1591">
        <v>3.47</v>
      </c>
      <c r="G1591">
        <v>3404.8919999999998</v>
      </c>
      <c r="I1591">
        <v>3404.8919999999998</v>
      </c>
      <c r="J1591" t="s">
        <v>415</v>
      </c>
      <c r="K1591">
        <v>3.9</v>
      </c>
      <c r="L1591">
        <v>-61.4</v>
      </c>
      <c r="N1591">
        <v>51</v>
      </c>
      <c r="O1591">
        <v>51</v>
      </c>
      <c r="P1591" t="s">
        <v>561</v>
      </c>
      <c r="Q1591" t="s">
        <v>414</v>
      </c>
      <c r="R1591">
        <v>10</v>
      </c>
      <c r="S1591">
        <v>3.48</v>
      </c>
      <c r="T1591">
        <v>2663.038</v>
      </c>
      <c r="V1591">
        <v>2663.038</v>
      </c>
      <c r="W1591" t="s">
        <v>401</v>
      </c>
      <c r="X1591">
        <v>2.8</v>
      </c>
      <c r="Y1591">
        <v>-71.7</v>
      </c>
    </row>
    <row r="1592" spans="1:25" x14ac:dyDescent="0.45">
      <c r="A1592">
        <v>52</v>
      </c>
      <c r="B1592">
        <v>52</v>
      </c>
      <c r="C1592" t="s">
        <v>457</v>
      </c>
      <c r="D1592" t="s">
        <v>414</v>
      </c>
      <c r="E1592">
        <v>10</v>
      </c>
      <c r="F1592">
        <v>3.48</v>
      </c>
      <c r="G1592">
        <v>3207.0390000000002</v>
      </c>
      <c r="I1592">
        <v>3207.0390000000002</v>
      </c>
      <c r="J1592" t="s">
        <v>401</v>
      </c>
      <c r="K1592">
        <v>3.6</v>
      </c>
      <c r="L1592">
        <v>-63.6</v>
      </c>
      <c r="N1592">
        <v>52</v>
      </c>
      <c r="O1592">
        <v>52</v>
      </c>
      <c r="P1592" t="s">
        <v>562</v>
      </c>
      <c r="Q1592" t="s">
        <v>414</v>
      </c>
      <c r="R1592">
        <v>10</v>
      </c>
      <c r="S1592">
        <v>3.48</v>
      </c>
      <c r="T1592">
        <v>3069.777</v>
      </c>
      <c r="V1592">
        <v>3069.777</v>
      </c>
      <c r="W1592" t="s">
        <v>415</v>
      </c>
      <c r="X1592">
        <v>3.3</v>
      </c>
      <c r="Y1592">
        <v>-67.400000000000006</v>
      </c>
    </row>
    <row r="1593" spans="1:25" x14ac:dyDescent="0.45">
      <c r="A1593">
        <v>53</v>
      </c>
      <c r="B1593">
        <v>53</v>
      </c>
      <c r="C1593" t="s">
        <v>458</v>
      </c>
      <c r="D1593" t="s">
        <v>414</v>
      </c>
      <c r="E1593">
        <v>10</v>
      </c>
      <c r="F1593">
        <v>3.48</v>
      </c>
      <c r="G1593">
        <v>3346.752</v>
      </c>
      <c r="I1593">
        <v>3346.752</v>
      </c>
      <c r="J1593" t="s">
        <v>415</v>
      </c>
      <c r="K1593">
        <v>3.8</v>
      </c>
      <c r="L1593">
        <v>-62</v>
      </c>
      <c r="N1593">
        <v>53</v>
      </c>
      <c r="O1593">
        <v>53</v>
      </c>
      <c r="P1593" t="s">
        <v>563</v>
      </c>
      <c r="Q1593" t="s">
        <v>414</v>
      </c>
      <c r="R1593">
        <v>10</v>
      </c>
      <c r="S1593">
        <v>3.47</v>
      </c>
      <c r="T1593">
        <v>4614.3059999999996</v>
      </c>
      <c r="V1593">
        <v>4614.3059999999996</v>
      </c>
      <c r="W1593" t="s">
        <v>415</v>
      </c>
      <c r="X1593">
        <v>4.9000000000000004</v>
      </c>
      <c r="Y1593">
        <v>-51</v>
      </c>
    </row>
    <row r="1594" spans="1:25" x14ac:dyDescent="0.45">
      <c r="A1594">
        <v>54</v>
      </c>
      <c r="B1594">
        <v>54</v>
      </c>
      <c r="C1594" t="s">
        <v>459</v>
      </c>
      <c r="D1594" t="s">
        <v>414</v>
      </c>
      <c r="E1594">
        <v>10</v>
      </c>
      <c r="F1594">
        <v>3.47</v>
      </c>
      <c r="G1594">
        <v>4205.6239999999998</v>
      </c>
      <c r="I1594">
        <v>4205.6239999999998</v>
      </c>
      <c r="J1594" t="s">
        <v>415</v>
      </c>
      <c r="K1594">
        <v>4.8</v>
      </c>
      <c r="L1594">
        <v>-52.3</v>
      </c>
      <c r="N1594">
        <v>54</v>
      </c>
      <c r="O1594">
        <v>54</v>
      </c>
      <c r="P1594" t="s">
        <v>564</v>
      </c>
      <c r="Q1594" t="s">
        <v>414</v>
      </c>
      <c r="R1594">
        <v>10</v>
      </c>
      <c r="S1594">
        <v>3.47</v>
      </c>
      <c r="T1594">
        <v>3671.6689999999999</v>
      </c>
      <c r="V1594">
        <v>3671.6689999999999</v>
      </c>
      <c r="W1594" t="s">
        <v>415</v>
      </c>
      <c r="X1594">
        <v>3.9</v>
      </c>
      <c r="Y1594">
        <v>-61</v>
      </c>
    </row>
    <row r="1595" spans="1:25" x14ac:dyDescent="0.45">
      <c r="A1595">
        <v>55</v>
      </c>
      <c r="B1595">
        <v>55</v>
      </c>
      <c r="C1595" t="s">
        <v>460</v>
      </c>
      <c r="D1595" t="s">
        <v>414</v>
      </c>
      <c r="E1595">
        <v>10</v>
      </c>
      <c r="F1595">
        <v>3.48</v>
      </c>
      <c r="G1595">
        <v>2880.2510000000002</v>
      </c>
      <c r="I1595">
        <v>2880.2510000000002</v>
      </c>
      <c r="J1595" t="s">
        <v>415</v>
      </c>
      <c r="K1595">
        <v>3.3</v>
      </c>
      <c r="L1595">
        <v>-67.3</v>
      </c>
      <c r="N1595">
        <v>55</v>
      </c>
      <c r="O1595">
        <v>55</v>
      </c>
      <c r="P1595" t="s">
        <v>565</v>
      </c>
      <c r="Q1595" t="s">
        <v>414</v>
      </c>
      <c r="R1595">
        <v>10</v>
      </c>
      <c r="S1595">
        <v>3.47</v>
      </c>
      <c r="T1595">
        <v>3633.3789999999999</v>
      </c>
      <c r="V1595">
        <v>3633.3789999999999</v>
      </c>
      <c r="W1595" t="s">
        <v>415</v>
      </c>
      <c r="X1595">
        <v>3.9</v>
      </c>
      <c r="Y1595">
        <v>-61.4</v>
      </c>
    </row>
    <row r="1596" spans="1:25" x14ac:dyDescent="0.45">
      <c r="A1596">
        <v>56</v>
      </c>
      <c r="B1596">
        <v>56</v>
      </c>
      <c r="C1596" t="s">
        <v>461</v>
      </c>
      <c r="D1596" t="s">
        <v>414</v>
      </c>
      <c r="E1596">
        <v>10</v>
      </c>
      <c r="F1596">
        <v>3.48</v>
      </c>
      <c r="G1596">
        <v>2606.5320000000002</v>
      </c>
      <c r="I1596">
        <v>2606.5320000000002</v>
      </c>
      <c r="J1596" t="s">
        <v>401</v>
      </c>
      <c r="K1596">
        <v>3</v>
      </c>
      <c r="L1596">
        <v>-70.400000000000006</v>
      </c>
      <c r="N1596">
        <v>56</v>
      </c>
      <c r="O1596">
        <v>56</v>
      </c>
      <c r="P1596" t="s">
        <v>566</v>
      </c>
      <c r="Q1596" t="s">
        <v>414</v>
      </c>
      <c r="R1596">
        <v>10</v>
      </c>
      <c r="S1596">
        <v>3.48</v>
      </c>
      <c r="T1596">
        <v>3425.1959999999999</v>
      </c>
      <c r="V1596">
        <v>3425.1959999999999</v>
      </c>
      <c r="W1596" t="s">
        <v>415</v>
      </c>
      <c r="X1596">
        <v>3.6</v>
      </c>
      <c r="Y1596">
        <v>-63.6</v>
      </c>
    </row>
    <row r="1597" spans="1:25" x14ac:dyDescent="0.45">
      <c r="A1597">
        <v>57</v>
      </c>
      <c r="B1597">
        <v>57</v>
      </c>
      <c r="C1597" t="s">
        <v>462</v>
      </c>
      <c r="D1597" t="s">
        <v>414</v>
      </c>
      <c r="E1597">
        <v>10</v>
      </c>
      <c r="F1597">
        <v>3.48</v>
      </c>
      <c r="G1597">
        <v>3034.569</v>
      </c>
      <c r="I1597">
        <v>3034.569</v>
      </c>
      <c r="J1597" t="s">
        <v>412</v>
      </c>
      <c r="K1597">
        <v>3.4</v>
      </c>
      <c r="L1597">
        <v>-65.599999999999994</v>
      </c>
      <c r="N1597">
        <v>57</v>
      </c>
      <c r="O1597">
        <v>57</v>
      </c>
      <c r="P1597" t="s">
        <v>567</v>
      </c>
      <c r="Q1597" t="s">
        <v>414</v>
      </c>
      <c r="R1597">
        <v>10</v>
      </c>
      <c r="S1597">
        <v>3.48</v>
      </c>
      <c r="T1597">
        <v>3342.5830000000001</v>
      </c>
      <c r="V1597">
        <v>3342.5830000000001</v>
      </c>
      <c r="W1597" t="s">
        <v>415</v>
      </c>
      <c r="X1597">
        <v>3.5</v>
      </c>
      <c r="Y1597">
        <v>-64.5</v>
      </c>
    </row>
    <row r="1598" spans="1:25" x14ac:dyDescent="0.45">
      <c r="A1598">
        <v>58</v>
      </c>
      <c r="B1598">
        <v>58</v>
      </c>
      <c r="C1598" t="s">
        <v>463</v>
      </c>
      <c r="D1598" t="s">
        <v>414</v>
      </c>
      <c r="E1598">
        <v>10</v>
      </c>
      <c r="F1598">
        <v>3.48</v>
      </c>
      <c r="G1598">
        <v>3418.105</v>
      </c>
      <c r="I1598">
        <v>3418.105</v>
      </c>
      <c r="J1598" t="s">
        <v>415</v>
      </c>
      <c r="K1598">
        <v>3.9</v>
      </c>
      <c r="L1598">
        <v>-61.2</v>
      </c>
      <c r="N1598">
        <v>58</v>
      </c>
      <c r="O1598">
        <v>58</v>
      </c>
      <c r="P1598" t="s">
        <v>568</v>
      </c>
      <c r="Q1598" t="s">
        <v>414</v>
      </c>
      <c r="R1598">
        <v>10</v>
      </c>
      <c r="S1598">
        <v>3.48</v>
      </c>
      <c r="T1598">
        <v>6053.3959999999997</v>
      </c>
      <c r="V1598">
        <v>6053.3959999999997</v>
      </c>
      <c r="W1598" t="s">
        <v>415</v>
      </c>
      <c r="X1598">
        <v>6.4</v>
      </c>
      <c r="Y1598">
        <v>-35.700000000000003</v>
      </c>
    </row>
    <row r="1599" spans="1:25" x14ac:dyDescent="0.45">
      <c r="A1599">
        <v>59</v>
      </c>
      <c r="B1599">
        <v>59</v>
      </c>
      <c r="C1599" t="s">
        <v>464</v>
      </c>
      <c r="D1599" t="s">
        <v>414</v>
      </c>
      <c r="E1599">
        <v>10</v>
      </c>
      <c r="F1599">
        <v>3.48</v>
      </c>
      <c r="G1599">
        <v>3157.0010000000002</v>
      </c>
      <c r="I1599">
        <v>3157.0010000000002</v>
      </c>
      <c r="J1599" t="s">
        <v>415</v>
      </c>
      <c r="K1599">
        <v>3.6</v>
      </c>
      <c r="L1599">
        <v>-64.2</v>
      </c>
      <c r="N1599">
        <v>59</v>
      </c>
      <c r="O1599">
        <v>59</v>
      </c>
      <c r="P1599" t="s">
        <v>569</v>
      </c>
      <c r="Q1599" t="s">
        <v>414</v>
      </c>
      <c r="R1599">
        <v>10</v>
      </c>
      <c r="S1599">
        <v>3.48</v>
      </c>
      <c r="T1599">
        <v>3292.8319999999999</v>
      </c>
      <c r="V1599">
        <v>3292.8319999999999</v>
      </c>
      <c r="W1599" t="s">
        <v>415</v>
      </c>
      <c r="X1599">
        <v>3.5</v>
      </c>
      <c r="Y1599">
        <v>-65</v>
      </c>
    </row>
    <row r="1600" spans="1:25" x14ac:dyDescent="0.45">
      <c r="A1600">
        <v>60</v>
      </c>
      <c r="B1600">
        <v>60</v>
      </c>
      <c r="C1600" t="s">
        <v>465</v>
      </c>
      <c r="D1600" t="s">
        <v>414</v>
      </c>
      <c r="E1600">
        <v>10</v>
      </c>
      <c r="F1600">
        <v>3.48</v>
      </c>
      <c r="G1600">
        <v>3648.982</v>
      </c>
      <c r="I1600">
        <v>3648.982</v>
      </c>
      <c r="J1600" t="s">
        <v>415</v>
      </c>
      <c r="K1600">
        <v>4.0999999999999996</v>
      </c>
      <c r="L1600">
        <v>-58.6</v>
      </c>
      <c r="N1600">
        <v>60</v>
      </c>
      <c r="O1600">
        <v>60</v>
      </c>
      <c r="P1600" t="s">
        <v>570</v>
      </c>
      <c r="Q1600" t="s">
        <v>414</v>
      </c>
      <c r="R1600">
        <v>10</v>
      </c>
      <c r="S1600">
        <v>3.48</v>
      </c>
      <c r="T1600">
        <v>7297.643</v>
      </c>
      <c r="V1600">
        <v>7297.643</v>
      </c>
      <c r="W1600" t="s">
        <v>415</v>
      </c>
      <c r="X1600">
        <v>7.7</v>
      </c>
      <c r="Y1600">
        <v>-22.5</v>
      </c>
    </row>
    <row r="1601" spans="1:25" x14ac:dyDescent="0.45">
      <c r="A1601">
        <v>61</v>
      </c>
      <c r="B1601">
        <v>61</v>
      </c>
      <c r="C1601" t="s">
        <v>466</v>
      </c>
      <c r="D1601" t="s">
        <v>414</v>
      </c>
      <c r="E1601">
        <v>10</v>
      </c>
      <c r="F1601">
        <v>3.48</v>
      </c>
      <c r="G1601">
        <v>3717.181</v>
      </c>
      <c r="I1601">
        <v>3717.181</v>
      </c>
      <c r="J1601" t="s">
        <v>415</v>
      </c>
      <c r="K1601">
        <v>4.2</v>
      </c>
      <c r="L1601">
        <v>-57.8</v>
      </c>
      <c r="N1601">
        <v>61</v>
      </c>
      <c r="O1601">
        <v>61</v>
      </c>
      <c r="P1601" t="s">
        <v>571</v>
      </c>
      <c r="Q1601" t="s">
        <v>414</v>
      </c>
      <c r="R1601">
        <v>10</v>
      </c>
      <c r="S1601">
        <v>3.48</v>
      </c>
      <c r="T1601">
        <v>3676.6930000000002</v>
      </c>
      <c r="V1601">
        <v>3676.6930000000002</v>
      </c>
      <c r="W1601" t="s">
        <v>415</v>
      </c>
      <c r="X1601">
        <v>3.9</v>
      </c>
      <c r="Y1601">
        <v>-61</v>
      </c>
    </row>
    <row r="1602" spans="1:25" x14ac:dyDescent="0.45">
      <c r="A1602">
        <v>62</v>
      </c>
      <c r="B1602">
        <v>62</v>
      </c>
      <c r="C1602" t="s">
        <v>467</v>
      </c>
      <c r="D1602" t="s">
        <v>414</v>
      </c>
      <c r="E1602">
        <v>10</v>
      </c>
      <c r="F1602">
        <v>3.48</v>
      </c>
      <c r="G1602">
        <v>4849.9989999999998</v>
      </c>
      <c r="I1602">
        <v>4849.9989999999998</v>
      </c>
      <c r="J1602" t="s">
        <v>401</v>
      </c>
      <c r="K1602">
        <v>5.5</v>
      </c>
      <c r="L1602">
        <v>-45</v>
      </c>
      <c r="N1602">
        <v>62</v>
      </c>
      <c r="O1602">
        <v>62</v>
      </c>
      <c r="P1602" t="s">
        <v>572</v>
      </c>
      <c r="Q1602" t="s">
        <v>414</v>
      </c>
      <c r="R1602">
        <v>10</v>
      </c>
      <c r="S1602">
        <v>3.48</v>
      </c>
      <c r="T1602">
        <v>3376.6750000000002</v>
      </c>
      <c r="V1602">
        <v>3376.6750000000002</v>
      </c>
      <c r="W1602" t="s">
        <v>401</v>
      </c>
      <c r="X1602">
        <v>3.6</v>
      </c>
      <c r="Y1602">
        <v>-64.2</v>
      </c>
    </row>
    <row r="1603" spans="1:25" x14ac:dyDescent="0.45">
      <c r="A1603">
        <v>63</v>
      </c>
      <c r="B1603">
        <v>63</v>
      </c>
      <c r="C1603" t="s">
        <v>468</v>
      </c>
      <c r="D1603" t="s">
        <v>414</v>
      </c>
      <c r="E1603">
        <v>10</v>
      </c>
      <c r="F1603">
        <v>3.48</v>
      </c>
      <c r="G1603">
        <v>4358.83</v>
      </c>
      <c r="I1603">
        <v>4358.83</v>
      </c>
      <c r="J1603" t="s">
        <v>415</v>
      </c>
      <c r="K1603">
        <v>4.9000000000000004</v>
      </c>
      <c r="L1603">
        <v>-50.5</v>
      </c>
      <c r="N1603">
        <v>63</v>
      </c>
      <c r="O1603">
        <v>63</v>
      </c>
      <c r="P1603" t="s">
        <v>573</v>
      </c>
      <c r="Q1603" t="s">
        <v>414</v>
      </c>
      <c r="R1603">
        <v>10</v>
      </c>
      <c r="S1603">
        <v>3.48</v>
      </c>
      <c r="T1603">
        <v>4911.5609999999997</v>
      </c>
      <c r="V1603">
        <v>4911.5609999999997</v>
      </c>
      <c r="W1603" t="s">
        <v>412</v>
      </c>
      <c r="X1603">
        <v>5.2</v>
      </c>
      <c r="Y1603">
        <v>-47.9</v>
      </c>
    </row>
    <row r="1604" spans="1:25" x14ac:dyDescent="0.45">
      <c r="A1604">
        <v>64</v>
      </c>
      <c r="B1604">
        <v>64</v>
      </c>
      <c r="C1604" t="s">
        <v>469</v>
      </c>
      <c r="D1604" t="s">
        <v>414</v>
      </c>
      <c r="E1604">
        <v>10</v>
      </c>
      <c r="F1604">
        <v>3.48</v>
      </c>
      <c r="G1604">
        <v>4618.2139999999999</v>
      </c>
      <c r="I1604">
        <v>4618.2139999999999</v>
      </c>
      <c r="J1604" t="s">
        <v>415</v>
      </c>
      <c r="K1604">
        <v>5.2</v>
      </c>
      <c r="L1604">
        <v>-47.6</v>
      </c>
      <c r="N1604">
        <v>64</v>
      </c>
      <c r="O1604">
        <v>64</v>
      </c>
      <c r="P1604" t="s">
        <v>574</v>
      </c>
      <c r="Q1604" t="s">
        <v>414</v>
      </c>
      <c r="R1604">
        <v>10</v>
      </c>
      <c r="S1604">
        <v>3.47</v>
      </c>
      <c r="T1604">
        <v>4098.4830000000002</v>
      </c>
      <c r="V1604">
        <v>4098.4830000000002</v>
      </c>
      <c r="W1604" t="s">
        <v>415</v>
      </c>
      <c r="X1604">
        <v>4.4000000000000004</v>
      </c>
      <c r="Y1604">
        <v>-56.5</v>
      </c>
    </row>
    <row r="1605" spans="1:25" x14ac:dyDescent="0.45">
      <c r="A1605">
        <v>65</v>
      </c>
      <c r="B1605">
        <v>65</v>
      </c>
      <c r="C1605" t="s">
        <v>470</v>
      </c>
      <c r="D1605" t="s">
        <v>414</v>
      </c>
      <c r="E1605">
        <v>10</v>
      </c>
      <c r="F1605">
        <v>3.48</v>
      </c>
      <c r="G1605">
        <v>4168.6090000000004</v>
      </c>
      <c r="I1605">
        <v>4168.6090000000004</v>
      </c>
      <c r="J1605" t="s">
        <v>415</v>
      </c>
      <c r="K1605">
        <v>4.7</v>
      </c>
      <c r="L1605">
        <v>-52.7</v>
      </c>
      <c r="N1605">
        <v>65</v>
      </c>
      <c r="O1605">
        <v>65</v>
      </c>
      <c r="P1605" t="s">
        <v>575</v>
      </c>
      <c r="Q1605" t="s">
        <v>414</v>
      </c>
      <c r="R1605">
        <v>10</v>
      </c>
      <c r="S1605">
        <v>3.48</v>
      </c>
      <c r="T1605">
        <v>3717.973</v>
      </c>
      <c r="V1605">
        <v>3717.973</v>
      </c>
      <c r="W1605" t="s">
        <v>415</v>
      </c>
      <c r="X1605">
        <v>3.9</v>
      </c>
      <c r="Y1605">
        <v>-60.5</v>
      </c>
    </row>
    <row r="1606" spans="1:25" x14ac:dyDescent="0.45">
      <c r="A1606">
        <v>66</v>
      </c>
      <c r="B1606">
        <v>66</v>
      </c>
      <c r="C1606" t="s">
        <v>471</v>
      </c>
      <c r="D1606" t="s">
        <v>414</v>
      </c>
      <c r="E1606">
        <v>10</v>
      </c>
      <c r="F1606">
        <v>3.48</v>
      </c>
      <c r="G1606">
        <v>4368.7929999999997</v>
      </c>
      <c r="I1606">
        <v>4368.7929999999997</v>
      </c>
      <c r="J1606" t="s">
        <v>401</v>
      </c>
      <c r="K1606">
        <v>5</v>
      </c>
      <c r="L1606">
        <v>-50.4</v>
      </c>
      <c r="N1606">
        <v>66</v>
      </c>
      <c r="O1606">
        <v>66</v>
      </c>
      <c r="P1606" t="s">
        <v>576</v>
      </c>
      <c r="Q1606" t="s">
        <v>414</v>
      </c>
      <c r="R1606">
        <v>10</v>
      </c>
      <c r="S1606">
        <v>3.48</v>
      </c>
      <c r="T1606">
        <v>4128.2669999999998</v>
      </c>
      <c r="V1606">
        <v>4128.2669999999998</v>
      </c>
      <c r="W1606" t="s">
        <v>415</v>
      </c>
      <c r="X1606">
        <v>4.4000000000000004</v>
      </c>
      <c r="Y1606">
        <v>-56.2</v>
      </c>
    </row>
    <row r="1607" spans="1:25" x14ac:dyDescent="0.45">
      <c r="A1607">
        <v>67</v>
      </c>
      <c r="B1607">
        <v>67</v>
      </c>
      <c r="C1607" t="s">
        <v>472</v>
      </c>
      <c r="D1607" t="s">
        <v>414</v>
      </c>
      <c r="E1607">
        <v>10</v>
      </c>
      <c r="F1607">
        <v>3.48</v>
      </c>
      <c r="G1607">
        <v>2649.1329999999998</v>
      </c>
      <c r="I1607">
        <v>2649.1329999999998</v>
      </c>
      <c r="J1607" t="s">
        <v>415</v>
      </c>
      <c r="K1607">
        <v>3</v>
      </c>
      <c r="L1607">
        <v>-69.900000000000006</v>
      </c>
      <c r="N1607">
        <v>67</v>
      </c>
      <c r="O1607">
        <v>67</v>
      </c>
      <c r="P1607" t="s">
        <v>577</v>
      </c>
      <c r="Q1607" t="s">
        <v>414</v>
      </c>
      <c r="R1607">
        <v>10</v>
      </c>
      <c r="S1607">
        <v>3.48</v>
      </c>
      <c r="T1607">
        <v>2473.2939999999999</v>
      </c>
      <c r="V1607">
        <v>2473.2939999999999</v>
      </c>
      <c r="W1607" t="s">
        <v>415</v>
      </c>
      <c r="X1607">
        <v>2.6</v>
      </c>
      <c r="Y1607">
        <v>-73.7</v>
      </c>
    </row>
    <row r="1608" spans="1:25" x14ac:dyDescent="0.45">
      <c r="A1608">
        <v>68</v>
      </c>
      <c r="B1608">
        <v>68</v>
      </c>
      <c r="C1608" t="s">
        <v>473</v>
      </c>
      <c r="D1608" t="s">
        <v>414</v>
      </c>
      <c r="E1608">
        <v>10</v>
      </c>
      <c r="F1608">
        <v>3.49</v>
      </c>
      <c r="G1608">
        <v>3339.098</v>
      </c>
      <c r="I1608">
        <v>3339.098</v>
      </c>
      <c r="J1608" t="s">
        <v>415</v>
      </c>
      <c r="K1608">
        <v>3.8</v>
      </c>
      <c r="L1608">
        <v>-62.1</v>
      </c>
      <c r="N1608">
        <v>68</v>
      </c>
      <c r="O1608">
        <v>68</v>
      </c>
      <c r="P1608" t="s">
        <v>578</v>
      </c>
      <c r="Q1608" t="s">
        <v>414</v>
      </c>
      <c r="R1608">
        <v>10</v>
      </c>
      <c r="S1608">
        <v>3.48</v>
      </c>
      <c r="T1608">
        <v>3359.46</v>
      </c>
      <c r="V1608">
        <v>3359.46</v>
      </c>
      <c r="W1608" t="s">
        <v>415</v>
      </c>
      <c r="X1608">
        <v>3.6</v>
      </c>
      <c r="Y1608">
        <v>-64.3</v>
      </c>
    </row>
    <row r="1609" spans="1:25" x14ac:dyDescent="0.45">
      <c r="A1609">
        <v>69</v>
      </c>
      <c r="B1609">
        <v>69</v>
      </c>
      <c r="C1609" t="s">
        <v>474</v>
      </c>
      <c r="D1609" t="s">
        <v>414</v>
      </c>
      <c r="E1609">
        <v>10</v>
      </c>
      <c r="F1609">
        <v>3.48</v>
      </c>
      <c r="G1609">
        <v>4493.0860000000002</v>
      </c>
      <c r="I1609">
        <v>4493.0860000000002</v>
      </c>
      <c r="J1609" t="s">
        <v>401</v>
      </c>
      <c r="K1609">
        <v>5.0999999999999996</v>
      </c>
      <c r="L1609">
        <v>-49</v>
      </c>
      <c r="N1609">
        <v>69</v>
      </c>
      <c r="O1609">
        <v>69</v>
      </c>
      <c r="P1609" t="s">
        <v>579</v>
      </c>
      <c r="Q1609" t="s">
        <v>414</v>
      </c>
      <c r="R1609">
        <v>10</v>
      </c>
      <c r="S1609">
        <v>3.48</v>
      </c>
      <c r="T1609">
        <v>3221.71</v>
      </c>
      <c r="V1609">
        <v>3221.71</v>
      </c>
      <c r="W1609" t="s">
        <v>415</v>
      </c>
      <c r="X1609">
        <v>3.4</v>
      </c>
      <c r="Y1609">
        <v>-65.8</v>
      </c>
    </row>
    <row r="1611" spans="1:25" x14ac:dyDescent="0.45">
      <c r="A1611" t="s">
        <v>508</v>
      </c>
      <c r="N1611" t="s">
        <v>508</v>
      </c>
    </row>
    <row r="1613" spans="1:25" x14ac:dyDescent="0.45">
      <c r="B1613" t="s">
        <v>389</v>
      </c>
      <c r="C1613" t="s">
        <v>123</v>
      </c>
      <c r="D1613" t="s">
        <v>390</v>
      </c>
      <c r="E1613" t="s">
        <v>391</v>
      </c>
      <c r="F1613" t="s">
        <v>392</v>
      </c>
      <c r="G1613" t="s">
        <v>393</v>
      </c>
      <c r="H1613" t="s">
        <v>394</v>
      </c>
      <c r="I1613" t="s">
        <v>395</v>
      </c>
      <c r="J1613" t="s">
        <v>396</v>
      </c>
      <c r="K1613" t="s">
        <v>397</v>
      </c>
      <c r="L1613" t="s">
        <v>398</v>
      </c>
      <c r="O1613" t="s">
        <v>389</v>
      </c>
      <c r="P1613" t="s">
        <v>123</v>
      </c>
      <c r="Q1613" t="s">
        <v>390</v>
      </c>
      <c r="R1613" t="s">
        <v>391</v>
      </c>
      <c r="S1613" t="s">
        <v>392</v>
      </c>
      <c r="T1613" t="s">
        <v>393</v>
      </c>
      <c r="U1613" t="s">
        <v>394</v>
      </c>
      <c r="V1613" t="s">
        <v>395</v>
      </c>
      <c r="W1613" t="s">
        <v>396</v>
      </c>
      <c r="X1613" t="s">
        <v>397</v>
      </c>
      <c r="Y1613" t="s">
        <v>398</v>
      </c>
    </row>
    <row r="1614" spans="1:25" x14ac:dyDescent="0.45">
      <c r="A1614">
        <v>1</v>
      </c>
      <c r="B1614">
        <v>1</v>
      </c>
      <c r="C1614" t="s">
        <v>399</v>
      </c>
      <c r="D1614" t="s">
        <v>400</v>
      </c>
      <c r="E1614">
        <v>10</v>
      </c>
      <c r="F1614">
        <v>3.24</v>
      </c>
      <c r="G1614">
        <v>425.452</v>
      </c>
      <c r="I1614">
        <v>425.452</v>
      </c>
      <c r="J1614" t="s">
        <v>415</v>
      </c>
      <c r="K1614">
        <v>7.4</v>
      </c>
      <c r="L1614">
        <v>-26.2</v>
      </c>
      <c r="N1614">
        <v>1</v>
      </c>
      <c r="O1614">
        <v>1</v>
      </c>
      <c r="P1614" t="s">
        <v>511</v>
      </c>
      <c r="Q1614" t="s">
        <v>400</v>
      </c>
      <c r="R1614">
        <v>10</v>
      </c>
      <c r="S1614">
        <v>3.23</v>
      </c>
      <c r="T1614">
        <v>492.20699999999999</v>
      </c>
      <c r="V1614">
        <v>492.20699999999999</v>
      </c>
      <c r="W1614" t="s">
        <v>415</v>
      </c>
      <c r="X1614">
        <v>6.7</v>
      </c>
      <c r="Y1614">
        <v>-32.6</v>
      </c>
    </row>
    <row r="1615" spans="1:25" x14ac:dyDescent="0.45">
      <c r="A1615">
        <v>2</v>
      </c>
      <c r="B1615">
        <v>2</v>
      </c>
      <c r="C1615" t="s">
        <v>402</v>
      </c>
      <c r="D1615" t="s">
        <v>400</v>
      </c>
      <c r="E1615">
        <v>10</v>
      </c>
      <c r="F1615">
        <v>3.24</v>
      </c>
      <c r="G1615">
        <v>557.93299999999999</v>
      </c>
      <c r="I1615">
        <v>557.93299999999999</v>
      </c>
      <c r="J1615" t="s">
        <v>415</v>
      </c>
      <c r="K1615">
        <v>9.6999999999999993</v>
      </c>
      <c r="L1615">
        <v>-3.2</v>
      </c>
      <c r="N1615">
        <v>2</v>
      </c>
      <c r="O1615">
        <v>2</v>
      </c>
      <c r="P1615" t="s">
        <v>512</v>
      </c>
      <c r="Q1615" t="s">
        <v>400</v>
      </c>
      <c r="R1615">
        <v>10</v>
      </c>
      <c r="S1615">
        <v>3.23</v>
      </c>
      <c r="T1615">
        <v>697.90300000000002</v>
      </c>
      <c r="V1615">
        <v>697.90300000000002</v>
      </c>
      <c r="W1615" t="s">
        <v>415</v>
      </c>
      <c r="X1615">
        <v>9.6</v>
      </c>
      <c r="Y1615">
        <v>-4.4000000000000004</v>
      </c>
    </row>
    <row r="1616" spans="1:25" x14ac:dyDescent="0.45">
      <c r="A1616">
        <v>3</v>
      </c>
      <c r="B1616">
        <v>3</v>
      </c>
      <c r="C1616" t="s">
        <v>404</v>
      </c>
      <c r="D1616" t="s">
        <v>400</v>
      </c>
      <c r="E1616">
        <v>10</v>
      </c>
      <c r="F1616">
        <v>3.24</v>
      </c>
      <c r="G1616">
        <v>499.94400000000002</v>
      </c>
      <c r="I1616">
        <v>499.94400000000002</v>
      </c>
      <c r="J1616" t="s">
        <v>415</v>
      </c>
      <c r="K1616">
        <v>8.6999999999999993</v>
      </c>
      <c r="L1616">
        <v>-13.2</v>
      </c>
      <c r="N1616">
        <v>3</v>
      </c>
      <c r="O1616">
        <v>3</v>
      </c>
      <c r="P1616" t="s">
        <v>513</v>
      </c>
      <c r="Q1616" t="s">
        <v>400</v>
      </c>
      <c r="R1616">
        <v>10</v>
      </c>
      <c r="S1616">
        <v>3.22</v>
      </c>
      <c r="T1616">
        <v>836.52599999999995</v>
      </c>
      <c r="V1616">
        <v>836.52599999999995</v>
      </c>
      <c r="W1616" t="s">
        <v>415</v>
      </c>
      <c r="X1616">
        <v>11.5</v>
      </c>
      <c r="Y1616">
        <v>14.6</v>
      </c>
    </row>
    <row r="1617" spans="1:25" x14ac:dyDescent="0.45">
      <c r="A1617">
        <v>4</v>
      </c>
      <c r="B1617">
        <v>4</v>
      </c>
      <c r="C1617" t="s">
        <v>405</v>
      </c>
      <c r="D1617" t="s">
        <v>400</v>
      </c>
      <c r="E1617">
        <v>10</v>
      </c>
      <c r="F1617">
        <v>3.24</v>
      </c>
      <c r="G1617">
        <v>626.25</v>
      </c>
      <c r="I1617">
        <v>626.25</v>
      </c>
      <c r="J1617" t="s">
        <v>415</v>
      </c>
      <c r="K1617">
        <v>10.9</v>
      </c>
      <c r="L1617">
        <v>8.6999999999999993</v>
      </c>
      <c r="N1617">
        <v>4</v>
      </c>
      <c r="O1617">
        <v>4</v>
      </c>
      <c r="P1617" t="s">
        <v>514</v>
      </c>
      <c r="Q1617" t="s">
        <v>400</v>
      </c>
      <c r="R1617">
        <v>10</v>
      </c>
      <c r="S1617">
        <v>3.23</v>
      </c>
      <c r="T1617">
        <v>797.18600000000004</v>
      </c>
      <c r="V1617">
        <v>797.18600000000004</v>
      </c>
      <c r="W1617" t="s">
        <v>415</v>
      </c>
      <c r="X1617">
        <v>10.9</v>
      </c>
      <c r="Y1617">
        <v>9.1999999999999993</v>
      </c>
    </row>
    <row r="1618" spans="1:25" x14ac:dyDescent="0.45">
      <c r="A1618">
        <v>5</v>
      </c>
      <c r="B1618">
        <v>5</v>
      </c>
      <c r="C1618" t="s">
        <v>406</v>
      </c>
      <c r="D1618" t="s">
        <v>400</v>
      </c>
      <c r="E1618">
        <v>10</v>
      </c>
      <c r="F1618">
        <v>3.24</v>
      </c>
      <c r="G1618">
        <v>753.40099999999995</v>
      </c>
      <c r="I1618">
        <v>753.40099999999995</v>
      </c>
      <c r="J1618" t="s">
        <v>415</v>
      </c>
      <c r="K1618">
        <v>13.1</v>
      </c>
      <c r="L1618">
        <v>30.7</v>
      </c>
      <c r="N1618">
        <v>5</v>
      </c>
      <c r="O1618">
        <v>5</v>
      </c>
      <c r="P1618" t="s">
        <v>515</v>
      </c>
      <c r="Q1618" t="s">
        <v>400</v>
      </c>
      <c r="R1618">
        <v>10</v>
      </c>
      <c r="S1618">
        <v>3.22</v>
      </c>
      <c r="T1618">
        <v>692.947</v>
      </c>
      <c r="V1618">
        <v>692.947</v>
      </c>
      <c r="W1618" t="s">
        <v>415</v>
      </c>
      <c r="X1618">
        <v>9.5</v>
      </c>
      <c r="Y1618">
        <v>-5</v>
      </c>
    </row>
    <row r="1619" spans="1:25" x14ac:dyDescent="0.45">
      <c r="A1619">
        <v>6</v>
      </c>
      <c r="B1619">
        <v>6</v>
      </c>
      <c r="C1619" t="s">
        <v>407</v>
      </c>
      <c r="D1619" t="s">
        <v>400</v>
      </c>
      <c r="E1619">
        <v>10</v>
      </c>
      <c r="F1619">
        <v>3.24</v>
      </c>
      <c r="G1619">
        <v>604.82799999999997</v>
      </c>
      <c r="I1619">
        <v>604.82799999999997</v>
      </c>
      <c r="J1619" t="s">
        <v>415</v>
      </c>
      <c r="K1619">
        <v>10.5</v>
      </c>
      <c r="L1619">
        <v>5</v>
      </c>
      <c r="N1619">
        <v>6</v>
      </c>
      <c r="O1619">
        <v>6</v>
      </c>
      <c r="P1619" t="s">
        <v>516</v>
      </c>
      <c r="Q1619" t="s">
        <v>400</v>
      </c>
      <c r="R1619">
        <v>10</v>
      </c>
      <c r="S1619">
        <v>3.23</v>
      </c>
      <c r="T1619">
        <v>825.58399999999995</v>
      </c>
      <c r="V1619">
        <v>825.58399999999995</v>
      </c>
      <c r="W1619" t="s">
        <v>415</v>
      </c>
      <c r="X1619">
        <v>11.3</v>
      </c>
      <c r="Y1619">
        <v>13.1</v>
      </c>
    </row>
    <row r="1620" spans="1:25" x14ac:dyDescent="0.45">
      <c r="A1620">
        <v>7</v>
      </c>
      <c r="B1620">
        <v>7</v>
      </c>
      <c r="C1620" t="s">
        <v>408</v>
      </c>
      <c r="D1620" t="s">
        <v>400</v>
      </c>
      <c r="E1620">
        <v>10</v>
      </c>
      <c r="F1620">
        <v>3.23</v>
      </c>
      <c r="G1620">
        <v>566.21900000000005</v>
      </c>
      <c r="I1620">
        <v>566.21900000000005</v>
      </c>
      <c r="J1620" t="s">
        <v>415</v>
      </c>
      <c r="K1620">
        <v>9.8000000000000007</v>
      </c>
      <c r="L1620">
        <v>-1.7</v>
      </c>
      <c r="N1620">
        <v>7</v>
      </c>
      <c r="O1620">
        <v>7</v>
      </c>
      <c r="P1620" t="s">
        <v>517</v>
      </c>
      <c r="Q1620" t="s">
        <v>400</v>
      </c>
      <c r="R1620">
        <v>10</v>
      </c>
      <c r="S1620">
        <v>3.23</v>
      </c>
      <c r="T1620">
        <v>766.04600000000005</v>
      </c>
      <c r="V1620">
        <v>766.04600000000005</v>
      </c>
      <c r="W1620" t="s">
        <v>415</v>
      </c>
      <c r="X1620">
        <v>10.5</v>
      </c>
      <c r="Y1620">
        <v>5</v>
      </c>
    </row>
    <row r="1621" spans="1:25" x14ac:dyDescent="0.45">
      <c r="A1621">
        <v>8</v>
      </c>
      <c r="B1621">
        <v>8</v>
      </c>
      <c r="C1621" t="s">
        <v>409</v>
      </c>
      <c r="D1621" t="s">
        <v>410</v>
      </c>
      <c r="E1621">
        <v>10</v>
      </c>
      <c r="F1621">
        <v>3.48</v>
      </c>
      <c r="G1621">
        <v>79.378</v>
      </c>
      <c r="I1621">
        <v>79.378</v>
      </c>
      <c r="J1621" t="s">
        <v>415</v>
      </c>
      <c r="K1621">
        <v>1.4</v>
      </c>
      <c r="L1621">
        <v>-86.2</v>
      </c>
      <c r="N1621">
        <v>8</v>
      </c>
      <c r="O1621">
        <v>8</v>
      </c>
      <c r="P1621" t="s">
        <v>518</v>
      </c>
      <c r="Q1621" t="s">
        <v>410</v>
      </c>
      <c r="R1621">
        <v>10</v>
      </c>
    </row>
    <row r="1622" spans="1:25" x14ac:dyDescent="0.45">
      <c r="A1622">
        <v>9</v>
      </c>
      <c r="B1622">
        <v>9</v>
      </c>
      <c r="C1622" t="s">
        <v>411</v>
      </c>
      <c r="D1622" t="s">
        <v>410</v>
      </c>
      <c r="E1622">
        <v>10</v>
      </c>
      <c r="F1622">
        <v>3.48</v>
      </c>
      <c r="G1622">
        <v>94.721999999999994</v>
      </c>
      <c r="I1622">
        <v>94.721999999999994</v>
      </c>
      <c r="J1622" t="s">
        <v>415</v>
      </c>
      <c r="K1622">
        <v>1.6</v>
      </c>
      <c r="L1622">
        <v>-83.6</v>
      </c>
      <c r="N1622">
        <v>9</v>
      </c>
      <c r="O1622">
        <v>9</v>
      </c>
      <c r="P1622" t="s">
        <v>519</v>
      </c>
      <c r="Q1622" t="s">
        <v>410</v>
      </c>
      <c r="R1622">
        <v>10</v>
      </c>
    </row>
    <row r="1623" spans="1:25" x14ac:dyDescent="0.45">
      <c r="A1623">
        <v>10</v>
      </c>
      <c r="B1623">
        <v>10</v>
      </c>
      <c r="C1623" t="s">
        <v>413</v>
      </c>
      <c r="D1623" t="s">
        <v>414</v>
      </c>
      <c r="E1623">
        <v>10</v>
      </c>
      <c r="F1623">
        <v>3.24</v>
      </c>
      <c r="G1623">
        <v>400.42899999999997</v>
      </c>
      <c r="I1623">
        <v>400.42899999999997</v>
      </c>
      <c r="J1623" t="s">
        <v>415</v>
      </c>
      <c r="K1623">
        <v>6.9</v>
      </c>
      <c r="L1623">
        <v>-30.5</v>
      </c>
      <c r="N1623">
        <v>10</v>
      </c>
      <c r="O1623">
        <v>10</v>
      </c>
      <c r="P1623" t="s">
        <v>520</v>
      </c>
      <c r="Q1623" t="s">
        <v>414</v>
      </c>
      <c r="R1623">
        <v>10</v>
      </c>
      <c r="S1623">
        <v>3.23</v>
      </c>
      <c r="T1623">
        <v>759.46799999999996</v>
      </c>
      <c r="V1623">
        <v>759.46799999999996</v>
      </c>
      <c r="W1623" t="s">
        <v>415</v>
      </c>
      <c r="X1623">
        <v>10.4</v>
      </c>
      <c r="Y1623">
        <v>4.0999999999999996</v>
      </c>
    </row>
    <row r="1624" spans="1:25" x14ac:dyDescent="0.45">
      <c r="A1624">
        <v>11</v>
      </c>
      <c r="B1624">
        <v>11</v>
      </c>
      <c r="C1624" t="s">
        <v>416</v>
      </c>
      <c r="D1624" t="s">
        <v>414</v>
      </c>
      <c r="E1624">
        <v>10</v>
      </c>
      <c r="F1624">
        <v>3.23</v>
      </c>
      <c r="G1624">
        <v>484.30900000000003</v>
      </c>
      <c r="I1624">
        <v>484.30900000000003</v>
      </c>
      <c r="J1624" t="s">
        <v>415</v>
      </c>
      <c r="K1624">
        <v>8.4</v>
      </c>
      <c r="L1624">
        <v>-16</v>
      </c>
      <c r="N1624">
        <v>11</v>
      </c>
      <c r="O1624">
        <v>11</v>
      </c>
      <c r="P1624" t="s">
        <v>521</v>
      </c>
      <c r="Q1624" t="s">
        <v>414</v>
      </c>
      <c r="R1624">
        <v>10</v>
      </c>
      <c r="S1624">
        <v>3.22</v>
      </c>
      <c r="T1624">
        <v>275.79000000000002</v>
      </c>
      <c r="V1624">
        <v>275.79000000000002</v>
      </c>
      <c r="W1624" t="s">
        <v>415</v>
      </c>
      <c r="X1624">
        <v>3.8</v>
      </c>
      <c r="Y1624">
        <v>-62.2</v>
      </c>
    </row>
    <row r="1625" spans="1:25" x14ac:dyDescent="0.45">
      <c r="A1625">
        <v>12</v>
      </c>
      <c r="B1625">
        <v>12</v>
      </c>
      <c r="C1625" t="s">
        <v>417</v>
      </c>
      <c r="D1625" t="s">
        <v>414</v>
      </c>
      <c r="E1625">
        <v>10</v>
      </c>
      <c r="F1625">
        <v>3.23</v>
      </c>
      <c r="G1625">
        <v>386.84800000000001</v>
      </c>
      <c r="I1625">
        <v>386.84800000000001</v>
      </c>
      <c r="J1625" t="s">
        <v>415</v>
      </c>
      <c r="K1625">
        <v>6.7</v>
      </c>
      <c r="L1625">
        <v>-32.9</v>
      </c>
      <c r="N1625">
        <v>12</v>
      </c>
      <c r="O1625">
        <v>12</v>
      </c>
      <c r="P1625" t="s">
        <v>522</v>
      </c>
      <c r="Q1625" t="s">
        <v>414</v>
      </c>
      <c r="R1625">
        <v>10</v>
      </c>
      <c r="S1625">
        <v>3.22</v>
      </c>
      <c r="T1625">
        <v>216.25</v>
      </c>
      <c r="V1625">
        <v>216.25</v>
      </c>
      <c r="W1625" t="s">
        <v>415</v>
      </c>
      <c r="X1625">
        <v>3</v>
      </c>
      <c r="Y1625">
        <v>-70.400000000000006</v>
      </c>
    </row>
    <row r="1626" spans="1:25" x14ac:dyDescent="0.45">
      <c r="A1626">
        <v>13</v>
      </c>
      <c r="B1626">
        <v>13</v>
      </c>
      <c r="C1626" t="s">
        <v>418</v>
      </c>
      <c r="D1626" t="s">
        <v>414</v>
      </c>
      <c r="E1626">
        <v>10</v>
      </c>
      <c r="F1626">
        <v>3.24</v>
      </c>
      <c r="G1626">
        <v>276.35599999999999</v>
      </c>
      <c r="I1626">
        <v>276.35599999999999</v>
      </c>
      <c r="J1626" t="s">
        <v>415</v>
      </c>
      <c r="K1626">
        <v>4.8</v>
      </c>
      <c r="L1626">
        <v>-52</v>
      </c>
      <c r="N1626">
        <v>13</v>
      </c>
      <c r="O1626">
        <v>13</v>
      </c>
      <c r="P1626" t="s">
        <v>523</v>
      </c>
      <c r="Q1626" t="s">
        <v>414</v>
      </c>
      <c r="R1626">
        <v>10</v>
      </c>
      <c r="S1626">
        <v>3.22</v>
      </c>
      <c r="T1626">
        <v>447.02699999999999</v>
      </c>
      <c r="V1626">
        <v>447.02699999999999</v>
      </c>
      <c r="W1626" t="s">
        <v>415</v>
      </c>
      <c r="X1626">
        <v>6.1</v>
      </c>
      <c r="Y1626">
        <v>-38.700000000000003</v>
      </c>
    </row>
    <row r="1627" spans="1:25" x14ac:dyDescent="0.45">
      <c r="A1627">
        <v>14</v>
      </c>
      <c r="B1627">
        <v>14</v>
      </c>
      <c r="C1627" t="s">
        <v>419</v>
      </c>
      <c r="D1627" t="s">
        <v>414</v>
      </c>
      <c r="E1627">
        <v>10</v>
      </c>
      <c r="F1627">
        <v>3.23</v>
      </c>
      <c r="G1627">
        <v>383.303</v>
      </c>
      <c r="I1627">
        <v>383.303</v>
      </c>
      <c r="J1627" t="s">
        <v>415</v>
      </c>
      <c r="K1627">
        <v>6.7</v>
      </c>
      <c r="L1627">
        <v>-33.5</v>
      </c>
      <c r="N1627">
        <v>14</v>
      </c>
      <c r="O1627">
        <v>14</v>
      </c>
      <c r="P1627" t="s">
        <v>524</v>
      </c>
      <c r="Q1627" t="s">
        <v>414</v>
      </c>
      <c r="R1627">
        <v>10</v>
      </c>
      <c r="S1627">
        <v>3.23</v>
      </c>
      <c r="T1627">
        <v>256.33699999999999</v>
      </c>
      <c r="V1627">
        <v>256.33699999999999</v>
      </c>
      <c r="W1627" t="s">
        <v>415</v>
      </c>
      <c r="X1627">
        <v>3.5</v>
      </c>
      <c r="Y1627">
        <v>-64.900000000000006</v>
      </c>
    </row>
    <row r="1628" spans="1:25" x14ac:dyDescent="0.45">
      <c r="A1628">
        <v>15</v>
      </c>
      <c r="B1628">
        <v>15</v>
      </c>
      <c r="C1628" t="s">
        <v>420</v>
      </c>
      <c r="D1628" t="s">
        <v>414</v>
      </c>
      <c r="E1628">
        <v>10</v>
      </c>
      <c r="F1628">
        <v>3.24</v>
      </c>
      <c r="G1628">
        <v>534.64200000000005</v>
      </c>
      <c r="I1628">
        <v>534.64200000000005</v>
      </c>
      <c r="J1628" t="s">
        <v>415</v>
      </c>
      <c r="K1628">
        <v>9.3000000000000007</v>
      </c>
      <c r="L1628">
        <v>-7.2</v>
      </c>
      <c r="N1628">
        <v>15</v>
      </c>
      <c r="O1628">
        <v>15</v>
      </c>
      <c r="P1628" t="s">
        <v>525</v>
      </c>
      <c r="Q1628" t="s">
        <v>414</v>
      </c>
      <c r="R1628">
        <v>10</v>
      </c>
      <c r="S1628">
        <v>3.22</v>
      </c>
      <c r="T1628">
        <v>272.14600000000002</v>
      </c>
      <c r="V1628">
        <v>272.14600000000002</v>
      </c>
      <c r="W1628" t="s">
        <v>415</v>
      </c>
      <c r="X1628">
        <v>3.7</v>
      </c>
      <c r="Y1628">
        <v>-62.7</v>
      </c>
    </row>
    <row r="1629" spans="1:25" x14ac:dyDescent="0.45">
      <c r="A1629">
        <v>16</v>
      </c>
      <c r="B1629">
        <v>16</v>
      </c>
      <c r="C1629" t="s">
        <v>421</v>
      </c>
      <c r="D1629" t="s">
        <v>414</v>
      </c>
      <c r="E1629">
        <v>10</v>
      </c>
      <c r="F1629">
        <v>3.23</v>
      </c>
      <c r="G1629">
        <v>445.63600000000002</v>
      </c>
      <c r="I1629">
        <v>445.63600000000002</v>
      </c>
      <c r="J1629" t="s">
        <v>415</v>
      </c>
      <c r="K1629">
        <v>7.7</v>
      </c>
      <c r="L1629">
        <v>-22.7</v>
      </c>
      <c r="N1629">
        <v>16</v>
      </c>
      <c r="O1629">
        <v>16</v>
      </c>
      <c r="P1629" t="s">
        <v>526</v>
      </c>
      <c r="Q1629" t="s">
        <v>414</v>
      </c>
      <c r="R1629">
        <v>10</v>
      </c>
      <c r="S1629">
        <v>3.22</v>
      </c>
      <c r="T1629">
        <v>416.43</v>
      </c>
      <c r="V1629">
        <v>416.43</v>
      </c>
      <c r="W1629" t="s">
        <v>415</v>
      </c>
      <c r="X1629">
        <v>5.7</v>
      </c>
      <c r="Y1629">
        <v>-42.9</v>
      </c>
    </row>
    <row r="1630" spans="1:25" x14ac:dyDescent="0.45">
      <c r="A1630">
        <v>17</v>
      </c>
      <c r="B1630">
        <v>17</v>
      </c>
      <c r="C1630" t="s">
        <v>422</v>
      </c>
      <c r="D1630" t="s">
        <v>414</v>
      </c>
      <c r="E1630">
        <v>10</v>
      </c>
      <c r="F1630">
        <v>3.24</v>
      </c>
      <c r="G1630">
        <v>315.65899999999999</v>
      </c>
      <c r="I1630">
        <v>315.65899999999999</v>
      </c>
      <c r="J1630" t="s">
        <v>415</v>
      </c>
      <c r="K1630">
        <v>5.5</v>
      </c>
      <c r="L1630">
        <v>-45.2</v>
      </c>
      <c r="N1630">
        <v>17</v>
      </c>
      <c r="O1630">
        <v>17</v>
      </c>
      <c r="P1630" t="s">
        <v>527</v>
      </c>
      <c r="Q1630" t="s">
        <v>414</v>
      </c>
      <c r="R1630">
        <v>10</v>
      </c>
      <c r="S1630">
        <v>3.23</v>
      </c>
      <c r="T1630">
        <v>250.98099999999999</v>
      </c>
      <c r="V1630">
        <v>250.98099999999999</v>
      </c>
      <c r="W1630" t="s">
        <v>415</v>
      </c>
      <c r="X1630">
        <v>3.4</v>
      </c>
      <c r="Y1630">
        <v>-65.599999999999994</v>
      </c>
    </row>
    <row r="1631" spans="1:25" x14ac:dyDescent="0.45">
      <c r="A1631">
        <v>18</v>
      </c>
      <c r="B1631">
        <v>18</v>
      </c>
      <c r="C1631" t="s">
        <v>423</v>
      </c>
      <c r="D1631" t="s">
        <v>414</v>
      </c>
      <c r="E1631">
        <v>10</v>
      </c>
      <c r="F1631">
        <v>3.23</v>
      </c>
      <c r="G1631">
        <v>433.738</v>
      </c>
      <c r="I1631">
        <v>433.738</v>
      </c>
      <c r="J1631" t="s">
        <v>415</v>
      </c>
      <c r="K1631">
        <v>7.5</v>
      </c>
      <c r="L1631">
        <v>-24.7</v>
      </c>
      <c r="N1631">
        <v>18</v>
      </c>
      <c r="O1631">
        <v>18</v>
      </c>
      <c r="P1631" t="s">
        <v>528</v>
      </c>
      <c r="Q1631" t="s">
        <v>414</v>
      </c>
      <c r="R1631">
        <v>10</v>
      </c>
      <c r="S1631">
        <v>3.22</v>
      </c>
      <c r="T1631">
        <v>427.642</v>
      </c>
      <c r="V1631">
        <v>427.642</v>
      </c>
      <c r="W1631" t="s">
        <v>415</v>
      </c>
      <c r="X1631">
        <v>5.9</v>
      </c>
      <c r="Y1631">
        <v>-41.4</v>
      </c>
    </row>
    <row r="1632" spans="1:25" x14ac:dyDescent="0.45">
      <c r="A1632">
        <v>19</v>
      </c>
      <c r="B1632">
        <v>19</v>
      </c>
      <c r="C1632" t="s">
        <v>424</v>
      </c>
      <c r="D1632" t="s">
        <v>414</v>
      </c>
      <c r="E1632">
        <v>10</v>
      </c>
      <c r="F1632">
        <v>3.23</v>
      </c>
      <c r="G1632">
        <v>474.37099999999998</v>
      </c>
      <c r="I1632">
        <v>474.37099999999998</v>
      </c>
      <c r="J1632" t="s">
        <v>415</v>
      </c>
      <c r="K1632">
        <v>8.1999999999999993</v>
      </c>
      <c r="L1632">
        <v>-17.7</v>
      </c>
      <c r="N1632">
        <v>19</v>
      </c>
      <c r="O1632">
        <v>19</v>
      </c>
      <c r="P1632" t="s">
        <v>529</v>
      </c>
      <c r="Q1632" t="s">
        <v>414</v>
      </c>
      <c r="R1632">
        <v>10</v>
      </c>
      <c r="S1632">
        <v>3.23</v>
      </c>
      <c r="T1632">
        <v>646.45399999999995</v>
      </c>
      <c r="V1632">
        <v>646.45399999999995</v>
      </c>
      <c r="W1632" t="s">
        <v>415</v>
      </c>
      <c r="X1632">
        <v>8.9</v>
      </c>
      <c r="Y1632">
        <v>-11.4</v>
      </c>
    </row>
    <row r="1633" spans="1:25" x14ac:dyDescent="0.45">
      <c r="A1633">
        <v>20</v>
      </c>
      <c r="B1633">
        <v>20</v>
      </c>
      <c r="C1633" t="s">
        <v>425</v>
      </c>
      <c r="D1633" t="s">
        <v>414</v>
      </c>
      <c r="E1633">
        <v>10</v>
      </c>
      <c r="F1633">
        <v>3.24</v>
      </c>
      <c r="G1633">
        <v>307.74599999999998</v>
      </c>
      <c r="I1633">
        <v>307.74599999999998</v>
      </c>
      <c r="J1633" t="s">
        <v>415</v>
      </c>
      <c r="K1633">
        <v>5.3</v>
      </c>
      <c r="L1633">
        <v>-46.6</v>
      </c>
      <c r="N1633">
        <v>20</v>
      </c>
      <c r="O1633">
        <v>20</v>
      </c>
      <c r="P1633" t="s">
        <v>530</v>
      </c>
      <c r="Q1633" t="s">
        <v>414</v>
      </c>
      <c r="R1633">
        <v>10</v>
      </c>
      <c r="S1633">
        <v>3.23</v>
      </c>
      <c r="T1633">
        <v>305.435</v>
      </c>
      <c r="V1633">
        <v>305.435</v>
      </c>
      <c r="W1633" t="s">
        <v>415</v>
      </c>
      <c r="X1633">
        <v>4.2</v>
      </c>
      <c r="Y1633">
        <v>-58.1</v>
      </c>
    </row>
    <row r="1634" spans="1:25" x14ac:dyDescent="0.45">
      <c r="A1634">
        <v>21</v>
      </c>
      <c r="B1634">
        <v>21</v>
      </c>
      <c r="C1634" t="s">
        <v>426</v>
      </c>
      <c r="D1634" t="s">
        <v>414</v>
      </c>
      <c r="E1634">
        <v>10</v>
      </c>
      <c r="F1634">
        <v>3.23</v>
      </c>
      <c r="G1634">
        <v>405.97199999999998</v>
      </c>
      <c r="I1634">
        <v>405.97199999999998</v>
      </c>
      <c r="J1634" t="s">
        <v>415</v>
      </c>
      <c r="K1634">
        <v>7</v>
      </c>
      <c r="L1634">
        <v>-29.6</v>
      </c>
      <c r="N1634">
        <v>21</v>
      </c>
      <c r="O1634">
        <v>21</v>
      </c>
      <c r="P1634" t="s">
        <v>531</v>
      </c>
      <c r="Q1634" t="s">
        <v>414</v>
      </c>
      <c r="R1634">
        <v>10</v>
      </c>
      <c r="S1634">
        <v>3.23</v>
      </c>
      <c r="T1634">
        <v>285.18700000000001</v>
      </c>
      <c r="V1634">
        <v>285.18700000000001</v>
      </c>
      <c r="W1634" t="s">
        <v>415</v>
      </c>
      <c r="X1634">
        <v>3.9</v>
      </c>
      <c r="Y1634">
        <v>-60.9</v>
      </c>
    </row>
    <row r="1635" spans="1:25" x14ac:dyDescent="0.45">
      <c r="A1635">
        <v>22</v>
      </c>
      <c r="B1635">
        <v>22</v>
      </c>
      <c r="C1635" t="s">
        <v>427</v>
      </c>
      <c r="D1635" t="s">
        <v>414</v>
      </c>
      <c r="E1635">
        <v>10</v>
      </c>
      <c r="F1635">
        <v>3.24</v>
      </c>
      <c r="G1635">
        <v>285.07900000000001</v>
      </c>
      <c r="I1635">
        <v>285.07900000000001</v>
      </c>
      <c r="J1635" t="s">
        <v>415</v>
      </c>
      <c r="K1635">
        <v>4.9000000000000004</v>
      </c>
      <c r="L1635">
        <v>-50.5</v>
      </c>
      <c r="N1635">
        <v>22</v>
      </c>
      <c r="O1635">
        <v>22</v>
      </c>
      <c r="P1635" t="s">
        <v>532</v>
      </c>
      <c r="Q1635" t="s">
        <v>414</v>
      </c>
      <c r="R1635">
        <v>10</v>
      </c>
      <c r="S1635">
        <v>3.22</v>
      </c>
      <c r="T1635">
        <v>305.52300000000002</v>
      </c>
      <c r="V1635">
        <v>305.52300000000002</v>
      </c>
      <c r="W1635" t="s">
        <v>415</v>
      </c>
      <c r="X1635">
        <v>4.2</v>
      </c>
      <c r="Y1635">
        <v>-58.1</v>
      </c>
    </row>
    <row r="1636" spans="1:25" x14ac:dyDescent="0.45">
      <c r="A1636">
        <v>23</v>
      </c>
      <c r="B1636">
        <v>23</v>
      </c>
      <c r="C1636" t="s">
        <v>428</v>
      </c>
      <c r="D1636" t="s">
        <v>414</v>
      </c>
      <c r="E1636">
        <v>10</v>
      </c>
      <c r="F1636">
        <v>3.24</v>
      </c>
      <c r="G1636">
        <v>310.82499999999999</v>
      </c>
      <c r="I1636">
        <v>310.82499999999999</v>
      </c>
      <c r="J1636" t="s">
        <v>415</v>
      </c>
      <c r="K1636">
        <v>5.4</v>
      </c>
      <c r="L1636">
        <v>-46.1</v>
      </c>
      <c r="N1636">
        <v>23</v>
      </c>
      <c r="O1636">
        <v>23</v>
      </c>
      <c r="P1636" t="s">
        <v>533</v>
      </c>
      <c r="Q1636" t="s">
        <v>414</v>
      </c>
      <c r="R1636">
        <v>10</v>
      </c>
      <c r="S1636">
        <v>3.22</v>
      </c>
      <c r="T1636">
        <v>455.363</v>
      </c>
      <c r="V1636">
        <v>455.363</v>
      </c>
      <c r="W1636" t="s">
        <v>415</v>
      </c>
      <c r="X1636">
        <v>6.2</v>
      </c>
      <c r="Y1636">
        <v>-37.6</v>
      </c>
    </row>
    <row r="1637" spans="1:25" x14ac:dyDescent="0.45">
      <c r="A1637">
        <v>24</v>
      </c>
      <c r="B1637">
        <v>24</v>
      </c>
      <c r="C1637" t="s">
        <v>429</v>
      </c>
      <c r="D1637" t="s">
        <v>414</v>
      </c>
      <c r="E1637">
        <v>10</v>
      </c>
      <c r="F1637">
        <v>3.23</v>
      </c>
      <c r="G1637">
        <v>399.87200000000001</v>
      </c>
      <c r="I1637">
        <v>399.87200000000001</v>
      </c>
      <c r="J1637" t="s">
        <v>415</v>
      </c>
      <c r="K1637">
        <v>6.9</v>
      </c>
      <c r="L1637">
        <v>-30.6</v>
      </c>
      <c r="N1637">
        <v>24</v>
      </c>
      <c r="O1637">
        <v>24</v>
      </c>
      <c r="P1637" t="s">
        <v>534</v>
      </c>
      <c r="Q1637" t="s">
        <v>414</v>
      </c>
      <c r="R1637">
        <v>10</v>
      </c>
      <c r="S1637">
        <v>3.23</v>
      </c>
      <c r="T1637">
        <v>322.57600000000002</v>
      </c>
      <c r="V1637">
        <v>322.57600000000002</v>
      </c>
      <c r="W1637" t="s">
        <v>415</v>
      </c>
      <c r="X1637">
        <v>4.4000000000000004</v>
      </c>
      <c r="Y1637">
        <v>-55.8</v>
      </c>
    </row>
    <row r="1638" spans="1:25" x14ac:dyDescent="0.45">
      <c r="A1638">
        <v>25</v>
      </c>
      <c r="B1638">
        <v>25</v>
      </c>
      <c r="C1638" t="s">
        <v>430</v>
      </c>
      <c r="D1638" t="s">
        <v>414</v>
      </c>
      <c r="E1638">
        <v>10</v>
      </c>
      <c r="F1638">
        <v>3.23</v>
      </c>
      <c r="G1638">
        <v>340.77699999999999</v>
      </c>
      <c r="I1638">
        <v>340.77699999999999</v>
      </c>
      <c r="J1638" t="s">
        <v>415</v>
      </c>
      <c r="K1638">
        <v>5.9</v>
      </c>
      <c r="L1638">
        <v>-40.9</v>
      </c>
      <c r="N1638">
        <v>25</v>
      </c>
      <c r="O1638">
        <v>25</v>
      </c>
      <c r="P1638" t="s">
        <v>535</v>
      </c>
      <c r="Q1638" t="s">
        <v>414</v>
      </c>
      <c r="R1638">
        <v>10</v>
      </c>
      <c r="S1638">
        <v>3.22</v>
      </c>
      <c r="T1638">
        <v>544.57399999999996</v>
      </c>
      <c r="V1638">
        <v>544.57399999999996</v>
      </c>
      <c r="W1638" t="s">
        <v>415</v>
      </c>
      <c r="X1638">
        <v>7.5</v>
      </c>
      <c r="Y1638">
        <v>-25.4</v>
      </c>
    </row>
    <row r="1639" spans="1:25" x14ac:dyDescent="0.45">
      <c r="A1639">
        <v>26</v>
      </c>
      <c r="B1639">
        <v>26</v>
      </c>
      <c r="C1639" t="s">
        <v>431</v>
      </c>
      <c r="D1639" t="s">
        <v>414</v>
      </c>
      <c r="E1639">
        <v>10</v>
      </c>
      <c r="F1639">
        <v>3.23</v>
      </c>
      <c r="G1639">
        <v>296.988</v>
      </c>
      <c r="I1639">
        <v>296.988</v>
      </c>
      <c r="J1639" t="s">
        <v>415</v>
      </c>
      <c r="K1639">
        <v>5.2</v>
      </c>
      <c r="L1639">
        <v>-48.5</v>
      </c>
      <c r="N1639">
        <v>26</v>
      </c>
      <c r="O1639">
        <v>26</v>
      </c>
      <c r="P1639" t="s">
        <v>536</v>
      </c>
      <c r="Q1639" t="s">
        <v>414</v>
      </c>
      <c r="R1639">
        <v>10</v>
      </c>
      <c r="S1639">
        <v>3.22</v>
      </c>
      <c r="T1639">
        <v>270.40100000000001</v>
      </c>
      <c r="V1639">
        <v>270.40100000000001</v>
      </c>
      <c r="W1639" t="s">
        <v>415</v>
      </c>
      <c r="X1639">
        <v>3.7</v>
      </c>
      <c r="Y1639">
        <v>-62.9</v>
      </c>
    </row>
    <row r="1640" spans="1:25" x14ac:dyDescent="0.45">
      <c r="A1640">
        <v>27</v>
      </c>
      <c r="B1640">
        <v>27</v>
      </c>
      <c r="C1640" t="s">
        <v>432</v>
      </c>
      <c r="D1640" t="s">
        <v>414</v>
      </c>
      <c r="E1640">
        <v>10</v>
      </c>
      <c r="F1640">
        <v>3.23</v>
      </c>
      <c r="G1640">
        <v>340.28100000000001</v>
      </c>
      <c r="I1640">
        <v>340.28100000000001</v>
      </c>
      <c r="J1640" t="s">
        <v>415</v>
      </c>
      <c r="K1640">
        <v>5.9</v>
      </c>
      <c r="L1640">
        <v>-41</v>
      </c>
      <c r="N1640">
        <v>27</v>
      </c>
      <c r="O1640">
        <v>27</v>
      </c>
      <c r="P1640" t="s">
        <v>537</v>
      </c>
      <c r="Q1640" t="s">
        <v>414</v>
      </c>
      <c r="R1640">
        <v>10</v>
      </c>
      <c r="S1640">
        <v>3.23</v>
      </c>
      <c r="T1640">
        <v>224.08600000000001</v>
      </c>
      <c r="V1640">
        <v>224.08600000000001</v>
      </c>
      <c r="W1640" t="s">
        <v>415</v>
      </c>
      <c r="X1640">
        <v>3.1</v>
      </c>
      <c r="Y1640">
        <v>-69.3</v>
      </c>
    </row>
    <row r="1641" spans="1:25" x14ac:dyDescent="0.45">
      <c r="A1641">
        <v>28</v>
      </c>
      <c r="B1641">
        <v>28</v>
      </c>
      <c r="C1641" t="s">
        <v>433</v>
      </c>
      <c r="D1641" t="s">
        <v>414</v>
      </c>
      <c r="E1641">
        <v>10</v>
      </c>
      <c r="F1641">
        <v>3.23</v>
      </c>
      <c r="G1641">
        <v>358.56099999999998</v>
      </c>
      <c r="I1641">
        <v>358.56099999999998</v>
      </c>
      <c r="J1641" t="s">
        <v>415</v>
      </c>
      <c r="K1641">
        <v>6.2</v>
      </c>
      <c r="L1641">
        <v>-37.799999999999997</v>
      </c>
      <c r="N1641">
        <v>28</v>
      </c>
      <c r="O1641">
        <v>28</v>
      </c>
      <c r="P1641" t="s">
        <v>538</v>
      </c>
      <c r="Q1641" t="s">
        <v>414</v>
      </c>
      <c r="R1641">
        <v>10</v>
      </c>
      <c r="S1641">
        <v>3.23</v>
      </c>
      <c r="T1641">
        <v>289.82600000000002</v>
      </c>
      <c r="V1641">
        <v>289.82600000000002</v>
      </c>
      <c r="W1641" t="s">
        <v>415</v>
      </c>
      <c r="X1641">
        <v>4</v>
      </c>
      <c r="Y1641">
        <v>-60.3</v>
      </c>
    </row>
    <row r="1642" spans="1:25" x14ac:dyDescent="0.45">
      <c r="A1642">
        <v>29</v>
      </c>
      <c r="B1642">
        <v>29</v>
      </c>
      <c r="C1642" t="s">
        <v>434</v>
      </c>
      <c r="D1642" t="s">
        <v>414</v>
      </c>
      <c r="E1642">
        <v>10</v>
      </c>
      <c r="F1642">
        <v>3.23</v>
      </c>
      <c r="G1642">
        <v>301.74599999999998</v>
      </c>
      <c r="I1642">
        <v>301.74599999999998</v>
      </c>
      <c r="J1642" t="s">
        <v>415</v>
      </c>
      <c r="K1642">
        <v>5.2</v>
      </c>
      <c r="L1642">
        <v>-47.6</v>
      </c>
      <c r="N1642">
        <v>29</v>
      </c>
      <c r="O1642">
        <v>29</v>
      </c>
      <c r="P1642" t="s">
        <v>539</v>
      </c>
      <c r="Q1642" t="s">
        <v>414</v>
      </c>
      <c r="R1642">
        <v>10</v>
      </c>
      <c r="S1642">
        <v>3.23</v>
      </c>
      <c r="T1642">
        <v>386.952</v>
      </c>
      <c r="V1642">
        <v>386.952</v>
      </c>
      <c r="W1642" t="s">
        <v>415</v>
      </c>
      <c r="X1642">
        <v>5.3</v>
      </c>
      <c r="Y1642">
        <v>-47</v>
      </c>
    </row>
    <row r="1643" spans="1:25" x14ac:dyDescent="0.45">
      <c r="A1643">
        <v>30</v>
      </c>
      <c r="B1643">
        <v>30</v>
      </c>
      <c r="C1643" t="s">
        <v>435</v>
      </c>
      <c r="D1643" t="s">
        <v>414</v>
      </c>
      <c r="E1643">
        <v>10</v>
      </c>
      <c r="F1643">
        <v>3.23</v>
      </c>
      <c r="G1643">
        <v>214.46299999999999</v>
      </c>
      <c r="I1643">
        <v>214.46299999999999</v>
      </c>
      <c r="J1643" t="s">
        <v>415</v>
      </c>
      <c r="K1643">
        <v>3.7</v>
      </c>
      <c r="L1643">
        <v>-62.8</v>
      </c>
      <c r="N1643">
        <v>30</v>
      </c>
      <c r="O1643">
        <v>30</v>
      </c>
      <c r="P1643" t="s">
        <v>540</v>
      </c>
      <c r="Q1643" t="s">
        <v>414</v>
      </c>
      <c r="R1643">
        <v>10</v>
      </c>
      <c r="S1643">
        <v>3.22</v>
      </c>
      <c r="T1643">
        <v>452.00099999999998</v>
      </c>
      <c r="V1643">
        <v>452.00099999999998</v>
      </c>
      <c r="W1643" t="s">
        <v>415</v>
      </c>
      <c r="X1643">
        <v>6.2</v>
      </c>
      <c r="Y1643">
        <v>-38.1</v>
      </c>
    </row>
    <row r="1644" spans="1:25" x14ac:dyDescent="0.45">
      <c r="A1644">
        <v>31</v>
      </c>
      <c r="B1644">
        <v>31</v>
      </c>
      <c r="C1644" t="s">
        <v>436</v>
      </c>
      <c r="D1644" t="s">
        <v>414</v>
      </c>
      <c r="E1644">
        <v>10</v>
      </c>
      <c r="F1644">
        <v>3.23</v>
      </c>
      <c r="G1644">
        <v>314.22899999999998</v>
      </c>
      <c r="I1644">
        <v>314.22899999999998</v>
      </c>
      <c r="J1644" t="s">
        <v>415</v>
      </c>
      <c r="K1644">
        <v>5.5</v>
      </c>
      <c r="L1644">
        <v>-45.5</v>
      </c>
      <c r="N1644">
        <v>31</v>
      </c>
      <c r="O1644">
        <v>31</v>
      </c>
      <c r="P1644" t="s">
        <v>541</v>
      </c>
      <c r="Q1644" t="s">
        <v>414</v>
      </c>
      <c r="R1644">
        <v>10</v>
      </c>
      <c r="S1644">
        <v>3.23</v>
      </c>
      <c r="T1644">
        <v>318.43700000000001</v>
      </c>
      <c r="V1644">
        <v>318.43700000000001</v>
      </c>
      <c r="W1644" t="s">
        <v>415</v>
      </c>
      <c r="X1644">
        <v>4.4000000000000004</v>
      </c>
      <c r="Y1644">
        <v>-56.4</v>
      </c>
    </row>
    <row r="1645" spans="1:25" x14ac:dyDescent="0.45">
      <c r="A1645">
        <v>32</v>
      </c>
      <c r="B1645">
        <v>32</v>
      </c>
      <c r="C1645" t="s">
        <v>437</v>
      </c>
      <c r="D1645" t="s">
        <v>414</v>
      </c>
      <c r="E1645">
        <v>10</v>
      </c>
      <c r="F1645">
        <v>3.23</v>
      </c>
      <c r="G1645">
        <v>143.69300000000001</v>
      </c>
      <c r="I1645">
        <v>143.69300000000001</v>
      </c>
      <c r="J1645" t="s">
        <v>415</v>
      </c>
      <c r="K1645">
        <v>2.5</v>
      </c>
      <c r="L1645">
        <v>-75.099999999999994</v>
      </c>
      <c r="N1645">
        <v>32</v>
      </c>
      <c r="O1645">
        <v>32</v>
      </c>
      <c r="P1645" t="s">
        <v>542</v>
      </c>
      <c r="Q1645" t="s">
        <v>414</v>
      </c>
      <c r="R1645">
        <v>10</v>
      </c>
      <c r="S1645">
        <v>3.22</v>
      </c>
      <c r="T1645">
        <v>323.53300000000002</v>
      </c>
      <c r="V1645">
        <v>323.53300000000002</v>
      </c>
      <c r="W1645" t="s">
        <v>415</v>
      </c>
      <c r="X1645">
        <v>4.4000000000000004</v>
      </c>
      <c r="Y1645">
        <v>-55.7</v>
      </c>
    </row>
    <row r="1646" spans="1:25" x14ac:dyDescent="0.45">
      <c r="A1646">
        <v>33</v>
      </c>
      <c r="B1646">
        <v>33</v>
      </c>
      <c r="C1646" t="s">
        <v>438</v>
      </c>
      <c r="D1646" t="s">
        <v>414</v>
      </c>
      <c r="E1646">
        <v>10</v>
      </c>
      <c r="F1646">
        <v>3.23</v>
      </c>
      <c r="G1646">
        <v>278.27</v>
      </c>
      <c r="I1646">
        <v>278.27</v>
      </c>
      <c r="J1646" t="s">
        <v>415</v>
      </c>
      <c r="K1646">
        <v>4.8</v>
      </c>
      <c r="L1646">
        <v>-51.7</v>
      </c>
      <c r="N1646">
        <v>33</v>
      </c>
      <c r="O1646">
        <v>33</v>
      </c>
      <c r="P1646" t="s">
        <v>543</v>
      </c>
      <c r="Q1646" t="s">
        <v>414</v>
      </c>
      <c r="R1646">
        <v>10</v>
      </c>
      <c r="S1646">
        <v>3.22</v>
      </c>
      <c r="T1646">
        <v>297.95999999999998</v>
      </c>
      <c r="V1646">
        <v>297.95999999999998</v>
      </c>
      <c r="W1646" t="s">
        <v>415</v>
      </c>
      <c r="X1646">
        <v>4.0999999999999996</v>
      </c>
      <c r="Y1646">
        <v>-59.2</v>
      </c>
    </row>
    <row r="1647" spans="1:25" x14ac:dyDescent="0.45">
      <c r="A1647">
        <v>34</v>
      </c>
      <c r="B1647">
        <v>34</v>
      </c>
      <c r="C1647" t="s">
        <v>439</v>
      </c>
      <c r="D1647" t="s">
        <v>414</v>
      </c>
      <c r="E1647">
        <v>10</v>
      </c>
      <c r="F1647">
        <v>3.23</v>
      </c>
      <c r="G1647">
        <v>256.73099999999999</v>
      </c>
      <c r="I1647">
        <v>256.73099999999999</v>
      </c>
      <c r="J1647" t="s">
        <v>415</v>
      </c>
      <c r="K1647">
        <v>4.5</v>
      </c>
      <c r="L1647">
        <v>-55.5</v>
      </c>
      <c r="N1647">
        <v>34</v>
      </c>
      <c r="O1647">
        <v>34</v>
      </c>
      <c r="P1647" t="s">
        <v>544</v>
      </c>
      <c r="Q1647" t="s">
        <v>414</v>
      </c>
      <c r="R1647">
        <v>10</v>
      </c>
      <c r="S1647">
        <v>3.22</v>
      </c>
      <c r="T1647">
        <v>308.49599999999998</v>
      </c>
      <c r="V1647">
        <v>308.49599999999998</v>
      </c>
      <c r="W1647" t="s">
        <v>415</v>
      </c>
      <c r="X1647">
        <v>4.2</v>
      </c>
      <c r="Y1647">
        <v>-57.7</v>
      </c>
    </row>
    <row r="1648" spans="1:25" x14ac:dyDescent="0.45">
      <c r="A1648">
        <v>35</v>
      </c>
      <c r="B1648">
        <v>35</v>
      </c>
      <c r="C1648" t="s">
        <v>440</v>
      </c>
      <c r="D1648" t="s">
        <v>414</v>
      </c>
      <c r="E1648">
        <v>10</v>
      </c>
      <c r="F1648">
        <v>3.23</v>
      </c>
      <c r="G1648">
        <v>303.976</v>
      </c>
      <c r="I1648">
        <v>303.976</v>
      </c>
      <c r="J1648" t="s">
        <v>415</v>
      </c>
      <c r="K1648">
        <v>5.3</v>
      </c>
      <c r="L1648">
        <v>-47.3</v>
      </c>
      <c r="N1648">
        <v>35</v>
      </c>
      <c r="O1648">
        <v>35</v>
      </c>
      <c r="P1648" t="s">
        <v>545</v>
      </c>
      <c r="Q1648" t="s">
        <v>414</v>
      </c>
      <c r="R1648">
        <v>10</v>
      </c>
      <c r="S1648">
        <v>3.23</v>
      </c>
      <c r="T1648">
        <v>300.48899999999998</v>
      </c>
      <c r="V1648">
        <v>300.48899999999998</v>
      </c>
      <c r="W1648" t="s">
        <v>415</v>
      </c>
      <c r="X1648">
        <v>4.0999999999999996</v>
      </c>
      <c r="Y1648">
        <v>-58.8</v>
      </c>
    </row>
    <row r="1649" spans="1:25" x14ac:dyDescent="0.45">
      <c r="A1649">
        <v>36</v>
      </c>
      <c r="B1649">
        <v>36</v>
      </c>
      <c r="C1649" t="s">
        <v>441</v>
      </c>
      <c r="D1649" t="s">
        <v>414</v>
      </c>
      <c r="E1649">
        <v>10</v>
      </c>
      <c r="F1649">
        <v>3.23</v>
      </c>
      <c r="G1649">
        <v>235.422</v>
      </c>
      <c r="I1649">
        <v>235.422</v>
      </c>
      <c r="J1649" t="s">
        <v>415</v>
      </c>
      <c r="K1649">
        <v>4.0999999999999996</v>
      </c>
      <c r="L1649">
        <v>-59.1</v>
      </c>
      <c r="N1649">
        <v>36</v>
      </c>
      <c r="O1649">
        <v>36</v>
      </c>
      <c r="P1649" t="s">
        <v>546</v>
      </c>
      <c r="Q1649" t="s">
        <v>414</v>
      </c>
      <c r="R1649">
        <v>10</v>
      </c>
      <c r="S1649">
        <v>3.22</v>
      </c>
      <c r="T1649">
        <v>448.27100000000002</v>
      </c>
      <c r="V1649">
        <v>448.27100000000002</v>
      </c>
      <c r="W1649" t="s">
        <v>415</v>
      </c>
      <c r="X1649">
        <v>6.1</v>
      </c>
      <c r="Y1649">
        <v>-38.6</v>
      </c>
    </row>
    <row r="1650" spans="1:25" x14ac:dyDescent="0.45">
      <c r="A1650">
        <v>37</v>
      </c>
      <c r="B1650">
        <v>37</v>
      </c>
      <c r="C1650" t="s">
        <v>442</v>
      </c>
      <c r="D1650" t="s">
        <v>414</v>
      </c>
      <c r="E1650">
        <v>10</v>
      </c>
      <c r="F1650">
        <v>3.23</v>
      </c>
      <c r="G1650">
        <v>201.941</v>
      </c>
      <c r="I1650">
        <v>201.941</v>
      </c>
      <c r="J1650" t="s">
        <v>415</v>
      </c>
      <c r="K1650">
        <v>3.5</v>
      </c>
      <c r="L1650">
        <v>-65</v>
      </c>
      <c r="N1650">
        <v>37</v>
      </c>
      <c r="O1650">
        <v>37</v>
      </c>
      <c r="P1650" t="s">
        <v>547</v>
      </c>
      <c r="Q1650" t="s">
        <v>414</v>
      </c>
      <c r="R1650">
        <v>10</v>
      </c>
      <c r="S1650">
        <v>3.22</v>
      </c>
      <c r="T1650">
        <v>283.31200000000001</v>
      </c>
      <c r="V1650">
        <v>283.31200000000001</v>
      </c>
      <c r="W1650" t="s">
        <v>415</v>
      </c>
      <c r="X1650">
        <v>3.9</v>
      </c>
      <c r="Y1650">
        <v>-61.2</v>
      </c>
    </row>
    <row r="1651" spans="1:25" x14ac:dyDescent="0.45">
      <c r="A1651">
        <v>38</v>
      </c>
      <c r="B1651">
        <v>38</v>
      </c>
      <c r="C1651" t="s">
        <v>443</v>
      </c>
      <c r="D1651" t="s">
        <v>414</v>
      </c>
      <c r="E1651">
        <v>10</v>
      </c>
      <c r="F1651">
        <v>3.23</v>
      </c>
      <c r="G1651">
        <v>145.75899999999999</v>
      </c>
      <c r="I1651">
        <v>145.75899999999999</v>
      </c>
      <c r="J1651" t="s">
        <v>415</v>
      </c>
      <c r="K1651">
        <v>2.5</v>
      </c>
      <c r="L1651">
        <v>-74.7</v>
      </c>
      <c r="N1651">
        <v>38</v>
      </c>
      <c r="O1651">
        <v>38</v>
      </c>
      <c r="P1651" t="s">
        <v>548</v>
      </c>
      <c r="Q1651" t="s">
        <v>414</v>
      </c>
      <c r="R1651">
        <v>10</v>
      </c>
      <c r="S1651">
        <v>3.22</v>
      </c>
      <c r="T1651">
        <v>239.73</v>
      </c>
      <c r="V1651">
        <v>239.73</v>
      </c>
      <c r="W1651" t="s">
        <v>415</v>
      </c>
      <c r="X1651">
        <v>3.3</v>
      </c>
      <c r="Y1651">
        <v>-67.099999999999994</v>
      </c>
    </row>
    <row r="1652" spans="1:25" x14ac:dyDescent="0.45">
      <c r="A1652">
        <v>39</v>
      </c>
      <c r="B1652">
        <v>39</v>
      </c>
      <c r="C1652" t="s">
        <v>444</v>
      </c>
      <c r="D1652" t="s">
        <v>414</v>
      </c>
      <c r="E1652">
        <v>10</v>
      </c>
      <c r="F1652">
        <v>3.23</v>
      </c>
      <c r="G1652">
        <v>313.08499999999998</v>
      </c>
      <c r="I1652">
        <v>313.08499999999998</v>
      </c>
      <c r="J1652" t="s">
        <v>415</v>
      </c>
      <c r="K1652">
        <v>5.4</v>
      </c>
      <c r="L1652">
        <v>-45.7</v>
      </c>
      <c r="N1652">
        <v>39</v>
      </c>
      <c r="O1652">
        <v>39</v>
      </c>
      <c r="P1652" t="s">
        <v>549</v>
      </c>
      <c r="Q1652" t="s">
        <v>414</v>
      </c>
      <c r="R1652">
        <v>10</v>
      </c>
      <c r="S1652">
        <v>3.22</v>
      </c>
      <c r="T1652">
        <v>324.88400000000001</v>
      </c>
      <c r="V1652">
        <v>324.88400000000001</v>
      </c>
      <c r="W1652" t="s">
        <v>415</v>
      </c>
      <c r="X1652">
        <v>4.5</v>
      </c>
      <c r="Y1652">
        <v>-55.5</v>
      </c>
    </row>
    <row r="1653" spans="1:25" x14ac:dyDescent="0.45">
      <c r="A1653">
        <v>40</v>
      </c>
      <c r="B1653">
        <v>40</v>
      </c>
      <c r="C1653" t="s">
        <v>445</v>
      </c>
      <c r="D1653" t="s">
        <v>414</v>
      </c>
      <c r="E1653">
        <v>10</v>
      </c>
      <c r="F1653">
        <v>3.23</v>
      </c>
      <c r="G1653">
        <v>599.40200000000004</v>
      </c>
      <c r="I1653">
        <v>599.40200000000004</v>
      </c>
      <c r="J1653" t="s">
        <v>415</v>
      </c>
      <c r="K1653">
        <v>10.4</v>
      </c>
      <c r="L1653">
        <v>4</v>
      </c>
      <c r="N1653">
        <v>40</v>
      </c>
      <c r="O1653">
        <v>40</v>
      </c>
      <c r="P1653" t="s">
        <v>550</v>
      </c>
      <c r="Q1653" t="s">
        <v>414</v>
      </c>
      <c r="R1653">
        <v>10</v>
      </c>
      <c r="S1653">
        <v>3.22</v>
      </c>
      <c r="T1653">
        <v>282.19200000000001</v>
      </c>
      <c r="V1653">
        <v>282.19200000000001</v>
      </c>
      <c r="W1653" t="s">
        <v>415</v>
      </c>
      <c r="X1653">
        <v>3.9</v>
      </c>
      <c r="Y1653">
        <v>-61.3</v>
      </c>
    </row>
    <row r="1654" spans="1:25" x14ac:dyDescent="0.45">
      <c r="A1654">
        <v>41</v>
      </c>
      <c r="B1654">
        <v>41</v>
      </c>
      <c r="C1654" t="s">
        <v>446</v>
      </c>
      <c r="D1654" t="s">
        <v>414</v>
      </c>
      <c r="E1654">
        <v>10</v>
      </c>
      <c r="F1654">
        <v>3.23</v>
      </c>
      <c r="G1654">
        <v>407.15800000000002</v>
      </c>
      <c r="I1654">
        <v>407.15800000000002</v>
      </c>
      <c r="J1654" t="s">
        <v>415</v>
      </c>
      <c r="K1654">
        <v>7.1</v>
      </c>
      <c r="L1654">
        <v>-29.3</v>
      </c>
      <c r="N1654">
        <v>41</v>
      </c>
      <c r="O1654">
        <v>41</v>
      </c>
      <c r="P1654" t="s">
        <v>551</v>
      </c>
      <c r="Q1654" t="s">
        <v>414</v>
      </c>
      <c r="R1654">
        <v>10</v>
      </c>
      <c r="S1654">
        <v>3.22</v>
      </c>
      <c r="T1654">
        <v>410.78800000000001</v>
      </c>
      <c r="V1654">
        <v>410.78800000000001</v>
      </c>
      <c r="W1654" t="s">
        <v>415</v>
      </c>
      <c r="X1654">
        <v>5.6</v>
      </c>
      <c r="Y1654">
        <v>-43.7</v>
      </c>
    </row>
    <row r="1655" spans="1:25" x14ac:dyDescent="0.45">
      <c r="A1655">
        <v>42</v>
      </c>
      <c r="B1655">
        <v>42</v>
      </c>
      <c r="C1655" t="s">
        <v>447</v>
      </c>
      <c r="D1655" t="s">
        <v>414</v>
      </c>
      <c r="E1655">
        <v>10</v>
      </c>
      <c r="F1655">
        <v>3.23</v>
      </c>
      <c r="G1655">
        <v>417.96300000000002</v>
      </c>
      <c r="I1655">
        <v>417.96300000000002</v>
      </c>
      <c r="J1655" t="s">
        <v>415</v>
      </c>
      <c r="K1655">
        <v>7.3</v>
      </c>
      <c r="L1655">
        <v>-27.5</v>
      </c>
      <c r="N1655">
        <v>42</v>
      </c>
      <c r="O1655">
        <v>42</v>
      </c>
      <c r="P1655" t="s">
        <v>552</v>
      </c>
      <c r="Q1655" t="s">
        <v>414</v>
      </c>
      <c r="R1655">
        <v>10</v>
      </c>
      <c r="S1655">
        <v>3.22</v>
      </c>
      <c r="T1655">
        <v>287.52</v>
      </c>
      <c r="V1655">
        <v>287.52</v>
      </c>
      <c r="W1655" t="s">
        <v>415</v>
      </c>
      <c r="X1655">
        <v>3.9</v>
      </c>
      <c r="Y1655">
        <v>-60.6</v>
      </c>
    </row>
    <row r="1656" spans="1:25" x14ac:dyDescent="0.45">
      <c r="A1656">
        <v>43</v>
      </c>
      <c r="B1656">
        <v>43</v>
      </c>
      <c r="C1656" t="s">
        <v>448</v>
      </c>
      <c r="D1656" t="s">
        <v>414</v>
      </c>
      <c r="E1656">
        <v>10</v>
      </c>
      <c r="F1656">
        <v>3.23</v>
      </c>
      <c r="G1656">
        <v>333.29500000000002</v>
      </c>
      <c r="I1656">
        <v>333.29500000000002</v>
      </c>
      <c r="J1656" t="s">
        <v>415</v>
      </c>
      <c r="K1656">
        <v>5.8</v>
      </c>
      <c r="L1656">
        <v>-42.2</v>
      </c>
      <c r="N1656">
        <v>43</v>
      </c>
      <c r="O1656">
        <v>43</v>
      </c>
      <c r="P1656" t="s">
        <v>553</v>
      </c>
      <c r="Q1656" t="s">
        <v>414</v>
      </c>
      <c r="R1656">
        <v>10</v>
      </c>
      <c r="S1656">
        <v>3.23</v>
      </c>
      <c r="T1656">
        <v>327.70800000000003</v>
      </c>
      <c r="V1656">
        <v>327.70800000000003</v>
      </c>
      <c r="W1656" t="s">
        <v>415</v>
      </c>
      <c r="X1656">
        <v>4.5</v>
      </c>
      <c r="Y1656">
        <v>-55.1</v>
      </c>
    </row>
    <row r="1657" spans="1:25" x14ac:dyDescent="0.45">
      <c r="A1657">
        <v>44</v>
      </c>
      <c r="B1657">
        <v>44</v>
      </c>
      <c r="C1657" t="s">
        <v>449</v>
      </c>
      <c r="D1657" t="s">
        <v>414</v>
      </c>
      <c r="E1657">
        <v>10</v>
      </c>
      <c r="F1657">
        <v>3.23</v>
      </c>
      <c r="G1657">
        <v>367.048</v>
      </c>
      <c r="I1657">
        <v>367.048</v>
      </c>
      <c r="J1657" t="s">
        <v>415</v>
      </c>
      <c r="K1657">
        <v>6.4</v>
      </c>
      <c r="L1657">
        <v>-36.299999999999997</v>
      </c>
      <c r="N1657">
        <v>44</v>
      </c>
      <c r="O1657">
        <v>44</v>
      </c>
      <c r="P1657" t="s">
        <v>554</v>
      </c>
      <c r="Q1657" t="s">
        <v>414</v>
      </c>
      <c r="R1657">
        <v>10</v>
      </c>
      <c r="S1657">
        <v>3.22</v>
      </c>
      <c r="T1657">
        <v>353.55099999999999</v>
      </c>
      <c r="V1657">
        <v>353.55099999999999</v>
      </c>
      <c r="W1657" t="s">
        <v>415</v>
      </c>
      <c r="X1657">
        <v>4.8</v>
      </c>
      <c r="Y1657">
        <v>-51.6</v>
      </c>
    </row>
    <row r="1658" spans="1:25" x14ac:dyDescent="0.45">
      <c r="A1658">
        <v>45</v>
      </c>
      <c r="B1658">
        <v>45</v>
      </c>
      <c r="C1658" t="s">
        <v>450</v>
      </c>
      <c r="D1658" t="s">
        <v>414</v>
      </c>
      <c r="E1658">
        <v>10</v>
      </c>
      <c r="F1658">
        <v>3.23</v>
      </c>
      <c r="G1658">
        <v>329.84699999999998</v>
      </c>
      <c r="I1658">
        <v>329.84699999999998</v>
      </c>
      <c r="J1658" t="s">
        <v>415</v>
      </c>
      <c r="K1658">
        <v>5.7</v>
      </c>
      <c r="L1658">
        <v>-42.8</v>
      </c>
      <c r="N1658">
        <v>45</v>
      </c>
      <c r="O1658">
        <v>45</v>
      </c>
      <c r="P1658" t="s">
        <v>555</v>
      </c>
      <c r="Q1658" t="s">
        <v>414</v>
      </c>
      <c r="R1658">
        <v>10</v>
      </c>
      <c r="S1658">
        <v>3.22</v>
      </c>
      <c r="T1658">
        <v>335.78500000000003</v>
      </c>
      <c r="V1658">
        <v>335.78500000000003</v>
      </c>
      <c r="W1658" t="s">
        <v>415</v>
      </c>
      <c r="X1658">
        <v>4.5999999999999996</v>
      </c>
      <c r="Y1658">
        <v>-54</v>
      </c>
    </row>
    <row r="1659" spans="1:25" x14ac:dyDescent="0.45">
      <c r="A1659">
        <v>46</v>
      </c>
      <c r="B1659">
        <v>46</v>
      </c>
      <c r="C1659" t="s">
        <v>451</v>
      </c>
      <c r="D1659" t="s">
        <v>414</v>
      </c>
      <c r="E1659">
        <v>10</v>
      </c>
      <c r="F1659">
        <v>3.23</v>
      </c>
      <c r="G1659">
        <v>247.15700000000001</v>
      </c>
      <c r="I1659">
        <v>247.15700000000001</v>
      </c>
      <c r="J1659" t="s">
        <v>401</v>
      </c>
      <c r="K1659">
        <v>4.3</v>
      </c>
      <c r="L1659">
        <v>-57.1</v>
      </c>
      <c r="N1659">
        <v>46</v>
      </c>
      <c r="O1659">
        <v>46</v>
      </c>
      <c r="P1659" t="s">
        <v>556</v>
      </c>
      <c r="Q1659" t="s">
        <v>414</v>
      </c>
      <c r="R1659">
        <v>10</v>
      </c>
      <c r="S1659">
        <v>3.22</v>
      </c>
      <c r="T1659">
        <v>316.23099999999999</v>
      </c>
      <c r="V1659">
        <v>316.23099999999999</v>
      </c>
      <c r="W1659" t="s">
        <v>415</v>
      </c>
      <c r="X1659">
        <v>4.3</v>
      </c>
      <c r="Y1659">
        <v>-56.7</v>
      </c>
    </row>
    <row r="1660" spans="1:25" x14ac:dyDescent="0.45">
      <c r="A1660">
        <v>47</v>
      </c>
      <c r="B1660">
        <v>47</v>
      </c>
      <c r="C1660" t="s">
        <v>452</v>
      </c>
      <c r="D1660" t="s">
        <v>414</v>
      </c>
      <c r="E1660">
        <v>10</v>
      </c>
      <c r="F1660">
        <v>3.23</v>
      </c>
      <c r="G1660">
        <v>125.545</v>
      </c>
      <c r="I1660">
        <v>125.545</v>
      </c>
      <c r="J1660" t="s">
        <v>415</v>
      </c>
      <c r="K1660">
        <v>2.2000000000000002</v>
      </c>
      <c r="L1660">
        <v>-78.2</v>
      </c>
      <c r="N1660">
        <v>47</v>
      </c>
      <c r="O1660">
        <v>47</v>
      </c>
      <c r="P1660" t="s">
        <v>557</v>
      </c>
      <c r="Q1660" t="s">
        <v>414</v>
      </c>
      <c r="R1660">
        <v>10</v>
      </c>
      <c r="S1660">
        <v>3.22</v>
      </c>
      <c r="T1660">
        <v>196.28299999999999</v>
      </c>
      <c r="V1660">
        <v>196.28299999999999</v>
      </c>
      <c r="W1660" t="s">
        <v>415</v>
      </c>
      <c r="X1660">
        <v>2.7</v>
      </c>
      <c r="Y1660">
        <v>-73.099999999999994</v>
      </c>
    </row>
    <row r="1661" spans="1:25" x14ac:dyDescent="0.45">
      <c r="A1661">
        <v>48</v>
      </c>
      <c r="B1661">
        <v>48</v>
      </c>
      <c r="C1661" t="s">
        <v>453</v>
      </c>
      <c r="D1661" t="s">
        <v>414</v>
      </c>
      <c r="E1661">
        <v>10</v>
      </c>
      <c r="F1661">
        <v>3.24</v>
      </c>
      <c r="G1661">
        <v>179.57300000000001</v>
      </c>
      <c r="I1661">
        <v>179.57300000000001</v>
      </c>
      <c r="J1661" t="s">
        <v>415</v>
      </c>
      <c r="K1661">
        <v>3.1</v>
      </c>
      <c r="L1661">
        <v>-68.8</v>
      </c>
      <c r="N1661">
        <v>48</v>
      </c>
      <c r="O1661">
        <v>48</v>
      </c>
      <c r="P1661" t="s">
        <v>558</v>
      </c>
      <c r="Q1661" t="s">
        <v>414</v>
      </c>
      <c r="R1661">
        <v>10</v>
      </c>
      <c r="S1661">
        <v>3.22</v>
      </c>
      <c r="T1661">
        <v>228.761</v>
      </c>
      <c r="V1661">
        <v>228.761</v>
      </c>
      <c r="W1661" t="s">
        <v>415</v>
      </c>
      <c r="X1661">
        <v>3.1</v>
      </c>
      <c r="Y1661">
        <v>-68.7</v>
      </c>
    </row>
    <row r="1662" spans="1:25" x14ac:dyDescent="0.45">
      <c r="A1662">
        <v>49</v>
      </c>
      <c r="B1662">
        <v>49</v>
      </c>
      <c r="C1662" t="s">
        <v>454</v>
      </c>
      <c r="D1662" t="s">
        <v>414</v>
      </c>
      <c r="E1662">
        <v>10</v>
      </c>
      <c r="F1662">
        <v>3.23</v>
      </c>
      <c r="G1662">
        <v>196.745</v>
      </c>
      <c r="I1662">
        <v>196.745</v>
      </c>
      <c r="J1662" t="s">
        <v>415</v>
      </c>
      <c r="K1662">
        <v>3.4</v>
      </c>
      <c r="L1662">
        <v>-65.900000000000006</v>
      </c>
      <c r="N1662">
        <v>49</v>
      </c>
      <c r="O1662">
        <v>49</v>
      </c>
      <c r="P1662" t="s">
        <v>559</v>
      </c>
      <c r="Q1662" t="s">
        <v>414</v>
      </c>
      <c r="R1662">
        <v>10</v>
      </c>
      <c r="S1662">
        <v>3.22</v>
      </c>
      <c r="T1662">
        <v>199.64</v>
      </c>
      <c r="V1662">
        <v>199.64</v>
      </c>
      <c r="W1662" t="s">
        <v>415</v>
      </c>
      <c r="X1662">
        <v>2.7</v>
      </c>
      <c r="Y1662">
        <v>-72.599999999999994</v>
      </c>
    </row>
    <row r="1663" spans="1:25" x14ac:dyDescent="0.45">
      <c r="A1663">
        <v>50</v>
      </c>
      <c r="B1663">
        <v>50</v>
      </c>
      <c r="C1663" t="s">
        <v>455</v>
      </c>
      <c r="D1663" t="s">
        <v>414</v>
      </c>
      <c r="E1663">
        <v>10</v>
      </c>
      <c r="F1663">
        <v>3.23</v>
      </c>
      <c r="G1663">
        <v>285.43099999999998</v>
      </c>
      <c r="I1663">
        <v>285.43099999999998</v>
      </c>
      <c r="J1663" t="s">
        <v>415</v>
      </c>
      <c r="K1663">
        <v>5</v>
      </c>
      <c r="L1663">
        <v>-50.5</v>
      </c>
      <c r="N1663">
        <v>50</v>
      </c>
      <c r="O1663">
        <v>50</v>
      </c>
      <c r="P1663" t="s">
        <v>560</v>
      </c>
      <c r="Q1663" t="s">
        <v>414</v>
      </c>
      <c r="R1663">
        <v>10</v>
      </c>
      <c r="S1663">
        <v>3.22</v>
      </c>
      <c r="T1663">
        <v>338.95</v>
      </c>
      <c r="V1663">
        <v>338.95</v>
      </c>
      <c r="W1663" t="s">
        <v>415</v>
      </c>
      <c r="X1663">
        <v>4.5999999999999996</v>
      </c>
      <c r="Y1663">
        <v>-53.6</v>
      </c>
    </row>
    <row r="1664" spans="1:25" x14ac:dyDescent="0.45">
      <c r="A1664">
        <v>51</v>
      </c>
      <c r="B1664">
        <v>51</v>
      </c>
      <c r="C1664" t="s">
        <v>456</v>
      </c>
      <c r="D1664" t="s">
        <v>414</v>
      </c>
      <c r="E1664">
        <v>10</v>
      </c>
      <c r="F1664">
        <v>3.23</v>
      </c>
      <c r="G1664">
        <v>183.024</v>
      </c>
      <c r="I1664">
        <v>183.024</v>
      </c>
      <c r="J1664" t="s">
        <v>415</v>
      </c>
      <c r="K1664">
        <v>3.2</v>
      </c>
      <c r="L1664">
        <v>-68.2</v>
      </c>
      <c r="N1664">
        <v>51</v>
      </c>
      <c r="O1664">
        <v>51</v>
      </c>
      <c r="P1664" t="s">
        <v>561</v>
      </c>
      <c r="Q1664" t="s">
        <v>414</v>
      </c>
      <c r="R1664">
        <v>10</v>
      </c>
      <c r="S1664">
        <v>3.23</v>
      </c>
      <c r="T1664">
        <v>143.82599999999999</v>
      </c>
      <c r="V1664">
        <v>143.82599999999999</v>
      </c>
      <c r="W1664" t="s">
        <v>415</v>
      </c>
      <c r="X1664">
        <v>2</v>
      </c>
      <c r="Y1664">
        <v>-80.3</v>
      </c>
    </row>
    <row r="1665" spans="1:25" x14ac:dyDescent="0.45">
      <c r="A1665">
        <v>52</v>
      </c>
      <c r="B1665">
        <v>52</v>
      </c>
      <c r="C1665" t="s">
        <v>457</v>
      </c>
      <c r="D1665" t="s">
        <v>414</v>
      </c>
      <c r="E1665">
        <v>10</v>
      </c>
      <c r="F1665">
        <v>3.23</v>
      </c>
      <c r="G1665">
        <v>136.62700000000001</v>
      </c>
      <c r="I1665">
        <v>136.62700000000001</v>
      </c>
      <c r="J1665" t="s">
        <v>415</v>
      </c>
      <c r="K1665">
        <v>2.4</v>
      </c>
      <c r="L1665">
        <v>-76.3</v>
      </c>
      <c r="N1665">
        <v>52</v>
      </c>
      <c r="O1665">
        <v>52</v>
      </c>
      <c r="P1665" t="s">
        <v>562</v>
      </c>
      <c r="Q1665" t="s">
        <v>414</v>
      </c>
      <c r="R1665">
        <v>10</v>
      </c>
      <c r="S1665">
        <v>3.22</v>
      </c>
      <c r="T1665">
        <v>287.59500000000003</v>
      </c>
      <c r="V1665">
        <v>287.59500000000003</v>
      </c>
      <c r="W1665" t="s">
        <v>415</v>
      </c>
      <c r="X1665">
        <v>3.9</v>
      </c>
      <c r="Y1665">
        <v>-60.6</v>
      </c>
    </row>
    <row r="1666" spans="1:25" x14ac:dyDescent="0.45">
      <c r="A1666">
        <v>53</v>
      </c>
      <c r="B1666">
        <v>53</v>
      </c>
      <c r="C1666" t="s">
        <v>458</v>
      </c>
      <c r="D1666" t="s">
        <v>414</v>
      </c>
      <c r="E1666">
        <v>10</v>
      </c>
      <c r="F1666">
        <v>3.23</v>
      </c>
      <c r="G1666">
        <v>330.57100000000003</v>
      </c>
      <c r="I1666">
        <v>330.57100000000003</v>
      </c>
      <c r="J1666" t="s">
        <v>415</v>
      </c>
      <c r="K1666">
        <v>5.7</v>
      </c>
      <c r="L1666">
        <v>-42.6</v>
      </c>
      <c r="N1666">
        <v>53</v>
      </c>
      <c r="O1666">
        <v>53</v>
      </c>
      <c r="P1666" t="s">
        <v>563</v>
      </c>
      <c r="Q1666" t="s">
        <v>414</v>
      </c>
      <c r="R1666">
        <v>10</v>
      </c>
      <c r="S1666">
        <v>3.22</v>
      </c>
      <c r="T1666">
        <v>365.37299999999999</v>
      </c>
      <c r="V1666">
        <v>365.37299999999999</v>
      </c>
      <c r="W1666" t="s">
        <v>415</v>
      </c>
      <c r="X1666">
        <v>5</v>
      </c>
      <c r="Y1666">
        <v>-49.9</v>
      </c>
    </row>
    <row r="1667" spans="1:25" x14ac:dyDescent="0.45">
      <c r="A1667">
        <v>54</v>
      </c>
      <c r="B1667">
        <v>54</v>
      </c>
      <c r="C1667" t="s">
        <v>459</v>
      </c>
      <c r="D1667" t="s">
        <v>414</v>
      </c>
      <c r="E1667">
        <v>10</v>
      </c>
      <c r="F1667">
        <v>3.23</v>
      </c>
      <c r="G1667">
        <v>310.77300000000002</v>
      </c>
      <c r="I1667">
        <v>310.77300000000002</v>
      </c>
      <c r="J1667" t="s">
        <v>415</v>
      </c>
      <c r="K1667">
        <v>5.4</v>
      </c>
      <c r="L1667">
        <v>-46.1</v>
      </c>
      <c r="N1667">
        <v>54</v>
      </c>
      <c r="O1667">
        <v>54</v>
      </c>
      <c r="P1667" t="s">
        <v>564</v>
      </c>
      <c r="Q1667" t="s">
        <v>414</v>
      </c>
      <c r="R1667">
        <v>10</v>
      </c>
      <c r="S1667">
        <v>3.22</v>
      </c>
      <c r="T1667">
        <v>298.21100000000001</v>
      </c>
      <c r="V1667">
        <v>298.21100000000001</v>
      </c>
      <c r="W1667" t="s">
        <v>415</v>
      </c>
      <c r="X1667">
        <v>4.0999999999999996</v>
      </c>
      <c r="Y1667">
        <v>-59.1</v>
      </c>
    </row>
    <row r="1668" spans="1:25" x14ac:dyDescent="0.45">
      <c r="A1668">
        <v>55</v>
      </c>
      <c r="B1668">
        <v>55</v>
      </c>
      <c r="C1668" t="s">
        <v>460</v>
      </c>
      <c r="D1668" t="s">
        <v>414</v>
      </c>
      <c r="E1668">
        <v>10</v>
      </c>
      <c r="F1668">
        <v>3.23</v>
      </c>
      <c r="G1668">
        <v>213.541</v>
      </c>
      <c r="I1668">
        <v>213.541</v>
      </c>
      <c r="J1668" t="s">
        <v>415</v>
      </c>
      <c r="K1668">
        <v>3.7</v>
      </c>
      <c r="L1668">
        <v>-62.9</v>
      </c>
      <c r="N1668">
        <v>55</v>
      </c>
      <c r="O1668">
        <v>55</v>
      </c>
      <c r="P1668" t="s">
        <v>565</v>
      </c>
      <c r="Q1668" t="s">
        <v>414</v>
      </c>
      <c r="R1668">
        <v>10</v>
      </c>
      <c r="S1668">
        <v>3.22</v>
      </c>
      <c r="T1668">
        <v>272.255</v>
      </c>
      <c r="V1668">
        <v>272.255</v>
      </c>
      <c r="W1668" t="s">
        <v>415</v>
      </c>
      <c r="X1668">
        <v>3.7</v>
      </c>
      <c r="Y1668">
        <v>-62.7</v>
      </c>
    </row>
    <row r="1669" spans="1:25" x14ac:dyDescent="0.45">
      <c r="A1669">
        <v>56</v>
      </c>
      <c r="B1669">
        <v>56</v>
      </c>
      <c r="C1669" t="s">
        <v>461</v>
      </c>
      <c r="D1669" t="s">
        <v>414</v>
      </c>
      <c r="E1669">
        <v>10</v>
      </c>
      <c r="F1669">
        <v>3.23</v>
      </c>
      <c r="G1669">
        <v>246.62700000000001</v>
      </c>
      <c r="I1669">
        <v>246.62700000000001</v>
      </c>
      <c r="J1669" t="s">
        <v>415</v>
      </c>
      <c r="K1669">
        <v>4.3</v>
      </c>
      <c r="L1669">
        <v>-57.2</v>
      </c>
      <c r="N1669">
        <v>56</v>
      </c>
      <c r="O1669">
        <v>56</v>
      </c>
      <c r="P1669" t="s">
        <v>566</v>
      </c>
      <c r="Q1669" t="s">
        <v>414</v>
      </c>
      <c r="R1669">
        <v>10</v>
      </c>
      <c r="S1669">
        <v>3.23</v>
      </c>
      <c r="T1669">
        <v>248.536</v>
      </c>
      <c r="V1669">
        <v>248.536</v>
      </c>
      <c r="W1669" t="s">
        <v>415</v>
      </c>
      <c r="X1669">
        <v>3.4</v>
      </c>
      <c r="Y1669">
        <v>-65.900000000000006</v>
      </c>
    </row>
    <row r="1670" spans="1:25" x14ac:dyDescent="0.45">
      <c r="A1670">
        <v>57</v>
      </c>
      <c r="B1670">
        <v>57</v>
      </c>
      <c r="C1670" t="s">
        <v>462</v>
      </c>
      <c r="D1670" t="s">
        <v>414</v>
      </c>
      <c r="E1670">
        <v>10</v>
      </c>
      <c r="F1670">
        <v>3.23</v>
      </c>
      <c r="G1670">
        <v>197.50200000000001</v>
      </c>
      <c r="I1670">
        <v>197.50200000000001</v>
      </c>
      <c r="J1670" t="s">
        <v>415</v>
      </c>
      <c r="K1670">
        <v>3.4</v>
      </c>
      <c r="L1670">
        <v>-65.7</v>
      </c>
      <c r="N1670">
        <v>57</v>
      </c>
      <c r="O1670">
        <v>57</v>
      </c>
      <c r="P1670" t="s">
        <v>567</v>
      </c>
      <c r="Q1670" t="s">
        <v>414</v>
      </c>
      <c r="R1670">
        <v>10</v>
      </c>
      <c r="S1670">
        <v>3.22</v>
      </c>
      <c r="T1670">
        <v>223.51400000000001</v>
      </c>
      <c r="V1670">
        <v>223.51400000000001</v>
      </c>
      <c r="W1670" t="s">
        <v>415</v>
      </c>
      <c r="X1670">
        <v>3.1</v>
      </c>
      <c r="Y1670">
        <v>-69.400000000000006</v>
      </c>
    </row>
    <row r="1671" spans="1:25" x14ac:dyDescent="0.45">
      <c r="A1671">
        <v>58</v>
      </c>
      <c r="B1671">
        <v>58</v>
      </c>
      <c r="C1671" t="s">
        <v>463</v>
      </c>
      <c r="D1671" t="s">
        <v>414</v>
      </c>
      <c r="E1671">
        <v>10</v>
      </c>
      <c r="F1671">
        <v>3.23</v>
      </c>
      <c r="G1671">
        <v>185.846</v>
      </c>
      <c r="I1671">
        <v>185.846</v>
      </c>
      <c r="J1671" t="s">
        <v>415</v>
      </c>
      <c r="K1671">
        <v>3.2</v>
      </c>
      <c r="L1671">
        <v>-67.8</v>
      </c>
      <c r="N1671">
        <v>58</v>
      </c>
      <c r="O1671">
        <v>58</v>
      </c>
      <c r="P1671" t="s">
        <v>568</v>
      </c>
      <c r="Q1671" t="s">
        <v>414</v>
      </c>
      <c r="R1671">
        <v>10</v>
      </c>
      <c r="S1671">
        <v>3.22</v>
      </c>
      <c r="T1671">
        <v>289.529</v>
      </c>
      <c r="V1671">
        <v>289.529</v>
      </c>
      <c r="W1671" t="s">
        <v>415</v>
      </c>
      <c r="X1671">
        <v>4</v>
      </c>
      <c r="Y1671">
        <v>-60.3</v>
      </c>
    </row>
    <row r="1672" spans="1:25" x14ac:dyDescent="0.45">
      <c r="A1672">
        <v>59</v>
      </c>
      <c r="B1672">
        <v>59</v>
      </c>
      <c r="C1672" t="s">
        <v>464</v>
      </c>
      <c r="D1672" t="s">
        <v>414</v>
      </c>
      <c r="E1672">
        <v>10</v>
      </c>
      <c r="F1672">
        <v>3.22</v>
      </c>
      <c r="G1672">
        <v>196.62200000000001</v>
      </c>
      <c r="I1672">
        <v>196.62200000000001</v>
      </c>
      <c r="J1672" t="s">
        <v>415</v>
      </c>
      <c r="K1672">
        <v>3.4</v>
      </c>
      <c r="L1672">
        <v>-65.900000000000006</v>
      </c>
      <c r="N1672">
        <v>59</v>
      </c>
      <c r="O1672">
        <v>59</v>
      </c>
      <c r="P1672" t="s">
        <v>569</v>
      </c>
      <c r="Q1672" t="s">
        <v>414</v>
      </c>
      <c r="R1672">
        <v>10</v>
      </c>
      <c r="S1672">
        <v>3.22</v>
      </c>
      <c r="T1672">
        <v>214.495</v>
      </c>
      <c r="V1672">
        <v>214.495</v>
      </c>
      <c r="W1672" t="s">
        <v>415</v>
      </c>
      <c r="X1672">
        <v>2.9</v>
      </c>
      <c r="Y1672">
        <v>-70.599999999999994</v>
      </c>
    </row>
    <row r="1673" spans="1:25" x14ac:dyDescent="0.45">
      <c r="A1673">
        <v>60</v>
      </c>
      <c r="B1673">
        <v>60</v>
      </c>
      <c r="C1673" t="s">
        <v>465</v>
      </c>
      <c r="D1673" t="s">
        <v>414</v>
      </c>
      <c r="E1673">
        <v>10</v>
      </c>
      <c r="F1673">
        <v>3.23</v>
      </c>
      <c r="G1673">
        <v>255.673</v>
      </c>
      <c r="I1673">
        <v>255.673</v>
      </c>
      <c r="J1673" t="s">
        <v>415</v>
      </c>
      <c r="K1673">
        <v>4.4000000000000004</v>
      </c>
      <c r="L1673">
        <v>-55.6</v>
      </c>
      <c r="N1673">
        <v>60</v>
      </c>
      <c r="O1673">
        <v>60</v>
      </c>
      <c r="P1673" t="s">
        <v>570</v>
      </c>
      <c r="Q1673" t="s">
        <v>414</v>
      </c>
      <c r="R1673">
        <v>10</v>
      </c>
      <c r="S1673">
        <v>3.22</v>
      </c>
      <c r="T1673">
        <v>514.84900000000005</v>
      </c>
      <c r="V1673">
        <v>514.84900000000005</v>
      </c>
      <c r="W1673" t="s">
        <v>415</v>
      </c>
      <c r="X1673">
        <v>7.1</v>
      </c>
      <c r="Y1673">
        <v>-29.5</v>
      </c>
    </row>
    <row r="1674" spans="1:25" x14ac:dyDescent="0.45">
      <c r="A1674">
        <v>61</v>
      </c>
      <c r="B1674">
        <v>61</v>
      </c>
      <c r="C1674" t="s">
        <v>466</v>
      </c>
      <c r="D1674" t="s">
        <v>414</v>
      </c>
      <c r="E1674">
        <v>10</v>
      </c>
      <c r="F1674">
        <v>3.23</v>
      </c>
      <c r="G1674">
        <v>222.08600000000001</v>
      </c>
      <c r="I1674">
        <v>222.08600000000001</v>
      </c>
      <c r="J1674" t="s">
        <v>415</v>
      </c>
      <c r="K1674">
        <v>3.9</v>
      </c>
      <c r="L1674">
        <v>-61.5</v>
      </c>
      <c r="N1674">
        <v>61</v>
      </c>
      <c r="O1674">
        <v>61</v>
      </c>
      <c r="P1674" t="s">
        <v>571</v>
      </c>
      <c r="Q1674" t="s">
        <v>414</v>
      </c>
      <c r="R1674">
        <v>10</v>
      </c>
      <c r="S1674">
        <v>3.22</v>
      </c>
      <c r="T1674">
        <v>283.98200000000003</v>
      </c>
      <c r="V1674">
        <v>283.98200000000003</v>
      </c>
      <c r="W1674" t="s">
        <v>415</v>
      </c>
      <c r="X1674">
        <v>3.9</v>
      </c>
      <c r="Y1674">
        <v>-61.1</v>
      </c>
    </row>
    <row r="1675" spans="1:25" x14ac:dyDescent="0.45">
      <c r="A1675">
        <v>62</v>
      </c>
      <c r="B1675">
        <v>62</v>
      </c>
      <c r="C1675" t="s">
        <v>467</v>
      </c>
      <c r="D1675" t="s">
        <v>414</v>
      </c>
      <c r="E1675">
        <v>10</v>
      </c>
      <c r="F1675">
        <v>3.23</v>
      </c>
      <c r="G1675">
        <v>191.76400000000001</v>
      </c>
      <c r="I1675">
        <v>191.76400000000001</v>
      </c>
      <c r="J1675" t="s">
        <v>415</v>
      </c>
      <c r="K1675">
        <v>3.3</v>
      </c>
      <c r="L1675">
        <v>-66.7</v>
      </c>
      <c r="N1675">
        <v>62</v>
      </c>
      <c r="O1675">
        <v>62</v>
      </c>
      <c r="P1675" t="s">
        <v>572</v>
      </c>
      <c r="Q1675" t="s">
        <v>414</v>
      </c>
      <c r="R1675">
        <v>10</v>
      </c>
      <c r="S1675">
        <v>3.23</v>
      </c>
      <c r="T1675">
        <v>277.84199999999998</v>
      </c>
      <c r="V1675">
        <v>277.84199999999998</v>
      </c>
      <c r="W1675" t="s">
        <v>415</v>
      </c>
      <c r="X1675">
        <v>3.8</v>
      </c>
      <c r="Y1675">
        <v>-61.9</v>
      </c>
    </row>
    <row r="1676" spans="1:25" x14ac:dyDescent="0.45">
      <c r="A1676">
        <v>63</v>
      </c>
      <c r="B1676">
        <v>63</v>
      </c>
      <c r="C1676" t="s">
        <v>468</v>
      </c>
      <c r="D1676" t="s">
        <v>414</v>
      </c>
      <c r="E1676">
        <v>10</v>
      </c>
      <c r="F1676">
        <v>3.23</v>
      </c>
      <c r="G1676">
        <v>268.25900000000001</v>
      </c>
      <c r="I1676">
        <v>268.25900000000001</v>
      </c>
      <c r="J1676" t="s">
        <v>415</v>
      </c>
      <c r="K1676">
        <v>4.7</v>
      </c>
      <c r="L1676">
        <v>-53.5</v>
      </c>
      <c r="N1676">
        <v>63</v>
      </c>
      <c r="O1676">
        <v>63</v>
      </c>
      <c r="P1676" t="s">
        <v>573</v>
      </c>
      <c r="Q1676" t="s">
        <v>414</v>
      </c>
      <c r="R1676">
        <v>10</v>
      </c>
      <c r="S1676">
        <v>3.22</v>
      </c>
      <c r="T1676">
        <v>291.36</v>
      </c>
      <c r="V1676">
        <v>291.36</v>
      </c>
      <c r="W1676" t="s">
        <v>415</v>
      </c>
      <c r="X1676">
        <v>4</v>
      </c>
      <c r="Y1676">
        <v>-60.1</v>
      </c>
    </row>
    <row r="1677" spans="1:25" x14ac:dyDescent="0.45">
      <c r="A1677">
        <v>64</v>
      </c>
      <c r="B1677">
        <v>64</v>
      </c>
      <c r="C1677" t="s">
        <v>469</v>
      </c>
      <c r="D1677" t="s">
        <v>414</v>
      </c>
      <c r="E1677">
        <v>10</v>
      </c>
      <c r="F1677">
        <v>3.23</v>
      </c>
      <c r="G1677">
        <v>322.798</v>
      </c>
      <c r="I1677">
        <v>322.798</v>
      </c>
      <c r="J1677" t="s">
        <v>415</v>
      </c>
      <c r="K1677">
        <v>5.6</v>
      </c>
      <c r="L1677">
        <v>-44</v>
      </c>
      <c r="N1677">
        <v>64</v>
      </c>
      <c r="O1677">
        <v>64</v>
      </c>
      <c r="P1677" t="s">
        <v>574</v>
      </c>
      <c r="Q1677" t="s">
        <v>414</v>
      </c>
      <c r="R1677">
        <v>10</v>
      </c>
      <c r="S1677">
        <v>3.22</v>
      </c>
      <c r="T1677">
        <v>284.65100000000001</v>
      </c>
      <c r="V1677">
        <v>284.65100000000001</v>
      </c>
      <c r="W1677" t="s">
        <v>415</v>
      </c>
      <c r="X1677">
        <v>3.9</v>
      </c>
      <c r="Y1677">
        <v>-61</v>
      </c>
    </row>
    <row r="1678" spans="1:25" x14ac:dyDescent="0.45">
      <c r="A1678">
        <v>65</v>
      </c>
      <c r="B1678">
        <v>65</v>
      </c>
      <c r="C1678" t="s">
        <v>470</v>
      </c>
      <c r="D1678" t="s">
        <v>414</v>
      </c>
      <c r="E1678">
        <v>10</v>
      </c>
      <c r="F1678">
        <v>3.23</v>
      </c>
      <c r="G1678">
        <v>294.31400000000002</v>
      </c>
      <c r="I1678">
        <v>294.31400000000002</v>
      </c>
      <c r="J1678" t="s">
        <v>415</v>
      </c>
      <c r="K1678">
        <v>5.0999999999999996</v>
      </c>
      <c r="L1678">
        <v>-48.9</v>
      </c>
      <c r="N1678">
        <v>65</v>
      </c>
      <c r="O1678">
        <v>65</v>
      </c>
      <c r="P1678" t="s">
        <v>575</v>
      </c>
      <c r="Q1678" t="s">
        <v>414</v>
      </c>
      <c r="R1678">
        <v>10</v>
      </c>
      <c r="S1678">
        <v>3.22</v>
      </c>
      <c r="T1678">
        <v>358.49900000000002</v>
      </c>
      <c r="V1678">
        <v>358.49900000000002</v>
      </c>
      <c r="W1678" t="s">
        <v>415</v>
      </c>
      <c r="X1678">
        <v>4.9000000000000004</v>
      </c>
      <c r="Y1678">
        <v>-50.9</v>
      </c>
    </row>
    <row r="1679" spans="1:25" x14ac:dyDescent="0.45">
      <c r="A1679">
        <v>66</v>
      </c>
      <c r="B1679">
        <v>66</v>
      </c>
      <c r="C1679" t="s">
        <v>471</v>
      </c>
      <c r="D1679" t="s">
        <v>414</v>
      </c>
      <c r="E1679">
        <v>10</v>
      </c>
      <c r="F1679">
        <v>3.23</v>
      </c>
      <c r="G1679">
        <v>285.46499999999997</v>
      </c>
      <c r="I1679">
        <v>285.46499999999997</v>
      </c>
      <c r="J1679" t="s">
        <v>415</v>
      </c>
      <c r="K1679">
        <v>5</v>
      </c>
      <c r="L1679">
        <v>-50.5</v>
      </c>
      <c r="N1679">
        <v>66</v>
      </c>
      <c r="O1679">
        <v>66</v>
      </c>
      <c r="P1679" t="s">
        <v>576</v>
      </c>
      <c r="Q1679" t="s">
        <v>414</v>
      </c>
      <c r="R1679">
        <v>10</v>
      </c>
      <c r="S1679">
        <v>3.22</v>
      </c>
      <c r="T1679">
        <v>240.33099999999999</v>
      </c>
      <c r="V1679">
        <v>240.33099999999999</v>
      </c>
      <c r="W1679" t="s">
        <v>415</v>
      </c>
      <c r="X1679">
        <v>3.3</v>
      </c>
      <c r="Y1679">
        <v>-67.099999999999994</v>
      </c>
    </row>
    <row r="1680" spans="1:25" x14ac:dyDescent="0.45">
      <c r="A1680">
        <v>67</v>
      </c>
      <c r="B1680">
        <v>67</v>
      </c>
      <c r="C1680" t="s">
        <v>472</v>
      </c>
      <c r="D1680" t="s">
        <v>414</v>
      </c>
      <c r="E1680">
        <v>10</v>
      </c>
      <c r="F1680">
        <v>3.23</v>
      </c>
      <c r="G1680">
        <v>139.47800000000001</v>
      </c>
      <c r="I1680">
        <v>139.47800000000001</v>
      </c>
      <c r="J1680" t="s">
        <v>415</v>
      </c>
      <c r="K1680">
        <v>2.4</v>
      </c>
      <c r="L1680">
        <v>-75.8</v>
      </c>
      <c r="N1680">
        <v>67</v>
      </c>
      <c r="O1680">
        <v>67</v>
      </c>
      <c r="P1680" t="s">
        <v>577</v>
      </c>
      <c r="Q1680" t="s">
        <v>414</v>
      </c>
      <c r="R1680">
        <v>10</v>
      </c>
      <c r="S1680">
        <v>3.22</v>
      </c>
      <c r="T1680">
        <v>187.32400000000001</v>
      </c>
      <c r="V1680">
        <v>187.32400000000001</v>
      </c>
      <c r="W1680" t="s">
        <v>415</v>
      </c>
      <c r="X1680">
        <v>2.6</v>
      </c>
      <c r="Y1680">
        <v>-74.3</v>
      </c>
    </row>
    <row r="1681" spans="1:25" x14ac:dyDescent="0.45">
      <c r="A1681">
        <v>68</v>
      </c>
      <c r="B1681">
        <v>68</v>
      </c>
      <c r="C1681" t="s">
        <v>473</v>
      </c>
      <c r="D1681" t="s">
        <v>414</v>
      </c>
      <c r="E1681">
        <v>10</v>
      </c>
      <c r="F1681">
        <v>3.23</v>
      </c>
      <c r="G1681">
        <v>214.83799999999999</v>
      </c>
      <c r="I1681">
        <v>214.83799999999999</v>
      </c>
      <c r="J1681" t="s">
        <v>415</v>
      </c>
      <c r="K1681">
        <v>3.7</v>
      </c>
      <c r="L1681">
        <v>-62.7</v>
      </c>
      <c r="N1681">
        <v>68</v>
      </c>
      <c r="O1681">
        <v>68</v>
      </c>
      <c r="P1681" t="s">
        <v>578</v>
      </c>
      <c r="Q1681" t="s">
        <v>414</v>
      </c>
      <c r="R1681">
        <v>10</v>
      </c>
      <c r="S1681">
        <v>3.22</v>
      </c>
      <c r="T1681">
        <v>239.011</v>
      </c>
      <c r="V1681">
        <v>239.011</v>
      </c>
      <c r="W1681" t="s">
        <v>415</v>
      </c>
      <c r="X1681">
        <v>3.3</v>
      </c>
      <c r="Y1681">
        <v>-67.2</v>
      </c>
    </row>
    <row r="1682" spans="1:25" x14ac:dyDescent="0.45">
      <c r="A1682">
        <v>69</v>
      </c>
      <c r="B1682">
        <v>69</v>
      </c>
      <c r="C1682" t="s">
        <v>474</v>
      </c>
      <c r="D1682" t="s">
        <v>414</v>
      </c>
      <c r="E1682">
        <v>10</v>
      </c>
      <c r="F1682">
        <v>3.23</v>
      </c>
      <c r="G1682">
        <v>306.74900000000002</v>
      </c>
      <c r="I1682">
        <v>306.74900000000002</v>
      </c>
      <c r="J1682" t="s">
        <v>415</v>
      </c>
      <c r="K1682">
        <v>5.3</v>
      </c>
      <c r="L1682">
        <v>-46.8</v>
      </c>
      <c r="N1682">
        <v>69</v>
      </c>
      <c r="O1682">
        <v>69</v>
      </c>
      <c r="P1682" t="s">
        <v>579</v>
      </c>
      <c r="Q1682" t="s">
        <v>414</v>
      </c>
      <c r="R1682">
        <v>10</v>
      </c>
      <c r="S1682">
        <v>3.22</v>
      </c>
      <c r="T1682">
        <v>247.1</v>
      </c>
      <c r="V1682">
        <v>247.1</v>
      </c>
      <c r="W1682" t="s">
        <v>415</v>
      </c>
      <c r="X1682">
        <v>3.4</v>
      </c>
      <c r="Y1682">
        <v>-66.099999999999994</v>
      </c>
    </row>
    <row r="1684" spans="1:25" x14ac:dyDescent="0.45">
      <c r="A1684" t="s">
        <v>509</v>
      </c>
      <c r="N1684" t="s">
        <v>509</v>
      </c>
    </row>
    <row r="1686" spans="1:25" x14ac:dyDescent="0.45">
      <c r="B1686" t="s">
        <v>389</v>
      </c>
      <c r="C1686" t="s">
        <v>123</v>
      </c>
      <c r="D1686" t="s">
        <v>390</v>
      </c>
      <c r="E1686" t="s">
        <v>391</v>
      </c>
      <c r="F1686" t="s">
        <v>392</v>
      </c>
      <c r="G1686" t="s">
        <v>393</v>
      </c>
      <c r="H1686" t="s">
        <v>394</v>
      </c>
      <c r="I1686" t="s">
        <v>395</v>
      </c>
      <c r="J1686" t="s">
        <v>396</v>
      </c>
      <c r="K1686" t="s">
        <v>397</v>
      </c>
      <c r="L1686" t="s">
        <v>398</v>
      </c>
      <c r="O1686" t="s">
        <v>389</v>
      </c>
      <c r="P1686" t="s">
        <v>123</v>
      </c>
      <c r="Q1686" t="s">
        <v>390</v>
      </c>
      <c r="R1686" t="s">
        <v>391</v>
      </c>
      <c r="S1686" t="s">
        <v>392</v>
      </c>
      <c r="T1686" t="s">
        <v>393</v>
      </c>
      <c r="U1686" t="s">
        <v>394</v>
      </c>
      <c r="V1686" t="s">
        <v>395</v>
      </c>
      <c r="W1686" t="s">
        <v>396</v>
      </c>
      <c r="X1686" t="s">
        <v>397</v>
      </c>
      <c r="Y1686" t="s">
        <v>398</v>
      </c>
    </row>
    <row r="1687" spans="1:25" x14ac:dyDescent="0.45">
      <c r="A1687">
        <v>1</v>
      </c>
      <c r="B1687">
        <v>1</v>
      </c>
      <c r="C1687" t="s">
        <v>399</v>
      </c>
      <c r="D1687" t="s">
        <v>400</v>
      </c>
      <c r="E1687">
        <v>0.05</v>
      </c>
      <c r="F1687">
        <v>2.76</v>
      </c>
      <c r="G1687">
        <v>230835.375</v>
      </c>
      <c r="I1687">
        <v>230835.375</v>
      </c>
      <c r="J1687" t="s">
        <v>478</v>
      </c>
      <c r="N1687">
        <v>1</v>
      </c>
      <c r="O1687">
        <v>1</v>
      </c>
      <c r="P1687" t="s">
        <v>511</v>
      </c>
      <c r="Q1687" t="s">
        <v>400</v>
      </c>
      <c r="R1687">
        <v>0.05</v>
      </c>
      <c r="S1687">
        <v>2.75</v>
      </c>
      <c r="T1687">
        <v>395026.31300000002</v>
      </c>
      <c r="V1687">
        <v>395026.31300000002</v>
      </c>
      <c r="W1687" t="s">
        <v>476</v>
      </c>
    </row>
    <row r="1688" spans="1:25" x14ac:dyDescent="0.45">
      <c r="A1688">
        <v>2</v>
      </c>
      <c r="B1688">
        <v>2</v>
      </c>
      <c r="C1688" t="s">
        <v>402</v>
      </c>
      <c r="D1688" t="s">
        <v>400</v>
      </c>
      <c r="E1688">
        <v>0.5</v>
      </c>
      <c r="F1688">
        <v>2.75</v>
      </c>
      <c r="G1688">
        <v>1858800.5</v>
      </c>
      <c r="I1688">
        <v>1858800.5</v>
      </c>
      <c r="J1688" t="s">
        <v>401</v>
      </c>
      <c r="K1688">
        <v>0.1</v>
      </c>
      <c r="L1688">
        <v>-73.900000000000006</v>
      </c>
      <c r="N1688">
        <v>2</v>
      </c>
      <c r="O1688">
        <v>2</v>
      </c>
      <c r="P1688" t="s">
        <v>512</v>
      </c>
      <c r="Q1688" t="s">
        <v>400</v>
      </c>
      <c r="R1688">
        <v>0.5</v>
      </c>
      <c r="S1688">
        <v>2.76</v>
      </c>
      <c r="T1688">
        <v>2698150.75</v>
      </c>
      <c r="V1688">
        <v>2698150.75</v>
      </c>
      <c r="W1688" t="s">
        <v>401</v>
      </c>
      <c r="X1688">
        <v>0.2</v>
      </c>
      <c r="Y1688">
        <v>-57.5</v>
      </c>
    </row>
    <row r="1689" spans="1:25" x14ac:dyDescent="0.45">
      <c r="A1689">
        <v>3</v>
      </c>
      <c r="B1689">
        <v>3</v>
      </c>
      <c r="C1689" t="s">
        <v>404</v>
      </c>
      <c r="D1689" t="s">
        <v>400</v>
      </c>
      <c r="E1689">
        <v>1.25</v>
      </c>
      <c r="F1689">
        <v>2.76</v>
      </c>
      <c r="G1689">
        <v>3762883.5</v>
      </c>
      <c r="I1689">
        <v>3762883.5</v>
      </c>
      <c r="J1689" t="s">
        <v>401</v>
      </c>
      <c r="K1689">
        <v>1.8</v>
      </c>
      <c r="L1689">
        <v>44.5</v>
      </c>
      <c r="N1689">
        <v>3</v>
      </c>
      <c r="O1689">
        <v>3</v>
      </c>
      <c r="P1689" t="s">
        <v>513</v>
      </c>
      <c r="Q1689" t="s">
        <v>400</v>
      </c>
      <c r="R1689">
        <v>1.25</v>
      </c>
      <c r="S1689">
        <v>2.76</v>
      </c>
      <c r="T1689">
        <v>4803001</v>
      </c>
      <c r="V1689">
        <v>4803001</v>
      </c>
      <c r="W1689" t="s">
        <v>401</v>
      </c>
      <c r="X1689">
        <v>2.2000000000000002</v>
      </c>
      <c r="Y1689">
        <v>76.900000000000006</v>
      </c>
    </row>
    <row r="1690" spans="1:25" x14ac:dyDescent="0.45">
      <c r="A1690">
        <v>4</v>
      </c>
      <c r="B1690">
        <v>4</v>
      </c>
      <c r="C1690" t="s">
        <v>405</v>
      </c>
      <c r="D1690" t="s">
        <v>400</v>
      </c>
      <c r="E1690">
        <v>2.5</v>
      </c>
      <c r="F1690">
        <v>2.76</v>
      </c>
      <c r="G1690">
        <v>5815989</v>
      </c>
      <c r="I1690">
        <v>5815989</v>
      </c>
      <c r="J1690" t="s">
        <v>401</v>
      </c>
      <c r="K1690">
        <v>3.6</v>
      </c>
      <c r="L1690">
        <v>44.6</v>
      </c>
      <c r="N1690">
        <v>4</v>
      </c>
      <c r="O1690">
        <v>4</v>
      </c>
      <c r="P1690" t="s">
        <v>514</v>
      </c>
      <c r="Q1690" t="s">
        <v>400</v>
      </c>
      <c r="R1690">
        <v>2.5</v>
      </c>
      <c r="S1690">
        <v>2.76</v>
      </c>
      <c r="T1690">
        <v>6565684</v>
      </c>
      <c r="V1690">
        <v>6565684</v>
      </c>
      <c r="W1690" t="s">
        <v>401</v>
      </c>
      <c r="X1690">
        <v>3.9</v>
      </c>
      <c r="Y1690">
        <v>55.4</v>
      </c>
    </row>
    <row r="1691" spans="1:25" x14ac:dyDescent="0.45">
      <c r="A1691">
        <v>5</v>
      </c>
      <c r="B1691">
        <v>5</v>
      </c>
      <c r="C1691" t="s">
        <v>406</v>
      </c>
      <c r="D1691" t="s">
        <v>400</v>
      </c>
      <c r="E1691">
        <v>3.5</v>
      </c>
      <c r="F1691">
        <v>2.76</v>
      </c>
      <c r="G1691">
        <v>6663465.5</v>
      </c>
      <c r="I1691">
        <v>6663465.5</v>
      </c>
      <c r="J1691" t="s">
        <v>415</v>
      </c>
      <c r="K1691">
        <v>4.4000000000000004</v>
      </c>
      <c r="L1691">
        <v>24.6</v>
      </c>
      <c r="N1691">
        <v>5</v>
      </c>
      <c r="O1691">
        <v>5</v>
      </c>
      <c r="P1691" t="s">
        <v>515</v>
      </c>
      <c r="Q1691" t="s">
        <v>400</v>
      </c>
      <c r="R1691">
        <v>3.5</v>
      </c>
      <c r="S1691">
        <v>2.76</v>
      </c>
      <c r="T1691">
        <v>7260990</v>
      </c>
      <c r="V1691">
        <v>7260990</v>
      </c>
      <c r="W1691" t="s">
        <v>401</v>
      </c>
      <c r="X1691">
        <v>4.5</v>
      </c>
      <c r="Y1691">
        <v>29.9</v>
      </c>
    </row>
    <row r="1692" spans="1:25" x14ac:dyDescent="0.45">
      <c r="A1692">
        <v>6</v>
      </c>
      <c r="B1692">
        <v>6</v>
      </c>
      <c r="C1692" t="s">
        <v>407</v>
      </c>
      <c r="D1692" t="s">
        <v>400</v>
      </c>
      <c r="E1692">
        <v>5</v>
      </c>
      <c r="F1692">
        <v>2.76</v>
      </c>
      <c r="G1692">
        <v>7720591.5</v>
      </c>
      <c r="I1692">
        <v>7720591.5</v>
      </c>
      <c r="J1692" t="s">
        <v>401</v>
      </c>
      <c r="K1692">
        <v>5.3</v>
      </c>
      <c r="L1692">
        <v>5.8</v>
      </c>
      <c r="N1692">
        <v>6</v>
      </c>
      <c r="O1692">
        <v>6</v>
      </c>
      <c r="P1692" t="s">
        <v>516</v>
      </c>
      <c r="Q1692" t="s">
        <v>400</v>
      </c>
      <c r="R1692">
        <v>5</v>
      </c>
      <c r="S1692">
        <v>2.76</v>
      </c>
      <c r="T1692">
        <v>8013062.5</v>
      </c>
      <c r="V1692">
        <v>8013062.5</v>
      </c>
      <c r="W1692" t="s">
        <v>401</v>
      </c>
      <c r="X1692">
        <v>5.3</v>
      </c>
      <c r="Y1692">
        <v>5.2</v>
      </c>
    </row>
    <row r="1693" spans="1:25" x14ac:dyDescent="0.45">
      <c r="A1693">
        <v>7</v>
      </c>
      <c r="B1693">
        <v>7</v>
      </c>
      <c r="C1693" t="s">
        <v>408</v>
      </c>
      <c r="D1693" t="s">
        <v>400</v>
      </c>
      <c r="E1693">
        <v>7</v>
      </c>
      <c r="F1693">
        <v>2.76</v>
      </c>
      <c r="G1693">
        <v>8414022</v>
      </c>
      <c r="I1693">
        <v>8414022</v>
      </c>
      <c r="J1693" t="s">
        <v>401</v>
      </c>
      <c r="K1693">
        <v>5.9</v>
      </c>
      <c r="L1693">
        <v>-15.7</v>
      </c>
      <c r="N1693">
        <v>7</v>
      </c>
      <c r="O1693">
        <v>7</v>
      </c>
      <c r="P1693" t="s">
        <v>517</v>
      </c>
      <c r="Q1693" t="s">
        <v>400</v>
      </c>
      <c r="R1693">
        <v>7</v>
      </c>
      <c r="S1693">
        <v>2.76</v>
      </c>
      <c r="T1693">
        <v>8434057</v>
      </c>
      <c r="V1693">
        <v>8434057</v>
      </c>
      <c r="W1693" t="s">
        <v>415</v>
      </c>
      <c r="X1693">
        <v>5.7</v>
      </c>
      <c r="Y1693">
        <v>-19.100000000000001</v>
      </c>
    </row>
    <row r="1694" spans="1:25" x14ac:dyDescent="0.45">
      <c r="A1694">
        <v>8</v>
      </c>
      <c r="B1694">
        <v>8</v>
      </c>
      <c r="C1694" t="s">
        <v>409</v>
      </c>
      <c r="D1694" t="s">
        <v>410</v>
      </c>
      <c r="F1694">
        <v>2.76</v>
      </c>
      <c r="G1694">
        <v>22124.59</v>
      </c>
      <c r="I1694">
        <v>22124.59</v>
      </c>
      <c r="J1694" t="s">
        <v>478</v>
      </c>
      <c r="N1694">
        <v>8</v>
      </c>
      <c r="O1694">
        <v>8</v>
      </c>
      <c r="P1694" t="s">
        <v>518</v>
      </c>
      <c r="Q1694" t="s">
        <v>410</v>
      </c>
      <c r="S1694">
        <v>2.76</v>
      </c>
      <c r="T1694">
        <v>27396.562999999998</v>
      </c>
      <c r="V1694">
        <v>27396.562999999998</v>
      </c>
      <c r="W1694" t="s">
        <v>477</v>
      </c>
    </row>
    <row r="1695" spans="1:25" x14ac:dyDescent="0.45">
      <c r="A1695">
        <v>9</v>
      </c>
      <c r="B1695">
        <v>9</v>
      </c>
      <c r="C1695" t="s">
        <v>411</v>
      </c>
      <c r="D1695" t="s">
        <v>410</v>
      </c>
      <c r="F1695">
        <v>2.76</v>
      </c>
      <c r="G1695">
        <v>5346.6859999999997</v>
      </c>
      <c r="I1695">
        <v>5346.6859999999997</v>
      </c>
      <c r="J1695" t="s">
        <v>478</v>
      </c>
      <c r="N1695">
        <v>9</v>
      </c>
      <c r="O1695">
        <v>9</v>
      </c>
      <c r="P1695" t="s">
        <v>519</v>
      </c>
      <c r="Q1695" t="s">
        <v>410</v>
      </c>
      <c r="S1695">
        <v>2.76</v>
      </c>
      <c r="T1695">
        <v>8047.1679999999997</v>
      </c>
      <c r="V1695">
        <v>8047.1679999999997</v>
      </c>
      <c r="W1695" t="s">
        <v>478</v>
      </c>
    </row>
    <row r="1696" spans="1:25" x14ac:dyDescent="0.45">
      <c r="A1696">
        <v>10</v>
      </c>
      <c r="B1696">
        <v>10</v>
      </c>
      <c r="C1696" t="s">
        <v>413</v>
      </c>
      <c r="D1696" t="s">
        <v>414</v>
      </c>
      <c r="F1696">
        <v>2.75</v>
      </c>
      <c r="G1696">
        <v>3050.3180000000002</v>
      </c>
      <c r="I1696">
        <v>3050.3180000000002</v>
      </c>
      <c r="J1696" t="s">
        <v>478</v>
      </c>
      <c r="N1696">
        <v>10</v>
      </c>
      <c r="O1696">
        <v>10</v>
      </c>
      <c r="P1696" t="s">
        <v>520</v>
      </c>
      <c r="Q1696" t="s">
        <v>414</v>
      </c>
      <c r="S1696">
        <v>2.76</v>
      </c>
      <c r="T1696">
        <v>3143.308</v>
      </c>
      <c r="V1696">
        <v>3143.308</v>
      </c>
      <c r="W1696" t="s">
        <v>478</v>
      </c>
    </row>
    <row r="1697" spans="1:23" x14ac:dyDescent="0.45">
      <c r="A1697">
        <v>11</v>
      </c>
      <c r="B1697">
        <v>11</v>
      </c>
      <c r="C1697" t="s">
        <v>416</v>
      </c>
      <c r="D1697" t="s">
        <v>414</v>
      </c>
      <c r="F1697">
        <v>2.76</v>
      </c>
      <c r="G1697">
        <v>2139.0720000000001</v>
      </c>
      <c r="I1697">
        <v>2139.0720000000001</v>
      </c>
      <c r="J1697" t="s">
        <v>476</v>
      </c>
      <c r="N1697">
        <v>11</v>
      </c>
      <c r="O1697">
        <v>11</v>
      </c>
      <c r="P1697" t="s">
        <v>521</v>
      </c>
      <c r="Q1697" t="s">
        <v>414</v>
      </c>
      <c r="S1697">
        <v>2.76</v>
      </c>
      <c r="T1697">
        <v>2236.1309999999999</v>
      </c>
      <c r="V1697">
        <v>2236.1309999999999</v>
      </c>
      <c r="W1697" t="s">
        <v>478</v>
      </c>
    </row>
    <row r="1698" spans="1:23" x14ac:dyDescent="0.45">
      <c r="A1698">
        <v>12</v>
      </c>
      <c r="B1698">
        <v>12</v>
      </c>
      <c r="C1698" t="s">
        <v>417</v>
      </c>
      <c r="D1698" t="s">
        <v>414</v>
      </c>
      <c r="F1698">
        <v>2.76</v>
      </c>
      <c r="G1698">
        <v>1590.4359999999999</v>
      </c>
      <c r="I1698">
        <v>1590.4359999999999</v>
      </c>
      <c r="J1698" t="s">
        <v>476</v>
      </c>
      <c r="N1698">
        <v>12</v>
      </c>
      <c r="O1698">
        <v>12</v>
      </c>
      <c r="P1698" t="s">
        <v>522</v>
      </c>
      <c r="Q1698" t="s">
        <v>414</v>
      </c>
      <c r="S1698">
        <v>2.76</v>
      </c>
      <c r="T1698">
        <v>1583.056</v>
      </c>
      <c r="V1698">
        <v>1583.056</v>
      </c>
      <c r="W1698" t="s">
        <v>479</v>
      </c>
    </row>
    <row r="1699" spans="1:23" x14ac:dyDescent="0.45">
      <c r="A1699">
        <v>13</v>
      </c>
      <c r="B1699">
        <v>13</v>
      </c>
      <c r="C1699" t="s">
        <v>418</v>
      </c>
      <c r="D1699" t="s">
        <v>414</v>
      </c>
      <c r="F1699">
        <v>2.76</v>
      </c>
      <c r="G1699">
        <v>1663.415</v>
      </c>
      <c r="I1699">
        <v>1663.415</v>
      </c>
      <c r="J1699" t="s">
        <v>478</v>
      </c>
      <c r="N1699">
        <v>13</v>
      </c>
      <c r="O1699">
        <v>13</v>
      </c>
      <c r="P1699" t="s">
        <v>523</v>
      </c>
      <c r="Q1699" t="s">
        <v>414</v>
      </c>
      <c r="S1699">
        <v>2.76</v>
      </c>
      <c r="T1699">
        <v>1498.2719999999999</v>
      </c>
      <c r="V1699">
        <v>1498.2719999999999</v>
      </c>
      <c r="W1699" t="s">
        <v>478</v>
      </c>
    </row>
    <row r="1700" spans="1:23" x14ac:dyDescent="0.45">
      <c r="A1700">
        <v>14</v>
      </c>
      <c r="B1700">
        <v>14</v>
      </c>
      <c r="C1700" t="s">
        <v>419</v>
      </c>
      <c r="D1700" t="s">
        <v>414</v>
      </c>
      <c r="F1700">
        <v>2.76</v>
      </c>
      <c r="G1700">
        <v>1523.713</v>
      </c>
      <c r="I1700">
        <v>1523.713</v>
      </c>
      <c r="J1700" t="s">
        <v>478</v>
      </c>
      <c r="N1700">
        <v>14</v>
      </c>
      <c r="O1700">
        <v>14</v>
      </c>
      <c r="P1700" t="s">
        <v>524</v>
      </c>
      <c r="Q1700" t="s">
        <v>414</v>
      </c>
      <c r="S1700">
        <v>2.76</v>
      </c>
      <c r="T1700">
        <v>1286.4469999999999</v>
      </c>
      <c r="V1700">
        <v>1286.4469999999999</v>
      </c>
      <c r="W1700" t="s">
        <v>479</v>
      </c>
    </row>
    <row r="1701" spans="1:23" x14ac:dyDescent="0.45">
      <c r="A1701">
        <v>15</v>
      </c>
      <c r="B1701">
        <v>15</v>
      </c>
      <c r="C1701" t="s">
        <v>420</v>
      </c>
      <c r="D1701" t="s">
        <v>414</v>
      </c>
      <c r="F1701">
        <v>2.76</v>
      </c>
      <c r="G1701">
        <v>1114.174</v>
      </c>
      <c r="I1701">
        <v>1114.174</v>
      </c>
      <c r="J1701" t="s">
        <v>477</v>
      </c>
      <c r="N1701">
        <v>15</v>
      </c>
      <c r="O1701">
        <v>15</v>
      </c>
      <c r="P1701" t="s">
        <v>525</v>
      </c>
      <c r="Q1701" t="s">
        <v>414</v>
      </c>
      <c r="S1701">
        <v>2.76</v>
      </c>
      <c r="T1701">
        <v>1113.28</v>
      </c>
      <c r="V1701">
        <v>1113.28</v>
      </c>
      <c r="W1701" t="s">
        <v>478</v>
      </c>
    </row>
    <row r="1702" spans="1:23" x14ac:dyDescent="0.45">
      <c r="A1702">
        <v>16</v>
      </c>
      <c r="B1702">
        <v>16</v>
      </c>
      <c r="C1702" t="s">
        <v>421</v>
      </c>
      <c r="D1702" t="s">
        <v>414</v>
      </c>
      <c r="F1702">
        <v>2.76</v>
      </c>
      <c r="G1702">
        <v>1487.902</v>
      </c>
      <c r="I1702">
        <v>1487.902</v>
      </c>
      <c r="J1702" t="s">
        <v>479</v>
      </c>
      <c r="N1702">
        <v>16</v>
      </c>
      <c r="O1702">
        <v>16</v>
      </c>
      <c r="P1702" t="s">
        <v>526</v>
      </c>
      <c r="Q1702" t="s">
        <v>414</v>
      </c>
      <c r="S1702">
        <v>2.75</v>
      </c>
      <c r="T1702">
        <v>829.75300000000004</v>
      </c>
      <c r="V1702">
        <v>829.75300000000004</v>
      </c>
      <c r="W1702" t="s">
        <v>478</v>
      </c>
    </row>
    <row r="1703" spans="1:23" x14ac:dyDescent="0.45">
      <c r="A1703">
        <v>17</v>
      </c>
      <c r="B1703">
        <v>17</v>
      </c>
      <c r="C1703" t="s">
        <v>422</v>
      </c>
      <c r="D1703" t="s">
        <v>414</v>
      </c>
      <c r="F1703">
        <v>2.76</v>
      </c>
      <c r="G1703">
        <v>1001.511</v>
      </c>
      <c r="I1703">
        <v>1001.511</v>
      </c>
      <c r="J1703" t="s">
        <v>479</v>
      </c>
      <c r="N1703">
        <v>17</v>
      </c>
      <c r="O1703">
        <v>17</v>
      </c>
      <c r="P1703" t="s">
        <v>527</v>
      </c>
      <c r="Q1703" t="s">
        <v>414</v>
      </c>
      <c r="S1703">
        <v>2.76</v>
      </c>
      <c r="T1703">
        <v>961.649</v>
      </c>
      <c r="V1703">
        <v>961.649</v>
      </c>
      <c r="W1703" t="s">
        <v>478</v>
      </c>
    </row>
    <row r="1704" spans="1:23" x14ac:dyDescent="0.45">
      <c r="A1704">
        <v>18</v>
      </c>
      <c r="B1704">
        <v>18</v>
      </c>
      <c r="C1704" t="s">
        <v>423</v>
      </c>
      <c r="D1704" t="s">
        <v>414</v>
      </c>
      <c r="F1704">
        <v>2.76</v>
      </c>
      <c r="G1704">
        <v>1462.7380000000001</v>
      </c>
      <c r="I1704">
        <v>1462.7380000000001</v>
      </c>
      <c r="J1704" t="s">
        <v>476</v>
      </c>
      <c r="N1704">
        <v>18</v>
      </c>
      <c r="O1704">
        <v>18</v>
      </c>
      <c r="P1704" t="s">
        <v>528</v>
      </c>
      <c r="Q1704" t="s">
        <v>414</v>
      </c>
      <c r="S1704">
        <v>2.77</v>
      </c>
      <c r="T1704">
        <v>969.12599999999998</v>
      </c>
      <c r="V1704">
        <v>969.12599999999998</v>
      </c>
      <c r="W1704" t="s">
        <v>479</v>
      </c>
    </row>
    <row r="1705" spans="1:23" x14ac:dyDescent="0.45">
      <c r="A1705">
        <v>19</v>
      </c>
      <c r="B1705">
        <v>19</v>
      </c>
      <c r="C1705" t="s">
        <v>424</v>
      </c>
      <c r="D1705" t="s">
        <v>414</v>
      </c>
      <c r="F1705">
        <v>2.76</v>
      </c>
      <c r="G1705">
        <v>1387.364</v>
      </c>
      <c r="I1705">
        <v>1387.364</v>
      </c>
      <c r="J1705" t="s">
        <v>477</v>
      </c>
      <c r="N1705">
        <v>19</v>
      </c>
      <c r="O1705">
        <v>19</v>
      </c>
      <c r="P1705" t="s">
        <v>529</v>
      </c>
      <c r="Q1705" t="s">
        <v>414</v>
      </c>
      <c r="S1705">
        <v>2.76</v>
      </c>
      <c r="T1705">
        <v>659.13499999999999</v>
      </c>
      <c r="V1705">
        <v>659.13499999999999</v>
      </c>
      <c r="W1705" t="s">
        <v>477</v>
      </c>
    </row>
    <row r="1706" spans="1:23" x14ac:dyDescent="0.45">
      <c r="A1706">
        <v>20</v>
      </c>
      <c r="B1706">
        <v>20</v>
      </c>
      <c r="C1706" t="s">
        <v>425</v>
      </c>
      <c r="D1706" t="s">
        <v>414</v>
      </c>
      <c r="F1706">
        <v>2.76</v>
      </c>
      <c r="G1706">
        <v>1276.4079999999999</v>
      </c>
      <c r="I1706">
        <v>1276.4079999999999</v>
      </c>
      <c r="J1706" t="s">
        <v>478</v>
      </c>
      <c r="N1706">
        <v>20</v>
      </c>
      <c r="O1706">
        <v>20</v>
      </c>
      <c r="P1706" t="s">
        <v>530</v>
      </c>
      <c r="Q1706" t="s">
        <v>414</v>
      </c>
      <c r="S1706">
        <v>2.77</v>
      </c>
      <c r="T1706">
        <v>571.47500000000002</v>
      </c>
      <c r="V1706">
        <v>571.47500000000002</v>
      </c>
      <c r="W1706" t="s">
        <v>478</v>
      </c>
    </row>
    <row r="1707" spans="1:23" x14ac:dyDescent="0.45">
      <c r="A1707">
        <v>21</v>
      </c>
      <c r="B1707">
        <v>21</v>
      </c>
      <c r="C1707" t="s">
        <v>426</v>
      </c>
      <c r="D1707" t="s">
        <v>414</v>
      </c>
      <c r="F1707">
        <v>2.76</v>
      </c>
      <c r="G1707">
        <v>1161.116</v>
      </c>
      <c r="I1707">
        <v>1161.116</v>
      </c>
      <c r="J1707" t="s">
        <v>478</v>
      </c>
      <c r="N1707">
        <v>21</v>
      </c>
      <c r="O1707">
        <v>21</v>
      </c>
      <c r="P1707" t="s">
        <v>531</v>
      </c>
      <c r="Q1707" t="s">
        <v>414</v>
      </c>
      <c r="S1707">
        <v>2.76</v>
      </c>
      <c r="T1707">
        <v>584.68200000000002</v>
      </c>
      <c r="V1707">
        <v>584.68200000000002</v>
      </c>
      <c r="W1707" t="s">
        <v>479</v>
      </c>
    </row>
    <row r="1708" spans="1:23" x14ac:dyDescent="0.45">
      <c r="A1708">
        <v>22</v>
      </c>
      <c r="B1708">
        <v>22</v>
      </c>
      <c r="C1708" t="s">
        <v>427</v>
      </c>
      <c r="D1708" t="s">
        <v>414</v>
      </c>
      <c r="F1708">
        <v>2.77</v>
      </c>
      <c r="G1708">
        <v>1268.258</v>
      </c>
      <c r="I1708">
        <v>1268.258</v>
      </c>
      <c r="J1708" t="s">
        <v>476</v>
      </c>
      <c r="N1708">
        <v>22</v>
      </c>
      <c r="O1708">
        <v>22</v>
      </c>
      <c r="P1708" t="s">
        <v>532</v>
      </c>
      <c r="Q1708" t="s">
        <v>414</v>
      </c>
      <c r="S1708">
        <v>2.76</v>
      </c>
      <c r="T1708">
        <v>620.60299999999995</v>
      </c>
      <c r="V1708">
        <v>620.60299999999995</v>
      </c>
      <c r="W1708" t="s">
        <v>478</v>
      </c>
    </row>
    <row r="1709" spans="1:23" x14ac:dyDescent="0.45">
      <c r="A1709">
        <v>23</v>
      </c>
      <c r="B1709">
        <v>23</v>
      </c>
      <c r="C1709" t="s">
        <v>428</v>
      </c>
      <c r="D1709" t="s">
        <v>414</v>
      </c>
      <c r="F1709">
        <v>2.76</v>
      </c>
      <c r="G1709">
        <v>1036.6199999999999</v>
      </c>
      <c r="I1709">
        <v>1036.6199999999999</v>
      </c>
      <c r="J1709" t="s">
        <v>478</v>
      </c>
      <c r="N1709">
        <v>23</v>
      </c>
      <c r="O1709">
        <v>23</v>
      </c>
      <c r="P1709" t="s">
        <v>533</v>
      </c>
      <c r="Q1709" t="s">
        <v>414</v>
      </c>
      <c r="S1709">
        <v>2.76</v>
      </c>
      <c r="T1709">
        <v>608.53599999999994</v>
      </c>
      <c r="V1709">
        <v>608.53599999999994</v>
      </c>
      <c r="W1709" t="s">
        <v>478</v>
      </c>
    </row>
    <row r="1710" spans="1:23" x14ac:dyDescent="0.45">
      <c r="A1710">
        <v>24</v>
      </c>
      <c r="B1710">
        <v>24</v>
      </c>
      <c r="C1710" t="s">
        <v>429</v>
      </c>
      <c r="D1710" t="s">
        <v>414</v>
      </c>
      <c r="F1710">
        <v>2.76</v>
      </c>
      <c r="G1710">
        <v>984.02499999999998</v>
      </c>
      <c r="I1710">
        <v>984.02499999999998</v>
      </c>
      <c r="J1710" t="s">
        <v>476</v>
      </c>
      <c r="N1710">
        <v>24</v>
      </c>
      <c r="O1710">
        <v>24</v>
      </c>
      <c r="P1710" t="s">
        <v>534</v>
      </c>
      <c r="Q1710" t="s">
        <v>414</v>
      </c>
      <c r="S1710">
        <v>2.76</v>
      </c>
      <c r="T1710">
        <v>435.81799999999998</v>
      </c>
      <c r="V1710">
        <v>435.81799999999998</v>
      </c>
      <c r="W1710" t="s">
        <v>479</v>
      </c>
    </row>
    <row r="1711" spans="1:23" x14ac:dyDescent="0.45">
      <c r="A1711">
        <v>25</v>
      </c>
      <c r="B1711">
        <v>25</v>
      </c>
      <c r="C1711" t="s">
        <v>430</v>
      </c>
      <c r="D1711" t="s">
        <v>414</v>
      </c>
      <c r="F1711">
        <v>2.76</v>
      </c>
      <c r="G1711">
        <v>1429.356</v>
      </c>
      <c r="I1711">
        <v>1429.356</v>
      </c>
      <c r="J1711" t="s">
        <v>479</v>
      </c>
      <c r="N1711">
        <v>25</v>
      </c>
      <c r="O1711">
        <v>25</v>
      </c>
      <c r="P1711" t="s">
        <v>535</v>
      </c>
      <c r="Q1711" t="s">
        <v>414</v>
      </c>
      <c r="S1711">
        <v>2.76</v>
      </c>
      <c r="T1711">
        <v>373.12200000000001</v>
      </c>
      <c r="V1711">
        <v>373.12200000000001</v>
      </c>
      <c r="W1711" t="s">
        <v>479</v>
      </c>
    </row>
    <row r="1712" spans="1:23" x14ac:dyDescent="0.45">
      <c r="A1712">
        <v>26</v>
      </c>
      <c r="B1712">
        <v>26</v>
      </c>
      <c r="C1712" t="s">
        <v>431</v>
      </c>
      <c r="D1712" t="s">
        <v>414</v>
      </c>
      <c r="F1712">
        <v>2.77</v>
      </c>
      <c r="G1712">
        <v>1220.2070000000001</v>
      </c>
      <c r="I1712">
        <v>1220.2070000000001</v>
      </c>
      <c r="J1712" t="s">
        <v>478</v>
      </c>
      <c r="N1712">
        <v>26</v>
      </c>
      <c r="O1712">
        <v>26</v>
      </c>
      <c r="P1712" t="s">
        <v>536</v>
      </c>
      <c r="Q1712" t="s">
        <v>414</v>
      </c>
      <c r="S1712">
        <v>2.76</v>
      </c>
      <c r="T1712">
        <v>536.07000000000005</v>
      </c>
      <c r="V1712">
        <v>536.07000000000005</v>
      </c>
      <c r="W1712" t="s">
        <v>478</v>
      </c>
    </row>
    <row r="1713" spans="1:23" x14ac:dyDescent="0.45">
      <c r="A1713">
        <v>27</v>
      </c>
      <c r="B1713">
        <v>27</v>
      </c>
      <c r="C1713" t="s">
        <v>432</v>
      </c>
      <c r="D1713" t="s">
        <v>414</v>
      </c>
      <c r="F1713">
        <v>2.76</v>
      </c>
      <c r="G1713">
        <v>1147.143</v>
      </c>
      <c r="I1713">
        <v>1147.143</v>
      </c>
      <c r="J1713" t="s">
        <v>478</v>
      </c>
      <c r="N1713">
        <v>27</v>
      </c>
      <c r="O1713">
        <v>27</v>
      </c>
      <c r="P1713" t="s">
        <v>537</v>
      </c>
      <c r="Q1713" t="s">
        <v>414</v>
      </c>
      <c r="S1713">
        <v>2.76</v>
      </c>
      <c r="T1713">
        <v>422.00700000000001</v>
      </c>
      <c r="V1713">
        <v>422.00700000000001</v>
      </c>
      <c r="W1713" t="s">
        <v>476</v>
      </c>
    </row>
    <row r="1714" spans="1:23" x14ac:dyDescent="0.45">
      <c r="A1714">
        <v>28</v>
      </c>
      <c r="B1714">
        <v>28</v>
      </c>
      <c r="C1714" t="s">
        <v>433</v>
      </c>
      <c r="D1714" t="s">
        <v>414</v>
      </c>
      <c r="F1714">
        <v>2.76</v>
      </c>
      <c r="G1714">
        <v>1159.2670000000001</v>
      </c>
      <c r="I1714">
        <v>1159.2670000000001</v>
      </c>
      <c r="J1714" t="s">
        <v>478</v>
      </c>
      <c r="N1714">
        <v>28</v>
      </c>
      <c r="O1714">
        <v>28</v>
      </c>
      <c r="P1714" t="s">
        <v>538</v>
      </c>
      <c r="Q1714" t="s">
        <v>414</v>
      </c>
      <c r="S1714">
        <v>3.25</v>
      </c>
      <c r="T1714">
        <v>166.13200000000001</v>
      </c>
      <c r="V1714">
        <v>166.13200000000001</v>
      </c>
      <c r="W1714" t="s">
        <v>477</v>
      </c>
    </row>
    <row r="1715" spans="1:23" x14ac:dyDescent="0.45">
      <c r="A1715">
        <v>29</v>
      </c>
      <c r="B1715">
        <v>29</v>
      </c>
      <c r="C1715" t="s">
        <v>434</v>
      </c>
      <c r="D1715" t="s">
        <v>414</v>
      </c>
      <c r="F1715">
        <v>2.76</v>
      </c>
      <c r="G1715">
        <v>1251.5619999999999</v>
      </c>
      <c r="I1715">
        <v>1251.5619999999999</v>
      </c>
      <c r="J1715" t="s">
        <v>478</v>
      </c>
      <c r="N1715">
        <v>29</v>
      </c>
      <c r="O1715">
        <v>29</v>
      </c>
      <c r="P1715" t="s">
        <v>539</v>
      </c>
      <c r="Q1715" t="s">
        <v>414</v>
      </c>
      <c r="S1715">
        <v>2.77</v>
      </c>
      <c r="T1715">
        <v>250.91499999999999</v>
      </c>
      <c r="V1715">
        <v>250.91499999999999</v>
      </c>
      <c r="W1715" t="s">
        <v>476</v>
      </c>
    </row>
    <row r="1716" spans="1:23" x14ac:dyDescent="0.45">
      <c r="A1716">
        <v>30</v>
      </c>
      <c r="B1716">
        <v>30</v>
      </c>
      <c r="C1716" t="s">
        <v>435</v>
      </c>
      <c r="D1716" t="s">
        <v>414</v>
      </c>
      <c r="F1716">
        <v>2.76</v>
      </c>
      <c r="G1716">
        <v>1055.6679999999999</v>
      </c>
      <c r="I1716">
        <v>1055.6679999999999</v>
      </c>
      <c r="J1716" t="s">
        <v>476</v>
      </c>
      <c r="N1716">
        <v>30</v>
      </c>
      <c r="O1716">
        <v>30</v>
      </c>
      <c r="P1716" t="s">
        <v>540</v>
      </c>
      <c r="Q1716" t="s">
        <v>414</v>
      </c>
      <c r="S1716">
        <v>3.24</v>
      </c>
      <c r="T1716">
        <v>361.61900000000003</v>
      </c>
      <c r="V1716">
        <v>361.61900000000003</v>
      </c>
      <c r="W1716" t="s">
        <v>478</v>
      </c>
    </row>
    <row r="1717" spans="1:23" x14ac:dyDescent="0.45">
      <c r="A1717">
        <v>31</v>
      </c>
      <c r="B1717">
        <v>31</v>
      </c>
      <c r="C1717" t="s">
        <v>436</v>
      </c>
      <c r="D1717" t="s">
        <v>414</v>
      </c>
      <c r="F1717">
        <v>2.77</v>
      </c>
      <c r="G1717">
        <v>916.74099999999999</v>
      </c>
      <c r="I1717">
        <v>916.74099999999999</v>
      </c>
      <c r="J1717" t="s">
        <v>477</v>
      </c>
      <c r="N1717">
        <v>31</v>
      </c>
      <c r="O1717">
        <v>31</v>
      </c>
      <c r="P1717" t="s">
        <v>541</v>
      </c>
      <c r="Q1717" t="s">
        <v>414</v>
      </c>
      <c r="S1717">
        <v>2.77</v>
      </c>
      <c r="T1717">
        <v>604.21100000000001</v>
      </c>
      <c r="V1717">
        <v>604.21100000000001</v>
      </c>
      <c r="W1717" t="s">
        <v>478</v>
      </c>
    </row>
    <row r="1718" spans="1:23" x14ac:dyDescent="0.45">
      <c r="A1718">
        <v>32</v>
      </c>
      <c r="B1718">
        <v>32</v>
      </c>
      <c r="C1718" t="s">
        <v>437</v>
      </c>
      <c r="D1718" t="s">
        <v>414</v>
      </c>
      <c r="F1718">
        <v>2.77</v>
      </c>
      <c r="G1718">
        <v>929.28</v>
      </c>
      <c r="I1718">
        <v>929.28</v>
      </c>
      <c r="J1718" t="s">
        <v>476</v>
      </c>
      <c r="N1718">
        <v>32</v>
      </c>
      <c r="O1718">
        <v>32</v>
      </c>
      <c r="P1718" t="s">
        <v>542</v>
      </c>
      <c r="Q1718" t="s">
        <v>414</v>
      </c>
      <c r="S1718">
        <v>2.76</v>
      </c>
      <c r="T1718">
        <v>272.30900000000003</v>
      </c>
      <c r="V1718">
        <v>272.30900000000003</v>
      </c>
      <c r="W1718" t="s">
        <v>478</v>
      </c>
    </row>
    <row r="1719" spans="1:23" x14ac:dyDescent="0.45">
      <c r="A1719">
        <v>33</v>
      </c>
      <c r="B1719">
        <v>33</v>
      </c>
      <c r="C1719" t="s">
        <v>438</v>
      </c>
      <c r="D1719" t="s">
        <v>414</v>
      </c>
      <c r="F1719">
        <v>2.76</v>
      </c>
      <c r="G1719">
        <v>793.745</v>
      </c>
      <c r="I1719">
        <v>793.745</v>
      </c>
      <c r="J1719" t="s">
        <v>478</v>
      </c>
      <c r="N1719">
        <v>33</v>
      </c>
      <c r="O1719">
        <v>33</v>
      </c>
      <c r="P1719" t="s">
        <v>543</v>
      </c>
      <c r="Q1719" t="s">
        <v>414</v>
      </c>
      <c r="S1719">
        <v>2.77</v>
      </c>
      <c r="T1719">
        <v>328.68299999999999</v>
      </c>
      <c r="V1719">
        <v>328.68299999999999</v>
      </c>
      <c r="W1719" t="s">
        <v>478</v>
      </c>
    </row>
    <row r="1720" spans="1:23" x14ac:dyDescent="0.45">
      <c r="A1720">
        <v>34</v>
      </c>
      <c r="B1720">
        <v>34</v>
      </c>
      <c r="C1720" t="s">
        <v>439</v>
      </c>
      <c r="D1720" t="s">
        <v>414</v>
      </c>
      <c r="F1720">
        <v>2.77</v>
      </c>
      <c r="G1720">
        <v>1067.425</v>
      </c>
      <c r="I1720">
        <v>1067.425</v>
      </c>
      <c r="J1720" t="s">
        <v>479</v>
      </c>
      <c r="N1720">
        <v>34</v>
      </c>
      <c r="O1720">
        <v>34</v>
      </c>
      <c r="P1720" t="s">
        <v>544</v>
      </c>
      <c r="Q1720" t="s">
        <v>414</v>
      </c>
      <c r="S1720">
        <v>3.24</v>
      </c>
      <c r="T1720">
        <v>197.20699999999999</v>
      </c>
      <c r="V1720">
        <v>197.20699999999999</v>
      </c>
      <c r="W1720" t="s">
        <v>478</v>
      </c>
    </row>
    <row r="1721" spans="1:23" x14ac:dyDescent="0.45">
      <c r="A1721">
        <v>35</v>
      </c>
      <c r="B1721">
        <v>35</v>
      </c>
      <c r="C1721" t="s">
        <v>440</v>
      </c>
      <c r="D1721" t="s">
        <v>414</v>
      </c>
      <c r="F1721">
        <v>2.76</v>
      </c>
      <c r="G1721">
        <v>919.09299999999996</v>
      </c>
      <c r="I1721">
        <v>919.09299999999996</v>
      </c>
      <c r="J1721" t="s">
        <v>479</v>
      </c>
      <c r="N1721">
        <v>35</v>
      </c>
      <c r="O1721">
        <v>35</v>
      </c>
      <c r="P1721" t="s">
        <v>545</v>
      </c>
      <c r="Q1721" t="s">
        <v>414</v>
      </c>
      <c r="S1721">
        <v>3.24</v>
      </c>
      <c r="T1721">
        <v>340.65499999999997</v>
      </c>
      <c r="V1721">
        <v>340.65499999999997</v>
      </c>
      <c r="W1721" t="s">
        <v>478</v>
      </c>
    </row>
    <row r="1722" spans="1:23" x14ac:dyDescent="0.45">
      <c r="A1722">
        <v>36</v>
      </c>
      <c r="B1722">
        <v>36</v>
      </c>
      <c r="C1722" t="s">
        <v>441</v>
      </c>
      <c r="D1722" t="s">
        <v>414</v>
      </c>
      <c r="F1722">
        <v>2.77</v>
      </c>
      <c r="G1722">
        <v>870.154</v>
      </c>
      <c r="I1722">
        <v>870.154</v>
      </c>
      <c r="J1722" t="s">
        <v>478</v>
      </c>
      <c r="N1722">
        <v>36</v>
      </c>
      <c r="O1722">
        <v>36</v>
      </c>
      <c r="P1722" t="s">
        <v>546</v>
      </c>
      <c r="Q1722" t="s">
        <v>414</v>
      </c>
      <c r="S1722">
        <v>3.25</v>
      </c>
      <c r="T1722">
        <v>323.48099999999999</v>
      </c>
      <c r="V1722">
        <v>323.48099999999999</v>
      </c>
      <c r="W1722" t="s">
        <v>478</v>
      </c>
    </row>
    <row r="1723" spans="1:23" x14ac:dyDescent="0.45">
      <c r="A1723">
        <v>37</v>
      </c>
      <c r="B1723">
        <v>37</v>
      </c>
      <c r="C1723" t="s">
        <v>442</v>
      </c>
      <c r="D1723" t="s">
        <v>414</v>
      </c>
      <c r="F1723">
        <v>2.77</v>
      </c>
      <c r="G1723">
        <v>918.72299999999996</v>
      </c>
      <c r="I1723">
        <v>918.72299999999996</v>
      </c>
      <c r="J1723" t="s">
        <v>477</v>
      </c>
      <c r="N1723">
        <v>37</v>
      </c>
      <c r="O1723">
        <v>37</v>
      </c>
      <c r="P1723" t="s">
        <v>547</v>
      </c>
      <c r="Q1723" t="s">
        <v>414</v>
      </c>
      <c r="S1723">
        <v>2.78</v>
      </c>
      <c r="T1723">
        <v>235.89</v>
      </c>
      <c r="V1723">
        <v>235.89</v>
      </c>
      <c r="W1723" t="s">
        <v>478</v>
      </c>
    </row>
    <row r="1724" spans="1:23" x14ac:dyDescent="0.45">
      <c r="A1724">
        <v>38</v>
      </c>
      <c r="B1724">
        <v>38</v>
      </c>
      <c r="C1724" t="s">
        <v>443</v>
      </c>
      <c r="D1724" t="s">
        <v>414</v>
      </c>
      <c r="F1724">
        <v>2.77</v>
      </c>
      <c r="G1724">
        <v>875.70299999999997</v>
      </c>
      <c r="I1724">
        <v>875.70299999999997</v>
      </c>
      <c r="J1724" t="s">
        <v>479</v>
      </c>
      <c r="N1724">
        <v>38</v>
      </c>
      <c r="O1724">
        <v>38</v>
      </c>
      <c r="P1724" t="s">
        <v>548</v>
      </c>
      <c r="Q1724" t="s">
        <v>414</v>
      </c>
      <c r="S1724">
        <v>3.23</v>
      </c>
      <c r="T1724">
        <v>170.649</v>
      </c>
      <c r="V1724">
        <v>170.649</v>
      </c>
      <c r="W1724" t="s">
        <v>478</v>
      </c>
    </row>
    <row r="1725" spans="1:23" x14ac:dyDescent="0.45">
      <c r="A1725">
        <v>39</v>
      </c>
      <c r="B1725">
        <v>39</v>
      </c>
      <c r="C1725" t="s">
        <v>444</v>
      </c>
      <c r="D1725" t="s">
        <v>414</v>
      </c>
      <c r="F1725">
        <v>2.77</v>
      </c>
      <c r="G1725">
        <v>951.51400000000001</v>
      </c>
      <c r="I1725">
        <v>951.51400000000001</v>
      </c>
      <c r="J1725" t="s">
        <v>478</v>
      </c>
      <c r="N1725">
        <v>39</v>
      </c>
      <c r="O1725">
        <v>39</v>
      </c>
      <c r="P1725" t="s">
        <v>549</v>
      </c>
      <c r="Q1725" t="s">
        <v>414</v>
      </c>
      <c r="S1725">
        <v>2.42</v>
      </c>
      <c r="T1725">
        <v>161.601</v>
      </c>
      <c r="V1725">
        <v>161.601</v>
      </c>
      <c r="W1725" t="s">
        <v>476</v>
      </c>
    </row>
    <row r="1726" spans="1:23" x14ac:dyDescent="0.45">
      <c r="A1726">
        <v>40</v>
      </c>
      <c r="B1726">
        <v>40</v>
      </c>
      <c r="C1726" t="s">
        <v>445</v>
      </c>
      <c r="D1726" t="s">
        <v>414</v>
      </c>
      <c r="F1726">
        <v>2.77</v>
      </c>
      <c r="G1726">
        <v>869.86300000000006</v>
      </c>
      <c r="I1726">
        <v>869.86300000000006</v>
      </c>
      <c r="J1726" t="s">
        <v>478</v>
      </c>
      <c r="N1726">
        <v>40</v>
      </c>
      <c r="O1726">
        <v>40</v>
      </c>
      <c r="P1726" t="s">
        <v>550</v>
      </c>
      <c r="Q1726" t="s">
        <v>414</v>
      </c>
      <c r="S1726">
        <v>3.25</v>
      </c>
      <c r="T1726">
        <v>241.10499999999999</v>
      </c>
      <c r="V1726">
        <v>241.10499999999999</v>
      </c>
      <c r="W1726" t="s">
        <v>478</v>
      </c>
    </row>
    <row r="1727" spans="1:23" x14ac:dyDescent="0.45">
      <c r="A1727">
        <v>41</v>
      </c>
      <c r="B1727">
        <v>41</v>
      </c>
      <c r="C1727" t="s">
        <v>446</v>
      </c>
      <c r="D1727" t="s">
        <v>414</v>
      </c>
      <c r="F1727">
        <v>2.77</v>
      </c>
      <c r="G1727">
        <v>855.58299999999997</v>
      </c>
      <c r="I1727">
        <v>855.58299999999997</v>
      </c>
      <c r="J1727" t="s">
        <v>478</v>
      </c>
      <c r="N1727">
        <v>41</v>
      </c>
      <c r="O1727">
        <v>41</v>
      </c>
      <c r="P1727" t="s">
        <v>551</v>
      </c>
      <c r="Q1727" t="s">
        <v>414</v>
      </c>
      <c r="S1727">
        <v>3.25</v>
      </c>
      <c r="T1727">
        <v>345.49299999999999</v>
      </c>
      <c r="V1727">
        <v>345.49299999999999</v>
      </c>
      <c r="W1727" t="s">
        <v>476</v>
      </c>
    </row>
    <row r="1728" spans="1:23" x14ac:dyDescent="0.45">
      <c r="A1728">
        <v>42</v>
      </c>
      <c r="B1728">
        <v>42</v>
      </c>
      <c r="C1728" t="s">
        <v>447</v>
      </c>
      <c r="D1728" t="s">
        <v>414</v>
      </c>
      <c r="F1728">
        <v>2.76</v>
      </c>
      <c r="G1728">
        <v>785.11300000000006</v>
      </c>
      <c r="I1728">
        <v>785.11300000000006</v>
      </c>
      <c r="J1728" t="s">
        <v>479</v>
      </c>
      <c r="N1728">
        <v>42</v>
      </c>
      <c r="O1728">
        <v>42</v>
      </c>
      <c r="P1728" t="s">
        <v>552</v>
      </c>
      <c r="Q1728" t="s">
        <v>414</v>
      </c>
      <c r="S1728">
        <v>3.26</v>
      </c>
      <c r="T1728">
        <v>336.26400000000001</v>
      </c>
      <c r="V1728">
        <v>336.26400000000001</v>
      </c>
      <c r="W1728" t="s">
        <v>476</v>
      </c>
    </row>
    <row r="1729" spans="1:23" x14ac:dyDescent="0.45">
      <c r="A1729">
        <v>43</v>
      </c>
      <c r="B1729">
        <v>43</v>
      </c>
      <c r="C1729" t="s">
        <v>448</v>
      </c>
      <c r="D1729" t="s">
        <v>414</v>
      </c>
      <c r="F1729">
        <v>2.77</v>
      </c>
      <c r="G1729">
        <v>828.28399999999999</v>
      </c>
      <c r="I1729">
        <v>828.28399999999999</v>
      </c>
      <c r="J1729" t="s">
        <v>479</v>
      </c>
      <c r="N1729">
        <v>43</v>
      </c>
      <c r="O1729">
        <v>43</v>
      </c>
      <c r="P1729" t="s">
        <v>553</v>
      </c>
      <c r="Q1729" t="s">
        <v>414</v>
      </c>
      <c r="S1729">
        <v>2.4700000000000002</v>
      </c>
      <c r="T1729">
        <v>225.917</v>
      </c>
      <c r="V1729">
        <v>225.917</v>
      </c>
      <c r="W1729" t="s">
        <v>478</v>
      </c>
    </row>
    <row r="1730" spans="1:23" x14ac:dyDescent="0.45">
      <c r="A1730">
        <v>44</v>
      </c>
      <c r="B1730">
        <v>44</v>
      </c>
      <c r="C1730" t="s">
        <v>449</v>
      </c>
      <c r="D1730" t="s">
        <v>414</v>
      </c>
      <c r="F1730">
        <v>2.76</v>
      </c>
      <c r="G1730">
        <v>824.38400000000001</v>
      </c>
      <c r="I1730">
        <v>824.38400000000001</v>
      </c>
      <c r="J1730" t="s">
        <v>478</v>
      </c>
      <c r="N1730">
        <v>44</v>
      </c>
      <c r="O1730">
        <v>44</v>
      </c>
      <c r="P1730" t="s">
        <v>554</v>
      </c>
      <c r="Q1730" t="s">
        <v>414</v>
      </c>
      <c r="S1730">
        <v>3.23</v>
      </c>
      <c r="T1730">
        <v>286.73099999999999</v>
      </c>
      <c r="V1730">
        <v>286.73099999999999</v>
      </c>
      <c r="W1730" t="s">
        <v>478</v>
      </c>
    </row>
    <row r="1731" spans="1:23" x14ac:dyDescent="0.45">
      <c r="A1731">
        <v>45</v>
      </c>
      <c r="B1731">
        <v>45</v>
      </c>
      <c r="C1731" t="s">
        <v>450</v>
      </c>
      <c r="D1731" t="s">
        <v>414</v>
      </c>
      <c r="F1731">
        <v>2.76</v>
      </c>
      <c r="G1731">
        <v>1024.8040000000001</v>
      </c>
      <c r="I1731">
        <v>1024.8040000000001</v>
      </c>
      <c r="J1731" t="s">
        <v>479</v>
      </c>
      <c r="N1731">
        <v>45</v>
      </c>
      <c r="O1731">
        <v>45</v>
      </c>
      <c r="P1731" t="s">
        <v>555</v>
      </c>
      <c r="Q1731" t="s">
        <v>414</v>
      </c>
      <c r="S1731">
        <v>3.25</v>
      </c>
      <c r="T1731">
        <v>344.29199999999997</v>
      </c>
      <c r="V1731">
        <v>344.29199999999997</v>
      </c>
      <c r="W1731" t="s">
        <v>478</v>
      </c>
    </row>
    <row r="1732" spans="1:23" x14ac:dyDescent="0.45">
      <c r="A1732">
        <v>46</v>
      </c>
      <c r="B1732">
        <v>46</v>
      </c>
      <c r="C1732" t="s">
        <v>451</v>
      </c>
      <c r="D1732" t="s">
        <v>414</v>
      </c>
      <c r="F1732">
        <v>2.76</v>
      </c>
      <c r="G1732">
        <v>770.07500000000005</v>
      </c>
      <c r="I1732">
        <v>770.07500000000005</v>
      </c>
      <c r="J1732" t="s">
        <v>476</v>
      </c>
      <c r="N1732">
        <v>46</v>
      </c>
      <c r="O1732">
        <v>46</v>
      </c>
      <c r="P1732" t="s">
        <v>556</v>
      </c>
      <c r="Q1732" t="s">
        <v>414</v>
      </c>
      <c r="S1732">
        <v>2.44</v>
      </c>
      <c r="T1732">
        <v>160.97999999999999</v>
      </c>
      <c r="V1732">
        <v>160.97999999999999</v>
      </c>
      <c r="W1732" t="s">
        <v>478</v>
      </c>
    </row>
    <row r="1733" spans="1:23" x14ac:dyDescent="0.45">
      <c r="A1733">
        <v>47</v>
      </c>
      <c r="B1733">
        <v>47</v>
      </c>
      <c r="C1733" t="s">
        <v>452</v>
      </c>
      <c r="D1733" t="s">
        <v>414</v>
      </c>
      <c r="F1733">
        <v>2.76</v>
      </c>
      <c r="G1733">
        <v>758.53399999999999</v>
      </c>
      <c r="I1733">
        <v>758.53399999999999</v>
      </c>
      <c r="J1733" t="s">
        <v>479</v>
      </c>
      <c r="N1733">
        <v>47</v>
      </c>
      <c r="O1733">
        <v>47</v>
      </c>
      <c r="P1733" t="s">
        <v>557</v>
      </c>
      <c r="Q1733" t="s">
        <v>414</v>
      </c>
      <c r="S1733">
        <v>3.23</v>
      </c>
      <c r="T1733">
        <v>241.21299999999999</v>
      </c>
      <c r="V1733">
        <v>241.21299999999999</v>
      </c>
      <c r="W1733" t="s">
        <v>476</v>
      </c>
    </row>
    <row r="1734" spans="1:23" x14ac:dyDescent="0.45">
      <c r="A1734">
        <v>48</v>
      </c>
      <c r="B1734">
        <v>48</v>
      </c>
      <c r="C1734" t="s">
        <v>453</v>
      </c>
      <c r="D1734" t="s">
        <v>414</v>
      </c>
      <c r="F1734">
        <v>2.76</v>
      </c>
      <c r="G1734">
        <v>686.20100000000002</v>
      </c>
      <c r="I1734">
        <v>686.20100000000002</v>
      </c>
      <c r="J1734" t="s">
        <v>479</v>
      </c>
      <c r="N1734">
        <v>48</v>
      </c>
      <c r="O1734">
        <v>48</v>
      </c>
      <c r="P1734" t="s">
        <v>558</v>
      </c>
      <c r="Q1734" t="s">
        <v>414</v>
      </c>
      <c r="S1734">
        <v>2.42</v>
      </c>
      <c r="T1734">
        <v>290.88600000000002</v>
      </c>
      <c r="V1734">
        <v>290.88600000000002</v>
      </c>
      <c r="W1734" t="s">
        <v>478</v>
      </c>
    </row>
    <row r="1735" spans="1:23" x14ac:dyDescent="0.45">
      <c r="A1735">
        <v>49</v>
      </c>
      <c r="B1735">
        <v>49</v>
      </c>
      <c r="C1735" t="s">
        <v>454</v>
      </c>
      <c r="D1735" t="s">
        <v>414</v>
      </c>
      <c r="F1735">
        <v>2.76</v>
      </c>
      <c r="G1735">
        <v>602.71</v>
      </c>
      <c r="I1735">
        <v>602.71</v>
      </c>
      <c r="J1735" t="s">
        <v>477</v>
      </c>
      <c r="N1735">
        <v>49</v>
      </c>
      <c r="O1735">
        <v>49</v>
      </c>
      <c r="P1735" t="s">
        <v>559</v>
      </c>
      <c r="Q1735" t="s">
        <v>414</v>
      </c>
      <c r="S1735">
        <v>3.23</v>
      </c>
      <c r="T1735">
        <v>255.94900000000001</v>
      </c>
      <c r="V1735">
        <v>255.94900000000001</v>
      </c>
      <c r="W1735" t="s">
        <v>479</v>
      </c>
    </row>
    <row r="1736" spans="1:23" x14ac:dyDescent="0.45">
      <c r="A1736">
        <v>50</v>
      </c>
      <c r="B1736">
        <v>50</v>
      </c>
      <c r="C1736" t="s">
        <v>455</v>
      </c>
      <c r="D1736" t="s">
        <v>414</v>
      </c>
      <c r="F1736">
        <v>2.77</v>
      </c>
      <c r="G1736">
        <v>925.06799999999998</v>
      </c>
      <c r="I1736">
        <v>925.06799999999998</v>
      </c>
      <c r="J1736" t="s">
        <v>476</v>
      </c>
      <c r="N1736">
        <v>50</v>
      </c>
      <c r="O1736">
        <v>50</v>
      </c>
      <c r="P1736" t="s">
        <v>560</v>
      </c>
      <c r="Q1736" t="s">
        <v>414</v>
      </c>
      <c r="S1736">
        <v>3.24</v>
      </c>
      <c r="T1736">
        <v>193.58</v>
      </c>
      <c r="V1736">
        <v>193.58</v>
      </c>
      <c r="W1736" t="s">
        <v>477</v>
      </c>
    </row>
    <row r="1737" spans="1:23" x14ac:dyDescent="0.45">
      <c r="A1737">
        <v>51</v>
      </c>
      <c r="B1737">
        <v>51</v>
      </c>
      <c r="C1737" t="s">
        <v>456</v>
      </c>
      <c r="D1737" t="s">
        <v>414</v>
      </c>
      <c r="F1737">
        <v>2.77</v>
      </c>
      <c r="G1737">
        <v>773.154</v>
      </c>
      <c r="I1737">
        <v>773.154</v>
      </c>
      <c r="J1737" t="s">
        <v>477</v>
      </c>
      <c r="N1737">
        <v>51</v>
      </c>
      <c r="O1737">
        <v>51</v>
      </c>
      <c r="P1737" t="s">
        <v>561</v>
      </c>
      <c r="Q1737" t="s">
        <v>414</v>
      </c>
      <c r="S1737">
        <v>3.24</v>
      </c>
      <c r="T1737">
        <v>328.35500000000002</v>
      </c>
      <c r="V1737">
        <v>328.35500000000002</v>
      </c>
      <c r="W1737" t="s">
        <v>478</v>
      </c>
    </row>
    <row r="1738" spans="1:23" x14ac:dyDescent="0.45">
      <c r="A1738">
        <v>52</v>
      </c>
      <c r="B1738">
        <v>52</v>
      </c>
      <c r="C1738" t="s">
        <v>457</v>
      </c>
      <c r="D1738" t="s">
        <v>414</v>
      </c>
      <c r="F1738">
        <v>2.76</v>
      </c>
      <c r="G1738">
        <v>764.08500000000004</v>
      </c>
      <c r="I1738">
        <v>764.08500000000004</v>
      </c>
      <c r="J1738" t="s">
        <v>479</v>
      </c>
      <c r="N1738">
        <v>52</v>
      </c>
      <c r="O1738">
        <v>52</v>
      </c>
      <c r="P1738" t="s">
        <v>562</v>
      </c>
      <c r="Q1738" t="s">
        <v>414</v>
      </c>
      <c r="S1738">
        <v>2.76</v>
      </c>
      <c r="T1738">
        <v>248.898</v>
      </c>
      <c r="V1738">
        <v>248.898</v>
      </c>
      <c r="W1738" t="s">
        <v>478</v>
      </c>
    </row>
    <row r="1739" spans="1:23" x14ac:dyDescent="0.45">
      <c r="A1739">
        <v>53</v>
      </c>
      <c r="B1739">
        <v>53</v>
      </c>
      <c r="C1739" t="s">
        <v>458</v>
      </c>
      <c r="D1739" t="s">
        <v>414</v>
      </c>
      <c r="F1739">
        <v>2.77</v>
      </c>
      <c r="G1739">
        <v>851.59900000000005</v>
      </c>
      <c r="I1739">
        <v>851.59900000000005</v>
      </c>
      <c r="J1739" t="s">
        <v>478</v>
      </c>
      <c r="N1739">
        <v>53</v>
      </c>
      <c r="O1739">
        <v>53</v>
      </c>
      <c r="P1739" t="s">
        <v>563</v>
      </c>
      <c r="Q1739" t="s">
        <v>414</v>
      </c>
      <c r="S1739">
        <v>2.9</v>
      </c>
      <c r="T1739">
        <v>249.65199999999999</v>
      </c>
      <c r="V1739">
        <v>249.65199999999999</v>
      </c>
      <c r="W1739" t="s">
        <v>478</v>
      </c>
    </row>
    <row r="1740" spans="1:23" x14ac:dyDescent="0.45">
      <c r="A1740">
        <v>54</v>
      </c>
      <c r="B1740">
        <v>54</v>
      </c>
      <c r="C1740" t="s">
        <v>459</v>
      </c>
      <c r="D1740" t="s">
        <v>414</v>
      </c>
      <c r="F1740">
        <v>2.77</v>
      </c>
      <c r="G1740">
        <v>779.42100000000005</v>
      </c>
      <c r="I1740">
        <v>779.42100000000005</v>
      </c>
      <c r="J1740" t="s">
        <v>477</v>
      </c>
      <c r="N1740">
        <v>54</v>
      </c>
      <c r="O1740">
        <v>54</v>
      </c>
      <c r="P1740" t="s">
        <v>564</v>
      </c>
      <c r="Q1740" t="s">
        <v>414</v>
      </c>
      <c r="S1740">
        <v>2.9</v>
      </c>
      <c r="T1740">
        <v>242.52600000000001</v>
      </c>
      <c r="V1740">
        <v>242.52600000000001</v>
      </c>
      <c r="W1740" t="s">
        <v>477</v>
      </c>
    </row>
    <row r="1741" spans="1:23" x14ac:dyDescent="0.45">
      <c r="A1741">
        <v>55</v>
      </c>
      <c r="B1741">
        <v>55</v>
      </c>
      <c r="C1741" t="s">
        <v>460</v>
      </c>
      <c r="D1741" t="s">
        <v>414</v>
      </c>
      <c r="F1741">
        <v>2.77</v>
      </c>
      <c r="G1741">
        <v>634.66700000000003</v>
      </c>
      <c r="I1741">
        <v>634.66700000000003</v>
      </c>
      <c r="J1741" t="s">
        <v>476</v>
      </c>
      <c r="N1741">
        <v>55</v>
      </c>
      <c r="O1741">
        <v>55</v>
      </c>
      <c r="P1741" t="s">
        <v>565</v>
      </c>
      <c r="Q1741" t="s">
        <v>414</v>
      </c>
      <c r="S1741">
        <v>3.24</v>
      </c>
      <c r="T1741">
        <v>429.065</v>
      </c>
      <c r="V1741">
        <v>429.065</v>
      </c>
      <c r="W1741" t="s">
        <v>476</v>
      </c>
    </row>
    <row r="1742" spans="1:23" x14ac:dyDescent="0.45">
      <c r="A1742">
        <v>56</v>
      </c>
      <c r="B1742">
        <v>56</v>
      </c>
      <c r="C1742" t="s">
        <v>461</v>
      </c>
      <c r="D1742" t="s">
        <v>414</v>
      </c>
      <c r="F1742">
        <v>2.77</v>
      </c>
      <c r="G1742">
        <v>616.58399999999995</v>
      </c>
      <c r="I1742">
        <v>616.58399999999995</v>
      </c>
      <c r="J1742" t="s">
        <v>477</v>
      </c>
      <c r="N1742">
        <v>56</v>
      </c>
      <c r="O1742">
        <v>56</v>
      </c>
      <c r="P1742" t="s">
        <v>566</v>
      </c>
      <c r="Q1742" t="s">
        <v>414</v>
      </c>
      <c r="S1742">
        <v>3.24</v>
      </c>
      <c r="T1742">
        <v>254.43100000000001</v>
      </c>
      <c r="V1742">
        <v>254.43100000000001</v>
      </c>
      <c r="W1742" t="s">
        <v>476</v>
      </c>
    </row>
    <row r="1743" spans="1:23" x14ac:dyDescent="0.45">
      <c r="A1743">
        <v>57</v>
      </c>
      <c r="B1743">
        <v>57</v>
      </c>
      <c r="C1743" t="s">
        <v>462</v>
      </c>
      <c r="D1743" t="s">
        <v>414</v>
      </c>
      <c r="F1743">
        <v>2.76</v>
      </c>
      <c r="G1743">
        <v>658.57399999999996</v>
      </c>
      <c r="I1743">
        <v>658.57399999999996</v>
      </c>
      <c r="J1743" t="s">
        <v>478</v>
      </c>
      <c r="N1743">
        <v>57</v>
      </c>
      <c r="O1743">
        <v>57</v>
      </c>
      <c r="P1743" t="s">
        <v>567</v>
      </c>
      <c r="Q1743" t="s">
        <v>414</v>
      </c>
      <c r="S1743">
        <v>3.23</v>
      </c>
      <c r="T1743">
        <v>296.36099999999999</v>
      </c>
      <c r="V1743">
        <v>296.36099999999999</v>
      </c>
      <c r="W1743" t="s">
        <v>478</v>
      </c>
    </row>
    <row r="1744" spans="1:23" x14ac:dyDescent="0.45">
      <c r="A1744">
        <v>58</v>
      </c>
      <c r="B1744">
        <v>58</v>
      </c>
      <c r="C1744" t="s">
        <v>463</v>
      </c>
      <c r="D1744" t="s">
        <v>414</v>
      </c>
      <c r="F1744">
        <v>2.76</v>
      </c>
      <c r="G1744">
        <v>635.62599999999998</v>
      </c>
      <c r="I1744">
        <v>635.62599999999998</v>
      </c>
      <c r="J1744" t="s">
        <v>476</v>
      </c>
      <c r="N1744">
        <v>58</v>
      </c>
      <c r="O1744">
        <v>58</v>
      </c>
      <c r="P1744" t="s">
        <v>568</v>
      </c>
      <c r="Q1744" t="s">
        <v>414</v>
      </c>
      <c r="S1744">
        <v>2.79</v>
      </c>
      <c r="T1744">
        <v>298.50400000000002</v>
      </c>
      <c r="V1744">
        <v>298.50400000000002</v>
      </c>
      <c r="W1744" t="s">
        <v>478</v>
      </c>
    </row>
    <row r="1745" spans="1:23" x14ac:dyDescent="0.45">
      <c r="A1745">
        <v>59</v>
      </c>
      <c r="B1745">
        <v>59</v>
      </c>
      <c r="C1745" t="s">
        <v>464</v>
      </c>
      <c r="D1745" t="s">
        <v>414</v>
      </c>
      <c r="F1745">
        <v>2.77</v>
      </c>
      <c r="G1745">
        <v>638.04200000000003</v>
      </c>
      <c r="I1745">
        <v>638.04200000000003</v>
      </c>
      <c r="J1745" t="s">
        <v>477</v>
      </c>
      <c r="N1745">
        <v>59</v>
      </c>
      <c r="O1745">
        <v>59</v>
      </c>
      <c r="P1745" t="s">
        <v>569</v>
      </c>
      <c r="Q1745" t="s">
        <v>414</v>
      </c>
      <c r="S1745">
        <v>3.23</v>
      </c>
      <c r="T1745">
        <v>170.922</v>
      </c>
      <c r="V1745">
        <v>170.922</v>
      </c>
      <c r="W1745" t="s">
        <v>476</v>
      </c>
    </row>
    <row r="1746" spans="1:23" x14ac:dyDescent="0.45">
      <c r="A1746">
        <v>60</v>
      </c>
      <c r="B1746">
        <v>60</v>
      </c>
      <c r="C1746" t="s">
        <v>465</v>
      </c>
      <c r="D1746" t="s">
        <v>414</v>
      </c>
      <c r="F1746">
        <v>2.76</v>
      </c>
      <c r="G1746">
        <v>609.31299999999999</v>
      </c>
      <c r="I1746">
        <v>609.31299999999999</v>
      </c>
      <c r="J1746" t="s">
        <v>477</v>
      </c>
      <c r="N1746">
        <v>60</v>
      </c>
      <c r="O1746">
        <v>60</v>
      </c>
      <c r="P1746" t="s">
        <v>570</v>
      </c>
      <c r="Q1746" t="s">
        <v>414</v>
      </c>
      <c r="S1746">
        <v>3.24</v>
      </c>
      <c r="T1746">
        <v>224.49600000000001</v>
      </c>
      <c r="V1746">
        <v>224.49600000000001</v>
      </c>
      <c r="W1746" t="s">
        <v>478</v>
      </c>
    </row>
    <row r="1747" spans="1:23" x14ac:dyDescent="0.45">
      <c r="A1747">
        <v>61</v>
      </c>
      <c r="B1747">
        <v>61</v>
      </c>
      <c r="C1747" t="s">
        <v>466</v>
      </c>
      <c r="D1747" t="s">
        <v>414</v>
      </c>
      <c r="F1747">
        <v>2.76</v>
      </c>
      <c r="G1747">
        <v>485.71699999999998</v>
      </c>
      <c r="I1747">
        <v>485.71699999999998</v>
      </c>
      <c r="J1747" t="s">
        <v>476</v>
      </c>
      <c r="N1747">
        <v>61</v>
      </c>
      <c r="O1747">
        <v>61</v>
      </c>
      <c r="P1747" t="s">
        <v>571</v>
      </c>
      <c r="Q1747" t="s">
        <v>414</v>
      </c>
      <c r="S1747">
        <v>3.23</v>
      </c>
      <c r="T1747">
        <v>248.34800000000001</v>
      </c>
      <c r="V1747">
        <v>248.34800000000001</v>
      </c>
      <c r="W1747" t="s">
        <v>478</v>
      </c>
    </row>
    <row r="1748" spans="1:23" x14ac:dyDescent="0.45">
      <c r="A1748">
        <v>62</v>
      </c>
      <c r="B1748">
        <v>62</v>
      </c>
      <c r="C1748" t="s">
        <v>467</v>
      </c>
      <c r="D1748" t="s">
        <v>414</v>
      </c>
      <c r="F1748">
        <v>2.76</v>
      </c>
      <c r="G1748">
        <v>464.58199999999999</v>
      </c>
      <c r="I1748">
        <v>464.58199999999999</v>
      </c>
      <c r="J1748" t="s">
        <v>479</v>
      </c>
      <c r="N1748">
        <v>62</v>
      </c>
      <c r="O1748">
        <v>62</v>
      </c>
      <c r="P1748" t="s">
        <v>572</v>
      </c>
      <c r="Q1748" t="s">
        <v>414</v>
      </c>
      <c r="S1748">
        <v>3.25</v>
      </c>
      <c r="T1748">
        <v>180.375</v>
      </c>
      <c r="V1748">
        <v>180.375</v>
      </c>
      <c r="W1748" t="s">
        <v>476</v>
      </c>
    </row>
    <row r="1749" spans="1:23" x14ac:dyDescent="0.45">
      <c r="A1749">
        <v>63</v>
      </c>
      <c r="B1749">
        <v>63</v>
      </c>
      <c r="C1749" t="s">
        <v>468</v>
      </c>
      <c r="D1749" t="s">
        <v>414</v>
      </c>
      <c r="F1749">
        <v>2.77</v>
      </c>
      <c r="G1749">
        <v>586.81399999999996</v>
      </c>
      <c r="I1749">
        <v>586.81399999999996</v>
      </c>
      <c r="J1749" t="s">
        <v>478</v>
      </c>
      <c r="N1749">
        <v>63</v>
      </c>
      <c r="O1749">
        <v>63</v>
      </c>
      <c r="P1749" t="s">
        <v>573</v>
      </c>
      <c r="Q1749" t="s">
        <v>414</v>
      </c>
      <c r="S1749">
        <v>3.24</v>
      </c>
      <c r="T1749">
        <v>355.07799999999997</v>
      </c>
      <c r="V1749">
        <v>355.07799999999997</v>
      </c>
      <c r="W1749" t="s">
        <v>478</v>
      </c>
    </row>
    <row r="1750" spans="1:23" x14ac:dyDescent="0.45">
      <c r="A1750">
        <v>64</v>
      </c>
      <c r="B1750">
        <v>64</v>
      </c>
      <c r="C1750" t="s">
        <v>469</v>
      </c>
      <c r="D1750" t="s">
        <v>414</v>
      </c>
      <c r="F1750">
        <v>2.77</v>
      </c>
      <c r="G1750">
        <v>698.21100000000001</v>
      </c>
      <c r="I1750">
        <v>698.21100000000001</v>
      </c>
      <c r="J1750" t="s">
        <v>479</v>
      </c>
      <c r="N1750">
        <v>64</v>
      </c>
      <c r="O1750">
        <v>64</v>
      </c>
      <c r="P1750" t="s">
        <v>574</v>
      </c>
      <c r="Q1750" t="s">
        <v>414</v>
      </c>
      <c r="S1750">
        <v>3.24</v>
      </c>
      <c r="T1750">
        <v>315.399</v>
      </c>
      <c r="V1750">
        <v>315.399</v>
      </c>
      <c r="W1750" t="s">
        <v>478</v>
      </c>
    </row>
    <row r="1751" spans="1:23" x14ac:dyDescent="0.45">
      <c r="A1751">
        <v>65</v>
      </c>
      <c r="B1751">
        <v>65</v>
      </c>
      <c r="C1751" t="s">
        <v>470</v>
      </c>
      <c r="D1751" t="s">
        <v>414</v>
      </c>
      <c r="F1751">
        <v>2.77</v>
      </c>
      <c r="G1751">
        <v>646.34699999999998</v>
      </c>
      <c r="I1751">
        <v>646.34699999999998</v>
      </c>
      <c r="J1751" t="s">
        <v>477</v>
      </c>
      <c r="N1751">
        <v>65</v>
      </c>
      <c r="O1751">
        <v>65</v>
      </c>
      <c r="P1751" t="s">
        <v>575</v>
      </c>
      <c r="Q1751" t="s">
        <v>414</v>
      </c>
      <c r="S1751">
        <v>3.25</v>
      </c>
      <c r="T1751">
        <v>279.92599999999999</v>
      </c>
      <c r="V1751">
        <v>279.92599999999999</v>
      </c>
      <c r="W1751" t="s">
        <v>478</v>
      </c>
    </row>
    <row r="1752" spans="1:23" x14ac:dyDescent="0.45">
      <c r="A1752">
        <v>66</v>
      </c>
      <c r="B1752">
        <v>66</v>
      </c>
      <c r="C1752" t="s">
        <v>471</v>
      </c>
      <c r="D1752" t="s">
        <v>414</v>
      </c>
      <c r="F1752">
        <v>2.77</v>
      </c>
      <c r="G1752">
        <v>609.10799999999995</v>
      </c>
      <c r="I1752">
        <v>609.10799999999995</v>
      </c>
      <c r="J1752" t="s">
        <v>479</v>
      </c>
      <c r="N1752">
        <v>66</v>
      </c>
      <c r="O1752">
        <v>66</v>
      </c>
      <c r="P1752" t="s">
        <v>576</v>
      </c>
      <c r="Q1752" t="s">
        <v>414</v>
      </c>
      <c r="S1752">
        <v>2.4900000000000002</v>
      </c>
      <c r="T1752">
        <v>380.125</v>
      </c>
      <c r="V1752">
        <v>380.125</v>
      </c>
      <c r="W1752" t="s">
        <v>478</v>
      </c>
    </row>
    <row r="1753" spans="1:23" x14ac:dyDescent="0.45">
      <c r="A1753">
        <v>67</v>
      </c>
      <c r="B1753">
        <v>67</v>
      </c>
      <c r="C1753" t="s">
        <v>472</v>
      </c>
      <c r="D1753" t="s">
        <v>414</v>
      </c>
      <c r="F1753">
        <v>2.77</v>
      </c>
      <c r="G1753">
        <v>548.13199999999995</v>
      </c>
      <c r="I1753">
        <v>548.13199999999995</v>
      </c>
      <c r="J1753" t="s">
        <v>478</v>
      </c>
      <c r="N1753">
        <v>67</v>
      </c>
      <c r="O1753">
        <v>67</v>
      </c>
      <c r="P1753" t="s">
        <v>577</v>
      </c>
      <c r="Q1753" t="s">
        <v>414</v>
      </c>
      <c r="S1753">
        <v>3.24</v>
      </c>
      <c r="T1753">
        <v>257.01600000000002</v>
      </c>
      <c r="V1753">
        <v>257.01600000000002</v>
      </c>
      <c r="W1753" t="s">
        <v>478</v>
      </c>
    </row>
    <row r="1754" spans="1:23" x14ac:dyDescent="0.45">
      <c r="A1754">
        <v>68</v>
      </c>
      <c r="B1754">
        <v>68</v>
      </c>
      <c r="C1754" t="s">
        <v>473</v>
      </c>
      <c r="D1754" t="s">
        <v>414</v>
      </c>
      <c r="F1754">
        <v>2.77</v>
      </c>
      <c r="G1754">
        <v>596.673</v>
      </c>
      <c r="I1754">
        <v>596.673</v>
      </c>
      <c r="J1754" t="s">
        <v>477</v>
      </c>
      <c r="N1754">
        <v>68</v>
      </c>
      <c r="O1754">
        <v>68</v>
      </c>
      <c r="P1754" t="s">
        <v>578</v>
      </c>
      <c r="Q1754" t="s">
        <v>414</v>
      </c>
      <c r="S1754">
        <v>3.25</v>
      </c>
      <c r="T1754">
        <v>348.71600000000001</v>
      </c>
      <c r="V1754">
        <v>348.71600000000001</v>
      </c>
      <c r="W1754" t="s">
        <v>478</v>
      </c>
    </row>
    <row r="1755" spans="1:23" x14ac:dyDescent="0.45">
      <c r="A1755">
        <v>69</v>
      </c>
      <c r="B1755">
        <v>69</v>
      </c>
      <c r="C1755" t="s">
        <v>474</v>
      </c>
      <c r="D1755" t="s">
        <v>414</v>
      </c>
      <c r="F1755">
        <v>2.77</v>
      </c>
      <c r="G1755">
        <v>405.34</v>
      </c>
      <c r="I1755">
        <v>405.34</v>
      </c>
      <c r="J1755" t="s">
        <v>478</v>
      </c>
      <c r="N1755">
        <v>69</v>
      </c>
      <c r="O1755">
        <v>69</v>
      </c>
      <c r="P1755" t="s">
        <v>579</v>
      </c>
      <c r="Q1755" t="s">
        <v>414</v>
      </c>
      <c r="S1755">
        <v>2.92</v>
      </c>
      <c r="T1755">
        <v>191.76</v>
      </c>
      <c r="V1755">
        <v>191.76</v>
      </c>
      <c r="W1755" t="s">
        <v>478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3973-5D68-4FCC-87A2-C1304F1ECBFC}">
  <dimension ref="A1:Y1755"/>
  <sheetViews>
    <sheetView topLeftCell="C961" workbookViewId="0">
      <selection activeCell="G985" sqref="G985"/>
    </sheetView>
  </sheetViews>
  <sheetFormatPr baseColWidth="10" defaultRowHeight="14.25" x14ac:dyDescent="0.45"/>
  <sheetData>
    <row r="1" spans="1:25" x14ac:dyDescent="0.45">
      <c r="A1" t="s">
        <v>386</v>
      </c>
      <c r="N1" t="s">
        <v>386</v>
      </c>
    </row>
    <row r="3" spans="1:25" x14ac:dyDescent="0.45">
      <c r="A3" t="s">
        <v>581</v>
      </c>
      <c r="N3" t="s">
        <v>654</v>
      </c>
    </row>
    <row r="5" spans="1:25" x14ac:dyDescent="0.45">
      <c r="A5" t="s">
        <v>388</v>
      </c>
      <c r="N5" t="s">
        <v>388</v>
      </c>
    </row>
    <row r="7" spans="1:25" x14ac:dyDescent="0.45">
      <c r="B7" t="s">
        <v>389</v>
      </c>
      <c r="C7" t="s">
        <v>123</v>
      </c>
      <c r="D7" t="s">
        <v>390</v>
      </c>
      <c r="E7" t="s">
        <v>391</v>
      </c>
      <c r="F7" t="s">
        <v>392</v>
      </c>
      <c r="G7" t="s">
        <v>393</v>
      </c>
      <c r="H7" t="s">
        <v>394</v>
      </c>
      <c r="I7" t="s">
        <v>395</v>
      </c>
      <c r="J7" t="s">
        <v>396</v>
      </c>
      <c r="K7" t="s">
        <v>397</v>
      </c>
      <c r="L7" t="s">
        <v>398</v>
      </c>
      <c r="O7" t="s">
        <v>389</v>
      </c>
      <c r="P7" t="s">
        <v>123</v>
      </c>
      <c r="Q7" t="s">
        <v>390</v>
      </c>
      <c r="R7" t="s">
        <v>391</v>
      </c>
      <c r="S7" t="s">
        <v>392</v>
      </c>
      <c r="T7" t="s">
        <v>393</v>
      </c>
      <c r="U7" t="s">
        <v>394</v>
      </c>
      <c r="V7" t="s">
        <v>395</v>
      </c>
      <c r="W7" t="s">
        <v>396</v>
      </c>
      <c r="X7" t="s">
        <v>397</v>
      </c>
      <c r="Y7" t="s">
        <v>398</v>
      </c>
    </row>
    <row r="8" spans="1:25" x14ac:dyDescent="0.45">
      <c r="A8">
        <v>1</v>
      </c>
      <c r="B8">
        <v>1</v>
      </c>
      <c r="C8" t="s">
        <v>582</v>
      </c>
      <c r="D8" t="s">
        <v>400</v>
      </c>
      <c r="E8">
        <v>0.05</v>
      </c>
      <c r="F8">
        <v>3.07</v>
      </c>
      <c r="G8">
        <v>954.46600000000001</v>
      </c>
      <c r="H8">
        <v>55545.163999999997</v>
      </c>
      <c r="I8">
        <v>0.17199999999999999</v>
      </c>
      <c r="J8" t="s">
        <v>415</v>
      </c>
      <c r="K8">
        <v>0.2</v>
      </c>
      <c r="L8">
        <v>221.6</v>
      </c>
      <c r="N8">
        <v>1</v>
      </c>
      <c r="O8">
        <v>1</v>
      </c>
      <c r="P8" t="s">
        <v>655</v>
      </c>
      <c r="Q8" t="s">
        <v>400</v>
      </c>
      <c r="R8">
        <v>0.05</v>
      </c>
      <c r="S8">
        <v>3.07</v>
      </c>
      <c r="T8">
        <v>1334.242</v>
      </c>
      <c r="U8">
        <v>70686.258000000002</v>
      </c>
      <c r="V8">
        <v>0.189</v>
      </c>
      <c r="W8" t="s">
        <v>401</v>
      </c>
      <c r="X8">
        <v>0.1</v>
      </c>
      <c r="Y8">
        <v>36.9</v>
      </c>
    </row>
    <row r="9" spans="1:25" x14ac:dyDescent="0.45">
      <c r="A9">
        <v>2</v>
      </c>
      <c r="B9">
        <v>2</v>
      </c>
      <c r="C9" t="s">
        <v>583</v>
      </c>
      <c r="D9" t="s">
        <v>400</v>
      </c>
      <c r="E9">
        <v>0.5</v>
      </c>
      <c r="F9">
        <v>3.07</v>
      </c>
      <c r="G9">
        <v>7001.9279999999999</v>
      </c>
      <c r="H9">
        <v>63291.671999999999</v>
      </c>
      <c r="I9">
        <v>1.1060000000000001</v>
      </c>
      <c r="J9" t="s">
        <v>403</v>
      </c>
      <c r="K9">
        <v>0.5</v>
      </c>
      <c r="L9">
        <v>6.8</v>
      </c>
      <c r="N9">
        <v>2</v>
      </c>
      <c r="O9">
        <v>2</v>
      </c>
      <c r="P9" t="s">
        <v>656</v>
      </c>
      <c r="Q9" t="s">
        <v>400</v>
      </c>
      <c r="R9">
        <v>0.5</v>
      </c>
      <c r="S9">
        <v>3.06</v>
      </c>
      <c r="T9">
        <v>8820.9290000000001</v>
      </c>
      <c r="U9">
        <v>70183.054999999993</v>
      </c>
      <c r="V9">
        <v>1.2569999999999999</v>
      </c>
      <c r="W9" t="s">
        <v>403</v>
      </c>
      <c r="X9">
        <v>0.5</v>
      </c>
      <c r="Y9">
        <v>-1.3</v>
      </c>
    </row>
    <row r="10" spans="1:25" x14ac:dyDescent="0.45">
      <c r="A10">
        <v>3</v>
      </c>
      <c r="B10">
        <v>3</v>
      </c>
      <c r="C10" t="s">
        <v>584</v>
      </c>
      <c r="D10" t="s">
        <v>400</v>
      </c>
      <c r="E10">
        <v>1.25</v>
      </c>
      <c r="F10">
        <v>3.07</v>
      </c>
      <c r="G10">
        <v>15491.147000000001</v>
      </c>
      <c r="H10">
        <v>52527.434000000001</v>
      </c>
      <c r="I10">
        <v>2.9489999999999998</v>
      </c>
      <c r="J10" t="s">
        <v>412</v>
      </c>
      <c r="K10">
        <v>1.3</v>
      </c>
      <c r="L10">
        <v>1.6</v>
      </c>
      <c r="N10">
        <v>3</v>
      </c>
      <c r="O10">
        <v>3</v>
      </c>
      <c r="P10" t="s">
        <v>657</v>
      </c>
      <c r="Q10" t="s">
        <v>400</v>
      </c>
      <c r="R10">
        <v>1.25</v>
      </c>
      <c r="S10">
        <v>3.06</v>
      </c>
      <c r="T10">
        <v>22135.291000000001</v>
      </c>
      <c r="U10">
        <v>69179.414000000004</v>
      </c>
      <c r="V10">
        <v>3.2</v>
      </c>
      <c r="W10" t="s">
        <v>401</v>
      </c>
      <c r="X10">
        <v>1.3</v>
      </c>
      <c r="Y10">
        <v>1.4</v>
      </c>
    </row>
    <row r="11" spans="1:25" x14ac:dyDescent="0.45">
      <c r="A11">
        <v>4</v>
      </c>
      <c r="B11">
        <v>4</v>
      </c>
      <c r="C11" t="s">
        <v>585</v>
      </c>
      <c r="D11" t="s">
        <v>400</v>
      </c>
      <c r="E11">
        <v>2.5</v>
      </c>
      <c r="F11">
        <v>3.07</v>
      </c>
      <c r="G11">
        <v>34889.417999999998</v>
      </c>
      <c r="H11">
        <v>61634.991999999998</v>
      </c>
      <c r="I11">
        <v>5.6609999999999996</v>
      </c>
      <c r="J11" t="s">
        <v>412</v>
      </c>
      <c r="K11">
        <v>2.4</v>
      </c>
      <c r="L11">
        <v>-5.9</v>
      </c>
      <c r="N11">
        <v>4</v>
      </c>
      <c r="O11">
        <v>4</v>
      </c>
      <c r="P11" t="s">
        <v>658</v>
      </c>
      <c r="Q11" t="s">
        <v>400</v>
      </c>
      <c r="R11">
        <v>2.5</v>
      </c>
      <c r="S11">
        <v>3.06</v>
      </c>
      <c r="T11">
        <v>42510.921999999999</v>
      </c>
      <c r="U11">
        <v>67674.273000000001</v>
      </c>
      <c r="V11">
        <v>6.282</v>
      </c>
      <c r="W11" t="s">
        <v>403</v>
      </c>
      <c r="X11">
        <v>2.5</v>
      </c>
      <c r="Y11">
        <v>-0.2</v>
      </c>
    </row>
    <row r="12" spans="1:25" x14ac:dyDescent="0.45">
      <c r="A12">
        <v>5</v>
      </c>
      <c r="B12">
        <v>5</v>
      </c>
      <c r="C12" t="s">
        <v>586</v>
      </c>
      <c r="D12" t="s">
        <v>400</v>
      </c>
      <c r="E12">
        <v>3.5</v>
      </c>
      <c r="F12">
        <v>3.07</v>
      </c>
      <c r="G12">
        <v>51697.66</v>
      </c>
      <c r="H12">
        <v>63110.366999999998</v>
      </c>
      <c r="I12">
        <v>8.1920000000000002</v>
      </c>
      <c r="J12" t="s">
        <v>403</v>
      </c>
      <c r="K12">
        <v>3.4</v>
      </c>
      <c r="L12">
        <v>-3.9</v>
      </c>
      <c r="N12">
        <v>5</v>
      </c>
      <c r="O12">
        <v>5</v>
      </c>
      <c r="P12" t="s">
        <v>659</v>
      </c>
      <c r="Q12" t="s">
        <v>400</v>
      </c>
      <c r="R12">
        <v>3.5</v>
      </c>
      <c r="S12">
        <v>3.07</v>
      </c>
      <c r="T12">
        <v>58494.690999999999</v>
      </c>
      <c r="U12">
        <v>67297.766000000003</v>
      </c>
      <c r="V12">
        <v>8.6920000000000002</v>
      </c>
      <c r="W12" t="s">
        <v>412</v>
      </c>
      <c r="X12">
        <v>3.5</v>
      </c>
      <c r="Y12">
        <v>-1.3</v>
      </c>
    </row>
    <row r="13" spans="1:25" x14ac:dyDescent="0.45">
      <c r="A13">
        <v>6</v>
      </c>
      <c r="B13">
        <v>6</v>
      </c>
      <c r="C13" t="s">
        <v>587</v>
      </c>
      <c r="D13" t="s">
        <v>400</v>
      </c>
      <c r="E13">
        <v>5</v>
      </c>
      <c r="F13">
        <v>3.07</v>
      </c>
      <c r="G13">
        <v>78939.179999999993</v>
      </c>
      <c r="H13">
        <v>63891.625</v>
      </c>
      <c r="I13">
        <v>12.355</v>
      </c>
      <c r="J13" t="s">
        <v>403</v>
      </c>
      <c r="K13">
        <v>5</v>
      </c>
      <c r="L13">
        <v>0.5</v>
      </c>
      <c r="N13">
        <v>6</v>
      </c>
      <c r="O13">
        <v>6</v>
      </c>
      <c r="P13" t="s">
        <v>660</v>
      </c>
      <c r="Q13" t="s">
        <v>400</v>
      </c>
      <c r="R13">
        <v>5</v>
      </c>
      <c r="S13">
        <v>3.06</v>
      </c>
      <c r="T13">
        <v>85844.266000000003</v>
      </c>
      <c r="U13">
        <v>68259.5</v>
      </c>
      <c r="V13">
        <v>12.576000000000001</v>
      </c>
      <c r="W13" t="s">
        <v>415</v>
      </c>
      <c r="X13">
        <v>5</v>
      </c>
      <c r="Y13">
        <v>0</v>
      </c>
    </row>
    <row r="14" spans="1:25" x14ac:dyDescent="0.45">
      <c r="A14">
        <v>7</v>
      </c>
      <c r="B14">
        <v>7</v>
      </c>
      <c r="C14" t="s">
        <v>588</v>
      </c>
      <c r="D14" t="s">
        <v>400</v>
      </c>
      <c r="E14">
        <v>7</v>
      </c>
      <c r="F14">
        <v>3.07</v>
      </c>
      <c r="G14">
        <v>96264.375</v>
      </c>
      <c r="H14">
        <v>54847.535000000003</v>
      </c>
      <c r="I14">
        <v>17.550999999999998</v>
      </c>
      <c r="J14" t="s">
        <v>403</v>
      </c>
      <c r="K14">
        <v>7.1</v>
      </c>
      <c r="L14">
        <v>1.4</v>
      </c>
      <c r="N14">
        <v>7</v>
      </c>
      <c r="O14">
        <v>7</v>
      </c>
      <c r="P14" t="s">
        <v>661</v>
      </c>
      <c r="Q14" t="s">
        <v>400</v>
      </c>
      <c r="R14">
        <v>7</v>
      </c>
      <c r="S14">
        <v>3.06</v>
      </c>
      <c r="T14">
        <v>117159.773</v>
      </c>
      <c r="U14">
        <v>66365.156000000003</v>
      </c>
      <c r="V14">
        <v>17.654</v>
      </c>
      <c r="W14" t="s">
        <v>415</v>
      </c>
      <c r="X14">
        <v>7</v>
      </c>
      <c r="Y14">
        <v>0.3</v>
      </c>
    </row>
    <row r="15" spans="1:25" x14ac:dyDescent="0.45">
      <c r="A15">
        <v>8</v>
      </c>
      <c r="B15">
        <v>8</v>
      </c>
      <c r="C15" t="s">
        <v>589</v>
      </c>
      <c r="D15" t="s">
        <v>410</v>
      </c>
      <c r="F15">
        <v>3.47</v>
      </c>
      <c r="G15">
        <v>238.238</v>
      </c>
      <c r="H15">
        <v>4453.0020000000004</v>
      </c>
      <c r="I15">
        <v>0.53500000000000003</v>
      </c>
      <c r="J15" t="s">
        <v>415</v>
      </c>
      <c r="K15">
        <v>0.3</v>
      </c>
      <c r="N15">
        <v>8</v>
      </c>
      <c r="O15">
        <v>8</v>
      </c>
      <c r="P15" t="s">
        <v>662</v>
      </c>
      <c r="Q15" t="s">
        <v>414</v>
      </c>
      <c r="S15">
        <v>3.06</v>
      </c>
      <c r="T15">
        <v>6348.61</v>
      </c>
      <c r="U15">
        <v>37255.237999999998</v>
      </c>
      <c r="V15">
        <v>1.704</v>
      </c>
      <c r="W15" t="s">
        <v>401</v>
      </c>
      <c r="X15">
        <v>0.7</v>
      </c>
    </row>
    <row r="16" spans="1:25" x14ac:dyDescent="0.45">
      <c r="A16">
        <v>9</v>
      </c>
      <c r="B16">
        <v>9</v>
      </c>
      <c r="C16" t="s">
        <v>590</v>
      </c>
      <c r="D16" t="s">
        <v>410</v>
      </c>
      <c r="F16">
        <v>3.47</v>
      </c>
      <c r="G16">
        <v>258.012</v>
      </c>
      <c r="H16">
        <v>2474.4119999999998</v>
      </c>
      <c r="I16">
        <v>1.0429999999999999</v>
      </c>
      <c r="J16" t="s">
        <v>415</v>
      </c>
      <c r="K16">
        <v>0.5</v>
      </c>
      <c r="N16">
        <v>9</v>
      </c>
      <c r="O16">
        <v>9</v>
      </c>
      <c r="P16" t="s">
        <v>663</v>
      </c>
      <c r="Q16" t="s">
        <v>414</v>
      </c>
      <c r="S16">
        <v>3.07</v>
      </c>
      <c r="T16">
        <v>5020.9480000000003</v>
      </c>
      <c r="U16">
        <v>28990.307000000001</v>
      </c>
      <c r="V16">
        <v>1.732</v>
      </c>
      <c r="W16" t="s">
        <v>415</v>
      </c>
      <c r="X16">
        <v>0.7</v>
      </c>
    </row>
    <row r="17" spans="1:24" x14ac:dyDescent="0.45">
      <c r="A17">
        <v>10</v>
      </c>
      <c r="B17">
        <v>10</v>
      </c>
      <c r="C17" t="s">
        <v>591</v>
      </c>
      <c r="D17" t="s">
        <v>414</v>
      </c>
      <c r="F17">
        <v>3.07</v>
      </c>
      <c r="G17">
        <v>11320.196</v>
      </c>
      <c r="H17">
        <v>36936.949000000001</v>
      </c>
      <c r="I17">
        <v>3.0649999999999999</v>
      </c>
      <c r="J17" t="s">
        <v>401</v>
      </c>
      <c r="K17">
        <v>1.3</v>
      </c>
      <c r="N17">
        <v>10</v>
      </c>
      <c r="O17">
        <v>10</v>
      </c>
      <c r="P17" t="s">
        <v>664</v>
      </c>
      <c r="Q17" t="s">
        <v>414</v>
      </c>
      <c r="S17">
        <v>3.07</v>
      </c>
      <c r="T17">
        <v>8024.8059999999996</v>
      </c>
      <c r="U17">
        <v>34863.836000000003</v>
      </c>
      <c r="V17">
        <v>2.302</v>
      </c>
      <c r="W17" t="s">
        <v>403</v>
      </c>
      <c r="X17">
        <v>0.9</v>
      </c>
    </row>
    <row r="18" spans="1:24" x14ac:dyDescent="0.45">
      <c r="A18">
        <v>11</v>
      </c>
      <c r="B18">
        <v>11</v>
      </c>
      <c r="C18" t="s">
        <v>592</v>
      </c>
      <c r="D18" t="s">
        <v>414</v>
      </c>
      <c r="F18">
        <v>3.07</v>
      </c>
      <c r="G18">
        <v>3145.297</v>
      </c>
      <c r="H18">
        <v>12436.325000000001</v>
      </c>
      <c r="I18">
        <v>2.5289999999999999</v>
      </c>
      <c r="J18" t="s">
        <v>412</v>
      </c>
      <c r="K18">
        <v>1.1000000000000001</v>
      </c>
      <c r="N18">
        <v>11</v>
      </c>
      <c r="O18">
        <v>11</v>
      </c>
      <c r="P18" t="s">
        <v>665</v>
      </c>
      <c r="Q18" t="s">
        <v>414</v>
      </c>
      <c r="S18">
        <v>3.07</v>
      </c>
      <c r="T18">
        <v>4851.9449999999997</v>
      </c>
      <c r="U18">
        <v>26582.697</v>
      </c>
      <c r="V18">
        <v>1.825</v>
      </c>
      <c r="W18" t="s">
        <v>415</v>
      </c>
      <c r="X18">
        <v>0.7</v>
      </c>
    </row>
    <row r="19" spans="1:24" x14ac:dyDescent="0.45">
      <c r="A19">
        <v>12</v>
      </c>
      <c r="B19">
        <v>12</v>
      </c>
      <c r="C19" t="s">
        <v>593</v>
      </c>
      <c r="D19" t="s">
        <v>414</v>
      </c>
      <c r="F19">
        <v>3.07</v>
      </c>
      <c r="G19">
        <v>7762.5860000000002</v>
      </c>
      <c r="H19">
        <v>21454.960999999999</v>
      </c>
      <c r="I19">
        <v>3.6179999999999999</v>
      </c>
      <c r="J19" t="s">
        <v>415</v>
      </c>
      <c r="K19">
        <v>1.5</v>
      </c>
      <c r="N19">
        <v>12</v>
      </c>
      <c r="O19">
        <v>12</v>
      </c>
      <c r="P19" t="s">
        <v>666</v>
      </c>
      <c r="Q19" t="s">
        <v>414</v>
      </c>
      <c r="S19">
        <v>3.07</v>
      </c>
      <c r="T19">
        <v>3897.5039999999999</v>
      </c>
      <c r="U19">
        <v>31520.986000000001</v>
      </c>
      <c r="V19">
        <v>1.236</v>
      </c>
      <c r="W19" t="s">
        <v>403</v>
      </c>
      <c r="X19">
        <v>0.5</v>
      </c>
    </row>
    <row r="20" spans="1:24" x14ac:dyDescent="0.45">
      <c r="A20">
        <v>13</v>
      </c>
      <c r="B20">
        <v>13</v>
      </c>
      <c r="C20" t="s">
        <v>594</v>
      </c>
      <c r="D20" t="s">
        <v>414</v>
      </c>
      <c r="F20">
        <v>3.07</v>
      </c>
      <c r="G20">
        <v>10967.896000000001</v>
      </c>
      <c r="H20">
        <v>36244.605000000003</v>
      </c>
      <c r="I20">
        <v>3.0259999999999998</v>
      </c>
      <c r="J20" t="s">
        <v>401</v>
      </c>
      <c r="K20">
        <v>1.3</v>
      </c>
      <c r="N20">
        <v>13</v>
      </c>
      <c r="O20">
        <v>13</v>
      </c>
      <c r="P20" t="s">
        <v>667</v>
      </c>
      <c r="Q20" t="s">
        <v>414</v>
      </c>
      <c r="S20">
        <v>3.07</v>
      </c>
      <c r="T20">
        <v>6231.2259999999997</v>
      </c>
      <c r="U20">
        <v>23903.855</v>
      </c>
      <c r="V20">
        <v>2.6070000000000002</v>
      </c>
      <c r="W20" t="s">
        <v>403</v>
      </c>
      <c r="X20">
        <v>1</v>
      </c>
    </row>
    <row r="21" spans="1:24" x14ac:dyDescent="0.45">
      <c r="A21">
        <v>14</v>
      </c>
      <c r="B21">
        <v>14</v>
      </c>
      <c r="C21" t="s">
        <v>595</v>
      </c>
      <c r="D21" t="s">
        <v>414</v>
      </c>
      <c r="F21">
        <v>3.07</v>
      </c>
      <c r="G21">
        <v>17362.498</v>
      </c>
      <c r="H21">
        <v>38431.43</v>
      </c>
      <c r="I21">
        <v>4.5179999999999998</v>
      </c>
      <c r="J21" t="s">
        <v>401</v>
      </c>
      <c r="K21">
        <v>1.9</v>
      </c>
      <c r="N21">
        <v>14</v>
      </c>
      <c r="O21">
        <v>14</v>
      </c>
      <c r="P21" t="s">
        <v>668</v>
      </c>
      <c r="Q21" t="s">
        <v>414</v>
      </c>
      <c r="S21">
        <v>3.06</v>
      </c>
      <c r="T21">
        <v>5039.99</v>
      </c>
      <c r="U21">
        <v>33108.245999999999</v>
      </c>
      <c r="V21">
        <v>1.522</v>
      </c>
      <c r="W21" t="s">
        <v>412</v>
      </c>
      <c r="X21">
        <v>0.6</v>
      </c>
    </row>
    <row r="22" spans="1:24" x14ac:dyDescent="0.45">
      <c r="A22">
        <v>15</v>
      </c>
      <c r="B22">
        <v>15</v>
      </c>
      <c r="C22" t="s">
        <v>596</v>
      </c>
      <c r="D22" t="s">
        <v>414</v>
      </c>
      <c r="F22">
        <v>3.07</v>
      </c>
      <c r="G22">
        <v>13681.126</v>
      </c>
      <c r="H22">
        <v>46231.292999999998</v>
      </c>
      <c r="I22">
        <v>2.9590000000000001</v>
      </c>
      <c r="J22" t="s">
        <v>401</v>
      </c>
      <c r="K22">
        <v>1.3</v>
      </c>
      <c r="N22">
        <v>15</v>
      </c>
      <c r="O22">
        <v>15</v>
      </c>
      <c r="P22" t="s">
        <v>669</v>
      </c>
      <c r="Q22" t="s">
        <v>414</v>
      </c>
      <c r="S22">
        <v>3.07</v>
      </c>
      <c r="T22">
        <v>3455.56</v>
      </c>
      <c r="U22">
        <v>22611.268</v>
      </c>
      <c r="V22">
        <v>1.528</v>
      </c>
      <c r="W22" t="s">
        <v>403</v>
      </c>
      <c r="X22">
        <v>0.6</v>
      </c>
    </row>
    <row r="23" spans="1:24" x14ac:dyDescent="0.45">
      <c r="A23">
        <v>16</v>
      </c>
      <c r="B23">
        <v>16</v>
      </c>
      <c r="C23" t="s">
        <v>597</v>
      </c>
      <c r="D23" t="s">
        <v>414</v>
      </c>
      <c r="F23">
        <v>3.07</v>
      </c>
      <c r="G23">
        <v>4843.0609999999997</v>
      </c>
      <c r="H23">
        <v>48355.813000000002</v>
      </c>
      <c r="I23">
        <v>1.002</v>
      </c>
      <c r="J23" t="s">
        <v>403</v>
      </c>
      <c r="K23">
        <v>0.5</v>
      </c>
      <c r="N23">
        <v>16</v>
      </c>
      <c r="O23">
        <v>16</v>
      </c>
      <c r="P23" t="s">
        <v>670</v>
      </c>
      <c r="Q23" t="s">
        <v>414</v>
      </c>
      <c r="S23">
        <v>3.07</v>
      </c>
      <c r="T23">
        <v>3032.6039999999998</v>
      </c>
      <c r="U23">
        <v>14656.233</v>
      </c>
      <c r="V23">
        <v>2.069</v>
      </c>
      <c r="W23" t="s">
        <v>403</v>
      </c>
      <c r="X23">
        <v>0.8</v>
      </c>
    </row>
    <row r="24" spans="1:24" x14ac:dyDescent="0.45">
      <c r="A24">
        <v>17</v>
      </c>
      <c r="B24">
        <v>17</v>
      </c>
      <c r="C24" t="s">
        <v>598</v>
      </c>
      <c r="D24" t="s">
        <v>414</v>
      </c>
      <c r="F24">
        <v>3.07</v>
      </c>
      <c r="G24">
        <v>4612.6580000000004</v>
      </c>
      <c r="H24">
        <v>41038.550999999999</v>
      </c>
      <c r="I24">
        <v>1.1240000000000001</v>
      </c>
      <c r="J24" t="s">
        <v>401</v>
      </c>
      <c r="K24">
        <v>0.5</v>
      </c>
      <c r="N24">
        <v>17</v>
      </c>
      <c r="O24">
        <v>17</v>
      </c>
      <c r="P24" t="s">
        <v>671</v>
      </c>
      <c r="Q24" t="s">
        <v>414</v>
      </c>
      <c r="S24">
        <v>3.07</v>
      </c>
      <c r="T24">
        <v>3030.2710000000002</v>
      </c>
      <c r="U24">
        <v>16859.504000000001</v>
      </c>
      <c r="V24">
        <v>1.7969999999999999</v>
      </c>
      <c r="W24" t="s">
        <v>415</v>
      </c>
      <c r="X24">
        <v>0.7</v>
      </c>
    </row>
    <row r="25" spans="1:24" x14ac:dyDescent="0.45">
      <c r="A25">
        <v>18</v>
      </c>
      <c r="B25">
        <v>18</v>
      </c>
      <c r="C25" t="s">
        <v>599</v>
      </c>
      <c r="D25" t="s">
        <v>414</v>
      </c>
      <c r="F25">
        <v>3.07</v>
      </c>
      <c r="G25">
        <v>2119.2069999999999</v>
      </c>
      <c r="H25">
        <v>17038.736000000001</v>
      </c>
      <c r="I25">
        <v>1.244</v>
      </c>
      <c r="J25" t="s">
        <v>403</v>
      </c>
      <c r="K25">
        <v>0.6</v>
      </c>
      <c r="N25">
        <v>18</v>
      </c>
      <c r="O25">
        <v>18</v>
      </c>
      <c r="P25" t="s">
        <v>672</v>
      </c>
      <c r="Q25" t="s">
        <v>414</v>
      </c>
      <c r="S25">
        <v>3.07</v>
      </c>
      <c r="T25">
        <v>5012.2290000000003</v>
      </c>
      <c r="U25">
        <v>22387.474999999999</v>
      </c>
      <c r="V25">
        <v>2.2389999999999999</v>
      </c>
      <c r="W25" t="s">
        <v>403</v>
      </c>
      <c r="X25">
        <v>0.9</v>
      </c>
    </row>
    <row r="26" spans="1:24" x14ac:dyDescent="0.45">
      <c r="A26">
        <v>19</v>
      </c>
      <c r="B26">
        <v>19</v>
      </c>
      <c r="C26" t="s">
        <v>600</v>
      </c>
      <c r="D26" t="s">
        <v>414</v>
      </c>
      <c r="F26">
        <v>3.07</v>
      </c>
      <c r="G26">
        <v>2145.7199999999998</v>
      </c>
      <c r="H26">
        <v>17334.338</v>
      </c>
      <c r="I26">
        <v>1.238</v>
      </c>
      <c r="J26" t="s">
        <v>401</v>
      </c>
      <c r="K26">
        <v>0.6</v>
      </c>
      <c r="N26">
        <v>19</v>
      </c>
      <c r="O26">
        <v>19</v>
      </c>
      <c r="P26" t="s">
        <v>673</v>
      </c>
      <c r="Q26" t="s">
        <v>414</v>
      </c>
      <c r="S26">
        <v>3.07</v>
      </c>
      <c r="T26">
        <v>4121.1229999999996</v>
      </c>
      <c r="U26">
        <v>21369.715</v>
      </c>
      <c r="V26">
        <v>1.9279999999999999</v>
      </c>
      <c r="W26" t="s">
        <v>403</v>
      </c>
      <c r="X26">
        <v>0.8</v>
      </c>
    </row>
    <row r="27" spans="1:24" x14ac:dyDescent="0.45">
      <c r="A27">
        <v>20</v>
      </c>
      <c r="B27">
        <v>20</v>
      </c>
      <c r="C27" t="s">
        <v>601</v>
      </c>
      <c r="D27" t="s">
        <v>414</v>
      </c>
      <c r="F27">
        <v>3.07</v>
      </c>
      <c r="G27">
        <v>2122.096</v>
      </c>
      <c r="H27">
        <v>13003.51</v>
      </c>
      <c r="I27">
        <v>1.6319999999999999</v>
      </c>
      <c r="J27" t="s">
        <v>415</v>
      </c>
      <c r="K27">
        <v>0.7</v>
      </c>
      <c r="N27">
        <v>20</v>
      </c>
      <c r="O27">
        <v>20</v>
      </c>
      <c r="P27" t="s">
        <v>674</v>
      </c>
      <c r="Q27" t="s">
        <v>414</v>
      </c>
      <c r="S27">
        <v>3.07</v>
      </c>
      <c r="T27">
        <v>2487.3359999999998</v>
      </c>
      <c r="U27">
        <v>17689.115000000002</v>
      </c>
      <c r="V27">
        <v>1.4059999999999999</v>
      </c>
      <c r="W27" t="s">
        <v>403</v>
      </c>
      <c r="X27">
        <v>0.6</v>
      </c>
    </row>
    <row r="28" spans="1:24" x14ac:dyDescent="0.45">
      <c r="A28">
        <v>21</v>
      </c>
      <c r="B28">
        <v>21</v>
      </c>
      <c r="C28" t="s">
        <v>602</v>
      </c>
      <c r="D28" t="s">
        <v>414</v>
      </c>
      <c r="F28">
        <v>3.07</v>
      </c>
      <c r="G28">
        <v>2458.9760000000001</v>
      </c>
      <c r="H28">
        <v>22904.982</v>
      </c>
      <c r="I28">
        <v>1.0740000000000001</v>
      </c>
      <c r="J28" t="s">
        <v>403</v>
      </c>
      <c r="K28">
        <v>0.5</v>
      </c>
      <c r="N28">
        <v>21</v>
      </c>
      <c r="O28">
        <v>21</v>
      </c>
      <c r="P28" t="s">
        <v>675</v>
      </c>
      <c r="Q28" t="s">
        <v>414</v>
      </c>
      <c r="S28">
        <v>3.06</v>
      </c>
      <c r="T28">
        <v>2954.4380000000001</v>
      </c>
      <c r="U28">
        <v>17109.526999999998</v>
      </c>
      <c r="V28">
        <v>1.7270000000000001</v>
      </c>
      <c r="W28" t="s">
        <v>412</v>
      </c>
      <c r="X28">
        <v>0.7</v>
      </c>
    </row>
    <row r="29" spans="1:24" x14ac:dyDescent="0.45">
      <c r="A29">
        <v>22</v>
      </c>
      <c r="B29">
        <v>22</v>
      </c>
      <c r="C29" t="s">
        <v>603</v>
      </c>
      <c r="D29" t="s">
        <v>414</v>
      </c>
      <c r="F29">
        <v>3.07</v>
      </c>
      <c r="G29">
        <v>9015.4259999999995</v>
      </c>
      <c r="H29">
        <v>48310.879000000001</v>
      </c>
      <c r="I29">
        <v>1.8660000000000001</v>
      </c>
      <c r="J29" t="s">
        <v>403</v>
      </c>
      <c r="K29">
        <v>0.8</v>
      </c>
      <c r="N29">
        <v>22</v>
      </c>
      <c r="O29">
        <v>22</v>
      </c>
      <c r="P29" t="s">
        <v>676</v>
      </c>
      <c r="Q29" t="s">
        <v>414</v>
      </c>
      <c r="S29">
        <v>3.07</v>
      </c>
      <c r="T29">
        <v>3351.212</v>
      </c>
      <c r="U29">
        <v>17063.831999999999</v>
      </c>
      <c r="V29">
        <v>1.964</v>
      </c>
      <c r="W29" t="s">
        <v>401</v>
      </c>
      <c r="X29">
        <v>0.8</v>
      </c>
    </row>
    <row r="30" spans="1:24" x14ac:dyDescent="0.45">
      <c r="A30">
        <v>23</v>
      </c>
      <c r="B30">
        <v>23</v>
      </c>
      <c r="C30" t="s">
        <v>604</v>
      </c>
      <c r="D30" t="s">
        <v>414</v>
      </c>
      <c r="F30">
        <v>3.07</v>
      </c>
      <c r="G30">
        <v>8250.0049999999992</v>
      </c>
      <c r="H30">
        <v>48992.141000000003</v>
      </c>
      <c r="I30">
        <v>1.6839999999999999</v>
      </c>
      <c r="J30" t="s">
        <v>403</v>
      </c>
      <c r="K30">
        <v>0.8</v>
      </c>
      <c r="N30">
        <v>23</v>
      </c>
      <c r="O30">
        <v>23</v>
      </c>
      <c r="P30" t="s">
        <v>677</v>
      </c>
      <c r="Q30" t="s">
        <v>414</v>
      </c>
      <c r="S30">
        <v>3.07</v>
      </c>
      <c r="T30">
        <v>5014.2380000000003</v>
      </c>
      <c r="U30">
        <v>18315.048999999999</v>
      </c>
      <c r="V30">
        <v>2.738</v>
      </c>
      <c r="W30" t="s">
        <v>403</v>
      </c>
      <c r="X30">
        <v>1.1000000000000001</v>
      </c>
    </row>
    <row r="31" spans="1:24" x14ac:dyDescent="0.45">
      <c r="A31">
        <v>24</v>
      </c>
      <c r="B31">
        <v>24</v>
      </c>
      <c r="C31" t="s">
        <v>605</v>
      </c>
      <c r="D31" t="s">
        <v>414</v>
      </c>
      <c r="F31">
        <v>3.07</v>
      </c>
      <c r="G31">
        <v>5028.0240000000003</v>
      </c>
      <c r="H31">
        <v>29997.831999999999</v>
      </c>
      <c r="I31">
        <v>1.6759999999999999</v>
      </c>
      <c r="J31" t="s">
        <v>412</v>
      </c>
      <c r="K31">
        <v>0.8</v>
      </c>
      <c r="N31">
        <v>24</v>
      </c>
      <c r="O31">
        <v>24</v>
      </c>
      <c r="P31" t="s">
        <v>678</v>
      </c>
      <c r="Q31" t="s">
        <v>414</v>
      </c>
      <c r="S31">
        <v>3.07</v>
      </c>
      <c r="T31">
        <v>2441.922</v>
      </c>
      <c r="U31">
        <v>16413.190999999999</v>
      </c>
      <c r="V31">
        <v>1.488</v>
      </c>
      <c r="W31" t="s">
        <v>403</v>
      </c>
      <c r="X31">
        <v>0.6</v>
      </c>
    </row>
    <row r="32" spans="1:24" x14ac:dyDescent="0.45">
      <c r="A32">
        <v>25</v>
      </c>
      <c r="B32">
        <v>25</v>
      </c>
      <c r="C32" t="s">
        <v>606</v>
      </c>
      <c r="D32" t="s">
        <v>414</v>
      </c>
      <c r="F32">
        <v>3.07</v>
      </c>
      <c r="G32">
        <v>5789.4679999999998</v>
      </c>
      <c r="H32">
        <v>34763.843999999997</v>
      </c>
      <c r="I32">
        <v>1.665</v>
      </c>
      <c r="J32" t="s">
        <v>403</v>
      </c>
      <c r="K32">
        <v>0.8</v>
      </c>
      <c r="N32">
        <v>25</v>
      </c>
      <c r="O32">
        <v>25</v>
      </c>
      <c r="P32" t="s">
        <v>679</v>
      </c>
      <c r="Q32" t="s">
        <v>414</v>
      </c>
      <c r="S32">
        <v>3.06</v>
      </c>
      <c r="T32">
        <v>2584.58</v>
      </c>
      <c r="U32">
        <v>13470.316999999999</v>
      </c>
      <c r="V32">
        <v>1.919</v>
      </c>
      <c r="W32" t="s">
        <v>403</v>
      </c>
      <c r="X32">
        <v>0.8</v>
      </c>
    </row>
    <row r="33" spans="1:24" x14ac:dyDescent="0.45">
      <c r="A33">
        <v>26</v>
      </c>
      <c r="B33">
        <v>26</v>
      </c>
      <c r="C33" t="s">
        <v>607</v>
      </c>
      <c r="D33" t="s">
        <v>414</v>
      </c>
      <c r="F33">
        <v>3.07</v>
      </c>
      <c r="G33">
        <v>6700.2560000000003</v>
      </c>
      <c r="H33">
        <v>33047.019999999997</v>
      </c>
      <c r="I33">
        <v>2.0270000000000001</v>
      </c>
      <c r="J33" t="s">
        <v>412</v>
      </c>
      <c r="K33">
        <v>0.9</v>
      </c>
      <c r="N33">
        <v>26</v>
      </c>
      <c r="O33">
        <v>26</v>
      </c>
      <c r="P33" t="s">
        <v>680</v>
      </c>
      <c r="Q33" t="s">
        <v>414</v>
      </c>
      <c r="S33">
        <v>3.07</v>
      </c>
      <c r="T33">
        <v>4280.8789999999999</v>
      </c>
      <c r="U33">
        <v>16735.383000000002</v>
      </c>
      <c r="V33">
        <v>2.5579999999999998</v>
      </c>
      <c r="W33" t="s">
        <v>403</v>
      </c>
      <c r="X33">
        <v>1</v>
      </c>
    </row>
    <row r="34" spans="1:24" x14ac:dyDescent="0.45">
      <c r="A34">
        <v>27</v>
      </c>
      <c r="B34">
        <v>27</v>
      </c>
      <c r="C34" t="s">
        <v>608</v>
      </c>
      <c r="D34" t="s">
        <v>414</v>
      </c>
      <c r="F34">
        <v>3.07</v>
      </c>
      <c r="G34">
        <v>6890.6639999999998</v>
      </c>
      <c r="H34">
        <v>45573.468999999997</v>
      </c>
      <c r="I34">
        <v>1.512</v>
      </c>
      <c r="J34" t="s">
        <v>403</v>
      </c>
      <c r="K34">
        <v>0.7</v>
      </c>
      <c r="N34">
        <v>27</v>
      </c>
      <c r="O34">
        <v>27</v>
      </c>
      <c r="P34" t="s">
        <v>681</v>
      </c>
      <c r="Q34" t="s">
        <v>414</v>
      </c>
      <c r="S34">
        <v>3.07</v>
      </c>
      <c r="T34">
        <v>3922.7869999999998</v>
      </c>
      <c r="U34">
        <v>16571.995999999999</v>
      </c>
      <c r="V34">
        <v>2.367</v>
      </c>
      <c r="W34" t="s">
        <v>403</v>
      </c>
      <c r="X34">
        <v>0.9</v>
      </c>
    </row>
    <row r="35" spans="1:24" x14ac:dyDescent="0.45">
      <c r="A35">
        <v>28</v>
      </c>
      <c r="B35">
        <v>28</v>
      </c>
      <c r="C35" t="s">
        <v>609</v>
      </c>
      <c r="D35" t="s">
        <v>414</v>
      </c>
      <c r="F35">
        <v>3.07</v>
      </c>
      <c r="G35">
        <v>4780.3919999999998</v>
      </c>
      <c r="H35">
        <v>36686.887000000002</v>
      </c>
      <c r="I35">
        <v>1.3029999999999999</v>
      </c>
      <c r="J35" t="s">
        <v>415</v>
      </c>
      <c r="K35">
        <v>0.6</v>
      </c>
      <c r="N35">
        <v>28</v>
      </c>
      <c r="O35">
        <v>28</v>
      </c>
      <c r="P35" t="s">
        <v>682</v>
      </c>
      <c r="Q35" t="s">
        <v>414</v>
      </c>
      <c r="S35">
        <v>3.07</v>
      </c>
      <c r="T35">
        <v>4052.6379999999999</v>
      </c>
      <c r="U35">
        <v>20028.598000000002</v>
      </c>
      <c r="V35">
        <v>2.0230000000000001</v>
      </c>
      <c r="W35" t="s">
        <v>403</v>
      </c>
      <c r="X35">
        <v>0.8</v>
      </c>
    </row>
    <row r="36" spans="1:24" x14ac:dyDescent="0.45">
      <c r="A36">
        <v>29</v>
      </c>
      <c r="B36">
        <v>29</v>
      </c>
      <c r="C36" t="s">
        <v>610</v>
      </c>
      <c r="D36" t="s">
        <v>414</v>
      </c>
      <c r="F36">
        <v>3.07</v>
      </c>
      <c r="G36">
        <v>3594.9690000000001</v>
      </c>
      <c r="H36">
        <v>25054.958999999999</v>
      </c>
      <c r="I36">
        <v>1.4350000000000001</v>
      </c>
      <c r="J36" t="s">
        <v>403</v>
      </c>
      <c r="K36">
        <v>0.7</v>
      </c>
      <c r="N36">
        <v>29</v>
      </c>
      <c r="O36">
        <v>29</v>
      </c>
      <c r="P36" t="s">
        <v>683</v>
      </c>
      <c r="Q36" t="s">
        <v>414</v>
      </c>
      <c r="S36">
        <v>3.06</v>
      </c>
      <c r="T36">
        <v>2825.482</v>
      </c>
      <c r="U36">
        <v>19093.778999999999</v>
      </c>
      <c r="V36">
        <v>1.48</v>
      </c>
      <c r="W36" t="s">
        <v>412</v>
      </c>
      <c r="X36">
        <v>0.6</v>
      </c>
    </row>
    <row r="37" spans="1:24" x14ac:dyDescent="0.45">
      <c r="A37">
        <v>30</v>
      </c>
      <c r="B37">
        <v>30</v>
      </c>
      <c r="C37" t="s">
        <v>611</v>
      </c>
      <c r="D37" t="s">
        <v>414</v>
      </c>
      <c r="F37">
        <v>3.07</v>
      </c>
      <c r="G37">
        <v>4162.5619999999999</v>
      </c>
      <c r="H37">
        <v>28791.208999999999</v>
      </c>
      <c r="I37">
        <v>1.446</v>
      </c>
      <c r="J37" t="s">
        <v>403</v>
      </c>
      <c r="K37">
        <v>0.7</v>
      </c>
      <c r="N37">
        <v>30</v>
      </c>
      <c r="O37">
        <v>30</v>
      </c>
      <c r="P37" t="s">
        <v>684</v>
      </c>
      <c r="Q37" t="s">
        <v>414</v>
      </c>
      <c r="S37">
        <v>3.06</v>
      </c>
      <c r="T37">
        <v>2758.8119999999999</v>
      </c>
      <c r="U37">
        <v>16640.738000000001</v>
      </c>
      <c r="V37">
        <v>1.6579999999999999</v>
      </c>
      <c r="W37" t="s">
        <v>415</v>
      </c>
      <c r="X37">
        <v>0.7</v>
      </c>
    </row>
    <row r="38" spans="1:24" x14ac:dyDescent="0.45">
      <c r="A38">
        <v>31</v>
      </c>
      <c r="B38">
        <v>31</v>
      </c>
      <c r="C38" t="s">
        <v>612</v>
      </c>
      <c r="D38" t="s">
        <v>414</v>
      </c>
      <c r="F38">
        <v>3.07</v>
      </c>
      <c r="G38">
        <v>4157.3109999999997</v>
      </c>
      <c r="H38">
        <v>30078.146000000001</v>
      </c>
      <c r="I38">
        <v>1.3819999999999999</v>
      </c>
      <c r="J38" t="s">
        <v>412</v>
      </c>
      <c r="K38">
        <v>0.6</v>
      </c>
      <c r="N38">
        <v>31</v>
      </c>
      <c r="O38">
        <v>31</v>
      </c>
      <c r="P38" t="s">
        <v>685</v>
      </c>
      <c r="Q38" t="s">
        <v>414</v>
      </c>
      <c r="S38">
        <v>3.06</v>
      </c>
      <c r="T38">
        <v>3583.7579999999998</v>
      </c>
      <c r="U38">
        <v>19947.875</v>
      </c>
      <c r="V38">
        <v>1.7969999999999999</v>
      </c>
      <c r="W38" t="s">
        <v>403</v>
      </c>
      <c r="X38">
        <v>0.7</v>
      </c>
    </row>
    <row r="39" spans="1:24" x14ac:dyDescent="0.45">
      <c r="A39">
        <v>32</v>
      </c>
      <c r="B39">
        <v>32</v>
      </c>
      <c r="C39" t="s">
        <v>613</v>
      </c>
      <c r="D39" t="s">
        <v>414</v>
      </c>
      <c r="F39">
        <v>3.07</v>
      </c>
      <c r="G39">
        <v>4590.1220000000003</v>
      </c>
      <c r="H39">
        <v>24710.296999999999</v>
      </c>
      <c r="I39">
        <v>1.8580000000000001</v>
      </c>
      <c r="J39" t="s">
        <v>403</v>
      </c>
      <c r="K39">
        <v>0.8</v>
      </c>
      <c r="N39">
        <v>32</v>
      </c>
      <c r="O39">
        <v>32</v>
      </c>
      <c r="P39" t="s">
        <v>686</v>
      </c>
      <c r="Q39" t="s">
        <v>414</v>
      </c>
      <c r="S39">
        <v>3.06</v>
      </c>
      <c r="T39">
        <v>10847.646000000001</v>
      </c>
      <c r="U39">
        <v>40803.07</v>
      </c>
      <c r="V39">
        <v>2.6589999999999998</v>
      </c>
      <c r="W39" t="s">
        <v>401</v>
      </c>
      <c r="X39">
        <v>1.1000000000000001</v>
      </c>
    </row>
    <row r="40" spans="1:24" x14ac:dyDescent="0.45">
      <c r="A40">
        <v>33</v>
      </c>
      <c r="B40">
        <v>33</v>
      </c>
      <c r="C40" t="s">
        <v>614</v>
      </c>
      <c r="D40" t="s">
        <v>414</v>
      </c>
      <c r="F40">
        <v>3.07</v>
      </c>
      <c r="G40">
        <v>2920.8809999999999</v>
      </c>
      <c r="H40">
        <v>21894.67</v>
      </c>
      <c r="I40">
        <v>1.3340000000000001</v>
      </c>
      <c r="J40" t="s">
        <v>403</v>
      </c>
      <c r="K40">
        <v>0.6</v>
      </c>
      <c r="N40">
        <v>33</v>
      </c>
      <c r="O40">
        <v>33</v>
      </c>
      <c r="P40" t="s">
        <v>687</v>
      </c>
      <c r="Q40" t="s">
        <v>414</v>
      </c>
      <c r="S40">
        <v>3.07</v>
      </c>
      <c r="T40">
        <v>8333.1730000000007</v>
      </c>
      <c r="U40">
        <v>32324.375</v>
      </c>
      <c r="V40">
        <v>2.5779999999999998</v>
      </c>
      <c r="W40" t="s">
        <v>403</v>
      </c>
      <c r="X40">
        <v>1</v>
      </c>
    </row>
    <row r="41" spans="1:24" x14ac:dyDescent="0.45">
      <c r="A41">
        <v>34</v>
      </c>
      <c r="B41">
        <v>34</v>
      </c>
      <c r="C41" t="s">
        <v>615</v>
      </c>
      <c r="D41" t="s">
        <v>414</v>
      </c>
      <c r="F41">
        <v>3.07</v>
      </c>
      <c r="G41">
        <v>3864.123</v>
      </c>
      <c r="H41">
        <v>22693.129000000001</v>
      </c>
      <c r="I41">
        <v>1.7030000000000001</v>
      </c>
      <c r="J41" t="s">
        <v>401</v>
      </c>
      <c r="K41">
        <v>0.8</v>
      </c>
      <c r="N41">
        <v>34</v>
      </c>
      <c r="O41">
        <v>34</v>
      </c>
      <c r="P41" t="s">
        <v>688</v>
      </c>
      <c r="Q41" t="s">
        <v>414</v>
      </c>
      <c r="S41">
        <v>3.07</v>
      </c>
      <c r="T41">
        <v>5346.1369999999997</v>
      </c>
      <c r="U41">
        <v>28324.118999999999</v>
      </c>
      <c r="V41">
        <v>1.887</v>
      </c>
      <c r="W41" t="s">
        <v>403</v>
      </c>
      <c r="X41">
        <v>0.7</v>
      </c>
    </row>
    <row r="42" spans="1:24" x14ac:dyDescent="0.45">
      <c r="A42">
        <v>35</v>
      </c>
      <c r="B42">
        <v>35</v>
      </c>
      <c r="C42" t="s">
        <v>616</v>
      </c>
      <c r="D42" t="s">
        <v>414</v>
      </c>
      <c r="F42">
        <v>3.07</v>
      </c>
      <c r="G42">
        <v>4451.5460000000003</v>
      </c>
      <c r="H42">
        <v>20772.778999999999</v>
      </c>
      <c r="I42">
        <v>2.1429999999999998</v>
      </c>
      <c r="J42" t="s">
        <v>403</v>
      </c>
      <c r="K42">
        <v>0.9</v>
      </c>
      <c r="N42">
        <v>35</v>
      </c>
      <c r="O42">
        <v>35</v>
      </c>
      <c r="P42" t="s">
        <v>689</v>
      </c>
      <c r="Q42" t="s">
        <v>414</v>
      </c>
      <c r="S42">
        <v>3.06</v>
      </c>
      <c r="T42">
        <v>5644.3530000000001</v>
      </c>
      <c r="U42">
        <v>38151.563000000002</v>
      </c>
      <c r="V42">
        <v>1.4790000000000001</v>
      </c>
      <c r="W42" t="s">
        <v>415</v>
      </c>
      <c r="X42">
        <v>0.6</v>
      </c>
    </row>
    <row r="43" spans="1:24" x14ac:dyDescent="0.45">
      <c r="A43">
        <v>36</v>
      </c>
      <c r="B43">
        <v>36</v>
      </c>
      <c r="C43" t="s">
        <v>617</v>
      </c>
      <c r="D43" t="s">
        <v>414</v>
      </c>
      <c r="F43">
        <v>3.07</v>
      </c>
      <c r="G43">
        <v>3160.817</v>
      </c>
      <c r="H43">
        <v>25116.715</v>
      </c>
      <c r="I43">
        <v>1.258</v>
      </c>
      <c r="J43" t="s">
        <v>403</v>
      </c>
      <c r="K43">
        <v>0.6</v>
      </c>
      <c r="N43">
        <v>36</v>
      </c>
      <c r="O43">
        <v>36</v>
      </c>
      <c r="P43" t="s">
        <v>690</v>
      </c>
      <c r="Q43" t="s">
        <v>414</v>
      </c>
      <c r="S43">
        <v>3.07</v>
      </c>
      <c r="T43">
        <v>5769.7740000000003</v>
      </c>
      <c r="U43">
        <v>20750.706999999999</v>
      </c>
      <c r="V43">
        <v>2.7810000000000001</v>
      </c>
      <c r="W43" t="s">
        <v>403</v>
      </c>
      <c r="X43">
        <v>1.1000000000000001</v>
      </c>
    </row>
    <row r="44" spans="1:24" x14ac:dyDescent="0.45">
      <c r="A44">
        <v>37</v>
      </c>
      <c r="B44">
        <v>37</v>
      </c>
      <c r="C44" t="s">
        <v>618</v>
      </c>
      <c r="D44" t="s">
        <v>414</v>
      </c>
      <c r="F44">
        <v>3.07</v>
      </c>
      <c r="G44">
        <v>6219.4059999999999</v>
      </c>
      <c r="H44">
        <v>46959.065999999999</v>
      </c>
      <c r="I44">
        <v>1.3240000000000001</v>
      </c>
      <c r="J44" t="s">
        <v>415</v>
      </c>
      <c r="K44">
        <v>0.6</v>
      </c>
      <c r="N44">
        <v>37</v>
      </c>
      <c r="O44">
        <v>37</v>
      </c>
      <c r="P44" t="s">
        <v>691</v>
      </c>
      <c r="Q44" t="s">
        <v>414</v>
      </c>
      <c r="S44">
        <v>3.06</v>
      </c>
      <c r="T44">
        <v>4898.308</v>
      </c>
      <c r="U44">
        <v>18088.598000000002</v>
      </c>
      <c r="V44">
        <v>2.7080000000000002</v>
      </c>
      <c r="W44" t="s">
        <v>401</v>
      </c>
      <c r="X44">
        <v>1.1000000000000001</v>
      </c>
    </row>
    <row r="45" spans="1:24" x14ac:dyDescent="0.45">
      <c r="A45">
        <v>38</v>
      </c>
      <c r="B45">
        <v>38</v>
      </c>
      <c r="C45" t="s">
        <v>619</v>
      </c>
      <c r="D45" t="s">
        <v>414</v>
      </c>
      <c r="F45">
        <v>3.07</v>
      </c>
      <c r="G45">
        <v>3867.3130000000001</v>
      </c>
      <c r="H45">
        <v>19940.789000000001</v>
      </c>
      <c r="I45">
        <v>1.9390000000000001</v>
      </c>
      <c r="J45" t="s">
        <v>412</v>
      </c>
      <c r="K45">
        <v>0.9</v>
      </c>
      <c r="N45">
        <v>38</v>
      </c>
      <c r="O45">
        <v>38</v>
      </c>
      <c r="P45" t="s">
        <v>692</v>
      </c>
      <c r="Q45" t="s">
        <v>414</v>
      </c>
      <c r="S45">
        <v>3.06</v>
      </c>
      <c r="T45">
        <v>7702.2479999999996</v>
      </c>
      <c r="U45">
        <v>27521.148000000001</v>
      </c>
      <c r="V45">
        <v>2.7989999999999999</v>
      </c>
      <c r="W45" t="s">
        <v>415</v>
      </c>
      <c r="X45">
        <v>1.1000000000000001</v>
      </c>
    </row>
    <row r="46" spans="1:24" x14ac:dyDescent="0.45">
      <c r="A46">
        <v>39</v>
      </c>
      <c r="B46">
        <v>39</v>
      </c>
      <c r="C46" t="s">
        <v>620</v>
      </c>
      <c r="D46" t="s">
        <v>414</v>
      </c>
      <c r="F46">
        <v>3.07</v>
      </c>
      <c r="G46">
        <v>4183.8029999999999</v>
      </c>
      <c r="H46">
        <v>19643.796999999999</v>
      </c>
      <c r="I46">
        <v>2.13</v>
      </c>
      <c r="J46" t="s">
        <v>415</v>
      </c>
      <c r="K46">
        <v>0.9</v>
      </c>
      <c r="N46">
        <v>39</v>
      </c>
      <c r="O46">
        <v>39</v>
      </c>
      <c r="P46" t="s">
        <v>693</v>
      </c>
      <c r="Q46" t="s">
        <v>414</v>
      </c>
      <c r="S46">
        <v>3.07</v>
      </c>
      <c r="T46">
        <v>10298.773999999999</v>
      </c>
      <c r="U46">
        <v>28853.125</v>
      </c>
      <c r="V46">
        <v>3.569</v>
      </c>
      <c r="W46" t="s">
        <v>403</v>
      </c>
      <c r="X46">
        <v>1.4</v>
      </c>
    </row>
    <row r="47" spans="1:24" x14ac:dyDescent="0.45">
      <c r="A47">
        <v>40</v>
      </c>
      <c r="B47">
        <v>40</v>
      </c>
      <c r="C47" t="s">
        <v>621</v>
      </c>
      <c r="D47" t="s">
        <v>414</v>
      </c>
      <c r="F47">
        <v>3.07</v>
      </c>
      <c r="G47">
        <v>5913.1729999999998</v>
      </c>
      <c r="H47">
        <v>37430.832000000002</v>
      </c>
      <c r="I47">
        <v>1.58</v>
      </c>
      <c r="J47" t="s">
        <v>415</v>
      </c>
      <c r="K47">
        <v>0.7</v>
      </c>
      <c r="N47">
        <v>40</v>
      </c>
      <c r="O47">
        <v>40</v>
      </c>
      <c r="P47" t="s">
        <v>694</v>
      </c>
      <c r="Q47" t="s">
        <v>414</v>
      </c>
      <c r="S47">
        <v>3.07</v>
      </c>
      <c r="T47">
        <v>15138.517</v>
      </c>
      <c r="U47">
        <v>44698.949000000001</v>
      </c>
      <c r="V47">
        <v>3.387</v>
      </c>
      <c r="W47" t="s">
        <v>401</v>
      </c>
      <c r="X47">
        <v>1.3</v>
      </c>
    </row>
    <row r="48" spans="1:24" x14ac:dyDescent="0.45">
      <c r="A48">
        <v>41</v>
      </c>
      <c r="B48">
        <v>41</v>
      </c>
      <c r="C48" t="s">
        <v>622</v>
      </c>
      <c r="D48" t="s">
        <v>414</v>
      </c>
      <c r="F48">
        <v>3.07</v>
      </c>
      <c r="G48">
        <v>4834.5870000000004</v>
      </c>
      <c r="H48">
        <v>29678.662</v>
      </c>
      <c r="I48">
        <v>1.629</v>
      </c>
      <c r="J48" t="s">
        <v>412</v>
      </c>
      <c r="K48">
        <v>0.7</v>
      </c>
      <c r="N48">
        <v>41</v>
      </c>
      <c r="O48">
        <v>41</v>
      </c>
      <c r="P48" t="s">
        <v>695</v>
      </c>
      <c r="Q48" t="s">
        <v>414</v>
      </c>
      <c r="S48">
        <v>3.07</v>
      </c>
      <c r="T48">
        <v>12229.978999999999</v>
      </c>
      <c r="U48">
        <v>42988.108999999997</v>
      </c>
      <c r="V48">
        <v>2.8450000000000002</v>
      </c>
      <c r="W48" t="s">
        <v>403</v>
      </c>
      <c r="X48">
        <v>1.1000000000000001</v>
      </c>
    </row>
    <row r="49" spans="1:24" x14ac:dyDescent="0.45">
      <c r="A49">
        <v>42</v>
      </c>
      <c r="B49">
        <v>42</v>
      </c>
      <c r="C49" t="s">
        <v>623</v>
      </c>
      <c r="D49" t="s">
        <v>414</v>
      </c>
      <c r="F49">
        <v>3.07</v>
      </c>
      <c r="G49">
        <v>5667.5039999999999</v>
      </c>
      <c r="H49">
        <v>50961.355000000003</v>
      </c>
      <c r="I49">
        <v>1.1120000000000001</v>
      </c>
      <c r="J49" t="s">
        <v>403</v>
      </c>
      <c r="K49">
        <v>0.5</v>
      </c>
      <c r="N49">
        <v>42</v>
      </c>
      <c r="O49">
        <v>42</v>
      </c>
      <c r="P49" t="s">
        <v>696</v>
      </c>
      <c r="Q49" t="s">
        <v>414</v>
      </c>
      <c r="S49">
        <v>3.07</v>
      </c>
      <c r="T49">
        <v>8802.2710000000006</v>
      </c>
      <c r="U49">
        <v>40251.074000000001</v>
      </c>
      <c r="V49">
        <v>2.1869999999999998</v>
      </c>
      <c r="W49" t="s">
        <v>403</v>
      </c>
      <c r="X49">
        <v>0.9</v>
      </c>
    </row>
    <row r="50" spans="1:24" x14ac:dyDescent="0.45">
      <c r="A50">
        <v>43</v>
      </c>
      <c r="B50">
        <v>43</v>
      </c>
      <c r="C50" t="s">
        <v>624</v>
      </c>
      <c r="D50" t="s">
        <v>414</v>
      </c>
      <c r="F50">
        <v>3.07</v>
      </c>
      <c r="G50">
        <v>6488.0839999999998</v>
      </c>
      <c r="H50">
        <v>47069.722999999998</v>
      </c>
      <c r="I50">
        <v>1.3779999999999999</v>
      </c>
      <c r="J50" t="s">
        <v>401</v>
      </c>
      <c r="K50">
        <v>0.6</v>
      </c>
      <c r="N50">
        <v>43</v>
      </c>
      <c r="O50">
        <v>43</v>
      </c>
      <c r="P50" t="s">
        <v>697</v>
      </c>
      <c r="Q50" t="s">
        <v>414</v>
      </c>
      <c r="S50">
        <v>3.07</v>
      </c>
      <c r="T50">
        <v>11257.483</v>
      </c>
      <c r="U50">
        <v>46483.605000000003</v>
      </c>
      <c r="V50">
        <v>2.4220000000000002</v>
      </c>
      <c r="W50" t="s">
        <v>415</v>
      </c>
      <c r="X50">
        <v>1</v>
      </c>
    </row>
    <row r="51" spans="1:24" x14ac:dyDescent="0.45">
      <c r="A51">
        <v>44</v>
      </c>
      <c r="B51">
        <v>44</v>
      </c>
      <c r="C51" t="s">
        <v>625</v>
      </c>
      <c r="D51" t="s">
        <v>414</v>
      </c>
      <c r="F51">
        <v>3.07</v>
      </c>
      <c r="G51">
        <v>5038.9459999999999</v>
      </c>
      <c r="H51">
        <v>44099.32</v>
      </c>
      <c r="I51">
        <v>1.143</v>
      </c>
      <c r="J51" t="s">
        <v>415</v>
      </c>
      <c r="K51">
        <v>0.5</v>
      </c>
      <c r="N51">
        <v>44</v>
      </c>
      <c r="O51">
        <v>44</v>
      </c>
      <c r="P51" t="s">
        <v>698</v>
      </c>
      <c r="Q51" t="s">
        <v>414</v>
      </c>
      <c r="S51">
        <v>3.07</v>
      </c>
      <c r="T51">
        <v>16706.300999999999</v>
      </c>
      <c r="U51">
        <v>39255.995999999999</v>
      </c>
      <c r="V51">
        <v>4.2560000000000002</v>
      </c>
      <c r="W51" t="s">
        <v>403</v>
      </c>
      <c r="X51">
        <v>1.7</v>
      </c>
    </row>
    <row r="52" spans="1:24" x14ac:dyDescent="0.45">
      <c r="A52">
        <v>45</v>
      </c>
      <c r="B52">
        <v>45</v>
      </c>
      <c r="C52" t="s">
        <v>626</v>
      </c>
      <c r="D52" t="s">
        <v>414</v>
      </c>
      <c r="F52">
        <v>3.07</v>
      </c>
      <c r="G52">
        <v>4236.9849999999997</v>
      </c>
      <c r="H52">
        <v>33686.707000000002</v>
      </c>
      <c r="I52">
        <v>1.258</v>
      </c>
      <c r="J52" t="s">
        <v>403</v>
      </c>
      <c r="K52">
        <v>0.6</v>
      </c>
      <c r="N52">
        <v>45</v>
      </c>
      <c r="O52">
        <v>45</v>
      </c>
      <c r="P52" t="s">
        <v>699</v>
      </c>
      <c r="Q52" t="s">
        <v>414</v>
      </c>
      <c r="S52">
        <v>3.07</v>
      </c>
      <c r="T52">
        <v>10734.914000000001</v>
      </c>
      <c r="U52">
        <v>24142.414000000001</v>
      </c>
      <c r="V52">
        <v>4.4459999999999997</v>
      </c>
      <c r="W52" t="s">
        <v>403</v>
      </c>
      <c r="X52">
        <v>1.8</v>
      </c>
    </row>
    <row r="53" spans="1:24" x14ac:dyDescent="0.45">
      <c r="A53">
        <v>46</v>
      </c>
      <c r="B53">
        <v>46</v>
      </c>
      <c r="C53" t="s">
        <v>627</v>
      </c>
      <c r="D53" t="s">
        <v>414</v>
      </c>
      <c r="F53">
        <v>3.07</v>
      </c>
      <c r="G53">
        <v>12829.815000000001</v>
      </c>
      <c r="H53">
        <v>37282.733999999997</v>
      </c>
      <c r="I53">
        <v>3.4409999999999998</v>
      </c>
      <c r="J53" t="s">
        <v>403</v>
      </c>
      <c r="K53">
        <v>1.5</v>
      </c>
      <c r="N53">
        <v>46</v>
      </c>
      <c r="O53">
        <v>46</v>
      </c>
      <c r="P53" t="s">
        <v>700</v>
      </c>
      <c r="Q53" t="s">
        <v>414</v>
      </c>
      <c r="S53">
        <v>3.07</v>
      </c>
      <c r="T53">
        <v>22285.115000000002</v>
      </c>
      <c r="U53">
        <v>42658.141000000003</v>
      </c>
      <c r="V53">
        <v>5.2240000000000002</v>
      </c>
      <c r="W53" t="s">
        <v>403</v>
      </c>
      <c r="X53">
        <v>2.1</v>
      </c>
    </row>
    <row r="54" spans="1:24" x14ac:dyDescent="0.45">
      <c r="A54">
        <v>47</v>
      </c>
      <c r="B54">
        <v>47</v>
      </c>
      <c r="C54" t="s">
        <v>628</v>
      </c>
      <c r="D54" t="s">
        <v>414</v>
      </c>
      <c r="F54">
        <v>3.07</v>
      </c>
      <c r="G54">
        <v>16249.313</v>
      </c>
      <c r="H54">
        <v>44516.222999999998</v>
      </c>
      <c r="I54">
        <v>3.65</v>
      </c>
      <c r="J54" t="s">
        <v>403</v>
      </c>
      <c r="K54">
        <v>1.5</v>
      </c>
      <c r="N54">
        <v>47</v>
      </c>
      <c r="O54">
        <v>47</v>
      </c>
      <c r="P54" t="s">
        <v>701</v>
      </c>
      <c r="Q54" t="s">
        <v>414</v>
      </c>
      <c r="S54">
        <v>3.07</v>
      </c>
      <c r="T54">
        <v>21775.381000000001</v>
      </c>
      <c r="U54">
        <v>43740.440999999999</v>
      </c>
      <c r="V54">
        <v>4.9779999999999998</v>
      </c>
      <c r="W54" t="s">
        <v>401</v>
      </c>
      <c r="X54">
        <v>2</v>
      </c>
    </row>
    <row r="55" spans="1:24" x14ac:dyDescent="0.45">
      <c r="A55">
        <v>48</v>
      </c>
      <c r="B55">
        <v>48</v>
      </c>
      <c r="C55" t="s">
        <v>629</v>
      </c>
      <c r="D55" t="s">
        <v>414</v>
      </c>
      <c r="F55">
        <v>3.07</v>
      </c>
      <c r="G55">
        <v>9038.4680000000008</v>
      </c>
      <c r="H55">
        <v>32305.705000000002</v>
      </c>
      <c r="I55">
        <v>2.798</v>
      </c>
      <c r="J55" t="s">
        <v>403</v>
      </c>
      <c r="K55">
        <v>1.2</v>
      </c>
      <c r="N55">
        <v>48</v>
      </c>
      <c r="O55">
        <v>48</v>
      </c>
      <c r="P55" t="s">
        <v>702</v>
      </c>
      <c r="Q55" t="s">
        <v>414</v>
      </c>
      <c r="S55">
        <v>3.07</v>
      </c>
      <c r="T55">
        <v>14186.949000000001</v>
      </c>
      <c r="U55">
        <v>46697.137000000002</v>
      </c>
      <c r="V55">
        <v>3.0379999999999998</v>
      </c>
      <c r="W55" t="s">
        <v>401</v>
      </c>
      <c r="X55">
        <v>1.2</v>
      </c>
    </row>
    <row r="56" spans="1:24" x14ac:dyDescent="0.45">
      <c r="A56">
        <v>49</v>
      </c>
      <c r="B56">
        <v>49</v>
      </c>
      <c r="C56" t="s">
        <v>630</v>
      </c>
      <c r="D56" t="s">
        <v>414</v>
      </c>
      <c r="F56">
        <v>3.07</v>
      </c>
      <c r="G56">
        <v>13822.434999999999</v>
      </c>
      <c r="H56">
        <v>42821.972999999998</v>
      </c>
      <c r="I56">
        <v>3.2280000000000002</v>
      </c>
      <c r="J56" t="s">
        <v>403</v>
      </c>
      <c r="K56">
        <v>1.4</v>
      </c>
      <c r="N56">
        <v>49</v>
      </c>
      <c r="O56">
        <v>49</v>
      </c>
      <c r="P56" t="s">
        <v>703</v>
      </c>
      <c r="Q56" t="s">
        <v>414</v>
      </c>
      <c r="S56">
        <v>3.07</v>
      </c>
      <c r="T56">
        <v>13627.168</v>
      </c>
      <c r="U56">
        <v>45431.555</v>
      </c>
      <c r="V56">
        <v>2.9990000000000001</v>
      </c>
      <c r="W56" t="s">
        <v>403</v>
      </c>
      <c r="X56">
        <v>1.2</v>
      </c>
    </row>
    <row r="57" spans="1:24" x14ac:dyDescent="0.45">
      <c r="A57">
        <v>50</v>
      </c>
      <c r="B57">
        <v>50</v>
      </c>
      <c r="C57" t="s">
        <v>631</v>
      </c>
      <c r="D57" t="s">
        <v>414</v>
      </c>
      <c r="F57">
        <v>3.07</v>
      </c>
      <c r="G57">
        <v>10037.053</v>
      </c>
      <c r="H57">
        <v>28752.822</v>
      </c>
      <c r="I57">
        <v>3.4910000000000001</v>
      </c>
      <c r="J57" t="s">
        <v>401</v>
      </c>
      <c r="K57">
        <v>1.5</v>
      </c>
      <c r="N57">
        <v>50</v>
      </c>
      <c r="O57">
        <v>50</v>
      </c>
      <c r="P57" t="s">
        <v>704</v>
      </c>
      <c r="Q57" t="s">
        <v>414</v>
      </c>
      <c r="S57">
        <v>3.07</v>
      </c>
      <c r="T57">
        <v>12073.834000000001</v>
      </c>
      <c r="U57">
        <v>41780.940999999999</v>
      </c>
      <c r="V57">
        <v>2.89</v>
      </c>
      <c r="W57" t="s">
        <v>403</v>
      </c>
      <c r="X57">
        <v>1.1000000000000001</v>
      </c>
    </row>
    <row r="58" spans="1:24" x14ac:dyDescent="0.45">
      <c r="A58">
        <v>51</v>
      </c>
      <c r="B58">
        <v>51</v>
      </c>
      <c r="C58" t="s">
        <v>632</v>
      </c>
      <c r="D58" t="s">
        <v>414</v>
      </c>
      <c r="F58">
        <v>3.07</v>
      </c>
      <c r="G58">
        <v>6081.9830000000002</v>
      </c>
      <c r="H58">
        <v>25246.773000000001</v>
      </c>
      <c r="I58">
        <v>2.4089999999999998</v>
      </c>
      <c r="J58" t="s">
        <v>412</v>
      </c>
      <c r="K58">
        <v>1.1000000000000001</v>
      </c>
      <c r="N58">
        <v>51</v>
      </c>
      <c r="O58">
        <v>51</v>
      </c>
      <c r="P58" t="s">
        <v>705</v>
      </c>
      <c r="Q58" t="s">
        <v>414</v>
      </c>
      <c r="S58">
        <v>3.07</v>
      </c>
      <c r="T58">
        <v>4994.7259999999997</v>
      </c>
      <c r="U58">
        <v>12568.46</v>
      </c>
      <c r="V58">
        <v>3.9740000000000002</v>
      </c>
      <c r="W58" t="s">
        <v>403</v>
      </c>
      <c r="X58">
        <v>1.6</v>
      </c>
    </row>
    <row r="59" spans="1:24" x14ac:dyDescent="0.45">
      <c r="A59">
        <v>52</v>
      </c>
      <c r="B59">
        <v>52</v>
      </c>
      <c r="C59" t="s">
        <v>633</v>
      </c>
      <c r="D59" t="s">
        <v>414</v>
      </c>
      <c r="F59">
        <v>3.07</v>
      </c>
      <c r="G59">
        <v>9464.9539999999997</v>
      </c>
      <c r="H59">
        <v>32179.440999999999</v>
      </c>
      <c r="I59">
        <v>2.9409999999999998</v>
      </c>
      <c r="J59" t="s">
        <v>403</v>
      </c>
      <c r="K59">
        <v>1.3</v>
      </c>
      <c r="N59">
        <v>52</v>
      </c>
      <c r="O59">
        <v>52</v>
      </c>
      <c r="P59" t="s">
        <v>706</v>
      </c>
      <c r="Q59" t="s">
        <v>414</v>
      </c>
      <c r="S59">
        <v>3.07</v>
      </c>
      <c r="T59">
        <v>9769.6910000000007</v>
      </c>
      <c r="U59">
        <v>37599.461000000003</v>
      </c>
      <c r="V59">
        <v>2.5979999999999999</v>
      </c>
      <c r="W59" t="s">
        <v>403</v>
      </c>
      <c r="X59">
        <v>1</v>
      </c>
    </row>
    <row r="60" spans="1:24" x14ac:dyDescent="0.45">
      <c r="A60">
        <v>53</v>
      </c>
      <c r="B60">
        <v>53</v>
      </c>
      <c r="C60" t="s">
        <v>634</v>
      </c>
      <c r="D60" t="s">
        <v>414</v>
      </c>
      <c r="F60">
        <v>3.07</v>
      </c>
      <c r="G60">
        <v>11178.541999999999</v>
      </c>
      <c r="H60">
        <v>46770.73</v>
      </c>
      <c r="I60">
        <v>2.39</v>
      </c>
      <c r="J60" t="s">
        <v>403</v>
      </c>
      <c r="K60">
        <v>1</v>
      </c>
      <c r="N60">
        <v>53</v>
      </c>
      <c r="O60">
        <v>53</v>
      </c>
      <c r="P60" t="s">
        <v>707</v>
      </c>
      <c r="Q60" t="s">
        <v>414</v>
      </c>
      <c r="S60">
        <v>3.07</v>
      </c>
      <c r="T60">
        <v>8571.2469999999994</v>
      </c>
      <c r="U60">
        <v>41193.773000000001</v>
      </c>
      <c r="V60">
        <v>2.081</v>
      </c>
      <c r="W60" t="s">
        <v>403</v>
      </c>
      <c r="X60">
        <v>0.8</v>
      </c>
    </row>
    <row r="61" spans="1:24" x14ac:dyDescent="0.45">
      <c r="A61">
        <v>54</v>
      </c>
      <c r="B61">
        <v>54</v>
      </c>
      <c r="C61" t="s">
        <v>635</v>
      </c>
      <c r="D61" t="s">
        <v>414</v>
      </c>
      <c r="F61">
        <v>3.07</v>
      </c>
      <c r="G61">
        <v>6291.4129999999996</v>
      </c>
      <c r="H61">
        <v>19138.756000000001</v>
      </c>
      <c r="I61">
        <v>3.2869999999999999</v>
      </c>
      <c r="J61" t="s">
        <v>401</v>
      </c>
      <c r="K61">
        <v>1.4</v>
      </c>
      <c r="N61">
        <v>54</v>
      </c>
      <c r="O61">
        <v>54</v>
      </c>
      <c r="P61" t="s">
        <v>708</v>
      </c>
      <c r="Q61" t="s">
        <v>414</v>
      </c>
      <c r="S61">
        <v>3.07</v>
      </c>
      <c r="T61">
        <v>10886.232</v>
      </c>
      <c r="U61">
        <v>39102.995999999999</v>
      </c>
      <c r="V61">
        <v>2.7839999999999998</v>
      </c>
      <c r="W61" t="s">
        <v>403</v>
      </c>
      <c r="X61">
        <v>1.1000000000000001</v>
      </c>
    </row>
    <row r="62" spans="1:24" x14ac:dyDescent="0.45">
      <c r="A62">
        <v>55</v>
      </c>
      <c r="B62">
        <v>55</v>
      </c>
      <c r="C62" t="s">
        <v>636</v>
      </c>
      <c r="D62" t="s">
        <v>414</v>
      </c>
      <c r="F62">
        <v>3.07</v>
      </c>
      <c r="G62">
        <v>8794.6370000000006</v>
      </c>
      <c r="H62">
        <v>28770.453000000001</v>
      </c>
      <c r="I62">
        <v>3.0569999999999999</v>
      </c>
      <c r="J62" t="s">
        <v>415</v>
      </c>
      <c r="K62">
        <v>1.3</v>
      </c>
      <c r="N62">
        <v>55</v>
      </c>
      <c r="O62">
        <v>55</v>
      </c>
      <c r="P62" t="s">
        <v>709</v>
      </c>
      <c r="Q62" t="s">
        <v>414</v>
      </c>
      <c r="S62">
        <v>3.07</v>
      </c>
      <c r="T62">
        <v>12196.226000000001</v>
      </c>
      <c r="U62">
        <v>40568.152000000002</v>
      </c>
      <c r="V62">
        <v>3.0059999999999998</v>
      </c>
      <c r="W62" t="s">
        <v>401</v>
      </c>
      <c r="X62">
        <v>1.2</v>
      </c>
    </row>
    <row r="63" spans="1:24" x14ac:dyDescent="0.45">
      <c r="A63">
        <v>56</v>
      </c>
      <c r="B63">
        <v>56</v>
      </c>
      <c r="C63" t="s">
        <v>637</v>
      </c>
      <c r="D63" t="s">
        <v>414</v>
      </c>
      <c r="F63">
        <v>3.07</v>
      </c>
      <c r="G63">
        <v>21236.291000000001</v>
      </c>
      <c r="H63">
        <v>46809.652000000002</v>
      </c>
      <c r="I63">
        <v>4.5369999999999999</v>
      </c>
      <c r="J63" t="s">
        <v>403</v>
      </c>
      <c r="K63">
        <v>1.9</v>
      </c>
      <c r="N63">
        <v>56</v>
      </c>
      <c r="O63">
        <v>56</v>
      </c>
      <c r="P63" t="s">
        <v>710</v>
      </c>
      <c r="Q63" t="s">
        <v>414</v>
      </c>
      <c r="S63">
        <v>3.07</v>
      </c>
      <c r="T63">
        <v>9619.4169999999995</v>
      </c>
      <c r="U63">
        <v>47855.73</v>
      </c>
      <c r="V63">
        <v>2.0099999999999998</v>
      </c>
      <c r="W63" t="s">
        <v>401</v>
      </c>
      <c r="X63">
        <v>0.8</v>
      </c>
    </row>
    <row r="64" spans="1:24" x14ac:dyDescent="0.45">
      <c r="A64">
        <v>57</v>
      </c>
      <c r="B64">
        <v>57</v>
      </c>
      <c r="C64" t="s">
        <v>638</v>
      </c>
      <c r="D64" t="s">
        <v>414</v>
      </c>
      <c r="F64">
        <v>3.07</v>
      </c>
      <c r="G64">
        <v>9087.8410000000003</v>
      </c>
      <c r="H64">
        <v>22968.118999999999</v>
      </c>
      <c r="I64">
        <v>3.9569999999999999</v>
      </c>
      <c r="J64" t="s">
        <v>403</v>
      </c>
      <c r="K64">
        <v>1.7</v>
      </c>
      <c r="N64">
        <v>57</v>
      </c>
      <c r="O64">
        <v>57</v>
      </c>
      <c r="P64" t="s">
        <v>711</v>
      </c>
      <c r="Q64" t="s">
        <v>414</v>
      </c>
      <c r="S64">
        <v>3.07</v>
      </c>
      <c r="T64">
        <v>8095.7619999999997</v>
      </c>
      <c r="U64">
        <v>46796.972999999998</v>
      </c>
      <c r="V64">
        <v>1.73</v>
      </c>
      <c r="W64" t="s">
        <v>415</v>
      </c>
      <c r="X64">
        <v>0.7</v>
      </c>
    </row>
    <row r="65" spans="1:25" x14ac:dyDescent="0.45">
      <c r="A65">
        <v>58</v>
      </c>
      <c r="B65">
        <v>58</v>
      </c>
      <c r="C65" t="s">
        <v>639</v>
      </c>
      <c r="D65" t="s">
        <v>414</v>
      </c>
      <c r="F65">
        <v>3.07</v>
      </c>
      <c r="G65">
        <v>3474.6770000000001</v>
      </c>
      <c r="H65">
        <v>21423.228999999999</v>
      </c>
      <c r="I65">
        <v>1.6220000000000001</v>
      </c>
      <c r="J65" t="s">
        <v>412</v>
      </c>
      <c r="K65">
        <v>0.7</v>
      </c>
      <c r="N65">
        <v>58</v>
      </c>
      <c r="O65">
        <v>58</v>
      </c>
      <c r="P65" t="s">
        <v>712</v>
      </c>
      <c r="Q65" t="s">
        <v>414</v>
      </c>
      <c r="S65">
        <v>3.07</v>
      </c>
      <c r="T65">
        <v>3374.8139999999999</v>
      </c>
      <c r="U65">
        <v>48178.417999999998</v>
      </c>
      <c r="V65">
        <v>0.7</v>
      </c>
      <c r="W65" t="s">
        <v>401</v>
      </c>
      <c r="X65">
        <v>0.3</v>
      </c>
    </row>
    <row r="66" spans="1:25" x14ac:dyDescent="0.45">
      <c r="A66">
        <v>59</v>
      </c>
      <c r="B66">
        <v>59</v>
      </c>
      <c r="C66" t="s">
        <v>640</v>
      </c>
      <c r="D66" t="s">
        <v>414</v>
      </c>
      <c r="F66">
        <v>3.07</v>
      </c>
      <c r="G66">
        <v>5929.6210000000001</v>
      </c>
      <c r="H66">
        <v>32038.596000000001</v>
      </c>
      <c r="I66">
        <v>1.851</v>
      </c>
      <c r="J66" t="s">
        <v>415</v>
      </c>
      <c r="K66">
        <v>0.8</v>
      </c>
      <c r="N66">
        <v>59</v>
      </c>
      <c r="O66">
        <v>59</v>
      </c>
      <c r="P66" t="s">
        <v>713</v>
      </c>
      <c r="Q66" t="s">
        <v>414</v>
      </c>
      <c r="S66">
        <v>3.07</v>
      </c>
      <c r="T66">
        <v>2680.337</v>
      </c>
      <c r="U66">
        <v>24496.83</v>
      </c>
      <c r="V66">
        <v>1.0940000000000001</v>
      </c>
      <c r="W66" t="s">
        <v>401</v>
      </c>
      <c r="X66">
        <v>0.4</v>
      </c>
    </row>
    <row r="67" spans="1:25" x14ac:dyDescent="0.45">
      <c r="A67">
        <v>60</v>
      </c>
      <c r="B67">
        <v>60</v>
      </c>
      <c r="C67" t="s">
        <v>641</v>
      </c>
      <c r="D67" t="s">
        <v>414</v>
      </c>
      <c r="F67">
        <v>3.07</v>
      </c>
      <c r="G67">
        <v>7965.69</v>
      </c>
      <c r="H67">
        <v>29809.223000000002</v>
      </c>
      <c r="I67">
        <v>2.6720000000000002</v>
      </c>
      <c r="J67" t="s">
        <v>415</v>
      </c>
      <c r="K67">
        <v>1.2</v>
      </c>
      <c r="N67">
        <v>60</v>
      </c>
      <c r="O67">
        <v>60</v>
      </c>
      <c r="P67" t="s">
        <v>714</v>
      </c>
      <c r="Q67" t="s">
        <v>414</v>
      </c>
      <c r="S67">
        <v>3.07</v>
      </c>
      <c r="T67">
        <v>4868.3490000000002</v>
      </c>
      <c r="U67">
        <v>30169.942999999999</v>
      </c>
      <c r="V67">
        <v>1.6140000000000001</v>
      </c>
      <c r="W67" t="s">
        <v>403</v>
      </c>
      <c r="X67">
        <v>0.6</v>
      </c>
    </row>
    <row r="68" spans="1:25" x14ac:dyDescent="0.45">
      <c r="A68">
        <v>61</v>
      </c>
      <c r="B68">
        <v>61</v>
      </c>
      <c r="C68" t="s">
        <v>642</v>
      </c>
      <c r="D68" t="s">
        <v>414</v>
      </c>
      <c r="F68">
        <v>3.07</v>
      </c>
      <c r="G68">
        <v>6651.3230000000003</v>
      </c>
      <c r="H68">
        <v>34502.788999999997</v>
      </c>
      <c r="I68">
        <v>1.9279999999999999</v>
      </c>
      <c r="J68" t="s">
        <v>403</v>
      </c>
      <c r="K68">
        <v>0.9</v>
      </c>
      <c r="N68">
        <v>61</v>
      </c>
      <c r="O68">
        <v>61</v>
      </c>
      <c r="P68" t="s">
        <v>715</v>
      </c>
      <c r="Q68" t="s">
        <v>414</v>
      </c>
      <c r="S68">
        <v>3.07</v>
      </c>
      <c r="T68">
        <v>6186.8879999999999</v>
      </c>
      <c r="U68">
        <v>38924.508000000002</v>
      </c>
      <c r="V68">
        <v>1.589</v>
      </c>
      <c r="W68" t="s">
        <v>403</v>
      </c>
      <c r="X68">
        <v>0.6</v>
      </c>
    </row>
    <row r="69" spans="1:25" x14ac:dyDescent="0.45">
      <c r="A69">
        <v>62</v>
      </c>
      <c r="B69">
        <v>62</v>
      </c>
      <c r="C69" t="s">
        <v>643</v>
      </c>
      <c r="D69" t="s">
        <v>414</v>
      </c>
      <c r="F69">
        <v>3.07</v>
      </c>
      <c r="G69">
        <v>6856.0929999999998</v>
      </c>
      <c r="H69">
        <v>45911.652000000002</v>
      </c>
      <c r="I69">
        <v>1.4930000000000001</v>
      </c>
      <c r="J69" t="s">
        <v>412</v>
      </c>
      <c r="K69">
        <v>0.7</v>
      </c>
      <c r="N69">
        <v>62</v>
      </c>
      <c r="O69">
        <v>62</v>
      </c>
      <c r="P69" t="s">
        <v>716</v>
      </c>
      <c r="Q69" t="s">
        <v>414</v>
      </c>
      <c r="S69">
        <v>3.07</v>
      </c>
      <c r="T69">
        <v>2419.181</v>
      </c>
      <c r="U69">
        <v>22769.317999999999</v>
      </c>
      <c r="V69">
        <v>1.0620000000000001</v>
      </c>
      <c r="W69" t="s">
        <v>401</v>
      </c>
      <c r="X69">
        <v>0.4</v>
      </c>
    </row>
    <row r="70" spans="1:25" x14ac:dyDescent="0.45">
      <c r="A70">
        <v>63</v>
      </c>
      <c r="B70">
        <v>63</v>
      </c>
      <c r="C70" t="s">
        <v>644</v>
      </c>
      <c r="D70" t="s">
        <v>414</v>
      </c>
      <c r="F70">
        <v>3.07</v>
      </c>
      <c r="G70">
        <v>6586.9719999999998</v>
      </c>
      <c r="H70">
        <v>31933.603999999999</v>
      </c>
      <c r="I70">
        <v>2.0630000000000002</v>
      </c>
      <c r="J70" t="s">
        <v>401</v>
      </c>
      <c r="K70">
        <v>0.9</v>
      </c>
      <c r="N70">
        <v>63</v>
      </c>
      <c r="O70">
        <v>63</v>
      </c>
      <c r="P70" t="s">
        <v>717</v>
      </c>
      <c r="Q70" t="s">
        <v>414</v>
      </c>
      <c r="S70">
        <v>3.07</v>
      </c>
      <c r="T70">
        <v>4697.125</v>
      </c>
      <c r="U70">
        <v>46966.858999999997</v>
      </c>
      <c r="V70">
        <v>1</v>
      </c>
      <c r="W70" t="s">
        <v>412</v>
      </c>
      <c r="X70">
        <v>0.4</v>
      </c>
    </row>
    <row r="71" spans="1:25" x14ac:dyDescent="0.45">
      <c r="A71">
        <v>64</v>
      </c>
      <c r="B71">
        <v>64</v>
      </c>
      <c r="C71" t="s">
        <v>645</v>
      </c>
      <c r="D71" t="s">
        <v>414</v>
      </c>
      <c r="F71">
        <v>3.07</v>
      </c>
      <c r="G71">
        <v>3420.623</v>
      </c>
      <c r="H71">
        <v>24148.785</v>
      </c>
      <c r="I71">
        <v>1.4159999999999999</v>
      </c>
      <c r="J71" t="s">
        <v>401</v>
      </c>
      <c r="K71">
        <v>0.7</v>
      </c>
      <c r="N71">
        <v>64</v>
      </c>
      <c r="O71">
        <v>64</v>
      </c>
      <c r="P71" t="s">
        <v>718</v>
      </c>
      <c r="Q71" t="s">
        <v>414</v>
      </c>
      <c r="S71">
        <v>3.07</v>
      </c>
      <c r="T71">
        <v>6444.8019999999997</v>
      </c>
      <c r="U71">
        <v>41885.788999999997</v>
      </c>
      <c r="V71">
        <v>1.5389999999999999</v>
      </c>
      <c r="W71" t="s">
        <v>401</v>
      </c>
      <c r="X71">
        <v>0.6</v>
      </c>
    </row>
    <row r="72" spans="1:25" x14ac:dyDescent="0.45">
      <c r="A72">
        <v>65</v>
      </c>
      <c r="B72">
        <v>65</v>
      </c>
      <c r="C72" t="s">
        <v>646</v>
      </c>
      <c r="D72" t="s">
        <v>414</v>
      </c>
      <c r="F72">
        <v>3.07</v>
      </c>
      <c r="G72">
        <v>4356.4930000000004</v>
      </c>
      <c r="H72">
        <v>25737.803</v>
      </c>
      <c r="I72">
        <v>1.6930000000000001</v>
      </c>
      <c r="J72" t="s">
        <v>415</v>
      </c>
      <c r="K72">
        <v>0.8</v>
      </c>
      <c r="N72">
        <v>65</v>
      </c>
      <c r="O72">
        <v>65</v>
      </c>
      <c r="P72" t="s">
        <v>719</v>
      </c>
      <c r="Q72" t="s">
        <v>414</v>
      </c>
      <c r="S72">
        <v>3.06</v>
      </c>
      <c r="T72">
        <v>2443.1880000000001</v>
      </c>
      <c r="U72">
        <v>19885.386999999999</v>
      </c>
      <c r="V72">
        <v>1.2290000000000001</v>
      </c>
      <c r="W72" t="s">
        <v>403</v>
      </c>
      <c r="X72">
        <v>0.5</v>
      </c>
    </row>
    <row r="73" spans="1:25" x14ac:dyDescent="0.45">
      <c r="A73">
        <v>66</v>
      </c>
      <c r="B73">
        <v>66</v>
      </c>
      <c r="C73" t="s">
        <v>647</v>
      </c>
      <c r="D73" t="s">
        <v>414</v>
      </c>
      <c r="F73">
        <v>3.07</v>
      </c>
      <c r="G73">
        <v>5286.8810000000003</v>
      </c>
      <c r="H73">
        <v>35171.711000000003</v>
      </c>
      <c r="I73">
        <v>1.5029999999999999</v>
      </c>
      <c r="J73" t="s">
        <v>403</v>
      </c>
      <c r="K73">
        <v>0.7</v>
      </c>
      <c r="N73">
        <v>66</v>
      </c>
      <c r="O73">
        <v>66</v>
      </c>
      <c r="P73" t="s">
        <v>720</v>
      </c>
      <c r="Q73" t="s">
        <v>414</v>
      </c>
      <c r="S73">
        <v>3.07</v>
      </c>
      <c r="T73">
        <v>5256.1620000000003</v>
      </c>
      <c r="U73">
        <v>47034.675999999999</v>
      </c>
      <c r="V73">
        <v>1.1180000000000001</v>
      </c>
      <c r="W73" t="s">
        <v>403</v>
      </c>
      <c r="X73">
        <v>0.4</v>
      </c>
    </row>
    <row r="74" spans="1:25" x14ac:dyDescent="0.45">
      <c r="A74">
        <v>67</v>
      </c>
      <c r="B74">
        <v>67</v>
      </c>
      <c r="C74" t="s">
        <v>648</v>
      </c>
      <c r="D74" t="s">
        <v>414</v>
      </c>
      <c r="F74">
        <v>3.07</v>
      </c>
      <c r="G74">
        <v>3806.9830000000002</v>
      </c>
      <c r="H74">
        <v>26023.921999999999</v>
      </c>
      <c r="I74">
        <v>1.4630000000000001</v>
      </c>
      <c r="J74" t="s">
        <v>403</v>
      </c>
      <c r="K74">
        <v>0.7</v>
      </c>
      <c r="N74">
        <v>67</v>
      </c>
      <c r="O74">
        <v>67</v>
      </c>
      <c r="P74" t="s">
        <v>721</v>
      </c>
      <c r="Q74" t="s">
        <v>414</v>
      </c>
      <c r="S74">
        <v>3.06</v>
      </c>
      <c r="T74">
        <v>6380.8450000000003</v>
      </c>
      <c r="U74">
        <v>45776.504000000001</v>
      </c>
      <c r="V74">
        <v>1.3939999999999999</v>
      </c>
      <c r="W74" t="s">
        <v>401</v>
      </c>
      <c r="X74">
        <v>0.5</v>
      </c>
    </row>
    <row r="75" spans="1:25" x14ac:dyDescent="0.45">
      <c r="A75">
        <v>68</v>
      </c>
      <c r="B75">
        <v>68</v>
      </c>
      <c r="C75" t="s">
        <v>649</v>
      </c>
      <c r="D75" t="s">
        <v>414</v>
      </c>
      <c r="F75">
        <v>3.07</v>
      </c>
      <c r="G75">
        <v>5291.6360000000004</v>
      </c>
      <c r="H75">
        <v>27925.355</v>
      </c>
      <c r="I75">
        <v>1.895</v>
      </c>
      <c r="J75" t="s">
        <v>403</v>
      </c>
      <c r="K75">
        <v>0.8</v>
      </c>
    </row>
    <row r="76" spans="1:25" x14ac:dyDescent="0.45">
      <c r="A76">
        <v>69</v>
      </c>
      <c r="B76">
        <v>69</v>
      </c>
      <c r="C76" t="s">
        <v>650</v>
      </c>
      <c r="D76" t="s">
        <v>414</v>
      </c>
      <c r="F76">
        <v>3.07</v>
      </c>
      <c r="G76">
        <v>8341.7950000000001</v>
      </c>
      <c r="H76">
        <v>40413.137000000002</v>
      </c>
      <c r="I76">
        <v>2.0640000000000001</v>
      </c>
      <c r="J76" t="s">
        <v>401</v>
      </c>
      <c r="K76">
        <v>0.9</v>
      </c>
      <c r="N76" t="s">
        <v>475</v>
      </c>
    </row>
    <row r="78" spans="1:25" x14ac:dyDescent="0.45">
      <c r="A78" t="s">
        <v>475</v>
      </c>
      <c r="O78" t="s">
        <v>389</v>
      </c>
      <c r="P78" t="s">
        <v>123</v>
      </c>
      <c r="Q78" t="s">
        <v>390</v>
      </c>
      <c r="R78" t="s">
        <v>391</v>
      </c>
      <c r="S78" t="s">
        <v>392</v>
      </c>
      <c r="T78" t="s">
        <v>393</v>
      </c>
      <c r="U78" t="s">
        <v>394</v>
      </c>
      <c r="V78" t="s">
        <v>395</v>
      </c>
      <c r="W78" t="s">
        <v>396</v>
      </c>
      <c r="X78" t="s">
        <v>397</v>
      </c>
      <c r="Y78" t="s">
        <v>398</v>
      </c>
    </row>
    <row r="79" spans="1:25" x14ac:dyDescent="0.45">
      <c r="N79">
        <v>1</v>
      </c>
      <c r="O79">
        <v>1</v>
      </c>
      <c r="P79" t="s">
        <v>655</v>
      </c>
      <c r="Q79" t="s">
        <v>400</v>
      </c>
      <c r="R79">
        <v>0.05</v>
      </c>
      <c r="S79">
        <v>2.76</v>
      </c>
      <c r="T79">
        <v>822.03499999999997</v>
      </c>
      <c r="U79">
        <v>70686.258000000002</v>
      </c>
      <c r="V79">
        <v>0.11600000000000001</v>
      </c>
      <c r="W79" t="s">
        <v>479</v>
      </c>
    </row>
    <row r="80" spans="1:25" x14ac:dyDescent="0.45">
      <c r="B80" t="s">
        <v>389</v>
      </c>
      <c r="C80" t="s">
        <v>123</v>
      </c>
      <c r="D80" t="s">
        <v>390</v>
      </c>
      <c r="E80" t="s">
        <v>391</v>
      </c>
      <c r="F80" t="s">
        <v>392</v>
      </c>
      <c r="G80" t="s">
        <v>393</v>
      </c>
      <c r="H80" t="s">
        <v>394</v>
      </c>
      <c r="I80" t="s">
        <v>395</v>
      </c>
      <c r="J80" t="s">
        <v>396</v>
      </c>
      <c r="K80" t="s">
        <v>397</v>
      </c>
      <c r="L80" t="s">
        <v>398</v>
      </c>
      <c r="N80">
        <v>2</v>
      </c>
      <c r="O80">
        <v>2</v>
      </c>
      <c r="P80" t="s">
        <v>656</v>
      </c>
      <c r="Q80" t="s">
        <v>400</v>
      </c>
      <c r="R80">
        <v>0.5</v>
      </c>
      <c r="S80">
        <v>2.75</v>
      </c>
      <c r="T80">
        <v>4013.317</v>
      </c>
      <c r="U80">
        <v>70183.054999999993</v>
      </c>
      <c r="V80">
        <v>0.57199999999999995</v>
      </c>
      <c r="W80" t="s">
        <v>401</v>
      </c>
      <c r="X80">
        <v>0.6</v>
      </c>
      <c r="Y80">
        <v>11.4</v>
      </c>
    </row>
    <row r="81" spans="1:25" x14ac:dyDescent="0.45">
      <c r="A81">
        <v>1</v>
      </c>
      <c r="B81">
        <v>1</v>
      </c>
      <c r="C81" t="s">
        <v>582</v>
      </c>
      <c r="D81" t="s">
        <v>400</v>
      </c>
      <c r="E81">
        <v>0.05</v>
      </c>
      <c r="F81">
        <v>2.75</v>
      </c>
      <c r="G81">
        <v>465.40699999999998</v>
      </c>
      <c r="H81">
        <v>55545.163999999997</v>
      </c>
      <c r="I81">
        <v>8.4000000000000005E-2</v>
      </c>
      <c r="J81" t="s">
        <v>476</v>
      </c>
      <c r="N81">
        <v>3</v>
      </c>
      <c r="O81">
        <v>3</v>
      </c>
      <c r="P81" t="s">
        <v>657</v>
      </c>
      <c r="Q81" t="s">
        <v>400</v>
      </c>
      <c r="R81">
        <v>1.25</v>
      </c>
      <c r="S81">
        <v>2.72</v>
      </c>
      <c r="T81">
        <v>7326.74</v>
      </c>
      <c r="U81">
        <v>69179.414000000004</v>
      </c>
      <c r="V81">
        <v>1.0589999999999999</v>
      </c>
      <c r="W81" t="s">
        <v>401</v>
      </c>
      <c r="X81">
        <v>1.4</v>
      </c>
      <c r="Y81">
        <v>11.9</v>
      </c>
    </row>
    <row r="82" spans="1:25" x14ac:dyDescent="0.45">
      <c r="A82">
        <v>2</v>
      </c>
      <c r="B82">
        <v>2</v>
      </c>
      <c r="C82" t="s">
        <v>583</v>
      </c>
      <c r="D82" t="s">
        <v>400</v>
      </c>
      <c r="E82">
        <v>0.5</v>
      </c>
      <c r="F82">
        <v>2.75</v>
      </c>
      <c r="G82">
        <v>2946.3760000000002</v>
      </c>
      <c r="H82">
        <v>63291.671999999999</v>
      </c>
      <c r="I82">
        <v>0.46600000000000003</v>
      </c>
      <c r="J82" t="s">
        <v>403</v>
      </c>
      <c r="K82">
        <v>0.6</v>
      </c>
      <c r="L82">
        <v>24.6</v>
      </c>
      <c r="N82">
        <v>4</v>
      </c>
      <c r="O82">
        <v>4</v>
      </c>
      <c r="P82" t="s">
        <v>658</v>
      </c>
      <c r="Q82" t="s">
        <v>400</v>
      </c>
      <c r="R82">
        <v>2.5</v>
      </c>
      <c r="S82">
        <v>2.72</v>
      </c>
      <c r="T82">
        <v>12975.224</v>
      </c>
      <c r="U82">
        <v>67674.273000000001</v>
      </c>
      <c r="V82">
        <v>1.917</v>
      </c>
      <c r="W82" t="s">
        <v>403</v>
      </c>
      <c r="X82">
        <v>2.9</v>
      </c>
      <c r="Y82">
        <v>15.3</v>
      </c>
    </row>
    <row r="83" spans="1:25" x14ac:dyDescent="0.45">
      <c r="A83">
        <v>3</v>
      </c>
      <c r="B83">
        <v>3</v>
      </c>
      <c r="C83" t="s">
        <v>584</v>
      </c>
      <c r="D83" t="s">
        <v>400</v>
      </c>
      <c r="E83">
        <v>1.25</v>
      </c>
      <c r="F83">
        <v>2.75</v>
      </c>
      <c r="G83">
        <v>5288.4520000000002</v>
      </c>
      <c r="H83">
        <v>52527.434000000001</v>
      </c>
      <c r="I83">
        <v>1.0069999999999999</v>
      </c>
      <c r="J83" t="s">
        <v>415</v>
      </c>
      <c r="K83">
        <v>1.6</v>
      </c>
      <c r="L83">
        <v>31.5</v>
      </c>
      <c r="N83">
        <v>5</v>
      </c>
      <c r="O83">
        <v>5</v>
      </c>
      <c r="P83" t="s">
        <v>659</v>
      </c>
      <c r="Q83" t="s">
        <v>400</v>
      </c>
      <c r="R83">
        <v>3.5</v>
      </c>
      <c r="S83">
        <v>2.72</v>
      </c>
      <c r="T83">
        <v>14477.776</v>
      </c>
      <c r="U83">
        <v>67297.766000000003</v>
      </c>
      <c r="V83">
        <v>2.1509999999999998</v>
      </c>
      <c r="W83" t="s">
        <v>415</v>
      </c>
      <c r="X83">
        <v>3.3</v>
      </c>
      <c r="Y83">
        <v>-6.1</v>
      </c>
    </row>
    <row r="84" spans="1:25" x14ac:dyDescent="0.45">
      <c r="A84">
        <v>4</v>
      </c>
      <c r="B84">
        <v>4</v>
      </c>
      <c r="C84" t="s">
        <v>585</v>
      </c>
      <c r="D84" t="s">
        <v>400</v>
      </c>
      <c r="E84">
        <v>2.5</v>
      </c>
      <c r="F84">
        <v>2.72</v>
      </c>
      <c r="G84">
        <v>8737.51</v>
      </c>
      <c r="H84">
        <v>61634.991999999998</v>
      </c>
      <c r="I84">
        <v>1.4179999999999999</v>
      </c>
      <c r="J84" t="s">
        <v>415</v>
      </c>
      <c r="K84">
        <v>2.4</v>
      </c>
      <c r="L84">
        <v>-3.3</v>
      </c>
      <c r="N84">
        <v>6</v>
      </c>
      <c r="O84">
        <v>6</v>
      </c>
      <c r="P84" t="s">
        <v>660</v>
      </c>
      <c r="Q84" t="s">
        <v>400</v>
      </c>
      <c r="R84">
        <v>5</v>
      </c>
      <c r="S84">
        <v>2.72</v>
      </c>
      <c r="T84">
        <v>20958.258000000002</v>
      </c>
      <c r="U84">
        <v>68259.5</v>
      </c>
      <c r="V84">
        <v>3.07</v>
      </c>
      <c r="W84" t="s">
        <v>403</v>
      </c>
      <c r="X84">
        <v>4.9000000000000004</v>
      </c>
      <c r="Y84">
        <v>-2.5</v>
      </c>
    </row>
    <row r="85" spans="1:25" x14ac:dyDescent="0.45">
      <c r="A85">
        <v>5</v>
      </c>
      <c r="B85">
        <v>5</v>
      </c>
      <c r="C85" t="s">
        <v>586</v>
      </c>
      <c r="D85" t="s">
        <v>400</v>
      </c>
      <c r="E85">
        <v>3.5</v>
      </c>
      <c r="F85">
        <v>2.72</v>
      </c>
      <c r="G85">
        <v>11872.652</v>
      </c>
      <c r="H85">
        <v>63110.366999999998</v>
      </c>
      <c r="I85">
        <v>1.881</v>
      </c>
      <c r="J85" t="s">
        <v>415</v>
      </c>
      <c r="K85">
        <v>3.3</v>
      </c>
      <c r="L85">
        <v>-5.9</v>
      </c>
      <c r="N85">
        <v>7</v>
      </c>
      <c r="O85">
        <v>7</v>
      </c>
      <c r="P85" t="s">
        <v>661</v>
      </c>
      <c r="Q85" t="s">
        <v>400</v>
      </c>
      <c r="R85">
        <v>7</v>
      </c>
      <c r="S85">
        <v>2.72</v>
      </c>
      <c r="T85">
        <v>28656.032999999999</v>
      </c>
      <c r="U85">
        <v>66365.156000000003</v>
      </c>
      <c r="V85">
        <v>4.3179999999999996</v>
      </c>
      <c r="W85" t="s">
        <v>415</v>
      </c>
      <c r="X85">
        <v>7</v>
      </c>
      <c r="Y85">
        <v>0.4</v>
      </c>
    </row>
    <row r="86" spans="1:25" x14ac:dyDescent="0.45">
      <c r="A86">
        <v>6</v>
      </c>
      <c r="B86">
        <v>6</v>
      </c>
      <c r="C86" t="s">
        <v>587</v>
      </c>
      <c r="D86" t="s">
        <v>400</v>
      </c>
      <c r="E86">
        <v>5</v>
      </c>
      <c r="F86">
        <v>2.72</v>
      </c>
      <c r="G86">
        <v>16194.21</v>
      </c>
      <c r="H86">
        <v>63891.625</v>
      </c>
      <c r="I86">
        <v>2.5350000000000001</v>
      </c>
      <c r="J86" t="s">
        <v>403</v>
      </c>
      <c r="K86">
        <v>4.5</v>
      </c>
      <c r="L86">
        <v>-9.5</v>
      </c>
      <c r="N86">
        <v>8</v>
      </c>
      <c r="O86">
        <v>8</v>
      </c>
      <c r="P86" t="s">
        <v>662</v>
      </c>
      <c r="Q86" t="s">
        <v>414</v>
      </c>
      <c r="S86">
        <v>3.21</v>
      </c>
      <c r="T86">
        <v>397.892</v>
      </c>
      <c r="U86">
        <v>37255.237999999998</v>
      </c>
      <c r="V86">
        <v>0.107</v>
      </c>
      <c r="W86" t="s">
        <v>476</v>
      </c>
    </row>
    <row r="87" spans="1:25" x14ac:dyDescent="0.45">
      <c r="A87">
        <v>7</v>
      </c>
      <c r="B87">
        <v>7</v>
      </c>
      <c r="C87" t="s">
        <v>588</v>
      </c>
      <c r="D87" t="s">
        <v>400</v>
      </c>
      <c r="E87">
        <v>7</v>
      </c>
      <c r="F87">
        <v>2.72</v>
      </c>
      <c r="G87">
        <v>22241.723000000002</v>
      </c>
      <c r="H87">
        <v>54847.535000000003</v>
      </c>
      <c r="I87">
        <v>4.0549999999999997</v>
      </c>
      <c r="J87" t="s">
        <v>403</v>
      </c>
      <c r="K87">
        <v>7.4</v>
      </c>
      <c r="L87">
        <v>5.6</v>
      </c>
      <c r="N87">
        <v>9</v>
      </c>
      <c r="O87">
        <v>9</v>
      </c>
      <c r="P87" t="s">
        <v>663</v>
      </c>
      <c r="Q87" t="s">
        <v>414</v>
      </c>
      <c r="S87">
        <v>3.22</v>
      </c>
      <c r="T87">
        <v>434.017</v>
      </c>
      <c r="U87">
        <v>28990.307000000001</v>
      </c>
      <c r="V87">
        <v>0.15</v>
      </c>
      <c r="W87" t="s">
        <v>478</v>
      </c>
    </row>
    <row r="88" spans="1:25" x14ac:dyDescent="0.45">
      <c r="A88">
        <v>8</v>
      </c>
      <c r="B88">
        <v>8</v>
      </c>
      <c r="C88" t="s">
        <v>589</v>
      </c>
      <c r="D88" t="s">
        <v>410</v>
      </c>
      <c r="F88">
        <v>3.47</v>
      </c>
      <c r="G88">
        <v>159.58600000000001</v>
      </c>
      <c r="H88">
        <v>4453.0020000000004</v>
      </c>
      <c r="I88">
        <v>0.35799999999999998</v>
      </c>
      <c r="J88" t="s">
        <v>401</v>
      </c>
      <c r="K88">
        <v>0.4</v>
      </c>
      <c r="N88">
        <v>10</v>
      </c>
      <c r="O88">
        <v>10</v>
      </c>
      <c r="P88" t="s">
        <v>664</v>
      </c>
      <c r="Q88" t="s">
        <v>414</v>
      </c>
      <c r="S88">
        <v>3.22</v>
      </c>
      <c r="T88">
        <v>496.91899999999998</v>
      </c>
      <c r="U88">
        <v>34863.836000000003</v>
      </c>
      <c r="V88">
        <v>0.14299999999999999</v>
      </c>
      <c r="W88" t="s">
        <v>476</v>
      </c>
    </row>
    <row r="89" spans="1:25" x14ac:dyDescent="0.45">
      <c r="A89">
        <v>9</v>
      </c>
      <c r="B89">
        <v>9</v>
      </c>
      <c r="C89" t="s">
        <v>590</v>
      </c>
      <c r="D89" t="s">
        <v>410</v>
      </c>
      <c r="F89">
        <v>3.47</v>
      </c>
      <c r="G89">
        <v>171.27799999999999</v>
      </c>
      <c r="H89">
        <v>2474.4119999999998</v>
      </c>
      <c r="I89">
        <v>0.69199999999999995</v>
      </c>
      <c r="J89" t="s">
        <v>415</v>
      </c>
      <c r="K89">
        <v>1.1000000000000001</v>
      </c>
      <c r="N89">
        <v>11</v>
      </c>
      <c r="O89">
        <v>11</v>
      </c>
      <c r="P89" t="s">
        <v>665</v>
      </c>
      <c r="Q89" t="s">
        <v>414</v>
      </c>
      <c r="S89">
        <v>3.2</v>
      </c>
      <c r="T89">
        <v>412.51</v>
      </c>
      <c r="U89">
        <v>26582.697</v>
      </c>
      <c r="V89">
        <v>0.155</v>
      </c>
      <c r="W89" t="s">
        <v>478</v>
      </c>
    </row>
    <row r="90" spans="1:25" x14ac:dyDescent="0.45">
      <c r="A90">
        <v>10</v>
      </c>
      <c r="B90">
        <v>10</v>
      </c>
      <c r="C90" t="s">
        <v>591</v>
      </c>
      <c r="D90" t="s">
        <v>414</v>
      </c>
      <c r="F90">
        <v>3.23</v>
      </c>
      <c r="G90">
        <v>237.34200000000001</v>
      </c>
      <c r="H90">
        <v>36936.949000000001</v>
      </c>
      <c r="I90">
        <v>6.4000000000000001E-2</v>
      </c>
      <c r="J90" t="s">
        <v>478</v>
      </c>
      <c r="N90">
        <v>12</v>
      </c>
      <c r="O90">
        <v>12</v>
      </c>
      <c r="P90" t="s">
        <v>666</v>
      </c>
      <c r="Q90" t="s">
        <v>414</v>
      </c>
      <c r="S90">
        <v>3.18</v>
      </c>
      <c r="T90">
        <v>278.79899999999998</v>
      </c>
      <c r="U90">
        <v>31520.986000000001</v>
      </c>
      <c r="V90">
        <v>8.7999999999999995E-2</v>
      </c>
      <c r="W90" t="s">
        <v>478</v>
      </c>
    </row>
    <row r="91" spans="1:25" x14ac:dyDescent="0.45">
      <c r="A91">
        <v>11</v>
      </c>
      <c r="B91">
        <v>11</v>
      </c>
      <c r="C91" t="s">
        <v>592</v>
      </c>
      <c r="D91" t="s">
        <v>414</v>
      </c>
      <c r="F91">
        <v>3.47</v>
      </c>
      <c r="G91">
        <v>158.09899999999999</v>
      </c>
      <c r="H91">
        <v>12436.325000000001</v>
      </c>
      <c r="I91">
        <v>0.127</v>
      </c>
      <c r="J91" t="s">
        <v>476</v>
      </c>
      <c r="N91">
        <v>13</v>
      </c>
      <c r="O91">
        <v>13</v>
      </c>
      <c r="P91" t="s">
        <v>667</v>
      </c>
      <c r="Q91" t="s">
        <v>414</v>
      </c>
      <c r="S91">
        <v>3.16</v>
      </c>
      <c r="T91">
        <v>317.42</v>
      </c>
      <c r="U91">
        <v>23903.855</v>
      </c>
      <c r="V91">
        <v>0.13300000000000001</v>
      </c>
      <c r="W91" t="s">
        <v>478</v>
      </c>
    </row>
    <row r="92" spans="1:25" x14ac:dyDescent="0.45">
      <c r="A92">
        <v>12</v>
      </c>
      <c r="B92">
        <v>12</v>
      </c>
      <c r="C92" t="s">
        <v>593</v>
      </c>
      <c r="D92" t="s">
        <v>414</v>
      </c>
      <c r="F92">
        <v>3.47</v>
      </c>
      <c r="G92">
        <v>258.62799999999999</v>
      </c>
      <c r="H92">
        <v>21454.960999999999</v>
      </c>
      <c r="I92">
        <v>0.121</v>
      </c>
      <c r="J92" t="s">
        <v>478</v>
      </c>
      <c r="N92">
        <v>14</v>
      </c>
      <c r="O92">
        <v>14</v>
      </c>
      <c r="P92" t="s">
        <v>668</v>
      </c>
      <c r="Q92" t="s">
        <v>414</v>
      </c>
      <c r="S92">
        <v>3.19</v>
      </c>
      <c r="T92">
        <v>269.30500000000001</v>
      </c>
      <c r="U92">
        <v>33108.245999999999</v>
      </c>
      <c r="V92">
        <v>8.1000000000000003E-2</v>
      </c>
      <c r="W92" t="s">
        <v>478</v>
      </c>
    </row>
    <row r="93" spans="1:25" x14ac:dyDescent="0.45">
      <c r="A93">
        <v>13</v>
      </c>
      <c r="B93">
        <v>13</v>
      </c>
      <c r="C93" t="s">
        <v>594</v>
      </c>
      <c r="D93" t="s">
        <v>414</v>
      </c>
      <c r="F93">
        <v>3.23</v>
      </c>
      <c r="G93">
        <v>358.197</v>
      </c>
      <c r="H93">
        <v>36244.605000000003</v>
      </c>
      <c r="I93">
        <v>9.9000000000000005E-2</v>
      </c>
      <c r="J93" t="s">
        <v>478</v>
      </c>
      <c r="N93">
        <v>15</v>
      </c>
      <c r="O93">
        <v>15</v>
      </c>
      <c r="P93" t="s">
        <v>669</v>
      </c>
      <c r="Q93" t="s">
        <v>414</v>
      </c>
      <c r="S93">
        <v>3.23</v>
      </c>
      <c r="T93">
        <v>190.28800000000001</v>
      </c>
      <c r="U93">
        <v>22611.268</v>
      </c>
      <c r="V93">
        <v>8.4000000000000005E-2</v>
      </c>
      <c r="W93" t="s">
        <v>478</v>
      </c>
    </row>
    <row r="94" spans="1:25" x14ac:dyDescent="0.45">
      <c r="A94">
        <v>14</v>
      </c>
      <c r="B94">
        <v>14</v>
      </c>
      <c r="C94" t="s">
        <v>595</v>
      </c>
      <c r="D94" t="s">
        <v>414</v>
      </c>
      <c r="F94">
        <v>3.22</v>
      </c>
      <c r="G94">
        <v>378.57100000000003</v>
      </c>
      <c r="H94">
        <v>38431.43</v>
      </c>
      <c r="I94">
        <v>9.9000000000000005E-2</v>
      </c>
      <c r="J94" t="s">
        <v>478</v>
      </c>
      <c r="N94">
        <v>16</v>
      </c>
      <c r="O94">
        <v>16</v>
      </c>
      <c r="P94" t="s">
        <v>670</v>
      </c>
      <c r="Q94" t="s">
        <v>414</v>
      </c>
      <c r="S94">
        <v>3.18</v>
      </c>
      <c r="T94">
        <v>119.348</v>
      </c>
      <c r="U94">
        <v>14656.233</v>
      </c>
      <c r="V94">
        <v>8.1000000000000003E-2</v>
      </c>
      <c r="W94" t="s">
        <v>478</v>
      </c>
    </row>
    <row r="95" spans="1:25" x14ac:dyDescent="0.45">
      <c r="A95">
        <v>15</v>
      </c>
      <c r="B95">
        <v>15</v>
      </c>
      <c r="C95" t="s">
        <v>596</v>
      </c>
      <c r="D95" t="s">
        <v>414</v>
      </c>
      <c r="F95">
        <v>3.22</v>
      </c>
      <c r="G95">
        <v>491.41800000000001</v>
      </c>
      <c r="H95">
        <v>46231.292999999998</v>
      </c>
      <c r="I95">
        <v>0.106</v>
      </c>
      <c r="J95" t="s">
        <v>477</v>
      </c>
      <c r="N95">
        <v>17</v>
      </c>
      <c r="O95">
        <v>17</v>
      </c>
      <c r="P95" t="s">
        <v>671</v>
      </c>
      <c r="Q95" t="s">
        <v>414</v>
      </c>
      <c r="S95">
        <v>3.4</v>
      </c>
      <c r="T95">
        <v>83.46</v>
      </c>
      <c r="U95">
        <v>16859.504000000001</v>
      </c>
      <c r="V95">
        <v>0.05</v>
      </c>
      <c r="W95" t="s">
        <v>479</v>
      </c>
    </row>
    <row r="96" spans="1:25" x14ac:dyDescent="0.45">
      <c r="A96">
        <v>16</v>
      </c>
      <c r="B96">
        <v>16</v>
      </c>
      <c r="C96" t="s">
        <v>597</v>
      </c>
      <c r="D96" t="s">
        <v>414</v>
      </c>
      <c r="F96">
        <v>3.17</v>
      </c>
      <c r="G96">
        <v>409.02199999999999</v>
      </c>
      <c r="H96">
        <v>48355.813000000002</v>
      </c>
      <c r="I96">
        <v>8.5000000000000006E-2</v>
      </c>
      <c r="J96" t="s">
        <v>479</v>
      </c>
      <c r="N96">
        <v>18</v>
      </c>
      <c r="O96">
        <v>18</v>
      </c>
      <c r="P96" t="s">
        <v>672</v>
      </c>
      <c r="Q96" t="s">
        <v>414</v>
      </c>
      <c r="S96">
        <v>3.44</v>
      </c>
      <c r="T96">
        <v>156.01300000000001</v>
      </c>
      <c r="U96">
        <v>22387.474999999999</v>
      </c>
      <c r="V96">
        <v>7.0000000000000007E-2</v>
      </c>
      <c r="W96" t="s">
        <v>479</v>
      </c>
    </row>
    <row r="97" spans="1:23" x14ac:dyDescent="0.45">
      <c r="A97">
        <v>17</v>
      </c>
      <c r="B97">
        <v>17</v>
      </c>
      <c r="C97" t="s">
        <v>598</v>
      </c>
      <c r="D97" t="s">
        <v>414</v>
      </c>
      <c r="F97">
        <v>3.16</v>
      </c>
      <c r="G97">
        <v>449.52300000000002</v>
      </c>
      <c r="H97">
        <v>41038.550999999999</v>
      </c>
      <c r="I97">
        <v>0.11</v>
      </c>
      <c r="J97" t="s">
        <v>478</v>
      </c>
      <c r="N97">
        <v>19</v>
      </c>
      <c r="O97">
        <v>19</v>
      </c>
      <c r="P97" t="s">
        <v>673</v>
      </c>
      <c r="Q97" t="s">
        <v>414</v>
      </c>
      <c r="S97">
        <v>3.22</v>
      </c>
      <c r="T97">
        <v>279.05500000000001</v>
      </c>
      <c r="U97">
        <v>21369.715</v>
      </c>
      <c r="V97">
        <v>0.13100000000000001</v>
      </c>
      <c r="W97" t="s">
        <v>476</v>
      </c>
    </row>
    <row r="98" spans="1:23" x14ac:dyDescent="0.45">
      <c r="A98">
        <v>18</v>
      </c>
      <c r="B98">
        <v>18</v>
      </c>
      <c r="C98" t="s">
        <v>599</v>
      </c>
      <c r="D98" t="s">
        <v>414</v>
      </c>
      <c r="F98">
        <v>3.46</v>
      </c>
      <c r="G98">
        <v>133.54599999999999</v>
      </c>
      <c r="H98">
        <v>17038.736000000001</v>
      </c>
      <c r="I98">
        <v>7.8E-2</v>
      </c>
      <c r="J98" t="s">
        <v>479</v>
      </c>
      <c r="N98">
        <v>20</v>
      </c>
      <c r="O98">
        <v>20</v>
      </c>
      <c r="P98" t="s">
        <v>674</v>
      </c>
      <c r="Q98" t="s">
        <v>414</v>
      </c>
      <c r="S98">
        <v>3.17</v>
      </c>
      <c r="T98">
        <v>124.077</v>
      </c>
      <c r="U98">
        <v>17689.115000000002</v>
      </c>
      <c r="V98">
        <v>7.0000000000000007E-2</v>
      </c>
      <c r="W98" t="s">
        <v>476</v>
      </c>
    </row>
    <row r="99" spans="1:23" x14ac:dyDescent="0.45">
      <c r="A99">
        <v>19</v>
      </c>
      <c r="B99">
        <v>19</v>
      </c>
      <c r="C99" t="s">
        <v>600</v>
      </c>
      <c r="D99" t="s">
        <v>414</v>
      </c>
      <c r="F99">
        <v>3.47</v>
      </c>
      <c r="G99">
        <v>204.09700000000001</v>
      </c>
      <c r="H99">
        <v>17334.338</v>
      </c>
      <c r="I99">
        <v>0.11799999999999999</v>
      </c>
      <c r="J99" t="s">
        <v>479</v>
      </c>
      <c r="N99">
        <v>21</v>
      </c>
      <c r="O99">
        <v>21</v>
      </c>
      <c r="P99" t="s">
        <v>675</v>
      </c>
      <c r="Q99" t="s">
        <v>414</v>
      </c>
      <c r="S99">
        <v>3.22</v>
      </c>
      <c r="T99">
        <v>191.04599999999999</v>
      </c>
      <c r="U99">
        <v>17109.526999999998</v>
      </c>
      <c r="V99">
        <v>0.112</v>
      </c>
      <c r="W99" t="s">
        <v>478</v>
      </c>
    </row>
    <row r="100" spans="1:23" x14ac:dyDescent="0.45">
      <c r="A100">
        <v>20</v>
      </c>
      <c r="B100">
        <v>20</v>
      </c>
      <c r="C100" t="s">
        <v>601</v>
      </c>
      <c r="D100" t="s">
        <v>414</v>
      </c>
      <c r="F100">
        <v>3.47</v>
      </c>
      <c r="G100">
        <v>199.23099999999999</v>
      </c>
      <c r="H100">
        <v>13003.51</v>
      </c>
      <c r="I100">
        <v>0.153</v>
      </c>
      <c r="J100" t="s">
        <v>412</v>
      </c>
      <c r="K100">
        <v>0</v>
      </c>
      <c r="N100">
        <v>22</v>
      </c>
      <c r="O100">
        <v>22</v>
      </c>
      <c r="P100" t="s">
        <v>676</v>
      </c>
      <c r="Q100" t="s">
        <v>414</v>
      </c>
      <c r="S100">
        <v>3.22</v>
      </c>
      <c r="T100">
        <v>150.08199999999999</v>
      </c>
      <c r="U100">
        <v>17063.831999999999</v>
      </c>
      <c r="V100">
        <v>8.7999999999999995E-2</v>
      </c>
      <c r="W100" t="s">
        <v>477</v>
      </c>
    </row>
    <row r="101" spans="1:23" x14ac:dyDescent="0.45">
      <c r="A101">
        <v>21</v>
      </c>
      <c r="B101">
        <v>21</v>
      </c>
      <c r="C101" t="s">
        <v>602</v>
      </c>
      <c r="D101" t="s">
        <v>414</v>
      </c>
      <c r="F101">
        <v>3.47</v>
      </c>
      <c r="G101">
        <v>198.07499999999999</v>
      </c>
      <c r="H101">
        <v>22904.982</v>
      </c>
      <c r="I101">
        <v>8.5999999999999993E-2</v>
      </c>
      <c r="J101" t="s">
        <v>476</v>
      </c>
      <c r="N101">
        <v>23</v>
      </c>
      <c r="O101">
        <v>23</v>
      </c>
      <c r="P101" t="s">
        <v>677</v>
      </c>
      <c r="Q101" t="s">
        <v>414</v>
      </c>
      <c r="S101">
        <v>3.1</v>
      </c>
      <c r="T101">
        <v>120.798</v>
      </c>
      <c r="U101">
        <v>18315.048999999999</v>
      </c>
      <c r="V101">
        <v>6.6000000000000003E-2</v>
      </c>
      <c r="W101" t="s">
        <v>476</v>
      </c>
    </row>
    <row r="102" spans="1:23" x14ac:dyDescent="0.45">
      <c r="A102">
        <v>22</v>
      </c>
      <c r="B102">
        <v>22</v>
      </c>
      <c r="C102" t="s">
        <v>603</v>
      </c>
      <c r="D102" t="s">
        <v>414</v>
      </c>
      <c r="F102">
        <v>3.2</v>
      </c>
      <c r="G102">
        <v>533.19000000000005</v>
      </c>
      <c r="H102">
        <v>48310.879000000001</v>
      </c>
      <c r="I102">
        <v>0.11</v>
      </c>
      <c r="J102" t="s">
        <v>478</v>
      </c>
      <c r="N102">
        <v>24</v>
      </c>
      <c r="O102">
        <v>24</v>
      </c>
      <c r="P102" t="s">
        <v>678</v>
      </c>
      <c r="Q102" t="s">
        <v>414</v>
      </c>
      <c r="S102">
        <v>3.18</v>
      </c>
      <c r="T102">
        <v>121.03400000000001</v>
      </c>
      <c r="U102">
        <v>16413.190999999999</v>
      </c>
      <c r="V102">
        <v>7.3999999999999996E-2</v>
      </c>
      <c r="W102" t="s">
        <v>478</v>
      </c>
    </row>
    <row r="103" spans="1:23" x14ac:dyDescent="0.45">
      <c r="A103">
        <v>23</v>
      </c>
      <c r="B103">
        <v>23</v>
      </c>
      <c r="C103" t="s">
        <v>604</v>
      </c>
      <c r="D103" t="s">
        <v>414</v>
      </c>
      <c r="F103">
        <v>3.2</v>
      </c>
      <c r="G103">
        <v>450.90800000000002</v>
      </c>
      <c r="H103">
        <v>48992.141000000003</v>
      </c>
      <c r="I103">
        <v>9.1999999999999998E-2</v>
      </c>
      <c r="J103" t="s">
        <v>478</v>
      </c>
      <c r="N103">
        <v>25</v>
      </c>
      <c r="O103">
        <v>25</v>
      </c>
      <c r="P103" t="s">
        <v>679</v>
      </c>
      <c r="Q103" t="s">
        <v>414</v>
      </c>
      <c r="S103">
        <v>3.15</v>
      </c>
      <c r="T103">
        <v>162.33099999999999</v>
      </c>
      <c r="U103">
        <v>13470.316999999999</v>
      </c>
      <c r="V103">
        <v>0.121</v>
      </c>
      <c r="W103" t="s">
        <v>476</v>
      </c>
    </row>
    <row r="104" spans="1:23" x14ac:dyDescent="0.45">
      <c r="A104">
        <v>24</v>
      </c>
      <c r="B104">
        <v>24</v>
      </c>
      <c r="C104" t="s">
        <v>605</v>
      </c>
      <c r="D104" t="s">
        <v>414</v>
      </c>
      <c r="F104">
        <v>3.21</v>
      </c>
      <c r="G104">
        <v>436.791</v>
      </c>
      <c r="H104">
        <v>29997.831999999999</v>
      </c>
      <c r="I104">
        <v>0.14599999999999999</v>
      </c>
      <c r="J104" t="s">
        <v>403</v>
      </c>
      <c r="K104">
        <v>0</v>
      </c>
      <c r="N104">
        <v>26</v>
      </c>
      <c r="O104">
        <v>26</v>
      </c>
      <c r="P104" t="s">
        <v>680</v>
      </c>
      <c r="Q104" t="s">
        <v>414</v>
      </c>
      <c r="S104">
        <v>3.23</v>
      </c>
      <c r="T104">
        <v>126.179</v>
      </c>
      <c r="U104">
        <v>16735.383000000002</v>
      </c>
      <c r="V104">
        <v>7.4999999999999997E-2</v>
      </c>
      <c r="W104" t="s">
        <v>478</v>
      </c>
    </row>
    <row r="105" spans="1:23" x14ac:dyDescent="0.45">
      <c r="A105">
        <v>25</v>
      </c>
      <c r="B105">
        <v>25</v>
      </c>
      <c r="C105" t="s">
        <v>606</v>
      </c>
      <c r="D105" t="s">
        <v>414</v>
      </c>
      <c r="F105">
        <v>3.22</v>
      </c>
      <c r="G105">
        <v>360.46600000000001</v>
      </c>
      <c r="H105">
        <v>34763.843999999997</v>
      </c>
      <c r="I105">
        <v>0.104</v>
      </c>
      <c r="J105" t="s">
        <v>478</v>
      </c>
      <c r="N105">
        <v>27</v>
      </c>
      <c r="O105">
        <v>27</v>
      </c>
      <c r="P105" t="s">
        <v>681</v>
      </c>
      <c r="Q105" t="s">
        <v>414</v>
      </c>
      <c r="S105">
        <v>3.19</v>
      </c>
      <c r="T105">
        <v>134.113</v>
      </c>
      <c r="U105">
        <v>16571.995999999999</v>
      </c>
      <c r="V105">
        <v>8.1000000000000003E-2</v>
      </c>
      <c r="W105" t="s">
        <v>478</v>
      </c>
    </row>
    <row r="106" spans="1:23" x14ac:dyDescent="0.45">
      <c r="A106">
        <v>26</v>
      </c>
      <c r="B106">
        <v>26</v>
      </c>
      <c r="C106" t="s">
        <v>607</v>
      </c>
      <c r="D106" t="s">
        <v>414</v>
      </c>
      <c r="F106">
        <v>3.22</v>
      </c>
      <c r="G106">
        <v>370.52600000000001</v>
      </c>
      <c r="H106">
        <v>33047.019999999997</v>
      </c>
      <c r="I106">
        <v>0.112</v>
      </c>
      <c r="J106" t="s">
        <v>478</v>
      </c>
      <c r="N106">
        <v>28</v>
      </c>
      <c r="O106">
        <v>28</v>
      </c>
      <c r="P106" t="s">
        <v>682</v>
      </c>
      <c r="Q106" t="s">
        <v>414</v>
      </c>
      <c r="S106">
        <v>3.23</v>
      </c>
      <c r="T106">
        <v>202.43299999999999</v>
      </c>
      <c r="U106">
        <v>20028.598000000002</v>
      </c>
      <c r="V106">
        <v>0.10100000000000001</v>
      </c>
      <c r="W106" t="s">
        <v>476</v>
      </c>
    </row>
    <row r="107" spans="1:23" x14ac:dyDescent="0.45">
      <c r="A107">
        <v>27</v>
      </c>
      <c r="B107">
        <v>27</v>
      </c>
      <c r="C107" t="s">
        <v>608</v>
      </c>
      <c r="D107" t="s">
        <v>414</v>
      </c>
      <c r="F107">
        <v>3.48</v>
      </c>
      <c r="G107">
        <v>244.614</v>
      </c>
      <c r="H107">
        <v>45573.468999999997</v>
      </c>
      <c r="I107">
        <v>5.3999999999999999E-2</v>
      </c>
      <c r="J107" t="s">
        <v>479</v>
      </c>
      <c r="N107">
        <v>29</v>
      </c>
      <c r="O107">
        <v>29</v>
      </c>
      <c r="P107" t="s">
        <v>683</v>
      </c>
      <c r="Q107" t="s">
        <v>414</v>
      </c>
      <c r="S107">
        <v>3.17</v>
      </c>
      <c r="T107">
        <v>238.91399999999999</v>
      </c>
      <c r="U107">
        <v>19093.778999999999</v>
      </c>
      <c r="V107">
        <v>0.125</v>
      </c>
      <c r="W107" t="s">
        <v>478</v>
      </c>
    </row>
    <row r="108" spans="1:23" x14ac:dyDescent="0.45">
      <c r="A108">
        <v>28</v>
      </c>
      <c r="B108">
        <v>28</v>
      </c>
      <c r="C108" t="s">
        <v>609</v>
      </c>
      <c r="D108" t="s">
        <v>414</v>
      </c>
      <c r="F108">
        <v>3.23</v>
      </c>
      <c r="G108">
        <v>376.834</v>
      </c>
      <c r="H108">
        <v>36686.887000000002</v>
      </c>
      <c r="I108">
        <v>0.10299999999999999</v>
      </c>
      <c r="J108" t="s">
        <v>478</v>
      </c>
      <c r="N108">
        <v>30</v>
      </c>
      <c r="O108">
        <v>30</v>
      </c>
      <c r="P108" t="s">
        <v>684</v>
      </c>
      <c r="Q108" t="s">
        <v>414</v>
      </c>
      <c r="S108">
        <v>3.17</v>
      </c>
      <c r="T108">
        <v>238.10599999999999</v>
      </c>
      <c r="U108">
        <v>16640.738000000001</v>
      </c>
      <c r="V108">
        <v>0.14299999999999999</v>
      </c>
      <c r="W108" t="s">
        <v>478</v>
      </c>
    </row>
    <row r="109" spans="1:23" x14ac:dyDescent="0.45">
      <c r="A109">
        <v>29</v>
      </c>
      <c r="B109">
        <v>29</v>
      </c>
      <c r="C109" t="s">
        <v>610</v>
      </c>
      <c r="D109" t="s">
        <v>414</v>
      </c>
      <c r="F109">
        <v>3.47</v>
      </c>
      <c r="G109">
        <v>284.64100000000002</v>
      </c>
      <c r="H109">
        <v>25054.958999999999</v>
      </c>
      <c r="I109">
        <v>0.114</v>
      </c>
      <c r="J109" t="s">
        <v>478</v>
      </c>
      <c r="N109">
        <v>31</v>
      </c>
      <c r="O109">
        <v>31</v>
      </c>
      <c r="P109" t="s">
        <v>685</v>
      </c>
      <c r="Q109" t="s">
        <v>414</v>
      </c>
      <c r="S109">
        <v>3.16</v>
      </c>
      <c r="T109">
        <v>348.44200000000001</v>
      </c>
      <c r="U109">
        <v>19947.875</v>
      </c>
      <c r="V109">
        <v>0.17499999999999999</v>
      </c>
      <c r="W109" t="s">
        <v>478</v>
      </c>
    </row>
    <row r="110" spans="1:23" x14ac:dyDescent="0.45">
      <c r="A110">
        <v>30</v>
      </c>
      <c r="B110">
        <v>30</v>
      </c>
      <c r="C110" t="s">
        <v>611</v>
      </c>
      <c r="D110" t="s">
        <v>414</v>
      </c>
      <c r="F110">
        <v>3.47</v>
      </c>
      <c r="G110">
        <v>227.22399999999999</v>
      </c>
      <c r="H110">
        <v>28791.208999999999</v>
      </c>
      <c r="I110">
        <v>7.9000000000000001E-2</v>
      </c>
      <c r="J110" t="s">
        <v>477</v>
      </c>
      <c r="N110">
        <v>32</v>
      </c>
      <c r="O110">
        <v>32</v>
      </c>
      <c r="P110" t="s">
        <v>686</v>
      </c>
      <c r="Q110" t="s">
        <v>414</v>
      </c>
      <c r="S110">
        <v>3.22</v>
      </c>
      <c r="T110">
        <v>168.59399999999999</v>
      </c>
      <c r="U110">
        <v>40803.07</v>
      </c>
      <c r="V110">
        <v>4.1000000000000002E-2</v>
      </c>
      <c r="W110" t="s">
        <v>476</v>
      </c>
    </row>
    <row r="111" spans="1:23" x14ac:dyDescent="0.45">
      <c r="A111">
        <v>31</v>
      </c>
      <c r="B111">
        <v>31</v>
      </c>
      <c r="C111" t="s">
        <v>612</v>
      </c>
      <c r="D111" t="s">
        <v>414</v>
      </c>
      <c r="F111">
        <v>3.47</v>
      </c>
      <c r="G111">
        <v>223.733</v>
      </c>
      <c r="H111">
        <v>30078.146000000001</v>
      </c>
      <c r="I111">
        <v>7.3999999999999996E-2</v>
      </c>
      <c r="J111" t="s">
        <v>477</v>
      </c>
      <c r="N111">
        <v>33</v>
      </c>
      <c r="O111">
        <v>33</v>
      </c>
      <c r="P111" t="s">
        <v>687</v>
      </c>
      <c r="Q111" t="s">
        <v>414</v>
      </c>
      <c r="S111">
        <v>3.26</v>
      </c>
      <c r="T111">
        <v>236.40600000000001</v>
      </c>
      <c r="U111">
        <v>32324.375</v>
      </c>
      <c r="V111">
        <v>7.2999999999999995E-2</v>
      </c>
      <c r="W111" t="s">
        <v>478</v>
      </c>
    </row>
    <row r="112" spans="1:23" x14ac:dyDescent="0.45">
      <c r="A112">
        <v>32</v>
      </c>
      <c r="B112">
        <v>32</v>
      </c>
      <c r="C112" t="s">
        <v>613</v>
      </c>
      <c r="D112" t="s">
        <v>414</v>
      </c>
      <c r="F112">
        <v>3.22</v>
      </c>
      <c r="G112">
        <v>311.315</v>
      </c>
      <c r="H112">
        <v>24710.296999999999</v>
      </c>
      <c r="I112">
        <v>0.126</v>
      </c>
      <c r="J112" t="s">
        <v>478</v>
      </c>
      <c r="N112">
        <v>34</v>
      </c>
      <c r="O112">
        <v>34</v>
      </c>
      <c r="P112" t="s">
        <v>688</v>
      </c>
      <c r="Q112" t="s">
        <v>414</v>
      </c>
      <c r="S112">
        <v>3.16</v>
      </c>
      <c r="T112">
        <v>292.67399999999998</v>
      </c>
      <c r="U112">
        <v>28324.118999999999</v>
      </c>
      <c r="V112">
        <v>0.10299999999999999</v>
      </c>
      <c r="W112" t="s">
        <v>478</v>
      </c>
    </row>
    <row r="113" spans="1:24" x14ac:dyDescent="0.45">
      <c r="A113">
        <v>33</v>
      </c>
      <c r="B113">
        <v>33</v>
      </c>
      <c r="C113" t="s">
        <v>614</v>
      </c>
      <c r="D113" t="s">
        <v>414</v>
      </c>
      <c r="F113">
        <v>3.47</v>
      </c>
      <c r="G113">
        <v>222.649</v>
      </c>
      <c r="H113">
        <v>21894.67</v>
      </c>
      <c r="I113">
        <v>0.10199999999999999</v>
      </c>
      <c r="J113" t="s">
        <v>476</v>
      </c>
      <c r="N113">
        <v>35</v>
      </c>
      <c r="O113">
        <v>35</v>
      </c>
      <c r="P113" t="s">
        <v>689</v>
      </c>
      <c r="Q113" t="s">
        <v>414</v>
      </c>
      <c r="S113">
        <v>3.21</v>
      </c>
      <c r="T113">
        <v>126.11199999999999</v>
      </c>
      <c r="U113">
        <v>38151.563000000002</v>
      </c>
      <c r="V113">
        <v>3.3000000000000002E-2</v>
      </c>
      <c r="W113" t="s">
        <v>478</v>
      </c>
    </row>
    <row r="114" spans="1:24" x14ac:dyDescent="0.45">
      <c r="A114">
        <v>34</v>
      </c>
      <c r="B114">
        <v>34</v>
      </c>
      <c r="C114" t="s">
        <v>615</v>
      </c>
      <c r="D114" t="s">
        <v>414</v>
      </c>
      <c r="F114">
        <v>3.47</v>
      </c>
      <c r="G114">
        <v>262.32400000000001</v>
      </c>
      <c r="H114">
        <v>22693.129000000001</v>
      </c>
      <c r="I114">
        <v>0.11600000000000001</v>
      </c>
      <c r="J114" t="s">
        <v>476</v>
      </c>
      <c r="N114">
        <v>36</v>
      </c>
      <c r="O114">
        <v>36</v>
      </c>
      <c r="P114" t="s">
        <v>690</v>
      </c>
      <c r="Q114" t="s">
        <v>414</v>
      </c>
      <c r="S114">
        <v>3.27</v>
      </c>
      <c r="T114">
        <v>161.13</v>
      </c>
      <c r="U114">
        <v>20750.706999999999</v>
      </c>
      <c r="V114">
        <v>7.8E-2</v>
      </c>
      <c r="W114" t="s">
        <v>477</v>
      </c>
    </row>
    <row r="115" spans="1:24" x14ac:dyDescent="0.45">
      <c r="A115">
        <v>35</v>
      </c>
      <c r="B115">
        <v>35</v>
      </c>
      <c r="C115" t="s">
        <v>616</v>
      </c>
      <c r="D115" t="s">
        <v>414</v>
      </c>
      <c r="F115">
        <v>3.47</v>
      </c>
      <c r="G115">
        <v>281.72300000000001</v>
      </c>
      <c r="H115">
        <v>20772.778999999999</v>
      </c>
      <c r="I115">
        <v>0.13600000000000001</v>
      </c>
      <c r="J115" t="s">
        <v>415</v>
      </c>
      <c r="K115">
        <v>0</v>
      </c>
      <c r="N115">
        <v>37</v>
      </c>
      <c r="O115">
        <v>37</v>
      </c>
      <c r="P115" t="s">
        <v>691</v>
      </c>
      <c r="Q115" t="s">
        <v>414</v>
      </c>
      <c r="S115">
        <v>3.43</v>
      </c>
      <c r="T115">
        <v>268.20299999999997</v>
      </c>
      <c r="U115">
        <v>18088.598000000002</v>
      </c>
      <c r="V115">
        <v>0.14799999999999999</v>
      </c>
      <c r="W115" t="s">
        <v>478</v>
      </c>
    </row>
    <row r="116" spans="1:24" x14ac:dyDescent="0.45">
      <c r="A116">
        <v>36</v>
      </c>
      <c r="B116">
        <v>36</v>
      </c>
      <c r="C116" t="s">
        <v>617</v>
      </c>
      <c r="D116" t="s">
        <v>414</v>
      </c>
      <c r="F116">
        <v>3.47</v>
      </c>
      <c r="G116">
        <v>148.804</v>
      </c>
      <c r="H116">
        <v>25116.715</v>
      </c>
      <c r="I116">
        <v>5.8999999999999997E-2</v>
      </c>
      <c r="J116" t="s">
        <v>479</v>
      </c>
      <c r="N116">
        <v>38</v>
      </c>
      <c r="O116">
        <v>38</v>
      </c>
      <c r="P116" t="s">
        <v>692</v>
      </c>
      <c r="Q116" t="s">
        <v>414</v>
      </c>
      <c r="S116">
        <v>3.22</v>
      </c>
      <c r="T116">
        <v>214.803</v>
      </c>
      <c r="U116">
        <v>27521.148000000001</v>
      </c>
      <c r="V116">
        <v>7.8E-2</v>
      </c>
      <c r="W116" t="s">
        <v>478</v>
      </c>
    </row>
    <row r="117" spans="1:24" x14ac:dyDescent="0.45">
      <c r="A117">
        <v>37</v>
      </c>
      <c r="B117">
        <v>37</v>
      </c>
      <c r="C117" t="s">
        <v>618</v>
      </c>
      <c r="D117" t="s">
        <v>414</v>
      </c>
      <c r="F117">
        <v>3.18</v>
      </c>
      <c r="G117">
        <v>222.69200000000001</v>
      </c>
      <c r="H117">
        <v>46959.065999999999</v>
      </c>
      <c r="I117">
        <v>4.7E-2</v>
      </c>
      <c r="J117" t="s">
        <v>478</v>
      </c>
      <c r="N117">
        <v>39</v>
      </c>
      <c r="O117">
        <v>39</v>
      </c>
      <c r="P117" t="s">
        <v>693</v>
      </c>
      <c r="Q117" t="s">
        <v>414</v>
      </c>
      <c r="S117">
        <v>3.22</v>
      </c>
      <c r="T117">
        <v>492.44</v>
      </c>
      <c r="U117">
        <v>28853.125</v>
      </c>
      <c r="V117">
        <v>0.17100000000000001</v>
      </c>
      <c r="W117" t="s">
        <v>478</v>
      </c>
    </row>
    <row r="118" spans="1:24" x14ac:dyDescent="0.45">
      <c r="A118">
        <v>38</v>
      </c>
      <c r="B118">
        <v>38</v>
      </c>
      <c r="C118" t="s">
        <v>619</v>
      </c>
      <c r="D118" t="s">
        <v>414</v>
      </c>
      <c r="F118">
        <v>3.46</v>
      </c>
      <c r="G118">
        <v>224.137</v>
      </c>
      <c r="H118">
        <v>19940.789000000001</v>
      </c>
      <c r="I118">
        <v>0.112</v>
      </c>
      <c r="J118" t="s">
        <v>479</v>
      </c>
      <c r="N118">
        <v>40</v>
      </c>
      <c r="O118">
        <v>40</v>
      </c>
      <c r="P118" t="s">
        <v>694</v>
      </c>
      <c r="Q118" t="s">
        <v>414</v>
      </c>
      <c r="S118">
        <v>3.17</v>
      </c>
      <c r="T118">
        <v>707.42100000000005</v>
      </c>
      <c r="U118">
        <v>44698.949000000001</v>
      </c>
      <c r="V118">
        <v>0.158</v>
      </c>
      <c r="W118" t="s">
        <v>478</v>
      </c>
    </row>
    <row r="119" spans="1:24" x14ac:dyDescent="0.45">
      <c r="A119">
        <v>39</v>
      </c>
      <c r="B119">
        <v>39</v>
      </c>
      <c r="C119" t="s">
        <v>620</v>
      </c>
      <c r="D119" t="s">
        <v>414</v>
      </c>
      <c r="F119">
        <v>3.47</v>
      </c>
      <c r="G119">
        <v>198.31399999999999</v>
      </c>
      <c r="H119">
        <v>19643.796999999999</v>
      </c>
      <c r="I119">
        <v>0.10100000000000001</v>
      </c>
      <c r="J119" t="s">
        <v>479</v>
      </c>
      <c r="N119">
        <v>41</v>
      </c>
      <c r="O119">
        <v>41</v>
      </c>
      <c r="P119" t="s">
        <v>695</v>
      </c>
      <c r="Q119" t="s">
        <v>414</v>
      </c>
      <c r="S119">
        <v>3.22</v>
      </c>
      <c r="T119">
        <v>550.10699999999997</v>
      </c>
      <c r="U119">
        <v>42988.108999999997</v>
      </c>
      <c r="V119">
        <v>0.128</v>
      </c>
      <c r="W119" t="s">
        <v>478</v>
      </c>
    </row>
    <row r="120" spans="1:24" x14ac:dyDescent="0.45">
      <c r="A120">
        <v>40</v>
      </c>
      <c r="B120">
        <v>40</v>
      </c>
      <c r="C120" t="s">
        <v>621</v>
      </c>
      <c r="D120" t="s">
        <v>414</v>
      </c>
      <c r="F120">
        <v>3.22</v>
      </c>
      <c r="G120">
        <v>318.90800000000002</v>
      </c>
      <c r="H120">
        <v>37430.832000000002</v>
      </c>
      <c r="I120">
        <v>8.5000000000000006E-2</v>
      </c>
      <c r="J120" t="s">
        <v>478</v>
      </c>
      <c r="N120">
        <v>42</v>
      </c>
      <c r="O120">
        <v>42</v>
      </c>
      <c r="P120" t="s">
        <v>696</v>
      </c>
      <c r="Q120" t="s">
        <v>414</v>
      </c>
      <c r="S120">
        <v>3.16</v>
      </c>
      <c r="T120">
        <v>295.55099999999999</v>
      </c>
      <c r="U120">
        <v>40251.074000000001</v>
      </c>
      <c r="V120">
        <v>7.2999999999999995E-2</v>
      </c>
      <c r="W120" t="s">
        <v>478</v>
      </c>
    </row>
    <row r="121" spans="1:24" x14ac:dyDescent="0.45">
      <c r="A121">
        <v>41</v>
      </c>
      <c r="B121">
        <v>41</v>
      </c>
      <c r="C121" t="s">
        <v>622</v>
      </c>
      <c r="D121" t="s">
        <v>414</v>
      </c>
      <c r="F121">
        <v>3.22</v>
      </c>
      <c r="G121">
        <v>291.34399999999999</v>
      </c>
      <c r="H121">
        <v>29678.662</v>
      </c>
      <c r="I121">
        <v>9.8000000000000004E-2</v>
      </c>
      <c r="J121" t="s">
        <v>477</v>
      </c>
      <c r="N121">
        <v>43</v>
      </c>
      <c r="O121">
        <v>43</v>
      </c>
      <c r="P121" t="s">
        <v>697</v>
      </c>
      <c r="Q121" t="s">
        <v>414</v>
      </c>
      <c r="S121">
        <v>3.21</v>
      </c>
      <c r="T121">
        <v>1227.8340000000001</v>
      </c>
      <c r="U121">
        <v>46483.605000000003</v>
      </c>
      <c r="V121">
        <v>0.26400000000000001</v>
      </c>
      <c r="W121" t="s">
        <v>403</v>
      </c>
      <c r="X121">
        <v>0</v>
      </c>
    </row>
    <row r="122" spans="1:24" x14ac:dyDescent="0.45">
      <c r="A122">
        <v>42</v>
      </c>
      <c r="B122">
        <v>42</v>
      </c>
      <c r="C122" t="s">
        <v>623</v>
      </c>
      <c r="D122" t="s">
        <v>414</v>
      </c>
      <c r="F122">
        <v>3.19</v>
      </c>
      <c r="G122">
        <v>425.49099999999999</v>
      </c>
      <c r="H122">
        <v>50961.355000000003</v>
      </c>
      <c r="I122">
        <v>8.3000000000000004E-2</v>
      </c>
      <c r="J122" t="s">
        <v>478</v>
      </c>
      <c r="N122">
        <v>44</v>
      </c>
      <c r="O122">
        <v>44</v>
      </c>
      <c r="P122" t="s">
        <v>698</v>
      </c>
      <c r="Q122" t="s">
        <v>414</v>
      </c>
      <c r="S122">
        <v>3.21</v>
      </c>
      <c r="T122">
        <v>551.37099999999998</v>
      </c>
      <c r="U122">
        <v>39255.995999999999</v>
      </c>
      <c r="V122">
        <v>0.14000000000000001</v>
      </c>
      <c r="W122" t="s">
        <v>478</v>
      </c>
    </row>
    <row r="123" spans="1:24" x14ac:dyDescent="0.45">
      <c r="A123">
        <v>43</v>
      </c>
      <c r="B123">
        <v>43</v>
      </c>
      <c r="C123" t="s">
        <v>624</v>
      </c>
      <c r="D123" t="s">
        <v>414</v>
      </c>
      <c r="F123">
        <v>3.18</v>
      </c>
      <c r="G123">
        <v>528.29700000000003</v>
      </c>
      <c r="H123">
        <v>47069.722999999998</v>
      </c>
      <c r="I123">
        <v>0.112</v>
      </c>
      <c r="J123" t="s">
        <v>478</v>
      </c>
      <c r="N123">
        <v>45</v>
      </c>
      <c r="O123">
        <v>45</v>
      </c>
      <c r="P123" t="s">
        <v>699</v>
      </c>
      <c r="Q123" t="s">
        <v>414</v>
      </c>
      <c r="S123">
        <v>3.2</v>
      </c>
      <c r="T123">
        <v>448.33600000000001</v>
      </c>
      <c r="U123">
        <v>24142.414000000001</v>
      </c>
      <c r="V123">
        <v>0.186</v>
      </c>
      <c r="W123" t="s">
        <v>478</v>
      </c>
    </row>
    <row r="124" spans="1:24" x14ac:dyDescent="0.45">
      <c r="A124">
        <v>44</v>
      </c>
      <c r="B124">
        <v>44</v>
      </c>
      <c r="C124" t="s">
        <v>625</v>
      </c>
      <c r="D124" t="s">
        <v>414</v>
      </c>
      <c r="F124">
        <v>3.2</v>
      </c>
      <c r="G124">
        <v>306.27199999999999</v>
      </c>
      <c r="H124">
        <v>44099.32</v>
      </c>
      <c r="I124">
        <v>6.9000000000000006E-2</v>
      </c>
      <c r="J124" t="s">
        <v>478</v>
      </c>
      <c r="N124">
        <v>46</v>
      </c>
      <c r="O124">
        <v>46</v>
      </c>
      <c r="P124" t="s">
        <v>700</v>
      </c>
      <c r="Q124" t="s">
        <v>414</v>
      </c>
      <c r="S124">
        <v>3.17</v>
      </c>
      <c r="T124">
        <v>896.70299999999997</v>
      </c>
      <c r="U124">
        <v>42658.141000000003</v>
      </c>
      <c r="V124">
        <v>0.21</v>
      </c>
      <c r="W124" t="s">
        <v>478</v>
      </c>
    </row>
    <row r="125" spans="1:24" x14ac:dyDescent="0.45">
      <c r="A125">
        <v>45</v>
      </c>
      <c r="B125">
        <v>45</v>
      </c>
      <c r="C125" t="s">
        <v>626</v>
      </c>
      <c r="D125" t="s">
        <v>414</v>
      </c>
      <c r="F125">
        <v>3.19</v>
      </c>
      <c r="G125">
        <v>390.72800000000001</v>
      </c>
      <c r="H125">
        <v>33686.707000000002</v>
      </c>
      <c r="I125">
        <v>0.11600000000000001</v>
      </c>
      <c r="J125" t="s">
        <v>478</v>
      </c>
      <c r="N125">
        <v>47</v>
      </c>
      <c r="O125">
        <v>47</v>
      </c>
      <c r="P125" t="s">
        <v>701</v>
      </c>
      <c r="Q125" t="s">
        <v>414</v>
      </c>
      <c r="S125">
        <v>3.17</v>
      </c>
      <c r="T125">
        <v>662.88099999999997</v>
      </c>
      <c r="U125">
        <v>43740.440999999999</v>
      </c>
      <c r="V125">
        <v>0.152</v>
      </c>
      <c r="W125" t="s">
        <v>478</v>
      </c>
    </row>
    <row r="126" spans="1:24" x14ac:dyDescent="0.45">
      <c r="A126">
        <v>46</v>
      </c>
      <c r="B126">
        <v>46</v>
      </c>
      <c r="C126" t="s">
        <v>627</v>
      </c>
      <c r="D126" t="s">
        <v>414</v>
      </c>
      <c r="F126">
        <v>3.23</v>
      </c>
      <c r="G126">
        <v>414.709</v>
      </c>
      <c r="H126">
        <v>37282.733999999997</v>
      </c>
      <c r="I126">
        <v>0.111</v>
      </c>
      <c r="J126" t="s">
        <v>477</v>
      </c>
      <c r="N126">
        <v>48</v>
      </c>
      <c r="O126">
        <v>48</v>
      </c>
      <c r="P126" t="s">
        <v>702</v>
      </c>
      <c r="Q126" t="s">
        <v>414</v>
      </c>
      <c r="S126">
        <v>3.2</v>
      </c>
      <c r="T126">
        <v>747.70100000000002</v>
      </c>
      <c r="U126">
        <v>46697.137000000002</v>
      </c>
      <c r="V126">
        <v>0.16</v>
      </c>
      <c r="W126" t="s">
        <v>478</v>
      </c>
    </row>
    <row r="127" spans="1:24" x14ac:dyDescent="0.45">
      <c r="A127">
        <v>47</v>
      </c>
      <c r="B127">
        <v>47</v>
      </c>
      <c r="C127" t="s">
        <v>628</v>
      </c>
      <c r="D127" t="s">
        <v>414</v>
      </c>
      <c r="F127">
        <v>3.21</v>
      </c>
      <c r="G127">
        <v>553.98199999999997</v>
      </c>
      <c r="H127">
        <v>44516.222999999998</v>
      </c>
      <c r="I127">
        <v>0.124</v>
      </c>
      <c r="J127" t="s">
        <v>478</v>
      </c>
      <c r="N127">
        <v>49</v>
      </c>
      <c r="O127">
        <v>49</v>
      </c>
      <c r="P127" t="s">
        <v>703</v>
      </c>
      <c r="Q127" t="s">
        <v>414</v>
      </c>
      <c r="S127">
        <v>3.22</v>
      </c>
      <c r="T127">
        <v>349.33300000000003</v>
      </c>
      <c r="U127">
        <v>45431.555</v>
      </c>
      <c r="V127">
        <v>7.6999999999999999E-2</v>
      </c>
      <c r="W127" t="s">
        <v>478</v>
      </c>
    </row>
    <row r="128" spans="1:24" x14ac:dyDescent="0.45">
      <c r="A128">
        <v>48</v>
      </c>
      <c r="B128">
        <v>48</v>
      </c>
      <c r="C128" t="s">
        <v>629</v>
      </c>
      <c r="D128" t="s">
        <v>414</v>
      </c>
      <c r="F128">
        <v>3.46</v>
      </c>
      <c r="G128">
        <v>270.59300000000002</v>
      </c>
      <c r="H128">
        <v>32305.705000000002</v>
      </c>
      <c r="I128">
        <v>8.4000000000000005E-2</v>
      </c>
      <c r="J128" t="s">
        <v>476</v>
      </c>
      <c r="N128">
        <v>50</v>
      </c>
      <c r="O128">
        <v>50</v>
      </c>
      <c r="P128" t="s">
        <v>704</v>
      </c>
      <c r="Q128" t="s">
        <v>414</v>
      </c>
      <c r="S128">
        <v>3.2</v>
      </c>
      <c r="T128">
        <v>1109.213</v>
      </c>
      <c r="U128">
        <v>41780.940999999999</v>
      </c>
      <c r="V128">
        <v>0.26500000000000001</v>
      </c>
      <c r="W128" t="s">
        <v>401</v>
      </c>
      <c r="X128">
        <v>0</v>
      </c>
    </row>
    <row r="129" spans="1:23" x14ac:dyDescent="0.45">
      <c r="A129">
        <v>49</v>
      </c>
      <c r="B129">
        <v>49</v>
      </c>
      <c r="C129" t="s">
        <v>630</v>
      </c>
      <c r="D129" t="s">
        <v>414</v>
      </c>
      <c r="F129">
        <v>3.23</v>
      </c>
      <c r="G129">
        <v>507.43599999999998</v>
      </c>
      <c r="H129">
        <v>42821.972999999998</v>
      </c>
      <c r="I129">
        <v>0.11799999999999999</v>
      </c>
      <c r="J129" t="s">
        <v>477</v>
      </c>
      <c r="N129">
        <v>51</v>
      </c>
      <c r="O129">
        <v>51</v>
      </c>
      <c r="P129" t="s">
        <v>705</v>
      </c>
      <c r="Q129" t="s">
        <v>414</v>
      </c>
      <c r="S129">
        <v>3.2</v>
      </c>
      <c r="T129">
        <v>190.32300000000001</v>
      </c>
      <c r="U129">
        <v>12568.46</v>
      </c>
      <c r="V129">
        <v>0.151</v>
      </c>
      <c r="W129" t="s">
        <v>476</v>
      </c>
    </row>
    <row r="130" spans="1:23" x14ac:dyDescent="0.45">
      <c r="A130">
        <v>50</v>
      </c>
      <c r="B130">
        <v>50</v>
      </c>
      <c r="C130" t="s">
        <v>631</v>
      </c>
      <c r="D130" t="s">
        <v>414</v>
      </c>
      <c r="F130">
        <v>3.16</v>
      </c>
      <c r="G130">
        <v>422.91800000000001</v>
      </c>
      <c r="H130">
        <v>28752.822</v>
      </c>
      <c r="I130">
        <v>0.14699999999999999</v>
      </c>
      <c r="J130" t="s">
        <v>401</v>
      </c>
      <c r="K130">
        <v>0</v>
      </c>
      <c r="N130">
        <v>52</v>
      </c>
      <c r="O130">
        <v>52</v>
      </c>
      <c r="P130" t="s">
        <v>706</v>
      </c>
      <c r="Q130" t="s">
        <v>414</v>
      </c>
      <c r="S130">
        <v>3.15</v>
      </c>
      <c r="T130">
        <v>748.49699999999996</v>
      </c>
      <c r="U130">
        <v>37599.461000000003</v>
      </c>
      <c r="V130">
        <v>0.19900000000000001</v>
      </c>
      <c r="W130" t="s">
        <v>478</v>
      </c>
    </row>
    <row r="131" spans="1:23" x14ac:dyDescent="0.45">
      <c r="A131">
        <v>51</v>
      </c>
      <c r="B131">
        <v>51</v>
      </c>
      <c r="C131" t="s">
        <v>632</v>
      </c>
      <c r="D131" t="s">
        <v>414</v>
      </c>
      <c r="F131">
        <v>3.2</v>
      </c>
      <c r="G131">
        <v>391.21</v>
      </c>
      <c r="H131">
        <v>25246.773000000001</v>
      </c>
      <c r="I131">
        <v>0.155</v>
      </c>
      <c r="J131" t="s">
        <v>412</v>
      </c>
      <c r="K131">
        <v>0</v>
      </c>
      <c r="N131">
        <v>53</v>
      </c>
      <c r="O131">
        <v>53</v>
      </c>
      <c r="P131" t="s">
        <v>707</v>
      </c>
      <c r="Q131" t="s">
        <v>414</v>
      </c>
      <c r="S131">
        <v>3.17</v>
      </c>
      <c r="T131">
        <v>690.27800000000002</v>
      </c>
      <c r="U131">
        <v>41193.773000000001</v>
      </c>
      <c r="V131">
        <v>0.16800000000000001</v>
      </c>
      <c r="W131" t="s">
        <v>478</v>
      </c>
    </row>
    <row r="132" spans="1:23" x14ac:dyDescent="0.45">
      <c r="A132">
        <v>52</v>
      </c>
      <c r="B132">
        <v>52</v>
      </c>
      <c r="C132" t="s">
        <v>633</v>
      </c>
      <c r="D132" t="s">
        <v>414</v>
      </c>
      <c r="F132">
        <v>3.2</v>
      </c>
      <c r="G132">
        <v>450.75599999999997</v>
      </c>
      <c r="H132">
        <v>32179.440999999999</v>
      </c>
      <c r="I132">
        <v>0.14000000000000001</v>
      </c>
      <c r="J132" t="s">
        <v>403</v>
      </c>
      <c r="K132">
        <v>0</v>
      </c>
      <c r="N132">
        <v>54</v>
      </c>
      <c r="O132">
        <v>54</v>
      </c>
      <c r="P132" t="s">
        <v>708</v>
      </c>
      <c r="Q132" t="s">
        <v>414</v>
      </c>
      <c r="S132">
        <v>3.16</v>
      </c>
      <c r="T132">
        <v>666.05700000000002</v>
      </c>
      <c r="U132">
        <v>39102.995999999999</v>
      </c>
      <c r="V132">
        <v>0.17</v>
      </c>
      <c r="W132" t="s">
        <v>476</v>
      </c>
    </row>
    <row r="133" spans="1:23" x14ac:dyDescent="0.45">
      <c r="A133">
        <v>53</v>
      </c>
      <c r="B133">
        <v>53</v>
      </c>
      <c r="C133" t="s">
        <v>634</v>
      </c>
      <c r="D133" t="s">
        <v>414</v>
      </c>
      <c r="F133">
        <v>3.2</v>
      </c>
      <c r="G133">
        <v>583.88</v>
      </c>
      <c r="H133">
        <v>46770.73</v>
      </c>
      <c r="I133">
        <v>0.125</v>
      </c>
      <c r="J133" t="s">
        <v>478</v>
      </c>
      <c r="N133">
        <v>55</v>
      </c>
      <c r="O133">
        <v>55</v>
      </c>
      <c r="P133" t="s">
        <v>709</v>
      </c>
      <c r="Q133" t="s">
        <v>414</v>
      </c>
      <c r="S133">
        <v>3.21</v>
      </c>
      <c r="T133">
        <v>793.14</v>
      </c>
      <c r="U133">
        <v>40568.152000000002</v>
      </c>
      <c r="V133">
        <v>0.19600000000000001</v>
      </c>
      <c r="W133" t="s">
        <v>478</v>
      </c>
    </row>
    <row r="134" spans="1:23" x14ac:dyDescent="0.45">
      <c r="A134">
        <v>54</v>
      </c>
      <c r="B134">
        <v>54</v>
      </c>
      <c r="C134" t="s">
        <v>635</v>
      </c>
      <c r="D134" t="s">
        <v>414</v>
      </c>
      <c r="F134">
        <v>3.47</v>
      </c>
      <c r="G134">
        <v>234.91200000000001</v>
      </c>
      <c r="H134">
        <v>19138.756000000001</v>
      </c>
      <c r="I134">
        <v>0.123</v>
      </c>
      <c r="J134" t="s">
        <v>479</v>
      </c>
      <c r="N134">
        <v>56</v>
      </c>
      <c r="O134">
        <v>56</v>
      </c>
      <c r="P134" t="s">
        <v>710</v>
      </c>
      <c r="Q134" t="s">
        <v>414</v>
      </c>
      <c r="S134">
        <v>3.2</v>
      </c>
      <c r="T134">
        <v>465.274</v>
      </c>
      <c r="U134">
        <v>47855.73</v>
      </c>
      <c r="V134">
        <v>9.7000000000000003E-2</v>
      </c>
      <c r="W134" t="s">
        <v>478</v>
      </c>
    </row>
    <row r="135" spans="1:23" x14ac:dyDescent="0.45">
      <c r="A135">
        <v>55</v>
      </c>
      <c r="B135">
        <v>55</v>
      </c>
      <c r="C135" t="s">
        <v>636</v>
      </c>
      <c r="D135" t="s">
        <v>414</v>
      </c>
      <c r="F135">
        <v>3.21</v>
      </c>
      <c r="G135">
        <v>376.48</v>
      </c>
      <c r="H135">
        <v>28770.453000000001</v>
      </c>
      <c r="I135">
        <v>0.13100000000000001</v>
      </c>
      <c r="J135" t="s">
        <v>478</v>
      </c>
      <c r="N135">
        <v>57</v>
      </c>
      <c r="O135">
        <v>57</v>
      </c>
      <c r="P135" t="s">
        <v>711</v>
      </c>
      <c r="Q135" t="s">
        <v>414</v>
      </c>
      <c r="S135">
        <v>3.21</v>
      </c>
      <c r="T135">
        <v>548.92600000000004</v>
      </c>
      <c r="U135">
        <v>46796.972999999998</v>
      </c>
      <c r="V135">
        <v>0.11700000000000001</v>
      </c>
      <c r="W135" t="s">
        <v>478</v>
      </c>
    </row>
    <row r="136" spans="1:23" x14ac:dyDescent="0.45">
      <c r="A136">
        <v>56</v>
      </c>
      <c r="B136">
        <v>56</v>
      </c>
      <c r="C136" t="s">
        <v>637</v>
      </c>
      <c r="D136" t="s">
        <v>414</v>
      </c>
      <c r="F136">
        <v>3.21</v>
      </c>
      <c r="G136">
        <v>983.80700000000002</v>
      </c>
      <c r="H136">
        <v>46809.652000000002</v>
      </c>
      <c r="I136">
        <v>0.21</v>
      </c>
      <c r="J136" t="s">
        <v>403</v>
      </c>
      <c r="K136">
        <v>0.1</v>
      </c>
      <c r="N136">
        <v>58</v>
      </c>
      <c r="O136">
        <v>58</v>
      </c>
      <c r="P136" t="s">
        <v>712</v>
      </c>
      <c r="Q136" t="s">
        <v>414</v>
      </c>
      <c r="S136">
        <v>3.17</v>
      </c>
      <c r="T136">
        <v>474.37099999999998</v>
      </c>
      <c r="U136">
        <v>48178.417999999998</v>
      </c>
      <c r="V136">
        <v>9.8000000000000004E-2</v>
      </c>
      <c r="W136" t="s">
        <v>478</v>
      </c>
    </row>
    <row r="137" spans="1:23" x14ac:dyDescent="0.45">
      <c r="A137">
        <v>57</v>
      </c>
      <c r="B137">
        <v>57</v>
      </c>
      <c r="C137" t="s">
        <v>638</v>
      </c>
      <c r="D137" t="s">
        <v>414</v>
      </c>
      <c r="F137">
        <v>3.2</v>
      </c>
      <c r="G137">
        <v>350.61900000000003</v>
      </c>
      <c r="H137">
        <v>22968.118999999999</v>
      </c>
      <c r="I137">
        <v>0.153</v>
      </c>
      <c r="J137" t="s">
        <v>412</v>
      </c>
      <c r="K137">
        <v>0</v>
      </c>
      <c r="N137">
        <v>59</v>
      </c>
      <c r="O137">
        <v>59</v>
      </c>
      <c r="P137" t="s">
        <v>713</v>
      </c>
      <c r="Q137" t="s">
        <v>414</v>
      </c>
      <c r="S137">
        <v>3.19</v>
      </c>
      <c r="T137">
        <v>150.893</v>
      </c>
      <c r="U137">
        <v>24496.83</v>
      </c>
      <c r="V137">
        <v>6.2E-2</v>
      </c>
      <c r="W137" t="s">
        <v>476</v>
      </c>
    </row>
    <row r="138" spans="1:23" x14ac:dyDescent="0.45">
      <c r="A138">
        <v>58</v>
      </c>
      <c r="B138">
        <v>58</v>
      </c>
      <c r="C138" t="s">
        <v>639</v>
      </c>
      <c r="D138" t="s">
        <v>414</v>
      </c>
      <c r="F138">
        <v>3.47</v>
      </c>
      <c r="G138">
        <v>280.31099999999998</v>
      </c>
      <c r="H138">
        <v>21423.228999999999</v>
      </c>
      <c r="I138">
        <v>0.13100000000000001</v>
      </c>
      <c r="J138" t="s">
        <v>476</v>
      </c>
      <c r="N138">
        <v>60</v>
      </c>
      <c r="O138">
        <v>60</v>
      </c>
      <c r="P138" t="s">
        <v>714</v>
      </c>
      <c r="Q138" t="s">
        <v>414</v>
      </c>
      <c r="S138">
        <v>3.2</v>
      </c>
      <c r="T138">
        <v>291.39499999999998</v>
      </c>
      <c r="U138">
        <v>30169.942999999999</v>
      </c>
      <c r="V138">
        <v>9.7000000000000003E-2</v>
      </c>
      <c r="W138" t="s">
        <v>476</v>
      </c>
    </row>
    <row r="139" spans="1:23" x14ac:dyDescent="0.45">
      <c r="A139">
        <v>59</v>
      </c>
      <c r="B139">
        <v>59</v>
      </c>
      <c r="C139" t="s">
        <v>640</v>
      </c>
      <c r="D139" t="s">
        <v>414</v>
      </c>
      <c r="F139">
        <v>3.21</v>
      </c>
      <c r="G139">
        <v>358.39100000000002</v>
      </c>
      <c r="H139">
        <v>32038.596000000001</v>
      </c>
      <c r="I139">
        <v>0.112</v>
      </c>
      <c r="J139" t="s">
        <v>477</v>
      </c>
      <c r="N139">
        <v>61</v>
      </c>
      <c r="O139">
        <v>61</v>
      </c>
      <c r="P139" t="s">
        <v>715</v>
      </c>
      <c r="Q139" t="s">
        <v>414</v>
      </c>
      <c r="S139">
        <v>3.18</v>
      </c>
      <c r="T139">
        <v>693.38900000000001</v>
      </c>
      <c r="U139">
        <v>38924.508000000002</v>
      </c>
      <c r="V139">
        <v>0.17799999999999999</v>
      </c>
      <c r="W139" t="s">
        <v>478</v>
      </c>
    </row>
    <row r="140" spans="1:23" x14ac:dyDescent="0.45">
      <c r="A140">
        <v>60</v>
      </c>
      <c r="B140">
        <v>60</v>
      </c>
      <c r="C140" t="s">
        <v>641</v>
      </c>
      <c r="D140" t="s">
        <v>414</v>
      </c>
      <c r="F140">
        <v>3.21</v>
      </c>
      <c r="G140">
        <v>467.654</v>
      </c>
      <c r="H140">
        <v>29809.223000000002</v>
      </c>
      <c r="I140">
        <v>0.157</v>
      </c>
      <c r="J140" t="s">
        <v>403</v>
      </c>
      <c r="K140">
        <v>0</v>
      </c>
      <c r="N140">
        <v>62</v>
      </c>
      <c r="O140">
        <v>62</v>
      </c>
      <c r="P140" t="s">
        <v>716</v>
      </c>
      <c r="Q140" t="s">
        <v>414</v>
      </c>
      <c r="S140">
        <v>3.22</v>
      </c>
      <c r="T140">
        <v>322.846</v>
      </c>
      <c r="U140">
        <v>22769.317999999999</v>
      </c>
      <c r="V140">
        <v>0.14199999999999999</v>
      </c>
      <c r="W140" t="s">
        <v>476</v>
      </c>
    </row>
    <row r="141" spans="1:23" x14ac:dyDescent="0.45">
      <c r="A141">
        <v>61</v>
      </c>
      <c r="B141">
        <v>61</v>
      </c>
      <c r="C141" t="s">
        <v>642</v>
      </c>
      <c r="D141" t="s">
        <v>414</v>
      </c>
      <c r="F141">
        <v>3.21</v>
      </c>
      <c r="G141">
        <v>415.16300000000001</v>
      </c>
      <c r="H141">
        <v>34502.788999999997</v>
      </c>
      <c r="I141">
        <v>0.12</v>
      </c>
      <c r="J141" t="s">
        <v>478</v>
      </c>
      <c r="N141">
        <v>63</v>
      </c>
      <c r="O141">
        <v>63</v>
      </c>
      <c r="P141" t="s">
        <v>717</v>
      </c>
      <c r="Q141" t="s">
        <v>414</v>
      </c>
      <c r="S141">
        <v>3.17</v>
      </c>
      <c r="T141">
        <v>529.93299999999999</v>
      </c>
      <c r="U141">
        <v>46966.858999999997</v>
      </c>
      <c r="V141">
        <v>0.113</v>
      </c>
      <c r="W141" t="s">
        <v>478</v>
      </c>
    </row>
    <row r="142" spans="1:23" x14ac:dyDescent="0.45">
      <c r="A142">
        <v>62</v>
      </c>
      <c r="B142">
        <v>62</v>
      </c>
      <c r="C142" t="s">
        <v>643</v>
      </c>
      <c r="D142" t="s">
        <v>414</v>
      </c>
      <c r="F142">
        <v>3.17</v>
      </c>
      <c r="G142">
        <v>606.69399999999996</v>
      </c>
      <c r="H142">
        <v>45911.652000000002</v>
      </c>
      <c r="I142">
        <v>0.13200000000000001</v>
      </c>
      <c r="J142" t="s">
        <v>477</v>
      </c>
      <c r="N142">
        <v>64</v>
      </c>
      <c r="O142">
        <v>64</v>
      </c>
      <c r="P142" t="s">
        <v>718</v>
      </c>
      <c r="Q142" t="s">
        <v>414</v>
      </c>
      <c r="S142">
        <v>3.19</v>
      </c>
      <c r="T142">
        <v>714.18899999999996</v>
      </c>
      <c r="U142">
        <v>41885.788999999997</v>
      </c>
      <c r="V142">
        <v>0.17100000000000001</v>
      </c>
      <c r="W142" t="s">
        <v>478</v>
      </c>
    </row>
    <row r="143" spans="1:23" x14ac:dyDescent="0.45">
      <c r="A143">
        <v>63</v>
      </c>
      <c r="B143">
        <v>63</v>
      </c>
      <c r="C143" t="s">
        <v>644</v>
      </c>
      <c r="D143" t="s">
        <v>414</v>
      </c>
      <c r="F143">
        <v>3.17</v>
      </c>
      <c r="G143">
        <v>306.80900000000003</v>
      </c>
      <c r="H143">
        <v>31933.603999999999</v>
      </c>
      <c r="I143">
        <v>9.6000000000000002E-2</v>
      </c>
      <c r="J143" t="s">
        <v>477</v>
      </c>
      <c r="N143">
        <v>65</v>
      </c>
      <c r="O143">
        <v>65</v>
      </c>
      <c r="P143" t="s">
        <v>719</v>
      </c>
      <c r="Q143" t="s">
        <v>414</v>
      </c>
      <c r="S143">
        <v>3.25</v>
      </c>
      <c r="T143">
        <v>116.80200000000001</v>
      </c>
      <c r="U143">
        <v>19885.386999999999</v>
      </c>
      <c r="V143">
        <v>5.8999999999999997E-2</v>
      </c>
      <c r="W143" t="s">
        <v>477</v>
      </c>
    </row>
    <row r="144" spans="1:23" x14ac:dyDescent="0.45">
      <c r="A144">
        <v>64</v>
      </c>
      <c r="B144">
        <v>64</v>
      </c>
      <c r="C144" t="s">
        <v>645</v>
      </c>
      <c r="D144" t="s">
        <v>414</v>
      </c>
      <c r="F144">
        <v>3.47</v>
      </c>
      <c r="G144">
        <v>149.66999999999999</v>
      </c>
      <c r="H144">
        <v>24148.785</v>
      </c>
      <c r="I144">
        <v>6.2E-2</v>
      </c>
      <c r="J144" t="s">
        <v>479</v>
      </c>
      <c r="N144">
        <v>66</v>
      </c>
      <c r="O144">
        <v>66</v>
      </c>
      <c r="P144" t="s">
        <v>720</v>
      </c>
      <c r="Q144" t="s">
        <v>414</v>
      </c>
      <c r="S144">
        <v>3.15</v>
      </c>
      <c r="T144">
        <v>498.30500000000001</v>
      </c>
      <c r="U144">
        <v>47034.675999999999</v>
      </c>
      <c r="V144">
        <v>0.106</v>
      </c>
      <c r="W144" t="s">
        <v>478</v>
      </c>
    </row>
    <row r="145" spans="1:25" x14ac:dyDescent="0.45">
      <c r="A145">
        <v>65</v>
      </c>
      <c r="B145">
        <v>65</v>
      </c>
      <c r="C145" t="s">
        <v>646</v>
      </c>
      <c r="D145" t="s">
        <v>414</v>
      </c>
      <c r="F145">
        <v>3.46</v>
      </c>
      <c r="G145">
        <v>238.523</v>
      </c>
      <c r="H145">
        <v>25737.803</v>
      </c>
      <c r="I145">
        <v>9.2999999999999999E-2</v>
      </c>
      <c r="J145" t="s">
        <v>477</v>
      </c>
      <c r="N145">
        <v>67</v>
      </c>
      <c r="O145">
        <v>67</v>
      </c>
      <c r="P145" t="s">
        <v>721</v>
      </c>
      <c r="Q145" t="s">
        <v>414</v>
      </c>
      <c r="S145">
        <v>3.18</v>
      </c>
      <c r="T145">
        <v>577.149</v>
      </c>
      <c r="U145">
        <v>45776.504000000001</v>
      </c>
      <c r="V145">
        <v>0.126</v>
      </c>
      <c r="W145" t="s">
        <v>478</v>
      </c>
    </row>
    <row r="146" spans="1:25" x14ac:dyDescent="0.45">
      <c r="A146">
        <v>66</v>
      </c>
      <c r="B146">
        <v>66</v>
      </c>
      <c r="C146" t="s">
        <v>647</v>
      </c>
      <c r="D146" t="s">
        <v>414</v>
      </c>
      <c r="F146">
        <v>3.45</v>
      </c>
      <c r="G146">
        <v>231.833</v>
      </c>
      <c r="H146">
        <v>35171.711000000003</v>
      </c>
      <c r="I146">
        <v>6.6000000000000003E-2</v>
      </c>
      <c r="J146" t="s">
        <v>479</v>
      </c>
    </row>
    <row r="147" spans="1:25" x14ac:dyDescent="0.45">
      <c r="A147">
        <v>67</v>
      </c>
      <c r="B147">
        <v>67</v>
      </c>
      <c r="C147" t="s">
        <v>648</v>
      </c>
      <c r="D147" t="s">
        <v>414</v>
      </c>
      <c r="F147">
        <v>3.47</v>
      </c>
      <c r="G147">
        <v>198.94900000000001</v>
      </c>
      <c r="H147">
        <v>26023.921999999999</v>
      </c>
      <c r="I147">
        <v>7.5999999999999998E-2</v>
      </c>
      <c r="J147" t="s">
        <v>476</v>
      </c>
      <c r="N147" t="s">
        <v>480</v>
      </c>
    </row>
    <row r="148" spans="1:25" x14ac:dyDescent="0.45">
      <c r="A148">
        <v>68</v>
      </c>
      <c r="B148">
        <v>68</v>
      </c>
      <c r="C148" t="s">
        <v>649</v>
      </c>
      <c r="D148" t="s">
        <v>414</v>
      </c>
      <c r="F148">
        <v>3.21</v>
      </c>
      <c r="G148">
        <v>299.42099999999999</v>
      </c>
      <c r="H148">
        <v>27925.355</v>
      </c>
      <c r="I148">
        <v>0.107</v>
      </c>
      <c r="J148" t="s">
        <v>478</v>
      </c>
    </row>
    <row r="149" spans="1:25" x14ac:dyDescent="0.45">
      <c r="A149">
        <v>69</v>
      </c>
      <c r="B149">
        <v>69</v>
      </c>
      <c r="C149" t="s">
        <v>650</v>
      </c>
      <c r="D149" t="s">
        <v>414</v>
      </c>
      <c r="F149">
        <v>3.2</v>
      </c>
      <c r="G149">
        <v>358.63400000000001</v>
      </c>
      <c r="H149">
        <v>40413.137000000002</v>
      </c>
      <c r="I149">
        <v>8.8999999999999996E-2</v>
      </c>
      <c r="J149" t="s">
        <v>478</v>
      </c>
      <c r="O149" t="s">
        <v>389</v>
      </c>
      <c r="P149" t="s">
        <v>123</v>
      </c>
      <c r="Q149" t="s">
        <v>390</v>
      </c>
      <c r="R149" t="s">
        <v>391</v>
      </c>
      <c r="S149" t="s">
        <v>392</v>
      </c>
      <c r="T149" t="s">
        <v>393</v>
      </c>
      <c r="U149" t="s">
        <v>394</v>
      </c>
      <c r="V149" t="s">
        <v>395</v>
      </c>
      <c r="W149" t="s">
        <v>396</v>
      </c>
      <c r="X149" t="s">
        <v>397</v>
      </c>
      <c r="Y149" t="s">
        <v>398</v>
      </c>
    </row>
    <row r="150" spans="1:25" x14ac:dyDescent="0.45">
      <c r="N150">
        <v>1</v>
      </c>
      <c r="O150">
        <v>1</v>
      </c>
      <c r="P150" t="s">
        <v>655</v>
      </c>
      <c r="Q150" t="s">
        <v>400</v>
      </c>
      <c r="R150">
        <v>0.05</v>
      </c>
      <c r="S150">
        <v>3.37</v>
      </c>
      <c r="T150">
        <v>91.198999999999998</v>
      </c>
      <c r="U150">
        <v>193356.859</v>
      </c>
      <c r="V150">
        <v>5.0000000000000001E-3</v>
      </c>
      <c r="W150" t="s">
        <v>401</v>
      </c>
      <c r="X150">
        <v>0.5</v>
      </c>
      <c r="Y150">
        <v>974.4</v>
      </c>
    </row>
    <row r="151" spans="1:25" x14ac:dyDescent="0.45">
      <c r="A151" t="s">
        <v>480</v>
      </c>
      <c r="N151">
        <v>2</v>
      </c>
      <c r="O151">
        <v>2</v>
      </c>
      <c r="P151" t="s">
        <v>656</v>
      </c>
      <c r="Q151" t="s">
        <v>400</v>
      </c>
      <c r="R151">
        <v>0.5</v>
      </c>
      <c r="S151">
        <v>3.13</v>
      </c>
      <c r="T151">
        <v>101.38500000000001</v>
      </c>
      <c r="U151">
        <v>172043.79699999999</v>
      </c>
      <c r="V151">
        <v>6.0000000000000001E-3</v>
      </c>
      <c r="W151" t="s">
        <v>401</v>
      </c>
      <c r="X151">
        <v>1.6</v>
      </c>
      <c r="Y151">
        <v>213.6</v>
      </c>
    </row>
    <row r="152" spans="1:25" x14ac:dyDescent="0.45">
      <c r="N152">
        <v>3</v>
      </c>
      <c r="O152">
        <v>3</v>
      </c>
      <c r="P152" t="s">
        <v>657</v>
      </c>
      <c r="Q152" t="s">
        <v>400</v>
      </c>
      <c r="R152">
        <v>1.25</v>
      </c>
      <c r="S152">
        <v>2.52</v>
      </c>
      <c r="T152">
        <v>78.001000000000005</v>
      </c>
      <c r="U152">
        <v>166185.375</v>
      </c>
      <c r="V152">
        <v>5.0000000000000001E-3</v>
      </c>
      <c r="W152" t="s">
        <v>403</v>
      </c>
      <c r="X152">
        <v>0.5</v>
      </c>
      <c r="Y152">
        <v>-58.6</v>
      </c>
    </row>
    <row r="153" spans="1:25" x14ac:dyDescent="0.45">
      <c r="B153" t="s">
        <v>389</v>
      </c>
      <c r="C153" t="s">
        <v>123</v>
      </c>
      <c r="D153" t="s">
        <v>390</v>
      </c>
      <c r="E153" t="s">
        <v>391</v>
      </c>
      <c r="F153" t="s">
        <v>392</v>
      </c>
      <c r="G153" t="s">
        <v>393</v>
      </c>
      <c r="H153" t="s">
        <v>394</v>
      </c>
      <c r="I153" t="s">
        <v>395</v>
      </c>
      <c r="J153" t="s">
        <v>396</v>
      </c>
      <c r="K153" t="s">
        <v>397</v>
      </c>
      <c r="L153" t="s">
        <v>398</v>
      </c>
      <c r="N153">
        <v>4</v>
      </c>
      <c r="O153">
        <v>4</v>
      </c>
      <c r="P153" t="s">
        <v>658</v>
      </c>
      <c r="Q153" t="s">
        <v>400</v>
      </c>
      <c r="R153">
        <v>2.5</v>
      </c>
      <c r="S153">
        <v>3.3</v>
      </c>
      <c r="T153">
        <v>134.745</v>
      </c>
      <c r="U153">
        <v>171007.78099999999</v>
      </c>
      <c r="V153">
        <v>8.0000000000000002E-3</v>
      </c>
      <c r="W153" t="s">
        <v>403</v>
      </c>
      <c r="X153">
        <v>3.3</v>
      </c>
      <c r="Y153">
        <v>32.299999999999997</v>
      </c>
    </row>
    <row r="154" spans="1:25" x14ac:dyDescent="0.45">
      <c r="A154">
        <v>1</v>
      </c>
      <c r="B154">
        <v>1</v>
      </c>
      <c r="C154" t="s">
        <v>582</v>
      </c>
      <c r="D154" t="s">
        <v>400</v>
      </c>
      <c r="E154">
        <v>0.05</v>
      </c>
      <c r="F154">
        <v>2.65</v>
      </c>
      <c r="G154">
        <v>515.24699999999996</v>
      </c>
      <c r="H154">
        <v>112126.477</v>
      </c>
      <c r="I154">
        <v>4.5999999999999999E-2</v>
      </c>
      <c r="J154" t="s">
        <v>478</v>
      </c>
      <c r="N154">
        <v>5</v>
      </c>
      <c r="O154">
        <v>5</v>
      </c>
      <c r="P154" t="s">
        <v>659</v>
      </c>
      <c r="Q154" t="s">
        <v>400</v>
      </c>
      <c r="R154">
        <v>3.5</v>
      </c>
      <c r="S154">
        <v>2.89</v>
      </c>
      <c r="T154">
        <v>110.111</v>
      </c>
      <c r="U154">
        <v>207124.79699999999</v>
      </c>
      <c r="V154">
        <v>5.0000000000000001E-3</v>
      </c>
      <c r="W154" t="s">
        <v>401</v>
      </c>
      <c r="X154">
        <v>1.1000000000000001</v>
      </c>
      <c r="Y154">
        <v>-69.599999999999994</v>
      </c>
    </row>
    <row r="155" spans="1:25" x14ac:dyDescent="0.45">
      <c r="A155">
        <v>2</v>
      </c>
      <c r="B155">
        <v>2</v>
      </c>
      <c r="C155" t="s">
        <v>583</v>
      </c>
      <c r="D155" t="s">
        <v>400</v>
      </c>
      <c r="E155">
        <v>0.5</v>
      </c>
      <c r="F155">
        <v>2.5299999999999998</v>
      </c>
      <c r="G155">
        <v>133.875</v>
      </c>
      <c r="H155">
        <v>132045.46900000001</v>
      </c>
      <c r="I155">
        <v>0.01</v>
      </c>
      <c r="J155" t="s">
        <v>403</v>
      </c>
      <c r="K155">
        <v>4.9000000000000004</v>
      </c>
      <c r="L155">
        <v>878.8</v>
      </c>
      <c r="N155">
        <v>6</v>
      </c>
      <c r="O155">
        <v>6</v>
      </c>
      <c r="P155" t="s">
        <v>660</v>
      </c>
      <c r="Q155" t="s">
        <v>400</v>
      </c>
      <c r="R155">
        <v>5</v>
      </c>
      <c r="S155">
        <v>2.89</v>
      </c>
      <c r="T155">
        <v>185.09800000000001</v>
      </c>
      <c r="U155">
        <v>203095.21900000001</v>
      </c>
      <c r="V155">
        <v>8.9999999999999993E-3</v>
      </c>
      <c r="W155" t="s">
        <v>401</v>
      </c>
      <c r="X155">
        <v>4.4000000000000004</v>
      </c>
      <c r="Y155">
        <v>-12.2</v>
      </c>
    </row>
    <row r="156" spans="1:25" x14ac:dyDescent="0.45">
      <c r="A156">
        <v>3</v>
      </c>
      <c r="B156">
        <v>3</v>
      </c>
      <c r="C156" t="s">
        <v>584</v>
      </c>
      <c r="D156" t="s">
        <v>400</v>
      </c>
      <c r="E156">
        <v>1.25</v>
      </c>
      <c r="F156">
        <v>2.87</v>
      </c>
      <c r="G156">
        <v>186.26</v>
      </c>
      <c r="H156">
        <v>111546.383</v>
      </c>
      <c r="I156">
        <v>1.7000000000000001E-2</v>
      </c>
      <c r="J156" t="s">
        <v>401</v>
      </c>
      <c r="K156">
        <v>2.6</v>
      </c>
      <c r="L156">
        <v>109.9</v>
      </c>
      <c r="N156">
        <v>7</v>
      </c>
      <c r="O156">
        <v>7</v>
      </c>
      <c r="P156" t="s">
        <v>661</v>
      </c>
      <c r="Q156" t="s">
        <v>400</v>
      </c>
      <c r="R156">
        <v>7</v>
      </c>
      <c r="S156">
        <v>2.37</v>
      </c>
      <c r="T156">
        <v>254.715</v>
      </c>
      <c r="U156">
        <v>185792.5</v>
      </c>
      <c r="V156">
        <v>1.4E-2</v>
      </c>
      <c r="W156" t="s">
        <v>403</v>
      </c>
      <c r="X156">
        <v>8.4</v>
      </c>
      <c r="Y156">
        <v>20.2</v>
      </c>
    </row>
    <row r="157" spans="1:25" x14ac:dyDescent="0.45">
      <c r="A157">
        <v>4</v>
      </c>
      <c r="B157">
        <v>4</v>
      </c>
      <c r="C157" t="s">
        <v>585</v>
      </c>
      <c r="D157" t="s">
        <v>400</v>
      </c>
      <c r="E157">
        <v>2.5</v>
      </c>
      <c r="F157">
        <v>3.24</v>
      </c>
      <c r="G157">
        <v>165.815</v>
      </c>
      <c r="H157">
        <v>147326.109</v>
      </c>
      <c r="I157">
        <v>1.0999999999999999E-2</v>
      </c>
      <c r="J157" t="s">
        <v>403</v>
      </c>
      <c r="K157">
        <v>4.5</v>
      </c>
      <c r="L157">
        <v>80.3</v>
      </c>
      <c r="N157">
        <v>8</v>
      </c>
      <c r="O157">
        <v>8</v>
      </c>
      <c r="P157" t="s">
        <v>662</v>
      </c>
      <c r="Q157" t="s">
        <v>414</v>
      </c>
      <c r="S157">
        <v>3.14</v>
      </c>
      <c r="T157">
        <v>292.27800000000002</v>
      </c>
      <c r="U157">
        <v>83556.25</v>
      </c>
      <c r="V157">
        <v>3.5000000000000003E-2</v>
      </c>
      <c r="W157" t="s">
        <v>403</v>
      </c>
      <c r="X157">
        <v>27.1</v>
      </c>
    </row>
    <row r="158" spans="1:25" x14ac:dyDescent="0.45">
      <c r="A158">
        <v>5</v>
      </c>
      <c r="B158">
        <v>5</v>
      </c>
      <c r="C158" t="s">
        <v>586</v>
      </c>
      <c r="D158" t="s">
        <v>400</v>
      </c>
      <c r="E158">
        <v>3.5</v>
      </c>
      <c r="F158">
        <v>2.68</v>
      </c>
      <c r="G158">
        <v>138.142</v>
      </c>
      <c r="H158">
        <v>168990.53099999999</v>
      </c>
      <c r="I158">
        <v>8.0000000000000002E-3</v>
      </c>
      <c r="J158" t="s">
        <v>412</v>
      </c>
      <c r="K158">
        <v>5.6</v>
      </c>
      <c r="L158">
        <v>59.2</v>
      </c>
      <c r="N158">
        <v>9</v>
      </c>
      <c r="O158">
        <v>9</v>
      </c>
      <c r="P158" t="s">
        <v>663</v>
      </c>
      <c r="Q158" t="s">
        <v>414</v>
      </c>
      <c r="S158">
        <v>3.04</v>
      </c>
      <c r="T158">
        <v>121.587</v>
      </c>
      <c r="U158">
        <v>76502.093999999997</v>
      </c>
      <c r="V158">
        <v>1.6E-2</v>
      </c>
      <c r="W158" t="s">
        <v>415</v>
      </c>
      <c r="X158">
        <v>10.3</v>
      </c>
    </row>
    <row r="159" spans="1:25" x14ac:dyDescent="0.45">
      <c r="A159">
        <v>6</v>
      </c>
      <c r="B159">
        <v>6</v>
      </c>
      <c r="C159" t="s">
        <v>587</v>
      </c>
      <c r="D159" t="s">
        <v>400</v>
      </c>
      <c r="E159">
        <v>5</v>
      </c>
      <c r="F159">
        <v>2.87</v>
      </c>
      <c r="G159">
        <v>189.97800000000001</v>
      </c>
      <c r="H159">
        <v>185178.07800000001</v>
      </c>
      <c r="I159">
        <v>0.01</v>
      </c>
      <c r="J159" t="s">
        <v>401</v>
      </c>
      <c r="K159">
        <v>4.9000000000000004</v>
      </c>
      <c r="L159">
        <v>-3</v>
      </c>
      <c r="N159">
        <v>10</v>
      </c>
      <c r="O159">
        <v>10</v>
      </c>
      <c r="P159" t="s">
        <v>664</v>
      </c>
      <c r="Q159" t="s">
        <v>414</v>
      </c>
      <c r="S159">
        <v>3.15</v>
      </c>
      <c r="T159">
        <v>204.251</v>
      </c>
      <c r="U159">
        <v>94327.679999999993</v>
      </c>
      <c r="V159">
        <v>2.1999999999999999E-2</v>
      </c>
      <c r="W159" t="s">
        <v>412</v>
      </c>
      <c r="X159">
        <v>15.4</v>
      </c>
    </row>
    <row r="160" spans="1:25" x14ac:dyDescent="0.45">
      <c r="A160">
        <v>7</v>
      </c>
      <c r="B160">
        <v>7</v>
      </c>
      <c r="C160" t="s">
        <v>588</v>
      </c>
      <c r="D160" t="s">
        <v>400</v>
      </c>
      <c r="E160">
        <v>7</v>
      </c>
      <c r="F160">
        <v>2.36</v>
      </c>
      <c r="G160">
        <v>165.244</v>
      </c>
      <c r="H160">
        <v>160790.875</v>
      </c>
      <c r="I160">
        <v>0.01</v>
      </c>
      <c r="J160" t="s">
        <v>401</v>
      </c>
      <c r="K160">
        <v>4.8</v>
      </c>
      <c r="L160">
        <v>-30.8</v>
      </c>
      <c r="N160">
        <v>11</v>
      </c>
      <c r="O160">
        <v>11</v>
      </c>
      <c r="P160" t="s">
        <v>665</v>
      </c>
      <c r="Q160" t="s">
        <v>414</v>
      </c>
      <c r="S160">
        <v>3.16</v>
      </c>
      <c r="T160">
        <v>153.935</v>
      </c>
      <c r="U160">
        <v>62249.362999999998</v>
      </c>
      <c r="V160">
        <v>2.5000000000000001E-2</v>
      </c>
      <c r="W160" t="s">
        <v>412</v>
      </c>
      <c r="X160">
        <v>18.100000000000001</v>
      </c>
    </row>
    <row r="161" spans="1:24" x14ac:dyDescent="0.45">
      <c r="A161">
        <v>8</v>
      </c>
      <c r="B161">
        <v>8</v>
      </c>
      <c r="C161" t="s">
        <v>589</v>
      </c>
      <c r="D161" t="s">
        <v>410</v>
      </c>
      <c r="F161">
        <v>3.11</v>
      </c>
      <c r="G161">
        <v>208.79499999999999</v>
      </c>
      <c r="H161">
        <v>1747.645</v>
      </c>
      <c r="I161">
        <v>1.1950000000000001</v>
      </c>
      <c r="J161" t="s">
        <v>478</v>
      </c>
      <c r="N161">
        <v>12</v>
      </c>
      <c r="O161">
        <v>12</v>
      </c>
      <c r="P161" t="s">
        <v>666</v>
      </c>
      <c r="Q161" t="s">
        <v>414</v>
      </c>
      <c r="S161">
        <v>3.16</v>
      </c>
      <c r="T161">
        <v>160.05000000000001</v>
      </c>
      <c r="U161">
        <v>50064.565999999999</v>
      </c>
      <c r="V161">
        <v>3.2000000000000001E-2</v>
      </c>
      <c r="W161" t="s">
        <v>403</v>
      </c>
      <c r="X161">
        <v>24.4</v>
      </c>
    </row>
    <row r="162" spans="1:24" x14ac:dyDescent="0.45">
      <c r="A162">
        <v>9</v>
      </c>
      <c r="B162">
        <v>9</v>
      </c>
      <c r="C162" t="s">
        <v>590</v>
      </c>
      <c r="D162" t="s">
        <v>410</v>
      </c>
      <c r="F162">
        <v>2.85</v>
      </c>
      <c r="G162">
        <v>94.950999999999993</v>
      </c>
      <c r="H162">
        <v>1776.184</v>
      </c>
      <c r="I162">
        <v>0.53500000000000003</v>
      </c>
      <c r="J162" t="s">
        <v>476</v>
      </c>
      <c r="N162">
        <v>13</v>
      </c>
      <c r="O162">
        <v>13</v>
      </c>
      <c r="P162" t="s">
        <v>667</v>
      </c>
      <c r="Q162" t="s">
        <v>414</v>
      </c>
      <c r="S162">
        <v>3.16</v>
      </c>
      <c r="T162">
        <v>168.97</v>
      </c>
      <c r="U162">
        <v>55640.379000000001</v>
      </c>
      <c r="V162">
        <v>0.03</v>
      </c>
      <c r="W162" t="s">
        <v>401</v>
      </c>
      <c r="X162">
        <v>23</v>
      </c>
    </row>
    <row r="163" spans="1:24" x14ac:dyDescent="0.45">
      <c r="A163">
        <v>10</v>
      </c>
      <c r="B163">
        <v>10</v>
      </c>
      <c r="C163" t="s">
        <v>591</v>
      </c>
      <c r="D163" t="s">
        <v>414</v>
      </c>
      <c r="F163">
        <v>2.82</v>
      </c>
      <c r="G163">
        <v>138.01499999999999</v>
      </c>
      <c r="H163">
        <v>76489.547000000006</v>
      </c>
      <c r="I163">
        <v>1.7999999999999999E-2</v>
      </c>
      <c r="J163" t="s">
        <v>403</v>
      </c>
      <c r="K163">
        <v>2.2000000000000002</v>
      </c>
      <c r="N163">
        <v>14</v>
      </c>
      <c r="O163">
        <v>14</v>
      </c>
      <c r="P163" t="s">
        <v>668</v>
      </c>
      <c r="Q163" t="s">
        <v>414</v>
      </c>
      <c r="S163">
        <v>3.16</v>
      </c>
      <c r="T163">
        <v>398.10199999999998</v>
      </c>
      <c r="U163">
        <v>66750.031000000003</v>
      </c>
      <c r="V163">
        <v>0.06</v>
      </c>
      <c r="W163" t="s">
        <v>412</v>
      </c>
      <c r="X163">
        <v>48.7</v>
      </c>
    </row>
    <row r="164" spans="1:24" x14ac:dyDescent="0.45">
      <c r="A164">
        <v>11</v>
      </c>
      <c r="B164">
        <v>11</v>
      </c>
      <c r="C164" t="s">
        <v>592</v>
      </c>
      <c r="D164" t="s">
        <v>414</v>
      </c>
      <c r="F164">
        <v>3.39</v>
      </c>
      <c r="G164">
        <v>236.851</v>
      </c>
      <c r="H164">
        <v>27540.883000000002</v>
      </c>
      <c r="I164">
        <v>8.5999999999999993E-2</v>
      </c>
      <c r="J164" t="s">
        <v>478</v>
      </c>
      <c r="N164">
        <v>15</v>
      </c>
      <c r="O164">
        <v>15</v>
      </c>
      <c r="P164" t="s">
        <v>669</v>
      </c>
      <c r="Q164" t="s">
        <v>414</v>
      </c>
      <c r="S164">
        <v>3.16</v>
      </c>
      <c r="T164">
        <v>117.756</v>
      </c>
      <c r="U164">
        <v>47150.453000000001</v>
      </c>
      <c r="V164">
        <v>2.5000000000000001E-2</v>
      </c>
      <c r="W164" t="s">
        <v>403</v>
      </c>
      <c r="X164">
        <v>18.3</v>
      </c>
    </row>
    <row r="165" spans="1:24" x14ac:dyDescent="0.45">
      <c r="A165">
        <v>12</v>
      </c>
      <c r="B165">
        <v>12</v>
      </c>
      <c r="C165" t="s">
        <v>593</v>
      </c>
      <c r="D165" t="s">
        <v>414</v>
      </c>
      <c r="F165">
        <v>3.15</v>
      </c>
      <c r="G165">
        <v>158.71700000000001</v>
      </c>
      <c r="H165">
        <v>52116.199000000001</v>
      </c>
      <c r="I165">
        <v>0.03</v>
      </c>
      <c r="J165" t="s">
        <v>477</v>
      </c>
      <c r="N165">
        <v>16</v>
      </c>
      <c r="O165">
        <v>16</v>
      </c>
      <c r="P165" t="s">
        <v>670</v>
      </c>
      <c r="Q165" t="s">
        <v>414</v>
      </c>
      <c r="S165">
        <v>2.48</v>
      </c>
      <c r="T165">
        <v>117.209</v>
      </c>
      <c r="U165">
        <v>31946.664000000001</v>
      </c>
      <c r="V165">
        <v>3.6999999999999998E-2</v>
      </c>
      <c r="W165" t="s">
        <v>403</v>
      </c>
      <c r="X165">
        <v>28.6</v>
      </c>
    </row>
    <row r="166" spans="1:24" x14ac:dyDescent="0.45">
      <c r="A166">
        <v>13</v>
      </c>
      <c r="B166">
        <v>13</v>
      </c>
      <c r="C166" t="s">
        <v>594</v>
      </c>
      <c r="D166" t="s">
        <v>414</v>
      </c>
      <c r="F166">
        <v>3.3</v>
      </c>
      <c r="G166">
        <v>268.70400000000001</v>
      </c>
      <c r="H166">
        <v>74078.101999999999</v>
      </c>
      <c r="I166">
        <v>3.5999999999999997E-2</v>
      </c>
      <c r="J166" t="s">
        <v>478</v>
      </c>
      <c r="N166">
        <v>17</v>
      </c>
      <c r="O166">
        <v>17</v>
      </c>
      <c r="P166" t="s">
        <v>671</v>
      </c>
      <c r="Q166" t="s">
        <v>414</v>
      </c>
      <c r="S166">
        <v>2.99</v>
      </c>
      <c r="T166">
        <v>108.271</v>
      </c>
      <c r="U166">
        <v>38021.741999999998</v>
      </c>
      <c r="V166">
        <v>2.8000000000000001E-2</v>
      </c>
      <c r="W166" t="s">
        <v>403</v>
      </c>
      <c r="X166">
        <v>21.4</v>
      </c>
    </row>
    <row r="167" spans="1:24" x14ac:dyDescent="0.45">
      <c r="A167">
        <v>14</v>
      </c>
      <c r="B167">
        <v>14</v>
      </c>
      <c r="C167" t="s">
        <v>595</v>
      </c>
      <c r="D167" t="s">
        <v>414</v>
      </c>
      <c r="F167">
        <v>3.15</v>
      </c>
      <c r="G167">
        <v>265.524</v>
      </c>
      <c r="H167">
        <v>83833.827999999994</v>
      </c>
      <c r="I167">
        <v>3.2000000000000001E-2</v>
      </c>
      <c r="J167" t="s">
        <v>479</v>
      </c>
      <c r="N167">
        <v>18</v>
      </c>
      <c r="O167">
        <v>18</v>
      </c>
      <c r="P167" t="s">
        <v>672</v>
      </c>
      <c r="Q167" t="s">
        <v>414</v>
      </c>
      <c r="S167">
        <v>3.26</v>
      </c>
      <c r="T167">
        <v>148.38499999999999</v>
      </c>
      <c r="U167">
        <v>47917.008000000002</v>
      </c>
      <c r="V167">
        <v>3.1E-2</v>
      </c>
      <c r="W167" t="s">
        <v>403</v>
      </c>
      <c r="X167">
        <v>23.5</v>
      </c>
    </row>
    <row r="168" spans="1:24" x14ac:dyDescent="0.45">
      <c r="A168">
        <v>15</v>
      </c>
      <c r="B168">
        <v>15</v>
      </c>
      <c r="C168" t="s">
        <v>596</v>
      </c>
      <c r="D168" t="s">
        <v>414</v>
      </c>
      <c r="F168">
        <v>3.16</v>
      </c>
      <c r="G168">
        <v>265.85399999999998</v>
      </c>
      <c r="H168">
        <v>124995.727</v>
      </c>
      <c r="I168">
        <v>2.1000000000000001E-2</v>
      </c>
      <c r="J168" t="s">
        <v>403</v>
      </c>
      <c r="K168">
        <v>1</v>
      </c>
      <c r="N168">
        <v>19</v>
      </c>
      <c r="O168">
        <v>19</v>
      </c>
      <c r="P168" t="s">
        <v>673</v>
      </c>
      <c r="Q168" t="s">
        <v>414</v>
      </c>
      <c r="S168">
        <v>3.27</v>
      </c>
      <c r="T168">
        <v>122.03100000000001</v>
      </c>
      <c r="U168">
        <v>56579.597999999998</v>
      </c>
      <c r="V168">
        <v>2.1999999999999999E-2</v>
      </c>
      <c r="W168" t="s">
        <v>412</v>
      </c>
      <c r="X168">
        <v>15.3</v>
      </c>
    </row>
    <row r="169" spans="1:24" x14ac:dyDescent="0.45">
      <c r="A169">
        <v>16</v>
      </c>
      <c r="B169">
        <v>16</v>
      </c>
      <c r="C169" t="s">
        <v>597</v>
      </c>
      <c r="D169" t="s">
        <v>414</v>
      </c>
      <c r="F169">
        <v>3.16</v>
      </c>
      <c r="G169">
        <v>374.10500000000002</v>
      </c>
      <c r="H169">
        <v>131551.766</v>
      </c>
      <c r="I169">
        <v>2.8000000000000001E-2</v>
      </c>
      <c r="J169" t="s">
        <v>478</v>
      </c>
      <c r="N169">
        <v>20</v>
      </c>
      <c r="O169">
        <v>20</v>
      </c>
      <c r="P169" t="s">
        <v>674</v>
      </c>
      <c r="Q169" t="s">
        <v>414</v>
      </c>
      <c r="S169">
        <v>3.29</v>
      </c>
      <c r="T169">
        <v>166.62</v>
      </c>
      <c r="U169">
        <v>48580.699000000001</v>
      </c>
      <c r="V169">
        <v>3.4000000000000002E-2</v>
      </c>
      <c r="W169" t="s">
        <v>412</v>
      </c>
      <c r="X169">
        <v>26.5</v>
      </c>
    </row>
    <row r="170" spans="1:24" x14ac:dyDescent="0.45">
      <c r="A170">
        <v>17</v>
      </c>
      <c r="B170">
        <v>17</v>
      </c>
      <c r="C170" t="s">
        <v>598</v>
      </c>
      <c r="D170" t="s">
        <v>414</v>
      </c>
      <c r="F170">
        <v>2.37</v>
      </c>
      <c r="G170">
        <v>217.88399999999999</v>
      </c>
      <c r="H170">
        <v>123119.359</v>
      </c>
      <c r="I170">
        <v>1.7999999999999999E-2</v>
      </c>
      <c r="J170" t="s">
        <v>401</v>
      </c>
      <c r="K170">
        <v>2.2999999999999998</v>
      </c>
      <c r="N170">
        <v>21</v>
      </c>
      <c r="O170">
        <v>21</v>
      </c>
      <c r="P170" t="s">
        <v>675</v>
      </c>
      <c r="Q170" t="s">
        <v>414</v>
      </c>
      <c r="S170">
        <v>3.15</v>
      </c>
      <c r="T170">
        <v>163.90799999999999</v>
      </c>
      <c r="U170">
        <v>49960.809000000001</v>
      </c>
      <c r="V170">
        <v>3.3000000000000002E-2</v>
      </c>
      <c r="W170" t="s">
        <v>401</v>
      </c>
      <c r="X170">
        <v>25.2</v>
      </c>
    </row>
    <row r="171" spans="1:24" x14ac:dyDescent="0.45">
      <c r="A171">
        <v>18</v>
      </c>
      <c r="B171">
        <v>18</v>
      </c>
      <c r="C171" t="s">
        <v>599</v>
      </c>
      <c r="D171" t="s">
        <v>414</v>
      </c>
      <c r="F171">
        <v>2.34</v>
      </c>
      <c r="G171">
        <v>192.50700000000001</v>
      </c>
      <c r="H171">
        <v>37662.758000000002</v>
      </c>
      <c r="I171">
        <v>5.0999999999999997E-2</v>
      </c>
      <c r="J171" t="s">
        <v>478</v>
      </c>
      <c r="N171">
        <v>22</v>
      </c>
      <c r="O171">
        <v>22</v>
      </c>
      <c r="P171" t="s">
        <v>676</v>
      </c>
      <c r="Q171" t="s">
        <v>414</v>
      </c>
      <c r="S171">
        <v>3.17</v>
      </c>
      <c r="T171">
        <v>132.36099999999999</v>
      </c>
      <c r="U171">
        <v>42173.285000000003</v>
      </c>
      <c r="V171">
        <v>3.1E-2</v>
      </c>
      <c r="W171" t="s">
        <v>403</v>
      </c>
      <c r="X171">
        <v>23.9</v>
      </c>
    </row>
    <row r="172" spans="1:24" x14ac:dyDescent="0.45">
      <c r="A172">
        <v>19</v>
      </c>
      <c r="B172">
        <v>19</v>
      </c>
      <c r="C172" t="s">
        <v>600</v>
      </c>
      <c r="D172" t="s">
        <v>414</v>
      </c>
      <c r="F172">
        <v>2.37</v>
      </c>
      <c r="G172">
        <v>165.624</v>
      </c>
      <c r="H172">
        <v>42557.855000000003</v>
      </c>
      <c r="I172">
        <v>3.9E-2</v>
      </c>
      <c r="J172" t="s">
        <v>476</v>
      </c>
      <c r="N172">
        <v>23</v>
      </c>
      <c r="O172">
        <v>23</v>
      </c>
      <c r="P172" t="s">
        <v>677</v>
      </c>
      <c r="Q172" t="s">
        <v>414</v>
      </c>
      <c r="S172">
        <v>3.21</v>
      </c>
      <c r="T172">
        <v>151.851</v>
      </c>
      <c r="U172">
        <v>52315.714999999997</v>
      </c>
      <c r="V172">
        <v>2.9000000000000001E-2</v>
      </c>
      <c r="W172" t="s">
        <v>403</v>
      </c>
      <c r="X172">
        <v>21.8</v>
      </c>
    </row>
    <row r="173" spans="1:24" x14ac:dyDescent="0.45">
      <c r="A173">
        <v>20</v>
      </c>
      <c r="B173">
        <v>20</v>
      </c>
      <c r="C173" t="s">
        <v>601</v>
      </c>
      <c r="D173" t="s">
        <v>414</v>
      </c>
      <c r="F173">
        <v>3.23</v>
      </c>
      <c r="G173">
        <v>219.42400000000001</v>
      </c>
      <c r="H173">
        <v>26482.266</v>
      </c>
      <c r="I173">
        <v>8.3000000000000004E-2</v>
      </c>
      <c r="J173" t="s">
        <v>478</v>
      </c>
      <c r="N173">
        <v>24</v>
      </c>
      <c r="O173">
        <v>24</v>
      </c>
      <c r="P173" t="s">
        <v>678</v>
      </c>
      <c r="Q173" t="s">
        <v>414</v>
      </c>
      <c r="S173">
        <v>3.18</v>
      </c>
      <c r="T173">
        <v>173.233</v>
      </c>
      <c r="U173">
        <v>38249.663999999997</v>
      </c>
      <c r="V173">
        <v>4.4999999999999998E-2</v>
      </c>
      <c r="W173" t="s">
        <v>403</v>
      </c>
      <c r="X173">
        <v>36.1</v>
      </c>
    </row>
    <row r="174" spans="1:24" x14ac:dyDescent="0.45">
      <c r="A174">
        <v>21</v>
      </c>
      <c r="B174">
        <v>21</v>
      </c>
      <c r="C174" t="s">
        <v>602</v>
      </c>
      <c r="D174" t="s">
        <v>414</v>
      </c>
      <c r="F174">
        <v>2.68</v>
      </c>
      <c r="G174">
        <v>110.613</v>
      </c>
      <c r="H174">
        <v>45341.762000000002</v>
      </c>
      <c r="I174">
        <v>2.4E-2</v>
      </c>
      <c r="J174" t="s">
        <v>478</v>
      </c>
      <c r="N174">
        <v>25</v>
      </c>
      <c r="O174">
        <v>25</v>
      </c>
      <c r="P174" t="s">
        <v>679</v>
      </c>
      <c r="Q174" t="s">
        <v>414</v>
      </c>
      <c r="S174">
        <v>3.07</v>
      </c>
      <c r="T174">
        <v>72.55</v>
      </c>
      <c r="U174">
        <v>31218.657999999999</v>
      </c>
      <c r="V174">
        <v>2.3E-2</v>
      </c>
      <c r="W174" t="s">
        <v>412</v>
      </c>
      <c r="X174">
        <v>16.8</v>
      </c>
    </row>
    <row r="175" spans="1:24" x14ac:dyDescent="0.45">
      <c r="A175">
        <v>22</v>
      </c>
      <c r="B175">
        <v>22</v>
      </c>
      <c r="C175" t="s">
        <v>603</v>
      </c>
      <c r="D175" t="s">
        <v>414</v>
      </c>
      <c r="F175">
        <v>3.15</v>
      </c>
      <c r="G175">
        <v>228.666</v>
      </c>
      <c r="H175">
        <v>130099.008</v>
      </c>
      <c r="I175">
        <v>1.7999999999999999E-2</v>
      </c>
      <c r="J175" t="s">
        <v>412</v>
      </c>
      <c r="K175">
        <v>2.2999999999999998</v>
      </c>
      <c r="N175">
        <v>26</v>
      </c>
      <c r="O175">
        <v>26</v>
      </c>
      <c r="P175" t="s">
        <v>680</v>
      </c>
      <c r="Q175" t="s">
        <v>414</v>
      </c>
      <c r="S175">
        <v>3.38</v>
      </c>
      <c r="T175">
        <v>132.79599999999999</v>
      </c>
      <c r="U175">
        <v>33727.086000000003</v>
      </c>
      <c r="V175">
        <v>3.9E-2</v>
      </c>
      <c r="W175" t="s">
        <v>403</v>
      </c>
      <c r="X175">
        <v>30.9</v>
      </c>
    </row>
    <row r="176" spans="1:24" x14ac:dyDescent="0.45">
      <c r="A176">
        <v>23</v>
      </c>
      <c r="B176">
        <v>23</v>
      </c>
      <c r="C176" t="s">
        <v>604</v>
      </c>
      <c r="D176" t="s">
        <v>414</v>
      </c>
      <c r="F176">
        <v>3.16</v>
      </c>
      <c r="G176">
        <v>378.80200000000002</v>
      </c>
      <c r="H176">
        <v>130103.039</v>
      </c>
      <c r="I176">
        <v>2.9000000000000001E-2</v>
      </c>
      <c r="J176" t="s">
        <v>478</v>
      </c>
      <c r="N176">
        <v>27</v>
      </c>
      <c r="O176">
        <v>27</v>
      </c>
      <c r="P176" t="s">
        <v>681</v>
      </c>
      <c r="Q176" t="s">
        <v>414</v>
      </c>
      <c r="S176">
        <v>3.34</v>
      </c>
      <c r="T176">
        <v>108.19499999999999</v>
      </c>
      <c r="U176">
        <v>34575.695</v>
      </c>
      <c r="V176">
        <v>3.1E-2</v>
      </c>
      <c r="W176" t="s">
        <v>403</v>
      </c>
      <c r="X176">
        <v>23.8</v>
      </c>
    </row>
    <row r="177" spans="1:24" x14ac:dyDescent="0.45">
      <c r="A177">
        <v>24</v>
      </c>
      <c r="B177">
        <v>24</v>
      </c>
      <c r="C177" t="s">
        <v>605</v>
      </c>
      <c r="D177" t="s">
        <v>414</v>
      </c>
      <c r="F177">
        <v>3.13</v>
      </c>
      <c r="G177">
        <v>178.55799999999999</v>
      </c>
      <c r="H177">
        <v>69343.851999999999</v>
      </c>
      <c r="I177">
        <v>2.5999999999999999E-2</v>
      </c>
      <c r="J177" t="s">
        <v>478</v>
      </c>
      <c r="N177">
        <v>28</v>
      </c>
      <c r="O177">
        <v>28</v>
      </c>
      <c r="P177" t="s">
        <v>682</v>
      </c>
      <c r="Q177" t="s">
        <v>414</v>
      </c>
      <c r="S177">
        <v>3.35</v>
      </c>
      <c r="T177">
        <v>188.928</v>
      </c>
      <c r="U177">
        <v>37367.637000000002</v>
      </c>
      <c r="V177">
        <v>5.0999999999999997E-2</v>
      </c>
      <c r="W177" t="s">
        <v>403</v>
      </c>
      <c r="X177">
        <v>40.700000000000003</v>
      </c>
    </row>
    <row r="178" spans="1:24" x14ac:dyDescent="0.45">
      <c r="A178">
        <v>25</v>
      </c>
      <c r="B178">
        <v>25</v>
      </c>
      <c r="C178" t="s">
        <v>606</v>
      </c>
      <c r="D178" t="s">
        <v>414</v>
      </c>
      <c r="F178">
        <v>3.16</v>
      </c>
      <c r="G178">
        <v>339.98200000000003</v>
      </c>
      <c r="H178">
        <v>77829.054999999993</v>
      </c>
      <c r="I178">
        <v>4.3999999999999997E-2</v>
      </c>
      <c r="J178" t="s">
        <v>478</v>
      </c>
      <c r="N178">
        <v>29</v>
      </c>
      <c r="O178">
        <v>29</v>
      </c>
      <c r="P178" t="s">
        <v>683</v>
      </c>
      <c r="Q178" t="s">
        <v>414</v>
      </c>
      <c r="S178">
        <v>3.23</v>
      </c>
      <c r="T178">
        <v>271.38600000000002</v>
      </c>
      <c r="U178">
        <v>42469.425999999999</v>
      </c>
      <c r="V178">
        <v>6.4000000000000001E-2</v>
      </c>
      <c r="W178" t="s">
        <v>403</v>
      </c>
      <c r="X178">
        <v>52.4</v>
      </c>
    </row>
    <row r="179" spans="1:24" x14ac:dyDescent="0.45">
      <c r="A179">
        <v>26</v>
      </c>
      <c r="B179">
        <v>26</v>
      </c>
      <c r="C179" t="s">
        <v>607</v>
      </c>
      <c r="D179" t="s">
        <v>414</v>
      </c>
      <c r="F179">
        <v>3.26</v>
      </c>
      <c r="G179">
        <v>267.89400000000001</v>
      </c>
      <c r="H179">
        <v>63774.438000000002</v>
      </c>
      <c r="I179">
        <v>4.2000000000000003E-2</v>
      </c>
      <c r="J179" t="s">
        <v>478</v>
      </c>
      <c r="N179">
        <v>30</v>
      </c>
      <c r="O179">
        <v>30</v>
      </c>
      <c r="P179" t="s">
        <v>684</v>
      </c>
      <c r="Q179" t="s">
        <v>414</v>
      </c>
      <c r="S179">
        <v>3.18</v>
      </c>
      <c r="T179">
        <v>195.82599999999999</v>
      </c>
      <c r="U179">
        <v>30130.928</v>
      </c>
      <c r="V179">
        <v>6.5000000000000002E-2</v>
      </c>
      <c r="W179" t="s">
        <v>403</v>
      </c>
      <c r="X179">
        <v>53.3</v>
      </c>
    </row>
    <row r="180" spans="1:24" x14ac:dyDescent="0.45">
      <c r="A180">
        <v>27</v>
      </c>
      <c r="B180">
        <v>27</v>
      </c>
      <c r="C180" t="s">
        <v>608</v>
      </c>
      <c r="D180" t="s">
        <v>414</v>
      </c>
      <c r="F180">
        <v>3.14</v>
      </c>
      <c r="G180">
        <v>214.899</v>
      </c>
      <c r="H180">
        <v>131047.18799999999</v>
      </c>
      <c r="I180">
        <v>1.6E-2</v>
      </c>
      <c r="J180" t="s">
        <v>401</v>
      </c>
      <c r="K180">
        <v>2.7</v>
      </c>
      <c r="N180">
        <v>31</v>
      </c>
      <c r="O180">
        <v>31</v>
      </c>
      <c r="P180" t="s">
        <v>685</v>
      </c>
      <c r="Q180" t="s">
        <v>414</v>
      </c>
      <c r="S180">
        <v>2.83</v>
      </c>
      <c r="T180">
        <v>157.32599999999999</v>
      </c>
      <c r="U180">
        <v>58656.898000000001</v>
      </c>
      <c r="V180">
        <v>2.7E-2</v>
      </c>
      <c r="W180" t="s">
        <v>415</v>
      </c>
      <c r="X180">
        <v>19.899999999999999</v>
      </c>
    </row>
    <row r="181" spans="1:24" x14ac:dyDescent="0.45">
      <c r="A181">
        <v>28</v>
      </c>
      <c r="B181">
        <v>28</v>
      </c>
      <c r="C181" t="s">
        <v>609</v>
      </c>
      <c r="D181" t="s">
        <v>414</v>
      </c>
      <c r="F181">
        <v>3.16</v>
      </c>
      <c r="G181">
        <v>363.87799999999999</v>
      </c>
      <c r="H181">
        <v>76078.218999999997</v>
      </c>
      <c r="I181">
        <v>4.8000000000000001E-2</v>
      </c>
      <c r="J181" t="s">
        <v>478</v>
      </c>
      <c r="N181">
        <v>32</v>
      </c>
      <c r="O181">
        <v>32</v>
      </c>
      <c r="P181" t="s">
        <v>686</v>
      </c>
      <c r="Q181" t="s">
        <v>414</v>
      </c>
      <c r="S181">
        <v>2.34</v>
      </c>
      <c r="T181">
        <v>163.61600000000001</v>
      </c>
      <c r="U181">
        <v>78178.601999999999</v>
      </c>
      <c r="V181">
        <v>2.1000000000000001E-2</v>
      </c>
      <c r="W181" t="s">
        <v>403</v>
      </c>
      <c r="X181">
        <v>14.7</v>
      </c>
    </row>
    <row r="182" spans="1:24" x14ac:dyDescent="0.45">
      <c r="A182">
        <v>29</v>
      </c>
      <c r="B182">
        <v>29</v>
      </c>
      <c r="C182" t="s">
        <v>610</v>
      </c>
      <c r="D182" t="s">
        <v>414</v>
      </c>
      <c r="F182">
        <v>3.18</v>
      </c>
      <c r="G182">
        <v>313.69099999999997</v>
      </c>
      <c r="H182">
        <v>50431.792999999998</v>
      </c>
      <c r="I182">
        <v>6.2E-2</v>
      </c>
      <c r="J182" t="s">
        <v>478</v>
      </c>
      <c r="N182">
        <v>33</v>
      </c>
      <c r="O182">
        <v>33</v>
      </c>
      <c r="P182" t="s">
        <v>687</v>
      </c>
      <c r="Q182" t="s">
        <v>414</v>
      </c>
      <c r="S182">
        <v>3.16</v>
      </c>
      <c r="T182">
        <v>239.809</v>
      </c>
      <c r="U182">
        <v>67120.570000000007</v>
      </c>
      <c r="V182">
        <v>3.5999999999999997E-2</v>
      </c>
      <c r="W182" t="s">
        <v>403</v>
      </c>
      <c r="X182">
        <v>27.7</v>
      </c>
    </row>
    <row r="183" spans="1:24" x14ac:dyDescent="0.45">
      <c r="A183">
        <v>30</v>
      </c>
      <c r="B183">
        <v>30</v>
      </c>
      <c r="C183" t="s">
        <v>611</v>
      </c>
      <c r="D183" t="s">
        <v>414</v>
      </c>
      <c r="F183">
        <v>3.21</v>
      </c>
      <c r="G183">
        <v>151.988</v>
      </c>
      <c r="H183">
        <v>52037.156000000003</v>
      </c>
      <c r="I183">
        <v>2.9000000000000001E-2</v>
      </c>
      <c r="J183" t="s">
        <v>478</v>
      </c>
      <c r="N183">
        <v>34</v>
      </c>
      <c r="O183">
        <v>34</v>
      </c>
      <c r="P183" t="s">
        <v>688</v>
      </c>
      <c r="Q183" t="s">
        <v>414</v>
      </c>
      <c r="S183">
        <v>3.19</v>
      </c>
      <c r="T183">
        <v>408.66</v>
      </c>
      <c r="U183">
        <v>51171.57</v>
      </c>
      <c r="V183">
        <v>0.08</v>
      </c>
      <c r="W183" t="s">
        <v>403</v>
      </c>
      <c r="X183">
        <v>66.400000000000006</v>
      </c>
    </row>
    <row r="184" spans="1:24" x14ac:dyDescent="0.45">
      <c r="A184">
        <v>31</v>
      </c>
      <c r="B184">
        <v>31</v>
      </c>
      <c r="C184" t="s">
        <v>612</v>
      </c>
      <c r="D184" t="s">
        <v>414</v>
      </c>
      <c r="F184">
        <v>2.83</v>
      </c>
      <c r="G184">
        <v>117.279</v>
      </c>
      <c r="H184">
        <v>52544.184000000001</v>
      </c>
      <c r="I184">
        <v>2.1999999999999999E-2</v>
      </c>
      <c r="J184" t="s">
        <v>403</v>
      </c>
      <c r="K184">
        <v>0.7</v>
      </c>
      <c r="N184">
        <v>35</v>
      </c>
      <c r="O184">
        <v>35</v>
      </c>
      <c r="P184" t="s">
        <v>689</v>
      </c>
      <c r="Q184" t="s">
        <v>414</v>
      </c>
      <c r="S184">
        <v>3.17</v>
      </c>
      <c r="T184">
        <v>444.96</v>
      </c>
      <c r="U184">
        <v>52206.597999999998</v>
      </c>
      <c r="V184">
        <v>8.5000000000000006E-2</v>
      </c>
      <c r="W184" t="s">
        <v>403</v>
      </c>
      <c r="X184">
        <v>71.099999999999994</v>
      </c>
    </row>
    <row r="185" spans="1:24" x14ac:dyDescent="0.45">
      <c r="A185">
        <v>32</v>
      </c>
      <c r="B185">
        <v>32</v>
      </c>
      <c r="C185" t="s">
        <v>613</v>
      </c>
      <c r="D185" t="s">
        <v>414</v>
      </c>
      <c r="F185">
        <v>3.17</v>
      </c>
      <c r="G185">
        <v>338.38600000000002</v>
      </c>
      <c r="H185">
        <v>48754.777000000002</v>
      </c>
      <c r="I185">
        <v>6.9000000000000006E-2</v>
      </c>
      <c r="J185" t="s">
        <v>478</v>
      </c>
      <c r="N185">
        <v>36</v>
      </c>
      <c r="O185">
        <v>36</v>
      </c>
      <c r="P185" t="s">
        <v>690</v>
      </c>
      <c r="Q185" t="s">
        <v>414</v>
      </c>
      <c r="S185">
        <v>3.26</v>
      </c>
      <c r="T185">
        <v>110.44799999999999</v>
      </c>
      <c r="U185">
        <v>40864.042999999998</v>
      </c>
      <c r="V185">
        <v>2.7E-2</v>
      </c>
      <c r="W185" t="s">
        <v>403</v>
      </c>
      <c r="X185">
        <v>20.100000000000001</v>
      </c>
    </row>
    <row r="186" spans="1:24" x14ac:dyDescent="0.45">
      <c r="A186">
        <v>33</v>
      </c>
      <c r="B186">
        <v>33</v>
      </c>
      <c r="C186" t="s">
        <v>614</v>
      </c>
      <c r="D186" t="s">
        <v>414</v>
      </c>
      <c r="F186">
        <v>3.18</v>
      </c>
      <c r="G186">
        <v>195.35</v>
      </c>
      <c r="H186">
        <v>47807.108999999997</v>
      </c>
      <c r="I186">
        <v>4.1000000000000002E-2</v>
      </c>
      <c r="J186" t="s">
        <v>477</v>
      </c>
      <c r="N186">
        <v>37</v>
      </c>
      <c r="O186">
        <v>37</v>
      </c>
      <c r="P186" t="s">
        <v>691</v>
      </c>
      <c r="Q186" t="s">
        <v>414</v>
      </c>
      <c r="S186">
        <v>3.27</v>
      </c>
      <c r="T186">
        <v>126.28400000000001</v>
      </c>
      <c r="U186">
        <v>32623.313999999998</v>
      </c>
      <c r="V186">
        <v>3.9E-2</v>
      </c>
      <c r="W186" t="s">
        <v>415</v>
      </c>
      <c r="X186">
        <v>30.3</v>
      </c>
    </row>
    <row r="187" spans="1:24" x14ac:dyDescent="0.45">
      <c r="A187">
        <v>34</v>
      </c>
      <c r="B187">
        <v>34</v>
      </c>
      <c r="C187" t="s">
        <v>615</v>
      </c>
      <c r="D187" t="s">
        <v>414</v>
      </c>
      <c r="F187">
        <v>2.36</v>
      </c>
      <c r="G187">
        <v>230.71</v>
      </c>
      <c r="H187">
        <v>47397.387000000002</v>
      </c>
      <c r="I187">
        <v>4.9000000000000002E-2</v>
      </c>
      <c r="J187" t="s">
        <v>476</v>
      </c>
      <c r="N187">
        <v>38</v>
      </c>
      <c r="O187">
        <v>38</v>
      </c>
      <c r="P187" t="s">
        <v>692</v>
      </c>
      <c r="Q187" t="s">
        <v>414</v>
      </c>
      <c r="S187">
        <v>3</v>
      </c>
      <c r="T187">
        <v>157.571</v>
      </c>
      <c r="U187">
        <v>51757.73</v>
      </c>
      <c r="V187">
        <v>0.03</v>
      </c>
      <c r="W187" t="s">
        <v>403</v>
      </c>
      <c r="X187">
        <v>23.1</v>
      </c>
    </row>
    <row r="188" spans="1:24" x14ac:dyDescent="0.45">
      <c r="A188">
        <v>35</v>
      </c>
      <c r="B188">
        <v>35</v>
      </c>
      <c r="C188" t="s">
        <v>616</v>
      </c>
      <c r="D188" t="s">
        <v>414</v>
      </c>
      <c r="F188">
        <v>3.18</v>
      </c>
      <c r="G188">
        <v>271.77699999999999</v>
      </c>
      <c r="H188">
        <v>37888.813000000002</v>
      </c>
      <c r="I188">
        <v>7.1999999999999995E-2</v>
      </c>
      <c r="J188" t="s">
        <v>476</v>
      </c>
      <c r="N188">
        <v>39</v>
      </c>
      <c r="O188">
        <v>39</v>
      </c>
      <c r="P188" t="s">
        <v>693</v>
      </c>
      <c r="Q188" t="s">
        <v>414</v>
      </c>
      <c r="S188">
        <v>3.17</v>
      </c>
      <c r="T188">
        <v>265.88900000000001</v>
      </c>
      <c r="U188">
        <v>54442.074000000001</v>
      </c>
      <c r="V188">
        <v>4.9000000000000002E-2</v>
      </c>
      <c r="W188" t="s">
        <v>403</v>
      </c>
      <c r="X188">
        <v>39.200000000000003</v>
      </c>
    </row>
    <row r="189" spans="1:24" x14ac:dyDescent="0.45">
      <c r="A189">
        <v>36</v>
      </c>
      <c r="B189">
        <v>36</v>
      </c>
      <c r="C189" t="s">
        <v>617</v>
      </c>
      <c r="D189" t="s">
        <v>414</v>
      </c>
      <c r="F189">
        <v>3.18</v>
      </c>
      <c r="G189">
        <v>126.80500000000001</v>
      </c>
      <c r="H189">
        <v>46233.296999999999</v>
      </c>
      <c r="I189">
        <v>2.7E-2</v>
      </c>
      <c r="J189" t="s">
        <v>478</v>
      </c>
      <c r="N189">
        <v>40</v>
      </c>
      <c r="O189">
        <v>40</v>
      </c>
      <c r="P189" t="s">
        <v>694</v>
      </c>
      <c r="Q189" t="s">
        <v>414</v>
      </c>
      <c r="S189">
        <v>3.17</v>
      </c>
      <c r="T189">
        <v>454.21100000000001</v>
      </c>
      <c r="U189">
        <v>128477.414</v>
      </c>
      <c r="V189">
        <v>3.5000000000000003E-2</v>
      </c>
      <c r="W189" t="s">
        <v>403</v>
      </c>
      <c r="X189">
        <v>27.4</v>
      </c>
    </row>
    <row r="190" spans="1:24" x14ac:dyDescent="0.45">
      <c r="A190">
        <v>37</v>
      </c>
      <c r="B190">
        <v>37</v>
      </c>
      <c r="C190" t="s">
        <v>618</v>
      </c>
      <c r="D190" t="s">
        <v>414</v>
      </c>
      <c r="F190">
        <v>2.37</v>
      </c>
      <c r="G190">
        <v>364.94799999999998</v>
      </c>
      <c r="H190">
        <v>132257.07800000001</v>
      </c>
      <c r="I190">
        <v>2.8000000000000001E-2</v>
      </c>
      <c r="J190" t="s">
        <v>477</v>
      </c>
      <c r="N190">
        <v>41</v>
      </c>
      <c r="O190">
        <v>41</v>
      </c>
      <c r="P190" t="s">
        <v>695</v>
      </c>
      <c r="Q190" t="s">
        <v>414</v>
      </c>
      <c r="S190">
        <v>3.27</v>
      </c>
      <c r="T190">
        <v>196.71199999999999</v>
      </c>
      <c r="U190">
        <v>127399.57</v>
      </c>
      <c r="V190">
        <v>1.4999999999999999E-2</v>
      </c>
      <c r="W190" t="s">
        <v>403</v>
      </c>
      <c r="X190">
        <v>9.9</v>
      </c>
    </row>
    <row r="191" spans="1:24" x14ac:dyDescent="0.45">
      <c r="A191">
        <v>38</v>
      </c>
      <c r="B191">
        <v>38</v>
      </c>
      <c r="C191" t="s">
        <v>619</v>
      </c>
      <c r="D191" t="s">
        <v>414</v>
      </c>
      <c r="F191">
        <v>2.36</v>
      </c>
      <c r="G191">
        <v>609.24</v>
      </c>
      <c r="H191">
        <v>35576.281000000003</v>
      </c>
      <c r="I191">
        <v>0.17100000000000001</v>
      </c>
      <c r="J191" t="s">
        <v>479</v>
      </c>
      <c r="N191">
        <v>42</v>
      </c>
      <c r="O191">
        <v>42</v>
      </c>
      <c r="P191" t="s">
        <v>696</v>
      </c>
      <c r="Q191" t="s">
        <v>414</v>
      </c>
      <c r="S191">
        <v>3.16</v>
      </c>
      <c r="T191">
        <v>221.35599999999999</v>
      </c>
      <c r="U191">
        <v>120620.469</v>
      </c>
      <c r="V191">
        <v>1.7999999999999999E-2</v>
      </c>
      <c r="W191" t="s">
        <v>401</v>
      </c>
      <c r="X191">
        <v>12.5</v>
      </c>
    </row>
    <row r="192" spans="1:24" x14ac:dyDescent="0.45">
      <c r="A192">
        <v>39</v>
      </c>
      <c r="B192">
        <v>39</v>
      </c>
      <c r="C192" t="s">
        <v>620</v>
      </c>
      <c r="D192" t="s">
        <v>414</v>
      </c>
      <c r="F192">
        <v>2.36</v>
      </c>
      <c r="G192">
        <v>947.48500000000001</v>
      </c>
      <c r="H192">
        <v>34606.141000000003</v>
      </c>
      <c r="I192">
        <v>0.27400000000000002</v>
      </c>
      <c r="J192" t="s">
        <v>476</v>
      </c>
      <c r="N192">
        <v>43</v>
      </c>
      <c r="O192">
        <v>43</v>
      </c>
      <c r="P192" t="s">
        <v>697</v>
      </c>
      <c r="Q192" t="s">
        <v>414</v>
      </c>
      <c r="S192">
        <v>3.17</v>
      </c>
      <c r="T192">
        <v>348.44900000000001</v>
      </c>
      <c r="U192">
        <v>137215.68799999999</v>
      </c>
      <c r="V192">
        <v>2.5000000000000001E-2</v>
      </c>
      <c r="W192" t="s">
        <v>403</v>
      </c>
      <c r="X192">
        <v>18.7</v>
      </c>
    </row>
    <row r="193" spans="1:24" x14ac:dyDescent="0.45">
      <c r="A193">
        <v>40</v>
      </c>
      <c r="B193">
        <v>40</v>
      </c>
      <c r="C193" t="s">
        <v>621</v>
      </c>
      <c r="D193" t="s">
        <v>414</v>
      </c>
      <c r="F193">
        <v>3.17</v>
      </c>
      <c r="G193">
        <v>283.29399999999998</v>
      </c>
      <c r="H193">
        <v>73800.733999999997</v>
      </c>
      <c r="I193">
        <v>3.7999999999999999E-2</v>
      </c>
      <c r="J193" t="s">
        <v>478</v>
      </c>
      <c r="N193">
        <v>44</v>
      </c>
      <c r="O193">
        <v>44</v>
      </c>
      <c r="P193" t="s">
        <v>698</v>
      </c>
      <c r="Q193" t="s">
        <v>414</v>
      </c>
      <c r="S193">
        <v>3.19</v>
      </c>
      <c r="T193">
        <v>356.64</v>
      </c>
      <c r="U193">
        <v>117471.18</v>
      </c>
      <c r="V193">
        <v>0.03</v>
      </c>
      <c r="W193" t="s">
        <v>403</v>
      </c>
      <c r="X193">
        <v>23</v>
      </c>
    </row>
    <row r="194" spans="1:24" x14ac:dyDescent="0.45">
      <c r="A194">
        <v>41</v>
      </c>
      <c r="B194">
        <v>41</v>
      </c>
      <c r="C194" t="s">
        <v>622</v>
      </c>
      <c r="D194" t="s">
        <v>414</v>
      </c>
      <c r="F194">
        <v>3.2</v>
      </c>
      <c r="G194">
        <v>226.19900000000001</v>
      </c>
      <c r="H194">
        <v>68812.991999999998</v>
      </c>
      <c r="I194">
        <v>3.3000000000000002E-2</v>
      </c>
      <c r="J194" t="s">
        <v>478</v>
      </c>
      <c r="N194">
        <v>45</v>
      </c>
      <c r="O194">
        <v>45</v>
      </c>
      <c r="P194" t="s">
        <v>699</v>
      </c>
      <c r="Q194" t="s">
        <v>414</v>
      </c>
      <c r="S194">
        <v>2.38</v>
      </c>
      <c r="T194">
        <v>202.07300000000001</v>
      </c>
      <c r="U194">
        <v>63819.004000000001</v>
      </c>
      <c r="V194">
        <v>3.2000000000000001E-2</v>
      </c>
      <c r="W194" t="s">
        <v>403</v>
      </c>
      <c r="X194">
        <v>24.1</v>
      </c>
    </row>
    <row r="195" spans="1:24" x14ac:dyDescent="0.45">
      <c r="A195">
        <v>42</v>
      </c>
      <c r="B195">
        <v>42</v>
      </c>
      <c r="C195" t="s">
        <v>623</v>
      </c>
      <c r="D195" t="s">
        <v>414</v>
      </c>
      <c r="F195">
        <v>3.17</v>
      </c>
      <c r="G195">
        <v>150.85900000000001</v>
      </c>
      <c r="H195">
        <v>142742.34400000001</v>
      </c>
      <c r="I195">
        <v>1.0999999999999999E-2</v>
      </c>
      <c r="J195" t="s">
        <v>403</v>
      </c>
      <c r="K195">
        <v>4.7</v>
      </c>
      <c r="N195">
        <v>46</v>
      </c>
      <c r="O195">
        <v>46</v>
      </c>
      <c r="P195" t="s">
        <v>700</v>
      </c>
      <c r="Q195" t="s">
        <v>414</v>
      </c>
      <c r="S195">
        <v>3.16</v>
      </c>
      <c r="T195">
        <v>257.44900000000001</v>
      </c>
      <c r="U195">
        <v>123878.289</v>
      </c>
      <c r="V195">
        <v>2.1000000000000001E-2</v>
      </c>
      <c r="W195" t="s">
        <v>401</v>
      </c>
      <c r="X195">
        <v>14.6</v>
      </c>
    </row>
    <row r="196" spans="1:24" x14ac:dyDescent="0.45">
      <c r="A196">
        <v>43</v>
      </c>
      <c r="B196">
        <v>43</v>
      </c>
      <c r="C196" t="s">
        <v>624</v>
      </c>
      <c r="D196" t="s">
        <v>414</v>
      </c>
      <c r="F196">
        <v>3.16</v>
      </c>
      <c r="G196">
        <v>357.702</v>
      </c>
      <c r="H196">
        <v>141139.20300000001</v>
      </c>
      <c r="I196">
        <v>2.5000000000000001E-2</v>
      </c>
      <c r="J196" t="s">
        <v>478</v>
      </c>
      <c r="N196">
        <v>47</v>
      </c>
      <c r="O196">
        <v>47</v>
      </c>
      <c r="P196" t="s">
        <v>701</v>
      </c>
      <c r="Q196" t="s">
        <v>414</v>
      </c>
      <c r="S196">
        <v>3.18</v>
      </c>
      <c r="T196">
        <v>395.97</v>
      </c>
      <c r="U196">
        <v>128919.102</v>
      </c>
      <c r="V196">
        <v>3.1E-2</v>
      </c>
      <c r="W196" t="s">
        <v>401</v>
      </c>
      <c r="X196">
        <v>23.3</v>
      </c>
    </row>
    <row r="197" spans="1:24" x14ac:dyDescent="0.45">
      <c r="A197">
        <v>44</v>
      </c>
      <c r="B197">
        <v>44</v>
      </c>
      <c r="C197" t="s">
        <v>625</v>
      </c>
      <c r="D197" t="s">
        <v>414</v>
      </c>
      <c r="F197">
        <v>2.37</v>
      </c>
      <c r="G197">
        <v>301.00299999999999</v>
      </c>
      <c r="H197">
        <v>109559.80499999999</v>
      </c>
      <c r="I197">
        <v>2.7E-2</v>
      </c>
      <c r="J197" t="s">
        <v>477</v>
      </c>
      <c r="N197">
        <v>48</v>
      </c>
      <c r="O197">
        <v>48</v>
      </c>
      <c r="P197" t="s">
        <v>702</v>
      </c>
      <c r="Q197" t="s">
        <v>414</v>
      </c>
      <c r="S197">
        <v>3.18</v>
      </c>
      <c r="T197">
        <v>260.00099999999998</v>
      </c>
      <c r="U197">
        <v>139734.016</v>
      </c>
      <c r="V197">
        <v>1.9E-2</v>
      </c>
      <c r="W197" t="s">
        <v>401</v>
      </c>
      <c r="X197">
        <v>12.7</v>
      </c>
    </row>
    <row r="198" spans="1:24" x14ac:dyDescent="0.45">
      <c r="A198">
        <v>45</v>
      </c>
      <c r="B198">
        <v>45</v>
      </c>
      <c r="C198" t="s">
        <v>626</v>
      </c>
      <c r="D198" t="s">
        <v>414</v>
      </c>
      <c r="F198">
        <v>3.14</v>
      </c>
      <c r="G198">
        <v>280.08300000000003</v>
      </c>
      <c r="H198">
        <v>100699.852</v>
      </c>
      <c r="I198">
        <v>2.8000000000000001E-2</v>
      </c>
      <c r="J198" t="s">
        <v>478</v>
      </c>
      <c r="N198">
        <v>49</v>
      </c>
      <c r="O198">
        <v>49</v>
      </c>
      <c r="P198" t="s">
        <v>703</v>
      </c>
      <c r="Q198" t="s">
        <v>414</v>
      </c>
      <c r="S198">
        <v>3.18</v>
      </c>
      <c r="T198">
        <v>518.33900000000006</v>
      </c>
      <c r="U198">
        <v>134715.21900000001</v>
      </c>
      <c r="V198">
        <v>3.7999999999999999E-2</v>
      </c>
      <c r="W198" t="s">
        <v>403</v>
      </c>
      <c r="X198">
        <v>30.1</v>
      </c>
    </row>
    <row r="199" spans="1:24" x14ac:dyDescent="0.45">
      <c r="A199">
        <v>46</v>
      </c>
      <c r="B199">
        <v>46</v>
      </c>
      <c r="C199" t="s">
        <v>627</v>
      </c>
      <c r="D199" t="s">
        <v>414</v>
      </c>
      <c r="F199">
        <v>2.36</v>
      </c>
      <c r="G199">
        <v>370.92700000000002</v>
      </c>
      <c r="H199">
        <v>104970.602</v>
      </c>
      <c r="I199">
        <v>3.5000000000000003E-2</v>
      </c>
      <c r="J199" t="s">
        <v>479</v>
      </c>
      <c r="N199">
        <v>50</v>
      </c>
      <c r="O199">
        <v>50</v>
      </c>
      <c r="P199" t="s">
        <v>704</v>
      </c>
      <c r="Q199" t="s">
        <v>414</v>
      </c>
      <c r="S199">
        <v>2.38</v>
      </c>
      <c r="T199">
        <v>99.75</v>
      </c>
      <c r="U199">
        <v>126867.82799999999</v>
      </c>
      <c r="V199">
        <v>8.0000000000000002E-3</v>
      </c>
      <c r="W199" t="s">
        <v>415</v>
      </c>
      <c r="X199">
        <v>3.3</v>
      </c>
    </row>
    <row r="200" spans="1:24" x14ac:dyDescent="0.45">
      <c r="A200">
        <v>47</v>
      </c>
      <c r="B200">
        <v>47</v>
      </c>
      <c r="C200" t="s">
        <v>628</v>
      </c>
      <c r="D200" t="s">
        <v>414</v>
      </c>
      <c r="F200">
        <v>2.36</v>
      </c>
      <c r="G200">
        <v>468.96899999999999</v>
      </c>
      <c r="H200">
        <v>109074.336</v>
      </c>
      <c r="I200">
        <v>4.2999999999999997E-2</v>
      </c>
      <c r="J200" t="s">
        <v>478</v>
      </c>
      <c r="N200">
        <v>51</v>
      </c>
      <c r="O200">
        <v>51</v>
      </c>
      <c r="P200" t="s">
        <v>705</v>
      </c>
      <c r="Q200" t="s">
        <v>414</v>
      </c>
      <c r="S200">
        <v>3.17</v>
      </c>
      <c r="T200">
        <v>304.96499999999997</v>
      </c>
      <c r="U200">
        <v>32657.949000000001</v>
      </c>
      <c r="V200">
        <v>9.2999999999999999E-2</v>
      </c>
      <c r="W200" t="s">
        <v>415</v>
      </c>
      <c r="X200">
        <v>78.2</v>
      </c>
    </row>
    <row r="201" spans="1:24" x14ac:dyDescent="0.45">
      <c r="A201">
        <v>48</v>
      </c>
      <c r="B201">
        <v>48</v>
      </c>
      <c r="C201" t="s">
        <v>629</v>
      </c>
      <c r="D201" t="s">
        <v>414</v>
      </c>
      <c r="F201">
        <v>2.86</v>
      </c>
      <c r="G201">
        <v>191.821</v>
      </c>
      <c r="H201">
        <v>85798.312999999995</v>
      </c>
      <c r="I201">
        <v>2.1999999999999999E-2</v>
      </c>
      <c r="J201" t="s">
        <v>403</v>
      </c>
      <c r="K201">
        <v>0.7</v>
      </c>
      <c r="N201">
        <v>52</v>
      </c>
      <c r="O201">
        <v>52</v>
      </c>
      <c r="P201" t="s">
        <v>706</v>
      </c>
      <c r="Q201" t="s">
        <v>414</v>
      </c>
      <c r="S201">
        <v>3.18</v>
      </c>
      <c r="T201">
        <v>414.52199999999999</v>
      </c>
      <c r="U201">
        <v>113259.398</v>
      </c>
      <c r="V201">
        <v>3.6999999999999998E-2</v>
      </c>
      <c r="W201" t="s">
        <v>403</v>
      </c>
      <c r="X201">
        <v>28.5</v>
      </c>
    </row>
    <row r="202" spans="1:24" x14ac:dyDescent="0.45">
      <c r="A202">
        <v>49</v>
      </c>
      <c r="B202">
        <v>49</v>
      </c>
      <c r="C202" t="s">
        <v>630</v>
      </c>
      <c r="D202" t="s">
        <v>414</v>
      </c>
      <c r="F202">
        <v>3.17</v>
      </c>
      <c r="G202">
        <v>278.54199999999997</v>
      </c>
      <c r="H202">
        <v>116367.523</v>
      </c>
      <c r="I202">
        <v>2.4E-2</v>
      </c>
      <c r="J202" t="s">
        <v>403</v>
      </c>
      <c r="K202">
        <v>0.1</v>
      </c>
      <c r="N202">
        <v>53</v>
      </c>
      <c r="O202">
        <v>53</v>
      </c>
      <c r="P202" t="s">
        <v>707</v>
      </c>
      <c r="Q202" t="s">
        <v>414</v>
      </c>
      <c r="S202">
        <v>3.18</v>
      </c>
      <c r="T202">
        <v>330.99599999999998</v>
      </c>
      <c r="U202">
        <v>124243.109</v>
      </c>
      <c r="V202">
        <v>2.7E-2</v>
      </c>
      <c r="W202" t="s">
        <v>403</v>
      </c>
      <c r="X202">
        <v>19.7</v>
      </c>
    </row>
    <row r="203" spans="1:24" x14ac:dyDescent="0.45">
      <c r="A203">
        <v>50</v>
      </c>
      <c r="B203">
        <v>50</v>
      </c>
      <c r="C203" t="s">
        <v>631</v>
      </c>
      <c r="D203" t="s">
        <v>414</v>
      </c>
      <c r="F203">
        <v>2.36</v>
      </c>
      <c r="G203">
        <v>239.97200000000001</v>
      </c>
      <c r="H203">
        <v>87716.672000000006</v>
      </c>
      <c r="I203">
        <v>2.7E-2</v>
      </c>
      <c r="J203" t="s">
        <v>476</v>
      </c>
      <c r="N203">
        <v>54</v>
      </c>
      <c r="O203">
        <v>54</v>
      </c>
      <c r="P203" t="s">
        <v>708</v>
      </c>
      <c r="Q203" t="s">
        <v>414</v>
      </c>
      <c r="S203">
        <v>3.18</v>
      </c>
      <c r="T203">
        <v>269.68700000000001</v>
      </c>
      <c r="U203">
        <v>114665.094</v>
      </c>
      <c r="V203">
        <v>2.4E-2</v>
      </c>
      <c r="W203" t="s">
        <v>401</v>
      </c>
      <c r="X203">
        <v>17</v>
      </c>
    </row>
    <row r="204" spans="1:24" x14ac:dyDescent="0.45">
      <c r="A204">
        <v>51</v>
      </c>
      <c r="B204">
        <v>51</v>
      </c>
      <c r="C204" t="s">
        <v>632</v>
      </c>
      <c r="D204" t="s">
        <v>414</v>
      </c>
      <c r="F204">
        <v>2.38</v>
      </c>
      <c r="G204">
        <v>226.61500000000001</v>
      </c>
      <c r="H204">
        <v>80047.312999999995</v>
      </c>
      <c r="I204">
        <v>2.8000000000000001E-2</v>
      </c>
      <c r="J204" t="s">
        <v>477</v>
      </c>
      <c r="N204">
        <v>55</v>
      </c>
      <c r="O204">
        <v>55</v>
      </c>
      <c r="P204" t="s">
        <v>709</v>
      </c>
      <c r="Q204" t="s">
        <v>414</v>
      </c>
      <c r="S204">
        <v>3.17</v>
      </c>
      <c r="T204">
        <v>167.691</v>
      </c>
      <c r="U204">
        <v>121366.523</v>
      </c>
      <c r="V204">
        <v>1.4E-2</v>
      </c>
      <c r="W204" t="s">
        <v>401</v>
      </c>
      <c r="X204">
        <v>8.5</v>
      </c>
    </row>
    <row r="205" spans="1:24" x14ac:dyDescent="0.45">
      <c r="A205">
        <v>52</v>
      </c>
      <c r="B205">
        <v>52</v>
      </c>
      <c r="C205" t="s">
        <v>633</v>
      </c>
      <c r="D205" t="s">
        <v>414</v>
      </c>
      <c r="F205">
        <v>3.32</v>
      </c>
      <c r="G205">
        <v>213.51599999999999</v>
      </c>
      <c r="H205">
        <v>95509.702999999994</v>
      </c>
      <c r="I205">
        <v>2.1999999999999999E-2</v>
      </c>
      <c r="J205" t="s">
        <v>403</v>
      </c>
      <c r="K205">
        <v>0.7</v>
      </c>
      <c r="N205">
        <v>56</v>
      </c>
      <c r="O205">
        <v>56</v>
      </c>
      <c r="P205" t="s">
        <v>710</v>
      </c>
      <c r="Q205" t="s">
        <v>414</v>
      </c>
      <c r="S205">
        <v>3.16</v>
      </c>
      <c r="T205">
        <v>231.60599999999999</v>
      </c>
      <c r="U205">
        <v>121716.352</v>
      </c>
      <c r="V205">
        <v>1.9E-2</v>
      </c>
      <c r="W205" t="s">
        <v>403</v>
      </c>
      <c r="X205">
        <v>13.1</v>
      </c>
    </row>
    <row r="206" spans="1:24" x14ac:dyDescent="0.45">
      <c r="A206">
        <v>53</v>
      </c>
      <c r="B206">
        <v>53</v>
      </c>
      <c r="C206" t="s">
        <v>634</v>
      </c>
      <c r="D206" t="s">
        <v>414</v>
      </c>
      <c r="F206">
        <v>3.18</v>
      </c>
      <c r="G206">
        <v>176.35499999999999</v>
      </c>
      <c r="H206">
        <v>131696.625</v>
      </c>
      <c r="I206">
        <v>1.2999999999999999E-2</v>
      </c>
      <c r="J206" t="s">
        <v>403</v>
      </c>
      <c r="K206">
        <v>3.8</v>
      </c>
      <c r="N206">
        <v>57</v>
      </c>
      <c r="O206">
        <v>57</v>
      </c>
      <c r="P206" t="s">
        <v>711</v>
      </c>
      <c r="Q206" t="s">
        <v>414</v>
      </c>
      <c r="S206">
        <v>3.18</v>
      </c>
      <c r="T206">
        <v>213.59899999999999</v>
      </c>
      <c r="U206">
        <v>145073.04699999999</v>
      </c>
      <c r="V206">
        <v>1.4999999999999999E-2</v>
      </c>
      <c r="W206" t="s">
        <v>403</v>
      </c>
      <c r="X206">
        <v>9.3000000000000007</v>
      </c>
    </row>
    <row r="207" spans="1:24" x14ac:dyDescent="0.45">
      <c r="A207">
        <v>54</v>
      </c>
      <c r="B207">
        <v>54</v>
      </c>
      <c r="C207" t="s">
        <v>635</v>
      </c>
      <c r="D207" t="s">
        <v>414</v>
      </c>
      <c r="F207">
        <v>3.18</v>
      </c>
      <c r="G207">
        <v>157.37100000000001</v>
      </c>
      <c r="H207">
        <v>51488.027000000002</v>
      </c>
      <c r="I207">
        <v>3.1E-2</v>
      </c>
      <c r="J207" t="s">
        <v>478</v>
      </c>
      <c r="N207">
        <v>58</v>
      </c>
      <c r="O207">
        <v>58</v>
      </c>
      <c r="P207" t="s">
        <v>712</v>
      </c>
      <c r="Q207" t="s">
        <v>414</v>
      </c>
      <c r="S207">
        <v>2.36</v>
      </c>
      <c r="T207">
        <v>507.78399999999999</v>
      </c>
      <c r="U207">
        <v>120038.648</v>
      </c>
      <c r="V207">
        <v>4.2000000000000003E-2</v>
      </c>
      <c r="W207" t="s">
        <v>401</v>
      </c>
      <c r="X207">
        <v>33.5</v>
      </c>
    </row>
    <row r="208" spans="1:24" x14ac:dyDescent="0.45">
      <c r="A208">
        <v>55</v>
      </c>
      <c r="B208">
        <v>55</v>
      </c>
      <c r="C208" t="s">
        <v>636</v>
      </c>
      <c r="D208" t="s">
        <v>414</v>
      </c>
      <c r="F208">
        <v>3.36</v>
      </c>
      <c r="G208">
        <v>217.887</v>
      </c>
      <c r="H208">
        <v>81706.172000000006</v>
      </c>
      <c r="I208">
        <v>2.7E-2</v>
      </c>
      <c r="J208" t="s">
        <v>478</v>
      </c>
      <c r="N208">
        <v>59</v>
      </c>
      <c r="O208">
        <v>59</v>
      </c>
      <c r="P208" t="s">
        <v>713</v>
      </c>
      <c r="Q208" t="s">
        <v>414</v>
      </c>
      <c r="S208">
        <v>3.18</v>
      </c>
      <c r="T208">
        <v>348.589</v>
      </c>
      <c r="U208">
        <v>65922.922000000006</v>
      </c>
      <c r="V208">
        <v>5.2999999999999999E-2</v>
      </c>
      <c r="W208" t="s">
        <v>403</v>
      </c>
      <c r="X208">
        <v>42.7</v>
      </c>
    </row>
    <row r="209" spans="1:25" x14ac:dyDescent="0.45">
      <c r="A209">
        <v>56</v>
      </c>
      <c r="B209">
        <v>56</v>
      </c>
      <c r="C209" t="s">
        <v>637</v>
      </c>
      <c r="D209" t="s">
        <v>414</v>
      </c>
      <c r="F209">
        <v>3.16</v>
      </c>
      <c r="G209">
        <v>264.54000000000002</v>
      </c>
      <c r="H209">
        <v>133634.18799999999</v>
      </c>
      <c r="I209">
        <v>0.02</v>
      </c>
      <c r="J209" t="s">
        <v>401</v>
      </c>
      <c r="K209">
        <v>1.6</v>
      </c>
      <c r="N209">
        <v>60</v>
      </c>
      <c r="O209">
        <v>60</v>
      </c>
      <c r="P209" t="s">
        <v>714</v>
      </c>
      <c r="Q209" t="s">
        <v>414</v>
      </c>
      <c r="S209">
        <v>2.36</v>
      </c>
      <c r="T209">
        <v>935.25599999999997</v>
      </c>
      <c r="U209">
        <v>84066.273000000001</v>
      </c>
      <c r="V209">
        <v>0.111</v>
      </c>
      <c r="W209" t="s">
        <v>403</v>
      </c>
      <c r="X209">
        <v>93.9</v>
      </c>
    </row>
    <row r="210" spans="1:25" x14ac:dyDescent="0.45">
      <c r="A210">
        <v>57</v>
      </c>
      <c r="B210">
        <v>57</v>
      </c>
      <c r="C210" t="s">
        <v>638</v>
      </c>
      <c r="D210" t="s">
        <v>414</v>
      </c>
      <c r="F210">
        <v>3.3</v>
      </c>
      <c r="G210">
        <v>198.35</v>
      </c>
      <c r="H210">
        <v>66668.858999999997</v>
      </c>
      <c r="I210">
        <v>0.03</v>
      </c>
      <c r="J210" t="s">
        <v>478</v>
      </c>
      <c r="N210">
        <v>61</v>
      </c>
      <c r="O210">
        <v>61</v>
      </c>
      <c r="P210" t="s">
        <v>715</v>
      </c>
      <c r="Q210" t="s">
        <v>414</v>
      </c>
      <c r="S210">
        <v>2.36</v>
      </c>
      <c r="T210">
        <v>3223.3530000000001</v>
      </c>
      <c r="U210">
        <v>117342.242</v>
      </c>
      <c r="V210">
        <v>0.27500000000000002</v>
      </c>
      <c r="W210" t="s">
        <v>415</v>
      </c>
      <c r="X210">
        <v>237.1</v>
      </c>
    </row>
    <row r="211" spans="1:25" x14ac:dyDescent="0.45">
      <c r="A211">
        <v>58</v>
      </c>
      <c r="B211">
        <v>58</v>
      </c>
      <c r="C211" t="s">
        <v>639</v>
      </c>
      <c r="D211" t="s">
        <v>414</v>
      </c>
      <c r="F211">
        <v>2.81</v>
      </c>
      <c r="G211">
        <v>133.51</v>
      </c>
      <c r="H211">
        <v>65731.679999999993</v>
      </c>
      <c r="I211">
        <v>0.02</v>
      </c>
      <c r="J211" t="s">
        <v>401</v>
      </c>
      <c r="K211">
        <v>1.4</v>
      </c>
      <c r="N211">
        <v>62</v>
      </c>
      <c r="O211">
        <v>62</v>
      </c>
      <c r="P211" t="s">
        <v>716</v>
      </c>
      <c r="Q211" t="s">
        <v>414</v>
      </c>
      <c r="S211">
        <v>3.18</v>
      </c>
      <c r="T211">
        <v>195.30099999999999</v>
      </c>
      <c r="U211">
        <v>59151.184000000001</v>
      </c>
      <c r="V211">
        <v>3.3000000000000002E-2</v>
      </c>
      <c r="W211" t="s">
        <v>403</v>
      </c>
      <c r="X211">
        <v>25.3</v>
      </c>
    </row>
    <row r="212" spans="1:25" x14ac:dyDescent="0.45">
      <c r="A212">
        <v>59</v>
      </c>
      <c r="B212">
        <v>59</v>
      </c>
      <c r="C212" t="s">
        <v>640</v>
      </c>
      <c r="D212" t="s">
        <v>414</v>
      </c>
      <c r="F212">
        <v>2.38</v>
      </c>
      <c r="G212">
        <v>316.49299999999999</v>
      </c>
      <c r="H212">
        <v>86693.023000000001</v>
      </c>
      <c r="I212">
        <v>3.6999999999999998E-2</v>
      </c>
      <c r="J212" t="s">
        <v>478</v>
      </c>
      <c r="N212">
        <v>63</v>
      </c>
      <c r="O212">
        <v>63</v>
      </c>
      <c r="P212" t="s">
        <v>717</v>
      </c>
      <c r="Q212" t="s">
        <v>414</v>
      </c>
      <c r="S212">
        <v>3.19</v>
      </c>
      <c r="T212">
        <v>494.952</v>
      </c>
      <c r="U212">
        <v>138972.04699999999</v>
      </c>
      <c r="V212">
        <v>3.5999999999999997E-2</v>
      </c>
      <c r="W212" t="s">
        <v>403</v>
      </c>
      <c r="X212">
        <v>27.6</v>
      </c>
    </row>
    <row r="213" spans="1:25" x14ac:dyDescent="0.45">
      <c r="A213">
        <v>60</v>
      </c>
      <c r="B213">
        <v>60</v>
      </c>
      <c r="C213" t="s">
        <v>641</v>
      </c>
      <c r="D213" t="s">
        <v>414</v>
      </c>
      <c r="F213">
        <v>3.21</v>
      </c>
      <c r="G213">
        <v>558.64200000000005</v>
      </c>
      <c r="H213">
        <v>78097.077999999994</v>
      </c>
      <c r="I213">
        <v>7.1999999999999995E-2</v>
      </c>
      <c r="J213" t="s">
        <v>478</v>
      </c>
      <c r="N213">
        <v>64</v>
      </c>
      <c r="O213">
        <v>64</v>
      </c>
      <c r="P213" t="s">
        <v>718</v>
      </c>
      <c r="Q213" t="s">
        <v>414</v>
      </c>
      <c r="S213">
        <v>3.19</v>
      </c>
      <c r="T213">
        <v>390.221</v>
      </c>
      <c r="U213">
        <v>127812.383</v>
      </c>
      <c r="V213">
        <v>3.1E-2</v>
      </c>
      <c r="W213" t="s">
        <v>403</v>
      </c>
      <c r="X213">
        <v>23.2</v>
      </c>
    </row>
    <row r="214" spans="1:25" x14ac:dyDescent="0.45">
      <c r="A214">
        <v>61</v>
      </c>
      <c r="B214">
        <v>61</v>
      </c>
      <c r="C214" t="s">
        <v>642</v>
      </c>
      <c r="D214" t="s">
        <v>414</v>
      </c>
      <c r="F214">
        <v>3.18</v>
      </c>
      <c r="G214">
        <v>290.57</v>
      </c>
      <c r="H214">
        <v>107251.93799999999</v>
      </c>
      <c r="I214">
        <v>2.7E-2</v>
      </c>
      <c r="J214" t="s">
        <v>478</v>
      </c>
      <c r="N214">
        <v>65</v>
      </c>
      <c r="O214">
        <v>65</v>
      </c>
      <c r="P214" t="s">
        <v>719</v>
      </c>
      <c r="Q214" t="s">
        <v>414</v>
      </c>
      <c r="S214">
        <v>2.71</v>
      </c>
      <c r="T214">
        <v>126.973</v>
      </c>
      <c r="U214">
        <v>46748.483999999997</v>
      </c>
      <c r="V214">
        <v>2.7E-2</v>
      </c>
      <c r="W214" t="s">
        <v>412</v>
      </c>
      <c r="X214">
        <v>20.2</v>
      </c>
    </row>
    <row r="215" spans="1:25" x14ac:dyDescent="0.45">
      <c r="A215">
        <v>62</v>
      </c>
      <c r="B215">
        <v>62</v>
      </c>
      <c r="C215" t="s">
        <v>643</v>
      </c>
      <c r="D215" t="s">
        <v>414</v>
      </c>
      <c r="F215">
        <v>3.18</v>
      </c>
      <c r="G215">
        <v>267.08100000000002</v>
      </c>
      <c r="H215">
        <v>123916.984</v>
      </c>
      <c r="I215">
        <v>2.1999999999999999E-2</v>
      </c>
      <c r="J215" t="s">
        <v>403</v>
      </c>
      <c r="K215">
        <v>0.9</v>
      </c>
      <c r="N215">
        <v>66</v>
      </c>
      <c r="O215">
        <v>66</v>
      </c>
      <c r="P215" t="s">
        <v>720</v>
      </c>
      <c r="Q215" t="s">
        <v>414</v>
      </c>
      <c r="S215">
        <v>3.18</v>
      </c>
      <c r="T215">
        <v>282.5</v>
      </c>
      <c r="U215">
        <v>151900.109</v>
      </c>
      <c r="V215">
        <v>1.9E-2</v>
      </c>
      <c r="W215" t="s">
        <v>401</v>
      </c>
      <c r="X215">
        <v>12.7</v>
      </c>
    </row>
    <row r="216" spans="1:25" x14ac:dyDescent="0.45">
      <c r="A216">
        <v>63</v>
      </c>
      <c r="B216">
        <v>63</v>
      </c>
      <c r="C216" t="s">
        <v>644</v>
      </c>
      <c r="D216" t="s">
        <v>414</v>
      </c>
      <c r="F216">
        <v>3.18</v>
      </c>
      <c r="G216">
        <v>302.34899999999999</v>
      </c>
      <c r="H216">
        <v>82257.5</v>
      </c>
      <c r="I216">
        <v>3.6999999999999998E-2</v>
      </c>
      <c r="J216" t="s">
        <v>478</v>
      </c>
      <c r="N216">
        <v>67</v>
      </c>
      <c r="O216">
        <v>67</v>
      </c>
      <c r="P216" t="s">
        <v>721</v>
      </c>
      <c r="Q216" t="s">
        <v>414</v>
      </c>
      <c r="S216">
        <v>3.18</v>
      </c>
      <c r="T216">
        <v>385.26</v>
      </c>
      <c r="U216">
        <v>137364.109</v>
      </c>
      <c r="V216">
        <v>2.8000000000000001E-2</v>
      </c>
      <c r="W216" t="s">
        <v>403</v>
      </c>
      <c r="X216">
        <v>21</v>
      </c>
    </row>
    <row r="217" spans="1:25" x14ac:dyDescent="0.45">
      <c r="A217">
        <v>64</v>
      </c>
      <c r="B217">
        <v>64</v>
      </c>
      <c r="C217" t="s">
        <v>645</v>
      </c>
      <c r="D217" t="s">
        <v>414</v>
      </c>
      <c r="F217">
        <v>2.38</v>
      </c>
      <c r="G217">
        <v>176.83799999999999</v>
      </c>
      <c r="H217">
        <v>65478.347999999998</v>
      </c>
      <c r="I217">
        <v>2.7E-2</v>
      </c>
      <c r="J217" t="s">
        <v>477</v>
      </c>
    </row>
    <row r="218" spans="1:25" x14ac:dyDescent="0.45">
      <c r="A218">
        <v>65</v>
      </c>
      <c r="B218">
        <v>65</v>
      </c>
      <c r="C218" t="s">
        <v>646</v>
      </c>
      <c r="D218" t="s">
        <v>414</v>
      </c>
      <c r="F218">
        <v>3.17</v>
      </c>
      <c r="G218">
        <v>184.81200000000001</v>
      </c>
      <c r="H218">
        <v>75065.875</v>
      </c>
      <c r="I218">
        <v>2.5000000000000001E-2</v>
      </c>
      <c r="J218" t="s">
        <v>478</v>
      </c>
      <c r="N218" t="s">
        <v>481</v>
      </c>
    </row>
    <row r="219" spans="1:25" x14ac:dyDescent="0.45">
      <c r="A219">
        <v>66</v>
      </c>
      <c r="B219">
        <v>66</v>
      </c>
      <c r="C219" t="s">
        <v>647</v>
      </c>
      <c r="D219" t="s">
        <v>414</v>
      </c>
      <c r="F219">
        <v>3</v>
      </c>
      <c r="G219">
        <v>449.59899999999999</v>
      </c>
      <c r="H219">
        <v>97245</v>
      </c>
      <c r="I219">
        <v>4.5999999999999999E-2</v>
      </c>
      <c r="J219" t="s">
        <v>478</v>
      </c>
    </row>
    <row r="220" spans="1:25" x14ac:dyDescent="0.45">
      <c r="A220">
        <v>67</v>
      </c>
      <c r="B220">
        <v>67</v>
      </c>
      <c r="C220" t="s">
        <v>648</v>
      </c>
      <c r="D220" t="s">
        <v>414</v>
      </c>
      <c r="F220">
        <v>3.22</v>
      </c>
      <c r="G220">
        <v>80.596000000000004</v>
      </c>
      <c r="H220">
        <v>72379.960999999996</v>
      </c>
      <c r="I220">
        <v>1.0999999999999999E-2</v>
      </c>
      <c r="J220" t="s">
        <v>403</v>
      </c>
      <c r="K220">
        <v>4.5</v>
      </c>
      <c r="O220" t="s">
        <v>389</v>
      </c>
      <c r="P220" t="s">
        <v>123</v>
      </c>
      <c r="Q220" t="s">
        <v>390</v>
      </c>
      <c r="R220" t="s">
        <v>391</v>
      </c>
      <c r="S220" t="s">
        <v>392</v>
      </c>
      <c r="T220" t="s">
        <v>393</v>
      </c>
      <c r="U220" t="s">
        <v>394</v>
      </c>
      <c r="V220" t="s">
        <v>395</v>
      </c>
      <c r="W220" t="s">
        <v>396</v>
      </c>
      <c r="X220" t="s">
        <v>397</v>
      </c>
      <c r="Y220" t="s">
        <v>398</v>
      </c>
    </row>
    <row r="221" spans="1:25" x14ac:dyDescent="0.45">
      <c r="A221">
        <v>68</v>
      </c>
      <c r="B221">
        <v>68</v>
      </c>
      <c r="C221" t="s">
        <v>649</v>
      </c>
      <c r="D221" t="s">
        <v>414</v>
      </c>
      <c r="F221">
        <v>3.2</v>
      </c>
      <c r="G221">
        <v>287.83800000000002</v>
      </c>
      <c r="H221">
        <v>76601.156000000003</v>
      </c>
      <c r="I221">
        <v>3.7999999999999999E-2</v>
      </c>
      <c r="J221" t="s">
        <v>478</v>
      </c>
      <c r="N221">
        <v>1</v>
      </c>
      <c r="O221">
        <v>1</v>
      </c>
      <c r="P221" t="s">
        <v>655</v>
      </c>
      <c r="Q221" t="s">
        <v>400</v>
      </c>
      <c r="R221">
        <v>0.05</v>
      </c>
      <c r="S221">
        <v>1.85</v>
      </c>
      <c r="T221">
        <v>969.32500000000005</v>
      </c>
      <c r="U221">
        <v>193356.859</v>
      </c>
      <c r="V221">
        <v>0.05</v>
      </c>
      <c r="W221" t="s">
        <v>479</v>
      </c>
    </row>
    <row r="222" spans="1:25" x14ac:dyDescent="0.45">
      <c r="A222">
        <v>69</v>
      </c>
      <c r="B222">
        <v>69</v>
      </c>
      <c r="C222" t="s">
        <v>650</v>
      </c>
      <c r="D222" t="s">
        <v>414</v>
      </c>
      <c r="F222">
        <v>3.16</v>
      </c>
      <c r="G222">
        <v>306.77100000000002</v>
      </c>
      <c r="H222">
        <v>93657.812999999995</v>
      </c>
      <c r="I222">
        <v>3.3000000000000002E-2</v>
      </c>
      <c r="J222" t="s">
        <v>478</v>
      </c>
      <c r="N222">
        <v>2</v>
      </c>
      <c r="O222">
        <v>2</v>
      </c>
      <c r="P222" t="s">
        <v>656</v>
      </c>
      <c r="Q222" t="s">
        <v>400</v>
      </c>
      <c r="R222">
        <v>0.5</v>
      </c>
      <c r="S222">
        <v>1.86</v>
      </c>
      <c r="T222">
        <v>10128.896000000001</v>
      </c>
      <c r="U222">
        <v>172043.79699999999</v>
      </c>
      <c r="V222">
        <v>0.58899999999999997</v>
      </c>
      <c r="W222" t="s">
        <v>401</v>
      </c>
      <c r="X222">
        <v>0.5</v>
      </c>
      <c r="Y222">
        <v>-2.5</v>
      </c>
    </row>
    <row r="223" spans="1:25" x14ac:dyDescent="0.45">
      <c r="N223">
        <v>3</v>
      </c>
      <c r="O223">
        <v>3</v>
      </c>
      <c r="P223" t="s">
        <v>657</v>
      </c>
      <c r="Q223" t="s">
        <v>400</v>
      </c>
      <c r="R223">
        <v>1.25</v>
      </c>
      <c r="S223">
        <v>1.86</v>
      </c>
      <c r="T223">
        <v>26090.291000000001</v>
      </c>
      <c r="U223">
        <v>166185.375</v>
      </c>
      <c r="V223">
        <v>1.57</v>
      </c>
      <c r="W223" t="s">
        <v>401</v>
      </c>
      <c r="X223">
        <v>1.4</v>
      </c>
      <c r="Y223">
        <v>11.2</v>
      </c>
    </row>
    <row r="224" spans="1:25" x14ac:dyDescent="0.45">
      <c r="A224" t="s">
        <v>481</v>
      </c>
      <c r="N224">
        <v>4</v>
      </c>
      <c r="O224">
        <v>4</v>
      </c>
      <c r="P224" t="s">
        <v>658</v>
      </c>
      <c r="Q224" t="s">
        <v>400</v>
      </c>
      <c r="R224">
        <v>2.5</v>
      </c>
      <c r="S224">
        <v>1.86</v>
      </c>
      <c r="T224">
        <v>53836.144999999997</v>
      </c>
      <c r="U224">
        <v>171007.78099999999</v>
      </c>
      <c r="V224">
        <v>3.1480000000000001</v>
      </c>
      <c r="W224" t="s">
        <v>401</v>
      </c>
      <c r="X224">
        <v>2.8</v>
      </c>
      <c r="Y224">
        <v>13.6</v>
      </c>
    </row>
    <row r="225" spans="1:25" x14ac:dyDescent="0.45">
      <c r="N225">
        <v>5</v>
      </c>
      <c r="O225">
        <v>5</v>
      </c>
      <c r="P225" t="s">
        <v>659</v>
      </c>
      <c r="Q225" t="s">
        <v>400</v>
      </c>
      <c r="R225">
        <v>3.5</v>
      </c>
      <c r="S225">
        <v>1.87</v>
      </c>
      <c r="T225">
        <v>73252.858999999997</v>
      </c>
      <c r="U225">
        <v>207124.79699999999</v>
      </c>
      <c r="V225">
        <v>3.5369999999999999</v>
      </c>
      <c r="W225" t="s">
        <v>401</v>
      </c>
      <c r="X225">
        <v>3.2</v>
      </c>
      <c r="Y225">
        <v>-8.6</v>
      </c>
    </row>
    <row r="226" spans="1:25" x14ac:dyDescent="0.45">
      <c r="B226" t="s">
        <v>389</v>
      </c>
      <c r="C226" t="s">
        <v>123</v>
      </c>
      <c r="D226" t="s">
        <v>390</v>
      </c>
      <c r="E226" t="s">
        <v>391</v>
      </c>
      <c r="F226" t="s">
        <v>392</v>
      </c>
      <c r="G226" t="s">
        <v>393</v>
      </c>
      <c r="H226" t="s">
        <v>394</v>
      </c>
      <c r="I226" t="s">
        <v>395</v>
      </c>
      <c r="J226" t="s">
        <v>396</v>
      </c>
      <c r="K226" t="s">
        <v>397</v>
      </c>
      <c r="L226" t="s">
        <v>398</v>
      </c>
      <c r="N226">
        <v>6</v>
      </c>
      <c r="O226">
        <v>6</v>
      </c>
      <c r="P226" t="s">
        <v>660</v>
      </c>
      <c r="Q226" t="s">
        <v>400</v>
      </c>
      <c r="R226">
        <v>5</v>
      </c>
      <c r="S226">
        <v>1.87</v>
      </c>
      <c r="T226">
        <v>102869.594</v>
      </c>
      <c r="U226">
        <v>203095.21900000001</v>
      </c>
      <c r="V226">
        <v>5.0650000000000004</v>
      </c>
      <c r="W226" t="s">
        <v>415</v>
      </c>
      <c r="X226">
        <v>4.5999999999999996</v>
      </c>
      <c r="Y226">
        <v>-8</v>
      </c>
    </row>
    <row r="227" spans="1:25" x14ac:dyDescent="0.45">
      <c r="A227">
        <v>1</v>
      </c>
      <c r="B227">
        <v>1</v>
      </c>
      <c r="C227" t="s">
        <v>582</v>
      </c>
      <c r="D227" t="s">
        <v>400</v>
      </c>
      <c r="E227">
        <v>0.05</v>
      </c>
      <c r="F227">
        <v>1.83</v>
      </c>
      <c r="G227">
        <v>887.61199999999997</v>
      </c>
      <c r="H227">
        <v>112126.477</v>
      </c>
      <c r="I227">
        <v>7.9000000000000001E-2</v>
      </c>
      <c r="J227" t="s">
        <v>476</v>
      </c>
      <c r="N227">
        <v>7</v>
      </c>
      <c r="O227">
        <v>7</v>
      </c>
      <c r="P227" t="s">
        <v>661</v>
      </c>
      <c r="Q227" t="s">
        <v>400</v>
      </c>
      <c r="R227">
        <v>7</v>
      </c>
      <c r="S227">
        <v>1.87</v>
      </c>
      <c r="T227">
        <v>148430.84400000001</v>
      </c>
      <c r="U227">
        <v>185792.5</v>
      </c>
      <c r="V227">
        <v>7.9889999999999999</v>
      </c>
      <c r="W227" t="s">
        <v>401</v>
      </c>
      <c r="X227">
        <v>7.3</v>
      </c>
      <c r="Y227">
        <v>4.0999999999999996</v>
      </c>
    </row>
    <row r="228" spans="1:25" x14ac:dyDescent="0.45">
      <c r="A228">
        <v>2</v>
      </c>
      <c r="B228">
        <v>2</v>
      </c>
      <c r="C228" t="s">
        <v>583</v>
      </c>
      <c r="D228" t="s">
        <v>400</v>
      </c>
      <c r="E228">
        <v>0.5</v>
      </c>
      <c r="F228">
        <v>1.84</v>
      </c>
      <c r="G228">
        <v>8331.9290000000001</v>
      </c>
      <c r="H228">
        <v>132045.46900000001</v>
      </c>
      <c r="I228">
        <v>0.63100000000000001</v>
      </c>
      <c r="J228" t="s">
        <v>401</v>
      </c>
      <c r="K228">
        <v>0.4</v>
      </c>
      <c r="L228">
        <v>-18.100000000000001</v>
      </c>
      <c r="N228">
        <v>8</v>
      </c>
      <c r="O228">
        <v>8</v>
      </c>
      <c r="P228" t="s">
        <v>662</v>
      </c>
      <c r="Q228" t="s">
        <v>414</v>
      </c>
      <c r="S228">
        <v>2.38</v>
      </c>
      <c r="T228">
        <v>128.24799999999999</v>
      </c>
      <c r="U228">
        <v>83556.25</v>
      </c>
      <c r="V228">
        <v>1.4999999999999999E-2</v>
      </c>
      <c r="W228" t="s">
        <v>476</v>
      </c>
    </row>
    <row r="229" spans="1:25" x14ac:dyDescent="0.45">
      <c r="A229">
        <v>3</v>
      </c>
      <c r="B229">
        <v>3</v>
      </c>
      <c r="C229" t="s">
        <v>584</v>
      </c>
      <c r="D229" t="s">
        <v>400</v>
      </c>
      <c r="E229">
        <v>1.25</v>
      </c>
      <c r="F229">
        <v>1.84</v>
      </c>
      <c r="G229">
        <v>18463.491999999998</v>
      </c>
      <c r="H229">
        <v>111546.383</v>
      </c>
      <c r="I229">
        <v>1.655</v>
      </c>
      <c r="J229" t="s">
        <v>401</v>
      </c>
      <c r="K229">
        <v>1.5</v>
      </c>
      <c r="L229">
        <v>17.8</v>
      </c>
      <c r="N229">
        <v>9</v>
      </c>
      <c r="O229">
        <v>9</v>
      </c>
      <c r="P229" t="s">
        <v>663</v>
      </c>
      <c r="Q229" t="s">
        <v>414</v>
      </c>
      <c r="S229">
        <v>1.89</v>
      </c>
      <c r="T229">
        <v>186.38499999999999</v>
      </c>
      <c r="U229">
        <v>76502.093999999997</v>
      </c>
      <c r="V229">
        <v>2.4E-2</v>
      </c>
      <c r="W229" t="s">
        <v>476</v>
      </c>
    </row>
    <row r="230" spans="1:25" x14ac:dyDescent="0.45">
      <c r="A230">
        <v>4</v>
      </c>
      <c r="B230">
        <v>4</v>
      </c>
      <c r="C230" t="s">
        <v>585</v>
      </c>
      <c r="D230" t="s">
        <v>400</v>
      </c>
      <c r="E230">
        <v>2.5</v>
      </c>
      <c r="F230">
        <v>1.84</v>
      </c>
      <c r="G230">
        <v>41063.699000000001</v>
      </c>
      <c r="H230">
        <v>147326.109</v>
      </c>
      <c r="I230">
        <v>2.7869999999999999</v>
      </c>
      <c r="J230" t="s">
        <v>401</v>
      </c>
      <c r="K230">
        <v>2.6</v>
      </c>
      <c r="L230">
        <v>5.9</v>
      </c>
      <c r="N230">
        <v>10</v>
      </c>
      <c r="O230">
        <v>10</v>
      </c>
      <c r="P230" t="s">
        <v>664</v>
      </c>
      <c r="Q230" t="s">
        <v>414</v>
      </c>
      <c r="S230">
        <v>2.38</v>
      </c>
      <c r="T230">
        <v>153.06</v>
      </c>
      <c r="U230">
        <v>94327.679999999993</v>
      </c>
      <c r="V230">
        <v>1.6E-2</v>
      </c>
      <c r="W230" t="s">
        <v>479</v>
      </c>
    </row>
    <row r="231" spans="1:25" x14ac:dyDescent="0.45">
      <c r="A231">
        <v>5</v>
      </c>
      <c r="B231">
        <v>5</v>
      </c>
      <c r="C231" t="s">
        <v>586</v>
      </c>
      <c r="D231" t="s">
        <v>400</v>
      </c>
      <c r="E231">
        <v>3.5</v>
      </c>
      <c r="F231">
        <v>1.85</v>
      </c>
      <c r="G231">
        <v>61902.254000000001</v>
      </c>
      <c r="H231">
        <v>168990.53099999999</v>
      </c>
      <c r="I231">
        <v>3.6629999999999998</v>
      </c>
      <c r="J231" t="s">
        <v>401</v>
      </c>
      <c r="K231">
        <v>3.6</v>
      </c>
      <c r="L231">
        <v>1.6</v>
      </c>
      <c r="N231">
        <v>11</v>
      </c>
      <c r="O231">
        <v>11</v>
      </c>
      <c r="P231" t="s">
        <v>665</v>
      </c>
      <c r="Q231" t="s">
        <v>414</v>
      </c>
      <c r="S231">
        <v>1.9</v>
      </c>
      <c r="T231">
        <v>179.46199999999999</v>
      </c>
      <c r="U231">
        <v>62249.362999999998</v>
      </c>
      <c r="V231">
        <v>2.9000000000000001E-2</v>
      </c>
      <c r="W231" t="s">
        <v>476</v>
      </c>
    </row>
    <row r="232" spans="1:25" x14ac:dyDescent="0.45">
      <c r="A232">
        <v>6</v>
      </c>
      <c r="B232">
        <v>6</v>
      </c>
      <c r="C232" t="s">
        <v>587</v>
      </c>
      <c r="D232" t="s">
        <v>400</v>
      </c>
      <c r="E232">
        <v>5</v>
      </c>
      <c r="F232">
        <v>1.86</v>
      </c>
      <c r="G232">
        <v>92869.07</v>
      </c>
      <c r="H232">
        <v>185178.07800000001</v>
      </c>
      <c r="I232">
        <v>5.0149999999999997</v>
      </c>
      <c r="J232" t="s">
        <v>401</v>
      </c>
      <c r="K232">
        <v>5</v>
      </c>
      <c r="L232">
        <v>-0.8</v>
      </c>
      <c r="N232">
        <v>12</v>
      </c>
      <c r="O232">
        <v>12</v>
      </c>
      <c r="P232" t="s">
        <v>666</v>
      </c>
      <c r="Q232" t="s">
        <v>414</v>
      </c>
      <c r="S232">
        <v>2.38</v>
      </c>
      <c r="T232">
        <v>95.462000000000003</v>
      </c>
      <c r="U232">
        <v>50064.565999999999</v>
      </c>
      <c r="V232">
        <v>1.9E-2</v>
      </c>
      <c r="W232" t="s">
        <v>479</v>
      </c>
    </row>
    <row r="233" spans="1:25" x14ac:dyDescent="0.45">
      <c r="A233">
        <v>7</v>
      </c>
      <c r="B233">
        <v>7</v>
      </c>
      <c r="C233" t="s">
        <v>588</v>
      </c>
      <c r="D233" t="s">
        <v>400</v>
      </c>
      <c r="E233">
        <v>7</v>
      </c>
      <c r="F233">
        <v>1.86</v>
      </c>
      <c r="G233">
        <v>110895.258</v>
      </c>
      <c r="H233">
        <v>160790.875</v>
      </c>
      <c r="I233">
        <v>6.8970000000000002</v>
      </c>
      <c r="J233" t="s">
        <v>401</v>
      </c>
      <c r="K233">
        <v>6.9</v>
      </c>
      <c r="L233">
        <v>-1.2</v>
      </c>
      <c r="N233">
        <v>13</v>
      </c>
      <c r="O233">
        <v>13</v>
      </c>
      <c r="P233" t="s">
        <v>667</v>
      </c>
      <c r="Q233" t="s">
        <v>414</v>
      </c>
      <c r="S233">
        <v>1.88</v>
      </c>
      <c r="T233">
        <v>299.28899999999999</v>
      </c>
      <c r="U233">
        <v>55640.379000000001</v>
      </c>
      <c r="V233">
        <v>5.3999999999999999E-2</v>
      </c>
      <c r="W233" t="s">
        <v>476</v>
      </c>
    </row>
    <row r="234" spans="1:25" x14ac:dyDescent="0.45">
      <c r="A234">
        <v>8</v>
      </c>
      <c r="B234">
        <v>8</v>
      </c>
      <c r="C234" t="s">
        <v>589</v>
      </c>
      <c r="D234" t="s">
        <v>410</v>
      </c>
      <c r="F234">
        <v>2.85</v>
      </c>
      <c r="G234">
        <v>88.757999999999996</v>
      </c>
      <c r="H234">
        <v>1747.645</v>
      </c>
      <c r="I234">
        <v>0.50800000000000001</v>
      </c>
      <c r="J234" t="s">
        <v>412</v>
      </c>
      <c r="K234">
        <v>0.3</v>
      </c>
      <c r="N234">
        <v>14</v>
      </c>
      <c r="O234">
        <v>14</v>
      </c>
      <c r="P234" t="s">
        <v>668</v>
      </c>
      <c r="Q234" t="s">
        <v>414</v>
      </c>
      <c r="S234">
        <v>2.85</v>
      </c>
      <c r="T234">
        <v>97.653000000000006</v>
      </c>
      <c r="U234">
        <v>66750.031000000003</v>
      </c>
      <c r="V234">
        <v>1.4999999999999999E-2</v>
      </c>
      <c r="W234" t="s">
        <v>476</v>
      </c>
    </row>
    <row r="235" spans="1:25" x14ac:dyDescent="0.45">
      <c r="A235">
        <v>9</v>
      </c>
      <c r="B235">
        <v>9</v>
      </c>
      <c r="C235" t="s">
        <v>590</v>
      </c>
      <c r="D235" t="s">
        <v>410</v>
      </c>
      <c r="F235">
        <v>2.86</v>
      </c>
      <c r="G235">
        <v>36.067999999999998</v>
      </c>
      <c r="H235">
        <v>1776.184</v>
      </c>
      <c r="I235">
        <v>0.20300000000000001</v>
      </c>
      <c r="J235" t="s">
        <v>479</v>
      </c>
      <c r="N235">
        <v>15</v>
      </c>
      <c r="O235">
        <v>15</v>
      </c>
      <c r="P235" t="s">
        <v>669</v>
      </c>
      <c r="Q235" t="s">
        <v>414</v>
      </c>
      <c r="S235">
        <v>1.87</v>
      </c>
      <c r="T235">
        <v>148.99700000000001</v>
      </c>
      <c r="U235">
        <v>47150.453000000001</v>
      </c>
      <c r="V235">
        <v>3.2000000000000001E-2</v>
      </c>
      <c r="W235" t="s">
        <v>479</v>
      </c>
    </row>
    <row r="236" spans="1:25" x14ac:dyDescent="0.45">
      <c r="A236">
        <v>10</v>
      </c>
      <c r="B236">
        <v>10</v>
      </c>
      <c r="C236" t="s">
        <v>591</v>
      </c>
      <c r="D236" t="s">
        <v>414</v>
      </c>
      <c r="F236">
        <v>2.37</v>
      </c>
      <c r="G236">
        <v>64.545000000000002</v>
      </c>
      <c r="H236">
        <v>76489.547000000006</v>
      </c>
      <c r="I236">
        <v>8.0000000000000002E-3</v>
      </c>
      <c r="J236" t="s">
        <v>479</v>
      </c>
      <c r="N236">
        <v>16</v>
      </c>
      <c r="O236">
        <v>16</v>
      </c>
      <c r="P236" t="s">
        <v>670</v>
      </c>
      <c r="Q236" t="s">
        <v>414</v>
      </c>
      <c r="S236">
        <v>2.68</v>
      </c>
      <c r="T236">
        <v>109.44499999999999</v>
      </c>
      <c r="U236">
        <v>31946.664000000001</v>
      </c>
      <c r="V236">
        <v>3.4000000000000002E-2</v>
      </c>
      <c r="W236" t="s">
        <v>476</v>
      </c>
    </row>
    <row r="237" spans="1:25" x14ac:dyDescent="0.45">
      <c r="A237">
        <v>11</v>
      </c>
      <c r="B237">
        <v>11</v>
      </c>
      <c r="C237" t="s">
        <v>592</v>
      </c>
      <c r="D237" t="s">
        <v>414</v>
      </c>
      <c r="F237">
        <v>2.56</v>
      </c>
      <c r="G237">
        <v>40.597999999999999</v>
      </c>
      <c r="H237">
        <v>27540.883000000002</v>
      </c>
      <c r="I237">
        <v>1.4999999999999999E-2</v>
      </c>
      <c r="J237" t="s">
        <v>477</v>
      </c>
      <c r="N237">
        <v>17</v>
      </c>
      <c r="O237">
        <v>17</v>
      </c>
      <c r="P237" t="s">
        <v>671</v>
      </c>
      <c r="Q237" t="s">
        <v>414</v>
      </c>
      <c r="S237">
        <v>2.68</v>
      </c>
      <c r="T237">
        <v>52.03</v>
      </c>
      <c r="U237">
        <v>38021.741999999998</v>
      </c>
      <c r="V237">
        <v>1.4E-2</v>
      </c>
      <c r="W237" t="s">
        <v>478</v>
      </c>
    </row>
    <row r="238" spans="1:25" x14ac:dyDescent="0.45">
      <c r="A238">
        <v>12</v>
      </c>
      <c r="B238">
        <v>12</v>
      </c>
      <c r="C238" t="s">
        <v>593</v>
      </c>
      <c r="D238" t="s">
        <v>414</v>
      </c>
      <c r="F238">
        <v>1.84</v>
      </c>
      <c r="G238">
        <v>42.415999999999997</v>
      </c>
      <c r="H238">
        <v>52116.199000000001</v>
      </c>
      <c r="I238">
        <v>8.0000000000000002E-3</v>
      </c>
      <c r="J238" t="s">
        <v>479</v>
      </c>
      <c r="N238">
        <v>18</v>
      </c>
      <c r="O238">
        <v>18</v>
      </c>
      <c r="P238" t="s">
        <v>672</v>
      </c>
      <c r="Q238" t="s">
        <v>414</v>
      </c>
      <c r="S238">
        <v>2.84</v>
      </c>
      <c r="T238">
        <v>101.79300000000001</v>
      </c>
      <c r="U238">
        <v>47917.008000000002</v>
      </c>
      <c r="V238">
        <v>2.1000000000000001E-2</v>
      </c>
      <c r="W238" t="s">
        <v>478</v>
      </c>
    </row>
    <row r="239" spans="1:25" x14ac:dyDescent="0.45">
      <c r="A239">
        <v>13</v>
      </c>
      <c r="B239">
        <v>13</v>
      </c>
      <c r="C239" t="s">
        <v>594</v>
      </c>
      <c r="D239" t="s">
        <v>414</v>
      </c>
      <c r="F239">
        <v>2.36</v>
      </c>
      <c r="G239">
        <v>69.313000000000002</v>
      </c>
      <c r="H239">
        <v>74078.101999999999</v>
      </c>
      <c r="I239">
        <v>8.9999999999999993E-3</v>
      </c>
      <c r="J239" t="s">
        <v>476</v>
      </c>
      <c r="N239">
        <v>19</v>
      </c>
      <c r="O239">
        <v>19</v>
      </c>
      <c r="P239" t="s">
        <v>673</v>
      </c>
      <c r="Q239" t="s">
        <v>414</v>
      </c>
      <c r="S239">
        <v>1.81</v>
      </c>
      <c r="T239">
        <v>73.665999999999997</v>
      </c>
      <c r="U239">
        <v>56579.597999999998</v>
      </c>
      <c r="V239">
        <v>1.2999999999999999E-2</v>
      </c>
      <c r="W239" t="s">
        <v>476</v>
      </c>
    </row>
    <row r="240" spans="1:25" x14ac:dyDescent="0.45">
      <c r="A240">
        <v>14</v>
      </c>
      <c r="B240">
        <v>14</v>
      </c>
      <c r="C240" t="s">
        <v>595</v>
      </c>
      <c r="D240" t="s">
        <v>414</v>
      </c>
      <c r="F240">
        <v>2.68</v>
      </c>
      <c r="G240">
        <v>120.17</v>
      </c>
      <c r="H240">
        <v>83833.827999999994</v>
      </c>
      <c r="I240">
        <v>1.4E-2</v>
      </c>
      <c r="J240" t="s">
        <v>477</v>
      </c>
      <c r="N240">
        <v>20</v>
      </c>
      <c r="O240">
        <v>20</v>
      </c>
      <c r="P240" t="s">
        <v>674</v>
      </c>
      <c r="Q240" t="s">
        <v>414</v>
      </c>
      <c r="S240">
        <v>2.8</v>
      </c>
      <c r="T240">
        <v>73.691999999999993</v>
      </c>
      <c r="U240">
        <v>48580.699000000001</v>
      </c>
      <c r="V240">
        <v>1.4999999999999999E-2</v>
      </c>
      <c r="W240" t="s">
        <v>476</v>
      </c>
    </row>
    <row r="241" spans="1:23" x14ac:dyDescent="0.45">
      <c r="A241">
        <v>15</v>
      </c>
      <c r="B241">
        <v>15</v>
      </c>
      <c r="C241" t="s">
        <v>596</v>
      </c>
      <c r="D241" t="s">
        <v>414</v>
      </c>
      <c r="F241">
        <v>1.82</v>
      </c>
      <c r="G241">
        <v>91.546999999999997</v>
      </c>
      <c r="H241">
        <v>124995.727</v>
      </c>
      <c r="I241">
        <v>7.0000000000000001E-3</v>
      </c>
      <c r="J241" t="s">
        <v>479</v>
      </c>
      <c r="N241">
        <v>21</v>
      </c>
      <c r="O241">
        <v>21</v>
      </c>
      <c r="P241" t="s">
        <v>675</v>
      </c>
      <c r="Q241" t="s">
        <v>414</v>
      </c>
      <c r="S241">
        <v>2.81</v>
      </c>
      <c r="T241">
        <v>58.859000000000002</v>
      </c>
      <c r="U241">
        <v>49960.809000000001</v>
      </c>
      <c r="V241">
        <v>1.2E-2</v>
      </c>
      <c r="W241" t="s">
        <v>478</v>
      </c>
    </row>
    <row r="242" spans="1:23" x14ac:dyDescent="0.45">
      <c r="A242">
        <v>16</v>
      </c>
      <c r="B242">
        <v>16</v>
      </c>
      <c r="C242" t="s">
        <v>597</v>
      </c>
      <c r="D242" t="s">
        <v>414</v>
      </c>
      <c r="F242">
        <v>1.84</v>
      </c>
      <c r="G242">
        <v>217.66</v>
      </c>
      <c r="H242">
        <v>131551.766</v>
      </c>
      <c r="I242">
        <v>1.7000000000000001E-2</v>
      </c>
      <c r="J242" t="s">
        <v>476</v>
      </c>
      <c r="N242">
        <v>22</v>
      </c>
      <c r="O242">
        <v>22</v>
      </c>
      <c r="P242" t="s">
        <v>676</v>
      </c>
      <c r="Q242" t="s">
        <v>414</v>
      </c>
      <c r="S242">
        <v>2.68</v>
      </c>
      <c r="T242">
        <v>65.593000000000004</v>
      </c>
      <c r="U242">
        <v>42173.285000000003</v>
      </c>
      <c r="V242">
        <v>1.6E-2</v>
      </c>
      <c r="W242" t="s">
        <v>476</v>
      </c>
    </row>
    <row r="243" spans="1:23" x14ac:dyDescent="0.45">
      <c r="A243">
        <v>17</v>
      </c>
      <c r="B243">
        <v>17</v>
      </c>
      <c r="C243" t="s">
        <v>598</v>
      </c>
      <c r="D243" t="s">
        <v>414</v>
      </c>
      <c r="F243">
        <v>2.85</v>
      </c>
      <c r="G243">
        <v>111.29900000000001</v>
      </c>
      <c r="H243">
        <v>123119.359</v>
      </c>
      <c r="I243">
        <v>8.9999999999999993E-3</v>
      </c>
      <c r="J243" t="s">
        <v>478</v>
      </c>
      <c r="N243">
        <v>23</v>
      </c>
      <c r="O243">
        <v>23</v>
      </c>
      <c r="P243" t="s">
        <v>677</v>
      </c>
      <c r="Q243" t="s">
        <v>414</v>
      </c>
      <c r="S243">
        <v>1.88</v>
      </c>
      <c r="T243">
        <v>113.03400000000001</v>
      </c>
      <c r="U243">
        <v>52315.714999999997</v>
      </c>
      <c r="V243">
        <v>2.1999999999999999E-2</v>
      </c>
      <c r="W243" t="s">
        <v>476</v>
      </c>
    </row>
    <row r="244" spans="1:23" x14ac:dyDescent="0.45">
      <c r="A244">
        <v>18</v>
      </c>
      <c r="B244">
        <v>18</v>
      </c>
      <c r="C244" t="s">
        <v>599</v>
      </c>
      <c r="D244" t="s">
        <v>414</v>
      </c>
      <c r="F244">
        <v>2.8</v>
      </c>
      <c r="G244">
        <v>56.71</v>
      </c>
      <c r="H244">
        <v>37662.758000000002</v>
      </c>
      <c r="I244">
        <v>1.4999999999999999E-2</v>
      </c>
      <c r="J244" t="s">
        <v>476</v>
      </c>
      <c r="N244">
        <v>24</v>
      </c>
      <c r="O244">
        <v>24</v>
      </c>
      <c r="P244" t="s">
        <v>678</v>
      </c>
      <c r="Q244" t="s">
        <v>414</v>
      </c>
      <c r="S244">
        <v>1.85</v>
      </c>
      <c r="T244">
        <v>83.783000000000001</v>
      </c>
      <c r="U244">
        <v>38249.663999999997</v>
      </c>
      <c r="V244">
        <v>2.1999999999999999E-2</v>
      </c>
      <c r="W244" t="s">
        <v>476</v>
      </c>
    </row>
    <row r="245" spans="1:23" x14ac:dyDescent="0.45">
      <c r="A245">
        <v>19</v>
      </c>
      <c r="B245">
        <v>19</v>
      </c>
      <c r="C245" t="s">
        <v>600</v>
      </c>
      <c r="D245" t="s">
        <v>414</v>
      </c>
      <c r="F245">
        <v>2.21</v>
      </c>
      <c r="G245">
        <v>23.992999999999999</v>
      </c>
      <c r="H245">
        <v>42557.855000000003</v>
      </c>
      <c r="I245">
        <v>6.0000000000000001E-3</v>
      </c>
      <c r="J245" t="s">
        <v>479</v>
      </c>
      <c r="N245">
        <v>25</v>
      </c>
      <c r="O245">
        <v>25</v>
      </c>
      <c r="P245" t="s">
        <v>679</v>
      </c>
      <c r="Q245" t="s">
        <v>414</v>
      </c>
      <c r="S245">
        <v>1.89</v>
      </c>
      <c r="T245">
        <v>121.751</v>
      </c>
      <c r="U245">
        <v>31218.657999999999</v>
      </c>
      <c r="V245">
        <v>3.9E-2</v>
      </c>
      <c r="W245" t="s">
        <v>479</v>
      </c>
    </row>
    <row r="246" spans="1:23" x14ac:dyDescent="0.45">
      <c r="A246">
        <v>20</v>
      </c>
      <c r="B246">
        <v>20</v>
      </c>
      <c r="C246" t="s">
        <v>601</v>
      </c>
      <c r="D246" t="s">
        <v>414</v>
      </c>
      <c r="F246">
        <v>2.67</v>
      </c>
      <c r="G246">
        <v>54.854999999999997</v>
      </c>
      <c r="H246">
        <v>26482.266</v>
      </c>
      <c r="I246">
        <v>2.1000000000000001E-2</v>
      </c>
      <c r="J246" t="s">
        <v>478</v>
      </c>
      <c r="N246">
        <v>26</v>
      </c>
      <c r="O246">
        <v>26</v>
      </c>
      <c r="P246" t="s">
        <v>680</v>
      </c>
      <c r="Q246" t="s">
        <v>414</v>
      </c>
      <c r="S246">
        <v>2.67</v>
      </c>
      <c r="T246">
        <v>95.054000000000002</v>
      </c>
      <c r="U246">
        <v>33727.086000000003</v>
      </c>
      <c r="V246">
        <v>2.8000000000000001E-2</v>
      </c>
      <c r="W246" t="s">
        <v>479</v>
      </c>
    </row>
    <row r="247" spans="1:23" x14ac:dyDescent="0.45">
      <c r="A247">
        <v>21</v>
      </c>
      <c r="B247">
        <v>21</v>
      </c>
      <c r="C247" t="s">
        <v>602</v>
      </c>
      <c r="D247" t="s">
        <v>414</v>
      </c>
      <c r="F247">
        <v>2.85</v>
      </c>
      <c r="G247">
        <v>52.21</v>
      </c>
      <c r="H247">
        <v>45341.762000000002</v>
      </c>
      <c r="I247">
        <v>1.2E-2</v>
      </c>
      <c r="J247" t="s">
        <v>476</v>
      </c>
      <c r="N247">
        <v>27</v>
      </c>
      <c r="O247">
        <v>27</v>
      </c>
      <c r="P247" t="s">
        <v>681</v>
      </c>
      <c r="Q247" t="s">
        <v>414</v>
      </c>
      <c r="S247">
        <v>2.67</v>
      </c>
      <c r="T247">
        <v>74.703999999999994</v>
      </c>
      <c r="U247">
        <v>34575.695</v>
      </c>
      <c r="V247">
        <v>2.1999999999999999E-2</v>
      </c>
      <c r="W247" t="s">
        <v>479</v>
      </c>
    </row>
    <row r="248" spans="1:23" x14ac:dyDescent="0.45">
      <c r="A248">
        <v>22</v>
      </c>
      <c r="B248">
        <v>22</v>
      </c>
      <c r="C248" t="s">
        <v>603</v>
      </c>
      <c r="D248" t="s">
        <v>414</v>
      </c>
      <c r="F248">
        <v>2.66</v>
      </c>
      <c r="G248">
        <v>117.708</v>
      </c>
      <c r="H248">
        <v>130099.008</v>
      </c>
      <c r="I248">
        <v>8.9999999999999993E-3</v>
      </c>
      <c r="J248" t="s">
        <v>476</v>
      </c>
      <c r="N248">
        <v>28</v>
      </c>
      <c r="O248">
        <v>28</v>
      </c>
      <c r="P248" t="s">
        <v>682</v>
      </c>
      <c r="Q248" t="s">
        <v>414</v>
      </c>
      <c r="S248">
        <v>1.86</v>
      </c>
      <c r="T248">
        <v>108.18</v>
      </c>
      <c r="U248">
        <v>37367.637000000002</v>
      </c>
      <c r="V248">
        <v>2.9000000000000001E-2</v>
      </c>
      <c r="W248" t="s">
        <v>479</v>
      </c>
    </row>
    <row r="249" spans="1:23" x14ac:dyDescent="0.45">
      <c r="A249">
        <v>23</v>
      </c>
      <c r="B249">
        <v>23</v>
      </c>
      <c r="C249" t="s">
        <v>604</v>
      </c>
      <c r="D249" t="s">
        <v>414</v>
      </c>
      <c r="F249">
        <v>2.4500000000000002</v>
      </c>
      <c r="G249">
        <v>80.066000000000003</v>
      </c>
      <c r="H249">
        <v>130103.039</v>
      </c>
      <c r="I249">
        <v>6.0000000000000001E-3</v>
      </c>
      <c r="J249" t="s">
        <v>477</v>
      </c>
      <c r="N249">
        <v>29</v>
      </c>
      <c r="O249">
        <v>29</v>
      </c>
      <c r="P249" t="s">
        <v>683</v>
      </c>
      <c r="Q249" t="s">
        <v>414</v>
      </c>
      <c r="S249">
        <v>2.7</v>
      </c>
      <c r="T249">
        <v>96.387</v>
      </c>
      <c r="U249">
        <v>42469.425999999999</v>
      </c>
      <c r="V249">
        <v>2.3E-2</v>
      </c>
      <c r="W249" t="s">
        <v>478</v>
      </c>
    </row>
    <row r="250" spans="1:23" x14ac:dyDescent="0.45">
      <c r="A250">
        <v>24</v>
      </c>
      <c r="B250">
        <v>24</v>
      </c>
      <c r="C250" t="s">
        <v>605</v>
      </c>
      <c r="D250" t="s">
        <v>414</v>
      </c>
      <c r="F250">
        <v>2.66</v>
      </c>
      <c r="G250">
        <v>69.798000000000002</v>
      </c>
      <c r="H250">
        <v>69343.851999999999</v>
      </c>
      <c r="I250">
        <v>0.01</v>
      </c>
      <c r="J250" t="s">
        <v>477</v>
      </c>
      <c r="N250">
        <v>30</v>
      </c>
      <c r="O250">
        <v>30</v>
      </c>
      <c r="P250" t="s">
        <v>684</v>
      </c>
      <c r="Q250" t="s">
        <v>414</v>
      </c>
      <c r="S250">
        <v>2.67</v>
      </c>
      <c r="T250">
        <v>63.253999999999998</v>
      </c>
      <c r="U250">
        <v>30130.928</v>
      </c>
      <c r="V250">
        <v>2.1000000000000001E-2</v>
      </c>
      <c r="W250" t="s">
        <v>479</v>
      </c>
    </row>
    <row r="251" spans="1:23" x14ac:dyDescent="0.45">
      <c r="A251">
        <v>25</v>
      </c>
      <c r="B251">
        <v>25</v>
      </c>
      <c r="C251" t="s">
        <v>606</v>
      </c>
      <c r="D251" t="s">
        <v>414</v>
      </c>
      <c r="F251">
        <v>2.8</v>
      </c>
      <c r="G251">
        <v>71.977999999999994</v>
      </c>
      <c r="H251">
        <v>77829.054999999993</v>
      </c>
      <c r="I251">
        <v>8.9999999999999993E-3</v>
      </c>
      <c r="J251" t="s">
        <v>479</v>
      </c>
      <c r="N251">
        <v>31</v>
      </c>
      <c r="O251">
        <v>31</v>
      </c>
      <c r="P251" t="s">
        <v>685</v>
      </c>
      <c r="Q251" t="s">
        <v>414</v>
      </c>
      <c r="S251">
        <v>2.84</v>
      </c>
      <c r="T251">
        <v>81.531999999999996</v>
      </c>
      <c r="U251">
        <v>58656.898000000001</v>
      </c>
      <c r="V251">
        <v>1.4E-2</v>
      </c>
      <c r="W251" t="s">
        <v>478</v>
      </c>
    </row>
    <row r="252" spans="1:23" x14ac:dyDescent="0.45">
      <c r="A252">
        <v>26</v>
      </c>
      <c r="B252">
        <v>26</v>
      </c>
      <c r="C252" t="s">
        <v>607</v>
      </c>
      <c r="D252" t="s">
        <v>414</v>
      </c>
      <c r="F252">
        <v>1.81</v>
      </c>
      <c r="G252">
        <v>111.01</v>
      </c>
      <c r="H252">
        <v>63774.438000000002</v>
      </c>
      <c r="I252">
        <v>1.7000000000000001E-2</v>
      </c>
      <c r="J252" t="s">
        <v>476</v>
      </c>
      <c r="N252">
        <v>32</v>
      </c>
      <c r="O252">
        <v>32</v>
      </c>
      <c r="P252" t="s">
        <v>686</v>
      </c>
      <c r="Q252" t="s">
        <v>414</v>
      </c>
      <c r="S252">
        <v>2.68</v>
      </c>
      <c r="T252">
        <v>115.488</v>
      </c>
      <c r="U252">
        <v>78178.601999999999</v>
      </c>
      <c r="V252">
        <v>1.4999999999999999E-2</v>
      </c>
      <c r="W252" t="s">
        <v>478</v>
      </c>
    </row>
    <row r="253" spans="1:23" x14ac:dyDescent="0.45">
      <c r="A253">
        <v>27</v>
      </c>
      <c r="B253">
        <v>27</v>
      </c>
      <c r="C253" t="s">
        <v>608</v>
      </c>
      <c r="D253" t="s">
        <v>414</v>
      </c>
      <c r="F253">
        <v>1.83</v>
      </c>
      <c r="G253">
        <v>45.155999999999999</v>
      </c>
      <c r="H253">
        <v>131047.18799999999</v>
      </c>
      <c r="I253">
        <v>3.0000000000000001E-3</v>
      </c>
      <c r="J253" t="s">
        <v>476</v>
      </c>
      <c r="N253">
        <v>33</v>
      </c>
      <c r="O253">
        <v>33</v>
      </c>
      <c r="P253" t="s">
        <v>687</v>
      </c>
      <c r="Q253" t="s">
        <v>414</v>
      </c>
      <c r="S253">
        <v>2.67</v>
      </c>
      <c r="T253">
        <v>107.009</v>
      </c>
      <c r="U253">
        <v>67120.570000000007</v>
      </c>
      <c r="V253">
        <v>1.6E-2</v>
      </c>
      <c r="W253" t="s">
        <v>479</v>
      </c>
    </row>
    <row r="254" spans="1:23" x14ac:dyDescent="0.45">
      <c r="A254">
        <v>28</v>
      </c>
      <c r="B254">
        <v>28</v>
      </c>
      <c r="C254" t="s">
        <v>609</v>
      </c>
      <c r="D254" t="s">
        <v>414</v>
      </c>
      <c r="F254">
        <v>2.81</v>
      </c>
      <c r="G254">
        <v>89.222999999999999</v>
      </c>
      <c r="H254">
        <v>76078.218999999997</v>
      </c>
      <c r="I254">
        <v>1.2E-2</v>
      </c>
      <c r="J254" t="s">
        <v>479</v>
      </c>
      <c r="N254">
        <v>34</v>
      </c>
      <c r="O254">
        <v>34</v>
      </c>
      <c r="P254" t="s">
        <v>688</v>
      </c>
      <c r="Q254" t="s">
        <v>414</v>
      </c>
      <c r="S254">
        <v>2.69</v>
      </c>
      <c r="T254">
        <v>83.97</v>
      </c>
      <c r="U254">
        <v>51171.57</v>
      </c>
      <c r="V254">
        <v>1.6E-2</v>
      </c>
      <c r="W254" t="s">
        <v>478</v>
      </c>
    </row>
    <row r="255" spans="1:23" x14ac:dyDescent="0.45">
      <c r="A255">
        <v>29</v>
      </c>
      <c r="B255">
        <v>29</v>
      </c>
      <c r="C255" t="s">
        <v>610</v>
      </c>
      <c r="D255" t="s">
        <v>414</v>
      </c>
      <c r="F255">
        <v>2.79</v>
      </c>
      <c r="G255">
        <v>65.263000000000005</v>
      </c>
      <c r="H255">
        <v>50431.792999999998</v>
      </c>
      <c r="I255">
        <v>1.2999999999999999E-2</v>
      </c>
      <c r="J255" t="s">
        <v>477</v>
      </c>
      <c r="N255">
        <v>35</v>
      </c>
      <c r="O255">
        <v>35</v>
      </c>
      <c r="P255" t="s">
        <v>689</v>
      </c>
      <c r="Q255" t="s">
        <v>414</v>
      </c>
      <c r="S255">
        <v>2.81</v>
      </c>
      <c r="T255">
        <v>130.70099999999999</v>
      </c>
      <c r="U255">
        <v>52206.597999999998</v>
      </c>
      <c r="V255">
        <v>2.5000000000000001E-2</v>
      </c>
      <c r="W255" t="s">
        <v>478</v>
      </c>
    </row>
    <row r="256" spans="1:23" x14ac:dyDescent="0.45">
      <c r="A256">
        <v>30</v>
      </c>
      <c r="B256">
        <v>30</v>
      </c>
      <c r="C256" t="s">
        <v>611</v>
      </c>
      <c r="D256" t="s">
        <v>414</v>
      </c>
      <c r="F256">
        <v>1.86</v>
      </c>
      <c r="G256">
        <v>61.244</v>
      </c>
      <c r="H256">
        <v>52037.156000000003</v>
      </c>
      <c r="I256">
        <v>1.2E-2</v>
      </c>
      <c r="J256" t="s">
        <v>476</v>
      </c>
      <c r="N256">
        <v>36</v>
      </c>
      <c r="O256">
        <v>36</v>
      </c>
      <c r="P256" t="s">
        <v>690</v>
      </c>
      <c r="Q256" t="s">
        <v>414</v>
      </c>
      <c r="S256">
        <v>2.68</v>
      </c>
      <c r="T256">
        <v>146.81</v>
      </c>
      <c r="U256">
        <v>40864.042999999998</v>
      </c>
      <c r="V256">
        <v>3.5999999999999997E-2</v>
      </c>
      <c r="W256" t="s">
        <v>479</v>
      </c>
    </row>
    <row r="257" spans="1:23" x14ac:dyDescent="0.45">
      <c r="A257">
        <v>31</v>
      </c>
      <c r="B257">
        <v>31</v>
      </c>
      <c r="C257" t="s">
        <v>612</v>
      </c>
      <c r="D257" t="s">
        <v>414</v>
      </c>
      <c r="F257">
        <v>2.38</v>
      </c>
      <c r="G257">
        <v>72.516999999999996</v>
      </c>
      <c r="H257">
        <v>52544.184000000001</v>
      </c>
      <c r="I257">
        <v>1.4E-2</v>
      </c>
      <c r="J257" t="s">
        <v>479</v>
      </c>
      <c r="N257">
        <v>37</v>
      </c>
      <c r="O257">
        <v>37</v>
      </c>
      <c r="P257" t="s">
        <v>691</v>
      </c>
      <c r="Q257" t="s">
        <v>414</v>
      </c>
      <c r="S257">
        <v>1.88</v>
      </c>
      <c r="T257">
        <v>76.128</v>
      </c>
      <c r="U257">
        <v>32623.313999999998</v>
      </c>
      <c r="V257">
        <v>2.3E-2</v>
      </c>
      <c r="W257" t="s">
        <v>476</v>
      </c>
    </row>
    <row r="258" spans="1:23" x14ac:dyDescent="0.45">
      <c r="A258">
        <v>32</v>
      </c>
      <c r="B258">
        <v>32</v>
      </c>
      <c r="C258" t="s">
        <v>613</v>
      </c>
      <c r="D258" t="s">
        <v>414</v>
      </c>
      <c r="F258">
        <v>2.71</v>
      </c>
      <c r="G258">
        <v>65.430999999999997</v>
      </c>
      <c r="H258">
        <v>48754.777000000002</v>
      </c>
      <c r="I258">
        <v>1.2999999999999999E-2</v>
      </c>
      <c r="J258" t="s">
        <v>479</v>
      </c>
      <c r="N258">
        <v>38</v>
      </c>
      <c r="O258">
        <v>38</v>
      </c>
      <c r="P258" t="s">
        <v>692</v>
      </c>
      <c r="Q258" t="s">
        <v>414</v>
      </c>
      <c r="S258">
        <v>1.89</v>
      </c>
      <c r="T258">
        <v>128.989</v>
      </c>
      <c r="U258">
        <v>51757.73</v>
      </c>
      <c r="V258">
        <v>2.5000000000000001E-2</v>
      </c>
      <c r="W258" t="s">
        <v>478</v>
      </c>
    </row>
    <row r="259" spans="1:23" x14ac:dyDescent="0.45">
      <c r="A259">
        <v>33</v>
      </c>
      <c r="B259">
        <v>33</v>
      </c>
      <c r="C259" t="s">
        <v>614</v>
      </c>
      <c r="D259" t="s">
        <v>414</v>
      </c>
      <c r="F259">
        <v>2.44</v>
      </c>
      <c r="G259">
        <v>71.200999999999993</v>
      </c>
      <c r="H259">
        <v>47807.108999999997</v>
      </c>
      <c r="I259">
        <v>1.4999999999999999E-2</v>
      </c>
      <c r="J259" t="s">
        <v>476</v>
      </c>
      <c r="N259">
        <v>39</v>
      </c>
      <c r="O259">
        <v>39</v>
      </c>
      <c r="P259" t="s">
        <v>693</v>
      </c>
      <c r="Q259" t="s">
        <v>414</v>
      </c>
      <c r="S259">
        <v>1.95</v>
      </c>
      <c r="T259">
        <v>120.892</v>
      </c>
      <c r="U259">
        <v>54442.074000000001</v>
      </c>
      <c r="V259">
        <v>2.1999999999999999E-2</v>
      </c>
      <c r="W259" t="s">
        <v>477</v>
      </c>
    </row>
    <row r="260" spans="1:23" x14ac:dyDescent="0.45">
      <c r="A260">
        <v>34</v>
      </c>
      <c r="B260">
        <v>34</v>
      </c>
      <c r="C260" t="s">
        <v>615</v>
      </c>
      <c r="D260" t="s">
        <v>414</v>
      </c>
      <c r="F260">
        <v>1.92</v>
      </c>
      <c r="G260">
        <v>62.851999999999997</v>
      </c>
      <c r="H260">
        <v>47397.387000000002</v>
      </c>
      <c r="I260">
        <v>1.2999999999999999E-2</v>
      </c>
      <c r="J260" t="s">
        <v>478</v>
      </c>
      <c r="N260">
        <v>40</v>
      </c>
      <c r="O260">
        <v>40</v>
      </c>
      <c r="P260" t="s">
        <v>694</v>
      </c>
      <c r="Q260" t="s">
        <v>414</v>
      </c>
      <c r="S260">
        <v>1.92</v>
      </c>
      <c r="T260">
        <v>205.73099999999999</v>
      </c>
      <c r="U260">
        <v>128477.414</v>
      </c>
      <c r="V260">
        <v>1.6E-2</v>
      </c>
      <c r="W260" t="s">
        <v>477</v>
      </c>
    </row>
    <row r="261" spans="1:23" x14ac:dyDescent="0.45">
      <c r="A261">
        <v>35</v>
      </c>
      <c r="B261">
        <v>35</v>
      </c>
      <c r="C261" t="s">
        <v>616</v>
      </c>
      <c r="D261" t="s">
        <v>414</v>
      </c>
      <c r="F261">
        <v>1.86</v>
      </c>
      <c r="G261">
        <v>54.406999999999996</v>
      </c>
      <c r="H261">
        <v>37888.813000000002</v>
      </c>
      <c r="I261">
        <v>1.4E-2</v>
      </c>
      <c r="J261" t="s">
        <v>479</v>
      </c>
      <c r="N261">
        <v>41</v>
      </c>
      <c r="O261">
        <v>41</v>
      </c>
      <c r="P261" t="s">
        <v>695</v>
      </c>
      <c r="Q261" t="s">
        <v>414</v>
      </c>
      <c r="S261">
        <v>1.95</v>
      </c>
      <c r="T261">
        <v>151.11600000000001</v>
      </c>
      <c r="U261">
        <v>127399.57</v>
      </c>
      <c r="V261">
        <v>1.2E-2</v>
      </c>
      <c r="W261" t="s">
        <v>478</v>
      </c>
    </row>
    <row r="262" spans="1:23" x14ac:dyDescent="0.45">
      <c r="A262">
        <v>36</v>
      </c>
      <c r="B262">
        <v>36</v>
      </c>
      <c r="C262" t="s">
        <v>617</v>
      </c>
      <c r="D262" t="s">
        <v>414</v>
      </c>
      <c r="F262">
        <v>2.75</v>
      </c>
      <c r="G262">
        <v>32.948999999999998</v>
      </c>
      <c r="H262">
        <v>46233.296999999999</v>
      </c>
      <c r="I262">
        <v>7.0000000000000001E-3</v>
      </c>
      <c r="J262" t="s">
        <v>478</v>
      </c>
      <c r="N262">
        <v>42</v>
      </c>
      <c r="O262">
        <v>42</v>
      </c>
      <c r="P262" t="s">
        <v>696</v>
      </c>
      <c r="Q262" t="s">
        <v>414</v>
      </c>
      <c r="S262">
        <v>1.88</v>
      </c>
      <c r="T262">
        <v>280.93799999999999</v>
      </c>
      <c r="U262">
        <v>120620.469</v>
      </c>
      <c r="V262">
        <v>2.3E-2</v>
      </c>
      <c r="W262" t="s">
        <v>476</v>
      </c>
    </row>
    <row r="263" spans="1:23" x14ac:dyDescent="0.45">
      <c r="A263">
        <v>37</v>
      </c>
      <c r="B263">
        <v>37</v>
      </c>
      <c r="C263" t="s">
        <v>618</v>
      </c>
      <c r="D263" t="s">
        <v>414</v>
      </c>
      <c r="F263">
        <v>1.91</v>
      </c>
      <c r="G263">
        <v>67.953000000000003</v>
      </c>
      <c r="H263">
        <v>132257.07800000001</v>
      </c>
      <c r="I263">
        <v>5.0000000000000001E-3</v>
      </c>
      <c r="J263" t="s">
        <v>478</v>
      </c>
      <c r="N263">
        <v>43</v>
      </c>
      <c r="O263">
        <v>43</v>
      </c>
      <c r="P263" t="s">
        <v>697</v>
      </c>
      <c r="Q263" t="s">
        <v>414</v>
      </c>
      <c r="S263">
        <v>1.9</v>
      </c>
      <c r="T263">
        <v>480.803</v>
      </c>
      <c r="U263">
        <v>137215.68799999999</v>
      </c>
      <c r="V263">
        <v>3.5000000000000003E-2</v>
      </c>
      <c r="W263" t="s">
        <v>476</v>
      </c>
    </row>
    <row r="264" spans="1:23" x14ac:dyDescent="0.45">
      <c r="A264">
        <v>38</v>
      </c>
      <c r="B264">
        <v>38</v>
      </c>
      <c r="C264" t="s">
        <v>619</v>
      </c>
      <c r="D264" t="s">
        <v>414</v>
      </c>
      <c r="F264">
        <v>2.68</v>
      </c>
      <c r="G264">
        <v>34.895000000000003</v>
      </c>
      <c r="H264">
        <v>35576.281000000003</v>
      </c>
      <c r="I264">
        <v>0.01</v>
      </c>
      <c r="J264" t="s">
        <v>479</v>
      </c>
      <c r="N264">
        <v>44</v>
      </c>
      <c r="O264">
        <v>44</v>
      </c>
      <c r="P264" t="s">
        <v>698</v>
      </c>
      <c r="Q264" t="s">
        <v>414</v>
      </c>
      <c r="S264">
        <v>1.9</v>
      </c>
      <c r="T264">
        <v>204.804</v>
      </c>
      <c r="U264">
        <v>117471.18</v>
      </c>
      <c r="V264">
        <v>1.7000000000000001E-2</v>
      </c>
      <c r="W264" t="s">
        <v>476</v>
      </c>
    </row>
    <row r="265" spans="1:23" x14ac:dyDescent="0.45">
      <c r="A265">
        <v>39</v>
      </c>
      <c r="B265">
        <v>39</v>
      </c>
      <c r="C265" t="s">
        <v>620</v>
      </c>
      <c r="D265" t="s">
        <v>414</v>
      </c>
      <c r="F265">
        <v>2.69</v>
      </c>
      <c r="G265">
        <v>104.303</v>
      </c>
      <c r="H265">
        <v>34606.141000000003</v>
      </c>
      <c r="I265">
        <v>0.03</v>
      </c>
      <c r="J265" t="s">
        <v>478</v>
      </c>
      <c r="N265">
        <v>45</v>
      </c>
      <c r="O265">
        <v>45</v>
      </c>
      <c r="P265" t="s">
        <v>699</v>
      </c>
      <c r="Q265" t="s">
        <v>414</v>
      </c>
      <c r="S265">
        <v>2.37</v>
      </c>
      <c r="T265">
        <v>132.40700000000001</v>
      </c>
      <c r="U265">
        <v>63819.004000000001</v>
      </c>
      <c r="V265">
        <v>2.1000000000000001E-2</v>
      </c>
      <c r="W265" t="s">
        <v>479</v>
      </c>
    </row>
    <row r="266" spans="1:23" x14ac:dyDescent="0.45">
      <c r="A266">
        <v>40</v>
      </c>
      <c r="B266">
        <v>40</v>
      </c>
      <c r="C266" t="s">
        <v>621</v>
      </c>
      <c r="D266" t="s">
        <v>414</v>
      </c>
      <c r="F266">
        <v>2.27</v>
      </c>
      <c r="G266">
        <v>64.459999999999994</v>
      </c>
      <c r="H266">
        <v>73800.733999999997</v>
      </c>
      <c r="I266">
        <v>8.9999999999999993E-3</v>
      </c>
      <c r="J266" t="s">
        <v>476</v>
      </c>
      <c r="N266">
        <v>46</v>
      </c>
      <c r="O266">
        <v>46</v>
      </c>
      <c r="P266" t="s">
        <v>700</v>
      </c>
      <c r="Q266" t="s">
        <v>414</v>
      </c>
      <c r="S266">
        <v>1.9</v>
      </c>
      <c r="T266">
        <v>194.91499999999999</v>
      </c>
      <c r="U266">
        <v>123878.289</v>
      </c>
      <c r="V266">
        <v>1.6E-2</v>
      </c>
      <c r="W266" t="s">
        <v>477</v>
      </c>
    </row>
    <row r="267" spans="1:23" x14ac:dyDescent="0.45">
      <c r="A267">
        <v>41</v>
      </c>
      <c r="B267">
        <v>41</v>
      </c>
      <c r="C267" t="s">
        <v>622</v>
      </c>
      <c r="D267" t="s">
        <v>414</v>
      </c>
      <c r="F267">
        <v>2.8</v>
      </c>
      <c r="G267">
        <v>161.40700000000001</v>
      </c>
      <c r="H267">
        <v>68812.991999999998</v>
      </c>
      <c r="I267">
        <v>2.3E-2</v>
      </c>
      <c r="J267" t="s">
        <v>476</v>
      </c>
      <c r="N267">
        <v>47</v>
      </c>
      <c r="O267">
        <v>47</v>
      </c>
      <c r="P267" t="s">
        <v>701</v>
      </c>
      <c r="Q267" t="s">
        <v>414</v>
      </c>
      <c r="S267">
        <v>2.38</v>
      </c>
      <c r="T267">
        <v>210.47499999999999</v>
      </c>
      <c r="U267">
        <v>128919.102</v>
      </c>
      <c r="V267">
        <v>1.6E-2</v>
      </c>
      <c r="W267" t="s">
        <v>479</v>
      </c>
    </row>
    <row r="268" spans="1:23" x14ac:dyDescent="0.45">
      <c r="A268">
        <v>42</v>
      </c>
      <c r="B268">
        <v>42</v>
      </c>
      <c r="C268" t="s">
        <v>623</v>
      </c>
      <c r="D268" t="s">
        <v>414</v>
      </c>
      <c r="F268">
        <v>2.69</v>
      </c>
      <c r="G268">
        <v>132.41300000000001</v>
      </c>
      <c r="H268">
        <v>142742.34400000001</v>
      </c>
      <c r="I268">
        <v>8.9999999999999993E-3</v>
      </c>
      <c r="J268" t="s">
        <v>478</v>
      </c>
      <c r="N268">
        <v>48</v>
      </c>
      <c r="O268">
        <v>48</v>
      </c>
      <c r="P268" t="s">
        <v>702</v>
      </c>
      <c r="Q268" t="s">
        <v>414</v>
      </c>
      <c r="S268">
        <v>2.68</v>
      </c>
      <c r="T268">
        <v>204.62299999999999</v>
      </c>
      <c r="U268">
        <v>139734.016</v>
      </c>
      <c r="V268">
        <v>1.4999999999999999E-2</v>
      </c>
      <c r="W268" t="s">
        <v>477</v>
      </c>
    </row>
    <row r="269" spans="1:23" x14ac:dyDescent="0.45">
      <c r="A269">
        <v>43</v>
      </c>
      <c r="B269">
        <v>43</v>
      </c>
      <c r="C269" t="s">
        <v>624</v>
      </c>
      <c r="D269" t="s">
        <v>414</v>
      </c>
      <c r="F269">
        <v>2.84</v>
      </c>
      <c r="G269">
        <v>137.05799999999999</v>
      </c>
      <c r="H269">
        <v>141139.20300000001</v>
      </c>
      <c r="I269">
        <v>0.01</v>
      </c>
      <c r="J269" t="s">
        <v>476</v>
      </c>
      <c r="N269">
        <v>49</v>
      </c>
      <c r="O269">
        <v>49</v>
      </c>
      <c r="P269" t="s">
        <v>703</v>
      </c>
      <c r="Q269" t="s">
        <v>414</v>
      </c>
      <c r="S269">
        <v>1.89</v>
      </c>
      <c r="T269">
        <v>157.01499999999999</v>
      </c>
      <c r="U269">
        <v>134715.21900000001</v>
      </c>
      <c r="V269">
        <v>1.2E-2</v>
      </c>
      <c r="W269" t="s">
        <v>476</v>
      </c>
    </row>
    <row r="270" spans="1:23" x14ac:dyDescent="0.45">
      <c r="A270">
        <v>44</v>
      </c>
      <c r="B270">
        <v>44</v>
      </c>
      <c r="C270" t="s">
        <v>625</v>
      </c>
      <c r="D270" t="s">
        <v>414</v>
      </c>
      <c r="F270">
        <v>1.86</v>
      </c>
      <c r="G270">
        <v>612.62599999999998</v>
      </c>
      <c r="H270">
        <v>109559.80499999999</v>
      </c>
      <c r="I270">
        <v>5.6000000000000001E-2</v>
      </c>
      <c r="J270" t="s">
        <v>479</v>
      </c>
      <c r="N270">
        <v>50</v>
      </c>
      <c r="O270">
        <v>50</v>
      </c>
      <c r="P270" t="s">
        <v>704</v>
      </c>
      <c r="Q270" t="s">
        <v>414</v>
      </c>
      <c r="S270">
        <v>1.89</v>
      </c>
      <c r="T270">
        <v>180.23599999999999</v>
      </c>
      <c r="U270">
        <v>126867.82799999999</v>
      </c>
      <c r="V270">
        <v>1.4E-2</v>
      </c>
      <c r="W270" t="s">
        <v>478</v>
      </c>
    </row>
    <row r="271" spans="1:23" x14ac:dyDescent="0.45">
      <c r="A271">
        <v>45</v>
      </c>
      <c r="B271">
        <v>45</v>
      </c>
      <c r="C271" t="s">
        <v>626</v>
      </c>
      <c r="D271" t="s">
        <v>414</v>
      </c>
      <c r="F271">
        <v>1.85</v>
      </c>
      <c r="G271">
        <v>134.43600000000001</v>
      </c>
      <c r="H271">
        <v>100699.852</v>
      </c>
      <c r="I271">
        <v>1.2999999999999999E-2</v>
      </c>
      <c r="J271" t="s">
        <v>478</v>
      </c>
      <c r="N271">
        <v>51</v>
      </c>
      <c r="O271">
        <v>51</v>
      </c>
      <c r="P271" t="s">
        <v>705</v>
      </c>
      <c r="Q271" t="s">
        <v>414</v>
      </c>
      <c r="S271">
        <v>2.66</v>
      </c>
      <c r="T271">
        <v>86.427999999999997</v>
      </c>
      <c r="U271">
        <v>32657.949000000001</v>
      </c>
      <c r="V271">
        <v>2.5999999999999999E-2</v>
      </c>
      <c r="W271" t="s">
        <v>476</v>
      </c>
    </row>
    <row r="272" spans="1:23" x14ac:dyDescent="0.45">
      <c r="A272">
        <v>46</v>
      </c>
      <c r="B272">
        <v>46</v>
      </c>
      <c r="C272" t="s">
        <v>627</v>
      </c>
      <c r="D272" t="s">
        <v>414</v>
      </c>
      <c r="F272">
        <v>2.38</v>
      </c>
      <c r="G272">
        <v>151.184</v>
      </c>
      <c r="H272">
        <v>104970.602</v>
      </c>
      <c r="I272">
        <v>1.4E-2</v>
      </c>
      <c r="J272" t="s">
        <v>476</v>
      </c>
      <c r="N272">
        <v>52</v>
      </c>
      <c r="O272">
        <v>52</v>
      </c>
      <c r="P272" t="s">
        <v>706</v>
      </c>
      <c r="Q272" t="s">
        <v>414</v>
      </c>
      <c r="S272">
        <v>1.92</v>
      </c>
      <c r="T272">
        <v>162.93600000000001</v>
      </c>
      <c r="U272">
        <v>113259.398</v>
      </c>
      <c r="V272">
        <v>1.4E-2</v>
      </c>
      <c r="W272" t="s">
        <v>477</v>
      </c>
    </row>
    <row r="273" spans="1:24" x14ac:dyDescent="0.45">
      <c r="A273">
        <v>47</v>
      </c>
      <c r="B273">
        <v>47</v>
      </c>
      <c r="C273" t="s">
        <v>628</v>
      </c>
      <c r="D273" t="s">
        <v>414</v>
      </c>
      <c r="F273">
        <v>1.91</v>
      </c>
      <c r="G273">
        <v>191.83699999999999</v>
      </c>
      <c r="H273">
        <v>109074.336</v>
      </c>
      <c r="I273">
        <v>1.7999999999999999E-2</v>
      </c>
      <c r="J273" t="s">
        <v>479</v>
      </c>
      <c r="N273">
        <v>53</v>
      </c>
      <c r="O273">
        <v>53</v>
      </c>
      <c r="P273" t="s">
        <v>707</v>
      </c>
      <c r="Q273" t="s">
        <v>414</v>
      </c>
      <c r="S273">
        <v>2.38</v>
      </c>
      <c r="T273">
        <v>144.56299999999999</v>
      </c>
      <c r="U273">
        <v>124243.109</v>
      </c>
      <c r="V273">
        <v>1.2E-2</v>
      </c>
      <c r="W273" t="s">
        <v>479</v>
      </c>
    </row>
    <row r="274" spans="1:24" x14ac:dyDescent="0.45">
      <c r="A274">
        <v>48</v>
      </c>
      <c r="B274">
        <v>48</v>
      </c>
      <c r="C274" t="s">
        <v>629</v>
      </c>
      <c r="D274" t="s">
        <v>414</v>
      </c>
      <c r="F274">
        <v>2.83</v>
      </c>
      <c r="G274">
        <v>181.90799999999999</v>
      </c>
      <c r="H274">
        <v>85798.312999999995</v>
      </c>
      <c r="I274">
        <v>2.1000000000000001E-2</v>
      </c>
      <c r="J274" t="s">
        <v>479</v>
      </c>
      <c r="N274">
        <v>54</v>
      </c>
      <c r="O274">
        <v>54</v>
      </c>
      <c r="P274" t="s">
        <v>708</v>
      </c>
      <c r="Q274" t="s">
        <v>414</v>
      </c>
      <c r="S274">
        <v>1.87</v>
      </c>
      <c r="T274">
        <v>152.60900000000001</v>
      </c>
      <c r="U274">
        <v>114665.094</v>
      </c>
      <c r="V274">
        <v>1.2999999999999999E-2</v>
      </c>
      <c r="W274" t="s">
        <v>477</v>
      </c>
    </row>
    <row r="275" spans="1:24" x14ac:dyDescent="0.45">
      <c r="A275">
        <v>49</v>
      </c>
      <c r="B275">
        <v>49</v>
      </c>
      <c r="C275" t="s">
        <v>630</v>
      </c>
      <c r="D275" t="s">
        <v>414</v>
      </c>
      <c r="F275">
        <v>1.88</v>
      </c>
      <c r="G275">
        <v>284.86099999999999</v>
      </c>
      <c r="H275">
        <v>116367.523</v>
      </c>
      <c r="I275">
        <v>2.4E-2</v>
      </c>
      <c r="J275" t="s">
        <v>476</v>
      </c>
      <c r="N275">
        <v>55</v>
      </c>
      <c r="O275">
        <v>55</v>
      </c>
      <c r="P275" t="s">
        <v>709</v>
      </c>
      <c r="Q275" t="s">
        <v>414</v>
      </c>
      <c r="S275">
        <v>1.91</v>
      </c>
      <c r="T275">
        <v>207.14599999999999</v>
      </c>
      <c r="U275">
        <v>121366.523</v>
      </c>
      <c r="V275">
        <v>1.7000000000000001E-2</v>
      </c>
      <c r="W275" t="s">
        <v>476</v>
      </c>
    </row>
    <row r="276" spans="1:24" x14ac:dyDescent="0.45">
      <c r="A276">
        <v>50</v>
      </c>
      <c r="B276">
        <v>50</v>
      </c>
      <c r="C276" t="s">
        <v>631</v>
      </c>
      <c r="D276" t="s">
        <v>414</v>
      </c>
      <c r="F276">
        <v>2.38</v>
      </c>
      <c r="G276">
        <v>140.279</v>
      </c>
      <c r="H276">
        <v>87716.672000000006</v>
      </c>
      <c r="I276">
        <v>1.6E-2</v>
      </c>
      <c r="J276" t="s">
        <v>479</v>
      </c>
      <c r="N276">
        <v>56</v>
      </c>
      <c r="O276">
        <v>56</v>
      </c>
      <c r="P276" t="s">
        <v>710</v>
      </c>
      <c r="Q276" t="s">
        <v>414</v>
      </c>
      <c r="S276">
        <v>1.86</v>
      </c>
      <c r="T276">
        <v>213.27699999999999</v>
      </c>
      <c r="U276">
        <v>121716.352</v>
      </c>
      <c r="V276">
        <v>1.7999999999999999E-2</v>
      </c>
      <c r="W276" t="s">
        <v>478</v>
      </c>
    </row>
    <row r="277" spans="1:24" x14ac:dyDescent="0.45">
      <c r="A277">
        <v>51</v>
      </c>
      <c r="B277">
        <v>51</v>
      </c>
      <c r="C277" t="s">
        <v>632</v>
      </c>
      <c r="D277" t="s">
        <v>414</v>
      </c>
      <c r="F277">
        <v>2.7</v>
      </c>
      <c r="G277">
        <v>102.45099999999999</v>
      </c>
      <c r="H277">
        <v>80047.312999999995</v>
      </c>
      <c r="I277">
        <v>1.2999999999999999E-2</v>
      </c>
      <c r="J277" t="s">
        <v>476</v>
      </c>
      <c r="N277">
        <v>57</v>
      </c>
      <c r="O277">
        <v>57</v>
      </c>
      <c r="P277" t="s">
        <v>711</v>
      </c>
      <c r="Q277" t="s">
        <v>414</v>
      </c>
      <c r="S277">
        <v>1.91</v>
      </c>
      <c r="T277">
        <v>111.33199999999999</v>
      </c>
      <c r="U277">
        <v>145073.04699999999</v>
      </c>
      <c r="V277">
        <v>8.0000000000000002E-3</v>
      </c>
      <c r="W277" t="s">
        <v>478</v>
      </c>
    </row>
    <row r="278" spans="1:24" x14ac:dyDescent="0.45">
      <c r="A278">
        <v>52</v>
      </c>
      <c r="B278">
        <v>52</v>
      </c>
      <c r="C278" t="s">
        <v>633</v>
      </c>
      <c r="D278" t="s">
        <v>414</v>
      </c>
      <c r="F278">
        <v>2.38</v>
      </c>
      <c r="G278">
        <v>52.889000000000003</v>
      </c>
      <c r="H278">
        <v>95509.702999999994</v>
      </c>
      <c r="I278">
        <v>6.0000000000000001E-3</v>
      </c>
      <c r="J278" t="s">
        <v>476</v>
      </c>
      <c r="N278">
        <v>58</v>
      </c>
      <c r="O278">
        <v>58</v>
      </c>
      <c r="P278" t="s">
        <v>712</v>
      </c>
      <c r="Q278" t="s">
        <v>414</v>
      </c>
      <c r="S278">
        <v>1.88</v>
      </c>
      <c r="T278">
        <v>325.60399999999998</v>
      </c>
      <c r="U278">
        <v>120038.648</v>
      </c>
      <c r="V278">
        <v>2.7E-2</v>
      </c>
      <c r="W278" t="s">
        <v>477</v>
      </c>
    </row>
    <row r="279" spans="1:24" x14ac:dyDescent="0.45">
      <c r="A279">
        <v>53</v>
      </c>
      <c r="B279">
        <v>53</v>
      </c>
      <c r="C279" t="s">
        <v>634</v>
      </c>
      <c r="D279" t="s">
        <v>414</v>
      </c>
      <c r="F279">
        <v>2.82</v>
      </c>
      <c r="G279">
        <v>115.05</v>
      </c>
      <c r="H279">
        <v>131696.625</v>
      </c>
      <c r="I279">
        <v>8.9999999999999993E-3</v>
      </c>
      <c r="J279" t="s">
        <v>476</v>
      </c>
      <c r="N279">
        <v>59</v>
      </c>
      <c r="O279">
        <v>59</v>
      </c>
      <c r="P279" t="s">
        <v>713</v>
      </c>
      <c r="Q279" t="s">
        <v>414</v>
      </c>
      <c r="S279">
        <v>2.68</v>
      </c>
      <c r="T279">
        <v>70.191000000000003</v>
      </c>
      <c r="U279">
        <v>65922.922000000006</v>
      </c>
      <c r="V279">
        <v>1.0999999999999999E-2</v>
      </c>
      <c r="W279" t="s">
        <v>478</v>
      </c>
    </row>
    <row r="280" spans="1:24" x14ac:dyDescent="0.45">
      <c r="A280">
        <v>54</v>
      </c>
      <c r="B280">
        <v>54</v>
      </c>
      <c r="C280" t="s">
        <v>635</v>
      </c>
      <c r="D280" t="s">
        <v>414</v>
      </c>
      <c r="F280">
        <v>1.89</v>
      </c>
      <c r="G280">
        <v>76.631</v>
      </c>
      <c r="H280">
        <v>51488.027000000002</v>
      </c>
      <c r="I280">
        <v>1.4999999999999999E-2</v>
      </c>
      <c r="J280" t="s">
        <v>476</v>
      </c>
      <c r="N280">
        <v>60</v>
      </c>
      <c r="O280">
        <v>60</v>
      </c>
      <c r="P280" t="s">
        <v>714</v>
      </c>
      <c r="Q280" t="s">
        <v>414</v>
      </c>
      <c r="S280">
        <v>1.88</v>
      </c>
      <c r="T280">
        <v>168.03299999999999</v>
      </c>
      <c r="U280">
        <v>84066.273000000001</v>
      </c>
      <c r="V280">
        <v>0.02</v>
      </c>
      <c r="W280" t="s">
        <v>476</v>
      </c>
    </row>
    <row r="281" spans="1:24" x14ac:dyDescent="0.45">
      <c r="A281">
        <v>55</v>
      </c>
      <c r="B281">
        <v>55</v>
      </c>
      <c r="C281" t="s">
        <v>636</v>
      </c>
      <c r="D281" t="s">
        <v>414</v>
      </c>
      <c r="F281">
        <v>2.81</v>
      </c>
      <c r="G281">
        <v>85.908000000000001</v>
      </c>
      <c r="H281">
        <v>81706.172000000006</v>
      </c>
      <c r="I281">
        <v>1.0999999999999999E-2</v>
      </c>
      <c r="J281" t="s">
        <v>477</v>
      </c>
      <c r="N281">
        <v>61</v>
      </c>
      <c r="O281">
        <v>61</v>
      </c>
      <c r="P281" t="s">
        <v>715</v>
      </c>
      <c r="Q281" t="s">
        <v>414</v>
      </c>
      <c r="S281">
        <v>1.89</v>
      </c>
      <c r="T281">
        <v>3076.6909999999998</v>
      </c>
      <c r="U281">
        <v>117342.242</v>
      </c>
      <c r="V281">
        <v>0.26200000000000001</v>
      </c>
      <c r="W281" t="s">
        <v>412</v>
      </c>
      <c r="X281">
        <v>0.2</v>
      </c>
    </row>
    <row r="282" spans="1:24" x14ac:dyDescent="0.45">
      <c r="A282">
        <v>56</v>
      </c>
      <c r="B282">
        <v>56</v>
      </c>
      <c r="C282" t="s">
        <v>637</v>
      </c>
      <c r="D282" t="s">
        <v>414</v>
      </c>
      <c r="F282">
        <v>1.89</v>
      </c>
      <c r="G282">
        <v>194.03899999999999</v>
      </c>
      <c r="H282">
        <v>133634.18799999999</v>
      </c>
      <c r="I282">
        <v>1.4999999999999999E-2</v>
      </c>
      <c r="J282" t="s">
        <v>476</v>
      </c>
      <c r="N282">
        <v>62</v>
      </c>
      <c r="O282">
        <v>62</v>
      </c>
      <c r="P282" t="s">
        <v>716</v>
      </c>
      <c r="Q282" t="s">
        <v>414</v>
      </c>
      <c r="S282">
        <v>1.89</v>
      </c>
      <c r="T282">
        <v>231.33699999999999</v>
      </c>
      <c r="U282">
        <v>59151.184000000001</v>
      </c>
      <c r="V282">
        <v>3.9E-2</v>
      </c>
      <c r="W282" t="s">
        <v>476</v>
      </c>
    </row>
    <row r="283" spans="1:24" x14ac:dyDescent="0.45">
      <c r="A283">
        <v>57</v>
      </c>
      <c r="B283">
        <v>57</v>
      </c>
      <c r="C283" t="s">
        <v>638</v>
      </c>
      <c r="D283" t="s">
        <v>414</v>
      </c>
      <c r="F283">
        <v>2.67</v>
      </c>
      <c r="G283">
        <v>104.11799999999999</v>
      </c>
      <c r="H283">
        <v>66668.858999999997</v>
      </c>
      <c r="I283">
        <v>1.6E-2</v>
      </c>
      <c r="J283" t="s">
        <v>476</v>
      </c>
      <c r="N283">
        <v>63</v>
      </c>
      <c r="O283">
        <v>63</v>
      </c>
      <c r="P283" t="s">
        <v>717</v>
      </c>
      <c r="Q283" t="s">
        <v>414</v>
      </c>
      <c r="S283">
        <v>2.68</v>
      </c>
      <c r="T283">
        <v>207.39</v>
      </c>
      <c r="U283">
        <v>138972.04699999999</v>
      </c>
      <c r="V283">
        <v>1.4999999999999999E-2</v>
      </c>
      <c r="W283" t="s">
        <v>476</v>
      </c>
    </row>
    <row r="284" spans="1:24" x14ac:dyDescent="0.45">
      <c r="A284">
        <v>58</v>
      </c>
      <c r="B284">
        <v>58</v>
      </c>
      <c r="C284" t="s">
        <v>639</v>
      </c>
      <c r="D284" t="s">
        <v>414</v>
      </c>
      <c r="F284">
        <v>2.8</v>
      </c>
      <c r="G284">
        <v>77.010999999999996</v>
      </c>
      <c r="H284">
        <v>65731.679999999993</v>
      </c>
      <c r="I284">
        <v>1.2E-2</v>
      </c>
      <c r="J284" t="s">
        <v>478</v>
      </c>
      <c r="N284">
        <v>64</v>
      </c>
      <c r="O284">
        <v>64</v>
      </c>
      <c r="P284" t="s">
        <v>718</v>
      </c>
      <c r="Q284" t="s">
        <v>414</v>
      </c>
      <c r="S284">
        <v>1.9</v>
      </c>
      <c r="T284">
        <v>247.58</v>
      </c>
      <c r="U284">
        <v>127812.383</v>
      </c>
      <c r="V284">
        <v>1.9E-2</v>
      </c>
      <c r="W284" t="s">
        <v>476</v>
      </c>
    </row>
    <row r="285" spans="1:24" x14ac:dyDescent="0.45">
      <c r="A285">
        <v>59</v>
      </c>
      <c r="B285">
        <v>59</v>
      </c>
      <c r="C285" t="s">
        <v>640</v>
      </c>
      <c r="D285" t="s">
        <v>414</v>
      </c>
      <c r="F285">
        <v>1.9</v>
      </c>
      <c r="G285">
        <v>337.24799999999999</v>
      </c>
      <c r="H285">
        <v>86693.023000000001</v>
      </c>
      <c r="I285">
        <v>3.9E-2</v>
      </c>
      <c r="J285" t="s">
        <v>476</v>
      </c>
      <c r="N285">
        <v>65</v>
      </c>
      <c r="O285">
        <v>65</v>
      </c>
      <c r="P285" t="s">
        <v>719</v>
      </c>
      <c r="Q285" t="s">
        <v>414</v>
      </c>
      <c r="S285">
        <v>1.88</v>
      </c>
      <c r="T285">
        <v>143.09299999999999</v>
      </c>
      <c r="U285">
        <v>46748.483999999997</v>
      </c>
      <c r="V285">
        <v>3.1E-2</v>
      </c>
      <c r="W285" t="s">
        <v>476</v>
      </c>
    </row>
    <row r="286" spans="1:24" x14ac:dyDescent="0.45">
      <c r="A286">
        <v>60</v>
      </c>
      <c r="B286">
        <v>60</v>
      </c>
      <c r="C286" t="s">
        <v>641</v>
      </c>
      <c r="D286" t="s">
        <v>414</v>
      </c>
      <c r="F286">
        <v>1.87</v>
      </c>
      <c r="G286">
        <v>177.488</v>
      </c>
      <c r="H286">
        <v>78097.077999999994</v>
      </c>
      <c r="I286">
        <v>2.3E-2</v>
      </c>
      <c r="J286" t="s">
        <v>477</v>
      </c>
      <c r="N286">
        <v>66</v>
      </c>
      <c r="O286">
        <v>66</v>
      </c>
      <c r="P286" t="s">
        <v>720</v>
      </c>
      <c r="Q286" t="s">
        <v>414</v>
      </c>
      <c r="S286">
        <v>1.9</v>
      </c>
      <c r="T286">
        <v>295.96100000000001</v>
      </c>
      <c r="U286">
        <v>151900.109</v>
      </c>
      <c r="V286">
        <v>1.9E-2</v>
      </c>
      <c r="W286" t="s">
        <v>476</v>
      </c>
    </row>
    <row r="287" spans="1:24" x14ac:dyDescent="0.45">
      <c r="A287">
        <v>61</v>
      </c>
      <c r="B287">
        <v>61</v>
      </c>
      <c r="C287" t="s">
        <v>642</v>
      </c>
      <c r="D287" t="s">
        <v>414</v>
      </c>
      <c r="F287">
        <v>1.92</v>
      </c>
      <c r="G287">
        <v>138.76400000000001</v>
      </c>
      <c r="H287">
        <v>107251.93799999999</v>
      </c>
      <c r="I287">
        <v>1.2999999999999999E-2</v>
      </c>
      <c r="J287" t="s">
        <v>479</v>
      </c>
      <c r="N287">
        <v>67</v>
      </c>
      <c r="O287">
        <v>67</v>
      </c>
      <c r="P287" t="s">
        <v>721</v>
      </c>
      <c r="Q287" t="s">
        <v>414</v>
      </c>
      <c r="S287">
        <v>1.93</v>
      </c>
      <c r="T287">
        <v>187.523</v>
      </c>
      <c r="U287">
        <v>137364.109</v>
      </c>
      <c r="V287">
        <v>1.4E-2</v>
      </c>
      <c r="W287" t="s">
        <v>477</v>
      </c>
    </row>
    <row r="288" spans="1:24" x14ac:dyDescent="0.45">
      <c r="A288">
        <v>62</v>
      </c>
      <c r="B288">
        <v>62</v>
      </c>
      <c r="C288" t="s">
        <v>643</v>
      </c>
      <c r="D288" t="s">
        <v>414</v>
      </c>
      <c r="F288">
        <v>1.87</v>
      </c>
      <c r="G288">
        <v>1936.01</v>
      </c>
      <c r="H288">
        <v>123916.984</v>
      </c>
      <c r="I288">
        <v>0.156</v>
      </c>
      <c r="J288" t="s">
        <v>479</v>
      </c>
    </row>
    <row r="289" spans="1:25" x14ac:dyDescent="0.45">
      <c r="A289">
        <v>63</v>
      </c>
      <c r="B289">
        <v>63</v>
      </c>
      <c r="C289" t="s">
        <v>644</v>
      </c>
      <c r="D289" t="s">
        <v>414</v>
      </c>
      <c r="F289">
        <v>1.89</v>
      </c>
      <c r="G289">
        <v>143.19999999999999</v>
      </c>
      <c r="H289">
        <v>82257.5</v>
      </c>
      <c r="I289">
        <v>1.7000000000000001E-2</v>
      </c>
      <c r="J289" t="s">
        <v>479</v>
      </c>
      <c r="N289" t="s">
        <v>482</v>
      </c>
    </row>
    <row r="290" spans="1:25" x14ac:dyDescent="0.45">
      <c r="A290">
        <v>64</v>
      </c>
      <c r="B290">
        <v>64</v>
      </c>
      <c r="C290" t="s">
        <v>645</v>
      </c>
      <c r="D290" t="s">
        <v>414</v>
      </c>
      <c r="F290">
        <v>2.4</v>
      </c>
      <c r="G290">
        <v>75.33</v>
      </c>
      <c r="H290">
        <v>65478.347999999998</v>
      </c>
      <c r="I290">
        <v>1.2E-2</v>
      </c>
      <c r="J290" t="s">
        <v>476</v>
      </c>
    </row>
    <row r="291" spans="1:25" x14ac:dyDescent="0.45">
      <c r="A291">
        <v>65</v>
      </c>
      <c r="B291">
        <v>65</v>
      </c>
      <c r="C291" t="s">
        <v>646</v>
      </c>
      <c r="D291" t="s">
        <v>414</v>
      </c>
      <c r="F291">
        <v>2.82</v>
      </c>
      <c r="G291">
        <v>79.45</v>
      </c>
      <c r="H291">
        <v>75065.875</v>
      </c>
      <c r="I291">
        <v>1.0999999999999999E-2</v>
      </c>
      <c r="J291" t="s">
        <v>478</v>
      </c>
      <c r="O291" t="s">
        <v>389</v>
      </c>
      <c r="P291" t="s">
        <v>123</v>
      </c>
      <c r="Q291" t="s">
        <v>390</v>
      </c>
      <c r="R291" t="s">
        <v>391</v>
      </c>
      <c r="S291" t="s">
        <v>392</v>
      </c>
      <c r="T291" t="s">
        <v>393</v>
      </c>
      <c r="U291" t="s">
        <v>394</v>
      </c>
      <c r="V291" t="s">
        <v>395</v>
      </c>
      <c r="W291" t="s">
        <v>396</v>
      </c>
      <c r="X291" t="s">
        <v>397</v>
      </c>
      <c r="Y291" t="s">
        <v>398</v>
      </c>
    </row>
    <row r="292" spans="1:25" x14ac:dyDescent="0.45">
      <c r="A292">
        <v>66</v>
      </c>
      <c r="B292">
        <v>66</v>
      </c>
      <c r="C292" t="s">
        <v>647</v>
      </c>
      <c r="D292" t="s">
        <v>414</v>
      </c>
      <c r="F292">
        <v>1.91</v>
      </c>
      <c r="G292">
        <v>107.23399999999999</v>
      </c>
      <c r="H292">
        <v>97245</v>
      </c>
      <c r="I292">
        <v>1.0999999999999999E-2</v>
      </c>
      <c r="J292" t="s">
        <v>478</v>
      </c>
      <c r="N292">
        <v>1</v>
      </c>
      <c r="O292">
        <v>1</v>
      </c>
      <c r="P292" t="s">
        <v>655</v>
      </c>
      <c r="Q292" t="s">
        <v>400</v>
      </c>
      <c r="R292">
        <v>0.05</v>
      </c>
      <c r="S292">
        <v>3.06</v>
      </c>
      <c r="T292">
        <v>104451.594</v>
      </c>
      <c r="U292">
        <v>193356.859</v>
      </c>
      <c r="V292">
        <v>5.4020000000000001</v>
      </c>
      <c r="W292" t="s">
        <v>403</v>
      </c>
      <c r="X292">
        <v>0.1</v>
      </c>
      <c r="Y292">
        <v>166</v>
      </c>
    </row>
    <row r="293" spans="1:25" x14ac:dyDescent="0.45">
      <c r="A293">
        <v>67</v>
      </c>
      <c r="B293">
        <v>67</v>
      </c>
      <c r="C293" t="s">
        <v>648</v>
      </c>
      <c r="D293" t="s">
        <v>414</v>
      </c>
      <c r="F293">
        <v>1.84</v>
      </c>
      <c r="G293">
        <v>105.187</v>
      </c>
      <c r="H293">
        <v>72379.960999999996</v>
      </c>
      <c r="I293">
        <v>1.4999999999999999E-2</v>
      </c>
      <c r="J293" t="s">
        <v>476</v>
      </c>
      <c r="N293">
        <v>2</v>
      </c>
      <c r="O293">
        <v>2</v>
      </c>
      <c r="P293" t="s">
        <v>656</v>
      </c>
      <c r="Q293" t="s">
        <v>400</v>
      </c>
      <c r="R293">
        <v>0.5</v>
      </c>
      <c r="S293">
        <v>3.06</v>
      </c>
      <c r="T293">
        <v>83343.195000000007</v>
      </c>
      <c r="U293">
        <v>172043.79699999999</v>
      </c>
      <c r="V293">
        <v>4.8440000000000003</v>
      </c>
      <c r="W293" t="s">
        <v>484</v>
      </c>
    </row>
    <row r="294" spans="1:25" x14ac:dyDescent="0.45">
      <c r="A294">
        <v>68</v>
      </c>
      <c r="B294">
        <v>68</v>
      </c>
      <c r="C294" t="s">
        <v>649</v>
      </c>
      <c r="D294" t="s">
        <v>414</v>
      </c>
      <c r="F294">
        <v>2.82</v>
      </c>
      <c r="G294">
        <v>90.108000000000004</v>
      </c>
      <c r="H294">
        <v>76601.156000000003</v>
      </c>
      <c r="I294">
        <v>1.2E-2</v>
      </c>
      <c r="J294" t="s">
        <v>478</v>
      </c>
      <c r="N294">
        <v>3</v>
      </c>
      <c r="O294">
        <v>3</v>
      </c>
      <c r="P294" t="s">
        <v>657</v>
      </c>
      <c r="Q294" t="s">
        <v>400</v>
      </c>
      <c r="R294">
        <v>1.25</v>
      </c>
      <c r="S294">
        <v>3.07</v>
      </c>
      <c r="T294">
        <v>187748.09400000001</v>
      </c>
      <c r="U294">
        <v>166185.375</v>
      </c>
      <c r="V294">
        <v>11.298</v>
      </c>
      <c r="W294" t="s">
        <v>485</v>
      </c>
      <c r="X294">
        <v>2.2999999999999998</v>
      </c>
      <c r="Y294">
        <v>86.6</v>
      </c>
    </row>
    <row r="295" spans="1:25" x14ac:dyDescent="0.45">
      <c r="A295">
        <v>69</v>
      </c>
      <c r="B295">
        <v>69</v>
      </c>
      <c r="C295" t="s">
        <v>650</v>
      </c>
      <c r="D295" t="s">
        <v>414</v>
      </c>
      <c r="F295">
        <v>1.85</v>
      </c>
      <c r="G295">
        <v>179.529</v>
      </c>
      <c r="H295">
        <v>93657.812999999995</v>
      </c>
      <c r="I295">
        <v>1.9E-2</v>
      </c>
      <c r="J295" t="s">
        <v>476</v>
      </c>
      <c r="N295">
        <v>4</v>
      </c>
      <c r="O295">
        <v>4</v>
      </c>
      <c r="P295" t="s">
        <v>658</v>
      </c>
      <c r="Q295" t="s">
        <v>400</v>
      </c>
      <c r="R295">
        <v>2.5</v>
      </c>
      <c r="S295">
        <v>3.07</v>
      </c>
      <c r="T295">
        <v>232177.95300000001</v>
      </c>
      <c r="U295">
        <v>171007.78099999999</v>
      </c>
      <c r="V295">
        <v>13.577</v>
      </c>
      <c r="W295" t="s">
        <v>486</v>
      </c>
      <c r="X295">
        <v>3.2</v>
      </c>
      <c r="Y295">
        <v>27.3</v>
      </c>
    </row>
    <row r="296" spans="1:25" x14ac:dyDescent="0.45">
      <c r="N296">
        <v>5</v>
      </c>
      <c r="O296">
        <v>5</v>
      </c>
      <c r="P296" t="s">
        <v>659</v>
      </c>
      <c r="Q296" t="s">
        <v>400</v>
      </c>
      <c r="R296">
        <v>3.5</v>
      </c>
      <c r="S296">
        <v>3.07</v>
      </c>
      <c r="T296">
        <v>300193.90600000002</v>
      </c>
      <c r="U296">
        <v>207124.79699999999</v>
      </c>
      <c r="V296">
        <v>14.493</v>
      </c>
      <c r="W296" t="s">
        <v>415</v>
      </c>
      <c r="X296">
        <v>3.5</v>
      </c>
      <c r="Y296">
        <v>0.7</v>
      </c>
    </row>
    <row r="297" spans="1:25" x14ac:dyDescent="0.45">
      <c r="A297" t="s">
        <v>482</v>
      </c>
      <c r="N297">
        <v>6</v>
      </c>
      <c r="O297">
        <v>6</v>
      </c>
      <c r="P297" t="s">
        <v>660</v>
      </c>
      <c r="Q297" t="s">
        <v>400</v>
      </c>
      <c r="R297">
        <v>5</v>
      </c>
      <c r="S297">
        <v>3.08</v>
      </c>
      <c r="T297">
        <v>356566.34399999998</v>
      </c>
      <c r="U297">
        <v>203095.21900000001</v>
      </c>
      <c r="V297">
        <v>17.556999999999999</v>
      </c>
      <c r="W297" t="s">
        <v>401</v>
      </c>
      <c r="X297">
        <v>4.7</v>
      </c>
      <c r="Y297">
        <v>-6.6</v>
      </c>
    </row>
    <row r="298" spans="1:25" x14ac:dyDescent="0.45">
      <c r="N298">
        <v>7</v>
      </c>
      <c r="O298">
        <v>7</v>
      </c>
      <c r="P298" t="s">
        <v>661</v>
      </c>
      <c r="Q298" t="s">
        <v>400</v>
      </c>
      <c r="R298">
        <v>7</v>
      </c>
      <c r="S298">
        <v>3.08</v>
      </c>
      <c r="T298">
        <v>453480.375</v>
      </c>
      <c r="U298">
        <v>185792.5</v>
      </c>
      <c r="V298">
        <v>24.408000000000001</v>
      </c>
      <c r="W298" t="s">
        <v>415</v>
      </c>
      <c r="X298">
        <v>7.2</v>
      </c>
      <c r="Y298">
        <v>3.2</v>
      </c>
    </row>
    <row r="299" spans="1:25" x14ac:dyDescent="0.45">
      <c r="B299" t="s">
        <v>389</v>
      </c>
      <c r="C299" t="s">
        <v>123</v>
      </c>
      <c r="D299" t="s">
        <v>390</v>
      </c>
      <c r="E299" t="s">
        <v>391</v>
      </c>
      <c r="F299" t="s">
        <v>392</v>
      </c>
      <c r="G299" t="s">
        <v>393</v>
      </c>
      <c r="H299" t="s">
        <v>394</v>
      </c>
      <c r="I299" t="s">
        <v>395</v>
      </c>
      <c r="J299" t="s">
        <v>396</v>
      </c>
      <c r="K299" t="s">
        <v>397</v>
      </c>
      <c r="L299" t="s">
        <v>398</v>
      </c>
      <c r="N299">
        <v>8</v>
      </c>
      <c r="O299">
        <v>8</v>
      </c>
      <c r="P299" t="s">
        <v>662</v>
      </c>
      <c r="Q299" t="s">
        <v>414</v>
      </c>
      <c r="S299">
        <v>3.08</v>
      </c>
      <c r="T299">
        <v>259194.28099999999</v>
      </c>
      <c r="U299">
        <v>83556.25</v>
      </c>
      <c r="V299">
        <v>31.02</v>
      </c>
      <c r="W299" t="s">
        <v>403</v>
      </c>
      <c r="X299">
        <v>9.6999999999999993</v>
      </c>
    </row>
    <row r="300" spans="1:25" x14ac:dyDescent="0.45">
      <c r="A300">
        <v>1</v>
      </c>
      <c r="B300">
        <v>1</v>
      </c>
      <c r="C300" t="s">
        <v>582</v>
      </c>
      <c r="D300" t="s">
        <v>400</v>
      </c>
      <c r="E300">
        <v>0.05</v>
      </c>
      <c r="F300">
        <v>3.05</v>
      </c>
      <c r="G300">
        <v>129416.266</v>
      </c>
      <c r="H300">
        <v>112126.477</v>
      </c>
      <c r="I300">
        <v>11.542</v>
      </c>
      <c r="J300" t="s">
        <v>491</v>
      </c>
      <c r="K300">
        <v>3.1</v>
      </c>
      <c r="L300">
        <v>6053.2</v>
      </c>
      <c r="N300">
        <v>9</v>
      </c>
      <c r="O300">
        <v>9</v>
      </c>
      <c r="P300" t="s">
        <v>663</v>
      </c>
      <c r="Q300" t="s">
        <v>414</v>
      </c>
      <c r="S300">
        <v>3.09</v>
      </c>
      <c r="T300">
        <v>228280.234</v>
      </c>
      <c r="U300">
        <v>76502.093999999997</v>
      </c>
      <c r="V300">
        <v>29.84</v>
      </c>
      <c r="W300" t="s">
        <v>403</v>
      </c>
      <c r="X300">
        <v>9.3000000000000007</v>
      </c>
    </row>
    <row r="301" spans="1:25" x14ac:dyDescent="0.45">
      <c r="A301">
        <v>2</v>
      </c>
      <c r="B301">
        <v>2</v>
      </c>
      <c r="C301" t="s">
        <v>583</v>
      </c>
      <c r="D301" t="s">
        <v>400</v>
      </c>
      <c r="E301">
        <v>0.5</v>
      </c>
      <c r="F301">
        <v>3.05</v>
      </c>
      <c r="G301">
        <v>140264.71900000001</v>
      </c>
      <c r="H301">
        <v>132045.46900000001</v>
      </c>
      <c r="I301">
        <v>10.622</v>
      </c>
      <c r="J301" t="s">
        <v>491</v>
      </c>
      <c r="K301">
        <v>2.7</v>
      </c>
      <c r="L301">
        <v>440.2</v>
      </c>
      <c r="N301">
        <v>10</v>
      </c>
      <c r="O301">
        <v>10</v>
      </c>
      <c r="P301" t="s">
        <v>664</v>
      </c>
      <c r="Q301" t="s">
        <v>414</v>
      </c>
      <c r="S301">
        <v>3.09</v>
      </c>
      <c r="T301">
        <v>358282.25</v>
      </c>
      <c r="U301">
        <v>94327.679999999993</v>
      </c>
      <c r="V301">
        <v>37.982999999999997</v>
      </c>
      <c r="W301" t="s">
        <v>403</v>
      </c>
      <c r="X301">
        <v>12.3</v>
      </c>
    </row>
    <row r="302" spans="1:25" x14ac:dyDescent="0.45">
      <c r="A302">
        <v>3</v>
      </c>
      <c r="B302">
        <v>3</v>
      </c>
      <c r="C302" t="s">
        <v>584</v>
      </c>
      <c r="D302" t="s">
        <v>400</v>
      </c>
      <c r="E302">
        <v>1.25</v>
      </c>
      <c r="F302">
        <v>3.06</v>
      </c>
      <c r="G302">
        <v>111403.781</v>
      </c>
      <c r="H302">
        <v>111546.383</v>
      </c>
      <c r="I302">
        <v>9.9870000000000001</v>
      </c>
      <c r="J302" t="s">
        <v>491</v>
      </c>
      <c r="K302">
        <v>2.4</v>
      </c>
      <c r="L302">
        <v>95.3</v>
      </c>
      <c r="N302">
        <v>11</v>
      </c>
      <c r="O302">
        <v>11</v>
      </c>
      <c r="P302" t="s">
        <v>665</v>
      </c>
      <c r="Q302" t="s">
        <v>414</v>
      </c>
      <c r="S302">
        <v>3.09</v>
      </c>
      <c r="T302">
        <v>193586.67199999999</v>
      </c>
      <c r="U302">
        <v>62249.362999999998</v>
      </c>
      <c r="V302">
        <v>31.099</v>
      </c>
      <c r="W302" t="s">
        <v>403</v>
      </c>
      <c r="X302">
        <v>9.6999999999999993</v>
      </c>
    </row>
    <row r="303" spans="1:25" x14ac:dyDescent="0.45">
      <c r="A303">
        <v>4</v>
      </c>
      <c r="B303">
        <v>4</v>
      </c>
      <c r="C303" t="s">
        <v>585</v>
      </c>
      <c r="D303" t="s">
        <v>400</v>
      </c>
      <c r="E303">
        <v>2.5</v>
      </c>
      <c r="F303">
        <v>3.06</v>
      </c>
      <c r="G303">
        <v>155857.516</v>
      </c>
      <c r="H303">
        <v>147326.109</v>
      </c>
      <c r="I303">
        <v>10.579000000000001</v>
      </c>
      <c r="J303" t="s">
        <v>401</v>
      </c>
      <c r="K303">
        <v>2.7</v>
      </c>
      <c r="L303">
        <v>7.3</v>
      </c>
      <c r="N303">
        <v>12</v>
      </c>
      <c r="O303">
        <v>12</v>
      </c>
      <c r="P303" t="s">
        <v>666</v>
      </c>
      <c r="Q303" t="s">
        <v>414</v>
      </c>
      <c r="S303">
        <v>3.09</v>
      </c>
      <c r="T303">
        <v>185965.734</v>
      </c>
      <c r="U303">
        <v>50064.565999999999</v>
      </c>
      <c r="V303">
        <v>37.145000000000003</v>
      </c>
      <c r="W303" t="s">
        <v>403</v>
      </c>
      <c r="X303">
        <v>12</v>
      </c>
    </row>
    <row r="304" spans="1:25" x14ac:dyDescent="0.45">
      <c r="A304">
        <v>5</v>
      </c>
      <c r="B304">
        <v>5</v>
      </c>
      <c r="C304" t="s">
        <v>586</v>
      </c>
      <c r="D304" t="s">
        <v>400</v>
      </c>
      <c r="E304">
        <v>3.5</v>
      </c>
      <c r="F304">
        <v>3.06</v>
      </c>
      <c r="G304">
        <v>206572.09400000001</v>
      </c>
      <c r="H304">
        <v>168990.53099999999</v>
      </c>
      <c r="I304">
        <v>12.224</v>
      </c>
      <c r="J304" t="s">
        <v>401</v>
      </c>
      <c r="K304">
        <v>3.4</v>
      </c>
      <c r="L304">
        <v>-4.0999999999999996</v>
      </c>
      <c r="N304">
        <v>13</v>
      </c>
      <c r="O304">
        <v>13</v>
      </c>
      <c r="P304" t="s">
        <v>667</v>
      </c>
      <c r="Q304" t="s">
        <v>414</v>
      </c>
      <c r="S304">
        <v>3.09</v>
      </c>
      <c r="T304">
        <v>201195.391</v>
      </c>
      <c r="U304">
        <v>55640.379000000001</v>
      </c>
      <c r="V304">
        <v>36.159999999999997</v>
      </c>
      <c r="W304" t="s">
        <v>403</v>
      </c>
      <c r="X304">
        <v>11.6</v>
      </c>
    </row>
    <row r="305" spans="1:24" x14ac:dyDescent="0.45">
      <c r="A305">
        <v>6</v>
      </c>
      <c r="B305">
        <v>6</v>
      </c>
      <c r="C305" t="s">
        <v>587</v>
      </c>
      <c r="D305" t="s">
        <v>400</v>
      </c>
      <c r="E305">
        <v>5</v>
      </c>
      <c r="F305">
        <v>3.06</v>
      </c>
      <c r="G305">
        <v>293697.65600000002</v>
      </c>
      <c r="H305">
        <v>185178.07800000001</v>
      </c>
      <c r="I305">
        <v>15.86</v>
      </c>
      <c r="J305" t="s">
        <v>401</v>
      </c>
      <c r="K305">
        <v>4.8</v>
      </c>
      <c r="L305">
        <v>-3.2</v>
      </c>
      <c r="N305">
        <v>14</v>
      </c>
      <c r="O305">
        <v>14</v>
      </c>
      <c r="P305" t="s">
        <v>668</v>
      </c>
      <c r="Q305" t="s">
        <v>414</v>
      </c>
      <c r="S305">
        <v>3.09</v>
      </c>
      <c r="T305">
        <v>105035.773</v>
      </c>
      <c r="U305">
        <v>66750.031000000003</v>
      </c>
      <c r="V305">
        <v>15.736000000000001</v>
      </c>
      <c r="W305" t="s">
        <v>488</v>
      </c>
      <c r="X305">
        <v>4</v>
      </c>
    </row>
    <row r="306" spans="1:24" x14ac:dyDescent="0.45">
      <c r="A306">
        <v>7</v>
      </c>
      <c r="B306">
        <v>7</v>
      </c>
      <c r="C306" t="s">
        <v>588</v>
      </c>
      <c r="D306" t="s">
        <v>400</v>
      </c>
      <c r="E306">
        <v>7</v>
      </c>
      <c r="F306">
        <v>3.07</v>
      </c>
      <c r="G306">
        <v>344676.65600000002</v>
      </c>
      <c r="H306">
        <v>160790.875</v>
      </c>
      <c r="I306">
        <v>21.436</v>
      </c>
      <c r="J306" t="s">
        <v>401</v>
      </c>
      <c r="K306">
        <v>7.1</v>
      </c>
      <c r="L306">
        <v>1.7</v>
      </c>
      <c r="N306">
        <v>15</v>
      </c>
      <c r="O306">
        <v>15</v>
      </c>
      <c r="P306" t="s">
        <v>669</v>
      </c>
      <c r="Q306" t="s">
        <v>414</v>
      </c>
      <c r="S306">
        <v>3.09</v>
      </c>
      <c r="T306">
        <v>175845.59400000001</v>
      </c>
      <c r="U306">
        <v>47150.453000000001</v>
      </c>
      <c r="V306">
        <v>37.295000000000002</v>
      </c>
      <c r="W306" t="s">
        <v>403</v>
      </c>
      <c r="X306">
        <v>12</v>
      </c>
    </row>
    <row r="307" spans="1:24" x14ac:dyDescent="0.45">
      <c r="A307">
        <v>8</v>
      </c>
      <c r="B307">
        <v>8</v>
      </c>
      <c r="C307" t="s">
        <v>589</v>
      </c>
      <c r="D307" t="s">
        <v>410</v>
      </c>
      <c r="F307">
        <v>3.15</v>
      </c>
      <c r="G307">
        <v>78643.312999999995</v>
      </c>
      <c r="H307">
        <v>1747.645</v>
      </c>
      <c r="I307">
        <v>449.99599999999998</v>
      </c>
      <c r="J307" t="s">
        <v>403</v>
      </c>
      <c r="K307">
        <v>182.3</v>
      </c>
      <c r="N307">
        <v>16</v>
      </c>
      <c r="O307">
        <v>16</v>
      </c>
      <c r="P307" t="s">
        <v>670</v>
      </c>
      <c r="Q307" t="s">
        <v>414</v>
      </c>
      <c r="S307">
        <v>3.09</v>
      </c>
      <c r="T307">
        <v>147348.78099999999</v>
      </c>
      <c r="U307">
        <v>31946.664000000001</v>
      </c>
      <c r="V307">
        <v>46.122999999999998</v>
      </c>
      <c r="W307" t="s">
        <v>412</v>
      </c>
      <c r="X307">
        <v>15.3</v>
      </c>
    </row>
    <row r="308" spans="1:24" x14ac:dyDescent="0.45">
      <c r="A308">
        <v>9</v>
      </c>
      <c r="B308">
        <v>9</v>
      </c>
      <c r="C308" t="s">
        <v>590</v>
      </c>
      <c r="D308" t="s">
        <v>410</v>
      </c>
      <c r="F308">
        <v>3.16</v>
      </c>
      <c r="G308">
        <v>82712.952999999994</v>
      </c>
      <c r="H308">
        <v>1776.184</v>
      </c>
      <c r="I308">
        <v>465.678</v>
      </c>
      <c r="J308" t="s">
        <v>403</v>
      </c>
      <c r="K308">
        <v>188.7</v>
      </c>
      <c r="N308">
        <v>17</v>
      </c>
      <c r="O308">
        <v>17</v>
      </c>
      <c r="P308" t="s">
        <v>671</v>
      </c>
      <c r="Q308" t="s">
        <v>414</v>
      </c>
      <c r="S308">
        <v>3.09</v>
      </c>
      <c r="T308">
        <v>150506.03099999999</v>
      </c>
      <c r="U308">
        <v>38021.741999999998</v>
      </c>
      <c r="V308">
        <v>39.584000000000003</v>
      </c>
      <c r="W308" t="s">
        <v>412</v>
      </c>
      <c r="X308">
        <v>12.9</v>
      </c>
    </row>
    <row r="309" spans="1:24" x14ac:dyDescent="0.45">
      <c r="A309">
        <v>10</v>
      </c>
      <c r="B309">
        <v>10</v>
      </c>
      <c r="C309" t="s">
        <v>591</v>
      </c>
      <c r="D309" t="s">
        <v>414</v>
      </c>
      <c r="F309">
        <v>3.07</v>
      </c>
      <c r="G309">
        <v>223119.609</v>
      </c>
      <c r="H309">
        <v>76489.547000000006</v>
      </c>
      <c r="I309">
        <v>29.17</v>
      </c>
      <c r="J309" t="s">
        <v>403</v>
      </c>
      <c r="K309">
        <v>10.3</v>
      </c>
      <c r="N309">
        <v>18</v>
      </c>
      <c r="O309">
        <v>18</v>
      </c>
      <c r="P309" t="s">
        <v>672</v>
      </c>
      <c r="Q309" t="s">
        <v>414</v>
      </c>
      <c r="S309">
        <v>3.09</v>
      </c>
      <c r="T309">
        <v>167257.53099999999</v>
      </c>
      <c r="U309">
        <v>47917.008000000002</v>
      </c>
      <c r="V309">
        <v>34.905999999999999</v>
      </c>
      <c r="W309" t="s">
        <v>412</v>
      </c>
      <c r="X309">
        <v>11.1</v>
      </c>
    </row>
    <row r="310" spans="1:24" x14ac:dyDescent="0.45">
      <c r="A310">
        <v>11</v>
      </c>
      <c r="B310">
        <v>11</v>
      </c>
      <c r="C310" t="s">
        <v>592</v>
      </c>
      <c r="D310" t="s">
        <v>414</v>
      </c>
      <c r="F310">
        <v>3.07</v>
      </c>
      <c r="G310">
        <v>142117.42199999999</v>
      </c>
      <c r="H310">
        <v>27540.883000000002</v>
      </c>
      <c r="I310">
        <v>51.601999999999997</v>
      </c>
      <c r="J310" t="s">
        <v>403</v>
      </c>
      <c r="K310">
        <v>19.399999999999999</v>
      </c>
      <c r="N310">
        <v>19</v>
      </c>
      <c r="O310">
        <v>19</v>
      </c>
      <c r="P310" t="s">
        <v>673</v>
      </c>
      <c r="Q310" t="s">
        <v>414</v>
      </c>
      <c r="S310">
        <v>3.09</v>
      </c>
      <c r="T310">
        <v>170691.56299999999</v>
      </c>
      <c r="U310">
        <v>56579.597999999998</v>
      </c>
      <c r="V310">
        <v>30.167999999999999</v>
      </c>
      <c r="W310" t="s">
        <v>403</v>
      </c>
      <c r="X310">
        <v>9.4</v>
      </c>
    </row>
    <row r="311" spans="1:24" x14ac:dyDescent="0.45">
      <c r="A311">
        <v>12</v>
      </c>
      <c r="B311">
        <v>12</v>
      </c>
      <c r="C311" t="s">
        <v>593</v>
      </c>
      <c r="D311" t="s">
        <v>414</v>
      </c>
      <c r="F311">
        <v>3.08</v>
      </c>
      <c r="G311">
        <v>225324.21900000001</v>
      </c>
      <c r="H311">
        <v>52116.199000000001</v>
      </c>
      <c r="I311">
        <v>43.234999999999999</v>
      </c>
      <c r="J311" t="s">
        <v>403</v>
      </c>
      <c r="K311">
        <v>16</v>
      </c>
      <c r="N311">
        <v>20</v>
      </c>
      <c r="O311">
        <v>20</v>
      </c>
      <c r="P311" t="s">
        <v>674</v>
      </c>
      <c r="Q311" t="s">
        <v>414</v>
      </c>
      <c r="S311">
        <v>3.09</v>
      </c>
      <c r="T311">
        <v>240748.32800000001</v>
      </c>
      <c r="U311">
        <v>48580.699000000001</v>
      </c>
      <c r="V311">
        <v>49.555999999999997</v>
      </c>
      <c r="W311" t="s">
        <v>403</v>
      </c>
      <c r="X311">
        <v>16.600000000000001</v>
      </c>
    </row>
    <row r="312" spans="1:24" x14ac:dyDescent="0.45">
      <c r="A312">
        <v>13</v>
      </c>
      <c r="B312">
        <v>13</v>
      </c>
      <c r="C312" t="s">
        <v>594</v>
      </c>
      <c r="D312" t="s">
        <v>414</v>
      </c>
      <c r="F312">
        <v>3.08</v>
      </c>
      <c r="G312">
        <v>176182.42199999999</v>
      </c>
      <c r="H312">
        <v>74078.101999999999</v>
      </c>
      <c r="I312">
        <v>23.783000000000001</v>
      </c>
      <c r="J312" t="s">
        <v>403</v>
      </c>
      <c r="K312">
        <v>8.1</v>
      </c>
      <c r="N312">
        <v>21</v>
      </c>
      <c r="O312">
        <v>21</v>
      </c>
      <c r="P312" t="s">
        <v>675</v>
      </c>
      <c r="Q312" t="s">
        <v>414</v>
      </c>
      <c r="S312">
        <v>3.09</v>
      </c>
      <c r="T312">
        <v>259664.484</v>
      </c>
      <c r="U312">
        <v>49960.809000000001</v>
      </c>
      <c r="V312">
        <v>51.973999999999997</v>
      </c>
      <c r="W312" t="s">
        <v>403</v>
      </c>
      <c r="X312">
        <v>17.5</v>
      </c>
    </row>
    <row r="313" spans="1:24" x14ac:dyDescent="0.45">
      <c r="A313">
        <v>14</v>
      </c>
      <c r="B313">
        <v>14</v>
      </c>
      <c r="C313" t="s">
        <v>595</v>
      </c>
      <c r="D313" t="s">
        <v>414</v>
      </c>
      <c r="F313">
        <v>3.08</v>
      </c>
      <c r="G313">
        <v>322955.75</v>
      </c>
      <c r="H313">
        <v>83833.827999999994</v>
      </c>
      <c r="I313">
        <v>38.523000000000003</v>
      </c>
      <c r="J313" t="s">
        <v>403</v>
      </c>
      <c r="K313">
        <v>14.1</v>
      </c>
      <c r="N313">
        <v>22</v>
      </c>
      <c r="O313">
        <v>22</v>
      </c>
      <c r="P313" t="s">
        <v>676</v>
      </c>
      <c r="Q313" t="s">
        <v>414</v>
      </c>
      <c r="S313">
        <v>3.1</v>
      </c>
      <c r="T313">
        <v>170068.09400000001</v>
      </c>
      <c r="U313">
        <v>42173.285000000003</v>
      </c>
      <c r="V313">
        <v>40.326000000000001</v>
      </c>
      <c r="W313" t="s">
        <v>415</v>
      </c>
      <c r="X313">
        <v>13.2</v>
      </c>
    </row>
    <row r="314" spans="1:24" x14ac:dyDescent="0.45">
      <c r="A314">
        <v>15</v>
      </c>
      <c r="B314">
        <v>15</v>
      </c>
      <c r="C314" t="s">
        <v>596</v>
      </c>
      <c r="D314" t="s">
        <v>414</v>
      </c>
      <c r="F314">
        <v>3.08</v>
      </c>
      <c r="G314">
        <v>223790.18799999999</v>
      </c>
      <c r="H314">
        <v>124995.727</v>
      </c>
      <c r="I314">
        <v>17.904</v>
      </c>
      <c r="J314" t="s">
        <v>403</v>
      </c>
      <c r="K314">
        <v>5.7</v>
      </c>
      <c r="N314">
        <v>23</v>
      </c>
      <c r="O314">
        <v>23</v>
      </c>
      <c r="P314" t="s">
        <v>677</v>
      </c>
      <c r="Q314" t="s">
        <v>414</v>
      </c>
      <c r="S314">
        <v>3.09</v>
      </c>
      <c r="T314">
        <v>157097.141</v>
      </c>
      <c r="U314">
        <v>52315.714999999997</v>
      </c>
      <c r="V314">
        <v>30.029</v>
      </c>
      <c r="W314" t="s">
        <v>412</v>
      </c>
      <c r="X314">
        <v>9.3000000000000007</v>
      </c>
    </row>
    <row r="315" spans="1:24" x14ac:dyDescent="0.45">
      <c r="A315">
        <v>16</v>
      </c>
      <c r="B315">
        <v>16</v>
      </c>
      <c r="C315" t="s">
        <v>597</v>
      </c>
      <c r="D315" t="s">
        <v>414</v>
      </c>
      <c r="F315">
        <v>3.08</v>
      </c>
      <c r="G315">
        <v>284065.5</v>
      </c>
      <c r="H315">
        <v>131551.766</v>
      </c>
      <c r="I315">
        <v>21.593</v>
      </c>
      <c r="J315" t="s">
        <v>403</v>
      </c>
      <c r="K315">
        <v>7.2</v>
      </c>
      <c r="N315">
        <v>24</v>
      </c>
      <c r="O315">
        <v>24</v>
      </c>
      <c r="P315" t="s">
        <v>678</v>
      </c>
      <c r="Q315" t="s">
        <v>414</v>
      </c>
      <c r="S315">
        <v>3.1</v>
      </c>
      <c r="T315">
        <v>179776.65599999999</v>
      </c>
      <c r="U315">
        <v>38249.663999999997</v>
      </c>
      <c r="V315">
        <v>47.000999999999998</v>
      </c>
      <c r="W315" t="s">
        <v>403</v>
      </c>
      <c r="X315">
        <v>15.7</v>
      </c>
    </row>
    <row r="316" spans="1:24" x14ac:dyDescent="0.45">
      <c r="A316">
        <v>17</v>
      </c>
      <c r="B316">
        <v>17</v>
      </c>
      <c r="C316" t="s">
        <v>598</v>
      </c>
      <c r="D316" t="s">
        <v>414</v>
      </c>
      <c r="F316">
        <v>3.08</v>
      </c>
      <c r="G316">
        <v>274165.65600000002</v>
      </c>
      <c r="H316">
        <v>123119.359</v>
      </c>
      <c r="I316">
        <v>22.268000000000001</v>
      </c>
      <c r="J316" t="s">
        <v>403</v>
      </c>
      <c r="K316">
        <v>7.5</v>
      </c>
      <c r="N316">
        <v>25</v>
      </c>
      <c r="O316">
        <v>25</v>
      </c>
      <c r="P316" t="s">
        <v>679</v>
      </c>
      <c r="Q316" t="s">
        <v>414</v>
      </c>
      <c r="S316">
        <v>3.1</v>
      </c>
      <c r="T316">
        <v>151092.5</v>
      </c>
      <c r="U316">
        <v>31218.657999999999</v>
      </c>
      <c r="V316">
        <v>48.398000000000003</v>
      </c>
      <c r="W316" t="s">
        <v>412</v>
      </c>
      <c r="X316">
        <v>16.2</v>
      </c>
    </row>
    <row r="317" spans="1:24" x14ac:dyDescent="0.45">
      <c r="A317">
        <v>18</v>
      </c>
      <c r="B317">
        <v>18</v>
      </c>
      <c r="C317" t="s">
        <v>599</v>
      </c>
      <c r="D317" t="s">
        <v>414</v>
      </c>
      <c r="F317">
        <v>3.08</v>
      </c>
      <c r="G317">
        <v>238350.93799999999</v>
      </c>
      <c r="H317">
        <v>37662.758000000002</v>
      </c>
      <c r="I317">
        <v>63.286000000000001</v>
      </c>
      <c r="J317" t="s">
        <v>403</v>
      </c>
      <c r="K317">
        <v>24.2</v>
      </c>
      <c r="N317">
        <v>26</v>
      </c>
      <c r="O317">
        <v>26</v>
      </c>
      <c r="P317" t="s">
        <v>680</v>
      </c>
      <c r="Q317" t="s">
        <v>414</v>
      </c>
      <c r="S317">
        <v>3.1</v>
      </c>
      <c r="T317">
        <v>171552.18799999999</v>
      </c>
      <c r="U317">
        <v>33727.086000000003</v>
      </c>
      <c r="V317">
        <v>50.865000000000002</v>
      </c>
      <c r="W317" t="s">
        <v>403</v>
      </c>
      <c r="X317">
        <v>17.100000000000001</v>
      </c>
    </row>
    <row r="318" spans="1:24" x14ac:dyDescent="0.45">
      <c r="A318">
        <v>19</v>
      </c>
      <c r="B318">
        <v>19</v>
      </c>
      <c r="C318" t="s">
        <v>600</v>
      </c>
      <c r="D318" t="s">
        <v>414</v>
      </c>
      <c r="F318">
        <v>3.08</v>
      </c>
      <c r="G318">
        <v>222177.859</v>
      </c>
      <c r="H318">
        <v>42557.855000000003</v>
      </c>
      <c r="I318">
        <v>52.206000000000003</v>
      </c>
      <c r="J318" t="s">
        <v>403</v>
      </c>
      <c r="K318">
        <v>19.7</v>
      </c>
      <c r="N318">
        <v>27</v>
      </c>
      <c r="O318">
        <v>27</v>
      </c>
      <c r="P318" t="s">
        <v>681</v>
      </c>
      <c r="Q318" t="s">
        <v>414</v>
      </c>
      <c r="S318">
        <v>3.1</v>
      </c>
      <c r="T318">
        <v>141405.17199999999</v>
      </c>
      <c r="U318">
        <v>34575.695</v>
      </c>
      <c r="V318">
        <v>40.896999999999998</v>
      </c>
      <c r="W318" t="s">
        <v>403</v>
      </c>
      <c r="X318">
        <v>13.4</v>
      </c>
    </row>
    <row r="319" spans="1:24" x14ac:dyDescent="0.45">
      <c r="A319">
        <v>20</v>
      </c>
      <c r="B319">
        <v>20</v>
      </c>
      <c r="C319" t="s">
        <v>601</v>
      </c>
      <c r="D319" t="s">
        <v>414</v>
      </c>
      <c r="F319">
        <v>3.09</v>
      </c>
      <c r="G319">
        <v>123165.383</v>
      </c>
      <c r="H319">
        <v>26482.266</v>
      </c>
      <c r="I319">
        <v>46.509</v>
      </c>
      <c r="J319" t="s">
        <v>403</v>
      </c>
      <c r="K319">
        <v>17.399999999999999</v>
      </c>
      <c r="N319">
        <v>28</v>
      </c>
      <c r="O319">
        <v>28</v>
      </c>
      <c r="P319" t="s">
        <v>682</v>
      </c>
      <c r="Q319" t="s">
        <v>414</v>
      </c>
      <c r="S319">
        <v>3.1</v>
      </c>
      <c r="T319">
        <v>200933.20300000001</v>
      </c>
      <c r="U319">
        <v>37367.637000000002</v>
      </c>
      <c r="V319">
        <v>53.771999999999998</v>
      </c>
      <c r="W319" t="s">
        <v>403</v>
      </c>
      <c r="X319">
        <v>18.2</v>
      </c>
    </row>
    <row r="320" spans="1:24" x14ac:dyDescent="0.45">
      <c r="A320">
        <v>21</v>
      </c>
      <c r="B320">
        <v>21</v>
      </c>
      <c r="C320" t="s">
        <v>602</v>
      </c>
      <c r="D320" t="s">
        <v>414</v>
      </c>
      <c r="F320">
        <v>3.09</v>
      </c>
      <c r="G320">
        <v>113979.031</v>
      </c>
      <c r="H320">
        <v>45341.762000000002</v>
      </c>
      <c r="I320">
        <v>25.138000000000002</v>
      </c>
      <c r="J320" t="s">
        <v>403</v>
      </c>
      <c r="K320">
        <v>8.6</v>
      </c>
      <c r="N320">
        <v>29</v>
      </c>
      <c r="O320">
        <v>29</v>
      </c>
      <c r="P320" t="s">
        <v>683</v>
      </c>
      <c r="Q320" t="s">
        <v>414</v>
      </c>
      <c r="S320">
        <v>3.1</v>
      </c>
      <c r="T320">
        <v>80888.008000000002</v>
      </c>
      <c r="U320">
        <v>42469.425999999999</v>
      </c>
      <c r="V320">
        <v>19.045999999999999</v>
      </c>
      <c r="W320" t="s">
        <v>488</v>
      </c>
      <c r="X320">
        <v>5.2</v>
      </c>
    </row>
    <row r="321" spans="1:24" x14ac:dyDescent="0.45">
      <c r="A321">
        <v>22</v>
      </c>
      <c r="B321">
        <v>22</v>
      </c>
      <c r="C321" t="s">
        <v>603</v>
      </c>
      <c r="D321" t="s">
        <v>414</v>
      </c>
      <c r="F321">
        <v>3.09</v>
      </c>
      <c r="G321">
        <v>311752.375</v>
      </c>
      <c r="H321">
        <v>130099.008</v>
      </c>
      <c r="I321">
        <v>23.963000000000001</v>
      </c>
      <c r="J321" t="s">
        <v>403</v>
      </c>
      <c r="K321">
        <v>8.1999999999999993</v>
      </c>
      <c r="N321">
        <v>30</v>
      </c>
      <c r="O321">
        <v>30</v>
      </c>
      <c r="P321" t="s">
        <v>684</v>
      </c>
      <c r="Q321" t="s">
        <v>414</v>
      </c>
      <c r="S321">
        <v>3.1</v>
      </c>
      <c r="T321">
        <v>161713.43799999999</v>
      </c>
      <c r="U321">
        <v>30130.928</v>
      </c>
      <c r="V321">
        <v>53.67</v>
      </c>
      <c r="W321" t="s">
        <v>403</v>
      </c>
      <c r="X321">
        <v>18.100000000000001</v>
      </c>
    </row>
    <row r="322" spans="1:24" x14ac:dyDescent="0.45">
      <c r="A322">
        <v>23</v>
      </c>
      <c r="B322">
        <v>23</v>
      </c>
      <c r="C322" t="s">
        <v>604</v>
      </c>
      <c r="D322" t="s">
        <v>414</v>
      </c>
      <c r="F322">
        <v>3.09</v>
      </c>
      <c r="G322">
        <v>270780.68800000002</v>
      </c>
      <c r="H322">
        <v>130103.039</v>
      </c>
      <c r="I322">
        <v>20.812999999999999</v>
      </c>
      <c r="J322" t="s">
        <v>403</v>
      </c>
      <c r="K322">
        <v>6.9</v>
      </c>
      <c r="N322">
        <v>31</v>
      </c>
      <c r="O322">
        <v>31</v>
      </c>
      <c r="P322" t="s">
        <v>685</v>
      </c>
      <c r="Q322" t="s">
        <v>414</v>
      </c>
      <c r="S322">
        <v>3.1</v>
      </c>
      <c r="T322">
        <v>196390.43799999999</v>
      </c>
      <c r="U322">
        <v>58656.898000000001</v>
      </c>
      <c r="V322">
        <v>33.481000000000002</v>
      </c>
      <c r="W322" t="s">
        <v>403</v>
      </c>
      <c r="X322">
        <v>10.6</v>
      </c>
    </row>
    <row r="323" spans="1:24" x14ac:dyDescent="0.45">
      <c r="A323">
        <v>24</v>
      </c>
      <c r="B323">
        <v>24</v>
      </c>
      <c r="C323" t="s">
        <v>605</v>
      </c>
      <c r="D323" t="s">
        <v>414</v>
      </c>
      <c r="F323">
        <v>3.09</v>
      </c>
      <c r="G323">
        <v>203410.95300000001</v>
      </c>
      <c r="H323">
        <v>69343.851999999999</v>
      </c>
      <c r="I323">
        <v>29.334</v>
      </c>
      <c r="J323" t="s">
        <v>403</v>
      </c>
      <c r="K323">
        <v>10.3</v>
      </c>
      <c r="N323">
        <v>32</v>
      </c>
      <c r="O323">
        <v>32</v>
      </c>
      <c r="P323" t="s">
        <v>686</v>
      </c>
      <c r="Q323" t="s">
        <v>414</v>
      </c>
      <c r="S323">
        <v>3.1</v>
      </c>
      <c r="T323">
        <v>223490.641</v>
      </c>
      <c r="U323">
        <v>78178.601999999999</v>
      </c>
      <c r="V323">
        <v>28.587</v>
      </c>
      <c r="W323" t="s">
        <v>403</v>
      </c>
      <c r="X323">
        <v>8.8000000000000007</v>
      </c>
    </row>
    <row r="324" spans="1:24" x14ac:dyDescent="0.45">
      <c r="A324">
        <v>25</v>
      </c>
      <c r="B324">
        <v>25</v>
      </c>
      <c r="C324" t="s">
        <v>606</v>
      </c>
      <c r="D324" t="s">
        <v>414</v>
      </c>
      <c r="F324">
        <v>3.09</v>
      </c>
      <c r="G324">
        <v>182334.93799999999</v>
      </c>
      <c r="H324">
        <v>77829.054999999993</v>
      </c>
      <c r="I324">
        <v>23.428000000000001</v>
      </c>
      <c r="J324" t="s">
        <v>403</v>
      </c>
      <c r="K324">
        <v>7.9</v>
      </c>
      <c r="N324">
        <v>33</v>
      </c>
      <c r="O324">
        <v>33</v>
      </c>
      <c r="P324" t="s">
        <v>687</v>
      </c>
      <c r="Q324" t="s">
        <v>414</v>
      </c>
      <c r="S324">
        <v>3.1</v>
      </c>
      <c r="T324">
        <v>213812.375</v>
      </c>
      <c r="U324">
        <v>67120.570000000007</v>
      </c>
      <c r="V324">
        <v>31.855</v>
      </c>
      <c r="W324" t="s">
        <v>403</v>
      </c>
      <c r="X324">
        <v>10</v>
      </c>
    </row>
    <row r="325" spans="1:24" x14ac:dyDescent="0.45">
      <c r="A325">
        <v>26</v>
      </c>
      <c r="B325">
        <v>26</v>
      </c>
      <c r="C325" t="s">
        <v>607</v>
      </c>
      <c r="D325" t="s">
        <v>414</v>
      </c>
      <c r="F325">
        <v>3.09</v>
      </c>
      <c r="G325">
        <v>252011</v>
      </c>
      <c r="H325">
        <v>63774.438000000002</v>
      </c>
      <c r="I325">
        <v>39.515999999999998</v>
      </c>
      <c r="J325" t="s">
        <v>403</v>
      </c>
      <c r="K325">
        <v>14.5</v>
      </c>
      <c r="N325">
        <v>34</v>
      </c>
      <c r="O325">
        <v>34</v>
      </c>
      <c r="P325" t="s">
        <v>688</v>
      </c>
      <c r="Q325" t="s">
        <v>414</v>
      </c>
      <c r="S325">
        <v>3.1</v>
      </c>
      <c r="T325">
        <v>172878.03099999999</v>
      </c>
      <c r="U325">
        <v>51171.57</v>
      </c>
      <c r="V325">
        <v>33.783999999999999</v>
      </c>
      <c r="W325" t="s">
        <v>403</v>
      </c>
      <c r="X325">
        <v>10.7</v>
      </c>
    </row>
    <row r="326" spans="1:24" x14ac:dyDescent="0.45">
      <c r="A326">
        <v>27</v>
      </c>
      <c r="B326">
        <v>27</v>
      </c>
      <c r="C326" t="s">
        <v>608</v>
      </c>
      <c r="D326" t="s">
        <v>414</v>
      </c>
      <c r="F326">
        <v>3.09</v>
      </c>
      <c r="G326">
        <v>243084.391</v>
      </c>
      <c r="H326">
        <v>131047.18799999999</v>
      </c>
      <c r="I326">
        <v>18.548999999999999</v>
      </c>
      <c r="J326" t="s">
        <v>403</v>
      </c>
      <c r="K326">
        <v>5.9</v>
      </c>
      <c r="N326">
        <v>35</v>
      </c>
      <c r="O326">
        <v>35</v>
      </c>
      <c r="P326" t="s">
        <v>689</v>
      </c>
      <c r="Q326" t="s">
        <v>414</v>
      </c>
      <c r="S326">
        <v>3.1</v>
      </c>
      <c r="T326">
        <v>157398.90599999999</v>
      </c>
      <c r="U326">
        <v>52206.597999999998</v>
      </c>
      <c r="V326">
        <v>30.149000000000001</v>
      </c>
      <c r="W326" t="s">
        <v>403</v>
      </c>
      <c r="X326">
        <v>9.4</v>
      </c>
    </row>
    <row r="327" spans="1:24" x14ac:dyDescent="0.45">
      <c r="A327">
        <v>28</v>
      </c>
      <c r="B327">
        <v>28</v>
      </c>
      <c r="C327" t="s">
        <v>609</v>
      </c>
      <c r="D327" t="s">
        <v>414</v>
      </c>
      <c r="F327">
        <v>3.09</v>
      </c>
      <c r="G327">
        <v>208777.17199999999</v>
      </c>
      <c r="H327">
        <v>76078.218999999997</v>
      </c>
      <c r="I327">
        <v>27.442</v>
      </c>
      <c r="J327" t="s">
        <v>403</v>
      </c>
      <c r="K327">
        <v>9.6</v>
      </c>
      <c r="N327">
        <v>36</v>
      </c>
      <c r="O327">
        <v>36</v>
      </c>
      <c r="P327" t="s">
        <v>690</v>
      </c>
      <c r="Q327" t="s">
        <v>414</v>
      </c>
      <c r="S327">
        <v>3.1</v>
      </c>
      <c r="T327">
        <v>176730.234</v>
      </c>
      <c r="U327">
        <v>40864.042999999998</v>
      </c>
      <c r="V327">
        <v>43.247999999999998</v>
      </c>
      <c r="W327" t="s">
        <v>403</v>
      </c>
      <c r="X327">
        <v>14.3</v>
      </c>
    </row>
    <row r="328" spans="1:24" x14ac:dyDescent="0.45">
      <c r="A328">
        <v>29</v>
      </c>
      <c r="B328">
        <v>29</v>
      </c>
      <c r="C328" t="s">
        <v>610</v>
      </c>
      <c r="D328" t="s">
        <v>414</v>
      </c>
      <c r="F328">
        <v>3.09</v>
      </c>
      <c r="G328">
        <v>131331.75</v>
      </c>
      <c r="H328">
        <v>50431.792999999998</v>
      </c>
      <c r="I328">
        <v>26.041</v>
      </c>
      <c r="J328" t="s">
        <v>403</v>
      </c>
      <c r="K328">
        <v>9</v>
      </c>
      <c r="N328">
        <v>37</v>
      </c>
      <c r="O328">
        <v>37</v>
      </c>
      <c r="P328" t="s">
        <v>691</v>
      </c>
      <c r="Q328" t="s">
        <v>414</v>
      </c>
      <c r="S328">
        <v>3.1</v>
      </c>
      <c r="T328">
        <v>162213.32800000001</v>
      </c>
      <c r="U328">
        <v>32623.313999999998</v>
      </c>
      <c r="V328">
        <v>49.722999999999999</v>
      </c>
      <c r="W328" t="s">
        <v>403</v>
      </c>
      <c r="X328">
        <v>16.7</v>
      </c>
    </row>
    <row r="329" spans="1:24" x14ac:dyDescent="0.45">
      <c r="A329">
        <v>30</v>
      </c>
      <c r="B329">
        <v>30</v>
      </c>
      <c r="C329" t="s">
        <v>611</v>
      </c>
      <c r="D329" t="s">
        <v>414</v>
      </c>
      <c r="F329">
        <v>3.09</v>
      </c>
      <c r="G329">
        <v>199817.70300000001</v>
      </c>
      <c r="H329">
        <v>52037.156000000003</v>
      </c>
      <c r="I329">
        <v>38.399000000000001</v>
      </c>
      <c r="J329" t="s">
        <v>403</v>
      </c>
      <c r="K329">
        <v>14.1</v>
      </c>
      <c r="N329">
        <v>38</v>
      </c>
      <c r="O329">
        <v>38</v>
      </c>
      <c r="P329" t="s">
        <v>692</v>
      </c>
      <c r="Q329" t="s">
        <v>414</v>
      </c>
      <c r="S329">
        <v>3.1</v>
      </c>
      <c r="T329">
        <v>183500.484</v>
      </c>
      <c r="U329">
        <v>51757.73</v>
      </c>
      <c r="V329">
        <v>35.454000000000001</v>
      </c>
      <c r="W329" t="s">
        <v>403</v>
      </c>
      <c r="X329">
        <v>11.3</v>
      </c>
    </row>
    <row r="330" spans="1:24" x14ac:dyDescent="0.45">
      <c r="A330">
        <v>31</v>
      </c>
      <c r="B330">
        <v>31</v>
      </c>
      <c r="C330" t="s">
        <v>612</v>
      </c>
      <c r="D330" t="s">
        <v>414</v>
      </c>
      <c r="F330">
        <v>3.09</v>
      </c>
      <c r="G330">
        <v>155307.93799999999</v>
      </c>
      <c r="H330">
        <v>52544.184000000001</v>
      </c>
      <c r="I330">
        <v>29.558</v>
      </c>
      <c r="J330" t="s">
        <v>403</v>
      </c>
      <c r="K330">
        <v>10.4</v>
      </c>
      <c r="N330">
        <v>39</v>
      </c>
      <c r="O330">
        <v>39</v>
      </c>
      <c r="P330" t="s">
        <v>693</v>
      </c>
      <c r="Q330" t="s">
        <v>414</v>
      </c>
      <c r="S330">
        <v>3.1</v>
      </c>
      <c r="T330">
        <v>191826.109</v>
      </c>
      <c r="U330">
        <v>54442.074000000001</v>
      </c>
      <c r="V330">
        <v>35.234999999999999</v>
      </c>
      <c r="W330" t="s">
        <v>403</v>
      </c>
      <c r="X330">
        <v>11.3</v>
      </c>
    </row>
    <row r="331" spans="1:24" x14ac:dyDescent="0.45">
      <c r="A331">
        <v>32</v>
      </c>
      <c r="B331">
        <v>32</v>
      </c>
      <c r="C331" t="s">
        <v>613</v>
      </c>
      <c r="D331" t="s">
        <v>414</v>
      </c>
      <c r="F331">
        <v>3.09</v>
      </c>
      <c r="G331">
        <v>184984.20300000001</v>
      </c>
      <c r="H331">
        <v>48754.777000000002</v>
      </c>
      <c r="I331">
        <v>37.942</v>
      </c>
      <c r="J331" t="s">
        <v>403</v>
      </c>
      <c r="K331">
        <v>13.9</v>
      </c>
      <c r="N331">
        <v>40</v>
      </c>
      <c r="O331">
        <v>40</v>
      </c>
      <c r="P331" t="s">
        <v>694</v>
      </c>
      <c r="Q331" t="s">
        <v>414</v>
      </c>
      <c r="S331">
        <v>3.1</v>
      </c>
      <c r="T331">
        <v>364327.15600000002</v>
      </c>
      <c r="U331">
        <v>128477.414</v>
      </c>
      <c r="V331">
        <v>28.356999999999999</v>
      </c>
      <c r="W331" t="s">
        <v>403</v>
      </c>
      <c r="X331">
        <v>8.6999999999999993</v>
      </c>
    </row>
    <row r="332" spans="1:24" x14ac:dyDescent="0.45">
      <c r="A332">
        <v>33</v>
      </c>
      <c r="B332">
        <v>33</v>
      </c>
      <c r="C332" t="s">
        <v>614</v>
      </c>
      <c r="D332" t="s">
        <v>414</v>
      </c>
      <c r="F332">
        <v>3.09</v>
      </c>
      <c r="G332">
        <v>152838.484</v>
      </c>
      <c r="H332">
        <v>47807.108999999997</v>
      </c>
      <c r="I332">
        <v>31.97</v>
      </c>
      <c r="J332" t="s">
        <v>403</v>
      </c>
      <c r="K332">
        <v>11.4</v>
      </c>
      <c r="N332">
        <v>41</v>
      </c>
      <c r="O332">
        <v>41</v>
      </c>
      <c r="P332" t="s">
        <v>695</v>
      </c>
      <c r="Q332" t="s">
        <v>414</v>
      </c>
      <c r="S332">
        <v>3.1</v>
      </c>
      <c r="T332">
        <v>344336.81300000002</v>
      </c>
      <c r="U332">
        <v>127399.57</v>
      </c>
      <c r="V332">
        <v>27.027999999999999</v>
      </c>
      <c r="W332" t="s">
        <v>403</v>
      </c>
      <c r="X332">
        <v>8.1999999999999993</v>
      </c>
    </row>
    <row r="333" spans="1:24" x14ac:dyDescent="0.45">
      <c r="A333">
        <v>34</v>
      </c>
      <c r="B333">
        <v>34</v>
      </c>
      <c r="C333" t="s">
        <v>615</v>
      </c>
      <c r="D333" t="s">
        <v>414</v>
      </c>
      <c r="F333">
        <v>3.09</v>
      </c>
      <c r="G333">
        <v>249406.68799999999</v>
      </c>
      <c r="H333">
        <v>47397.387000000002</v>
      </c>
      <c r="I333">
        <v>52.62</v>
      </c>
      <c r="J333" t="s">
        <v>403</v>
      </c>
      <c r="K333">
        <v>19.899999999999999</v>
      </c>
      <c r="N333">
        <v>42</v>
      </c>
      <c r="O333">
        <v>42</v>
      </c>
      <c r="P333" t="s">
        <v>696</v>
      </c>
      <c r="Q333" t="s">
        <v>414</v>
      </c>
      <c r="S333">
        <v>3.1</v>
      </c>
      <c r="T333">
        <v>313162.28100000002</v>
      </c>
      <c r="U333">
        <v>120620.469</v>
      </c>
      <c r="V333">
        <v>25.963000000000001</v>
      </c>
      <c r="W333" t="s">
        <v>403</v>
      </c>
      <c r="X333">
        <v>7.8</v>
      </c>
    </row>
    <row r="334" spans="1:24" x14ac:dyDescent="0.45">
      <c r="A334">
        <v>35</v>
      </c>
      <c r="B334">
        <v>35</v>
      </c>
      <c r="C334" t="s">
        <v>616</v>
      </c>
      <c r="D334" t="s">
        <v>414</v>
      </c>
      <c r="F334">
        <v>3.09</v>
      </c>
      <c r="G334">
        <v>141226.766</v>
      </c>
      <c r="H334">
        <v>37888.813000000002</v>
      </c>
      <c r="I334">
        <v>37.274000000000001</v>
      </c>
      <c r="J334" t="s">
        <v>403</v>
      </c>
      <c r="K334">
        <v>13.6</v>
      </c>
      <c r="N334">
        <v>43</v>
      </c>
      <c r="O334">
        <v>43</v>
      </c>
      <c r="P334" t="s">
        <v>697</v>
      </c>
      <c r="Q334" t="s">
        <v>414</v>
      </c>
      <c r="S334">
        <v>3.1</v>
      </c>
      <c r="T334">
        <v>293001.68800000002</v>
      </c>
      <c r="U334">
        <v>137215.68799999999</v>
      </c>
      <c r="V334">
        <v>21.353000000000002</v>
      </c>
      <c r="W334" t="s">
        <v>403</v>
      </c>
      <c r="X334">
        <v>6.1</v>
      </c>
    </row>
    <row r="335" spans="1:24" x14ac:dyDescent="0.45">
      <c r="A335">
        <v>36</v>
      </c>
      <c r="B335">
        <v>36</v>
      </c>
      <c r="C335" t="s">
        <v>617</v>
      </c>
      <c r="D335" t="s">
        <v>414</v>
      </c>
      <c r="F335">
        <v>3.09</v>
      </c>
      <c r="G335">
        <v>169109.84400000001</v>
      </c>
      <c r="H335">
        <v>46233.296999999999</v>
      </c>
      <c r="I335">
        <v>36.578000000000003</v>
      </c>
      <c r="J335" t="s">
        <v>403</v>
      </c>
      <c r="K335">
        <v>13.3</v>
      </c>
      <c r="N335">
        <v>44</v>
      </c>
      <c r="O335">
        <v>44</v>
      </c>
      <c r="P335" t="s">
        <v>698</v>
      </c>
      <c r="Q335" t="s">
        <v>414</v>
      </c>
      <c r="S335">
        <v>3.1</v>
      </c>
      <c r="T335">
        <v>260816.15599999999</v>
      </c>
      <c r="U335">
        <v>117471.18</v>
      </c>
      <c r="V335">
        <v>22.202999999999999</v>
      </c>
      <c r="W335" t="s">
        <v>403</v>
      </c>
      <c r="X335">
        <v>6.4</v>
      </c>
    </row>
    <row r="336" spans="1:24" x14ac:dyDescent="0.45">
      <c r="A336">
        <v>37</v>
      </c>
      <c r="B336">
        <v>37</v>
      </c>
      <c r="C336" t="s">
        <v>618</v>
      </c>
      <c r="D336" t="s">
        <v>414</v>
      </c>
      <c r="F336">
        <v>3.1</v>
      </c>
      <c r="G336">
        <v>199393.04699999999</v>
      </c>
      <c r="H336">
        <v>132257.07800000001</v>
      </c>
      <c r="I336">
        <v>15.076000000000001</v>
      </c>
      <c r="J336" t="s">
        <v>403</v>
      </c>
      <c r="K336">
        <v>4.5</v>
      </c>
      <c r="N336">
        <v>45</v>
      </c>
      <c r="O336">
        <v>45</v>
      </c>
      <c r="P336" t="s">
        <v>699</v>
      </c>
      <c r="Q336" t="s">
        <v>414</v>
      </c>
      <c r="S336">
        <v>3.1</v>
      </c>
      <c r="T336">
        <v>193134.57800000001</v>
      </c>
      <c r="U336">
        <v>63819.004000000001</v>
      </c>
      <c r="V336">
        <v>30.263000000000002</v>
      </c>
      <c r="W336" t="s">
        <v>403</v>
      </c>
      <c r="X336">
        <v>9.4</v>
      </c>
    </row>
    <row r="337" spans="1:24" x14ac:dyDescent="0.45">
      <c r="A337">
        <v>38</v>
      </c>
      <c r="B337">
        <v>38</v>
      </c>
      <c r="C337" t="s">
        <v>619</v>
      </c>
      <c r="D337" t="s">
        <v>414</v>
      </c>
      <c r="F337">
        <v>3.1</v>
      </c>
      <c r="G337">
        <v>141086.18799999999</v>
      </c>
      <c r="H337">
        <v>35576.281000000003</v>
      </c>
      <c r="I337">
        <v>39.656999999999996</v>
      </c>
      <c r="J337" t="s">
        <v>403</v>
      </c>
      <c r="K337">
        <v>14.6</v>
      </c>
      <c r="N337">
        <v>46</v>
      </c>
      <c r="O337">
        <v>46</v>
      </c>
      <c r="P337" t="s">
        <v>700</v>
      </c>
      <c r="Q337" t="s">
        <v>414</v>
      </c>
      <c r="S337">
        <v>3.1</v>
      </c>
      <c r="T337">
        <v>255822.82800000001</v>
      </c>
      <c r="U337">
        <v>123878.289</v>
      </c>
      <c r="V337">
        <v>20.651</v>
      </c>
      <c r="W337" t="s">
        <v>403</v>
      </c>
      <c r="X337">
        <v>5.8</v>
      </c>
    </row>
    <row r="338" spans="1:24" x14ac:dyDescent="0.45">
      <c r="A338">
        <v>39</v>
      </c>
      <c r="B338">
        <v>39</v>
      </c>
      <c r="C338" t="s">
        <v>620</v>
      </c>
      <c r="D338" t="s">
        <v>414</v>
      </c>
      <c r="F338">
        <v>3.1</v>
      </c>
      <c r="G338">
        <v>136285.359</v>
      </c>
      <c r="H338">
        <v>34606.141000000003</v>
      </c>
      <c r="I338">
        <v>39.381999999999998</v>
      </c>
      <c r="J338" t="s">
        <v>403</v>
      </c>
      <c r="K338">
        <v>14.5</v>
      </c>
      <c r="N338">
        <v>47</v>
      </c>
      <c r="O338">
        <v>47</v>
      </c>
      <c r="P338" t="s">
        <v>701</v>
      </c>
      <c r="Q338" t="s">
        <v>414</v>
      </c>
      <c r="S338">
        <v>3.1</v>
      </c>
      <c r="T338">
        <v>241626.71900000001</v>
      </c>
      <c r="U338">
        <v>128919.102</v>
      </c>
      <c r="V338">
        <v>18.742999999999999</v>
      </c>
      <c r="W338" t="s">
        <v>403</v>
      </c>
      <c r="X338">
        <v>5.0999999999999996</v>
      </c>
    </row>
    <row r="339" spans="1:24" x14ac:dyDescent="0.45">
      <c r="A339">
        <v>40</v>
      </c>
      <c r="B339">
        <v>40</v>
      </c>
      <c r="C339" t="s">
        <v>621</v>
      </c>
      <c r="D339" t="s">
        <v>414</v>
      </c>
      <c r="F339">
        <v>3.1</v>
      </c>
      <c r="G339">
        <v>191910.71900000001</v>
      </c>
      <c r="H339">
        <v>73800.733999999997</v>
      </c>
      <c r="I339">
        <v>26.004000000000001</v>
      </c>
      <c r="J339" t="s">
        <v>403</v>
      </c>
      <c r="K339">
        <v>9</v>
      </c>
      <c r="N339">
        <v>48</v>
      </c>
      <c r="O339">
        <v>48</v>
      </c>
      <c r="P339" t="s">
        <v>702</v>
      </c>
      <c r="Q339" t="s">
        <v>414</v>
      </c>
      <c r="S339">
        <v>3.1</v>
      </c>
      <c r="T339">
        <v>291049.93800000002</v>
      </c>
      <c r="U339">
        <v>139734.016</v>
      </c>
      <c r="V339">
        <v>20.829000000000001</v>
      </c>
      <c r="W339" t="s">
        <v>403</v>
      </c>
      <c r="X339">
        <v>5.9</v>
      </c>
    </row>
    <row r="340" spans="1:24" x14ac:dyDescent="0.45">
      <c r="A340">
        <v>41</v>
      </c>
      <c r="B340">
        <v>41</v>
      </c>
      <c r="C340" t="s">
        <v>622</v>
      </c>
      <c r="D340" t="s">
        <v>414</v>
      </c>
      <c r="F340">
        <v>3.1</v>
      </c>
      <c r="G340">
        <v>162063.84400000001</v>
      </c>
      <c r="H340">
        <v>68812.991999999998</v>
      </c>
      <c r="I340">
        <v>23.550999999999998</v>
      </c>
      <c r="J340" t="s">
        <v>403</v>
      </c>
      <c r="K340">
        <v>8</v>
      </c>
      <c r="N340">
        <v>49</v>
      </c>
      <c r="O340">
        <v>49</v>
      </c>
      <c r="P340" t="s">
        <v>703</v>
      </c>
      <c r="Q340" t="s">
        <v>414</v>
      </c>
      <c r="S340">
        <v>3.1</v>
      </c>
      <c r="T340">
        <v>289018.21899999998</v>
      </c>
      <c r="U340">
        <v>134715.21900000001</v>
      </c>
      <c r="V340">
        <v>21.454000000000001</v>
      </c>
      <c r="W340" t="s">
        <v>403</v>
      </c>
      <c r="X340">
        <v>6.1</v>
      </c>
    </row>
    <row r="341" spans="1:24" x14ac:dyDescent="0.45">
      <c r="A341">
        <v>42</v>
      </c>
      <c r="B341">
        <v>42</v>
      </c>
      <c r="C341" t="s">
        <v>623</v>
      </c>
      <c r="D341" t="s">
        <v>414</v>
      </c>
      <c r="F341">
        <v>3.1</v>
      </c>
      <c r="G341">
        <v>312054.15600000002</v>
      </c>
      <c r="H341">
        <v>142742.34400000001</v>
      </c>
      <c r="I341">
        <v>21.861000000000001</v>
      </c>
      <c r="J341" t="s">
        <v>403</v>
      </c>
      <c r="K341">
        <v>7.3</v>
      </c>
      <c r="N341">
        <v>50</v>
      </c>
      <c r="O341">
        <v>50</v>
      </c>
      <c r="P341" t="s">
        <v>704</v>
      </c>
      <c r="Q341" t="s">
        <v>414</v>
      </c>
      <c r="S341">
        <v>3.11</v>
      </c>
      <c r="T341">
        <v>203291.43799999999</v>
      </c>
      <c r="U341">
        <v>126867.82799999999</v>
      </c>
      <c r="V341">
        <v>16.024000000000001</v>
      </c>
      <c r="W341" t="s">
        <v>403</v>
      </c>
      <c r="X341">
        <v>4.0999999999999996</v>
      </c>
    </row>
    <row r="342" spans="1:24" x14ac:dyDescent="0.45">
      <c r="A342">
        <v>43</v>
      </c>
      <c r="B342">
        <v>43</v>
      </c>
      <c r="C342" t="s">
        <v>624</v>
      </c>
      <c r="D342" t="s">
        <v>414</v>
      </c>
      <c r="F342">
        <v>3.1</v>
      </c>
      <c r="G342">
        <v>268380.81300000002</v>
      </c>
      <c r="H342">
        <v>141139.20300000001</v>
      </c>
      <c r="I342">
        <v>19.015000000000001</v>
      </c>
      <c r="J342" t="s">
        <v>403</v>
      </c>
      <c r="K342">
        <v>6.1</v>
      </c>
      <c r="N342">
        <v>51</v>
      </c>
      <c r="O342">
        <v>51</v>
      </c>
      <c r="P342" t="s">
        <v>705</v>
      </c>
      <c r="Q342" t="s">
        <v>414</v>
      </c>
      <c r="S342">
        <v>3.11</v>
      </c>
      <c r="T342">
        <v>149832.57800000001</v>
      </c>
      <c r="U342">
        <v>32657.949000000001</v>
      </c>
      <c r="V342">
        <v>45.878999999999998</v>
      </c>
      <c r="W342" t="s">
        <v>403</v>
      </c>
      <c r="X342">
        <v>15.2</v>
      </c>
    </row>
    <row r="343" spans="1:24" x14ac:dyDescent="0.45">
      <c r="A343">
        <v>44</v>
      </c>
      <c r="B343">
        <v>44</v>
      </c>
      <c r="C343" t="s">
        <v>625</v>
      </c>
      <c r="D343" t="s">
        <v>414</v>
      </c>
      <c r="F343">
        <v>3.1</v>
      </c>
      <c r="G343">
        <v>380664.65600000002</v>
      </c>
      <c r="H343">
        <v>109559.80499999999</v>
      </c>
      <c r="I343">
        <v>34.744999999999997</v>
      </c>
      <c r="J343" t="s">
        <v>403</v>
      </c>
      <c r="K343">
        <v>12.6</v>
      </c>
      <c r="N343">
        <v>52</v>
      </c>
      <c r="O343">
        <v>52</v>
      </c>
      <c r="P343" t="s">
        <v>706</v>
      </c>
      <c r="Q343" t="s">
        <v>414</v>
      </c>
      <c r="S343">
        <v>3.1</v>
      </c>
      <c r="T343">
        <v>208985.5</v>
      </c>
      <c r="U343">
        <v>113259.398</v>
      </c>
      <c r="V343">
        <v>18.452000000000002</v>
      </c>
      <c r="W343" t="s">
        <v>403</v>
      </c>
      <c r="X343">
        <v>5</v>
      </c>
    </row>
    <row r="344" spans="1:24" x14ac:dyDescent="0.45">
      <c r="A344">
        <v>45</v>
      </c>
      <c r="B344">
        <v>45</v>
      </c>
      <c r="C344" t="s">
        <v>626</v>
      </c>
      <c r="D344" t="s">
        <v>414</v>
      </c>
      <c r="F344">
        <v>3.1</v>
      </c>
      <c r="G344">
        <v>220242.375</v>
      </c>
      <c r="H344">
        <v>100699.852</v>
      </c>
      <c r="I344">
        <v>21.870999999999999</v>
      </c>
      <c r="J344" t="s">
        <v>403</v>
      </c>
      <c r="K344">
        <v>7.3</v>
      </c>
      <c r="N344">
        <v>53</v>
      </c>
      <c r="O344">
        <v>53</v>
      </c>
      <c r="P344" t="s">
        <v>707</v>
      </c>
      <c r="Q344" t="s">
        <v>414</v>
      </c>
      <c r="S344">
        <v>3.11</v>
      </c>
      <c r="T344">
        <v>195785.234</v>
      </c>
      <c r="U344">
        <v>124243.109</v>
      </c>
      <c r="V344">
        <v>15.757999999999999</v>
      </c>
      <c r="W344" t="s">
        <v>403</v>
      </c>
      <c r="X344">
        <v>4</v>
      </c>
    </row>
    <row r="345" spans="1:24" x14ac:dyDescent="0.45">
      <c r="A345">
        <v>46</v>
      </c>
      <c r="B345">
        <v>46</v>
      </c>
      <c r="C345" t="s">
        <v>627</v>
      </c>
      <c r="D345" t="s">
        <v>414</v>
      </c>
      <c r="F345">
        <v>3.1</v>
      </c>
      <c r="G345">
        <v>292781.81300000002</v>
      </c>
      <c r="H345">
        <v>104970.602</v>
      </c>
      <c r="I345">
        <v>27.891999999999999</v>
      </c>
      <c r="J345" t="s">
        <v>403</v>
      </c>
      <c r="K345">
        <v>9.8000000000000007</v>
      </c>
      <c r="N345">
        <v>54</v>
      </c>
      <c r="O345">
        <v>54</v>
      </c>
      <c r="P345" t="s">
        <v>708</v>
      </c>
      <c r="Q345" t="s">
        <v>414</v>
      </c>
      <c r="S345">
        <v>3.12</v>
      </c>
      <c r="T345">
        <v>242633.82800000001</v>
      </c>
      <c r="U345">
        <v>114665.094</v>
      </c>
      <c r="V345">
        <v>21.16</v>
      </c>
      <c r="W345" t="s">
        <v>403</v>
      </c>
      <c r="X345">
        <v>6</v>
      </c>
    </row>
    <row r="346" spans="1:24" x14ac:dyDescent="0.45">
      <c r="A346">
        <v>47</v>
      </c>
      <c r="B346">
        <v>47</v>
      </c>
      <c r="C346" t="s">
        <v>628</v>
      </c>
      <c r="D346" t="s">
        <v>414</v>
      </c>
      <c r="F346">
        <v>3.1</v>
      </c>
      <c r="G346">
        <v>304132.18800000002</v>
      </c>
      <c r="H346">
        <v>109074.336</v>
      </c>
      <c r="I346">
        <v>27.882999999999999</v>
      </c>
      <c r="J346" t="s">
        <v>403</v>
      </c>
      <c r="K346">
        <v>9.8000000000000007</v>
      </c>
      <c r="N346">
        <v>55</v>
      </c>
      <c r="O346">
        <v>55</v>
      </c>
      <c r="P346" t="s">
        <v>709</v>
      </c>
      <c r="Q346" t="s">
        <v>414</v>
      </c>
      <c r="S346">
        <v>3.11</v>
      </c>
      <c r="T346">
        <v>227761.07800000001</v>
      </c>
      <c r="U346">
        <v>121366.523</v>
      </c>
      <c r="V346">
        <v>18.765999999999998</v>
      </c>
      <c r="W346" t="s">
        <v>403</v>
      </c>
      <c r="X346">
        <v>5.0999999999999996</v>
      </c>
    </row>
    <row r="347" spans="1:24" x14ac:dyDescent="0.45">
      <c r="A347">
        <v>48</v>
      </c>
      <c r="B347">
        <v>48</v>
      </c>
      <c r="C347" t="s">
        <v>629</v>
      </c>
      <c r="D347" t="s">
        <v>414</v>
      </c>
      <c r="F347">
        <v>3.1</v>
      </c>
      <c r="G347">
        <v>285591.90600000002</v>
      </c>
      <c r="H347">
        <v>85798.312999999995</v>
      </c>
      <c r="I347">
        <v>33.286000000000001</v>
      </c>
      <c r="J347" t="s">
        <v>403</v>
      </c>
      <c r="K347">
        <v>12</v>
      </c>
      <c r="N347">
        <v>56</v>
      </c>
      <c r="O347">
        <v>56</v>
      </c>
      <c r="P347" t="s">
        <v>710</v>
      </c>
      <c r="Q347" t="s">
        <v>414</v>
      </c>
      <c r="S347">
        <v>3.11</v>
      </c>
      <c r="T347">
        <v>350833.78100000002</v>
      </c>
      <c r="U347">
        <v>121716.352</v>
      </c>
      <c r="V347">
        <v>28.824000000000002</v>
      </c>
      <c r="W347" t="s">
        <v>403</v>
      </c>
      <c r="X347">
        <v>8.9</v>
      </c>
    </row>
    <row r="348" spans="1:24" x14ac:dyDescent="0.45">
      <c r="A348">
        <v>49</v>
      </c>
      <c r="B348">
        <v>49</v>
      </c>
      <c r="C348" t="s">
        <v>630</v>
      </c>
      <c r="D348" t="s">
        <v>414</v>
      </c>
      <c r="F348">
        <v>3.1</v>
      </c>
      <c r="G348">
        <v>337240.75</v>
      </c>
      <c r="H348">
        <v>116367.523</v>
      </c>
      <c r="I348">
        <v>28.981000000000002</v>
      </c>
      <c r="J348" t="s">
        <v>403</v>
      </c>
      <c r="K348">
        <v>10.199999999999999</v>
      </c>
      <c r="N348">
        <v>57</v>
      </c>
      <c r="O348">
        <v>57</v>
      </c>
      <c r="P348" t="s">
        <v>711</v>
      </c>
      <c r="Q348" t="s">
        <v>414</v>
      </c>
      <c r="S348">
        <v>3.11</v>
      </c>
      <c r="T348">
        <v>294883.68800000002</v>
      </c>
      <c r="U348">
        <v>145073.04699999999</v>
      </c>
      <c r="V348">
        <v>20.327000000000002</v>
      </c>
      <c r="W348" t="s">
        <v>403</v>
      </c>
      <c r="X348">
        <v>5.7</v>
      </c>
    </row>
    <row r="349" spans="1:24" x14ac:dyDescent="0.45">
      <c r="A349">
        <v>50</v>
      </c>
      <c r="B349">
        <v>50</v>
      </c>
      <c r="C349" t="s">
        <v>631</v>
      </c>
      <c r="D349" t="s">
        <v>414</v>
      </c>
      <c r="F349">
        <v>3.1</v>
      </c>
      <c r="G349">
        <v>274268.375</v>
      </c>
      <c r="H349">
        <v>87716.672000000006</v>
      </c>
      <c r="I349">
        <v>31.268000000000001</v>
      </c>
      <c r="J349" t="s">
        <v>403</v>
      </c>
      <c r="K349">
        <v>11.1</v>
      </c>
      <c r="N349">
        <v>58</v>
      </c>
      <c r="O349">
        <v>58</v>
      </c>
      <c r="P349" t="s">
        <v>712</v>
      </c>
      <c r="Q349" t="s">
        <v>414</v>
      </c>
      <c r="S349">
        <v>3.11</v>
      </c>
      <c r="T349">
        <v>230300.391</v>
      </c>
      <c r="U349">
        <v>120038.648</v>
      </c>
      <c r="V349">
        <v>19.186</v>
      </c>
      <c r="W349" t="s">
        <v>403</v>
      </c>
      <c r="X349">
        <v>5.3</v>
      </c>
    </row>
    <row r="350" spans="1:24" x14ac:dyDescent="0.45">
      <c r="A350">
        <v>51</v>
      </c>
      <c r="B350">
        <v>51</v>
      </c>
      <c r="C350" t="s">
        <v>632</v>
      </c>
      <c r="D350" t="s">
        <v>414</v>
      </c>
      <c r="F350">
        <v>3.1</v>
      </c>
      <c r="G350">
        <v>185014.234</v>
      </c>
      <c r="H350">
        <v>80047.312999999995</v>
      </c>
      <c r="I350">
        <v>23.113</v>
      </c>
      <c r="J350" t="s">
        <v>403</v>
      </c>
      <c r="K350">
        <v>7.8</v>
      </c>
      <c r="N350">
        <v>59</v>
      </c>
      <c r="O350">
        <v>59</v>
      </c>
      <c r="P350" t="s">
        <v>713</v>
      </c>
      <c r="Q350" t="s">
        <v>414</v>
      </c>
      <c r="S350">
        <v>3.11</v>
      </c>
      <c r="T350">
        <v>158570.04699999999</v>
      </c>
      <c r="U350">
        <v>65922.922000000006</v>
      </c>
      <c r="V350">
        <v>24.053999999999998</v>
      </c>
      <c r="W350" t="s">
        <v>412</v>
      </c>
      <c r="X350">
        <v>7.1</v>
      </c>
    </row>
    <row r="351" spans="1:24" x14ac:dyDescent="0.45">
      <c r="A351">
        <v>52</v>
      </c>
      <c r="B351">
        <v>52</v>
      </c>
      <c r="C351" t="s">
        <v>633</v>
      </c>
      <c r="D351" t="s">
        <v>414</v>
      </c>
      <c r="F351">
        <v>3.1</v>
      </c>
      <c r="G351">
        <v>218188.641</v>
      </c>
      <c r="H351">
        <v>95509.702999999994</v>
      </c>
      <c r="I351">
        <v>22.844999999999999</v>
      </c>
      <c r="J351" t="s">
        <v>403</v>
      </c>
      <c r="K351">
        <v>7.7</v>
      </c>
      <c r="N351">
        <v>60</v>
      </c>
      <c r="O351">
        <v>60</v>
      </c>
      <c r="P351" t="s">
        <v>714</v>
      </c>
      <c r="Q351" t="s">
        <v>414</v>
      </c>
      <c r="S351">
        <v>3.11</v>
      </c>
      <c r="T351">
        <v>199150.07800000001</v>
      </c>
      <c r="U351">
        <v>84066.273000000001</v>
      </c>
      <c r="V351">
        <v>23.69</v>
      </c>
      <c r="W351" t="s">
        <v>415</v>
      </c>
      <c r="X351">
        <v>7</v>
      </c>
    </row>
    <row r="352" spans="1:24" x14ac:dyDescent="0.45">
      <c r="A352">
        <v>53</v>
      </c>
      <c r="B352">
        <v>53</v>
      </c>
      <c r="C352" t="s">
        <v>634</v>
      </c>
      <c r="D352" t="s">
        <v>414</v>
      </c>
      <c r="F352">
        <v>3.1</v>
      </c>
      <c r="G352">
        <v>206904.18799999999</v>
      </c>
      <c r="H352">
        <v>131696.625</v>
      </c>
      <c r="I352">
        <v>15.711</v>
      </c>
      <c r="J352" t="s">
        <v>403</v>
      </c>
      <c r="K352">
        <v>4.8</v>
      </c>
      <c r="N352">
        <v>61</v>
      </c>
      <c r="O352">
        <v>61</v>
      </c>
      <c r="P352" t="s">
        <v>715</v>
      </c>
      <c r="Q352" t="s">
        <v>414</v>
      </c>
      <c r="S352">
        <v>3.11</v>
      </c>
      <c r="T352">
        <v>255869.359</v>
      </c>
      <c r="U352">
        <v>117342.242</v>
      </c>
      <c r="V352">
        <v>21.805</v>
      </c>
      <c r="W352" t="s">
        <v>403</v>
      </c>
      <c r="X352">
        <v>6.3</v>
      </c>
    </row>
    <row r="353" spans="1:25" x14ac:dyDescent="0.45">
      <c r="A353">
        <v>54</v>
      </c>
      <c r="B353">
        <v>54</v>
      </c>
      <c r="C353" t="s">
        <v>635</v>
      </c>
      <c r="D353" t="s">
        <v>414</v>
      </c>
      <c r="F353">
        <v>3.1</v>
      </c>
      <c r="G353">
        <v>219825.90599999999</v>
      </c>
      <c r="H353">
        <v>51488.027000000002</v>
      </c>
      <c r="I353">
        <v>42.695</v>
      </c>
      <c r="J353" t="s">
        <v>403</v>
      </c>
      <c r="K353">
        <v>15.8</v>
      </c>
      <c r="N353">
        <v>62</v>
      </c>
      <c r="O353">
        <v>62</v>
      </c>
      <c r="P353" t="s">
        <v>716</v>
      </c>
      <c r="Q353" t="s">
        <v>414</v>
      </c>
      <c r="S353">
        <v>3.11</v>
      </c>
      <c r="T353">
        <v>170632.20300000001</v>
      </c>
      <c r="U353">
        <v>59151.184000000001</v>
      </c>
      <c r="V353">
        <v>28.847000000000001</v>
      </c>
      <c r="W353" t="s">
        <v>412</v>
      </c>
      <c r="X353">
        <v>8.9</v>
      </c>
    </row>
    <row r="354" spans="1:25" x14ac:dyDescent="0.45">
      <c r="A354">
        <v>55</v>
      </c>
      <c r="B354">
        <v>55</v>
      </c>
      <c r="C354" t="s">
        <v>636</v>
      </c>
      <c r="D354" t="s">
        <v>414</v>
      </c>
      <c r="F354">
        <v>3.1</v>
      </c>
      <c r="G354">
        <v>204874</v>
      </c>
      <c r="H354">
        <v>81706.172000000006</v>
      </c>
      <c r="I354">
        <v>25.074000000000002</v>
      </c>
      <c r="J354" t="s">
        <v>403</v>
      </c>
      <c r="K354">
        <v>8.6</v>
      </c>
      <c r="N354">
        <v>63</v>
      </c>
      <c r="O354">
        <v>63</v>
      </c>
      <c r="P354" t="s">
        <v>717</v>
      </c>
      <c r="Q354" t="s">
        <v>414</v>
      </c>
      <c r="S354">
        <v>3.11</v>
      </c>
      <c r="T354">
        <v>264619.28100000002</v>
      </c>
      <c r="U354">
        <v>138972.04699999999</v>
      </c>
      <c r="V354">
        <v>19.041</v>
      </c>
      <c r="W354" t="s">
        <v>403</v>
      </c>
      <c r="X354">
        <v>5.2</v>
      </c>
    </row>
    <row r="355" spans="1:25" x14ac:dyDescent="0.45">
      <c r="A355">
        <v>56</v>
      </c>
      <c r="B355">
        <v>56</v>
      </c>
      <c r="C355" t="s">
        <v>637</v>
      </c>
      <c r="D355" t="s">
        <v>414</v>
      </c>
      <c r="F355">
        <v>3.1</v>
      </c>
      <c r="G355">
        <v>380003.93800000002</v>
      </c>
      <c r="H355">
        <v>133634.18799999999</v>
      </c>
      <c r="I355">
        <v>28.436</v>
      </c>
      <c r="J355" t="s">
        <v>403</v>
      </c>
      <c r="K355">
        <v>10</v>
      </c>
      <c r="N355">
        <v>64</v>
      </c>
      <c r="O355">
        <v>64</v>
      </c>
      <c r="P355" t="s">
        <v>718</v>
      </c>
      <c r="Q355" t="s">
        <v>414</v>
      </c>
      <c r="S355">
        <v>3.11</v>
      </c>
      <c r="T355">
        <v>244252.609</v>
      </c>
      <c r="U355">
        <v>127812.383</v>
      </c>
      <c r="V355">
        <v>19.11</v>
      </c>
      <c r="W355" t="s">
        <v>403</v>
      </c>
      <c r="X355">
        <v>5.2</v>
      </c>
    </row>
    <row r="356" spans="1:25" x14ac:dyDescent="0.45">
      <c r="A356">
        <v>57</v>
      </c>
      <c r="B356">
        <v>57</v>
      </c>
      <c r="C356" t="s">
        <v>638</v>
      </c>
      <c r="D356" t="s">
        <v>414</v>
      </c>
      <c r="F356">
        <v>3.1</v>
      </c>
      <c r="G356">
        <v>208855.40599999999</v>
      </c>
      <c r="H356">
        <v>66668.858999999997</v>
      </c>
      <c r="I356">
        <v>31.327000000000002</v>
      </c>
      <c r="J356" t="s">
        <v>403</v>
      </c>
      <c r="K356">
        <v>11.2</v>
      </c>
      <c r="N356">
        <v>65</v>
      </c>
      <c r="O356">
        <v>65</v>
      </c>
      <c r="P356" t="s">
        <v>719</v>
      </c>
      <c r="Q356" t="s">
        <v>414</v>
      </c>
      <c r="S356">
        <v>3.11</v>
      </c>
      <c r="T356">
        <v>173176.391</v>
      </c>
      <c r="U356">
        <v>46748.483999999997</v>
      </c>
      <c r="V356">
        <v>37.043999999999997</v>
      </c>
      <c r="W356" t="s">
        <v>403</v>
      </c>
      <c r="X356">
        <v>11.9</v>
      </c>
    </row>
    <row r="357" spans="1:25" x14ac:dyDescent="0.45">
      <c r="A357">
        <v>58</v>
      </c>
      <c r="B357">
        <v>58</v>
      </c>
      <c r="C357" t="s">
        <v>639</v>
      </c>
      <c r="D357" t="s">
        <v>414</v>
      </c>
      <c r="F357">
        <v>3.1</v>
      </c>
      <c r="G357">
        <v>199924.34400000001</v>
      </c>
      <c r="H357">
        <v>65731.679999999993</v>
      </c>
      <c r="I357">
        <v>30.414999999999999</v>
      </c>
      <c r="J357" t="s">
        <v>403</v>
      </c>
      <c r="K357">
        <v>10.8</v>
      </c>
      <c r="N357">
        <v>66</v>
      </c>
      <c r="O357">
        <v>66</v>
      </c>
      <c r="P357" t="s">
        <v>720</v>
      </c>
      <c r="Q357" t="s">
        <v>414</v>
      </c>
      <c r="S357">
        <v>3.11</v>
      </c>
      <c r="T357">
        <v>221657.78099999999</v>
      </c>
      <c r="U357">
        <v>151900.109</v>
      </c>
      <c r="V357">
        <v>14.592000000000001</v>
      </c>
      <c r="W357" t="s">
        <v>403</v>
      </c>
      <c r="X357">
        <v>3.6</v>
      </c>
    </row>
    <row r="358" spans="1:25" x14ac:dyDescent="0.45">
      <c r="A358">
        <v>59</v>
      </c>
      <c r="B358">
        <v>59</v>
      </c>
      <c r="C358" t="s">
        <v>640</v>
      </c>
      <c r="D358" t="s">
        <v>414</v>
      </c>
      <c r="F358">
        <v>3.1</v>
      </c>
      <c r="G358">
        <v>205021.484</v>
      </c>
      <c r="H358">
        <v>86693.023000000001</v>
      </c>
      <c r="I358">
        <v>23.649000000000001</v>
      </c>
      <c r="J358" t="s">
        <v>403</v>
      </c>
      <c r="K358">
        <v>8</v>
      </c>
      <c r="N358">
        <v>67</v>
      </c>
      <c r="O358">
        <v>67</v>
      </c>
      <c r="P358" t="s">
        <v>721</v>
      </c>
      <c r="Q358" t="s">
        <v>414</v>
      </c>
      <c r="S358">
        <v>3.11</v>
      </c>
      <c r="T358">
        <v>224957.25</v>
      </c>
      <c r="U358">
        <v>137364.109</v>
      </c>
      <c r="V358">
        <v>16.376999999999999</v>
      </c>
      <c r="W358" t="s">
        <v>403</v>
      </c>
      <c r="X358">
        <v>4.2</v>
      </c>
    </row>
    <row r="359" spans="1:25" x14ac:dyDescent="0.45">
      <c r="A359">
        <v>60</v>
      </c>
      <c r="B359">
        <v>60</v>
      </c>
      <c r="C359" t="s">
        <v>641</v>
      </c>
      <c r="D359" t="s">
        <v>414</v>
      </c>
      <c r="F359">
        <v>3.1</v>
      </c>
      <c r="G359">
        <v>268212.93800000002</v>
      </c>
      <c r="H359">
        <v>78097.077999999994</v>
      </c>
      <c r="I359">
        <v>34.344000000000001</v>
      </c>
      <c r="J359" t="s">
        <v>403</v>
      </c>
      <c r="K359">
        <v>12.4</v>
      </c>
    </row>
    <row r="360" spans="1:25" x14ac:dyDescent="0.45">
      <c r="A360">
        <v>61</v>
      </c>
      <c r="B360">
        <v>61</v>
      </c>
      <c r="C360" t="s">
        <v>642</v>
      </c>
      <c r="D360" t="s">
        <v>414</v>
      </c>
      <c r="F360">
        <v>3.1</v>
      </c>
      <c r="G360">
        <v>209362.266</v>
      </c>
      <c r="H360">
        <v>107251.93799999999</v>
      </c>
      <c r="I360">
        <v>19.521000000000001</v>
      </c>
      <c r="J360" t="s">
        <v>403</v>
      </c>
      <c r="K360">
        <v>6.3</v>
      </c>
      <c r="N360" t="s">
        <v>487</v>
      </c>
    </row>
    <row r="361" spans="1:25" x14ac:dyDescent="0.45">
      <c r="A361">
        <v>62</v>
      </c>
      <c r="B361">
        <v>62</v>
      </c>
      <c r="C361" t="s">
        <v>643</v>
      </c>
      <c r="D361" t="s">
        <v>414</v>
      </c>
      <c r="F361">
        <v>3.1</v>
      </c>
      <c r="G361">
        <v>243638.04699999999</v>
      </c>
      <c r="H361">
        <v>123916.984</v>
      </c>
      <c r="I361">
        <v>19.661000000000001</v>
      </c>
      <c r="J361" t="s">
        <v>403</v>
      </c>
      <c r="K361">
        <v>6.4</v>
      </c>
    </row>
    <row r="362" spans="1:25" x14ac:dyDescent="0.45">
      <c r="A362">
        <v>63</v>
      </c>
      <c r="B362">
        <v>63</v>
      </c>
      <c r="C362" t="s">
        <v>644</v>
      </c>
      <c r="D362" t="s">
        <v>414</v>
      </c>
      <c r="F362">
        <v>3.1</v>
      </c>
      <c r="G362">
        <v>181127.875</v>
      </c>
      <c r="H362">
        <v>82257.5</v>
      </c>
      <c r="I362">
        <v>22.02</v>
      </c>
      <c r="J362" t="s">
        <v>403</v>
      </c>
      <c r="K362">
        <v>7.4</v>
      </c>
      <c r="O362" t="s">
        <v>389</v>
      </c>
      <c r="P362" t="s">
        <v>123</v>
      </c>
      <c r="Q362" t="s">
        <v>390</v>
      </c>
      <c r="R362" t="s">
        <v>391</v>
      </c>
      <c r="S362" t="s">
        <v>392</v>
      </c>
      <c r="T362" t="s">
        <v>393</v>
      </c>
      <c r="U362" t="s">
        <v>394</v>
      </c>
      <c r="V362" t="s">
        <v>395</v>
      </c>
      <c r="W362" t="s">
        <v>396</v>
      </c>
      <c r="X362" t="s">
        <v>397</v>
      </c>
      <c r="Y362" t="s">
        <v>398</v>
      </c>
    </row>
    <row r="363" spans="1:25" x14ac:dyDescent="0.45">
      <c r="A363">
        <v>64</v>
      </c>
      <c r="B363">
        <v>64</v>
      </c>
      <c r="C363" t="s">
        <v>645</v>
      </c>
      <c r="D363" t="s">
        <v>414</v>
      </c>
      <c r="F363">
        <v>3.1</v>
      </c>
      <c r="G363">
        <v>214671.90599999999</v>
      </c>
      <c r="H363">
        <v>65478.347999999998</v>
      </c>
      <c r="I363">
        <v>32.784999999999997</v>
      </c>
      <c r="J363" t="s">
        <v>403</v>
      </c>
      <c r="K363">
        <v>11.8</v>
      </c>
      <c r="N363">
        <v>1</v>
      </c>
      <c r="O363">
        <v>1</v>
      </c>
      <c r="P363" t="s">
        <v>655</v>
      </c>
      <c r="Q363" t="s">
        <v>400</v>
      </c>
      <c r="R363">
        <v>0.05</v>
      </c>
      <c r="S363">
        <v>3.45</v>
      </c>
      <c r="T363">
        <v>1368.8309999999999</v>
      </c>
      <c r="U363">
        <v>11553.064</v>
      </c>
      <c r="V363">
        <v>1.1850000000000001</v>
      </c>
      <c r="W363" t="s">
        <v>415</v>
      </c>
      <c r="X363">
        <v>0.1</v>
      </c>
      <c r="Y363">
        <v>36.9</v>
      </c>
    </row>
    <row r="364" spans="1:25" x14ac:dyDescent="0.45">
      <c r="A364">
        <v>65</v>
      </c>
      <c r="B364">
        <v>65</v>
      </c>
      <c r="C364" t="s">
        <v>646</v>
      </c>
      <c r="D364" t="s">
        <v>414</v>
      </c>
      <c r="F364">
        <v>3.1</v>
      </c>
      <c r="G364">
        <v>170991.82800000001</v>
      </c>
      <c r="H364">
        <v>75065.875</v>
      </c>
      <c r="I364">
        <v>22.779</v>
      </c>
      <c r="J364" t="s">
        <v>403</v>
      </c>
      <c r="K364">
        <v>7.7</v>
      </c>
      <c r="N364">
        <v>2</v>
      </c>
      <c r="O364">
        <v>2</v>
      </c>
      <c r="P364" t="s">
        <v>656</v>
      </c>
      <c r="Q364" t="s">
        <v>400</v>
      </c>
      <c r="R364">
        <v>0.5</v>
      </c>
      <c r="S364">
        <v>3.45</v>
      </c>
      <c r="T364">
        <v>13095.125</v>
      </c>
      <c r="U364">
        <v>10187.148999999999</v>
      </c>
      <c r="V364">
        <v>12.855</v>
      </c>
      <c r="W364" t="s">
        <v>415</v>
      </c>
      <c r="X364">
        <v>0.6</v>
      </c>
      <c r="Y364">
        <v>13.2</v>
      </c>
    </row>
    <row r="365" spans="1:25" x14ac:dyDescent="0.45">
      <c r="A365">
        <v>66</v>
      </c>
      <c r="B365">
        <v>66</v>
      </c>
      <c r="C365" t="s">
        <v>647</v>
      </c>
      <c r="D365" t="s">
        <v>414</v>
      </c>
      <c r="F365">
        <v>3.1</v>
      </c>
      <c r="G365">
        <v>354432.56300000002</v>
      </c>
      <c r="H365">
        <v>97245</v>
      </c>
      <c r="I365">
        <v>36.447000000000003</v>
      </c>
      <c r="J365" t="s">
        <v>403</v>
      </c>
      <c r="K365">
        <v>13.3</v>
      </c>
      <c r="N365">
        <v>3</v>
      </c>
      <c r="O365">
        <v>3</v>
      </c>
      <c r="P365" t="s">
        <v>657</v>
      </c>
      <c r="Q365" t="s">
        <v>400</v>
      </c>
      <c r="R365">
        <v>1.25</v>
      </c>
      <c r="S365">
        <v>3.45</v>
      </c>
      <c r="T365">
        <v>33259.241999999998</v>
      </c>
      <c r="U365">
        <v>11795.861000000001</v>
      </c>
      <c r="V365">
        <v>28.196000000000002</v>
      </c>
      <c r="W365" t="s">
        <v>401</v>
      </c>
      <c r="X365">
        <v>1.2</v>
      </c>
      <c r="Y365">
        <v>-2.4</v>
      </c>
    </row>
    <row r="366" spans="1:25" x14ac:dyDescent="0.45">
      <c r="A366">
        <v>67</v>
      </c>
      <c r="B366">
        <v>67</v>
      </c>
      <c r="C366" t="s">
        <v>648</v>
      </c>
      <c r="D366" t="s">
        <v>414</v>
      </c>
      <c r="F366">
        <v>3.1</v>
      </c>
      <c r="G366">
        <v>189713.391</v>
      </c>
      <c r="H366">
        <v>72379.960999999996</v>
      </c>
      <c r="I366">
        <v>26.210999999999999</v>
      </c>
      <c r="J366" t="s">
        <v>403</v>
      </c>
      <c r="K366">
        <v>9.1</v>
      </c>
      <c r="N366">
        <v>4</v>
      </c>
      <c r="O366">
        <v>4</v>
      </c>
      <c r="P366" t="s">
        <v>658</v>
      </c>
      <c r="Q366" t="s">
        <v>400</v>
      </c>
      <c r="R366">
        <v>2.5</v>
      </c>
      <c r="S366">
        <v>3.45</v>
      </c>
      <c r="T366">
        <v>68099.358999999997</v>
      </c>
      <c r="U366">
        <v>11753.134</v>
      </c>
      <c r="V366">
        <v>57.941000000000003</v>
      </c>
      <c r="W366" t="s">
        <v>403</v>
      </c>
      <c r="X366">
        <v>2.5</v>
      </c>
      <c r="Y366">
        <v>-0.5</v>
      </c>
    </row>
    <row r="367" spans="1:25" x14ac:dyDescent="0.45">
      <c r="A367">
        <v>68</v>
      </c>
      <c r="B367">
        <v>68</v>
      </c>
      <c r="C367" t="s">
        <v>649</v>
      </c>
      <c r="D367" t="s">
        <v>414</v>
      </c>
      <c r="F367">
        <v>3.1</v>
      </c>
      <c r="G367">
        <v>191229.641</v>
      </c>
      <c r="H367">
        <v>76601.156000000003</v>
      </c>
      <c r="I367">
        <v>24.963999999999999</v>
      </c>
      <c r="J367" t="s">
        <v>403</v>
      </c>
      <c r="K367">
        <v>8.6</v>
      </c>
      <c r="N367">
        <v>5</v>
      </c>
      <c r="O367">
        <v>5</v>
      </c>
      <c r="P367" t="s">
        <v>659</v>
      </c>
      <c r="Q367" t="s">
        <v>400</v>
      </c>
      <c r="R367">
        <v>3.5</v>
      </c>
      <c r="S367">
        <v>3.45</v>
      </c>
      <c r="T367">
        <v>94230.156000000003</v>
      </c>
      <c r="U367">
        <v>11781.368</v>
      </c>
      <c r="V367">
        <v>79.981999999999999</v>
      </c>
      <c r="W367" t="s">
        <v>401</v>
      </c>
      <c r="X367">
        <v>3.4</v>
      </c>
      <c r="Y367">
        <v>-2.1</v>
      </c>
    </row>
    <row r="368" spans="1:25" x14ac:dyDescent="0.45">
      <c r="A368">
        <v>69</v>
      </c>
      <c r="B368">
        <v>69</v>
      </c>
      <c r="C368" t="s">
        <v>650</v>
      </c>
      <c r="D368" t="s">
        <v>414</v>
      </c>
      <c r="F368">
        <v>3.1</v>
      </c>
      <c r="G368">
        <v>219565.17199999999</v>
      </c>
      <c r="H368">
        <v>93657.812999999995</v>
      </c>
      <c r="I368">
        <v>23.443000000000001</v>
      </c>
      <c r="J368" t="s">
        <v>403</v>
      </c>
      <c r="K368">
        <v>7.9</v>
      </c>
      <c r="N368">
        <v>6</v>
      </c>
      <c r="O368">
        <v>6</v>
      </c>
      <c r="P368" t="s">
        <v>660</v>
      </c>
      <c r="Q368" t="s">
        <v>400</v>
      </c>
      <c r="R368">
        <v>5</v>
      </c>
      <c r="S368">
        <v>3.45</v>
      </c>
      <c r="T368">
        <v>137523.06299999999</v>
      </c>
      <c r="U368">
        <v>11861.207</v>
      </c>
      <c r="V368">
        <v>115.944</v>
      </c>
      <c r="W368" t="s">
        <v>403</v>
      </c>
      <c r="X368">
        <v>5</v>
      </c>
      <c r="Y368">
        <v>-0.8</v>
      </c>
    </row>
    <row r="369" spans="1:25" x14ac:dyDescent="0.45">
      <c r="N369">
        <v>7</v>
      </c>
      <c r="O369">
        <v>7</v>
      </c>
      <c r="P369" t="s">
        <v>661</v>
      </c>
      <c r="Q369" t="s">
        <v>400</v>
      </c>
      <c r="R369">
        <v>7</v>
      </c>
      <c r="S369">
        <v>3.45</v>
      </c>
      <c r="T369">
        <v>191835.984</v>
      </c>
      <c r="U369">
        <v>11599.053</v>
      </c>
      <c r="V369">
        <v>165.38900000000001</v>
      </c>
      <c r="W369" t="s">
        <v>403</v>
      </c>
      <c r="X369">
        <v>7.1</v>
      </c>
      <c r="Y369">
        <v>1</v>
      </c>
    </row>
    <row r="370" spans="1:25" x14ac:dyDescent="0.45">
      <c r="A370" t="s">
        <v>487</v>
      </c>
      <c r="N370">
        <v>8</v>
      </c>
      <c r="O370">
        <v>8</v>
      </c>
      <c r="P370" t="s">
        <v>662</v>
      </c>
      <c r="Q370" t="s">
        <v>414</v>
      </c>
      <c r="S370">
        <v>3.49</v>
      </c>
      <c r="T370">
        <v>5362.1689999999999</v>
      </c>
      <c r="U370">
        <v>8341.4240000000009</v>
      </c>
      <c r="V370">
        <v>6.4279999999999999</v>
      </c>
      <c r="W370" t="s">
        <v>403</v>
      </c>
      <c r="X370">
        <v>0.3</v>
      </c>
    </row>
    <row r="371" spans="1:25" x14ac:dyDescent="0.45">
      <c r="N371">
        <v>9</v>
      </c>
      <c r="O371">
        <v>9</v>
      </c>
      <c r="P371" t="s">
        <v>663</v>
      </c>
      <c r="Q371" t="s">
        <v>414</v>
      </c>
      <c r="S371">
        <v>3.49</v>
      </c>
      <c r="T371">
        <v>4648.2110000000002</v>
      </c>
      <c r="U371">
        <v>5656.6459999999997</v>
      </c>
      <c r="V371">
        <v>8.2170000000000005</v>
      </c>
      <c r="W371" t="s">
        <v>412</v>
      </c>
      <c r="X371">
        <v>0.4</v>
      </c>
    </row>
    <row r="372" spans="1:25" x14ac:dyDescent="0.45">
      <c r="B372" t="s">
        <v>389</v>
      </c>
      <c r="C372" t="s">
        <v>123</v>
      </c>
      <c r="D372" t="s">
        <v>390</v>
      </c>
      <c r="E372" t="s">
        <v>391</v>
      </c>
      <c r="F372" t="s">
        <v>392</v>
      </c>
      <c r="G372" t="s">
        <v>393</v>
      </c>
      <c r="H372" t="s">
        <v>394</v>
      </c>
      <c r="I372" t="s">
        <v>395</v>
      </c>
      <c r="J372" t="s">
        <v>396</v>
      </c>
      <c r="K372" t="s">
        <v>397</v>
      </c>
      <c r="L372" t="s">
        <v>398</v>
      </c>
      <c r="N372">
        <v>10</v>
      </c>
      <c r="O372">
        <v>10</v>
      </c>
      <c r="P372" t="s">
        <v>664</v>
      </c>
      <c r="Q372" t="s">
        <v>414</v>
      </c>
      <c r="S372">
        <v>3.49</v>
      </c>
      <c r="T372">
        <v>6840.0209999999997</v>
      </c>
      <c r="U372">
        <v>8456.6039999999994</v>
      </c>
      <c r="V372">
        <v>8.0879999999999992</v>
      </c>
      <c r="W372" t="s">
        <v>403</v>
      </c>
      <c r="X372">
        <v>0.4</v>
      </c>
    </row>
    <row r="373" spans="1:25" x14ac:dyDescent="0.45">
      <c r="A373">
        <v>1</v>
      </c>
      <c r="B373">
        <v>1</v>
      </c>
      <c r="C373" t="s">
        <v>582</v>
      </c>
      <c r="D373" t="s">
        <v>400</v>
      </c>
      <c r="E373">
        <v>0.05</v>
      </c>
      <c r="F373">
        <v>3.49</v>
      </c>
      <c r="G373">
        <v>857.35400000000004</v>
      </c>
      <c r="H373">
        <v>9382.6479999999992</v>
      </c>
      <c r="I373">
        <v>0.91400000000000003</v>
      </c>
      <c r="J373" t="s">
        <v>479</v>
      </c>
      <c r="N373">
        <v>11</v>
      </c>
      <c r="O373">
        <v>11</v>
      </c>
      <c r="P373" t="s">
        <v>665</v>
      </c>
      <c r="Q373" t="s">
        <v>414</v>
      </c>
      <c r="S373">
        <v>3.49</v>
      </c>
      <c r="T373">
        <v>3646.3449999999998</v>
      </c>
      <c r="U373">
        <v>5162.0889999999999</v>
      </c>
      <c r="V373">
        <v>7.0640000000000001</v>
      </c>
      <c r="W373" t="s">
        <v>403</v>
      </c>
      <c r="X373">
        <v>0.3</v>
      </c>
    </row>
    <row r="374" spans="1:25" x14ac:dyDescent="0.45">
      <c r="A374">
        <v>2</v>
      </c>
      <c r="B374">
        <v>2</v>
      </c>
      <c r="C374" t="s">
        <v>583</v>
      </c>
      <c r="D374" t="s">
        <v>400</v>
      </c>
      <c r="E374">
        <v>0.5</v>
      </c>
      <c r="F374">
        <v>3.45</v>
      </c>
      <c r="G374">
        <v>10467.913</v>
      </c>
      <c r="H374">
        <v>8663.0910000000003</v>
      </c>
      <c r="I374">
        <v>12.083</v>
      </c>
      <c r="J374" t="s">
        <v>401</v>
      </c>
      <c r="K374">
        <v>0.5</v>
      </c>
      <c r="L374">
        <v>-9.6999999999999993</v>
      </c>
      <c r="N374">
        <v>12</v>
      </c>
      <c r="O374">
        <v>12</v>
      </c>
      <c r="P374" t="s">
        <v>666</v>
      </c>
      <c r="Q374" t="s">
        <v>414</v>
      </c>
      <c r="S374">
        <v>3.49</v>
      </c>
      <c r="T374">
        <v>1230.0329999999999</v>
      </c>
      <c r="U374">
        <v>6865.97</v>
      </c>
      <c r="V374">
        <v>1.7909999999999999</v>
      </c>
      <c r="W374" t="s">
        <v>415</v>
      </c>
      <c r="X374">
        <v>0.1</v>
      </c>
    </row>
    <row r="375" spans="1:25" x14ac:dyDescent="0.45">
      <c r="A375">
        <v>3</v>
      </c>
      <c r="B375">
        <v>3</v>
      </c>
      <c r="C375" t="s">
        <v>584</v>
      </c>
      <c r="D375" t="s">
        <v>400</v>
      </c>
      <c r="E375">
        <v>1.25</v>
      </c>
      <c r="F375">
        <v>3.45</v>
      </c>
      <c r="G375">
        <v>22256.063999999998</v>
      </c>
      <c r="H375">
        <v>8345.8330000000005</v>
      </c>
      <c r="I375">
        <v>26.667000000000002</v>
      </c>
      <c r="J375" t="s">
        <v>401</v>
      </c>
      <c r="K375">
        <v>1.2</v>
      </c>
      <c r="L375">
        <v>-5.2</v>
      </c>
      <c r="N375">
        <v>13</v>
      </c>
      <c r="O375">
        <v>13</v>
      </c>
      <c r="P375" t="s">
        <v>667</v>
      </c>
      <c r="Q375" t="s">
        <v>414</v>
      </c>
      <c r="S375">
        <v>3.49</v>
      </c>
      <c r="T375">
        <v>2188.7930000000001</v>
      </c>
      <c r="U375">
        <v>5067.165</v>
      </c>
      <c r="V375">
        <v>4.32</v>
      </c>
      <c r="W375" t="s">
        <v>403</v>
      </c>
      <c r="X375">
        <v>0.2</v>
      </c>
    </row>
    <row r="376" spans="1:25" x14ac:dyDescent="0.45">
      <c r="A376">
        <v>4</v>
      </c>
      <c r="B376">
        <v>4</v>
      </c>
      <c r="C376" t="s">
        <v>585</v>
      </c>
      <c r="D376" t="s">
        <v>400</v>
      </c>
      <c r="E376">
        <v>2.5</v>
      </c>
      <c r="F376">
        <v>3.45</v>
      </c>
      <c r="G376">
        <v>53818.144999999997</v>
      </c>
      <c r="H376">
        <v>9967.1630000000005</v>
      </c>
      <c r="I376">
        <v>53.994999999999997</v>
      </c>
      <c r="J376" t="s">
        <v>401</v>
      </c>
      <c r="K376">
        <v>2.6</v>
      </c>
      <c r="L376">
        <v>2.4</v>
      </c>
      <c r="N376">
        <v>14</v>
      </c>
      <c r="O376">
        <v>14</v>
      </c>
      <c r="P376" t="s">
        <v>668</v>
      </c>
      <c r="Q376" t="s">
        <v>414</v>
      </c>
      <c r="S376">
        <v>3.49</v>
      </c>
      <c r="T376">
        <v>1490.4010000000001</v>
      </c>
      <c r="U376">
        <v>6499.38</v>
      </c>
      <c r="V376">
        <v>2.2930000000000001</v>
      </c>
      <c r="W376" t="s">
        <v>403</v>
      </c>
      <c r="X376">
        <v>0.1</v>
      </c>
    </row>
    <row r="377" spans="1:25" x14ac:dyDescent="0.45">
      <c r="A377">
        <v>5</v>
      </c>
      <c r="B377">
        <v>5</v>
      </c>
      <c r="C377" t="s">
        <v>586</v>
      </c>
      <c r="D377" t="s">
        <v>400</v>
      </c>
      <c r="E377">
        <v>3.5</v>
      </c>
      <c r="F377">
        <v>3.46</v>
      </c>
      <c r="G377">
        <v>87146.991999999998</v>
      </c>
      <c r="H377">
        <v>11235.645</v>
      </c>
      <c r="I377">
        <v>77.563000000000002</v>
      </c>
      <c r="J377" t="s">
        <v>403</v>
      </c>
      <c r="K377">
        <v>3.7</v>
      </c>
      <c r="L377">
        <v>7</v>
      </c>
      <c r="N377">
        <v>15</v>
      </c>
      <c r="O377">
        <v>15</v>
      </c>
      <c r="P377" t="s">
        <v>669</v>
      </c>
      <c r="Q377" t="s">
        <v>414</v>
      </c>
      <c r="S377">
        <v>3.49</v>
      </c>
      <c r="T377">
        <v>844.66800000000001</v>
      </c>
      <c r="U377">
        <v>4470.9110000000001</v>
      </c>
      <c r="V377">
        <v>1.889</v>
      </c>
      <c r="W377" t="s">
        <v>412</v>
      </c>
      <c r="X377">
        <v>0.1</v>
      </c>
    </row>
    <row r="378" spans="1:25" x14ac:dyDescent="0.45">
      <c r="A378">
        <v>6</v>
      </c>
      <c r="B378">
        <v>6</v>
      </c>
      <c r="C378" t="s">
        <v>587</v>
      </c>
      <c r="D378" t="s">
        <v>400</v>
      </c>
      <c r="E378">
        <v>5</v>
      </c>
      <c r="F378">
        <v>3.46</v>
      </c>
      <c r="G378">
        <v>133780.67199999999</v>
      </c>
      <c r="H378">
        <v>12235.328</v>
      </c>
      <c r="I378">
        <v>109.34</v>
      </c>
      <c r="J378" t="s">
        <v>403</v>
      </c>
      <c r="K378">
        <v>5.3</v>
      </c>
      <c r="L378">
        <v>6.8</v>
      </c>
      <c r="N378">
        <v>16</v>
      </c>
      <c r="O378">
        <v>16</v>
      </c>
      <c r="P378" t="s">
        <v>670</v>
      </c>
      <c r="Q378" t="s">
        <v>414</v>
      </c>
      <c r="S378">
        <v>3.49</v>
      </c>
      <c r="T378">
        <v>1788.7840000000001</v>
      </c>
      <c r="U378">
        <v>3046.873</v>
      </c>
      <c r="V378">
        <v>5.8710000000000004</v>
      </c>
      <c r="W378" t="s">
        <v>403</v>
      </c>
      <c r="X378">
        <v>0.3</v>
      </c>
    </row>
    <row r="379" spans="1:25" x14ac:dyDescent="0.45">
      <c r="A379">
        <v>7</v>
      </c>
      <c r="B379">
        <v>7</v>
      </c>
      <c r="C379" t="s">
        <v>588</v>
      </c>
      <c r="D379" t="s">
        <v>400</v>
      </c>
      <c r="E379">
        <v>7</v>
      </c>
      <c r="F379">
        <v>3.45</v>
      </c>
      <c r="G379">
        <v>151418.07800000001</v>
      </c>
      <c r="H379">
        <v>11222.994000000001</v>
      </c>
      <c r="I379">
        <v>134.91800000000001</v>
      </c>
      <c r="J379" t="s">
        <v>401</v>
      </c>
      <c r="K379">
        <v>6.6</v>
      </c>
      <c r="L379">
        <v>-5.3</v>
      </c>
      <c r="N379">
        <v>17</v>
      </c>
      <c r="O379">
        <v>17</v>
      </c>
      <c r="P379" t="s">
        <v>671</v>
      </c>
      <c r="Q379" t="s">
        <v>414</v>
      </c>
      <c r="S379">
        <v>3.49</v>
      </c>
      <c r="T379">
        <v>1901.2370000000001</v>
      </c>
      <c r="U379">
        <v>3175.837</v>
      </c>
      <c r="V379">
        <v>5.9870000000000001</v>
      </c>
      <c r="W379" t="s">
        <v>415</v>
      </c>
      <c r="X379">
        <v>0.3</v>
      </c>
    </row>
    <row r="380" spans="1:25" x14ac:dyDescent="0.45">
      <c r="A380">
        <v>8</v>
      </c>
      <c r="B380">
        <v>8</v>
      </c>
      <c r="C380" t="s">
        <v>589</v>
      </c>
      <c r="D380" t="s">
        <v>410</v>
      </c>
      <c r="F380">
        <v>3.48</v>
      </c>
      <c r="G380">
        <v>556.577</v>
      </c>
      <c r="H380">
        <v>174.69800000000001</v>
      </c>
      <c r="I380">
        <v>31.859000000000002</v>
      </c>
      <c r="J380" t="s">
        <v>415</v>
      </c>
      <c r="K380">
        <v>1.4</v>
      </c>
      <c r="N380">
        <v>18</v>
      </c>
      <c r="O380">
        <v>18</v>
      </c>
      <c r="P380" t="s">
        <v>672</v>
      </c>
      <c r="Q380" t="s">
        <v>414</v>
      </c>
      <c r="S380">
        <v>3.49</v>
      </c>
      <c r="T380">
        <v>2447.5880000000002</v>
      </c>
      <c r="U380">
        <v>4243.2380000000003</v>
      </c>
      <c r="V380">
        <v>5.7679999999999998</v>
      </c>
      <c r="W380" t="s">
        <v>415</v>
      </c>
      <c r="X380">
        <v>0.3</v>
      </c>
    </row>
    <row r="381" spans="1:25" x14ac:dyDescent="0.45">
      <c r="A381">
        <v>9</v>
      </c>
      <c r="B381">
        <v>9</v>
      </c>
      <c r="C381" t="s">
        <v>590</v>
      </c>
      <c r="D381" t="s">
        <v>410</v>
      </c>
      <c r="F381">
        <v>3.47</v>
      </c>
      <c r="G381">
        <v>281.35199999999998</v>
      </c>
      <c r="H381">
        <v>192.124</v>
      </c>
      <c r="I381">
        <v>14.644</v>
      </c>
      <c r="J381" t="s">
        <v>401</v>
      </c>
      <c r="K381">
        <v>0.6</v>
      </c>
      <c r="N381">
        <v>19</v>
      </c>
      <c r="O381">
        <v>19</v>
      </c>
      <c r="P381" t="s">
        <v>673</v>
      </c>
      <c r="Q381" t="s">
        <v>414</v>
      </c>
      <c r="S381">
        <v>3.49</v>
      </c>
      <c r="T381">
        <v>2147.0239999999999</v>
      </c>
      <c r="U381">
        <v>4036.8119999999999</v>
      </c>
      <c r="V381">
        <v>5.319</v>
      </c>
      <c r="W381" t="s">
        <v>403</v>
      </c>
      <c r="X381">
        <v>0.2</v>
      </c>
    </row>
    <row r="382" spans="1:25" x14ac:dyDescent="0.45">
      <c r="A382">
        <v>10</v>
      </c>
      <c r="B382">
        <v>10</v>
      </c>
      <c r="C382" t="s">
        <v>591</v>
      </c>
      <c r="D382" t="s">
        <v>414</v>
      </c>
      <c r="F382">
        <v>3.49</v>
      </c>
      <c r="G382">
        <v>3837.9650000000001</v>
      </c>
      <c r="H382">
        <v>8541.1839999999993</v>
      </c>
      <c r="I382">
        <v>4.4930000000000003</v>
      </c>
      <c r="J382" t="s">
        <v>403</v>
      </c>
      <c r="K382">
        <v>0.1</v>
      </c>
      <c r="N382">
        <v>20</v>
      </c>
      <c r="O382">
        <v>20</v>
      </c>
      <c r="P382" t="s">
        <v>674</v>
      </c>
      <c r="Q382" t="s">
        <v>414</v>
      </c>
      <c r="S382">
        <v>3.48</v>
      </c>
      <c r="T382">
        <v>432.995</v>
      </c>
      <c r="U382">
        <v>2889.0529999999999</v>
      </c>
      <c r="V382">
        <v>1.4990000000000001</v>
      </c>
      <c r="W382" t="s">
        <v>415</v>
      </c>
      <c r="X382">
        <v>0.1</v>
      </c>
    </row>
    <row r="383" spans="1:25" x14ac:dyDescent="0.45">
      <c r="A383">
        <v>11</v>
      </c>
      <c r="B383">
        <v>11</v>
      </c>
      <c r="C383" t="s">
        <v>592</v>
      </c>
      <c r="D383" t="s">
        <v>414</v>
      </c>
      <c r="F383">
        <v>3.48</v>
      </c>
      <c r="G383">
        <v>915.66399999999999</v>
      </c>
      <c r="H383">
        <v>2492.393</v>
      </c>
      <c r="I383">
        <v>3.6739999999999999</v>
      </c>
      <c r="J383" t="s">
        <v>401</v>
      </c>
      <c r="K383">
        <v>0</v>
      </c>
      <c r="N383">
        <v>21</v>
      </c>
      <c r="O383">
        <v>21</v>
      </c>
      <c r="P383" t="s">
        <v>675</v>
      </c>
      <c r="Q383" t="s">
        <v>414</v>
      </c>
      <c r="S383">
        <v>3.49</v>
      </c>
      <c r="T383">
        <v>501.64499999999998</v>
      </c>
      <c r="U383">
        <v>3086.41</v>
      </c>
      <c r="V383">
        <v>1.625</v>
      </c>
      <c r="W383" t="s">
        <v>415</v>
      </c>
      <c r="X383">
        <v>0.1</v>
      </c>
    </row>
    <row r="384" spans="1:25" x14ac:dyDescent="0.45">
      <c r="A384">
        <v>12</v>
      </c>
      <c r="B384">
        <v>12</v>
      </c>
      <c r="C384" t="s">
        <v>593</v>
      </c>
      <c r="D384" t="s">
        <v>414</v>
      </c>
      <c r="F384">
        <v>3.49</v>
      </c>
      <c r="G384">
        <v>1069.624</v>
      </c>
      <c r="H384">
        <v>4440.875</v>
      </c>
      <c r="I384">
        <v>2.4089999999999998</v>
      </c>
      <c r="J384" t="s">
        <v>479</v>
      </c>
      <c r="N384">
        <v>22</v>
      </c>
      <c r="O384">
        <v>22</v>
      </c>
      <c r="P384" t="s">
        <v>676</v>
      </c>
      <c r="Q384" t="s">
        <v>414</v>
      </c>
      <c r="S384">
        <v>3.49</v>
      </c>
      <c r="T384">
        <v>1785.393</v>
      </c>
      <c r="U384">
        <v>3201.692</v>
      </c>
      <c r="V384">
        <v>5.5759999999999996</v>
      </c>
      <c r="W384" t="s">
        <v>403</v>
      </c>
      <c r="X384">
        <v>0.3</v>
      </c>
    </row>
    <row r="385" spans="1:24" x14ac:dyDescent="0.45">
      <c r="A385">
        <v>13</v>
      </c>
      <c r="B385">
        <v>13</v>
      </c>
      <c r="C385" t="s">
        <v>594</v>
      </c>
      <c r="D385" t="s">
        <v>414</v>
      </c>
      <c r="F385">
        <v>3.49</v>
      </c>
      <c r="G385">
        <v>1584.8230000000001</v>
      </c>
      <c r="H385">
        <v>8151.4250000000002</v>
      </c>
      <c r="I385">
        <v>1.944</v>
      </c>
      <c r="J385" t="s">
        <v>479</v>
      </c>
      <c r="N385">
        <v>23</v>
      </c>
      <c r="O385">
        <v>23</v>
      </c>
      <c r="P385" t="s">
        <v>677</v>
      </c>
      <c r="Q385" t="s">
        <v>414</v>
      </c>
      <c r="S385">
        <v>3.49</v>
      </c>
      <c r="T385">
        <v>2528.4839999999999</v>
      </c>
      <c r="U385">
        <v>3293.5569999999998</v>
      </c>
      <c r="V385">
        <v>7.6769999999999996</v>
      </c>
      <c r="W385" t="s">
        <v>401</v>
      </c>
      <c r="X385">
        <v>0.3</v>
      </c>
    </row>
    <row r="386" spans="1:24" x14ac:dyDescent="0.45">
      <c r="A386">
        <v>14</v>
      </c>
      <c r="B386">
        <v>14</v>
      </c>
      <c r="C386" t="s">
        <v>595</v>
      </c>
      <c r="D386" t="s">
        <v>414</v>
      </c>
      <c r="F386">
        <v>3.49</v>
      </c>
      <c r="G386">
        <v>7228.2179999999998</v>
      </c>
      <c r="H386">
        <v>9208.9979999999996</v>
      </c>
      <c r="I386">
        <v>7.8490000000000002</v>
      </c>
      <c r="J386" t="s">
        <v>401</v>
      </c>
      <c r="K386">
        <v>0.2</v>
      </c>
      <c r="N386">
        <v>24</v>
      </c>
      <c r="O386">
        <v>24</v>
      </c>
      <c r="P386" t="s">
        <v>678</v>
      </c>
      <c r="Q386" t="s">
        <v>414</v>
      </c>
      <c r="S386">
        <v>3.49</v>
      </c>
      <c r="T386">
        <v>2304.12</v>
      </c>
      <c r="U386">
        <v>2430.5909999999999</v>
      </c>
      <c r="V386">
        <v>9.48</v>
      </c>
      <c r="W386" t="s">
        <v>412</v>
      </c>
      <c r="X386">
        <v>0.4</v>
      </c>
    </row>
    <row r="387" spans="1:24" x14ac:dyDescent="0.45">
      <c r="A387">
        <v>15</v>
      </c>
      <c r="B387">
        <v>15</v>
      </c>
      <c r="C387" t="s">
        <v>596</v>
      </c>
      <c r="D387" t="s">
        <v>414</v>
      </c>
      <c r="F387">
        <v>3.49</v>
      </c>
      <c r="G387">
        <v>5674.6360000000004</v>
      </c>
      <c r="H387">
        <v>12011.848</v>
      </c>
      <c r="I387">
        <v>4.7240000000000002</v>
      </c>
      <c r="J387" t="s">
        <v>415</v>
      </c>
      <c r="K387">
        <v>0.1</v>
      </c>
      <c r="N387">
        <v>25</v>
      </c>
      <c r="O387">
        <v>25</v>
      </c>
      <c r="P387" t="s">
        <v>679</v>
      </c>
      <c r="Q387" t="s">
        <v>414</v>
      </c>
      <c r="S387">
        <v>3.49</v>
      </c>
      <c r="T387">
        <v>2479.2170000000001</v>
      </c>
      <c r="U387">
        <v>2225.4639999999999</v>
      </c>
      <c r="V387">
        <v>11.14</v>
      </c>
      <c r="W387" t="s">
        <v>412</v>
      </c>
      <c r="X387">
        <v>0.5</v>
      </c>
    </row>
    <row r="388" spans="1:24" x14ac:dyDescent="0.45">
      <c r="A388">
        <v>16</v>
      </c>
      <c r="B388">
        <v>16</v>
      </c>
      <c r="C388" t="s">
        <v>597</v>
      </c>
      <c r="D388" t="s">
        <v>414</v>
      </c>
      <c r="F388">
        <v>3.48</v>
      </c>
      <c r="G388">
        <v>378.05</v>
      </c>
      <c r="H388">
        <v>13349.462</v>
      </c>
      <c r="I388">
        <v>0.28299999999999997</v>
      </c>
      <c r="J388" t="s">
        <v>477</v>
      </c>
      <c r="N388">
        <v>26</v>
      </c>
      <c r="O388">
        <v>26</v>
      </c>
      <c r="P388" t="s">
        <v>680</v>
      </c>
      <c r="Q388" t="s">
        <v>414</v>
      </c>
      <c r="S388">
        <v>3.49</v>
      </c>
      <c r="T388">
        <v>3094.62</v>
      </c>
      <c r="U388">
        <v>3216.1849999999999</v>
      </c>
      <c r="V388">
        <v>9.6219999999999999</v>
      </c>
      <c r="W388" t="s">
        <v>401</v>
      </c>
      <c r="X388">
        <v>0.4</v>
      </c>
    </row>
    <row r="389" spans="1:24" x14ac:dyDescent="0.45">
      <c r="A389">
        <v>17</v>
      </c>
      <c r="B389">
        <v>17</v>
      </c>
      <c r="C389" t="s">
        <v>598</v>
      </c>
      <c r="D389" t="s">
        <v>414</v>
      </c>
      <c r="F389">
        <v>3.48</v>
      </c>
      <c r="G389">
        <v>376.46899999999999</v>
      </c>
      <c r="H389">
        <v>12105.538</v>
      </c>
      <c r="I389">
        <v>0.311</v>
      </c>
      <c r="J389" t="s">
        <v>479</v>
      </c>
      <c r="N389">
        <v>27</v>
      </c>
      <c r="O389">
        <v>27</v>
      </c>
      <c r="P389" t="s">
        <v>681</v>
      </c>
      <c r="Q389" t="s">
        <v>414</v>
      </c>
      <c r="S389">
        <v>3.49</v>
      </c>
      <c r="T389">
        <v>2887.1930000000002</v>
      </c>
      <c r="U389">
        <v>3004.7040000000002</v>
      </c>
      <c r="V389">
        <v>9.609</v>
      </c>
      <c r="W389" t="s">
        <v>412</v>
      </c>
      <c r="X389">
        <v>0.4</v>
      </c>
    </row>
    <row r="390" spans="1:24" x14ac:dyDescent="0.45">
      <c r="A390">
        <v>18</v>
      </c>
      <c r="B390">
        <v>18</v>
      </c>
      <c r="C390" t="s">
        <v>599</v>
      </c>
      <c r="D390" t="s">
        <v>414</v>
      </c>
      <c r="F390">
        <v>3.49</v>
      </c>
      <c r="G390">
        <v>487.11599999999999</v>
      </c>
      <c r="H390">
        <v>3068.2919999999999</v>
      </c>
      <c r="I390">
        <v>1.5880000000000001</v>
      </c>
      <c r="J390" t="s">
        <v>479</v>
      </c>
      <c r="N390">
        <v>28</v>
      </c>
      <c r="O390">
        <v>28</v>
      </c>
      <c r="P390" t="s">
        <v>682</v>
      </c>
      <c r="Q390" t="s">
        <v>414</v>
      </c>
      <c r="S390">
        <v>3.49</v>
      </c>
      <c r="T390">
        <v>3547.01</v>
      </c>
      <c r="U390">
        <v>3570.0540000000001</v>
      </c>
      <c r="V390">
        <v>9.9350000000000005</v>
      </c>
      <c r="W390" t="s">
        <v>415</v>
      </c>
      <c r="X390">
        <v>0.4</v>
      </c>
    </row>
    <row r="391" spans="1:24" x14ac:dyDescent="0.45">
      <c r="A391">
        <v>19</v>
      </c>
      <c r="B391">
        <v>19</v>
      </c>
      <c r="C391" t="s">
        <v>600</v>
      </c>
      <c r="D391" t="s">
        <v>414</v>
      </c>
      <c r="F391">
        <v>3.48</v>
      </c>
      <c r="G391">
        <v>589.34500000000003</v>
      </c>
      <c r="H391">
        <v>3881.7719999999999</v>
      </c>
      <c r="I391">
        <v>1.518</v>
      </c>
      <c r="J391" t="s">
        <v>479</v>
      </c>
      <c r="N391">
        <v>29</v>
      </c>
      <c r="O391">
        <v>29</v>
      </c>
      <c r="P391" t="s">
        <v>683</v>
      </c>
      <c r="Q391" t="s">
        <v>414</v>
      </c>
      <c r="S391">
        <v>3.49</v>
      </c>
      <c r="T391">
        <v>2563.1480000000001</v>
      </c>
      <c r="U391">
        <v>3580.1469999999999</v>
      </c>
      <c r="V391">
        <v>7.1589999999999998</v>
      </c>
      <c r="W391" t="s">
        <v>415</v>
      </c>
      <c r="X391">
        <v>0.3</v>
      </c>
    </row>
    <row r="392" spans="1:24" x14ac:dyDescent="0.45">
      <c r="A392">
        <v>20</v>
      </c>
      <c r="B392">
        <v>20</v>
      </c>
      <c r="C392" t="s">
        <v>601</v>
      </c>
      <c r="D392" t="s">
        <v>414</v>
      </c>
      <c r="F392">
        <v>3.49</v>
      </c>
      <c r="G392">
        <v>1022.586</v>
      </c>
      <c r="H392">
        <v>2069.75</v>
      </c>
      <c r="I392">
        <v>4.9409999999999998</v>
      </c>
      <c r="J392" t="s">
        <v>412</v>
      </c>
      <c r="K392">
        <v>0.1</v>
      </c>
      <c r="N392">
        <v>30</v>
      </c>
      <c r="O392">
        <v>30</v>
      </c>
      <c r="P392" t="s">
        <v>684</v>
      </c>
      <c r="Q392" t="s">
        <v>414</v>
      </c>
      <c r="S392">
        <v>3.49</v>
      </c>
      <c r="T392">
        <v>6074.4219999999996</v>
      </c>
      <c r="U392">
        <v>2634.0210000000002</v>
      </c>
      <c r="V392">
        <v>23.061</v>
      </c>
      <c r="W392" t="s">
        <v>415</v>
      </c>
      <c r="X392">
        <v>1</v>
      </c>
    </row>
    <row r="393" spans="1:24" x14ac:dyDescent="0.45">
      <c r="A393">
        <v>21</v>
      </c>
      <c r="B393">
        <v>21</v>
      </c>
      <c r="C393" t="s">
        <v>602</v>
      </c>
      <c r="D393" t="s">
        <v>414</v>
      </c>
      <c r="F393">
        <v>3.49</v>
      </c>
      <c r="G393">
        <v>1575.673</v>
      </c>
      <c r="H393">
        <v>3742.56</v>
      </c>
      <c r="I393">
        <v>4.21</v>
      </c>
      <c r="J393" t="s">
        <v>401</v>
      </c>
      <c r="K393">
        <v>0.1</v>
      </c>
      <c r="N393">
        <v>31</v>
      </c>
      <c r="O393">
        <v>31</v>
      </c>
      <c r="P393" t="s">
        <v>685</v>
      </c>
      <c r="Q393" t="s">
        <v>414</v>
      </c>
      <c r="S393">
        <v>3.49</v>
      </c>
      <c r="T393">
        <v>7256.7539999999999</v>
      </c>
      <c r="U393">
        <v>4186.3410000000003</v>
      </c>
      <c r="V393">
        <v>17.334</v>
      </c>
      <c r="W393" t="s">
        <v>401</v>
      </c>
      <c r="X393">
        <v>0.8</v>
      </c>
    </row>
    <row r="394" spans="1:24" x14ac:dyDescent="0.45">
      <c r="A394">
        <v>22</v>
      </c>
      <c r="B394">
        <v>22</v>
      </c>
      <c r="C394" t="s">
        <v>603</v>
      </c>
      <c r="D394" t="s">
        <v>414</v>
      </c>
      <c r="F394">
        <v>3.49</v>
      </c>
      <c r="G394">
        <v>1357.386</v>
      </c>
      <c r="H394">
        <v>12365.287</v>
      </c>
      <c r="I394">
        <v>1.0980000000000001</v>
      </c>
      <c r="J394" t="s">
        <v>476</v>
      </c>
      <c r="N394">
        <v>32</v>
      </c>
      <c r="O394">
        <v>32</v>
      </c>
      <c r="P394" t="s">
        <v>686</v>
      </c>
      <c r="Q394" t="s">
        <v>414</v>
      </c>
      <c r="S394">
        <v>3.49</v>
      </c>
      <c r="T394">
        <v>20333.671999999999</v>
      </c>
      <c r="U394">
        <v>9079.2929999999997</v>
      </c>
      <c r="V394">
        <v>22.396000000000001</v>
      </c>
      <c r="W394" t="s">
        <v>403</v>
      </c>
      <c r="X394">
        <v>1</v>
      </c>
    </row>
    <row r="395" spans="1:24" x14ac:dyDescent="0.45">
      <c r="A395">
        <v>23</v>
      </c>
      <c r="B395">
        <v>23</v>
      </c>
      <c r="C395" t="s">
        <v>604</v>
      </c>
      <c r="D395" t="s">
        <v>414</v>
      </c>
      <c r="F395">
        <v>3.49</v>
      </c>
      <c r="G395">
        <v>1174.3309999999999</v>
      </c>
      <c r="H395">
        <v>13272.189</v>
      </c>
      <c r="I395">
        <v>0.88500000000000001</v>
      </c>
      <c r="J395" t="s">
        <v>476</v>
      </c>
      <c r="N395">
        <v>33</v>
      </c>
      <c r="O395">
        <v>33</v>
      </c>
      <c r="P395" t="s">
        <v>687</v>
      </c>
      <c r="Q395" t="s">
        <v>414</v>
      </c>
      <c r="S395">
        <v>3.49</v>
      </c>
      <c r="T395">
        <v>14782.866</v>
      </c>
      <c r="U395">
        <v>6578.1409999999996</v>
      </c>
      <c r="V395">
        <v>22.472999999999999</v>
      </c>
      <c r="W395" t="s">
        <v>401</v>
      </c>
      <c r="X395">
        <v>1</v>
      </c>
    </row>
    <row r="396" spans="1:24" x14ac:dyDescent="0.45">
      <c r="A396">
        <v>24</v>
      </c>
      <c r="B396">
        <v>24</v>
      </c>
      <c r="C396" t="s">
        <v>605</v>
      </c>
      <c r="D396" t="s">
        <v>414</v>
      </c>
      <c r="F396">
        <v>3.51</v>
      </c>
      <c r="G396">
        <v>5178.4650000000001</v>
      </c>
      <c r="H396">
        <v>7070.6809999999996</v>
      </c>
      <c r="I396">
        <v>7.3239999999999998</v>
      </c>
      <c r="J396" t="s">
        <v>403</v>
      </c>
      <c r="K396">
        <v>0.2</v>
      </c>
      <c r="N396">
        <v>34</v>
      </c>
      <c r="O396">
        <v>34</v>
      </c>
      <c r="P396" t="s">
        <v>688</v>
      </c>
      <c r="Q396" t="s">
        <v>414</v>
      </c>
      <c r="S396">
        <v>3.49</v>
      </c>
      <c r="T396">
        <v>6267.9340000000002</v>
      </c>
      <c r="U396">
        <v>5696.5</v>
      </c>
      <c r="V396">
        <v>11.003</v>
      </c>
      <c r="W396" t="s">
        <v>403</v>
      </c>
      <c r="X396">
        <v>0.5</v>
      </c>
    </row>
    <row r="397" spans="1:24" x14ac:dyDescent="0.45">
      <c r="A397">
        <v>25</v>
      </c>
      <c r="B397">
        <v>25</v>
      </c>
      <c r="C397" t="s">
        <v>606</v>
      </c>
      <c r="D397" t="s">
        <v>414</v>
      </c>
      <c r="F397">
        <v>3.49</v>
      </c>
      <c r="G397">
        <v>4870.0129999999999</v>
      </c>
      <c r="H397">
        <v>8608.7669999999998</v>
      </c>
      <c r="I397">
        <v>5.657</v>
      </c>
      <c r="J397" t="s">
        <v>412</v>
      </c>
      <c r="K397">
        <v>0.1</v>
      </c>
      <c r="N397">
        <v>35</v>
      </c>
      <c r="O397">
        <v>35</v>
      </c>
      <c r="P397" t="s">
        <v>689</v>
      </c>
      <c r="Q397" t="s">
        <v>414</v>
      </c>
      <c r="S397">
        <v>3.49</v>
      </c>
      <c r="T397">
        <v>7536.085</v>
      </c>
      <c r="U397">
        <v>7395.2550000000001</v>
      </c>
      <c r="V397">
        <v>10.19</v>
      </c>
      <c r="W397" t="s">
        <v>415</v>
      </c>
      <c r="X397">
        <v>0.5</v>
      </c>
    </row>
    <row r="398" spans="1:24" x14ac:dyDescent="0.45">
      <c r="A398">
        <v>26</v>
      </c>
      <c r="B398">
        <v>26</v>
      </c>
      <c r="C398" t="s">
        <v>607</v>
      </c>
      <c r="D398" t="s">
        <v>414</v>
      </c>
      <c r="F398">
        <v>3.49</v>
      </c>
      <c r="G398">
        <v>5672.3389999999999</v>
      </c>
      <c r="H398">
        <v>8195.86</v>
      </c>
      <c r="I398">
        <v>6.9210000000000003</v>
      </c>
      <c r="J398" t="s">
        <v>401</v>
      </c>
      <c r="K398">
        <v>0.2</v>
      </c>
      <c r="N398">
        <v>36</v>
      </c>
      <c r="O398">
        <v>36</v>
      </c>
      <c r="P398" t="s">
        <v>690</v>
      </c>
      <c r="Q398" t="s">
        <v>414</v>
      </c>
      <c r="S398">
        <v>3.51</v>
      </c>
      <c r="T398">
        <v>7143.8239999999996</v>
      </c>
      <c r="U398">
        <v>3945.2249999999999</v>
      </c>
      <c r="V398">
        <v>18.108000000000001</v>
      </c>
      <c r="W398" t="s">
        <v>403</v>
      </c>
      <c r="X398">
        <v>0.8</v>
      </c>
    </row>
    <row r="399" spans="1:24" x14ac:dyDescent="0.45">
      <c r="A399">
        <v>27</v>
      </c>
      <c r="B399">
        <v>27</v>
      </c>
      <c r="C399" t="s">
        <v>608</v>
      </c>
      <c r="D399" t="s">
        <v>414</v>
      </c>
      <c r="F399">
        <v>3.49</v>
      </c>
      <c r="G399">
        <v>6120.7539999999999</v>
      </c>
      <c r="H399">
        <v>12659.876</v>
      </c>
      <c r="I399">
        <v>4.835</v>
      </c>
      <c r="J399" t="s">
        <v>415</v>
      </c>
      <c r="K399">
        <v>0.1</v>
      </c>
      <c r="N399">
        <v>37</v>
      </c>
      <c r="O399">
        <v>37</v>
      </c>
      <c r="P399" t="s">
        <v>691</v>
      </c>
      <c r="Q399" t="s">
        <v>414</v>
      </c>
      <c r="S399">
        <v>3.51</v>
      </c>
      <c r="T399">
        <v>6064.0029999999997</v>
      </c>
      <c r="U399">
        <v>3536.634</v>
      </c>
      <c r="V399">
        <v>17.146000000000001</v>
      </c>
      <c r="W399" t="s">
        <v>403</v>
      </c>
      <c r="X399">
        <v>0.7</v>
      </c>
    </row>
    <row r="400" spans="1:24" x14ac:dyDescent="0.45">
      <c r="A400">
        <v>28</v>
      </c>
      <c r="B400">
        <v>28</v>
      </c>
      <c r="C400" t="s">
        <v>609</v>
      </c>
      <c r="D400" t="s">
        <v>414</v>
      </c>
      <c r="F400">
        <v>3.49</v>
      </c>
      <c r="G400">
        <v>631.25</v>
      </c>
      <c r="H400">
        <v>8851.3359999999993</v>
      </c>
      <c r="I400">
        <v>0.71299999999999997</v>
      </c>
      <c r="J400" t="s">
        <v>476</v>
      </c>
      <c r="N400">
        <v>38</v>
      </c>
      <c r="O400">
        <v>38</v>
      </c>
      <c r="P400" t="s">
        <v>692</v>
      </c>
      <c r="Q400" t="s">
        <v>414</v>
      </c>
      <c r="S400">
        <v>3.49</v>
      </c>
      <c r="T400">
        <v>11182.546</v>
      </c>
      <c r="U400">
        <v>5198.7290000000003</v>
      </c>
      <c r="V400">
        <v>21.51</v>
      </c>
      <c r="W400" t="s">
        <v>403</v>
      </c>
      <c r="X400">
        <v>0.9</v>
      </c>
    </row>
    <row r="401" spans="1:24" x14ac:dyDescent="0.45">
      <c r="A401">
        <v>29</v>
      </c>
      <c r="B401">
        <v>29</v>
      </c>
      <c r="C401" t="s">
        <v>610</v>
      </c>
      <c r="D401" t="s">
        <v>414</v>
      </c>
      <c r="F401">
        <v>3.49</v>
      </c>
      <c r="G401">
        <v>452.64800000000002</v>
      </c>
      <c r="H401">
        <v>5864.1940000000004</v>
      </c>
      <c r="I401">
        <v>0.77200000000000002</v>
      </c>
      <c r="J401" t="s">
        <v>479</v>
      </c>
      <c r="N401">
        <v>39</v>
      </c>
      <c r="O401">
        <v>39</v>
      </c>
      <c r="P401" t="s">
        <v>693</v>
      </c>
      <c r="Q401" t="s">
        <v>414</v>
      </c>
      <c r="S401">
        <v>3.49</v>
      </c>
      <c r="T401">
        <v>13066.904</v>
      </c>
      <c r="U401">
        <v>5767.0119999999997</v>
      </c>
      <c r="V401">
        <v>22.658000000000001</v>
      </c>
      <c r="W401" t="s">
        <v>401</v>
      </c>
      <c r="X401">
        <v>1</v>
      </c>
    </row>
    <row r="402" spans="1:24" x14ac:dyDescent="0.45">
      <c r="A402">
        <v>30</v>
      </c>
      <c r="B402">
        <v>30</v>
      </c>
      <c r="C402" t="s">
        <v>611</v>
      </c>
      <c r="D402" t="s">
        <v>414</v>
      </c>
      <c r="F402">
        <v>3.49</v>
      </c>
      <c r="G402">
        <v>1210.8019999999999</v>
      </c>
      <c r="H402">
        <v>6830.0110000000004</v>
      </c>
      <c r="I402">
        <v>1.7729999999999999</v>
      </c>
      <c r="J402" t="s">
        <v>477</v>
      </c>
      <c r="N402">
        <v>40</v>
      </c>
      <c r="O402">
        <v>40</v>
      </c>
      <c r="P402" t="s">
        <v>694</v>
      </c>
      <c r="Q402" t="s">
        <v>414</v>
      </c>
      <c r="S402">
        <v>3.49</v>
      </c>
      <c r="T402">
        <v>21431.473000000002</v>
      </c>
      <c r="U402">
        <v>10982.455</v>
      </c>
      <c r="V402">
        <v>19.513999999999999</v>
      </c>
      <c r="W402" t="s">
        <v>403</v>
      </c>
      <c r="X402">
        <v>0.8</v>
      </c>
    </row>
    <row r="403" spans="1:24" x14ac:dyDescent="0.45">
      <c r="A403">
        <v>31</v>
      </c>
      <c r="B403">
        <v>31</v>
      </c>
      <c r="C403" t="s">
        <v>612</v>
      </c>
      <c r="D403" t="s">
        <v>414</v>
      </c>
      <c r="F403">
        <v>3.49</v>
      </c>
      <c r="G403">
        <v>989.36500000000001</v>
      </c>
      <c r="H403">
        <v>6788.37</v>
      </c>
      <c r="I403">
        <v>1.4570000000000001</v>
      </c>
      <c r="J403" t="s">
        <v>478</v>
      </c>
      <c r="N403">
        <v>41</v>
      </c>
      <c r="O403">
        <v>41</v>
      </c>
      <c r="P403" t="s">
        <v>695</v>
      </c>
      <c r="Q403" t="s">
        <v>414</v>
      </c>
      <c r="S403">
        <v>3.49</v>
      </c>
      <c r="T403">
        <v>18109.338</v>
      </c>
      <c r="U403">
        <v>11107.325000000001</v>
      </c>
      <c r="V403">
        <v>16.303999999999998</v>
      </c>
      <c r="W403" t="s">
        <v>401</v>
      </c>
      <c r="X403">
        <v>0.7</v>
      </c>
    </row>
    <row r="404" spans="1:24" x14ac:dyDescent="0.45">
      <c r="A404">
        <v>32</v>
      </c>
      <c r="B404">
        <v>32</v>
      </c>
      <c r="C404" t="s">
        <v>613</v>
      </c>
      <c r="D404" t="s">
        <v>414</v>
      </c>
      <c r="F404">
        <v>3.49</v>
      </c>
      <c r="G404">
        <v>3164.9789999999998</v>
      </c>
      <c r="H404">
        <v>5681.4080000000004</v>
      </c>
      <c r="I404">
        <v>5.5709999999999997</v>
      </c>
      <c r="J404" t="s">
        <v>415</v>
      </c>
      <c r="K404">
        <v>0.1</v>
      </c>
      <c r="N404">
        <v>42</v>
      </c>
      <c r="O404">
        <v>42</v>
      </c>
      <c r="P404" t="s">
        <v>696</v>
      </c>
      <c r="Q404" t="s">
        <v>414</v>
      </c>
      <c r="S404">
        <v>3.51</v>
      </c>
      <c r="T404">
        <v>5689.0469999999996</v>
      </c>
      <c r="U404">
        <v>9648.3119999999999</v>
      </c>
      <c r="V404">
        <v>5.8959999999999999</v>
      </c>
      <c r="W404" t="s">
        <v>401</v>
      </c>
      <c r="X404">
        <v>0.3</v>
      </c>
    </row>
    <row r="405" spans="1:24" x14ac:dyDescent="0.45">
      <c r="A405">
        <v>33</v>
      </c>
      <c r="B405">
        <v>33</v>
      </c>
      <c r="C405" t="s">
        <v>614</v>
      </c>
      <c r="D405" t="s">
        <v>414</v>
      </c>
      <c r="F405">
        <v>3.51</v>
      </c>
      <c r="G405">
        <v>2599.3420000000001</v>
      </c>
      <c r="H405">
        <v>3900.8090000000002</v>
      </c>
      <c r="I405">
        <v>6.6639999999999997</v>
      </c>
      <c r="J405" t="s">
        <v>401</v>
      </c>
      <c r="K405">
        <v>0.2</v>
      </c>
      <c r="N405">
        <v>43</v>
      </c>
      <c r="O405">
        <v>43</v>
      </c>
      <c r="P405" t="s">
        <v>697</v>
      </c>
      <c r="Q405" t="s">
        <v>414</v>
      </c>
      <c r="S405">
        <v>3.51</v>
      </c>
      <c r="T405">
        <v>7011.5450000000001</v>
      </c>
      <c r="U405">
        <v>11549.992</v>
      </c>
      <c r="V405">
        <v>6.0709999999999997</v>
      </c>
      <c r="W405" t="s">
        <v>415</v>
      </c>
      <c r="X405">
        <v>0.3</v>
      </c>
    </row>
    <row r="406" spans="1:24" x14ac:dyDescent="0.45">
      <c r="A406">
        <v>34</v>
      </c>
      <c r="B406">
        <v>34</v>
      </c>
      <c r="C406" t="s">
        <v>615</v>
      </c>
      <c r="D406" t="s">
        <v>414</v>
      </c>
      <c r="F406">
        <v>3.49</v>
      </c>
      <c r="G406">
        <v>2120.77</v>
      </c>
      <c r="H406">
        <v>5266.058</v>
      </c>
      <c r="I406">
        <v>4.0270000000000001</v>
      </c>
      <c r="J406" t="s">
        <v>415</v>
      </c>
      <c r="K406">
        <v>0</v>
      </c>
      <c r="N406">
        <v>44</v>
      </c>
      <c r="O406">
        <v>44</v>
      </c>
      <c r="P406" t="s">
        <v>698</v>
      </c>
      <c r="Q406" t="s">
        <v>414</v>
      </c>
      <c r="S406">
        <v>3.49</v>
      </c>
      <c r="T406">
        <v>8153.2079999999996</v>
      </c>
      <c r="U406">
        <v>9205.86</v>
      </c>
      <c r="V406">
        <v>8.8569999999999993</v>
      </c>
      <c r="W406" t="s">
        <v>403</v>
      </c>
      <c r="X406">
        <v>0.4</v>
      </c>
    </row>
    <row r="407" spans="1:24" x14ac:dyDescent="0.45">
      <c r="A407">
        <v>35</v>
      </c>
      <c r="B407">
        <v>35</v>
      </c>
      <c r="C407" t="s">
        <v>616</v>
      </c>
      <c r="D407" t="s">
        <v>414</v>
      </c>
      <c r="F407">
        <v>3.49</v>
      </c>
      <c r="G407">
        <v>2173.8429999999998</v>
      </c>
      <c r="H407">
        <v>4889.3530000000001</v>
      </c>
      <c r="I407">
        <v>4.4459999999999997</v>
      </c>
      <c r="J407" t="s">
        <v>415</v>
      </c>
      <c r="K407">
        <v>0.1</v>
      </c>
      <c r="N407">
        <v>45</v>
      </c>
      <c r="O407">
        <v>45</v>
      </c>
      <c r="P407" t="s">
        <v>699</v>
      </c>
      <c r="Q407" t="s">
        <v>414</v>
      </c>
      <c r="S407">
        <v>3.51</v>
      </c>
      <c r="T407">
        <v>3635.578</v>
      </c>
      <c r="U407">
        <v>4207.2049999999999</v>
      </c>
      <c r="V407">
        <v>8.641</v>
      </c>
      <c r="W407" t="s">
        <v>401</v>
      </c>
      <c r="X407">
        <v>0.4</v>
      </c>
    </row>
    <row r="408" spans="1:24" x14ac:dyDescent="0.45">
      <c r="A408">
        <v>36</v>
      </c>
      <c r="B408">
        <v>36</v>
      </c>
      <c r="C408" t="s">
        <v>617</v>
      </c>
      <c r="D408" t="s">
        <v>414</v>
      </c>
      <c r="F408">
        <v>3.49</v>
      </c>
      <c r="G408">
        <v>2696.922</v>
      </c>
      <c r="H408">
        <v>5903.3869999999997</v>
      </c>
      <c r="I408">
        <v>4.5679999999999996</v>
      </c>
      <c r="J408" t="s">
        <v>401</v>
      </c>
      <c r="K408">
        <v>0.1</v>
      </c>
      <c r="N408">
        <v>46</v>
      </c>
      <c r="O408">
        <v>46</v>
      </c>
      <c r="P408" t="s">
        <v>700</v>
      </c>
      <c r="Q408" t="s">
        <v>414</v>
      </c>
      <c r="S408">
        <v>3.51</v>
      </c>
      <c r="T408">
        <v>8526.7000000000007</v>
      </c>
      <c r="U408">
        <v>9440.5130000000008</v>
      </c>
      <c r="V408">
        <v>9.032</v>
      </c>
      <c r="W408" t="s">
        <v>401</v>
      </c>
      <c r="X408">
        <v>0.4</v>
      </c>
    </row>
    <row r="409" spans="1:24" x14ac:dyDescent="0.45">
      <c r="A409">
        <v>37</v>
      </c>
      <c r="B409">
        <v>37</v>
      </c>
      <c r="C409" t="s">
        <v>618</v>
      </c>
      <c r="D409" t="s">
        <v>414</v>
      </c>
      <c r="F409">
        <v>3.49</v>
      </c>
      <c r="G409">
        <v>5816.9870000000001</v>
      </c>
      <c r="H409">
        <v>14629.484</v>
      </c>
      <c r="I409">
        <v>3.976</v>
      </c>
      <c r="J409" t="s">
        <v>415</v>
      </c>
      <c r="K409">
        <v>0</v>
      </c>
      <c r="N409">
        <v>47</v>
      </c>
      <c r="O409">
        <v>47</v>
      </c>
      <c r="P409" t="s">
        <v>701</v>
      </c>
      <c r="Q409" t="s">
        <v>414</v>
      </c>
      <c r="S409">
        <v>3.51</v>
      </c>
      <c r="T409">
        <v>7576.1679999999997</v>
      </c>
      <c r="U409">
        <v>10426.909</v>
      </c>
      <c r="V409">
        <v>7.266</v>
      </c>
      <c r="W409" t="s">
        <v>415</v>
      </c>
      <c r="X409">
        <v>0.3</v>
      </c>
    </row>
    <row r="410" spans="1:24" x14ac:dyDescent="0.45">
      <c r="A410">
        <v>38</v>
      </c>
      <c r="B410">
        <v>38</v>
      </c>
      <c r="C410" t="s">
        <v>619</v>
      </c>
      <c r="D410" t="s">
        <v>414</v>
      </c>
      <c r="F410">
        <v>3.51</v>
      </c>
      <c r="G410">
        <v>5793.0680000000002</v>
      </c>
      <c r="H410">
        <v>3601.1579999999999</v>
      </c>
      <c r="I410">
        <v>16.087</v>
      </c>
      <c r="J410" t="s">
        <v>415</v>
      </c>
      <c r="K410">
        <v>0.7</v>
      </c>
      <c r="N410">
        <v>48</v>
      </c>
      <c r="O410">
        <v>48</v>
      </c>
      <c r="P410" t="s">
        <v>702</v>
      </c>
      <c r="Q410" t="s">
        <v>414</v>
      </c>
      <c r="S410">
        <v>3.49</v>
      </c>
      <c r="T410">
        <v>13327.995999999999</v>
      </c>
      <c r="U410">
        <v>10940.744000000001</v>
      </c>
      <c r="V410">
        <v>12.182</v>
      </c>
      <c r="W410" t="s">
        <v>403</v>
      </c>
      <c r="X410">
        <v>0.5</v>
      </c>
    </row>
    <row r="411" spans="1:24" x14ac:dyDescent="0.45">
      <c r="A411">
        <v>39</v>
      </c>
      <c r="B411">
        <v>39</v>
      </c>
      <c r="C411" t="s">
        <v>620</v>
      </c>
      <c r="D411" t="s">
        <v>414</v>
      </c>
      <c r="F411">
        <v>3.49</v>
      </c>
      <c r="G411">
        <v>7301.0330000000004</v>
      </c>
      <c r="H411">
        <v>4465.8779999999997</v>
      </c>
      <c r="I411">
        <v>16.347999999999999</v>
      </c>
      <c r="J411" t="s">
        <v>415</v>
      </c>
      <c r="K411">
        <v>0.7</v>
      </c>
      <c r="N411">
        <v>49</v>
      </c>
      <c r="O411">
        <v>49</v>
      </c>
      <c r="P411" t="s">
        <v>703</v>
      </c>
      <c r="Q411" t="s">
        <v>414</v>
      </c>
      <c r="S411">
        <v>3.51</v>
      </c>
      <c r="T411">
        <v>11816.811</v>
      </c>
      <c r="U411">
        <v>10541.558999999999</v>
      </c>
      <c r="V411">
        <v>11.21</v>
      </c>
      <c r="W411" t="s">
        <v>403</v>
      </c>
      <c r="X411">
        <v>0.5</v>
      </c>
    </row>
    <row r="412" spans="1:24" x14ac:dyDescent="0.45">
      <c r="A412">
        <v>40</v>
      </c>
      <c r="B412">
        <v>40</v>
      </c>
      <c r="C412" t="s">
        <v>621</v>
      </c>
      <c r="D412" t="s">
        <v>414</v>
      </c>
      <c r="F412">
        <v>3.48</v>
      </c>
      <c r="G412">
        <v>620.24</v>
      </c>
      <c r="H412">
        <v>9418.1689999999999</v>
      </c>
      <c r="I412">
        <v>0.65900000000000003</v>
      </c>
      <c r="J412" t="s">
        <v>477</v>
      </c>
      <c r="N412">
        <v>50</v>
      </c>
      <c r="O412">
        <v>50</v>
      </c>
      <c r="P412" t="s">
        <v>704</v>
      </c>
      <c r="Q412" t="s">
        <v>414</v>
      </c>
      <c r="S412">
        <v>3.51</v>
      </c>
      <c r="T412">
        <v>17334.504000000001</v>
      </c>
      <c r="U412">
        <v>9900.4660000000003</v>
      </c>
      <c r="V412">
        <v>17.509</v>
      </c>
      <c r="W412" t="s">
        <v>403</v>
      </c>
      <c r="X412">
        <v>0.8</v>
      </c>
    </row>
    <row r="413" spans="1:24" x14ac:dyDescent="0.45">
      <c r="A413">
        <v>41</v>
      </c>
      <c r="B413">
        <v>41</v>
      </c>
      <c r="C413" t="s">
        <v>622</v>
      </c>
      <c r="D413" t="s">
        <v>414</v>
      </c>
      <c r="F413">
        <v>3.49</v>
      </c>
      <c r="G413">
        <v>497.12799999999999</v>
      </c>
      <c r="H413">
        <v>7459.9120000000003</v>
      </c>
      <c r="I413">
        <v>0.66600000000000004</v>
      </c>
      <c r="J413" t="s">
        <v>479</v>
      </c>
      <c r="N413">
        <v>51</v>
      </c>
      <c r="O413">
        <v>51</v>
      </c>
      <c r="P413" t="s">
        <v>705</v>
      </c>
      <c r="Q413" t="s">
        <v>414</v>
      </c>
      <c r="S413">
        <v>3.51</v>
      </c>
      <c r="T413">
        <v>4831.4790000000003</v>
      </c>
      <c r="U413">
        <v>2005.154</v>
      </c>
      <c r="V413">
        <v>24.094999999999999</v>
      </c>
      <c r="W413" t="s">
        <v>415</v>
      </c>
      <c r="X413">
        <v>1</v>
      </c>
    </row>
    <row r="414" spans="1:24" x14ac:dyDescent="0.45">
      <c r="A414">
        <v>42</v>
      </c>
      <c r="B414">
        <v>42</v>
      </c>
      <c r="C414" t="s">
        <v>623</v>
      </c>
      <c r="D414" t="s">
        <v>414</v>
      </c>
      <c r="F414">
        <v>3.51</v>
      </c>
      <c r="G414">
        <v>2303.252</v>
      </c>
      <c r="H414">
        <v>14067.552</v>
      </c>
      <c r="I414">
        <v>1.637</v>
      </c>
      <c r="J414" t="s">
        <v>479</v>
      </c>
      <c r="N414">
        <v>52</v>
      </c>
      <c r="O414">
        <v>52</v>
      </c>
      <c r="P414" t="s">
        <v>706</v>
      </c>
      <c r="Q414" t="s">
        <v>414</v>
      </c>
      <c r="S414">
        <v>3.49</v>
      </c>
      <c r="T414">
        <v>13070.191999999999</v>
      </c>
      <c r="U414">
        <v>8510.8639999999996</v>
      </c>
      <c r="V414">
        <v>15.356999999999999</v>
      </c>
      <c r="W414" t="s">
        <v>415</v>
      </c>
      <c r="X414">
        <v>0.7</v>
      </c>
    </row>
    <row r="415" spans="1:24" x14ac:dyDescent="0.45">
      <c r="A415">
        <v>43</v>
      </c>
      <c r="B415">
        <v>43</v>
      </c>
      <c r="C415" t="s">
        <v>624</v>
      </c>
      <c r="D415" t="s">
        <v>414</v>
      </c>
      <c r="F415">
        <v>3.51</v>
      </c>
      <c r="G415">
        <v>2842.2260000000001</v>
      </c>
      <c r="H415">
        <v>13868.416999999999</v>
      </c>
      <c r="I415">
        <v>2.0489999999999999</v>
      </c>
      <c r="J415" t="s">
        <v>477</v>
      </c>
      <c r="N415">
        <v>53</v>
      </c>
      <c r="O415">
        <v>53</v>
      </c>
      <c r="P415" t="s">
        <v>707</v>
      </c>
      <c r="Q415" t="s">
        <v>414</v>
      </c>
      <c r="S415">
        <v>3.51</v>
      </c>
      <c r="T415">
        <v>11917.834999999999</v>
      </c>
      <c r="U415">
        <v>9686.3819999999996</v>
      </c>
      <c r="V415">
        <v>12.304</v>
      </c>
      <c r="W415" t="s">
        <v>403</v>
      </c>
      <c r="X415">
        <v>0.5</v>
      </c>
    </row>
    <row r="416" spans="1:24" x14ac:dyDescent="0.45">
      <c r="A416">
        <v>44</v>
      </c>
      <c r="B416">
        <v>44</v>
      </c>
      <c r="C416" t="s">
        <v>625</v>
      </c>
      <c r="D416" t="s">
        <v>414</v>
      </c>
      <c r="F416">
        <v>3.49</v>
      </c>
      <c r="G416">
        <v>4451.7020000000002</v>
      </c>
      <c r="H416">
        <v>13480.205</v>
      </c>
      <c r="I416">
        <v>3.302</v>
      </c>
      <c r="J416" t="s">
        <v>401</v>
      </c>
      <c r="K416">
        <v>0</v>
      </c>
      <c r="N416">
        <v>54</v>
      </c>
      <c r="O416">
        <v>54</v>
      </c>
      <c r="P416" t="s">
        <v>708</v>
      </c>
      <c r="Q416" t="s">
        <v>414</v>
      </c>
      <c r="S416">
        <v>3.49</v>
      </c>
      <c r="T416">
        <v>13456.289000000001</v>
      </c>
      <c r="U416">
        <v>9723.0720000000001</v>
      </c>
      <c r="V416">
        <v>13.84</v>
      </c>
      <c r="W416" t="s">
        <v>403</v>
      </c>
      <c r="X416">
        <v>0.6</v>
      </c>
    </row>
    <row r="417" spans="1:24" x14ac:dyDescent="0.45">
      <c r="A417">
        <v>45</v>
      </c>
      <c r="B417">
        <v>45</v>
      </c>
      <c r="C417" t="s">
        <v>626</v>
      </c>
      <c r="D417" t="s">
        <v>414</v>
      </c>
      <c r="F417">
        <v>3.49</v>
      </c>
      <c r="G417">
        <v>4065.6219999999998</v>
      </c>
      <c r="H417">
        <v>8316.3529999999992</v>
      </c>
      <c r="I417">
        <v>4.8890000000000002</v>
      </c>
      <c r="J417" t="s">
        <v>401</v>
      </c>
      <c r="K417">
        <v>0.1</v>
      </c>
      <c r="N417">
        <v>55</v>
      </c>
      <c r="O417">
        <v>55</v>
      </c>
      <c r="P417" t="s">
        <v>709</v>
      </c>
      <c r="Q417" t="s">
        <v>414</v>
      </c>
      <c r="S417">
        <v>3.51</v>
      </c>
      <c r="T417">
        <v>16263.208000000001</v>
      </c>
      <c r="U417">
        <v>9150.8310000000001</v>
      </c>
      <c r="V417">
        <v>17.771999999999998</v>
      </c>
      <c r="W417" t="s">
        <v>401</v>
      </c>
      <c r="X417">
        <v>0.8</v>
      </c>
    </row>
    <row r="418" spans="1:24" x14ac:dyDescent="0.45">
      <c r="A418">
        <v>46</v>
      </c>
      <c r="B418">
        <v>46</v>
      </c>
      <c r="C418" t="s">
        <v>627</v>
      </c>
      <c r="D418" t="s">
        <v>414</v>
      </c>
      <c r="F418">
        <v>3.51</v>
      </c>
      <c r="G418">
        <v>6696.9340000000002</v>
      </c>
      <c r="H418">
        <v>10062.927</v>
      </c>
      <c r="I418">
        <v>6.6550000000000002</v>
      </c>
      <c r="J418" t="s">
        <v>403</v>
      </c>
      <c r="K418">
        <v>0.2</v>
      </c>
      <c r="N418">
        <v>56</v>
      </c>
      <c r="O418">
        <v>56</v>
      </c>
      <c r="P418" t="s">
        <v>710</v>
      </c>
      <c r="Q418" t="s">
        <v>414</v>
      </c>
      <c r="S418">
        <v>3.51</v>
      </c>
      <c r="T418">
        <v>7348.9350000000004</v>
      </c>
      <c r="U418">
        <v>10849.931</v>
      </c>
      <c r="V418">
        <v>6.7729999999999997</v>
      </c>
      <c r="W418" t="s">
        <v>401</v>
      </c>
      <c r="X418">
        <v>0.3</v>
      </c>
    </row>
    <row r="419" spans="1:24" x14ac:dyDescent="0.45">
      <c r="A419">
        <v>47</v>
      </c>
      <c r="B419">
        <v>47</v>
      </c>
      <c r="C419" t="s">
        <v>628</v>
      </c>
      <c r="D419" t="s">
        <v>414</v>
      </c>
      <c r="F419">
        <v>3.51</v>
      </c>
      <c r="G419">
        <v>7977.6890000000003</v>
      </c>
      <c r="H419">
        <v>13091.875</v>
      </c>
      <c r="I419">
        <v>6.0940000000000003</v>
      </c>
      <c r="J419" t="s">
        <v>412</v>
      </c>
      <c r="K419">
        <v>0.2</v>
      </c>
      <c r="N419">
        <v>57</v>
      </c>
      <c r="O419">
        <v>57</v>
      </c>
      <c r="P419" t="s">
        <v>711</v>
      </c>
      <c r="Q419" t="s">
        <v>414</v>
      </c>
      <c r="S419">
        <v>3.51</v>
      </c>
      <c r="T419">
        <v>7094.35</v>
      </c>
      <c r="U419">
        <v>10835.742</v>
      </c>
      <c r="V419">
        <v>6.5469999999999997</v>
      </c>
      <c r="W419" t="s">
        <v>412</v>
      </c>
      <c r="X419">
        <v>0.3</v>
      </c>
    </row>
    <row r="420" spans="1:24" x14ac:dyDescent="0.45">
      <c r="A420">
        <v>48</v>
      </c>
      <c r="B420">
        <v>48</v>
      </c>
      <c r="C420" t="s">
        <v>629</v>
      </c>
      <c r="D420" t="s">
        <v>414</v>
      </c>
      <c r="F420">
        <v>3.51</v>
      </c>
      <c r="G420">
        <v>13483.665000000001</v>
      </c>
      <c r="H420">
        <v>7908.9690000000001</v>
      </c>
      <c r="I420">
        <v>17.048999999999999</v>
      </c>
      <c r="J420" t="s">
        <v>401</v>
      </c>
      <c r="K420">
        <v>0.7</v>
      </c>
      <c r="N420">
        <v>58</v>
      </c>
      <c r="O420">
        <v>58</v>
      </c>
      <c r="P420" t="s">
        <v>712</v>
      </c>
      <c r="Q420" t="s">
        <v>414</v>
      </c>
      <c r="S420">
        <v>3.51</v>
      </c>
      <c r="T420">
        <v>499.12599999999998</v>
      </c>
      <c r="U420">
        <v>11440.376</v>
      </c>
      <c r="V420">
        <v>0.436</v>
      </c>
      <c r="W420" t="s">
        <v>401</v>
      </c>
      <c r="X420">
        <v>0</v>
      </c>
    </row>
    <row r="421" spans="1:24" x14ac:dyDescent="0.45">
      <c r="A421">
        <v>49</v>
      </c>
      <c r="B421">
        <v>49</v>
      </c>
      <c r="C421" t="s">
        <v>630</v>
      </c>
      <c r="D421" t="s">
        <v>414</v>
      </c>
      <c r="F421">
        <v>3.51</v>
      </c>
      <c r="G421">
        <v>25857.949000000001</v>
      </c>
      <c r="H421">
        <v>12317.147000000001</v>
      </c>
      <c r="I421">
        <v>20.992999999999999</v>
      </c>
      <c r="J421" t="s">
        <v>403</v>
      </c>
      <c r="K421">
        <v>0.9</v>
      </c>
      <c r="N421">
        <v>59</v>
      </c>
      <c r="O421">
        <v>59</v>
      </c>
      <c r="P421" t="s">
        <v>713</v>
      </c>
      <c r="Q421" t="s">
        <v>414</v>
      </c>
      <c r="S421">
        <v>3.51</v>
      </c>
      <c r="T421">
        <v>311.84500000000003</v>
      </c>
      <c r="U421">
        <v>3335.337</v>
      </c>
      <c r="V421">
        <v>0.93500000000000005</v>
      </c>
      <c r="W421" t="s">
        <v>415</v>
      </c>
      <c r="X421">
        <v>0.1</v>
      </c>
    </row>
    <row r="422" spans="1:24" x14ac:dyDescent="0.45">
      <c r="A422">
        <v>50</v>
      </c>
      <c r="B422">
        <v>50</v>
      </c>
      <c r="C422" t="s">
        <v>631</v>
      </c>
      <c r="D422" t="s">
        <v>414</v>
      </c>
      <c r="F422">
        <v>3.51</v>
      </c>
      <c r="G422">
        <v>1861.365</v>
      </c>
      <c r="H422">
        <v>7668.3209999999999</v>
      </c>
      <c r="I422">
        <v>2.427</v>
      </c>
      <c r="J422" t="s">
        <v>476</v>
      </c>
      <c r="N422">
        <v>60</v>
      </c>
      <c r="O422">
        <v>60</v>
      </c>
      <c r="P422" t="s">
        <v>714</v>
      </c>
      <c r="Q422" t="s">
        <v>414</v>
      </c>
      <c r="S422">
        <v>3.51</v>
      </c>
      <c r="T422">
        <v>2317.373</v>
      </c>
      <c r="U422">
        <v>5183.2780000000002</v>
      </c>
      <c r="V422">
        <v>4.4710000000000001</v>
      </c>
      <c r="W422" t="s">
        <v>412</v>
      </c>
      <c r="X422">
        <v>0.2</v>
      </c>
    </row>
    <row r="423" spans="1:24" x14ac:dyDescent="0.45">
      <c r="A423">
        <v>51</v>
      </c>
      <c r="B423">
        <v>51</v>
      </c>
      <c r="C423" t="s">
        <v>632</v>
      </c>
      <c r="D423" t="s">
        <v>414</v>
      </c>
      <c r="F423">
        <v>3.49</v>
      </c>
      <c r="G423">
        <v>1282.4559999999999</v>
      </c>
      <c r="H423">
        <v>5886.7709999999997</v>
      </c>
      <c r="I423">
        <v>2.1789999999999998</v>
      </c>
      <c r="J423" t="s">
        <v>479</v>
      </c>
      <c r="N423">
        <v>61</v>
      </c>
      <c r="O423">
        <v>61</v>
      </c>
      <c r="P423" t="s">
        <v>715</v>
      </c>
      <c r="Q423" t="s">
        <v>414</v>
      </c>
      <c r="S423">
        <v>3.51</v>
      </c>
      <c r="T423">
        <v>3916.3620000000001</v>
      </c>
      <c r="U423">
        <v>8747.8009999999995</v>
      </c>
      <c r="V423">
        <v>4.4770000000000003</v>
      </c>
      <c r="W423" t="s">
        <v>403</v>
      </c>
      <c r="X423">
        <v>0.2</v>
      </c>
    </row>
    <row r="424" spans="1:24" x14ac:dyDescent="0.45">
      <c r="A424">
        <v>52</v>
      </c>
      <c r="B424">
        <v>52</v>
      </c>
      <c r="C424" t="s">
        <v>633</v>
      </c>
      <c r="D424" t="s">
        <v>414</v>
      </c>
      <c r="F424">
        <v>3.51</v>
      </c>
      <c r="G424">
        <v>6112.0020000000004</v>
      </c>
      <c r="H424">
        <v>8466.7829999999994</v>
      </c>
      <c r="I424">
        <v>7.2190000000000003</v>
      </c>
      <c r="J424" t="s">
        <v>401</v>
      </c>
      <c r="K424">
        <v>0.2</v>
      </c>
      <c r="N424">
        <v>62</v>
      </c>
      <c r="O424">
        <v>62</v>
      </c>
      <c r="P424" t="s">
        <v>716</v>
      </c>
      <c r="Q424" t="s">
        <v>414</v>
      </c>
      <c r="S424">
        <v>3.51</v>
      </c>
      <c r="T424">
        <v>1721.5229999999999</v>
      </c>
      <c r="U424">
        <v>3908.605</v>
      </c>
      <c r="V424">
        <v>4.4039999999999999</v>
      </c>
      <c r="W424" t="s">
        <v>415</v>
      </c>
      <c r="X424">
        <v>0.2</v>
      </c>
    </row>
    <row r="425" spans="1:24" x14ac:dyDescent="0.45">
      <c r="A425">
        <v>53</v>
      </c>
      <c r="B425">
        <v>53</v>
      </c>
      <c r="C425" t="s">
        <v>634</v>
      </c>
      <c r="D425" t="s">
        <v>414</v>
      </c>
      <c r="F425">
        <v>3.51</v>
      </c>
      <c r="G425">
        <v>7183.9449999999997</v>
      </c>
      <c r="H425">
        <v>12801.722</v>
      </c>
      <c r="I425">
        <v>5.6120000000000001</v>
      </c>
      <c r="J425" t="s">
        <v>403</v>
      </c>
      <c r="K425">
        <v>0.1</v>
      </c>
      <c r="N425">
        <v>63</v>
      </c>
      <c r="O425">
        <v>63</v>
      </c>
      <c r="P425" t="s">
        <v>717</v>
      </c>
      <c r="Q425" t="s">
        <v>414</v>
      </c>
      <c r="S425">
        <v>3.51</v>
      </c>
      <c r="T425">
        <v>4324.1760000000004</v>
      </c>
      <c r="U425">
        <v>10888.210999999999</v>
      </c>
      <c r="V425">
        <v>3.9710000000000001</v>
      </c>
      <c r="W425" t="s">
        <v>401</v>
      </c>
      <c r="X425">
        <v>0.2</v>
      </c>
    </row>
    <row r="426" spans="1:24" x14ac:dyDescent="0.45">
      <c r="A426">
        <v>54</v>
      </c>
      <c r="B426">
        <v>54</v>
      </c>
      <c r="C426" t="s">
        <v>635</v>
      </c>
      <c r="D426" t="s">
        <v>414</v>
      </c>
      <c r="F426">
        <v>3.49</v>
      </c>
      <c r="G426">
        <v>8792.857</v>
      </c>
      <c r="H426">
        <v>4562.2160000000003</v>
      </c>
      <c r="I426">
        <v>19.273</v>
      </c>
      <c r="J426" t="s">
        <v>415</v>
      </c>
      <c r="K426">
        <v>0.8</v>
      </c>
      <c r="N426">
        <v>64</v>
      </c>
      <c r="O426">
        <v>64</v>
      </c>
      <c r="P426" t="s">
        <v>718</v>
      </c>
      <c r="Q426" t="s">
        <v>414</v>
      </c>
      <c r="S426">
        <v>3.51</v>
      </c>
      <c r="T426">
        <v>6562.4</v>
      </c>
      <c r="U426">
        <v>9698.6329999999998</v>
      </c>
      <c r="V426">
        <v>6.766</v>
      </c>
      <c r="W426" t="s">
        <v>415</v>
      </c>
      <c r="X426">
        <v>0.3</v>
      </c>
    </row>
    <row r="427" spans="1:24" x14ac:dyDescent="0.45">
      <c r="A427">
        <v>55</v>
      </c>
      <c r="B427">
        <v>55</v>
      </c>
      <c r="C427" t="s">
        <v>636</v>
      </c>
      <c r="D427" t="s">
        <v>414</v>
      </c>
      <c r="F427">
        <v>3.51</v>
      </c>
      <c r="G427">
        <v>12296.138999999999</v>
      </c>
      <c r="H427">
        <v>6804.223</v>
      </c>
      <c r="I427">
        <v>18.071000000000002</v>
      </c>
      <c r="J427" t="s">
        <v>401</v>
      </c>
      <c r="K427">
        <v>0.8</v>
      </c>
      <c r="N427">
        <v>65</v>
      </c>
      <c r="O427">
        <v>65</v>
      </c>
      <c r="P427" t="s">
        <v>719</v>
      </c>
      <c r="Q427" t="s">
        <v>414</v>
      </c>
      <c r="S427">
        <v>3.51</v>
      </c>
      <c r="T427">
        <v>1858.749</v>
      </c>
      <c r="U427">
        <v>3013.3040000000001</v>
      </c>
      <c r="V427">
        <v>6.1680000000000001</v>
      </c>
      <c r="W427" t="s">
        <v>415</v>
      </c>
      <c r="X427">
        <v>0.3</v>
      </c>
    </row>
    <row r="428" spans="1:24" x14ac:dyDescent="0.45">
      <c r="A428">
        <v>56</v>
      </c>
      <c r="B428">
        <v>56</v>
      </c>
      <c r="C428" t="s">
        <v>637</v>
      </c>
      <c r="D428" t="s">
        <v>414</v>
      </c>
      <c r="F428">
        <v>3.49</v>
      </c>
      <c r="G428">
        <v>23923.743999999999</v>
      </c>
      <c r="H428">
        <v>12596.437</v>
      </c>
      <c r="I428">
        <v>18.992000000000001</v>
      </c>
      <c r="J428" t="s">
        <v>401</v>
      </c>
      <c r="K428">
        <v>0.8</v>
      </c>
      <c r="N428">
        <v>66</v>
      </c>
      <c r="O428">
        <v>66</v>
      </c>
      <c r="P428" t="s">
        <v>720</v>
      </c>
      <c r="Q428" t="s">
        <v>414</v>
      </c>
      <c r="S428">
        <v>3.49</v>
      </c>
      <c r="T428">
        <v>934.70399999999995</v>
      </c>
      <c r="U428">
        <v>10873.856</v>
      </c>
      <c r="V428">
        <v>0.86</v>
      </c>
      <c r="W428" t="s">
        <v>415</v>
      </c>
      <c r="X428">
        <v>0.1</v>
      </c>
    </row>
    <row r="429" spans="1:24" x14ac:dyDescent="0.45">
      <c r="A429">
        <v>57</v>
      </c>
      <c r="B429">
        <v>57</v>
      </c>
      <c r="C429" t="s">
        <v>638</v>
      </c>
      <c r="D429" t="s">
        <v>414</v>
      </c>
      <c r="F429">
        <v>3.51</v>
      </c>
      <c r="G429">
        <v>8951.9459999999999</v>
      </c>
      <c r="H429">
        <v>4367.3019999999997</v>
      </c>
      <c r="I429">
        <v>20.498000000000001</v>
      </c>
      <c r="J429" t="s">
        <v>401</v>
      </c>
      <c r="K429">
        <v>0.9</v>
      </c>
      <c r="N429">
        <v>67</v>
      </c>
      <c r="O429">
        <v>67</v>
      </c>
      <c r="P429" t="s">
        <v>721</v>
      </c>
      <c r="Q429" t="s">
        <v>414</v>
      </c>
      <c r="S429">
        <v>3.51</v>
      </c>
      <c r="T429">
        <v>1072.75</v>
      </c>
      <c r="U429">
        <v>10929.04</v>
      </c>
      <c r="V429">
        <v>0.98199999999999998</v>
      </c>
      <c r="W429" t="s">
        <v>412</v>
      </c>
      <c r="X429">
        <v>0.1</v>
      </c>
    </row>
    <row r="430" spans="1:24" x14ac:dyDescent="0.45">
      <c r="A430">
        <v>58</v>
      </c>
      <c r="B430">
        <v>58</v>
      </c>
      <c r="C430" t="s">
        <v>639</v>
      </c>
      <c r="D430" t="s">
        <v>414</v>
      </c>
      <c r="F430">
        <v>3.49</v>
      </c>
      <c r="G430">
        <v>944.149</v>
      </c>
      <c r="H430">
        <v>4598.2560000000003</v>
      </c>
      <c r="I430">
        <v>2.0529999999999999</v>
      </c>
      <c r="J430" t="s">
        <v>479</v>
      </c>
    </row>
    <row r="431" spans="1:24" x14ac:dyDescent="0.45">
      <c r="A431">
        <v>59</v>
      </c>
      <c r="B431">
        <v>59</v>
      </c>
      <c r="C431" t="s">
        <v>640</v>
      </c>
      <c r="D431" t="s">
        <v>414</v>
      </c>
      <c r="F431">
        <v>3.51</v>
      </c>
      <c r="G431">
        <v>1598.356</v>
      </c>
      <c r="H431">
        <v>7389.79</v>
      </c>
      <c r="I431">
        <v>2.1629999999999998</v>
      </c>
      <c r="J431" t="s">
        <v>479</v>
      </c>
      <c r="N431" t="s">
        <v>489</v>
      </c>
    </row>
    <row r="432" spans="1:24" x14ac:dyDescent="0.45">
      <c r="A432">
        <v>60</v>
      </c>
      <c r="B432">
        <v>60</v>
      </c>
      <c r="C432" t="s">
        <v>641</v>
      </c>
      <c r="D432" t="s">
        <v>414</v>
      </c>
      <c r="F432">
        <v>3.51</v>
      </c>
      <c r="G432">
        <v>3001.2429999999999</v>
      </c>
      <c r="H432">
        <v>6736.4989999999998</v>
      </c>
      <c r="I432">
        <v>4.4550000000000001</v>
      </c>
      <c r="J432" t="s">
        <v>415</v>
      </c>
      <c r="K432">
        <v>0.1</v>
      </c>
    </row>
    <row r="433" spans="1:25" x14ac:dyDescent="0.45">
      <c r="A433">
        <v>61</v>
      </c>
      <c r="B433">
        <v>61</v>
      </c>
      <c r="C433" t="s">
        <v>642</v>
      </c>
      <c r="D433" t="s">
        <v>414</v>
      </c>
      <c r="F433">
        <v>3.49</v>
      </c>
      <c r="G433">
        <v>3030.9079999999999</v>
      </c>
      <c r="H433">
        <v>9136.7260000000006</v>
      </c>
      <c r="I433">
        <v>3.3170000000000002</v>
      </c>
      <c r="J433" t="s">
        <v>412</v>
      </c>
      <c r="K433">
        <v>0</v>
      </c>
      <c r="O433" t="s">
        <v>389</v>
      </c>
      <c r="P433" t="s">
        <v>123</v>
      </c>
      <c r="Q433" t="s">
        <v>390</v>
      </c>
      <c r="R433" t="s">
        <v>391</v>
      </c>
      <c r="S433" t="s">
        <v>392</v>
      </c>
      <c r="T433" t="s">
        <v>393</v>
      </c>
      <c r="U433" t="s">
        <v>394</v>
      </c>
      <c r="V433" t="s">
        <v>395</v>
      </c>
      <c r="W433" t="s">
        <v>396</v>
      </c>
      <c r="X433" t="s">
        <v>397</v>
      </c>
      <c r="Y433" t="s">
        <v>398</v>
      </c>
    </row>
    <row r="434" spans="1:25" x14ac:dyDescent="0.45">
      <c r="A434">
        <v>62</v>
      </c>
      <c r="B434">
        <v>62</v>
      </c>
      <c r="C434" t="s">
        <v>643</v>
      </c>
      <c r="D434" t="s">
        <v>414</v>
      </c>
      <c r="F434">
        <v>3.51</v>
      </c>
      <c r="G434">
        <v>816.58199999999999</v>
      </c>
      <c r="H434">
        <v>11028.638000000001</v>
      </c>
      <c r="I434">
        <v>0.74</v>
      </c>
      <c r="J434" t="s">
        <v>479</v>
      </c>
      <c r="N434">
        <v>1</v>
      </c>
      <c r="O434">
        <v>1</v>
      </c>
      <c r="P434" t="s">
        <v>655</v>
      </c>
      <c r="Q434" t="s">
        <v>400</v>
      </c>
      <c r="R434">
        <v>0.05</v>
      </c>
      <c r="S434">
        <v>3.23</v>
      </c>
      <c r="T434">
        <v>433.18200000000002</v>
      </c>
      <c r="U434">
        <v>837.29200000000003</v>
      </c>
      <c r="V434">
        <v>5.1740000000000004</v>
      </c>
      <c r="W434" t="s">
        <v>488</v>
      </c>
      <c r="X434">
        <v>0.2</v>
      </c>
      <c r="Y434">
        <v>229.4</v>
      </c>
    </row>
    <row r="435" spans="1:25" x14ac:dyDescent="0.45">
      <c r="A435">
        <v>63</v>
      </c>
      <c r="B435">
        <v>63</v>
      </c>
      <c r="C435" t="s">
        <v>644</v>
      </c>
      <c r="D435" t="s">
        <v>414</v>
      </c>
      <c r="F435">
        <v>3.48</v>
      </c>
      <c r="G435">
        <v>702.91300000000001</v>
      </c>
      <c r="H435">
        <v>6764.48</v>
      </c>
      <c r="I435">
        <v>1.0389999999999999</v>
      </c>
      <c r="J435" t="s">
        <v>479</v>
      </c>
      <c r="N435">
        <v>2</v>
      </c>
      <c r="O435">
        <v>2</v>
      </c>
      <c r="P435" t="s">
        <v>656</v>
      </c>
      <c r="Q435" t="s">
        <v>400</v>
      </c>
      <c r="R435">
        <v>0.5</v>
      </c>
      <c r="S435">
        <v>3.22</v>
      </c>
      <c r="T435">
        <v>3613.4549999999999</v>
      </c>
      <c r="U435">
        <v>947.03899999999999</v>
      </c>
      <c r="V435">
        <v>38.155000000000001</v>
      </c>
      <c r="W435" t="s">
        <v>488</v>
      </c>
      <c r="X435">
        <v>0.5</v>
      </c>
      <c r="Y435">
        <v>8</v>
      </c>
    </row>
    <row r="436" spans="1:25" x14ac:dyDescent="0.45">
      <c r="A436">
        <v>64</v>
      </c>
      <c r="B436">
        <v>64</v>
      </c>
      <c r="C436" t="s">
        <v>645</v>
      </c>
      <c r="D436" t="s">
        <v>414</v>
      </c>
      <c r="F436">
        <v>3.49</v>
      </c>
      <c r="G436">
        <v>1421.982</v>
      </c>
      <c r="H436">
        <v>4890.97</v>
      </c>
      <c r="I436">
        <v>2.907</v>
      </c>
      <c r="J436" t="s">
        <v>479</v>
      </c>
      <c r="N436">
        <v>3</v>
      </c>
      <c r="O436">
        <v>3</v>
      </c>
      <c r="P436" t="s">
        <v>657</v>
      </c>
      <c r="Q436" t="s">
        <v>400</v>
      </c>
      <c r="R436">
        <v>1.25</v>
      </c>
      <c r="S436">
        <v>3.23</v>
      </c>
      <c r="T436">
        <v>9170.7479999999996</v>
      </c>
      <c r="U436">
        <v>903.01199999999994</v>
      </c>
      <c r="V436">
        <v>101.557</v>
      </c>
      <c r="W436" t="s">
        <v>488</v>
      </c>
      <c r="X436">
        <v>1.3</v>
      </c>
      <c r="Y436">
        <v>0.9</v>
      </c>
    </row>
    <row r="437" spans="1:25" x14ac:dyDescent="0.45">
      <c r="A437">
        <v>65</v>
      </c>
      <c r="B437">
        <v>65</v>
      </c>
      <c r="C437" t="s">
        <v>646</v>
      </c>
      <c r="D437" t="s">
        <v>414</v>
      </c>
      <c r="F437">
        <v>3.49</v>
      </c>
      <c r="G437">
        <v>1830.779</v>
      </c>
      <c r="H437">
        <v>5323.9110000000001</v>
      </c>
      <c r="I437">
        <v>3.4390000000000001</v>
      </c>
      <c r="J437" t="s">
        <v>401</v>
      </c>
      <c r="K437">
        <v>0</v>
      </c>
      <c r="N437">
        <v>4</v>
      </c>
      <c r="O437">
        <v>4</v>
      </c>
      <c r="P437" t="s">
        <v>658</v>
      </c>
      <c r="Q437" t="s">
        <v>400</v>
      </c>
      <c r="R437">
        <v>2.5</v>
      </c>
      <c r="S437">
        <v>3.23</v>
      </c>
      <c r="T437">
        <v>19380.330000000002</v>
      </c>
      <c r="U437">
        <v>1017.884</v>
      </c>
      <c r="V437">
        <v>190.398</v>
      </c>
      <c r="W437" t="s">
        <v>403</v>
      </c>
      <c r="X437">
        <v>2.2999999999999998</v>
      </c>
      <c r="Y437">
        <v>-9.1</v>
      </c>
    </row>
    <row r="438" spans="1:25" x14ac:dyDescent="0.45">
      <c r="A438">
        <v>66</v>
      </c>
      <c r="B438">
        <v>66</v>
      </c>
      <c r="C438" t="s">
        <v>647</v>
      </c>
      <c r="D438" t="s">
        <v>414</v>
      </c>
      <c r="F438">
        <v>3.49</v>
      </c>
      <c r="G438">
        <v>6653.0079999999998</v>
      </c>
      <c r="H438">
        <v>9245.6080000000002</v>
      </c>
      <c r="I438">
        <v>7.1959999999999997</v>
      </c>
      <c r="J438" t="s">
        <v>401</v>
      </c>
      <c r="K438">
        <v>0.2</v>
      </c>
      <c r="N438">
        <v>5</v>
      </c>
      <c r="O438">
        <v>5</v>
      </c>
      <c r="P438" t="s">
        <v>659</v>
      </c>
      <c r="Q438" t="s">
        <v>400</v>
      </c>
      <c r="R438">
        <v>3.5</v>
      </c>
      <c r="S438">
        <v>3.23</v>
      </c>
      <c r="T438">
        <v>25092.311000000002</v>
      </c>
      <c r="U438">
        <v>838.71799999999996</v>
      </c>
      <c r="V438">
        <v>299.17500000000001</v>
      </c>
      <c r="W438" t="s">
        <v>488</v>
      </c>
      <c r="X438">
        <v>3.5</v>
      </c>
      <c r="Y438">
        <v>0.3</v>
      </c>
    </row>
    <row r="439" spans="1:25" x14ac:dyDescent="0.45">
      <c r="A439">
        <v>67</v>
      </c>
      <c r="B439">
        <v>67</v>
      </c>
      <c r="C439" t="s">
        <v>648</v>
      </c>
      <c r="D439" t="s">
        <v>414</v>
      </c>
      <c r="F439">
        <v>3.49</v>
      </c>
      <c r="G439">
        <v>4085.6350000000002</v>
      </c>
      <c r="H439">
        <v>5212.9709999999995</v>
      </c>
      <c r="I439">
        <v>7.8369999999999997</v>
      </c>
      <c r="J439" t="s">
        <v>401</v>
      </c>
      <c r="K439">
        <v>0.2</v>
      </c>
      <c r="N439">
        <v>6</v>
      </c>
      <c r="O439">
        <v>6</v>
      </c>
      <c r="P439" t="s">
        <v>660</v>
      </c>
      <c r="Q439" t="s">
        <v>400</v>
      </c>
      <c r="R439">
        <v>5</v>
      </c>
      <c r="S439">
        <v>3.23</v>
      </c>
      <c r="T439">
        <v>38837.559000000001</v>
      </c>
      <c r="U439">
        <v>915.30600000000004</v>
      </c>
      <c r="V439">
        <v>424.31200000000001</v>
      </c>
      <c r="W439" t="s">
        <v>401</v>
      </c>
      <c r="X439">
        <v>4.9000000000000004</v>
      </c>
      <c r="Y439">
        <v>-1.3</v>
      </c>
    </row>
    <row r="440" spans="1:25" x14ac:dyDescent="0.45">
      <c r="A440">
        <v>68</v>
      </c>
      <c r="B440">
        <v>68</v>
      </c>
      <c r="C440" t="s">
        <v>649</v>
      </c>
      <c r="D440" t="s">
        <v>414</v>
      </c>
      <c r="F440">
        <v>3.51</v>
      </c>
      <c r="G440">
        <v>6572.7950000000001</v>
      </c>
      <c r="H440">
        <v>5724.7479999999996</v>
      </c>
      <c r="I440">
        <v>11.481</v>
      </c>
      <c r="J440" t="s">
        <v>415</v>
      </c>
      <c r="K440">
        <v>0.4</v>
      </c>
      <c r="N440">
        <v>7</v>
      </c>
      <c r="O440">
        <v>7</v>
      </c>
      <c r="P440" t="s">
        <v>661</v>
      </c>
      <c r="Q440" t="s">
        <v>400</v>
      </c>
      <c r="R440">
        <v>7</v>
      </c>
      <c r="S440">
        <v>3.23</v>
      </c>
      <c r="T440">
        <v>53681.487999999998</v>
      </c>
      <c r="U440">
        <v>871.08100000000002</v>
      </c>
      <c r="V440">
        <v>616.26300000000003</v>
      </c>
      <c r="W440" t="s">
        <v>401</v>
      </c>
      <c r="X440">
        <v>7.1</v>
      </c>
      <c r="Y440">
        <v>1.7</v>
      </c>
    </row>
    <row r="441" spans="1:25" x14ac:dyDescent="0.45">
      <c r="A441">
        <v>69</v>
      </c>
      <c r="B441">
        <v>69</v>
      </c>
      <c r="C441" t="s">
        <v>650</v>
      </c>
      <c r="D441" t="s">
        <v>414</v>
      </c>
      <c r="F441">
        <v>3.51</v>
      </c>
      <c r="G441">
        <v>11584.072</v>
      </c>
      <c r="H441">
        <v>9387.3009999999995</v>
      </c>
      <c r="I441">
        <v>12.34</v>
      </c>
      <c r="J441" t="s">
        <v>415</v>
      </c>
      <c r="K441">
        <v>0.5</v>
      </c>
      <c r="N441">
        <v>8</v>
      </c>
      <c r="O441">
        <v>8</v>
      </c>
      <c r="P441" t="s">
        <v>662</v>
      </c>
      <c r="Q441" t="s">
        <v>414</v>
      </c>
      <c r="S441">
        <v>3.23</v>
      </c>
      <c r="T441">
        <v>3668.9789999999998</v>
      </c>
      <c r="U441">
        <v>431.01499999999999</v>
      </c>
      <c r="V441">
        <v>85.123999999999995</v>
      </c>
      <c r="W441" t="s">
        <v>412</v>
      </c>
      <c r="X441">
        <v>1.1000000000000001</v>
      </c>
    </row>
    <row r="442" spans="1:25" x14ac:dyDescent="0.45">
      <c r="N442">
        <v>9</v>
      </c>
      <c r="O442">
        <v>9</v>
      </c>
      <c r="P442" t="s">
        <v>663</v>
      </c>
      <c r="Q442" t="s">
        <v>414</v>
      </c>
      <c r="S442">
        <v>3.23</v>
      </c>
      <c r="T442">
        <v>3356.6350000000002</v>
      </c>
      <c r="U442">
        <v>430.59500000000003</v>
      </c>
      <c r="V442">
        <v>77.953000000000003</v>
      </c>
      <c r="W442" t="s">
        <v>488</v>
      </c>
      <c r="X442">
        <v>1</v>
      </c>
    </row>
    <row r="443" spans="1:25" x14ac:dyDescent="0.45">
      <c r="A443" t="s">
        <v>489</v>
      </c>
      <c r="N443">
        <v>10</v>
      </c>
      <c r="O443">
        <v>10</v>
      </c>
      <c r="P443" t="s">
        <v>664</v>
      </c>
      <c r="Q443" t="s">
        <v>414</v>
      </c>
      <c r="S443">
        <v>3.23</v>
      </c>
      <c r="T443">
        <v>4335.848</v>
      </c>
      <c r="U443">
        <v>471.29199999999997</v>
      </c>
      <c r="V443">
        <v>91.998999999999995</v>
      </c>
      <c r="W443" t="s">
        <v>415</v>
      </c>
      <c r="X443">
        <v>1.2</v>
      </c>
    </row>
    <row r="444" spans="1:25" x14ac:dyDescent="0.45">
      <c r="N444">
        <v>11</v>
      </c>
      <c r="O444">
        <v>11</v>
      </c>
      <c r="P444" t="s">
        <v>665</v>
      </c>
      <c r="Q444" t="s">
        <v>414</v>
      </c>
      <c r="S444">
        <v>3.23</v>
      </c>
      <c r="T444">
        <v>2707.8330000000001</v>
      </c>
      <c r="U444">
        <v>247.33699999999999</v>
      </c>
      <c r="V444">
        <v>109.479</v>
      </c>
      <c r="W444" t="s">
        <v>403</v>
      </c>
      <c r="X444">
        <v>1.4</v>
      </c>
    </row>
    <row r="445" spans="1:25" x14ac:dyDescent="0.45">
      <c r="B445" t="s">
        <v>389</v>
      </c>
      <c r="C445" t="s">
        <v>123</v>
      </c>
      <c r="D445" t="s">
        <v>390</v>
      </c>
      <c r="E445" t="s">
        <v>391</v>
      </c>
      <c r="F445" t="s">
        <v>392</v>
      </c>
      <c r="G445" t="s">
        <v>393</v>
      </c>
      <c r="H445" t="s">
        <v>394</v>
      </c>
      <c r="I445" t="s">
        <v>395</v>
      </c>
      <c r="J445" t="s">
        <v>396</v>
      </c>
      <c r="K445" t="s">
        <v>397</v>
      </c>
      <c r="L445" t="s">
        <v>398</v>
      </c>
      <c r="N445">
        <v>12</v>
      </c>
      <c r="O445">
        <v>12</v>
      </c>
      <c r="P445" t="s">
        <v>666</v>
      </c>
      <c r="Q445" t="s">
        <v>414</v>
      </c>
      <c r="S445">
        <v>3.23</v>
      </c>
      <c r="T445">
        <v>1217.3530000000001</v>
      </c>
      <c r="U445">
        <v>341.72300000000001</v>
      </c>
      <c r="V445">
        <v>35.624000000000002</v>
      </c>
      <c r="W445" t="s">
        <v>488</v>
      </c>
      <c r="X445">
        <v>0.5</v>
      </c>
    </row>
    <row r="446" spans="1:25" x14ac:dyDescent="0.45">
      <c r="A446">
        <v>1</v>
      </c>
      <c r="B446">
        <v>1</v>
      </c>
      <c r="C446" t="s">
        <v>582</v>
      </c>
      <c r="D446" t="s">
        <v>400</v>
      </c>
      <c r="E446">
        <v>0.05</v>
      </c>
      <c r="F446">
        <v>3.23</v>
      </c>
      <c r="G446">
        <v>222.59399999999999</v>
      </c>
      <c r="H446">
        <v>597.56899999999996</v>
      </c>
      <c r="I446">
        <v>3.7250000000000001</v>
      </c>
      <c r="J446" t="s">
        <v>415</v>
      </c>
      <c r="K446">
        <v>0.3</v>
      </c>
      <c r="L446">
        <v>416.2</v>
      </c>
      <c r="N446">
        <v>13</v>
      </c>
      <c r="O446">
        <v>13</v>
      </c>
      <c r="P446" t="s">
        <v>667</v>
      </c>
      <c r="Q446" t="s">
        <v>414</v>
      </c>
      <c r="S446">
        <v>3.23</v>
      </c>
      <c r="T446">
        <v>1544.9290000000001</v>
      </c>
      <c r="U446">
        <v>291.31900000000002</v>
      </c>
      <c r="V446">
        <v>53.031999999999996</v>
      </c>
      <c r="W446" t="s">
        <v>415</v>
      </c>
      <c r="X446">
        <v>0.7</v>
      </c>
    </row>
    <row r="447" spans="1:25" x14ac:dyDescent="0.45">
      <c r="A447">
        <v>2</v>
      </c>
      <c r="B447">
        <v>2</v>
      </c>
      <c r="C447" t="s">
        <v>583</v>
      </c>
      <c r="D447" t="s">
        <v>400</v>
      </c>
      <c r="E447">
        <v>0.5</v>
      </c>
      <c r="F447">
        <v>3.23</v>
      </c>
      <c r="G447">
        <v>2654.0250000000001</v>
      </c>
      <c r="H447">
        <v>748.26800000000003</v>
      </c>
      <c r="I447">
        <v>35.469000000000001</v>
      </c>
      <c r="J447" t="s">
        <v>412</v>
      </c>
      <c r="K447">
        <v>0.5</v>
      </c>
      <c r="L447">
        <v>9.3000000000000007</v>
      </c>
      <c r="N447">
        <v>14</v>
      </c>
      <c r="O447">
        <v>14</v>
      </c>
      <c r="P447" t="s">
        <v>668</v>
      </c>
      <c r="Q447" t="s">
        <v>414</v>
      </c>
      <c r="S447">
        <v>3.23</v>
      </c>
      <c r="T447">
        <v>1747.03</v>
      </c>
      <c r="U447">
        <v>347.24799999999999</v>
      </c>
      <c r="V447">
        <v>50.311</v>
      </c>
      <c r="W447" t="s">
        <v>488</v>
      </c>
      <c r="X447">
        <v>0.7</v>
      </c>
    </row>
    <row r="448" spans="1:25" x14ac:dyDescent="0.45">
      <c r="A448">
        <v>3</v>
      </c>
      <c r="B448">
        <v>3</v>
      </c>
      <c r="C448" t="s">
        <v>584</v>
      </c>
      <c r="D448" t="s">
        <v>400</v>
      </c>
      <c r="E448">
        <v>1.25</v>
      </c>
      <c r="F448">
        <v>3.23</v>
      </c>
      <c r="G448">
        <v>6973.2309999999998</v>
      </c>
      <c r="H448">
        <v>797.54700000000003</v>
      </c>
      <c r="I448">
        <v>87.433000000000007</v>
      </c>
      <c r="J448" t="s">
        <v>415</v>
      </c>
      <c r="K448">
        <v>1</v>
      </c>
      <c r="L448">
        <v>-18.5</v>
      </c>
      <c r="N448">
        <v>15</v>
      </c>
      <c r="O448">
        <v>15</v>
      </c>
      <c r="P448" t="s">
        <v>669</v>
      </c>
      <c r="Q448" t="s">
        <v>414</v>
      </c>
      <c r="S448">
        <v>3.23</v>
      </c>
      <c r="T448">
        <v>1019.694</v>
      </c>
      <c r="U448">
        <v>248.83</v>
      </c>
      <c r="V448">
        <v>40.98</v>
      </c>
      <c r="W448" t="s">
        <v>488</v>
      </c>
      <c r="X448">
        <v>0.6</v>
      </c>
    </row>
    <row r="449" spans="1:24" x14ac:dyDescent="0.45">
      <c r="A449">
        <v>4</v>
      </c>
      <c r="B449">
        <v>4</v>
      </c>
      <c r="C449" t="s">
        <v>585</v>
      </c>
      <c r="D449" t="s">
        <v>400</v>
      </c>
      <c r="E449">
        <v>2.5</v>
      </c>
      <c r="F449">
        <v>3.23</v>
      </c>
      <c r="G449">
        <v>16561.732</v>
      </c>
      <c r="H449">
        <v>624.39800000000002</v>
      </c>
      <c r="I449">
        <v>265.24299999999999</v>
      </c>
      <c r="J449" t="s">
        <v>415</v>
      </c>
      <c r="K449">
        <v>2.6</v>
      </c>
      <c r="L449">
        <v>5.4</v>
      </c>
      <c r="N449">
        <v>16</v>
      </c>
      <c r="O449">
        <v>16</v>
      </c>
      <c r="P449" t="s">
        <v>670</v>
      </c>
      <c r="Q449" t="s">
        <v>414</v>
      </c>
      <c r="S449">
        <v>3.23</v>
      </c>
      <c r="T449">
        <v>1629.779</v>
      </c>
      <c r="U449">
        <v>106.72</v>
      </c>
      <c r="V449">
        <v>152.715</v>
      </c>
      <c r="W449" t="s">
        <v>412</v>
      </c>
      <c r="X449">
        <v>1.8</v>
      </c>
    </row>
    <row r="450" spans="1:24" x14ac:dyDescent="0.45">
      <c r="A450">
        <v>5</v>
      </c>
      <c r="B450">
        <v>5</v>
      </c>
      <c r="C450" t="s">
        <v>586</v>
      </c>
      <c r="D450" t="s">
        <v>400</v>
      </c>
      <c r="E450">
        <v>3.5</v>
      </c>
      <c r="F450">
        <v>3.23</v>
      </c>
      <c r="G450">
        <v>23449.553</v>
      </c>
      <c r="H450">
        <v>713.80600000000004</v>
      </c>
      <c r="I450">
        <v>328.51400000000001</v>
      </c>
      <c r="J450" t="s">
        <v>415</v>
      </c>
      <c r="K450">
        <v>3.2</v>
      </c>
      <c r="L450">
        <v>-8.3000000000000007</v>
      </c>
      <c r="N450">
        <v>17</v>
      </c>
      <c r="O450">
        <v>17</v>
      </c>
      <c r="P450" t="s">
        <v>671</v>
      </c>
      <c r="Q450" t="s">
        <v>414</v>
      </c>
      <c r="S450">
        <v>3.23</v>
      </c>
      <c r="T450">
        <v>1496.8119999999999</v>
      </c>
      <c r="U450">
        <v>189.721</v>
      </c>
      <c r="V450">
        <v>78.894999999999996</v>
      </c>
      <c r="W450" t="s">
        <v>488</v>
      </c>
      <c r="X450">
        <v>1</v>
      </c>
    </row>
    <row r="451" spans="1:24" x14ac:dyDescent="0.45">
      <c r="A451">
        <v>6</v>
      </c>
      <c r="B451">
        <v>6</v>
      </c>
      <c r="C451" t="s">
        <v>587</v>
      </c>
      <c r="D451" t="s">
        <v>400</v>
      </c>
      <c r="E451">
        <v>5</v>
      </c>
      <c r="F451">
        <v>3.23</v>
      </c>
      <c r="G451">
        <v>36828.207000000002</v>
      </c>
      <c r="H451">
        <v>930.55899999999997</v>
      </c>
      <c r="I451">
        <v>395.76400000000001</v>
      </c>
      <c r="J451" t="s">
        <v>485</v>
      </c>
      <c r="K451">
        <v>3.8</v>
      </c>
      <c r="L451">
        <v>-23.6</v>
      </c>
      <c r="N451">
        <v>18</v>
      </c>
      <c r="O451">
        <v>18</v>
      </c>
      <c r="P451" t="s">
        <v>672</v>
      </c>
      <c r="Q451" t="s">
        <v>414</v>
      </c>
      <c r="S451">
        <v>3.23</v>
      </c>
      <c r="T451">
        <v>1441.3119999999999</v>
      </c>
      <c r="U451">
        <v>243.15899999999999</v>
      </c>
      <c r="V451">
        <v>59.274000000000001</v>
      </c>
      <c r="W451" t="s">
        <v>415</v>
      </c>
      <c r="X451">
        <v>0.8</v>
      </c>
    </row>
    <row r="452" spans="1:24" x14ac:dyDescent="0.45">
      <c r="A452">
        <v>7</v>
      </c>
      <c r="B452">
        <v>7</v>
      </c>
      <c r="C452" t="s">
        <v>588</v>
      </c>
      <c r="D452" t="s">
        <v>400</v>
      </c>
      <c r="E452">
        <v>7</v>
      </c>
      <c r="F452">
        <v>3.23</v>
      </c>
      <c r="G452">
        <v>45489.531000000003</v>
      </c>
      <c r="H452">
        <v>598.04300000000001</v>
      </c>
      <c r="I452">
        <v>760.64</v>
      </c>
      <c r="J452" t="s">
        <v>415</v>
      </c>
      <c r="K452">
        <v>7.1</v>
      </c>
      <c r="L452">
        <v>1.9</v>
      </c>
      <c r="N452">
        <v>19</v>
      </c>
      <c r="O452">
        <v>19</v>
      </c>
      <c r="P452" t="s">
        <v>673</v>
      </c>
      <c r="Q452" t="s">
        <v>414</v>
      </c>
      <c r="S452">
        <v>3.23</v>
      </c>
      <c r="T452">
        <v>1249.625</v>
      </c>
      <c r="U452">
        <v>254.68600000000001</v>
      </c>
      <c r="V452">
        <v>49.064999999999998</v>
      </c>
      <c r="W452" t="s">
        <v>415</v>
      </c>
      <c r="X452">
        <v>0.7</v>
      </c>
    </row>
    <row r="453" spans="1:24" x14ac:dyDescent="0.45">
      <c r="A453">
        <v>8</v>
      </c>
      <c r="B453">
        <v>8</v>
      </c>
      <c r="C453" t="s">
        <v>589</v>
      </c>
      <c r="D453" t="s">
        <v>410</v>
      </c>
      <c r="F453">
        <v>3.35</v>
      </c>
      <c r="G453">
        <v>34.735999999999997</v>
      </c>
      <c r="H453">
        <v>237.99299999999999</v>
      </c>
      <c r="I453">
        <v>1.46</v>
      </c>
      <c r="J453" t="s">
        <v>401</v>
      </c>
      <c r="K453">
        <v>0.2</v>
      </c>
      <c r="N453">
        <v>20</v>
      </c>
      <c r="O453">
        <v>20</v>
      </c>
      <c r="P453" t="s">
        <v>674</v>
      </c>
      <c r="Q453" t="s">
        <v>414</v>
      </c>
      <c r="S453">
        <v>3.24</v>
      </c>
      <c r="T453">
        <v>626.73199999999997</v>
      </c>
      <c r="U453">
        <v>289.88600000000002</v>
      </c>
      <c r="V453">
        <v>21.62</v>
      </c>
      <c r="W453" t="s">
        <v>488</v>
      </c>
      <c r="X453">
        <v>0.4</v>
      </c>
    </row>
    <row r="454" spans="1:24" x14ac:dyDescent="0.45">
      <c r="A454">
        <v>9</v>
      </c>
      <c r="B454">
        <v>9</v>
      </c>
      <c r="C454" t="s">
        <v>590</v>
      </c>
      <c r="D454" t="s">
        <v>410</v>
      </c>
      <c r="F454">
        <v>3.26</v>
      </c>
      <c r="G454">
        <v>61.43</v>
      </c>
      <c r="H454">
        <v>262.73599999999999</v>
      </c>
      <c r="I454">
        <v>2.3380000000000001</v>
      </c>
      <c r="J454" t="s">
        <v>415</v>
      </c>
      <c r="K454">
        <v>0.2</v>
      </c>
      <c r="N454">
        <v>21</v>
      </c>
      <c r="O454">
        <v>21</v>
      </c>
      <c r="P454" t="s">
        <v>675</v>
      </c>
      <c r="Q454" t="s">
        <v>414</v>
      </c>
      <c r="S454">
        <v>3.24</v>
      </c>
      <c r="T454">
        <v>759.89300000000003</v>
      </c>
      <c r="U454">
        <v>276.721</v>
      </c>
      <c r="V454">
        <v>27.460999999999999</v>
      </c>
      <c r="W454" t="s">
        <v>488</v>
      </c>
      <c r="X454">
        <v>0.4</v>
      </c>
    </row>
    <row r="455" spans="1:24" x14ac:dyDescent="0.45">
      <c r="A455">
        <v>10</v>
      </c>
      <c r="B455">
        <v>10</v>
      </c>
      <c r="C455" t="s">
        <v>591</v>
      </c>
      <c r="D455" t="s">
        <v>414</v>
      </c>
      <c r="F455">
        <v>3.23</v>
      </c>
      <c r="G455">
        <v>2274.2710000000002</v>
      </c>
      <c r="H455">
        <v>476.40600000000001</v>
      </c>
      <c r="I455">
        <v>47.738</v>
      </c>
      <c r="J455" t="s">
        <v>412</v>
      </c>
      <c r="K455">
        <v>0.7</v>
      </c>
      <c r="N455">
        <v>22</v>
      </c>
      <c r="O455">
        <v>22</v>
      </c>
      <c r="P455" t="s">
        <v>676</v>
      </c>
      <c r="Q455" t="s">
        <v>414</v>
      </c>
      <c r="S455">
        <v>3.23</v>
      </c>
      <c r="T455">
        <v>2895.39</v>
      </c>
      <c r="U455">
        <v>187.16499999999999</v>
      </c>
      <c r="V455">
        <v>154.697</v>
      </c>
      <c r="W455" t="s">
        <v>415</v>
      </c>
      <c r="X455">
        <v>1.9</v>
      </c>
    </row>
    <row r="456" spans="1:24" x14ac:dyDescent="0.45">
      <c r="A456">
        <v>11</v>
      </c>
      <c r="B456">
        <v>11</v>
      </c>
      <c r="C456" t="s">
        <v>592</v>
      </c>
      <c r="D456" t="s">
        <v>414</v>
      </c>
      <c r="F456">
        <v>3.23</v>
      </c>
      <c r="G456">
        <v>541.86699999999996</v>
      </c>
      <c r="H456">
        <v>132.905</v>
      </c>
      <c r="I456">
        <v>40.771000000000001</v>
      </c>
      <c r="J456" t="s">
        <v>488</v>
      </c>
      <c r="K456">
        <v>0.6</v>
      </c>
      <c r="N456">
        <v>23</v>
      </c>
      <c r="O456">
        <v>23</v>
      </c>
      <c r="P456" t="s">
        <v>677</v>
      </c>
      <c r="Q456" t="s">
        <v>414</v>
      </c>
      <c r="S456">
        <v>3.23</v>
      </c>
      <c r="T456">
        <v>3208.5030000000002</v>
      </c>
      <c r="U456">
        <v>292.31599999999997</v>
      </c>
      <c r="V456">
        <v>109.761</v>
      </c>
      <c r="W456" t="s">
        <v>412</v>
      </c>
      <c r="X456">
        <v>1.4</v>
      </c>
    </row>
    <row r="457" spans="1:24" x14ac:dyDescent="0.45">
      <c r="A457">
        <v>12</v>
      </c>
      <c r="B457">
        <v>12</v>
      </c>
      <c r="C457" t="s">
        <v>593</v>
      </c>
      <c r="D457" t="s">
        <v>414</v>
      </c>
      <c r="F457">
        <v>3.23</v>
      </c>
      <c r="G457">
        <v>908.69200000000001</v>
      </c>
      <c r="H457">
        <v>236.65899999999999</v>
      </c>
      <c r="I457">
        <v>38.396999999999998</v>
      </c>
      <c r="J457" t="s">
        <v>488</v>
      </c>
      <c r="K457">
        <v>0.6</v>
      </c>
      <c r="N457">
        <v>24</v>
      </c>
      <c r="O457">
        <v>24</v>
      </c>
      <c r="P457" t="s">
        <v>678</v>
      </c>
      <c r="Q457" t="s">
        <v>414</v>
      </c>
      <c r="S457">
        <v>3.23</v>
      </c>
      <c r="T457">
        <v>1532.3530000000001</v>
      </c>
      <c r="U457">
        <v>170.67699999999999</v>
      </c>
      <c r="V457">
        <v>89.781000000000006</v>
      </c>
      <c r="W457" t="s">
        <v>488</v>
      </c>
      <c r="X457">
        <v>1.1000000000000001</v>
      </c>
    </row>
    <row r="458" spans="1:24" x14ac:dyDescent="0.45">
      <c r="A458">
        <v>13</v>
      </c>
      <c r="B458">
        <v>13</v>
      </c>
      <c r="C458" t="s">
        <v>594</v>
      </c>
      <c r="D458" t="s">
        <v>414</v>
      </c>
      <c r="F458">
        <v>3.23</v>
      </c>
      <c r="G458">
        <v>1658.7070000000001</v>
      </c>
      <c r="H458">
        <v>441.90699999999998</v>
      </c>
      <c r="I458">
        <v>37.534999999999997</v>
      </c>
      <c r="J458" t="s">
        <v>488</v>
      </c>
      <c r="K458">
        <v>0.6</v>
      </c>
      <c r="N458">
        <v>25</v>
      </c>
      <c r="O458">
        <v>25</v>
      </c>
      <c r="P458" t="s">
        <v>679</v>
      </c>
      <c r="Q458" t="s">
        <v>414</v>
      </c>
      <c r="S458">
        <v>3.23</v>
      </c>
      <c r="T458">
        <v>1952.873</v>
      </c>
      <c r="U458">
        <v>98.522999999999996</v>
      </c>
      <c r="V458">
        <v>198.215</v>
      </c>
      <c r="W458" t="s">
        <v>488</v>
      </c>
      <c r="X458">
        <v>2.4</v>
      </c>
    </row>
    <row r="459" spans="1:24" x14ac:dyDescent="0.45">
      <c r="A459">
        <v>14</v>
      </c>
      <c r="B459">
        <v>14</v>
      </c>
      <c r="C459" t="s">
        <v>595</v>
      </c>
      <c r="D459" t="s">
        <v>414</v>
      </c>
      <c r="F459">
        <v>3.23</v>
      </c>
      <c r="G459">
        <v>4800.7870000000003</v>
      </c>
      <c r="H459">
        <v>316.89699999999999</v>
      </c>
      <c r="I459">
        <v>151.494</v>
      </c>
      <c r="J459" t="s">
        <v>412</v>
      </c>
      <c r="K459">
        <v>1.6</v>
      </c>
      <c r="N459">
        <v>26</v>
      </c>
      <c r="O459">
        <v>26</v>
      </c>
      <c r="P459" t="s">
        <v>680</v>
      </c>
      <c r="Q459" t="s">
        <v>414</v>
      </c>
      <c r="S459">
        <v>3.23</v>
      </c>
      <c r="T459">
        <v>2612.4520000000002</v>
      </c>
      <c r="U459">
        <v>149.94</v>
      </c>
      <c r="V459">
        <v>174.233</v>
      </c>
      <c r="W459" t="s">
        <v>488</v>
      </c>
      <c r="X459">
        <v>2.1</v>
      </c>
    </row>
    <row r="460" spans="1:24" x14ac:dyDescent="0.45">
      <c r="A460">
        <v>15</v>
      </c>
      <c r="B460">
        <v>15</v>
      </c>
      <c r="C460" t="s">
        <v>596</v>
      </c>
      <c r="D460" t="s">
        <v>414</v>
      </c>
      <c r="F460">
        <v>3.23</v>
      </c>
      <c r="G460">
        <v>3506.2820000000002</v>
      </c>
      <c r="H460">
        <v>466.47800000000001</v>
      </c>
      <c r="I460">
        <v>75.165000000000006</v>
      </c>
      <c r="J460" t="s">
        <v>415</v>
      </c>
      <c r="K460">
        <v>0.9</v>
      </c>
      <c r="N460">
        <v>27</v>
      </c>
      <c r="O460">
        <v>27</v>
      </c>
      <c r="P460" t="s">
        <v>681</v>
      </c>
      <c r="Q460" t="s">
        <v>414</v>
      </c>
      <c r="S460">
        <v>3.23</v>
      </c>
      <c r="T460">
        <v>2540.6019999999999</v>
      </c>
      <c r="U460">
        <v>159.465</v>
      </c>
      <c r="V460">
        <v>159.32</v>
      </c>
      <c r="W460" t="s">
        <v>401</v>
      </c>
      <c r="X460">
        <v>1.9</v>
      </c>
    </row>
    <row r="461" spans="1:24" x14ac:dyDescent="0.45">
      <c r="A461">
        <v>16</v>
      </c>
      <c r="B461">
        <v>16</v>
      </c>
      <c r="C461" t="s">
        <v>597</v>
      </c>
      <c r="D461" t="s">
        <v>414</v>
      </c>
      <c r="F461">
        <v>3.24</v>
      </c>
      <c r="G461">
        <v>259.91699999999997</v>
      </c>
      <c r="H461">
        <v>687.76800000000003</v>
      </c>
      <c r="I461">
        <v>3.7789999999999999</v>
      </c>
      <c r="J461" t="s">
        <v>488</v>
      </c>
      <c r="K461">
        <v>0.3</v>
      </c>
      <c r="N461">
        <v>28</v>
      </c>
      <c r="O461">
        <v>28</v>
      </c>
      <c r="P461" t="s">
        <v>682</v>
      </c>
      <c r="Q461" t="s">
        <v>414</v>
      </c>
      <c r="S461">
        <v>3.23</v>
      </c>
      <c r="T461">
        <v>2102.5680000000002</v>
      </c>
      <c r="U461">
        <v>187.577</v>
      </c>
      <c r="V461">
        <v>112.09099999999999</v>
      </c>
      <c r="W461" t="s">
        <v>403</v>
      </c>
      <c r="X461">
        <v>1.4</v>
      </c>
    </row>
    <row r="462" spans="1:24" x14ac:dyDescent="0.45">
      <c r="A462">
        <v>17</v>
      </c>
      <c r="B462">
        <v>17</v>
      </c>
      <c r="C462" t="s">
        <v>598</v>
      </c>
      <c r="D462" t="s">
        <v>414</v>
      </c>
      <c r="F462">
        <v>3.24</v>
      </c>
      <c r="G462">
        <v>240.13</v>
      </c>
      <c r="H462">
        <v>622.06299999999999</v>
      </c>
      <c r="I462">
        <v>3.86</v>
      </c>
      <c r="J462" t="s">
        <v>488</v>
      </c>
      <c r="K462">
        <v>0.3</v>
      </c>
      <c r="N462">
        <v>29</v>
      </c>
      <c r="O462">
        <v>29</v>
      </c>
      <c r="P462" t="s">
        <v>683</v>
      </c>
      <c r="Q462" t="s">
        <v>414</v>
      </c>
      <c r="S462">
        <v>3.23</v>
      </c>
      <c r="T462">
        <v>2065.7370000000001</v>
      </c>
      <c r="U462">
        <v>188.78700000000001</v>
      </c>
      <c r="V462">
        <v>109.422</v>
      </c>
      <c r="W462" t="s">
        <v>488</v>
      </c>
      <c r="X462">
        <v>1.4</v>
      </c>
    </row>
    <row r="463" spans="1:24" x14ac:dyDescent="0.45">
      <c r="A463">
        <v>18</v>
      </c>
      <c r="B463">
        <v>18</v>
      </c>
      <c r="C463" t="s">
        <v>599</v>
      </c>
      <c r="D463" t="s">
        <v>414</v>
      </c>
      <c r="F463">
        <v>3.23</v>
      </c>
      <c r="G463">
        <v>487.42099999999999</v>
      </c>
      <c r="H463">
        <v>135.68100000000001</v>
      </c>
      <c r="I463">
        <v>35.923999999999999</v>
      </c>
      <c r="J463" t="s">
        <v>415</v>
      </c>
      <c r="K463">
        <v>0.6</v>
      </c>
      <c r="N463">
        <v>30</v>
      </c>
      <c r="O463">
        <v>30</v>
      </c>
      <c r="P463" t="s">
        <v>684</v>
      </c>
      <c r="Q463" t="s">
        <v>414</v>
      </c>
      <c r="S463">
        <v>3.23</v>
      </c>
      <c r="T463">
        <v>2055.1579999999999</v>
      </c>
      <c r="U463">
        <v>182.20099999999999</v>
      </c>
      <c r="V463">
        <v>112.79600000000001</v>
      </c>
      <c r="W463" t="s">
        <v>401</v>
      </c>
      <c r="X463">
        <v>1.4</v>
      </c>
    </row>
    <row r="464" spans="1:24" x14ac:dyDescent="0.45">
      <c r="A464">
        <v>19</v>
      </c>
      <c r="B464">
        <v>19</v>
      </c>
      <c r="C464" t="s">
        <v>600</v>
      </c>
      <c r="D464" t="s">
        <v>414</v>
      </c>
      <c r="F464">
        <v>3.24</v>
      </c>
      <c r="G464">
        <v>531.71799999999996</v>
      </c>
      <c r="H464">
        <v>213.30500000000001</v>
      </c>
      <c r="I464">
        <v>24.928000000000001</v>
      </c>
      <c r="J464" t="s">
        <v>488</v>
      </c>
      <c r="K464">
        <v>0.5</v>
      </c>
      <c r="N464">
        <v>31</v>
      </c>
      <c r="O464">
        <v>31</v>
      </c>
      <c r="P464" t="s">
        <v>685</v>
      </c>
      <c r="Q464" t="s">
        <v>414</v>
      </c>
      <c r="S464">
        <v>3.23</v>
      </c>
      <c r="T464">
        <v>3166.9140000000002</v>
      </c>
      <c r="U464">
        <v>291.57499999999999</v>
      </c>
      <c r="V464">
        <v>108.614</v>
      </c>
      <c r="W464" t="s">
        <v>415</v>
      </c>
      <c r="X464">
        <v>1.3</v>
      </c>
    </row>
    <row r="465" spans="1:24" x14ac:dyDescent="0.45">
      <c r="A465">
        <v>20</v>
      </c>
      <c r="B465">
        <v>20</v>
      </c>
      <c r="C465" t="s">
        <v>601</v>
      </c>
      <c r="D465" t="s">
        <v>414</v>
      </c>
      <c r="F465">
        <v>3.23</v>
      </c>
      <c r="G465">
        <v>532.82799999999997</v>
      </c>
      <c r="H465">
        <v>137.61500000000001</v>
      </c>
      <c r="I465">
        <v>38.719000000000001</v>
      </c>
      <c r="J465" t="s">
        <v>488</v>
      </c>
      <c r="K465">
        <v>0.6</v>
      </c>
      <c r="N465">
        <v>32</v>
      </c>
      <c r="O465">
        <v>32</v>
      </c>
      <c r="P465" t="s">
        <v>686</v>
      </c>
      <c r="Q465" t="s">
        <v>414</v>
      </c>
      <c r="S465">
        <v>3.23</v>
      </c>
      <c r="T465">
        <v>6259.3649999999998</v>
      </c>
      <c r="U465">
        <v>486.84800000000001</v>
      </c>
      <c r="V465">
        <v>128.56899999999999</v>
      </c>
      <c r="W465" t="s">
        <v>401</v>
      </c>
      <c r="X465">
        <v>1.6</v>
      </c>
    </row>
    <row r="466" spans="1:24" x14ac:dyDescent="0.45">
      <c r="A466">
        <v>21</v>
      </c>
      <c r="B466">
        <v>21</v>
      </c>
      <c r="C466" t="s">
        <v>602</v>
      </c>
      <c r="D466" t="s">
        <v>414</v>
      </c>
      <c r="F466">
        <v>3.24</v>
      </c>
      <c r="G466">
        <v>1163.768</v>
      </c>
      <c r="H466">
        <v>210.37100000000001</v>
      </c>
      <c r="I466">
        <v>55.32</v>
      </c>
      <c r="J466" t="s">
        <v>412</v>
      </c>
      <c r="K466">
        <v>0.7</v>
      </c>
      <c r="N466">
        <v>33</v>
      </c>
      <c r="O466">
        <v>33</v>
      </c>
      <c r="P466" t="s">
        <v>687</v>
      </c>
      <c r="Q466" t="s">
        <v>414</v>
      </c>
      <c r="S466">
        <v>3.23</v>
      </c>
      <c r="T466">
        <v>5500.0619999999999</v>
      </c>
      <c r="U466">
        <v>284.76100000000002</v>
      </c>
      <c r="V466">
        <v>193.14699999999999</v>
      </c>
      <c r="W466" t="s">
        <v>403</v>
      </c>
      <c r="X466">
        <v>2.2999999999999998</v>
      </c>
    </row>
    <row r="467" spans="1:24" x14ac:dyDescent="0.45">
      <c r="A467">
        <v>22</v>
      </c>
      <c r="B467">
        <v>22</v>
      </c>
      <c r="C467" t="s">
        <v>603</v>
      </c>
      <c r="D467" t="s">
        <v>414</v>
      </c>
      <c r="F467">
        <v>3.23</v>
      </c>
      <c r="G467">
        <v>954.38499999999999</v>
      </c>
      <c r="H467">
        <v>705.774</v>
      </c>
      <c r="I467">
        <v>13.523</v>
      </c>
      <c r="J467" t="s">
        <v>488</v>
      </c>
      <c r="K467">
        <v>0.3</v>
      </c>
      <c r="N467">
        <v>34</v>
      </c>
      <c r="O467">
        <v>34</v>
      </c>
      <c r="P467" t="s">
        <v>688</v>
      </c>
      <c r="Q467" t="s">
        <v>414</v>
      </c>
      <c r="S467">
        <v>3.23</v>
      </c>
      <c r="T467">
        <v>2530.85</v>
      </c>
      <c r="U467">
        <v>395.99799999999999</v>
      </c>
      <c r="V467">
        <v>63.911000000000001</v>
      </c>
      <c r="W467" t="s">
        <v>412</v>
      </c>
      <c r="X467">
        <v>0.8</v>
      </c>
    </row>
    <row r="468" spans="1:24" x14ac:dyDescent="0.45">
      <c r="A468">
        <v>23</v>
      </c>
      <c r="B468">
        <v>23</v>
      </c>
      <c r="C468" t="s">
        <v>604</v>
      </c>
      <c r="D468" t="s">
        <v>414</v>
      </c>
      <c r="F468">
        <v>3.23</v>
      </c>
      <c r="G468">
        <v>625.25300000000004</v>
      </c>
      <c r="H468">
        <v>864.65499999999997</v>
      </c>
      <c r="I468">
        <v>7.2309999999999999</v>
      </c>
      <c r="J468" t="s">
        <v>488</v>
      </c>
      <c r="K468">
        <v>0.3</v>
      </c>
      <c r="N468">
        <v>35</v>
      </c>
      <c r="O468">
        <v>35</v>
      </c>
      <c r="P468" t="s">
        <v>689</v>
      </c>
      <c r="Q468" t="s">
        <v>414</v>
      </c>
      <c r="S468">
        <v>3.23</v>
      </c>
      <c r="T468">
        <v>3277.7179999999998</v>
      </c>
      <c r="U468">
        <v>318.411</v>
      </c>
      <c r="V468">
        <v>102.94</v>
      </c>
      <c r="W468" t="s">
        <v>403</v>
      </c>
      <c r="X468">
        <v>1.3</v>
      </c>
    </row>
    <row r="469" spans="1:24" x14ac:dyDescent="0.45">
      <c r="A469">
        <v>24</v>
      </c>
      <c r="B469">
        <v>24</v>
      </c>
      <c r="C469" t="s">
        <v>605</v>
      </c>
      <c r="D469" t="s">
        <v>414</v>
      </c>
      <c r="F469">
        <v>3.23</v>
      </c>
      <c r="G469">
        <v>2716.6149999999998</v>
      </c>
      <c r="H469">
        <v>382.97199999999998</v>
      </c>
      <c r="I469">
        <v>70.935000000000002</v>
      </c>
      <c r="J469" t="s">
        <v>488</v>
      </c>
      <c r="K469">
        <v>0.9</v>
      </c>
      <c r="N469">
        <v>36</v>
      </c>
      <c r="O469">
        <v>36</v>
      </c>
      <c r="P469" t="s">
        <v>690</v>
      </c>
      <c r="Q469" t="s">
        <v>414</v>
      </c>
      <c r="S469">
        <v>3.23</v>
      </c>
      <c r="T469">
        <v>5725.1260000000002</v>
      </c>
      <c r="U469">
        <v>264.93900000000002</v>
      </c>
      <c r="V469">
        <v>216.09200000000001</v>
      </c>
      <c r="W469" t="s">
        <v>488</v>
      </c>
      <c r="X469">
        <v>2.6</v>
      </c>
    </row>
    <row r="470" spans="1:24" x14ac:dyDescent="0.45">
      <c r="A470">
        <v>25</v>
      </c>
      <c r="B470">
        <v>25</v>
      </c>
      <c r="C470" t="s">
        <v>606</v>
      </c>
      <c r="D470" t="s">
        <v>414</v>
      </c>
      <c r="F470">
        <v>3.23</v>
      </c>
      <c r="G470">
        <v>3269.038</v>
      </c>
      <c r="H470">
        <v>429.68599999999998</v>
      </c>
      <c r="I470">
        <v>76.08</v>
      </c>
      <c r="J470" t="s">
        <v>415</v>
      </c>
      <c r="K470">
        <v>0.9</v>
      </c>
      <c r="N470">
        <v>37</v>
      </c>
      <c r="O470">
        <v>37</v>
      </c>
      <c r="P470" t="s">
        <v>691</v>
      </c>
      <c r="Q470" t="s">
        <v>414</v>
      </c>
      <c r="S470">
        <v>3.23</v>
      </c>
      <c r="T470">
        <v>4134.2629999999999</v>
      </c>
      <c r="U470">
        <v>237.584</v>
      </c>
      <c r="V470">
        <v>174.01300000000001</v>
      </c>
      <c r="W470" t="s">
        <v>415</v>
      </c>
      <c r="X470">
        <v>2.1</v>
      </c>
    </row>
    <row r="471" spans="1:24" x14ac:dyDescent="0.45">
      <c r="A471">
        <v>26</v>
      </c>
      <c r="B471">
        <v>26</v>
      </c>
      <c r="C471" t="s">
        <v>607</v>
      </c>
      <c r="D471" t="s">
        <v>414</v>
      </c>
      <c r="F471">
        <v>3.23</v>
      </c>
      <c r="G471">
        <v>2274.0239999999999</v>
      </c>
      <c r="H471">
        <v>368.62700000000001</v>
      </c>
      <c r="I471">
        <v>61.689</v>
      </c>
      <c r="J471" t="s">
        <v>488</v>
      </c>
      <c r="K471">
        <v>0.8</v>
      </c>
      <c r="N471">
        <v>38</v>
      </c>
      <c r="O471">
        <v>38</v>
      </c>
      <c r="P471" t="s">
        <v>692</v>
      </c>
      <c r="Q471" t="s">
        <v>414</v>
      </c>
      <c r="S471">
        <v>3.23</v>
      </c>
      <c r="T471">
        <v>5092.6559999999999</v>
      </c>
      <c r="U471">
        <v>296.11200000000002</v>
      </c>
      <c r="V471">
        <v>171.98400000000001</v>
      </c>
      <c r="W471" t="s">
        <v>488</v>
      </c>
      <c r="X471">
        <v>2.1</v>
      </c>
    </row>
    <row r="472" spans="1:24" x14ac:dyDescent="0.45">
      <c r="A472">
        <v>27</v>
      </c>
      <c r="B472">
        <v>27</v>
      </c>
      <c r="C472" t="s">
        <v>608</v>
      </c>
      <c r="D472" t="s">
        <v>414</v>
      </c>
      <c r="F472">
        <v>3.23</v>
      </c>
      <c r="G472">
        <v>2129.5810000000001</v>
      </c>
      <c r="H472">
        <v>809.98299999999995</v>
      </c>
      <c r="I472">
        <v>26.292000000000002</v>
      </c>
      <c r="J472" t="s">
        <v>488</v>
      </c>
      <c r="K472">
        <v>0.5</v>
      </c>
      <c r="N472">
        <v>39</v>
      </c>
      <c r="O472">
        <v>39</v>
      </c>
      <c r="P472" t="s">
        <v>693</v>
      </c>
      <c r="Q472" t="s">
        <v>414</v>
      </c>
      <c r="S472">
        <v>3.23</v>
      </c>
      <c r="T472">
        <v>6280.0249999999996</v>
      </c>
      <c r="U472">
        <v>365.27699999999999</v>
      </c>
      <c r="V472">
        <v>171.92500000000001</v>
      </c>
      <c r="W472" t="s">
        <v>412</v>
      </c>
      <c r="X472">
        <v>2.1</v>
      </c>
    </row>
    <row r="473" spans="1:24" x14ac:dyDescent="0.45">
      <c r="A473">
        <v>28</v>
      </c>
      <c r="B473">
        <v>28</v>
      </c>
      <c r="C473" t="s">
        <v>609</v>
      </c>
      <c r="D473" t="s">
        <v>414</v>
      </c>
      <c r="F473">
        <v>3.23</v>
      </c>
      <c r="G473">
        <v>811.45</v>
      </c>
      <c r="H473">
        <v>429.94600000000003</v>
      </c>
      <c r="I473">
        <v>18.873000000000001</v>
      </c>
      <c r="J473" t="s">
        <v>412</v>
      </c>
      <c r="K473">
        <v>0.4</v>
      </c>
      <c r="N473">
        <v>40</v>
      </c>
      <c r="O473">
        <v>40</v>
      </c>
      <c r="P473" t="s">
        <v>694</v>
      </c>
      <c r="Q473" t="s">
        <v>414</v>
      </c>
      <c r="S473">
        <v>3.23</v>
      </c>
      <c r="T473">
        <v>10747.197</v>
      </c>
      <c r="U473">
        <v>618.79499999999996</v>
      </c>
      <c r="V473">
        <v>173.679</v>
      </c>
      <c r="W473" t="s">
        <v>488</v>
      </c>
      <c r="X473">
        <v>2.1</v>
      </c>
    </row>
    <row r="474" spans="1:24" x14ac:dyDescent="0.45">
      <c r="A474">
        <v>29</v>
      </c>
      <c r="B474">
        <v>29</v>
      </c>
      <c r="C474" t="s">
        <v>610</v>
      </c>
      <c r="D474" t="s">
        <v>414</v>
      </c>
      <c r="F474">
        <v>3.23</v>
      </c>
      <c r="G474">
        <v>424.07100000000003</v>
      </c>
      <c r="H474">
        <v>318.18099999999998</v>
      </c>
      <c r="I474">
        <v>13.327999999999999</v>
      </c>
      <c r="J474" t="s">
        <v>488</v>
      </c>
      <c r="K474">
        <v>0.3</v>
      </c>
      <c r="N474">
        <v>41</v>
      </c>
      <c r="O474">
        <v>41</v>
      </c>
      <c r="P474" t="s">
        <v>695</v>
      </c>
      <c r="Q474" t="s">
        <v>414</v>
      </c>
      <c r="S474">
        <v>3.23</v>
      </c>
      <c r="T474">
        <v>8186.924</v>
      </c>
      <c r="U474">
        <v>583.34299999999996</v>
      </c>
      <c r="V474">
        <v>140.345</v>
      </c>
      <c r="W474" t="s">
        <v>488</v>
      </c>
      <c r="X474">
        <v>1.7</v>
      </c>
    </row>
    <row r="475" spans="1:24" x14ac:dyDescent="0.45">
      <c r="A475">
        <v>30</v>
      </c>
      <c r="B475">
        <v>30</v>
      </c>
      <c r="C475" t="s">
        <v>611</v>
      </c>
      <c r="D475" t="s">
        <v>414</v>
      </c>
      <c r="F475">
        <v>3.23</v>
      </c>
      <c r="G475">
        <v>492.94400000000002</v>
      </c>
      <c r="H475">
        <v>327.74</v>
      </c>
      <c r="I475">
        <v>15.041</v>
      </c>
      <c r="J475" t="s">
        <v>488</v>
      </c>
      <c r="K475">
        <v>0.4</v>
      </c>
      <c r="N475">
        <v>42</v>
      </c>
      <c r="O475">
        <v>42</v>
      </c>
      <c r="P475" t="s">
        <v>696</v>
      </c>
      <c r="Q475" t="s">
        <v>414</v>
      </c>
      <c r="S475">
        <v>3.23</v>
      </c>
      <c r="T475">
        <v>4420.7259999999997</v>
      </c>
      <c r="U475">
        <v>418.34</v>
      </c>
      <c r="V475">
        <v>105.673</v>
      </c>
      <c r="W475" t="s">
        <v>488</v>
      </c>
      <c r="X475">
        <v>1.3</v>
      </c>
    </row>
    <row r="476" spans="1:24" x14ac:dyDescent="0.45">
      <c r="A476">
        <v>31</v>
      </c>
      <c r="B476">
        <v>31</v>
      </c>
      <c r="C476" t="s">
        <v>612</v>
      </c>
      <c r="D476" t="s">
        <v>414</v>
      </c>
      <c r="F476">
        <v>3.24</v>
      </c>
      <c r="G476">
        <v>654.91600000000005</v>
      </c>
      <c r="H476">
        <v>275.327</v>
      </c>
      <c r="I476">
        <v>23.786999999999999</v>
      </c>
      <c r="J476" t="s">
        <v>488</v>
      </c>
      <c r="K476">
        <v>0.4</v>
      </c>
      <c r="N476">
        <v>43</v>
      </c>
      <c r="O476">
        <v>43</v>
      </c>
      <c r="P476" t="s">
        <v>697</v>
      </c>
      <c r="Q476" t="s">
        <v>414</v>
      </c>
      <c r="S476">
        <v>3.23</v>
      </c>
      <c r="T476">
        <v>4858.88</v>
      </c>
      <c r="U476">
        <v>590.21699999999998</v>
      </c>
      <c r="V476">
        <v>82.323999999999998</v>
      </c>
      <c r="W476" t="s">
        <v>401</v>
      </c>
      <c r="X476">
        <v>1</v>
      </c>
    </row>
    <row r="477" spans="1:24" x14ac:dyDescent="0.45">
      <c r="A477">
        <v>32</v>
      </c>
      <c r="B477">
        <v>32</v>
      </c>
      <c r="C477" t="s">
        <v>613</v>
      </c>
      <c r="D477" t="s">
        <v>414</v>
      </c>
      <c r="F477">
        <v>3.23</v>
      </c>
      <c r="G477">
        <v>2483.7620000000002</v>
      </c>
      <c r="H477">
        <v>313.45699999999999</v>
      </c>
      <c r="I477">
        <v>79.238</v>
      </c>
      <c r="J477" t="s">
        <v>488</v>
      </c>
      <c r="K477">
        <v>0.9</v>
      </c>
      <c r="N477">
        <v>44</v>
      </c>
      <c r="O477">
        <v>44</v>
      </c>
      <c r="P477" t="s">
        <v>698</v>
      </c>
      <c r="Q477" t="s">
        <v>414</v>
      </c>
      <c r="S477">
        <v>3.23</v>
      </c>
      <c r="T477">
        <v>4124.1540000000005</v>
      </c>
      <c r="U477">
        <v>436.15100000000001</v>
      </c>
      <c r="V477">
        <v>94.558000000000007</v>
      </c>
      <c r="W477" t="s">
        <v>401</v>
      </c>
      <c r="X477">
        <v>1.2</v>
      </c>
    </row>
    <row r="478" spans="1:24" x14ac:dyDescent="0.45">
      <c r="A478">
        <v>33</v>
      </c>
      <c r="B478">
        <v>33</v>
      </c>
      <c r="C478" t="s">
        <v>614</v>
      </c>
      <c r="D478" t="s">
        <v>414</v>
      </c>
      <c r="F478">
        <v>3.23</v>
      </c>
      <c r="G478">
        <v>2061.2919999999999</v>
      </c>
      <c r="H478">
        <v>262.38400000000001</v>
      </c>
      <c r="I478">
        <v>78.56</v>
      </c>
      <c r="J478" t="s">
        <v>415</v>
      </c>
      <c r="K478">
        <v>0.9</v>
      </c>
      <c r="N478">
        <v>45</v>
      </c>
      <c r="O478">
        <v>45</v>
      </c>
      <c r="P478" t="s">
        <v>699</v>
      </c>
      <c r="Q478" t="s">
        <v>414</v>
      </c>
      <c r="S478">
        <v>3.23</v>
      </c>
      <c r="T478">
        <v>2697.0970000000002</v>
      </c>
      <c r="U478">
        <v>279.17599999999999</v>
      </c>
      <c r="V478">
        <v>96.608999999999995</v>
      </c>
      <c r="W478" t="s">
        <v>488</v>
      </c>
      <c r="X478">
        <v>1.2</v>
      </c>
    </row>
    <row r="479" spans="1:24" x14ac:dyDescent="0.45">
      <c r="A479">
        <v>34</v>
      </c>
      <c r="B479">
        <v>34</v>
      </c>
      <c r="C479" t="s">
        <v>615</v>
      </c>
      <c r="D479" t="s">
        <v>414</v>
      </c>
      <c r="F479">
        <v>3.23</v>
      </c>
      <c r="G479">
        <v>1724.4469999999999</v>
      </c>
      <c r="H479">
        <v>283.28399999999999</v>
      </c>
      <c r="I479">
        <v>60.872999999999998</v>
      </c>
      <c r="J479" t="s">
        <v>415</v>
      </c>
      <c r="K479">
        <v>0.8</v>
      </c>
      <c r="N479">
        <v>46</v>
      </c>
      <c r="O479">
        <v>46</v>
      </c>
      <c r="P479" t="s">
        <v>700</v>
      </c>
      <c r="Q479" t="s">
        <v>414</v>
      </c>
      <c r="S479">
        <v>3.23</v>
      </c>
      <c r="T479">
        <v>4748.3639999999996</v>
      </c>
      <c r="U479">
        <v>603.79100000000005</v>
      </c>
      <c r="V479">
        <v>78.643000000000001</v>
      </c>
      <c r="W479" t="s">
        <v>488</v>
      </c>
      <c r="X479">
        <v>1</v>
      </c>
    </row>
    <row r="480" spans="1:24" x14ac:dyDescent="0.45">
      <c r="A480">
        <v>35</v>
      </c>
      <c r="B480">
        <v>35</v>
      </c>
      <c r="C480" t="s">
        <v>616</v>
      </c>
      <c r="D480" t="s">
        <v>414</v>
      </c>
      <c r="F480">
        <v>3.23</v>
      </c>
      <c r="G480">
        <v>1652.4459999999999</v>
      </c>
      <c r="H480">
        <v>307.99</v>
      </c>
      <c r="I480">
        <v>53.652999999999999</v>
      </c>
      <c r="J480" t="s">
        <v>415</v>
      </c>
      <c r="K480">
        <v>0.7</v>
      </c>
      <c r="N480">
        <v>47</v>
      </c>
      <c r="O480">
        <v>47</v>
      </c>
      <c r="P480" t="s">
        <v>701</v>
      </c>
      <c r="Q480" t="s">
        <v>414</v>
      </c>
      <c r="S480">
        <v>3.23</v>
      </c>
      <c r="T480">
        <v>4402.9030000000002</v>
      </c>
      <c r="U480">
        <v>461.60199999999998</v>
      </c>
      <c r="V480">
        <v>95.382999999999996</v>
      </c>
      <c r="W480" t="s">
        <v>488</v>
      </c>
      <c r="X480">
        <v>1.2</v>
      </c>
    </row>
    <row r="481" spans="1:24" x14ac:dyDescent="0.45">
      <c r="A481">
        <v>36</v>
      </c>
      <c r="B481">
        <v>36</v>
      </c>
      <c r="C481" t="s">
        <v>617</v>
      </c>
      <c r="D481" t="s">
        <v>414</v>
      </c>
      <c r="F481">
        <v>3.23</v>
      </c>
      <c r="G481">
        <v>1062.5129999999999</v>
      </c>
      <c r="H481">
        <v>209.75399999999999</v>
      </c>
      <c r="I481">
        <v>50.655000000000001</v>
      </c>
      <c r="J481" t="s">
        <v>488</v>
      </c>
      <c r="K481">
        <v>0.7</v>
      </c>
      <c r="N481">
        <v>48</v>
      </c>
      <c r="O481">
        <v>48</v>
      </c>
      <c r="P481" t="s">
        <v>702</v>
      </c>
      <c r="Q481" t="s">
        <v>414</v>
      </c>
      <c r="S481">
        <v>3.23</v>
      </c>
      <c r="T481">
        <v>5796.4070000000002</v>
      </c>
      <c r="U481">
        <v>646.904</v>
      </c>
      <c r="V481">
        <v>89.602000000000004</v>
      </c>
      <c r="W481" t="s">
        <v>403</v>
      </c>
      <c r="X481">
        <v>1.1000000000000001</v>
      </c>
    </row>
    <row r="482" spans="1:24" x14ac:dyDescent="0.45">
      <c r="A482">
        <v>37</v>
      </c>
      <c r="B482">
        <v>37</v>
      </c>
      <c r="C482" t="s">
        <v>618</v>
      </c>
      <c r="D482" t="s">
        <v>414</v>
      </c>
      <c r="F482">
        <v>3.23</v>
      </c>
      <c r="G482">
        <v>2498.0709999999999</v>
      </c>
      <c r="H482">
        <v>633.64200000000005</v>
      </c>
      <c r="I482">
        <v>39.423999999999999</v>
      </c>
      <c r="J482" t="s">
        <v>412</v>
      </c>
      <c r="K482">
        <v>0.6</v>
      </c>
      <c r="N482">
        <v>49</v>
      </c>
      <c r="O482">
        <v>49</v>
      </c>
      <c r="P482" t="s">
        <v>703</v>
      </c>
      <c r="Q482" t="s">
        <v>414</v>
      </c>
      <c r="S482">
        <v>3.23</v>
      </c>
      <c r="T482">
        <v>4554.9380000000001</v>
      </c>
      <c r="U482">
        <v>571.06299999999999</v>
      </c>
      <c r="V482">
        <v>79.762</v>
      </c>
      <c r="W482" t="s">
        <v>415</v>
      </c>
      <c r="X482">
        <v>1</v>
      </c>
    </row>
    <row r="483" spans="1:24" x14ac:dyDescent="0.45">
      <c r="A483">
        <v>38</v>
      </c>
      <c r="B483">
        <v>38</v>
      </c>
      <c r="C483" t="s">
        <v>619</v>
      </c>
      <c r="D483" t="s">
        <v>414</v>
      </c>
      <c r="F483">
        <v>3.23</v>
      </c>
      <c r="G483">
        <v>2132.6970000000001</v>
      </c>
      <c r="H483">
        <v>212.58699999999999</v>
      </c>
      <c r="I483">
        <v>100.321</v>
      </c>
      <c r="J483" t="s">
        <v>488</v>
      </c>
      <c r="K483">
        <v>1.1000000000000001</v>
      </c>
      <c r="N483">
        <v>50</v>
      </c>
      <c r="O483">
        <v>50</v>
      </c>
      <c r="P483" t="s">
        <v>704</v>
      </c>
      <c r="Q483" t="s">
        <v>414</v>
      </c>
      <c r="S483">
        <v>3.23</v>
      </c>
      <c r="T483">
        <v>11523.538</v>
      </c>
      <c r="U483">
        <v>704.62699999999995</v>
      </c>
      <c r="V483">
        <v>163.541</v>
      </c>
      <c r="W483" t="s">
        <v>403</v>
      </c>
      <c r="X483">
        <v>2</v>
      </c>
    </row>
    <row r="484" spans="1:24" x14ac:dyDescent="0.45">
      <c r="A484">
        <v>39</v>
      </c>
      <c r="B484">
        <v>39</v>
      </c>
      <c r="C484" t="s">
        <v>620</v>
      </c>
      <c r="D484" t="s">
        <v>414</v>
      </c>
      <c r="F484">
        <v>3.23</v>
      </c>
      <c r="G484">
        <v>2777.7530000000002</v>
      </c>
      <c r="H484">
        <v>225.77699999999999</v>
      </c>
      <c r="I484">
        <v>123.03100000000001</v>
      </c>
      <c r="J484" t="s">
        <v>488</v>
      </c>
      <c r="K484">
        <v>1.3</v>
      </c>
      <c r="N484">
        <v>51</v>
      </c>
      <c r="O484">
        <v>51</v>
      </c>
      <c r="P484" t="s">
        <v>705</v>
      </c>
      <c r="Q484" t="s">
        <v>414</v>
      </c>
      <c r="S484">
        <v>3.23</v>
      </c>
      <c r="T484">
        <v>3754.6379999999999</v>
      </c>
      <c r="U484">
        <v>119.18</v>
      </c>
      <c r="V484">
        <v>315.03899999999999</v>
      </c>
      <c r="W484" t="s">
        <v>412</v>
      </c>
      <c r="X484">
        <v>3.7</v>
      </c>
    </row>
    <row r="485" spans="1:24" x14ac:dyDescent="0.45">
      <c r="A485">
        <v>40</v>
      </c>
      <c r="B485">
        <v>40</v>
      </c>
      <c r="C485" t="s">
        <v>621</v>
      </c>
      <c r="D485" t="s">
        <v>414</v>
      </c>
      <c r="F485">
        <v>3.23</v>
      </c>
      <c r="G485">
        <v>658.13099999999997</v>
      </c>
      <c r="H485">
        <v>501.20299999999997</v>
      </c>
      <c r="I485">
        <v>13.131</v>
      </c>
      <c r="J485" t="s">
        <v>488</v>
      </c>
      <c r="K485">
        <v>0.3</v>
      </c>
      <c r="N485">
        <v>52</v>
      </c>
      <c r="O485">
        <v>52</v>
      </c>
      <c r="P485" t="s">
        <v>706</v>
      </c>
      <c r="Q485" t="s">
        <v>414</v>
      </c>
      <c r="S485">
        <v>3.23</v>
      </c>
      <c r="T485">
        <v>9122.7430000000004</v>
      </c>
      <c r="U485">
        <v>557.38400000000001</v>
      </c>
      <c r="V485">
        <v>163.67099999999999</v>
      </c>
      <c r="W485" t="s">
        <v>403</v>
      </c>
      <c r="X485">
        <v>2</v>
      </c>
    </row>
    <row r="486" spans="1:24" x14ac:dyDescent="0.45">
      <c r="A486">
        <v>41</v>
      </c>
      <c r="B486">
        <v>41</v>
      </c>
      <c r="C486" t="s">
        <v>622</v>
      </c>
      <c r="D486" t="s">
        <v>414</v>
      </c>
      <c r="F486">
        <v>3.23</v>
      </c>
      <c r="G486">
        <v>465.21899999999999</v>
      </c>
      <c r="H486">
        <v>306.83499999999998</v>
      </c>
      <c r="I486">
        <v>15.162000000000001</v>
      </c>
      <c r="J486" t="s">
        <v>488</v>
      </c>
      <c r="K486">
        <v>0.4</v>
      </c>
      <c r="N486">
        <v>53</v>
      </c>
      <c r="O486">
        <v>53</v>
      </c>
      <c r="P486" t="s">
        <v>707</v>
      </c>
      <c r="Q486" t="s">
        <v>414</v>
      </c>
      <c r="S486">
        <v>3.23</v>
      </c>
      <c r="T486">
        <v>8298.1329999999998</v>
      </c>
      <c r="U486">
        <v>600.09199999999998</v>
      </c>
      <c r="V486">
        <v>138.28100000000001</v>
      </c>
      <c r="W486" t="s">
        <v>488</v>
      </c>
      <c r="X486">
        <v>1.7</v>
      </c>
    </row>
    <row r="487" spans="1:24" x14ac:dyDescent="0.45">
      <c r="A487">
        <v>42</v>
      </c>
      <c r="B487">
        <v>42</v>
      </c>
      <c r="C487" t="s">
        <v>623</v>
      </c>
      <c r="D487" t="s">
        <v>414</v>
      </c>
      <c r="F487">
        <v>3.23</v>
      </c>
      <c r="G487">
        <v>1555.4110000000001</v>
      </c>
      <c r="H487">
        <v>481.10599999999999</v>
      </c>
      <c r="I487">
        <v>32.33</v>
      </c>
      <c r="J487" t="s">
        <v>488</v>
      </c>
      <c r="K487">
        <v>0.5</v>
      </c>
      <c r="N487">
        <v>54</v>
      </c>
      <c r="O487">
        <v>54</v>
      </c>
      <c r="P487" t="s">
        <v>708</v>
      </c>
      <c r="Q487" t="s">
        <v>414</v>
      </c>
      <c r="S487">
        <v>3.23</v>
      </c>
      <c r="T487">
        <v>4710.2129999999997</v>
      </c>
      <c r="U487">
        <v>493.702</v>
      </c>
      <c r="V487">
        <v>95.406000000000006</v>
      </c>
      <c r="W487" t="s">
        <v>412</v>
      </c>
      <c r="X487">
        <v>1.2</v>
      </c>
    </row>
    <row r="488" spans="1:24" x14ac:dyDescent="0.45">
      <c r="A488">
        <v>43</v>
      </c>
      <c r="B488">
        <v>43</v>
      </c>
      <c r="C488" t="s">
        <v>624</v>
      </c>
      <c r="D488" t="s">
        <v>414</v>
      </c>
      <c r="F488">
        <v>3.23</v>
      </c>
      <c r="G488">
        <v>1559.972</v>
      </c>
      <c r="H488">
        <v>735.45899999999995</v>
      </c>
      <c r="I488">
        <v>21.210999999999999</v>
      </c>
      <c r="J488" t="s">
        <v>488</v>
      </c>
      <c r="K488">
        <v>0.4</v>
      </c>
      <c r="N488">
        <v>55</v>
      </c>
      <c r="O488">
        <v>55</v>
      </c>
      <c r="P488" t="s">
        <v>709</v>
      </c>
      <c r="Q488" t="s">
        <v>414</v>
      </c>
      <c r="S488">
        <v>3.23</v>
      </c>
      <c r="T488">
        <v>6065.0069999999996</v>
      </c>
      <c r="U488">
        <v>519.45899999999995</v>
      </c>
      <c r="V488">
        <v>116.756</v>
      </c>
      <c r="W488" t="s">
        <v>415</v>
      </c>
      <c r="X488">
        <v>1.4</v>
      </c>
    </row>
    <row r="489" spans="1:24" x14ac:dyDescent="0.45">
      <c r="A489">
        <v>44</v>
      </c>
      <c r="B489">
        <v>44</v>
      </c>
      <c r="C489" t="s">
        <v>625</v>
      </c>
      <c r="D489" t="s">
        <v>414</v>
      </c>
      <c r="F489">
        <v>3.23</v>
      </c>
      <c r="G489">
        <v>2394.1129999999998</v>
      </c>
      <c r="H489">
        <v>652.15899999999999</v>
      </c>
      <c r="I489">
        <v>36.710999999999999</v>
      </c>
      <c r="J489" t="s">
        <v>415</v>
      </c>
      <c r="K489">
        <v>0.6</v>
      </c>
      <c r="N489">
        <v>56</v>
      </c>
      <c r="O489">
        <v>56</v>
      </c>
      <c r="P489" t="s">
        <v>710</v>
      </c>
      <c r="Q489" t="s">
        <v>414</v>
      </c>
      <c r="S489">
        <v>3.23</v>
      </c>
      <c r="T489">
        <v>5449.5439999999999</v>
      </c>
      <c r="U489">
        <v>812.58600000000001</v>
      </c>
      <c r="V489">
        <v>67.063999999999993</v>
      </c>
      <c r="W489" t="s">
        <v>403</v>
      </c>
      <c r="X489">
        <v>0.9</v>
      </c>
    </row>
    <row r="490" spans="1:24" x14ac:dyDescent="0.45">
      <c r="A490">
        <v>45</v>
      </c>
      <c r="B490">
        <v>45</v>
      </c>
      <c r="C490" t="s">
        <v>626</v>
      </c>
      <c r="D490" t="s">
        <v>414</v>
      </c>
      <c r="F490">
        <v>3.23</v>
      </c>
      <c r="G490">
        <v>2815.35</v>
      </c>
      <c r="H490">
        <v>304.887</v>
      </c>
      <c r="I490">
        <v>92.340999999999994</v>
      </c>
      <c r="J490" t="s">
        <v>488</v>
      </c>
      <c r="K490">
        <v>1.1000000000000001</v>
      </c>
      <c r="N490">
        <v>57</v>
      </c>
      <c r="O490">
        <v>57</v>
      </c>
      <c r="P490" t="s">
        <v>711</v>
      </c>
      <c r="Q490" t="s">
        <v>414</v>
      </c>
      <c r="S490">
        <v>3.23</v>
      </c>
      <c r="T490">
        <v>5629.9030000000002</v>
      </c>
      <c r="U490">
        <v>667.22199999999998</v>
      </c>
      <c r="V490">
        <v>84.378</v>
      </c>
      <c r="W490" t="s">
        <v>401</v>
      </c>
      <c r="X490">
        <v>1.1000000000000001</v>
      </c>
    </row>
    <row r="491" spans="1:24" x14ac:dyDescent="0.45">
      <c r="A491">
        <v>46</v>
      </c>
      <c r="B491">
        <v>46</v>
      </c>
      <c r="C491" t="s">
        <v>627</v>
      </c>
      <c r="D491" t="s">
        <v>414</v>
      </c>
      <c r="F491">
        <v>3.23</v>
      </c>
      <c r="G491">
        <v>5834.5</v>
      </c>
      <c r="H491">
        <v>519.28599999999994</v>
      </c>
      <c r="I491">
        <v>112.35599999999999</v>
      </c>
      <c r="J491" t="s">
        <v>488</v>
      </c>
      <c r="K491">
        <v>1.2</v>
      </c>
      <c r="N491">
        <v>58</v>
      </c>
      <c r="O491">
        <v>58</v>
      </c>
      <c r="P491" t="s">
        <v>712</v>
      </c>
      <c r="Q491" t="s">
        <v>414</v>
      </c>
      <c r="S491">
        <v>3.23</v>
      </c>
      <c r="T491">
        <v>825.88800000000003</v>
      </c>
      <c r="U491">
        <v>660.93</v>
      </c>
      <c r="V491">
        <v>12.496</v>
      </c>
      <c r="W491" t="s">
        <v>488</v>
      </c>
      <c r="X491">
        <v>0.2</v>
      </c>
    </row>
    <row r="492" spans="1:24" x14ac:dyDescent="0.45">
      <c r="A492">
        <v>47</v>
      </c>
      <c r="B492">
        <v>47</v>
      </c>
      <c r="C492" t="s">
        <v>628</v>
      </c>
      <c r="D492" t="s">
        <v>414</v>
      </c>
      <c r="F492">
        <v>3.23</v>
      </c>
      <c r="G492">
        <v>6043.0730000000003</v>
      </c>
      <c r="H492">
        <v>718.22500000000002</v>
      </c>
      <c r="I492">
        <v>84.138999999999996</v>
      </c>
      <c r="J492" t="s">
        <v>415</v>
      </c>
      <c r="K492">
        <v>1</v>
      </c>
      <c r="N492">
        <v>59</v>
      </c>
      <c r="O492">
        <v>59</v>
      </c>
      <c r="P492" t="s">
        <v>713</v>
      </c>
      <c r="Q492" t="s">
        <v>414</v>
      </c>
      <c r="S492">
        <v>3.24</v>
      </c>
      <c r="T492">
        <v>566.12699999999995</v>
      </c>
      <c r="U492">
        <v>214.55699999999999</v>
      </c>
      <c r="V492">
        <v>26.385999999999999</v>
      </c>
      <c r="W492" t="s">
        <v>412</v>
      </c>
      <c r="X492">
        <v>0.4</v>
      </c>
    </row>
    <row r="493" spans="1:24" x14ac:dyDescent="0.45">
      <c r="A493">
        <v>48</v>
      </c>
      <c r="B493">
        <v>48</v>
      </c>
      <c r="C493" t="s">
        <v>629</v>
      </c>
      <c r="D493" t="s">
        <v>414</v>
      </c>
      <c r="F493">
        <v>3.23</v>
      </c>
      <c r="G493">
        <v>5969.1149999999998</v>
      </c>
      <c r="H493">
        <v>492.16899999999998</v>
      </c>
      <c r="I493">
        <v>121.282</v>
      </c>
      <c r="J493" t="s">
        <v>415</v>
      </c>
      <c r="K493">
        <v>1.3</v>
      </c>
      <c r="N493">
        <v>60</v>
      </c>
      <c r="O493">
        <v>60</v>
      </c>
      <c r="P493" t="s">
        <v>714</v>
      </c>
      <c r="Q493" t="s">
        <v>414</v>
      </c>
      <c r="S493">
        <v>3.23</v>
      </c>
      <c r="T493">
        <v>2903.558</v>
      </c>
      <c r="U493">
        <v>305.678</v>
      </c>
      <c r="V493">
        <v>94.986999999999995</v>
      </c>
      <c r="W493" t="s">
        <v>403</v>
      </c>
      <c r="X493">
        <v>1.2</v>
      </c>
    </row>
    <row r="494" spans="1:24" x14ac:dyDescent="0.45">
      <c r="A494">
        <v>49</v>
      </c>
      <c r="B494">
        <v>49</v>
      </c>
      <c r="C494" t="s">
        <v>630</v>
      </c>
      <c r="D494" t="s">
        <v>414</v>
      </c>
      <c r="F494">
        <v>3.23</v>
      </c>
      <c r="G494">
        <v>10856.555</v>
      </c>
      <c r="H494">
        <v>531.19899999999996</v>
      </c>
      <c r="I494">
        <v>204.37799999999999</v>
      </c>
      <c r="J494" t="s">
        <v>415</v>
      </c>
      <c r="K494">
        <v>2.1</v>
      </c>
      <c r="N494">
        <v>61</v>
      </c>
      <c r="O494">
        <v>61</v>
      </c>
      <c r="P494" t="s">
        <v>715</v>
      </c>
      <c r="Q494" t="s">
        <v>414</v>
      </c>
      <c r="S494">
        <v>3.23</v>
      </c>
      <c r="T494">
        <v>4191.3559999999998</v>
      </c>
      <c r="U494">
        <v>522.17899999999997</v>
      </c>
      <c r="V494">
        <v>80.266999999999996</v>
      </c>
      <c r="W494" t="s">
        <v>488</v>
      </c>
      <c r="X494">
        <v>1</v>
      </c>
    </row>
    <row r="495" spans="1:24" x14ac:dyDescent="0.45">
      <c r="A495">
        <v>50</v>
      </c>
      <c r="B495">
        <v>50</v>
      </c>
      <c r="C495" t="s">
        <v>631</v>
      </c>
      <c r="D495" t="s">
        <v>414</v>
      </c>
      <c r="F495">
        <v>3.24</v>
      </c>
      <c r="G495">
        <v>2578.5990000000002</v>
      </c>
      <c r="H495">
        <v>422.55</v>
      </c>
      <c r="I495">
        <v>61.024999999999999</v>
      </c>
      <c r="J495" t="s">
        <v>488</v>
      </c>
      <c r="K495">
        <v>0.8</v>
      </c>
      <c r="N495">
        <v>62</v>
      </c>
      <c r="O495">
        <v>62</v>
      </c>
      <c r="P495" t="s">
        <v>716</v>
      </c>
      <c r="Q495" t="s">
        <v>414</v>
      </c>
      <c r="S495">
        <v>3.23</v>
      </c>
      <c r="T495">
        <v>2170.2550000000001</v>
      </c>
      <c r="U495">
        <v>331.78899999999999</v>
      </c>
      <c r="V495">
        <v>65.411000000000001</v>
      </c>
      <c r="W495" t="s">
        <v>488</v>
      </c>
      <c r="X495">
        <v>0.9</v>
      </c>
    </row>
    <row r="496" spans="1:24" x14ac:dyDescent="0.45">
      <c r="A496">
        <v>51</v>
      </c>
      <c r="B496">
        <v>51</v>
      </c>
      <c r="C496" t="s">
        <v>632</v>
      </c>
      <c r="D496" t="s">
        <v>414</v>
      </c>
      <c r="F496">
        <v>3.23</v>
      </c>
      <c r="G496">
        <v>2039.6110000000001</v>
      </c>
      <c r="H496">
        <v>312.108</v>
      </c>
      <c r="I496">
        <v>65.349999999999994</v>
      </c>
      <c r="J496" t="s">
        <v>488</v>
      </c>
      <c r="K496">
        <v>0.8</v>
      </c>
      <c r="N496">
        <v>63</v>
      </c>
      <c r="O496">
        <v>63</v>
      </c>
      <c r="P496" t="s">
        <v>717</v>
      </c>
      <c r="Q496" t="s">
        <v>414</v>
      </c>
      <c r="S496">
        <v>3.23</v>
      </c>
      <c r="T496">
        <v>4304.2659999999996</v>
      </c>
      <c r="U496">
        <v>764.67399999999998</v>
      </c>
      <c r="V496">
        <v>56.289000000000001</v>
      </c>
      <c r="W496" t="s">
        <v>403</v>
      </c>
      <c r="X496">
        <v>0.7</v>
      </c>
    </row>
    <row r="497" spans="1:25" x14ac:dyDescent="0.45">
      <c r="A497">
        <v>52</v>
      </c>
      <c r="B497">
        <v>52</v>
      </c>
      <c r="C497" t="s">
        <v>633</v>
      </c>
      <c r="D497" t="s">
        <v>414</v>
      </c>
      <c r="F497">
        <v>3.23</v>
      </c>
      <c r="G497">
        <v>5120.7960000000003</v>
      </c>
      <c r="H497">
        <v>634.79700000000003</v>
      </c>
      <c r="I497">
        <v>80.668000000000006</v>
      </c>
      <c r="J497" t="s">
        <v>488</v>
      </c>
      <c r="K497">
        <v>1</v>
      </c>
      <c r="N497">
        <v>64</v>
      </c>
      <c r="O497">
        <v>64</v>
      </c>
      <c r="P497" t="s">
        <v>718</v>
      </c>
      <c r="Q497" t="s">
        <v>414</v>
      </c>
      <c r="S497">
        <v>3.23</v>
      </c>
      <c r="T497">
        <v>5908.4390000000003</v>
      </c>
      <c r="U497">
        <v>491.983</v>
      </c>
      <c r="V497">
        <v>120.09399999999999</v>
      </c>
      <c r="W497" t="s">
        <v>412</v>
      </c>
      <c r="X497">
        <v>1.5</v>
      </c>
    </row>
    <row r="498" spans="1:25" x14ac:dyDescent="0.45">
      <c r="A498">
        <v>53</v>
      </c>
      <c r="B498">
        <v>53</v>
      </c>
      <c r="C498" t="s">
        <v>634</v>
      </c>
      <c r="D498" t="s">
        <v>414</v>
      </c>
      <c r="F498">
        <v>3.23</v>
      </c>
      <c r="G498">
        <v>5949.4740000000002</v>
      </c>
      <c r="H498">
        <v>499.18400000000003</v>
      </c>
      <c r="I498">
        <v>119.184</v>
      </c>
      <c r="J498" t="s">
        <v>415</v>
      </c>
      <c r="K498">
        <v>1.3</v>
      </c>
      <c r="N498">
        <v>65</v>
      </c>
      <c r="O498">
        <v>65</v>
      </c>
      <c r="P498" t="s">
        <v>719</v>
      </c>
      <c r="Q498" t="s">
        <v>414</v>
      </c>
      <c r="S498">
        <v>3.23</v>
      </c>
      <c r="T498">
        <v>2089.7869999999998</v>
      </c>
      <c r="U498">
        <v>186.99100000000001</v>
      </c>
      <c r="V498">
        <v>111.759</v>
      </c>
      <c r="W498" t="s">
        <v>415</v>
      </c>
      <c r="X498">
        <v>1.4</v>
      </c>
    </row>
    <row r="499" spans="1:25" x14ac:dyDescent="0.45">
      <c r="A499">
        <v>54</v>
      </c>
      <c r="B499">
        <v>54</v>
      </c>
      <c r="C499" t="s">
        <v>635</v>
      </c>
      <c r="D499" t="s">
        <v>414</v>
      </c>
      <c r="F499">
        <v>3.23</v>
      </c>
      <c r="G499">
        <v>9235.8279999999995</v>
      </c>
      <c r="H499">
        <v>256.32100000000003</v>
      </c>
      <c r="I499">
        <v>360.32299999999998</v>
      </c>
      <c r="J499" t="s">
        <v>415</v>
      </c>
      <c r="K499">
        <v>3.5</v>
      </c>
      <c r="N499">
        <v>66</v>
      </c>
      <c r="O499">
        <v>66</v>
      </c>
      <c r="P499" t="s">
        <v>720</v>
      </c>
      <c r="Q499" t="s">
        <v>414</v>
      </c>
      <c r="S499">
        <v>3.23</v>
      </c>
      <c r="T499">
        <v>1182.0419999999999</v>
      </c>
      <c r="U499">
        <v>717.26199999999994</v>
      </c>
      <c r="V499">
        <v>16.48</v>
      </c>
      <c r="W499" t="s">
        <v>488</v>
      </c>
      <c r="X499">
        <v>0.3</v>
      </c>
    </row>
    <row r="500" spans="1:25" x14ac:dyDescent="0.45">
      <c r="A500">
        <v>55</v>
      </c>
      <c r="B500">
        <v>55</v>
      </c>
      <c r="C500" t="s">
        <v>636</v>
      </c>
      <c r="D500" t="s">
        <v>414</v>
      </c>
      <c r="F500">
        <v>3.23</v>
      </c>
      <c r="G500">
        <v>12037.034</v>
      </c>
      <c r="H500">
        <v>526.49699999999996</v>
      </c>
      <c r="I500">
        <v>228.625</v>
      </c>
      <c r="J500" t="s">
        <v>415</v>
      </c>
      <c r="K500">
        <v>2.2999999999999998</v>
      </c>
      <c r="N500">
        <v>67</v>
      </c>
      <c r="O500">
        <v>67</v>
      </c>
      <c r="P500" t="s">
        <v>721</v>
      </c>
      <c r="Q500" t="s">
        <v>414</v>
      </c>
      <c r="S500">
        <v>3.23</v>
      </c>
      <c r="T500">
        <v>1359.9359999999999</v>
      </c>
      <c r="U500">
        <v>816.5</v>
      </c>
      <c r="V500">
        <v>16.655999999999999</v>
      </c>
      <c r="W500" t="s">
        <v>488</v>
      </c>
      <c r="X500">
        <v>0.3</v>
      </c>
    </row>
    <row r="501" spans="1:25" x14ac:dyDescent="0.45">
      <c r="A501">
        <v>56</v>
      </c>
      <c r="B501">
        <v>56</v>
      </c>
      <c r="C501" t="s">
        <v>637</v>
      </c>
      <c r="D501" t="s">
        <v>414</v>
      </c>
      <c r="F501">
        <v>3.23</v>
      </c>
      <c r="G501">
        <v>18458.715</v>
      </c>
      <c r="H501">
        <v>618.45799999999997</v>
      </c>
      <c r="I501">
        <v>298.464</v>
      </c>
      <c r="J501" t="s">
        <v>488</v>
      </c>
      <c r="K501">
        <v>2.9</v>
      </c>
    </row>
    <row r="502" spans="1:25" x14ac:dyDescent="0.45">
      <c r="A502">
        <v>57</v>
      </c>
      <c r="B502">
        <v>57</v>
      </c>
      <c r="C502" t="s">
        <v>638</v>
      </c>
      <c r="D502" t="s">
        <v>414</v>
      </c>
      <c r="F502">
        <v>3.23</v>
      </c>
      <c r="G502">
        <v>7895.9920000000002</v>
      </c>
      <c r="H502">
        <v>280.62799999999999</v>
      </c>
      <c r="I502">
        <v>281.36900000000003</v>
      </c>
      <c r="J502" t="s">
        <v>415</v>
      </c>
      <c r="K502">
        <v>2.8</v>
      </c>
      <c r="N502" t="s">
        <v>492</v>
      </c>
    </row>
    <row r="503" spans="1:25" x14ac:dyDescent="0.45">
      <c r="A503">
        <v>58</v>
      </c>
      <c r="B503">
        <v>58</v>
      </c>
      <c r="C503" t="s">
        <v>639</v>
      </c>
      <c r="D503" t="s">
        <v>414</v>
      </c>
      <c r="F503">
        <v>3.23</v>
      </c>
      <c r="G503">
        <v>1147.3109999999999</v>
      </c>
      <c r="H503">
        <v>222.76300000000001</v>
      </c>
      <c r="I503">
        <v>51.503999999999998</v>
      </c>
      <c r="J503" t="s">
        <v>488</v>
      </c>
      <c r="K503">
        <v>0.7</v>
      </c>
    </row>
    <row r="504" spans="1:25" x14ac:dyDescent="0.45">
      <c r="A504">
        <v>59</v>
      </c>
      <c r="B504">
        <v>59</v>
      </c>
      <c r="C504" t="s">
        <v>640</v>
      </c>
      <c r="D504" t="s">
        <v>414</v>
      </c>
      <c r="F504">
        <v>3.23</v>
      </c>
      <c r="G504">
        <v>2533.5160000000001</v>
      </c>
      <c r="H504">
        <v>353.70400000000001</v>
      </c>
      <c r="I504">
        <v>71.628</v>
      </c>
      <c r="J504" t="s">
        <v>415</v>
      </c>
      <c r="K504">
        <v>0.9</v>
      </c>
      <c r="O504" t="s">
        <v>389</v>
      </c>
      <c r="P504" t="s">
        <v>123</v>
      </c>
      <c r="Q504" t="s">
        <v>390</v>
      </c>
      <c r="R504" t="s">
        <v>391</v>
      </c>
      <c r="S504" t="s">
        <v>392</v>
      </c>
      <c r="T504" t="s">
        <v>393</v>
      </c>
      <c r="U504" t="s">
        <v>394</v>
      </c>
      <c r="V504" t="s">
        <v>395</v>
      </c>
      <c r="W504" t="s">
        <v>396</v>
      </c>
      <c r="X504" t="s">
        <v>397</v>
      </c>
      <c r="Y504" t="s">
        <v>398</v>
      </c>
    </row>
    <row r="505" spans="1:25" x14ac:dyDescent="0.45">
      <c r="A505">
        <v>60</v>
      </c>
      <c r="B505">
        <v>60</v>
      </c>
      <c r="C505" t="s">
        <v>641</v>
      </c>
      <c r="D505" t="s">
        <v>414</v>
      </c>
      <c r="F505">
        <v>3.23</v>
      </c>
      <c r="G505">
        <v>2786.248</v>
      </c>
      <c r="H505">
        <v>335.43</v>
      </c>
      <c r="I505">
        <v>83.064999999999998</v>
      </c>
      <c r="J505" t="s">
        <v>488</v>
      </c>
      <c r="K505">
        <v>1</v>
      </c>
      <c r="N505">
        <v>1</v>
      </c>
      <c r="O505">
        <v>1</v>
      </c>
      <c r="P505" t="s">
        <v>655</v>
      </c>
      <c r="Q505" t="s">
        <v>400</v>
      </c>
      <c r="R505">
        <v>0.05</v>
      </c>
      <c r="S505">
        <v>3.75</v>
      </c>
      <c r="T505">
        <v>110.529</v>
      </c>
      <c r="U505">
        <v>837.29200000000003</v>
      </c>
      <c r="V505">
        <v>1.32</v>
      </c>
      <c r="W505" t="s">
        <v>403</v>
      </c>
      <c r="X505">
        <v>0.1</v>
      </c>
      <c r="Y505">
        <v>32.6</v>
      </c>
    </row>
    <row r="506" spans="1:25" x14ac:dyDescent="0.45">
      <c r="A506">
        <v>61</v>
      </c>
      <c r="B506">
        <v>61</v>
      </c>
      <c r="C506" t="s">
        <v>642</v>
      </c>
      <c r="D506" t="s">
        <v>414</v>
      </c>
      <c r="F506">
        <v>3.23</v>
      </c>
      <c r="G506">
        <v>2569.8980000000001</v>
      </c>
      <c r="H506">
        <v>461.29399999999998</v>
      </c>
      <c r="I506">
        <v>55.710999999999999</v>
      </c>
      <c r="J506" t="s">
        <v>488</v>
      </c>
      <c r="K506">
        <v>0.7</v>
      </c>
      <c r="N506">
        <v>2</v>
      </c>
      <c r="O506">
        <v>2</v>
      </c>
      <c r="P506" t="s">
        <v>656</v>
      </c>
      <c r="Q506" t="s">
        <v>400</v>
      </c>
      <c r="R506">
        <v>0.5</v>
      </c>
      <c r="S506">
        <v>3.72</v>
      </c>
      <c r="T506">
        <v>243.423</v>
      </c>
      <c r="U506">
        <v>947.03899999999999</v>
      </c>
      <c r="V506">
        <v>2.57</v>
      </c>
      <c r="W506" t="s">
        <v>488</v>
      </c>
      <c r="X506">
        <v>0.4</v>
      </c>
      <c r="Y506">
        <v>-18.100000000000001</v>
      </c>
    </row>
    <row r="507" spans="1:25" x14ac:dyDescent="0.45">
      <c r="A507">
        <v>62</v>
      </c>
      <c r="B507">
        <v>62</v>
      </c>
      <c r="C507" t="s">
        <v>643</v>
      </c>
      <c r="D507" t="s">
        <v>414</v>
      </c>
      <c r="F507">
        <v>3.23</v>
      </c>
      <c r="G507">
        <v>1001.675</v>
      </c>
      <c r="H507">
        <v>740.23599999999999</v>
      </c>
      <c r="I507">
        <v>13.532</v>
      </c>
      <c r="J507" t="s">
        <v>488</v>
      </c>
      <c r="K507">
        <v>0.3</v>
      </c>
      <c r="N507">
        <v>3</v>
      </c>
      <c r="O507">
        <v>3</v>
      </c>
      <c r="P507" t="s">
        <v>657</v>
      </c>
      <c r="Q507" t="s">
        <v>400</v>
      </c>
      <c r="R507">
        <v>1.25</v>
      </c>
      <c r="S507">
        <v>3.72</v>
      </c>
      <c r="T507">
        <v>556.83000000000004</v>
      </c>
      <c r="U507">
        <v>903.01199999999994</v>
      </c>
      <c r="V507">
        <v>6.1660000000000004</v>
      </c>
      <c r="W507" t="s">
        <v>403</v>
      </c>
      <c r="X507">
        <v>1.4</v>
      </c>
      <c r="Y507">
        <v>11.7</v>
      </c>
    </row>
    <row r="508" spans="1:25" x14ac:dyDescent="0.45">
      <c r="A508">
        <v>63</v>
      </c>
      <c r="B508">
        <v>63</v>
      </c>
      <c r="C508" t="s">
        <v>644</v>
      </c>
      <c r="D508" t="s">
        <v>414</v>
      </c>
      <c r="F508">
        <v>3.23</v>
      </c>
      <c r="G508">
        <v>919.90599999999995</v>
      </c>
      <c r="H508">
        <v>304.80200000000002</v>
      </c>
      <c r="I508">
        <v>30.18</v>
      </c>
      <c r="J508" t="s">
        <v>488</v>
      </c>
      <c r="K508">
        <v>0.5</v>
      </c>
      <c r="N508">
        <v>4</v>
      </c>
      <c r="O508">
        <v>4</v>
      </c>
      <c r="P508" t="s">
        <v>658</v>
      </c>
      <c r="Q508" t="s">
        <v>400</v>
      </c>
      <c r="R508">
        <v>2.5</v>
      </c>
      <c r="S508">
        <v>3.73</v>
      </c>
      <c r="T508">
        <v>1117.6849999999999</v>
      </c>
      <c r="U508">
        <v>1017.884</v>
      </c>
      <c r="V508">
        <v>10.98</v>
      </c>
      <c r="W508" t="s">
        <v>403</v>
      </c>
      <c r="X508">
        <v>2.7</v>
      </c>
      <c r="Y508">
        <v>8.6999999999999993</v>
      </c>
    </row>
    <row r="509" spans="1:25" x14ac:dyDescent="0.45">
      <c r="A509">
        <v>64</v>
      </c>
      <c r="B509">
        <v>64</v>
      </c>
      <c r="C509" t="s">
        <v>645</v>
      </c>
      <c r="D509" t="s">
        <v>414</v>
      </c>
      <c r="F509">
        <v>3.23</v>
      </c>
      <c r="G509">
        <v>1151.7560000000001</v>
      </c>
      <c r="H509">
        <v>297.88499999999999</v>
      </c>
      <c r="I509">
        <v>38.664000000000001</v>
      </c>
      <c r="J509" t="s">
        <v>488</v>
      </c>
      <c r="K509">
        <v>0.6</v>
      </c>
      <c r="N509">
        <v>5</v>
      </c>
      <c r="O509">
        <v>5</v>
      </c>
      <c r="P509" t="s">
        <v>659</v>
      </c>
      <c r="Q509" t="s">
        <v>400</v>
      </c>
      <c r="R509">
        <v>3.5</v>
      </c>
      <c r="S509">
        <v>3.73</v>
      </c>
      <c r="T509">
        <v>1106.777</v>
      </c>
      <c r="U509">
        <v>838.71799999999996</v>
      </c>
      <c r="V509">
        <v>13.196</v>
      </c>
      <c r="W509" t="s">
        <v>401</v>
      </c>
      <c r="X509">
        <v>3.3</v>
      </c>
      <c r="Y509">
        <v>-5</v>
      </c>
    </row>
    <row r="510" spans="1:25" x14ac:dyDescent="0.45">
      <c r="A510">
        <v>65</v>
      </c>
      <c r="B510">
        <v>65</v>
      </c>
      <c r="C510" t="s">
        <v>646</v>
      </c>
      <c r="D510" t="s">
        <v>414</v>
      </c>
      <c r="F510">
        <v>3.23</v>
      </c>
      <c r="G510">
        <v>1191.9010000000001</v>
      </c>
      <c r="H510">
        <v>343.589</v>
      </c>
      <c r="I510">
        <v>34.69</v>
      </c>
      <c r="J510" t="s">
        <v>488</v>
      </c>
      <c r="K510">
        <v>0.5</v>
      </c>
      <c r="N510">
        <v>6</v>
      </c>
      <c r="O510">
        <v>6</v>
      </c>
      <c r="P510" t="s">
        <v>660</v>
      </c>
      <c r="Q510" t="s">
        <v>400</v>
      </c>
      <c r="R510">
        <v>5</v>
      </c>
      <c r="S510">
        <v>3.73</v>
      </c>
      <c r="T510">
        <v>1641.691</v>
      </c>
      <c r="U510">
        <v>915.30600000000004</v>
      </c>
      <c r="V510">
        <v>17.936</v>
      </c>
      <c r="W510" t="s">
        <v>403</v>
      </c>
      <c r="X510">
        <v>4.5999999999999996</v>
      </c>
      <c r="Y510">
        <v>-7.4</v>
      </c>
    </row>
    <row r="511" spans="1:25" x14ac:dyDescent="0.45">
      <c r="A511">
        <v>66</v>
      </c>
      <c r="B511">
        <v>66</v>
      </c>
      <c r="C511" t="s">
        <v>647</v>
      </c>
      <c r="D511" t="s">
        <v>414</v>
      </c>
      <c r="F511">
        <v>3.23</v>
      </c>
      <c r="G511">
        <v>3658.2869999999998</v>
      </c>
      <c r="H511">
        <v>489.92200000000003</v>
      </c>
      <c r="I511">
        <v>74.671000000000006</v>
      </c>
      <c r="J511" t="s">
        <v>488</v>
      </c>
      <c r="K511">
        <v>0.9</v>
      </c>
      <c r="N511">
        <v>7</v>
      </c>
      <c r="O511">
        <v>7</v>
      </c>
      <c r="P511" t="s">
        <v>661</v>
      </c>
      <c r="Q511" t="s">
        <v>400</v>
      </c>
      <c r="R511">
        <v>7</v>
      </c>
      <c r="S511">
        <v>3.73</v>
      </c>
      <c r="T511">
        <v>2395.88</v>
      </c>
      <c r="U511">
        <v>871.08100000000002</v>
      </c>
      <c r="V511">
        <v>27.504999999999999</v>
      </c>
      <c r="W511" t="s">
        <v>488</v>
      </c>
      <c r="X511">
        <v>7.3</v>
      </c>
      <c r="Y511">
        <v>3.6</v>
      </c>
    </row>
    <row r="512" spans="1:25" x14ac:dyDescent="0.45">
      <c r="A512">
        <v>67</v>
      </c>
      <c r="B512">
        <v>67</v>
      </c>
      <c r="C512" t="s">
        <v>648</v>
      </c>
      <c r="D512" t="s">
        <v>414</v>
      </c>
      <c r="F512">
        <v>3.23</v>
      </c>
      <c r="G512">
        <v>2810.4369999999999</v>
      </c>
      <c r="H512">
        <v>263.76499999999999</v>
      </c>
      <c r="I512">
        <v>106.551</v>
      </c>
      <c r="J512" t="s">
        <v>488</v>
      </c>
      <c r="K512">
        <v>1.2</v>
      </c>
      <c r="N512">
        <v>8</v>
      </c>
      <c r="O512">
        <v>8</v>
      </c>
      <c r="P512" t="s">
        <v>662</v>
      </c>
      <c r="Q512" t="s">
        <v>414</v>
      </c>
      <c r="S512">
        <v>3.73</v>
      </c>
      <c r="T512">
        <v>6883.8879999999999</v>
      </c>
      <c r="U512">
        <v>431.01499999999999</v>
      </c>
      <c r="V512">
        <v>159.71299999999999</v>
      </c>
      <c r="W512" t="s">
        <v>401</v>
      </c>
      <c r="X512">
        <v>43.5</v>
      </c>
    </row>
    <row r="513" spans="1:24" x14ac:dyDescent="0.45">
      <c r="A513">
        <v>68</v>
      </c>
      <c r="B513">
        <v>68</v>
      </c>
      <c r="C513" t="s">
        <v>649</v>
      </c>
      <c r="D513" t="s">
        <v>414</v>
      </c>
      <c r="F513">
        <v>3.23</v>
      </c>
      <c r="G513">
        <v>2569.8829999999998</v>
      </c>
      <c r="H513">
        <v>316.54700000000003</v>
      </c>
      <c r="I513">
        <v>81.185000000000002</v>
      </c>
      <c r="J513" t="s">
        <v>488</v>
      </c>
      <c r="K513">
        <v>1</v>
      </c>
      <c r="N513">
        <v>9</v>
      </c>
      <c r="O513">
        <v>9</v>
      </c>
      <c r="P513" t="s">
        <v>663</v>
      </c>
      <c r="Q513" t="s">
        <v>414</v>
      </c>
      <c r="S513">
        <v>3.73</v>
      </c>
      <c r="T513">
        <v>5121.915</v>
      </c>
      <c r="U513">
        <v>430.59500000000003</v>
      </c>
      <c r="V513">
        <v>118.95</v>
      </c>
      <c r="W513" t="s">
        <v>401</v>
      </c>
      <c r="X513">
        <v>32.4</v>
      </c>
    </row>
    <row r="514" spans="1:24" x14ac:dyDescent="0.45">
      <c r="A514">
        <v>69</v>
      </c>
      <c r="B514">
        <v>69</v>
      </c>
      <c r="C514" t="s">
        <v>650</v>
      </c>
      <c r="D514" t="s">
        <v>414</v>
      </c>
      <c r="F514">
        <v>3.23</v>
      </c>
      <c r="G514">
        <v>4290.9290000000001</v>
      </c>
      <c r="H514">
        <v>567.75800000000004</v>
      </c>
      <c r="I514">
        <v>75.576999999999998</v>
      </c>
      <c r="J514" t="s">
        <v>415</v>
      </c>
      <c r="K514">
        <v>0.9</v>
      </c>
      <c r="N514">
        <v>10</v>
      </c>
      <c r="O514">
        <v>10</v>
      </c>
      <c r="P514" t="s">
        <v>664</v>
      </c>
      <c r="Q514" t="s">
        <v>414</v>
      </c>
      <c r="S514">
        <v>3.73</v>
      </c>
      <c r="T514">
        <v>6179.152</v>
      </c>
      <c r="U514">
        <v>471.29199999999997</v>
      </c>
      <c r="V514">
        <v>131.11099999999999</v>
      </c>
      <c r="W514" t="s">
        <v>488</v>
      </c>
      <c r="X514">
        <v>35.700000000000003</v>
      </c>
    </row>
    <row r="515" spans="1:24" x14ac:dyDescent="0.45">
      <c r="N515">
        <v>11</v>
      </c>
      <c r="O515">
        <v>11</v>
      </c>
      <c r="P515" t="s">
        <v>665</v>
      </c>
      <c r="Q515" t="s">
        <v>414</v>
      </c>
      <c r="S515">
        <v>3.73</v>
      </c>
      <c r="T515">
        <v>3934.1030000000001</v>
      </c>
      <c r="U515">
        <v>247.33699999999999</v>
      </c>
      <c r="V515">
        <v>159.05799999999999</v>
      </c>
      <c r="W515" t="s">
        <v>401</v>
      </c>
      <c r="X515">
        <v>43.4</v>
      </c>
    </row>
    <row r="516" spans="1:24" x14ac:dyDescent="0.45">
      <c r="A516" t="s">
        <v>492</v>
      </c>
      <c r="N516">
        <v>12</v>
      </c>
      <c r="O516">
        <v>12</v>
      </c>
      <c r="P516" t="s">
        <v>666</v>
      </c>
      <c r="Q516" t="s">
        <v>414</v>
      </c>
      <c r="S516">
        <v>3.73</v>
      </c>
      <c r="T516">
        <v>5374.2169999999996</v>
      </c>
      <c r="U516">
        <v>341.72300000000001</v>
      </c>
      <c r="V516">
        <v>157.268</v>
      </c>
      <c r="W516" t="s">
        <v>403</v>
      </c>
      <c r="X516">
        <v>42.9</v>
      </c>
    </row>
    <row r="517" spans="1:24" x14ac:dyDescent="0.45">
      <c r="N517">
        <v>13</v>
      </c>
      <c r="O517">
        <v>13</v>
      </c>
      <c r="P517" t="s">
        <v>667</v>
      </c>
      <c r="Q517" t="s">
        <v>414</v>
      </c>
      <c r="S517">
        <v>3.73</v>
      </c>
      <c r="T517">
        <v>4619.0959999999995</v>
      </c>
      <c r="U517">
        <v>291.31900000000002</v>
      </c>
      <c r="V517">
        <v>158.55799999999999</v>
      </c>
      <c r="W517" t="s">
        <v>488</v>
      </c>
      <c r="X517">
        <v>43.2</v>
      </c>
    </row>
    <row r="518" spans="1:24" x14ac:dyDescent="0.45">
      <c r="B518" t="s">
        <v>389</v>
      </c>
      <c r="C518" t="s">
        <v>123</v>
      </c>
      <c r="D518" t="s">
        <v>390</v>
      </c>
      <c r="E518" t="s">
        <v>391</v>
      </c>
      <c r="F518" t="s">
        <v>392</v>
      </c>
      <c r="G518" t="s">
        <v>393</v>
      </c>
      <c r="H518" t="s">
        <v>394</v>
      </c>
      <c r="I518" t="s">
        <v>395</v>
      </c>
      <c r="J518" t="s">
        <v>396</v>
      </c>
      <c r="K518" t="s">
        <v>397</v>
      </c>
      <c r="L518" t="s">
        <v>398</v>
      </c>
      <c r="N518">
        <v>14</v>
      </c>
      <c r="O518">
        <v>14</v>
      </c>
      <c r="P518" t="s">
        <v>668</v>
      </c>
      <c r="Q518" t="s">
        <v>414</v>
      </c>
      <c r="S518">
        <v>3.73</v>
      </c>
      <c r="T518">
        <v>2827.058</v>
      </c>
      <c r="U518">
        <v>347.24799999999999</v>
      </c>
      <c r="V518">
        <v>81.412999999999997</v>
      </c>
      <c r="W518" t="s">
        <v>488</v>
      </c>
      <c r="X518">
        <v>22.1</v>
      </c>
    </row>
    <row r="519" spans="1:24" x14ac:dyDescent="0.45">
      <c r="A519">
        <v>1</v>
      </c>
      <c r="B519">
        <v>1</v>
      </c>
      <c r="C519" t="s">
        <v>582</v>
      </c>
      <c r="D519" t="s">
        <v>400</v>
      </c>
      <c r="E519">
        <v>0.05</v>
      </c>
      <c r="F519">
        <v>3.73</v>
      </c>
      <c r="G519">
        <v>157.66</v>
      </c>
      <c r="H519">
        <v>597.56899999999996</v>
      </c>
      <c r="I519">
        <v>2.6379999999999999</v>
      </c>
      <c r="J519" t="s">
        <v>493</v>
      </c>
      <c r="K519">
        <v>1.6</v>
      </c>
      <c r="L519">
        <v>3075</v>
      </c>
      <c r="N519">
        <v>15</v>
      </c>
      <c r="O519">
        <v>15</v>
      </c>
      <c r="P519" t="s">
        <v>669</v>
      </c>
      <c r="Q519" t="s">
        <v>414</v>
      </c>
      <c r="S519">
        <v>3.73</v>
      </c>
      <c r="T519">
        <v>2124.4589999999998</v>
      </c>
      <c r="U519">
        <v>248.83</v>
      </c>
      <c r="V519">
        <v>85.378</v>
      </c>
      <c r="W519" t="s">
        <v>488</v>
      </c>
      <c r="X519">
        <v>23.1</v>
      </c>
    </row>
    <row r="520" spans="1:24" x14ac:dyDescent="0.45">
      <c r="A520">
        <v>2</v>
      </c>
      <c r="B520">
        <v>2</v>
      </c>
      <c r="C520" t="s">
        <v>583</v>
      </c>
      <c r="D520" t="s">
        <v>400</v>
      </c>
      <c r="E520">
        <v>0.5</v>
      </c>
      <c r="F520">
        <v>3.73</v>
      </c>
      <c r="G520">
        <v>82.402000000000001</v>
      </c>
      <c r="H520">
        <v>748.26800000000003</v>
      </c>
      <c r="I520">
        <v>1.101</v>
      </c>
      <c r="J520" t="s">
        <v>493</v>
      </c>
      <c r="K520">
        <v>1.3</v>
      </c>
      <c r="L520">
        <v>155.6</v>
      </c>
      <c r="N520">
        <v>16</v>
      </c>
      <c r="O520">
        <v>16</v>
      </c>
      <c r="P520" t="s">
        <v>670</v>
      </c>
      <c r="Q520" t="s">
        <v>414</v>
      </c>
      <c r="S520">
        <v>3.73</v>
      </c>
      <c r="T520">
        <v>1648.0619999999999</v>
      </c>
      <c r="U520">
        <v>106.72</v>
      </c>
      <c r="V520">
        <v>154.429</v>
      </c>
      <c r="W520" t="s">
        <v>488</v>
      </c>
      <c r="X520">
        <v>42.1</v>
      </c>
    </row>
    <row r="521" spans="1:24" x14ac:dyDescent="0.45">
      <c r="A521">
        <v>3</v>
      </c>
      <c r="B521">
        <v>3</v>
      </c>
      <c r="C521" t="s">
        <v>584</v>
      </c>
      <c r="D521" t="s">
        <v>400</v>
      </c>
      <c r="E521">
        <v>1.25</v>
      </c>
      <c r="F521">
        <v>3.73</v>
      </c>
      <c r="G521">
        <v>162.12</v>
      </c>
      <c r="H521">
        <v>797.54700000000003</v>
      </c>
      <c r="I521">
        <v>2.0329999999999999</v>
      </c>
      <c r="J521" t="s">
        <v>412</v>
      </c>
      <c r="K521">
        <v>1.5</v>
      </c>
      <c r="L521">
        <v>17.2</v>
      </c>
      <c r="N521">
        <v>17</v>
      </c>
      <c r="O521">
        <v>17</v>
      </c>
      <c r="P521" t="s">
        <v>671</v>
      </c>
      <c r="Q521" t="s">
        <v>414</v>
      </c>
      <c r="S521">
        <v>3.73</v>
      </c>
      <c r="T521">
        <v>1821.124</v>
      </c>
      <c r="U521">
        <v>189.721</v>
      </c>
      <c r="V521">
        <v>95.99</v>
      </c>
      <c r="W521" t="s">
        <v>401</v>
      </c>
      <c r="X521">
        <v>26.1</v>
      </c>
    </row>
    <row r="522" spans="1:24" x14ac:dyDescent="0.45">
      <c r="A522">
        <v>4</v>
      </c>
      <c r="B522">
        <v>4</v>
      </c>
      <c r="C522" t="s">
        <v>585</v>
      </c>
      <c r="D522" t="s">
        <v>400</v>
      </c>
      <c r="E522">
        <v>2.5</v>
      </c>
      <c r="F522">
        <v>3.73</v>
      </c>
      <c r="G522">
        <v>395.00599999999997</v>
      </c>
      <c r="H522">
        <v>624.39800000000002</v>
      </c>
      <c r="I522">
        <v>6.3259999999999996</v>
      </c>
      <c r="J522" t="s">
        <v>488</v>
      </c>
      <c r="K522">
        <v>2.2999999999999998</v>
      </c>
      <c r="L522">
        <v>-6.8</v>
      </c>
      <c r="N522">
        <v>18</v>
      </c>
      <c r="O522">
        <v>18</v>
      </c>
      <c r="P522" t="s">
        <v>672</v>
      </c>
      <c r="Q522" t="s">
        <v>414</v>
      </c>
      <c r="S522">
        <v>3.73</v>
      </c>
      <c r="T522">
        <v>2527.2109999999998</v>
      </c>
      <c r="U522">
        <v>243.15899999999999</v>
      </c>
      <c r="V522">
        <v>103.932</v>
      </c>
      <c r="W522" t="s">
        <v>488</v>
      </c>
      <c r="X522">
        <v>28.2</v>
      </c>
    </row>
    <row r="523" spans="1:24" x14ac:dyDescent="0.45">
      <c r="A523">
        <v>5</v>
      </c>
      <c r="B523">
        <v>5</v>
      </c>
      <c r="C523" t="s">
        <v>586</v>
      </c>
      <c r="D523" t="s">
        <v>400</v>
      </c>
      <c r="E523">
        <v>3.5</v>
      </c>
      <c r="F523">
        <v>3.73</v>
      </c>
      <c r="G523">
        <v>583.37900000000002</v>
      </c>
      <c r="H523">
        <v>713.80600000000004</v>
      </c>
      <c r="I523">
        <v>8.173</v>
      </c>
      <c r="J523" t="s">
        <v>493</v>
      </c>
      <c r="K523">
        <v>2.7</v>
      </c>
      <c r="L523">
        <v>-22.8</v>
      </c>
      <c r="N523">
        <v>19</v>
      </c>
      <c r="O523">
        <v>19</v>
      </c>
      <c r="P523" t="s">
        <v>673</v>
      </c>
      <c r="Q523" t="s">
        <v>414</v>
      </c>
      <c r="S523">
        <v>3.73</v>
      </c>
      <c r="T523">
        <v>1772.519</v>
      </c>
      <c r="U523">
        <v>254.68600000000001</v>
      </c>
      <c r="V523">
        <v>69.596000000000004</v>
      </c>
      <c r="W523" t="s">
        <v>488</v>
      </c>
      <c r="X523">
        <v>18.8</v>
      </c>
    </row>
    <row r="524" spans="1:24" x14ac:dyDescent="0.45">
      <c r="A524">
        <v>6</v>
      </c>
      <c r="B524">
        <v>6</v>
      </c>
      <c r="C524" t="s">
        <v>587</v>
      </c>
      <c r="D524" t="s">
        <v>400</v>
      </c>
      <c r="E524">
        <v>5</v>
      </c>
      <c r="F524">
        <v>3.73</v>
      </c>
      <c r="G524">
        <v>1713.136</v>
      </c>
      <c r="H524">
        <v>930.55899999999997</v>
      </c>
      <c r="I524">
        <v>18.41</v>
      </c>
      <c r="J524" t="s">
        <v>401</v>
      </c>
      <c r="K524">
        <v>4.8</v>
      </c>
      <c r="L524">
        <v>-4.7</v>
      </c>
      <c r="N524">
        <v>20</v>
      </c>
      <c r="O524">
        <v>20</v>
      </c>
      <c r="P524" t="s">
        <v>674</v>
      </c>
      <c r="Q524" t="s">
        <v>414</v>
      </c>
      <c r="S524">
        <v>3.73</v>
      </c>
      <c r="T524">
        <v>1282.575</v>
      </c>
      <c r="U524">
        <v>289.88600000000002</v>
      </c>
      <c r="V524">
        <v>44.244</v>
      </c>
      <c r="W524" t="s">
        <v>488</v>
      </c>
      <c r="X524">
        <v>11.9</v>
      </c>
    </row>
    <row r="525" spans="1:24" x14ac:dyDescent="0.45">
      <c r="A525">
        <v>7</v>
      </c>
      <c r="B525">
        <v>7</v>
      </c>
      <c r="C525" t="s">
        <v>588</v>
      </c>
      <c r="D525" t="s">
        <v>400</v>
      </c>
      <c r="E525">
        <v>7</v>
      </c>
      <c r="F525">
        <v>3.73</v>
      </c>
      <c r="G525">
        <v>1822.489</v>
      </c>
      <c r="H525">
        <v>598.04300000000001</v>
      </c>
      <c r="I525">
        <v>30.474</v>
      </c>
      <c r="J525" t="s">
        <v>412</v>
      </c>
      <c r="K525">
        <v>7.2</v>
      </c>
      <c r="L525">
        <v>2.7</v>
      </c>
      <c r="N525">
        <v>21</v>
      </c>
      <c r="O525">
        <v>21</v>
      </c>
      <c r="P525" t="s">
        <v>675</v>
      </c>
      <c r="Q525" t="s">
        <v>414</v>
      </c>
      <c r="S525">
        <v>3.73</v>
      </c>
      <c r="T525">
        <v>2160.6039999999998</v>
      </c>
      <c r="U525">
        <v>276.721</v>
      </c>
      <c r="V525">
        <v>78.078999999999994</v>
      </c>
      <c r="W525" t="s">
        <v>488</v>
      </c>
      <c r="X525">
        <v>21.1</v>
      </c>
    </row>
    <row r="526" spans="1:24" x14ac:dyDescent="0.45">
      <c r="A526">
        <v>8</v>
      </c>
      <c r="B526">
        <v>8</v>
      </c>
      <c r="C526" t="s">
        <v>589</v>
      </c>
      <c r="D526" t="s">
        <v>410</v>
      </c>
      <c r="F526">
        <v>3.83</v>
      </c>
      <c r="G526">
        <v>85.555999999999997</v>
      </c>
      <c r="H526">
        <v>237.99299999999999</v>
      </c>
      <c r="I526">
        <v>3.5950000000000002</v>
      </c>
      <c r="J526" t="s">
        <v>403</v>
      </c>
      <c r="K526">
        <v>1.8</v>
      </c>
      <c r="N526">
        <v>22</v>
      </c>
      <c r="O526">
        <v>22</v>
      </c>
      <c r="P526" t="s">
        <v>676</v>
      </c>
      <c r="Q526" t="s">
        <v>414</v>
      </c>
      <c r="S526">
        <v>3.73</v>
      </c>
      <c r="T526">
        <v>2929.5340000000001</v>
      </c>
      <c r="U526">
        <v>187.16499999999999</v>
      </c>
      <c r="V526">
        <v>156.52099999999999</v>
      </c>
      <c r="W526" t="s">
        <v>412</v>
      </c>
      <c r="X526">
        <v>42.7</v>
      </c>
    </row>
    <row r="527" spans="1:24" x14ac:dyDescent="0.45">
      <c r="A527">
        <v>9</v>
      </c>
      <c r="B527">
        <v>9</v>
      </c>
      <c r="C527" t="s">
        <v>590</v>
      </c>
      <c r="D527" t="s">
        <v>410</v>
      </c>
      <c r="F527">
        <v>3.79</v>
      </c>
      <c r="G527">
        <v>113.872</v>
      </c>
      <c r="H527">
        <v>262.73599999999999</v>
      </c>
      <c r="I527">
        <v>4.3339999999999996</v>
      </c>
      <c r="J527" t="s">
        <v>403</v>
      </c>
      <c r="K527">
        <v>1.9</v>
      </c>
      <c r="N527">
        <v>23</v>
      </c>
      <c r="O527">
        <v>23</v>
      </c>
      <c r="P527" t="s">
        <v>677</v>
      </c>
      <c r="Q527" t="s">
        <v>414</v>
      </c>
      <c r="S527">
        <v>3.73</v>
      </c>
      <c r="T527">
        <v>3919.0810000000001</v>
      </c>
      <c r="U527">
        <v>292.31599999999997</v>
      </c>
      <c r="V527">
        <v>134.07</v>
      </c>
      <c r="W527" t="s">
        <v>403</v>
      </c>
      <c r="X527">
        <v>36.5</v>
      </c>
    </row>
    <row r="528" spans="1:24" x14ac:dyDescent="0.45">
      <c r="A528">
        <v>10</v>
      </c>
      <c r="B528">
        <v>10</v>
      </c>
      <c r="C528" t="s">
        <v>591</v>
      </c>
      <c r="D528" t="s">
        <v>414</v>
      </c>
      <c r="F528">
        <v>3.74</v>
      </c>
      <c r="G528">
        <v>3345.768</v>
      </c>
      <c r="H528">
        <v>476.40600000000001</v>
      </c>
      <c r="I528">
        <v>70.228999999999999</v>
      </c>
      <c r="J528" t="s">
        <v>488</v>
      </c>
      <c r="K528">
        <v>15.2</v>
      </c>
      <c r="N528">
        <v>24</v>
      </c>
      <c r="O528">
        <v>24</v>
      </c>
      <c r="P528" t="s">
        <v>678</v>
      </c>
      <c r="Q528" t="s">
        <v>414</v>
      </c>
      <c r="S528">
        <v>3.73</v>
      </c>
      <c r="T528">
        <v>1241.673</v>
      </c>
      <c r="U528">
        <v>170.67699999999999</v>
      </c>
      <c r="V528">
        <v>72.75</v>
      </c>
      <c r="W528" t="s">
        <v>488</v>
      </c>
      <c r="X528">
        <v>19.7</v>
      </c>
    </row>
    <row r="529" spans="1:24" x14ac:dyDescent="0.45">
      <c r="A529">
        <v>11</v>
      </c>
      <c r="B529">
        <v>11</v>
      </c>
      <c r="C529" t="s">
        <v>592</v>
      </c>
      <c r="D529" t="s">
        <v>414</v>
      </c>
      <c r="F529">
        <v>3.74</v>
      </c>
      <c r="G529">
        <v>931.66499999999996</v>
      </c>
      <c r="H529">
        <v>132.905</v>
      </c>
      <c r="I529">
        <v>70.099999999999994</v>
      </c>
      <c r="J529" t="s">
        <v>403</v>
      </c>
      <c r="K529">
        <v>15.2</v>
      </c>
      <c r="N529">
        <v>25</v>
      </c>
      <c r="O529">
        <v>25</v>
      </c>
      <c r="P529" t="s">
        <v>679</v>
      </c>
      <c r="Q529" t="s">
        <v>414</v>
      </c>
      <c r="S529">
        <v>3.73</v>
      </c>
      <c r="T529">
        <v>1945.453</v>
      </c>
      <c r="U529">
        <v>98.522999999999996</v>
      </c>
      <c r="V529">
        <v>197.46199999999999</v>
      </c>
      <c r="W529" t="s">
        <v>403</v>
      </c>
      <c r="X529">
        <v>53.9</v>
      </c>
    </row>
    <row r="530" spans="1:24" x14ac:dyDescent="0.45">
      <c r="A530">
        <v>12</v>
      </c>
      <c r="B530">
        <v>12</v>
      </c>
      <c r="C530" t="s">
        <v>593</v>
      </c>
      <c r="D530" t="s">
        <v>414</v>
      </c>
      <c r="F530">
        <v>3.74</v>
      </c>
      <c r="G530">
        <v>1418.8030000000001</v>
      </c>
      <c r="H530">
        <v>236.65899999999999</v>
      </c>
      <c r="I530">
        <v>59.951000000000001</v>
      </c>
      <c r="J530" t="s">
        <v>488</v>
      </c>
      <c r="K530">
        <v>13.1</v>
      </c>
      <c r="N530">
        <v>26</v>
      </c>
      <c r="O530">
        <v>26</v>
      </c>
      <c r="P530" t="s">
        <v>680</v>
      </c>
      <c r="Q530" t="s">
        <v>414</v>
      </c>
      <c r="S530">
        <v>3.73</v>
      </c>
      <c r="T530">
        <v>1969.442</v>
      </c>
      <c r="U530">
        <v>149.94</v>
      </c>
      <c r="V530">
        <v>131.34899999999999</v>
      </c>
      <c r="W530" t="s">
        <v>488</v>
      </c>
      <c r="X530">
        <v>35.799999999999997</v>
      </c>
    </row>
    <row r="531" spans="1:24" x14ac:dyDescent="0.45">
      <c r="A531">
        <v>13</v>
      </c>
      <c r="B531">
        <v>13</v>
      </c>
      <c r="C531" t="s">
        <v>594</v>
      </c>
      <c r="D531" t="s">
        <v>414</v>
      </c>
      <c r="F531">
        <v>3.73</v>
      </c>
      <c r="G531">
        <v>2028.5329999999999</v>
      </c>
      <c r="H531">
        <v>441.90699999999998</v>
      </c>
      <c r="I531">
        <v>45.904000000000003</v>
      </c>
      <c r="J531" t="s">
        <v>488</v>
      </c>
      <c r="K531">
        <v>10.3</v>
      </c>
      <c r="N531">
        <v>27</v>
      </c>
      <c r="O531">
        <v>27</v>
      </c>
      <c r="P531" t="s">
        <v>681</v>
      </c>
      <c r="Q531" t="s">
        <v>414</v>
      </c>
      <c r="S531">
        <v>3.73</v>
      </c>
      <c r="T531">
        <v>2459.7359999999999</v>
      </c>
      <c r="U531">
        <v>159.465</v>
      </c>
      <c r="V531">
        <v>154.249</v>
      </c>
      <c r="W531" t="s">
        <v>401</v>
      </c>
      <c r="X531">
        <v>42</v>
      </c>
    </row>
    <row r="532" spans="1:24" x14ac:dyDescent="0.45">
      <c r="A532">
        <v>14</v>
      </c>
      <c r="B532">
        <v>14</v>
      </c>
      <c r="C532" t="s">
        <v>595</v>
      </c>
      <c r="D532" t="s">
        <v>414</v>
      </c>
      <c r="F532">
        <v>3.74</v>
      </c>
      <c r="G532">
        <v>3024.3220000000001</v>
      </c>
      <c r="H532">
        <v>316.89699999999999</v>
      </c>
      <c r="I532">
        <v>95.435000000000002</v>
      </c>
      <c r="J532" t="s">
        <v>488</v>
      </c>
      <c r="K532">
        <v>20.3</v>
      </c>
      <c r="N532">
        <v>28</v>
      </c>
      <c r="O532">
        <v>28</v>
      </c>
      <c r="P532" t="s">
        <v>682</v>
      </c>
      <c r="Q532" t="s">
        <v>414</v>
      </c>
      <c r="S532">
        <v>3.73</v>
      </c>
      <c r="T532">
        <v>3520.5810000000001</v>
      </c>
      <c r="U532">
        <v>187.577</v>
      </c>
      <c r="V532">
        <v>187.68700000000001</v>
      </c>
      <c r="W532" t="s">
        <v>488</v>
      </c>
      <c r="X532">
        <v>51.2</v>
      </c>
    </row>
    <row r="533" spans="1:24" x14ac:dyDescent="0.45">
      <c r="A533">
        <v>15</v>
      </c>
      <c r="B533">
        <v>15</v>
      </c>
      <c r="C533" t="s">
        <v>596</v>
      </c>
      <c r="D533" t="s">
        <v>414</v>
      </c>
      <c r="F533">
        <v>3.73</v>
      </c>
      <c r="G533">
        <v>3589.1080000000002</v>
      </c>
      <c r="H533">
        <v>466.47800000000001</v>
      </c>
      <c r="I533">
        <v>76.941000000000003</v>
      </c>
      <c r="J533" t="s">
        <v>488</v>
      </c>
      <c r="K533">
        <v>16.5</v>
      </c>
      <c r="N533">
        <v>29</v>
      </c>
      <c r="O533">
        <v>29</v>
      </c>
      <c r="P533" t="s">
        <v>683</v>
      </c>
      <c r="Q533" t="s">
        <v>414</v>
      </c>
      <c r="S533">
        <v>3.73</v>
      </c>
      <c r="T533">
        <v>2089.7669999999998</v>
      </c>
      <c r="U533">
        <v>188.78700000000001</v>
      </c>
      <c r="V533">
        <v>110.694</v>
      </c>
      <c r="W533" t="s">
        <v>488</v>
      </c>
      <c r="X533">
        <v>30.1</v>
      </c>
    </row>
    <row r="534" spans="1:24" x14ac:dyDescent="0.45">
      <c r="A534">
        <v>16</v>
      </c>
      <c r="B534">
        <v>16</v>
      </c>
      <c r="C534" t="s">
        <v>597</v>
      </c>
      <c r="D534" t="s">
        <v>414</v>
      </c>
      <c r="F534">
        <v>3.81</v>
      </c>
      <c r="G534">
        <v>8486.4590000000007</v>
      </c>
      <c r="H534">
        <v>687.76800000000003</v>
      </c>
      <c r="I534">
        <v>123.39100000000001</v>
      </c>
      <c r="J534" t="s">
        <v>403</v>
      </c>
      <c r="K534">
        <v>25.9</v>
      </c>
      <c r="N534">
        <v>30</v>
      </c>
      <c r="O534">
        <v>30</v>
      </c>
      <c r="P534" t="s">
        <v>684</v>
      </c>
      <c r="Q534" t="s">
        <v>414</v>
      </c>
      <c r="S534">
        <v>3.73</v>
      </c>
      <c r="T534">
        <v>1525.6849999999999</v>
      </c>
      <c r="U534">
        <v>182.20099999999999</v>
      </c>
      <c r="V534">
        <v>83.736000000000004</v>
      </c>
      <c r="W534" t="s">
        <v>488</v>
      </c>
      <c r="X534">
        <v>22.7</v>
      </c>
    </row>
    <row r="535" spans="1:24" x14ac:dyDescent="0.45">
      <c r="A535">
        <v>17</v>
      </c>
      <c r="B535">
        <v>17</v>
      </c>
      <c r="C535" t="s">
        <v>598</v>
      </c>
      <c r="D535" t="s">
        <v>414</v>
      </c>
      <c r="F535">
        <v>3.73</v>
      </c>
      <c r="G535">
        <v>1972.8869999999999</v>
      </c>
      <c r="H535">
        <v>622.06299999999999</v>
      </c>
      <c r="I535">
        <v>31.715</v>
      </c>
      <c r="J535" t="s">
        <v>488</v>
      </c>
      <c r="K535">
        <v>7.4</v>
      </c>
      <c r="N535">
        <v>31</v>
      </c>
      <c r="O535">
        <v>31</v>
      </c>
      <c r="P535" t="s">
        <v>685</v>
      </c>
      <c r="Q535" t="s">
        <v>414</v>
      </c>
      <c r="S535">
        <v>3.73</v>
      </c>
      <c r="T535">
        <v>2635.8</v>
      </c>
      <c r="U535">
        <v>291.57499999999999</v>
      </c>
      <c r="V535">
        <v>90.399000000000001</v>
      </c>
      <c r="W535" t="s">
        <v>488</v>
      </c>
      <c r="X535">
        <v>24.5</v>
      </c>
    </row>
    <row r="536" spans="1:24" x14ac:dyDescent="0.45">
      <c r="A536">
        <v>18</v>
      </c>
      <c r="B536">
        <v>18</v>
      </c>
      <c r="C536" t="s">
        <v>599</v>
      </c>
      <c r="D536" t="s">
        <v>414</v>
      </c>
      <c r="F536">
        <v>3.72</v>
      </c>
      <c r="G536">
        <v>435.94099999999997</v>
      </c>
      <c r="H536">
        <v>135.68100000000001</v>
      </c>
      <c r="I536">
        <v>32.130000000000003</v>
      </c>
      <c r="J536" t="s">
        <v>488</v>
      </c>
      <c r="K536">
        <v>7.5</v>
      </c>
      <c r="N536">
        <v>32</v>
      </c>
      <c r="O536">
        <v>32</v>
      </c>
      <c r="P536" t="s">
        <v>686</v>
      </c>
      <c r="Q536" t="s">
        <v>414</v>
      </c>
      <c r="S536">
        <v>3.73</v>
      </c>
      <c r="T536">
        <v>6196.7730000000001</v>
      </c>
      <c r="U536">
        <v>486.84800000000001</v>
      </c>
      <c r="V536">
        <v>127.28400000000001</v>
      </c>
      <c r="W536" t="s">
        <v>488</v>
      </c>
      <c r="X536">
        <v>34.6</v>
      </c>
    </row>
    <row r="537" spans="1:24" x14ac:dyDescent="0.45">
      <c r="A537">
        <v>19</v>
      </c>
      <c r="B537">
        <v>19</v>
      </c>
      <c r="C537" t="s">
        <v>600</v>
      </c>
      <c r="D537" t="s">
        <v>414</v>
      </c>
      <c r="F537">
        <v>3.73</v>
      </c>
      <c r="G537">
        <v>392.50200000000001</v>
      </c>
      <c r="H537">
        <v>213.30500000000001</v>
      </c>
      <c r="I537">
        <v>18.401</v>
      </c>
      <c r="J537" t="s">
        <v>488</v>
      </c>
      <c r="K537">
        <v>4.8</v>
      </c>
      <c r="N537">
        <v>33</v>
      </c>
      <c r="O537">
        <v>33</v>
      </c>
      <c r="P537" t="s">
        <v>687</v>
      </c>
      <c r="Q537" t="s">
        <v>414</v>
      </c>
      <c r="S537">
        <v>3.73</v>
      </c>
      <c r="T537">
        <v>4590.5370000000003</v>
      </c>
      <c r="U537">
        <v>284.76100000000002</v>
      </c>
      <c r="V537">
        <v>161.20699999999999</v>
      </c>
      <c r="W537" t="s">
        <v>488</v>
      </c>
      <c r="X537">
        <v>44</v>
      </c>
    </row>
    <row r="538" spans="1:24" x14ac:dyDescent="0.45">
      <c r="A538">
        <v>20</v>
      </c>
      <c r="B538">
        <v>20</v>
      </c>
      <c r="C538" t="s">
        <v>601</v>
      </c>
      <c r="D538" t="s">
        <v>414</v>
      </c>
      <c r="F538">
        <v>3.73</v>
      </c>
      <c r="G538">
        <v>487.26900000000001</v>
      </c>
      <c r="H538">
        <v>137.61500000000001</v>
      </c>
      <c r="I538">
        <v>35.408000000000001</v>
      </c>
      <c r="J538" t="s">
        <v>488</v>
      </c>
      <c r="K538">
        <v>8.1999999999999993</v>
      </c>
      <c r="N538">
        <v>34</v>
      </c>
      <c r="O538">
        <v>34</v>
      </c>
      <c r="P538" t="s">
        <v>688</v>
      </c>
      <c r="Q538" t="s">
        <v>414</v>
      </c>
      <c r="S538">
        <v>3.73</v>
      </c>
      <c r="T538">
        <v>2390.8069999999998</v>
      </c>
      <c r="U538">
        <v>395.99799999999999</v>
      </c>
      <c r="V538">
        <v>60.374000000000002</v>
      </c>
      <c r="W538" t="s">
        <v>488</v>
      </c>
      <c r="X538">
        <v>16.3</v>
      </c>
    </row>
    <row r="539" spans="1:24" x14ac:dyDescent="0.45">
      <c r="A539">
        <v>21</v>
      </c>
      <c r="B539">
        <v>21</v>
      </c>
      <c r="C539" t="s">
        <v>602</v>
      </c>
      <c r="D539" t="s">
        <v>414</v>
      </c>
      <c r="F539">
        <v>3.74</v>
      </c>
      <c r="G539">
        <v>838.298</v>
      </c>
      <c r="H539">
        <v>210.37100000000001</v>
      </c>
      <c r="I539">
        <v>39.848999999999997</v>
      </c>
      <c r="J539" t="s">
        <v>488</v>
      </c>
      <c r="K539">
        <v>9.1</v>
      </c>
      <c r="N539">
        <v>35</v>
      </c>
      <c r="O539">
        <v>35</v>
      </c>
      <c r="P539" t="s">
        <v>689</v>
      </c>
      <c r="Q539" t="s">
        <v>414</v>
      </c>
      <c r="S539">
        <v>3.73</v>
      </c>
      <c r="T539">
        <v>3399.989</v>
      </c>
      <c r="U539">
        <v>318.411</v>
      </c>
      <c r="V539">
        <v>106.78</v>
      </c>
      <c r="W539" t="s">
        <v>488</v>
      </c>
      <c r="X539">
        <v>29</v>
      </c>
    </row>
    <row r="540" spans="1:24" x14ac:dyDescent="0.45">
      <c r="A540">
        <v>22</v>
      </c>
      <c r="B540">
        <v>22</v>
      </c>
      <c r="C540" t="s">
        <v>603</v>
      </c>
      <c r="D540" t="s">
        <v>414</v>
      </c>
      <c r="F540">
        <v>3.73</v>
      </c>
      <c r="G540">
        <v>3503.1880000000001</v>
      </c>
      <c r="H540">
        <v>705.774</v>
      </c>
      <c r="I540">
        <v>49.636000000000003</v>
      </c>
      <c r="J540" t="s">
        <v>488</v>
      </c>
      <c r="K540">
        <v>11</v>
      </c>
      <c r="N540">
        <v>36</v>
      </c>
      <c r="O540">
        <v>36</v>
      </c>
      <c r="P540" t="s">
        <v>690</v>
      </c>
      <c r="Q540" t="s">
        <v>414</v>
      </c>
      <c r="S540">
        <v>3.73</v>
      </c>
      <c r="T540">
        <v>4548.08</v>
      </c>
      <c r="U540">
        <v>264.93900000000002</v>
      </c>
      <c r="V540">
        <v>171.66499999999999</v>
      </c>
      <c r="W540" t="s">
        <v>403</v>
      </c>
      <c r="X540">
        <v>46.8</v>
      </c>
    </row>
    <row r="541" spans="1:24" x14ac:dyDescent="0.45">
      <c r="A541">
        <v>23</v>
      </c>
      <c r="B541">
        <v>23</v>
      </c>
      <c r="C541" t="s">
        <v>604</v>
      </c>
      <c r="D541" t="s">
        <v>414</v>
      </c>
      <c r="F541">
        <v>3.73</v>
      </c>
      <c r="G541">
        <v>5100.0839999999998</v>
      </c>
      <c r="H541">
        <v>864.65499999999997</v>
      </c>
      <c r="I541">
        <v>58.984000000000002</v>
      </c>
      <c r="J541" t="s">
        <v>488</v>
      </c>
      <c r="K541">
        <v>12.9</v>
      </c>
      <c r="N541">
        <v>37</v>
      </c>
      <c r="O541">
        <v>37</v>
      </c>
      <c r="P541" t="s">
        <v>691</v>
      </c>
      <c r="Q541" t="s">
        <v>414</v>
      </c>
      <c r="S541">
        <v>3.73</v>
      </c>
      <c r="T541">
        <v>2959.0450000000001</v>
      </c>
      <c r="U541">
        <v>237.584</v>
      </c>
      <c r="V541">
        <v>124.547</v>
      </c>
      <c r="W541" t="s">
        <v>488</v>
      </c>
      <c r="X541">
        <v>33.9</v>
      </c>
    </row>
    <row r="542" spans="1:24" x14ac:dyDescent="0.45">
      <c r="A542">
        <v>24</v>
      </c>
      <c r="B542">
        <v>24</v>
      </c>
      <c r="C542" t="s">
        <v>605</v>
      </c>
      <c r="D542" t="s">
        <v>414</v>
      </c>
      <c r="F542">
        <v>3.73</v>
      </c>
      <c r="G542">
        <v>2792.3679999999999</v>
      </c>
      <c r="H542">
        <v>382.97199999999998</v>
      </c>
      <c r="I542">
        <v>72.912999999999997</v>
      </c>
      <c r="J542" t="s">
        <v>488</v>
      </c>
      <c r="K542">
        <v>15.7</v>
      </c>
      <c r="N542">
        <v>38</v>
      </c>
      <c r="O542">
        <v>38</v>
      </c>
      <c r="P542" t="s">
        <v>692</v>
      </c>
      <c r="Q542" t="s">
        <v>414</v>
      </c>
      <c r="S542">
        <v>3.73</v>
      </c>
      <c r="T542">
        <v>6244.6930000000002</v>
      </c>
      <c r="U542">
        <v>296.11200000000002</v>
      </c>
      <c r="V542">
        <v>210.89</v>
      </c>
      <c r="W542" t="s">
        <v>488</v>
      </c>
      <c r="X542">
        <v>57.6</v>
      </c>
    </row>
    <row r="543" spans="1:24" x14ac:dyDescent="0.45">
      <c r="A543">
        <v>25</v>
      </c>
      <c r="B543">
        <v>25</v>
      </c>
      <c r="C543" t="s">
        <v>606</v>
      </c>
      <c r="D543" t="s">
        <v>414</v>
      </c>
      <c r="F543">
        <v>3.73</v>
      </c>
      <c r="G543">
        <v>2694.1570000000002</v>
      </c>
      <c r="H543">
        <v>429.68599999999998</v>
      </c>
      <c r="I543">
        <v>62.701000000000001</v>
      </c>
      <c r="J543" t="s">
        <v>488</v>
      </c>
      <c r="K543">
        <v>13.7</v>
      </c>
      <c r="N543">
        <v>39</v>
      </c>
      <c r="O543">
        <v>39</v>
      </c>
      <c r="P543" t="s">
        <v>693</v>
      </c>
      <c r="Q543" t="s">
        <v>414</v>
      </c>
      <c r="S543">
        <v>3.73</v>
      </c>
      <c r="T543">
        <v>7437.1570000000002</v>
      </c>
      <c r="U543">
        <v>365.27699999999999</v>
      </c>
      <c r="V543">
        <v>203.60300000000001</v>
      </c>
      <c r="W543" t="s">
        <v>488</v>
      </c>
      <c r="X543">
        <v>55.6</v>
      </c>
    </row>
    <row r="544" spans="1:24" x14ac:dyDescent="0.45">
      <c r="A544">
        <v>26</v>
      </c>
      <c r="B544">
        <v>26</v>
      </c>
      <c r="C544" t="s">
        <v>607</v>
      </c>
      <c r="D544" t="s">
        <v>414</v>
      </c>
      <c r="F544">
        <v>3.73</v>
      </c>
      <c r="G544">
        <v>2982.893</v>
      </c>
      <c r="H544">
        <v>368.62700000000001</v>
      </c>
      <c r="I544">
        <v>80.918999999999997</v>
      </c>
      <c r="J544" t="s">
        <v>488</v>
      </c>
      <c r="K544">
        <v>17.3</v>
      </c>
      <c r="N544">
        <v>40</v>
      </c>
      <c r="O544">
        <v>40</v>
      </c>
      <c r="P544" t="s">
        <v>694</v>
      </c>
      <c r="Q544" t="s">
        <v>414</v>
      </c>
      <c r="S544">
        <v>3.73</v>
      </c>
      <c r="T544">
        <v>11646.688</v>
      </c>
      <c r="U544">
        <v>618.79499999999996</v>
      </c>
      <c r="V544">
        <v>188.21600000000001</v>
      </c>
      <c r="W544" t="s">
        <v>488</v>
      </c>
      <c r="X544">
        <v>51.4</v>
      </c>
    </row>
    <row r="545" spans="1:24" x14ac:dyDescent="0.45">
      <c r="A545">
        <v>27</v>
      </c>
      <c r="B545">
        <v>27</v>
      </c>
      <c r="C545" t="s">
        <v>608</v>
      </c>
      <c r="D545" t="s">
        <v>414</v>
      </c>
      <c r="F545">
        <v>3.73</v>
      </c>
      <c r="G545">
        <v>4060.587</v>
      </c>
      <c r="H545">
        <v>809.98299999999995</v>
      </c>
      <c r="I545">
        <v>50.131999999999998</v>
      </c>
      <c r="J545" t="s">
        <v>488</v>
      </c>
      <c r="K545">
        <v>11.1</v>
      </c>
      <c r="N545">
        <v>41</v>
      </c>
      <c r="O545">
        <v>41</v>
      </c>
      <c r="P545" t="s">
        <v>695</v>
      </c>
      <c r="Q545" t="s">
        <v>414</v>
      </c>
      <c r="S545">
        <v>3.73</v>
      </c>
      <c r="T545">
        <v>10232.876</v>
      </c>
      <c r="U545">
        <v>583.34299999999996</v>
      </c>
      <c r="V545">
        <v>175.41800000000001</v>
      </c>
      <c r="W545" t="s">
        <v>488</v>
      </c>
      <c r="X545">
        <v>47.9</v>
      </c>
    </row>
    <row r="546" spans="1:24" x14ac:dyDescent="0.45">
      <c r="A546">
        <v>28</v>
      </c>
      <c r="B546">
        <v>28</v>
      </c>
      <c r="C546" t="s">
        <v>609</v>
      </c>
      <c r="D546" t="s">
        <v>414</v>
      </c>
      <c r="F546">
        <v>3.73</v>
      </c>
      <c r="G546">
        <v>2980.6750000000002</v>
      </c>
      <c r="H546">
        <v>429.94600000000003</v>
      </c>
      <c r="I546">
        <v>69.326999999999998</v>
      </c>
      <c r="J546" t="s">
        <v>488</v>
      </c>
      <c r="K546">
        <v>15</v>
      </c>
      <c r="N546">
        <v>42</v>
      </c>
      <c r="O546">
        <v>42</v>
      </c>
      <c r="P546" t="s">
        <v>696</v>
      </c>
      <c r="Q546" t="s">
        <v>414</v>
      </c>
      <c r="S546">
        <v>3.73</v>
      </c>
      <c r="T546">
        <v>11597.847</v>
      </c>
      <c r="U546">
        <v>418.34</v>
      </c>
      <c r="V546">
        <v>277.23500000000001</v>
      </c>
      <c r="W546" t="s">
        <v>403</v>
      </c>
      <c r="X546">
        <v>75.8</v>
      </c>
    </row>
    <row r="547" spans="1:24" x14ac:dyDescent="0.45">
      <c r="A547">
        <v>29</v>
      </c>
      <c r="B547">
        <v>29</v>
      </c>
      <c r="C547" t="s">
        <v>610</v>
      </c>
      <c r="D547" t="s">
        <v>414</v>
      </c>
      <c r="F547">
        <v>3.73</v>
      </c>
      <c r="G547">
        <v>1796.8330000000001</v>
      </c>
      <c r="H547">
        <v>318.18099999999998</v>
      </c>
      <c r="I547">
        <v>56.472000000000001</v>
      </c>
      <c r="J547" t="s">
        <v>415</v>
      </c>
      <c r="K547">
        <v>12.4</v>
      </c>
      <c r="N547">
        <v>43</v>
      </c>
      <c r="O547">
        <v>43</v>
      </c>
      <c r="P547" t="s">
        <v>697</v>
      </c>
      <c r="Q547" t="s">
        <v>414</v>
      </c>
      <c r="S547">
        <v>3.73</v>
      </c>
      <c r="T547">
        <v>10108.861000000001</v>
      </c>
      <c r="U547">
        <v>590.21699999999998</v>
      </c>
      <c r="V547">
        <v>171.274</v>
      </c>
      <c r="W547" t="s">
        <v>488</v>
      </c>
      <c r="X547">
        <v>46.7</v>
      </c>
    </row>
    <row r="548" spans="1:24" x14ac:dyDescent="0.45">
      <c r="A548">
        <v>30</v>
      </c>
      <c r="B548">
        <v>30</v>
      </c>
      <c r="C548" t="s">
        <v>611</v>
      </c>
      <c r="D548" t="s">
        <v>414</v>
      </c>
      <c r="F548">
        <v>3.73</v>
      </c>
      <c r="G548">
        <v>2614.6529999999998</v>
      </c>
      <c r="H548">
        <v>327.74</v>
      </c>
      <c r="I548">
        <v>79.778000000000006</v>
      </c>
      <c r="J548" t="s">
        <v>488</v>
      </c>
      <c r="K548">
        <v>17.100000000000001</v>
      </c>
      <c r="N548">
        <v>44</v>
      </c>
      <c r="O548">
        <v>44</v>
      </c>
      <c r="P548" t="s">
        <v>698</v>
      </c>
      <c r="Q548" t="s">
        <v>414</v>
      </c>
      <c r="S548">
        <v>3.73</v>
      </c>
      <c r="T548">
        <v>8724.7720000000008</v>
      </c>
      <c r="U548">
        <v>436.15100000000001</v>
      </c>
      <c r="V548">
        <v>200.04</v>
      </c>
      <c r="W548" t="s">
        <v>403</v>
      </c>
      <c r="X548">
        <v>54.6</v>
      </c>
    </row>
    <row r="549" spans="1:24" x14ac:dyDescent="0.45">
      <c r="A549">
        <v>31</v>
      </c>
      <c r="B549">
        <v>31</v>
      </c>
      <c r="C549" t="s">
        <v>612</v>
      </c>
      <c r="D549" t="s">
        <v>414</v>
      </c>
      <c r="F549">
        <v>3.73</v>
      </c>
      <c r="G549">
        <v>1940.3979999999999</v>
      </c>
      <c r="H549">
        <v>275.327</v>
      </c>
      <c r="I549">
        <v>70.475999999999999</v>
      </c>
      <c r="J549" t="s">
        <v>488</v>
      </c>
      <c r="K549">
        <v>15.2</v>
      </c>
      <c r="N549">
        <v>45</v>
      </c>
      <c r="O549">
        <v>45</v>
      </c>
      <c r="P549" t="s">
        <v>699</v>
      </c>
      <c r="Q549" t="s">
        <v>414</v>
      </c>
      <c r="S549">
        <v>3.73</v>
      </c>
      <c r="T549">
        <v>2056.0700000000002</v>
      </c>
      <c r="U549">
        <v>279.17599999999999</v>
      </c>
      <c r="V549">
        <v>73.647999999999996</v>
      </c>
      <c r="W549" t="s">
        <v>415</v>
      </c>
      <c r="X549">
        <v>19.899999999999999</v>
      </c>
    </row>
    <row r="550" spans="1:24" x14ac:dyDescent="0.45">
      <c r="A550">
        <v>32</v>
      </c>
      <c r="B550">
        <v>32</v>
      </c>
      <c r="C550" t="s">
        <v>613</v>
      </c>
      <c r="D550" t="s">
        <v>414</v>
      </c>
      <c r="F550">
        <v>3.74</v>
      </c>
      <c r="G550">
        <v>2451.8020000000001</v>
      </c>
      <c r="H550">
        <v>313.45699999999999</v>
      </c>
      <c r="I550">
        <v>78.218000000000004</v>
      </c>
      <c r="J550" t="s">
        <v>412</v>
      </c>
      <c r="K550">
        <v>16.8</v>
      </c>
      <c r="N550">
        <v>46</v>
      </c>
      <c r="O550">
        <v>46</v>
      </c>
      <c r="P550" t="s">
        <v>700</v>
      </c>
      <c r="Q550" t="s">
        <v>414</v>
      </c>
      <c r="S550">
        <v>3.73</v>
      </c>
      <c r="T550">
        <v>8323.5349999999999</v>
      </c>
      <c r="U550">
        <v>603.79100000000005</v>
      </c>
      <c r="V550">
        <v>137.85499999999999</v>
      </c>
      <c r="W550" t="s">
        <v>488</v>
      </c>
      <c r="X550">
        <v>37.5</v>
      </c>
    </row>
    <row r="551" spans="1:24" x14ac:dyDescent="0.45">
      <c r="A551">
        <v>33</v>
      </c>
      <c r="B551">
        <v>33</v>
      </c>
      <c r="C551" t="s">
        <v>614</v>
      </c>
      <c r="D551" t="s">
        <v>414</v>
      </c>
      <c r="F551">
        <v>3.74</v>
      </c>
      <c r="G551">
        <v>1249.2080000000001</v>
      </c>
      <c r="H551">
        <v>262.38400000000001</v>
      </c>
      <c r="I551">
        <v>47.61</v>
      </c>
      <c r="J551" t="s">
        <v>488</v>
      </c>
      <c r="K551">
        <v>10.6</v>
      </c>
      <c r="N551">
        <v>47</v>
      </c>
      <c r="O551">
        <v>47</v>
      </c>
      <c r="P551" t="s">
        <v>701</v>
      </c>
      <c r="Q551" t="s">
        <v>414</v>
      </c>
      <c r="S551">
        <v>3.73</v>
      </c>
      <c r="T551">
        <v>7914.9939999999997</v>
      </c>
      <c r="U551">
        <v>461.60199999999998</v>
      </c>
      <c r="V551">
        <v>171.46799999999999</v>
      </c>
      <c r="W551" t="s">
        <v>488</v>
      </c>
      <c r="X551">
        <v>46.8</v>
      </c>
    </row>
    <row r="552" spans="1:24" x14ac:dyDescent="0.45">
      <c r="A552">
        <v>34</v>
      </c>
      <c r="B552">
        <v>34</v>
      </c>
      <c r="C552" t="s">
        <v>615</v>
      </c>
      <c r="D552" t="s">
        <v>414</v>
      </c>
      <c r="F552">
        <v>3.73</v>
      </c>
      <c r="G552">
        <v>2422.7840000000001</v>
      </c>
      <c r="H552">
        <v>283.28399999999999</v>
      </c>
      <c r="I552">
        <v>85.525000000000006</v>
      </c>
      <c r="J552" t="s">
        <v>488</v>
      </c>
      <c r="K552">
        <v>18.3</v>
      </c>
      <c r="N552">
        <v>48</v>
      </c>
      <c r="O552">
        <v>48</v>
      </c>
      <c r="P552" t="s">
        <v>702</v>
      </c>
      <c r="Q552" t="s">
        <v>414</v>
      </c>
      <c r="S552">
        <v>3.73</v>
      </c>
      <c r="T552">
        <v>7044.6120000000001</v>
      </c>
      <c r="U552">
        <v>646.904</v>
      </c>
      <c r="V552">
        <v>108.89700000000001</v>
      </c>
      <c r="W552" t="s">
        <v>488</v>
      </c>
      <c r="X552">
        <v>29.6</v>
      </c>
    </row>
    <row r="553" spans="1:24" x14ac:dyDescent="0.45">
      <c r="A553">
        <v>35</v>
      </c>
      <c r="B553">
        <v>35</v>
      </c>
      <c r="C553" t="s">
        <v>616</v>
      </c>
      <c r="D553" t="s">
        <v>414</v>
      </c>
      <c r="F553">
        <v>3.73</v>
      </c>
      <c r="G553">
        <v>2840.4270000000001</v>
      </c>
      <c r="H553">
        <v>307.99</v>
      </c>
      <c r="I553">
        <v>92.224999999999994</v>
      </c>
      <c r="J553" t="s">
        <v>488</v>
      </c>
      <c r="K553">
        <v>19.600000000000001</v>
      </c>
      <c r="N553">
        <v>49</v>
      </c>
      <c r="O553">
        <v>49</v>
      </c>
      <c r="P553" t="s">
        <v>703</v>
      </c>
      <c r="Q553" t="s">
        <v>414</v>
      </c>
      <c r="S553">
        <v>3.73</v>
      </c>
      <c r="T553">
        <v>7488.1289999999999</v>
      </c>
      <c r="U553">
        <v>571.06299999999999</v>
      </c>
      <c r="V553">
        <v>131.126</v>
      </c>
      <c r="W553" t="s">
        <v>488</v>
      </c>
      <c r="X553">
        <v>35.700000000000003</v>
      </c>
    </row>
    <row r="554" spans="1:24" x14ac:dyDescent="0.45">
      <c r="A554">
        <v>36</v>
      </c>
      <c r="B554">
        <v>36</v>
      </c>
      <c r="C554" t="s">
        <v>617</v>
      </c>
      <c r="D554" t="s">
        <v>414</v>
      </c>
      <c r="F554">
        <v>3.73</v>
      </c>
      <c r="G554">
        <v>1380.877</v>
      </c>
      <c r="H554">
        <v>209.75399999999999</v>
      </c>
      <c r="I554">
        <v>65.832999999999998</v>
      </c>
      <c r="J554" t="s">
        <v>488</v>
      </c>
      <c r="K554">
        <v>14.3</v>
      </c>
      <c r="N554">
        <v>50</v>
      </c>
      <c r="O554">
        <v>50</v>
      </c>
      <c r="P554" t="s">
        <v>704</v>
      </c>
      <c r="Q554" t="s">
        <v>414</v>
      </c>
      <c r="S554">
        <v>3.73</v>
      </c>
      <c r="T554">
        <v>6153.8119999999999</v>
      </c>
      <c r="U554">
        <v>704.62699999999995</v>
      </c>
      <c r="V554">
        <v>87.334000000000003</v>
      </c>
      <c r="W554" t="s">
        <v>488</v>
      </c>
      <c r="X554">
        <v>23.7</v>
      </c>
    </row>
    <row r="555" spans="1:24" x14ac:dyDescent="0.45">
      <c r="A555">
        <v>37</v>
      </c>
      <c r="B555">
        <v>37</v>
      </c>
      <c r="C555" t="s">
        <v>618</v>
      </c>
      <c r="D555" t="s">
        <v>414</v>
      </c>
      <c r="F555">
        <v>3.73</v>
      </c>
      <c r="G555">
        <v>3025.4760000000001</v>
      </c>
      <c r="H555">
        <v>633.64200000000005</v>
      </c>
      <c r="I555">
        <v>47.747</v>
      </c>
      <c r="J555" t="s">
        <v>488</v>
      </c>
      <c r="K555">
        <v>10.7</v>
      </c>
      <c r="N555">
        <v>51</v>
      </c>
      <c r="O555">
        <v>51</v>
      </c>
      <c r="P555" t="s">
        <v>705</v>
      </c>
      <c r="Q555" t="s">
        <v>414</v>
      </c>
      <c r="S555">
        <v>3.73</v>
      </c>
      <c r="T555">
        <v>921.78099999999995</v>
      </c>
      <c r="U555">
        <v>119.18</v>
      </c>
      <c r="V555">
        <v>77.343999999999994</v>
      </c>
      <c r="W555" t="s">
        <v>488</v>
      </c>
      <c r="X555">
        <v>20.9</v>
      </c>
    </row>
    <row r="556" spans="1:24" x14ac:dyDescent="0.45">
      <c r="A556">
        <v>38</v>
      </c>
      <c r="B556">
        <v>38</v>
      </c>
      <c r="C556" t="s">
        <v>619</v>
      </c>
      <c r="D556" t="s">
        <v>414</v>
      </c>
      <c r="F556">
        <v>3.73</v>
      </c>
      <c r="G556">
        <v>1793.95</v>
      </c>
      <c r="H556">
        <v>212.58699999999999</v>
      </c>
      <c r="I556">
        <v>84.387</v>
      </c>
      <c r="J556" t="s">
        <v>488</v>
      </c>
      <c r="K556">
        <v>18</v>
      </c>
      <c r="N556">
        <v>52</v>
      </c>
      <c r="O556">
        <v>52</v>
      </c>
      <c r="P556" t="s">
        <v>706</v>
      </c>
      <c r="Q556" t="s">
        <v>414</v>
      </c>
      <c r="S556">
        <v>3.73</v>
      </c>
      <c r="T556">
        <v>4607.5439999999999</v>
      </c>
      <c r="U556">
        <v>557.38400000000001</v>
      </c>
      <c r="V556">
        <v>82.664000000000001</v>
      </c>
      <c r="W556" t="s">
        <v>488</v>
      </c>
      <c r="X556">
        <v>22.4</v>
      </c>
    </row>
    <row r="557" spans="1:24" x14ac:dyDescent="0.45">
      <c r="A557">
        <v>39</v>
      </c>
      <c r="B557">
        <v>39</v>
      </c>
      <c r="C557" t="s">
        <v>620</v>
      </c>
      <c r="D557" t="s">
        <v>414</v>
      </c>
      <c r="F557">
        <v>3.73</v>
      </c>
      <c r="G557">
        <v>1810.9490000000001</v>
      </c>
      <c r="H557">
        <v>225.77699999999999</v>
      </c>
      <c r="I557">
        <v>80.209999999999994</v>
      </c>
      <c r="J557" t="s">
        <v>488</v>
      </c>
      <c r="K557">
        <v>17.2</v>
      </c>
      <c r="N557">
        <v>53</v>
      </c>
      <c r="O557">
        <v>53</v>
      </c>
      <c r="P557" t="s">
        <v>707</v>
      </c>
      <c r="Q557" t="s">
        <v>414</v>
      </c>
      <c r="S557">
        <v>3.73</v>
      </c>
      <c r="T557">
        <v>5697.2359999999999</v>
      </c>
      <c r="U557">
        <v>600.09199999999998</v>
      </c>
      <c r="V557">
        <v>94.938999999999993</v>
      </c>
      <c r="W557" t="s">
        <v>488</v>
      </c>
      <c r="X557">
        <v>25.8</v>
      </c>
    </row>
    <row r="558" spans="1:24" x14ac:dyDescent="0.45">
      <c r="A558">
        <v>40</v>
      </c>
      <c r="B558">
        <v>40</v>
      </c>
      <c r="C558" t="s">
        <v>621</v>
      </c>
      <c r="D558" t="s">
        <v>414</v>
      </c>
      <c r="F558">
        <v>3.73</v>
      </c>
      <c r="G558">
        <v>3216.701</v>
      </c>
      <c r="H558">
        <v>501.20299999999997</v>
      </c>
      <c r="I558">
        <v>64.180000000000007</v>
      </c>
      <c r="J558" t="s">
        <v>488</v>
      </c>
      <c r="K558">
        <v>14</v>
      </c>
      <c r="N558">
        <v>54</v>
      </c>
      <c r="O558">
        <v>54</v>
      </c>
      <c r="P558" t="s">
        <v>708</v>
      </c>
      <c r="Q558" t="s">
        <v>414</v>
      </c>
      <c r="S558">
        <v>3.73</v>
      </c>
      <c r="T558">
        <v>4161.1880000000001</v>
      </c>
      <c r="U558">
        <v>493.702</v>
      </c>
      <c r="V558">
        <v>84.284999999999997</v>
      </c>
      <c r="W558" t="s">
        <v>488</v>
      </c>
      <c r="X558">
        <v>22.8</v>
      </c>
    </row>
    <row r="559" spans="1:24" x14ac:dyDescent="0.45">
      <c r="A559">
        <v>41</v>
      </c>
      <c r="B559">
        <v>41</v>
      </c>
      <c r="C559" t="s">
        <v>622</v>
      </c>
      <c r="D559" t="s">
        <v>414</v>
      </c>
      <c r="F559">
        <v>3.73</v>
      </c>
      <c r="G559">
        <v>2586.732</v>
      </c>
      <c r="H559">
        <v>306.83499999999998</v>
      </c>
      <c r="I559">
        <v>84.304000000000002</v>
      </c>
      <c r="J559" t="s">
        <v>488</v>
      </c>
      <c r="K559">
        <v>18</v>
      </c>
      <c r="N559">
        <v>55</v>
      </c>
      <c r="O559">
        <v>55</v>
      </c>
      <c r="P559" t="s">
        <v>709</v>
      </c>
      <c r="Q559" t="s">
        <v>414</v>
      </c>
      <c r="S559">
        <v>3.73</v>
      </c>
      <c r="T559">
        <v>5307.2579999999998</v>
      </c>
      <c r="U559">
        <v>519.45899999999995</v>
      </c>
      <c r="V559">
        <v>102.169</v>
      </c>
      <c r="W559" t="s">
        <v>488</v>
      </c>
      <c r="X559">
        <v>27.8</v>
      </c>
    </row>
    <row r="560" spans="1:24" x14ac:dyDescent="0.45">
      <c r="A560">
        <v>42</v>
      </c>
      <c r="B560">
        <v>42</v>
      </c>
      <c r="C560" t="s">
        <v>623</v>
      </c>
      <c r="D560" t="s">
        <v>414</v>
      </c>
      <c r="F560">
        <v>3.73</v>
      </c>
      <c r="G560">
        <v>4733.5429999999997</v>
      </c>
      <c r="H560">
        <v>481.10599999999999</v>
      </c>
      <c r="I560">
        <v>98.388999999999996</v>
      </c>
      <c r="J560" t="s">
        <v>488</v>
      </c>
      <c r="K560">
        <v>20.9</v>
      </c>
      <c r="N560">
        <v>56</v>
      </c>
      <c r="O560">
        <v>56</v>
      </c>
      <c r="P560" t="s">
        <v>710</v>
      </c>
      <c r="Q560" t="s">
        <v>414</v>
      </c>
      <c r="S560">
        <v>3.73</v>
      </c>
      <c r="T560">
        <v>6222.1989999999996</v>
      </c>
      <c r="U560">
        <v>812.58600000000001</v>
      </c>
      <c r="V560">
        <v>76.572999999999993</v>
      </c>
      <c r="W560" t="s">
        <v>488</v>
      </c>
      <c r="X560">
        <v>20.7</v>
      </c>
    </row>
    <row r="561" spans="1:25" x14ac:dyDescent="0.45">
      <c r="A561">
        <v>43</v>
      </c>
      <c r="B561">
        <v>43</v>
      </c>
      <c r="C561" t="s">
        <v>624</v>
      </c>
      <c r="D561" t="s">
        <v>414</v>
      </c>
      <c r="F561">
        <v>3.73</v>
      </c>
      <c r="G561">
        <v>3846.3380000000002</v>
      </c>
      <c r="H561">
        <v>735.45899999999995</v>
      </c>
      <c r="I561">
        <v>52.298000000000002</v>
      </c>
      <c r="J561" t="s">
        <v>488</v>
      </c>
      <c r="K561">
        <v>11.6</v>
      </c>
      <c r="N561">
        <v>57</v>
      </c>
      <c r="O561">
        <v>57</v>
      </c>
      <c r="P561" t="s">
        <v>711</v>
      </c>
      <c r="Q561" t="s">
        <v>414</v>
      </c>
      <c r="S561">
        <v>3.73</v>
      </c>
      <c r="T561">
        <v>6519.3149999999996</v>
      </c>
      <c r="U561">
        <v>667.22199999999998</v>
      </c>
      <c r="V561">
        <v>97.707999999999998</v>
      </c>
      <c r="W561" t="s">
        <v>488</v>
      </c>
      <c r="X561">
        <v>26.5</v>
      </c>
    </row>
    <row r="562" spans="1:25" x14ac:dyDescent="0.45">
      <c r="A562">
        <v>44</v>
      </c>
      <c r="B562">
        <v>44</v>
      </c>
      <c r="C562" t="s">
        <v>625</v>
      </c>
      <c r="D562" t="s">
        <v>414</v>
      </c>
      <c r="F562">
        <v>3.73</v>
      </c>
      <c r="G562">
        <v>4358.433</v>
      </c>
      <c r="H562">
        <v>652.15899999999999</v>
      </c>
      <c r="I562">
        <v>66.831000000000003</v>
      </c>
      <c r="J562" t="s">
        <v>488</v>
      </c>
      <c r="K562">
        <v>14.5</v>
      </c>
      <c r="N562">
        <v>58</v>
      </c>
      <c r="O562">
        <v>58</v>
      </c>
      <c r="P562" t="s">
        <v>712</v>
      </c>
      <c r="Q562" t="s">
        <v>414</v>
      </c>
      <c r="S562">
        <v>3.73</v>
      </c>
      <c r="T562">
        <v>6135.8810000000003</v>
      </c>
      <c r="U562">
        <v>660.93</v>
      </c>
      <c r="V562">
        <v>92.837000000000003</v>
      </c>
      <c r="W562" t="s">
        <v>488</v>
      </c>
      <c r="X562">
        <v>25.2</v>
      </c>
    </row>
    <row r="563" spans="1:25" x14ac:dyDescent="0.45">
      <c r="A563">
        <v>45</v>
      </c>
      <c r="B563">
        <v>45</v>
      </c>
      <c r="C563" t="s">
        <v>626</v>
      </c>
      <c r="D563" t="s">
        <v>414</v>
      </c>
      <c r="F563">
        <v>3.73</v>
      </c>
      <c r="G563">
        <v>3723.002</v>
      </c>
      <c r="H563">
        <v>304.887</v>
      </c>
      <c r="I563">
        <v>122.111</v>
      </c>
      <c r="J563" t="s">
        <v>488</v>
      </c>
      <c r="K563">
        <v>25.6</v>
      </c>
      <c r="N563">
        <v>59</v>
      </c>
      <c r="O563">
        <v>59</v>
      </c>
      <c r="P563" t="s">
        <v>713</v>
      </c>
      <c r="Q563" t="s">
        <v>414</v>
      </c>
      <c r="S563">
        <v>3.73</v>
      </c>
      <c r="T563">
        <v>1893.9780000000001</v>
      </c>
      <c r="U563">
        <v>214.55699999999999</v>
      </c>
      <c r="V563">
        <v>88.274000000000001</v>
      </c>
      <c r="W563" t="s">
        <v>415</v>
      </c>
      <c r="X563">
        <v>23.9</v>
      </c>
    </row>
    <row r="564" spans="1:25" x14ac:dyDescent="0.45">
      <c r="A564">
        <v>46</v>
      </c>
      <c r="B564">
        <v>46</v>
      </c>
      <c r="C564" t="s">
        <v>627</v>
      </c>
      <c r="D564" t="s">
        <v>414</v>
      </c>
      <c r="F564">
        <v>3.73</v>
      </c>
      <c r="G564">
        <v>4322.0649999999996</v>
      </c>
      <c r="H564">
        <v>519.28599999999994</v>
      </c>
      <c r="I564">
        <v>83.230999999999995</v>
      </c>
      <c r="J564" t="s">
        <v>488</v>
      </c>
      <c r="K564">
        <v>17.8</v>
      </c>
      <c r="N564">
        <v>60</v>
      </c>
      <c r="O564">
        <v>60</v>
      </c>
      <c r="P564" t="s">
        <v>714</v>
      </c>
      <c r="Q564" t="s">
        <v>414</v>
      </c>
      <c r="S564">
        <v>3.73</v>
      </c>
      <c r="T564">
        <v>3086.82</v>
      </c>
      <c r="U564">
        <v>305.678</v>
      </c>
      <c r="V564">
        <v>100.983</v>
      </c>
      <c r="W564" t="s">
        <v>401</v>
      </c>
      <c r="X564">
        <v>27.4</v>
      </c>
    </row>
    <row r="565" spans="1:25" x14ac:dyDescent="0.45">
      <c r="A565">
        <v>47</v>
      </c>
      <c r="B565">
        <v>47</v>
      </c>
      <c r="C565" t="s">
        <v>628</v>
      </c>
      <c r="D565" t="s">
        <v>414</v>
      </c>
      <c r="F565">
        <v>3.73</v>
      </c>
      <c r="G565">
        <v>6147.6279999999997</v>
      </c>
      <c r="H565">
        <v>718.22500000000002</v>
      </c>
      <c r="I565">
        <v>85.594999999999999</v>
      </c>
      <c r="J565" t="s">
        <v>488</v>
      </c>
      <c r="K565">
        <v>18.3</v>
      </c>
      <c r="N565">
        <v>61</v>
      </c>
      <c r="O565">
        <v>61</v>
      </c>
      <c r="P565" t="s">
        <v>715</v>
      </c>
      <c r="Q565" t="s">
        <v>414</v>
      </c>
      <c r="S565">
        <v>3.73</v>
      </c>
      <c r="T565">
        <v>9329.6790000000001</v>
      </c>
      <c r="U565">
        <v>522.17899999999997</v>
      </c>
      <c r="V565">
        <v>178.66800000000001</v>
      </c>
      <c r="W565" t="s">
        <v>403</v>
      </c>
      <c r="X565">
        <v>48.8</v>
      </c>
    </row>
    <row r="566" spans="1:25" x14ac:dyDescent="0.45">
      <c r="A566">
        <v>48</v>
      </c>
      <c r="B566">
        <v>48</v>
      </c>
      <c r="C566" t="s">
        <v>629</v>
      </c>
      <c r="D566" t="s">
        <v>414</v>
      </c>
      <c r="F566">
        <v>3.73</v>
      </c>
      <c r="G566">
        <v>3738.2809999999999</v>
      </c>
      <c r="H566">
        <v>492.16899999999998</v>
      </c>
      <c r="I566">
        <v>75.954999999999998</v>
      </c>
      <c r="J566" t="s">
        <v>488</v>
      </c>
      <c r="K566">
        <v>16.3</v>
      </c>
      <c r="N566">
        <v>62</v>
      </c>
      <c r="O566">
        <v>62</v>
      </c>
      <c r="P566" t="s">
        <v>716</v>
      </c>
      <c r="Q566" t="s">
        <v>414</v>
      </c>
      <c r="S566">
        <v>3.73</v>
      </c>
      <c r="T566">
        <v>1484.557</v>
      </c>
      <c r="U566">
        <v>331.78899999999999</v>
      </c>
      <c r="V566">
        <v>44.744</v>
      </c>
      <c r="W566" t="s">
        <v>488</v>
      </c>
      <c r="X566">
        <v>12</v>
      </c>
    </row>
    <row r="567" spans="1:25" x14ac:dyDescent="0.45">
      <c r="A567">
        <v>49</v>
      </c>
      <c r="B567">
        <v>49</v>
      </c>
      <c r="C567" t="s">
        <v>630</v>
      </c>
      <c r="D567" t="s">
        <v>414</v>
      </c>
      <c r="F567">
        <v>3.73</v>
      </c>
      <c r="G567">
        <v>8165.4260000000004</v>
      </c>
      <c r="H567">
        <v>531.19899999999996</v>
      </c>
      <c r="I567">
        <v>153.71700000000001</v>
      </c>
      <c r="J567" t="s">
        <v>488</v>
      </c>
      <c r="K567">
        <v>32</v>
      </c>
      <c r="N567">
        <v>63</v>
      </c>
      <c r="O567">
        <v>63</v>
      </c>
      <c r="P567" t="s">
        <v>717</v>
      </c>
      <c r="Q567" t="s">
        <v>414</v>
      </c>
      <c r="S567">
        <v>3.73</v>
      </c>
      <c r="T567">
        <v>7381.8239999999996</v>
      </c>
      <c r="U567">
        <v>764.67399999999998</v>
      </c>
      <c r="V567">
        <v>96.536000000000001</v>
      </c>
      <c r="W567" t="s">
        <v>488</v>
      </c>
      <c r="X567">
        <v>26.2</v>
      </c>
    </row>
    <row r="568" spans="1:25" x14ac:dyDescent="0.45">
      <c r="A568">
        <v>50</v>
      </c>
      <c r="B568">
        <v>50</v>
      </c>
      <c r="C568" t="s">
        <v>631</v>
      </c>
      <c r="D568" t="s">
        <v>414</v>
      </c>
      <c r="F568">
        <v>3.74</v>
      </c>
      <c r="G568">
        <v>4278.6239999999998</v>
      </c>
      <c r="H568">
        <v>422.55</v>
      </c>
      <c r="I568">
        <v>101.25700000000001</v>
      </c>
      <c r="J568" t="s">
        <v>415</v>
      </c>
      <c r="K568">
        <v>21.4</v>
      </c>
      <c r="N568">
        <v>64</v>
      </c>
      <c r="O568">
        <v>64</v>
      </c>
      <c r="P568" t="s">
        <v>718</v>
      </c>
      <c r="Q568" t="s">
        <v>414</v>
      </c>
      <c r="S568">
        <v>3.73</v>
      </c>
      <c r="T568">
        <v>8781.598</v>
      </c>
      <c r="U568">
        <v>491.983</v>
      </c>
      <c r="V568">
        <v>178.494</v>
      </c>
      <c r="W568" t="s">
        <v>488</v>
      </c>
      <c r="X568">
        <v>48.7</v>
      </c>
    </row>
    <row r="569" spans="1:25" x14ac:dyDescent="0.45">
      <c r="A569">
        <v>51</v>
      </c>
      <c r="B569">
        <v>51</v>
      </c>
      <c r="C569" t="s">
        <v>632</v>
      </c>
      <c r="D569" t="s">
        <v>414</v>
      </c>
      <c r="F569">
        <v>3.73</v>
      </c>
      <c r="G569">
        <v>3453.538</v>
      </c>
      <c r="H569">
        <v>312.108</v>
      </c>
      <c r="I569">
        <v>110.652</v>
      </c>
      <c r="J569" t="s">
        <v>412</v>
      </c>
      <c r="K569">
        <v>23.3</v>
      </c>
      <c r="N569">
        <v>65</v>
      </c>
      <c r="O569">
        <v>65</v>
      </c>
      <c r="P569" t="s">
        <v>719</v>
      </c>
      <c r="Q569" t="s">
        <v>414</v>
      </c>
      <c r="S569">
        <v>3.73</v>
      </c>
      <c r="T569">
        <v>2045.107</v>
      </c>
      <c r="U569">
        <v>186.99100000000001</v>
      </c>
      <c r="V569">
        <v>109.369</v>
      </c>
      <c r="W569" t="s">
        <v>415</v>
      </c>
      <c r="X569">
        <v>29.7</v>
      </c>
    </row>
    <row r="570" spans="1:25" x14ac:dyDescent="0.45">
      <c r="A570">
        <v>52</v>
      </c>
      <c r="B570">
        <v>52</v>
      </c>
      <c r="C570" t="s">
        <v>633</v>
      </c>
      <c r="D570" t="s">
        <v>414</v>
      </c>
      <c r="F570">
        <v>3.73</v>
      </c>
      <c r="G570">
        <v>4886.8590000000004</v>
      </c>
      <c r="H570">
        <v>634.79700000000003</v>
      </c>
      <c r="I570">
        <v>76.983000000000004</v>
      </c>
      <c r="J570" t="s">
        <v>488</v>
      </c>
      <c r="K570">
        <v>16.600000000000001</v>
      </c>
      <c r="N570">
        <v>66</v>
      </c>
      <c r="O570">
        <v>66</v>
      </c>
      <c r="P570" t="s">
        <v>720</v>
      </c>
      <c r="Q570" t="s">
        <v>414</v>
      </c>
      <c r="S570">
        <v>3.73</v>
      </c>
      <c r="T570">
        <v>3528.6779999999999</v>
      </c>
      <c r="U570">
        <v>717.26199999999994</v>
      </c>
      <c r="V570">
        <v>49.197000000000003</v>
      </c>
      <c r="W570" t="s">
        <v>415</v>
      </c>
      <c r="X570">
        <v>13.2</v>
      </c>
    </row>
    <row r="571" spans="1:25" x14ac:dyDescent="0.45">
      <c r="A571">
        <v>53</v>
      </c>
      <c r="B571">
        <v>53</v>
      </c>
      <c r="C571" t="s">
        <v>634</v>
      </c>
      <c r="D571" t="s">
        <v>414</v>
      </c>
      <c r="F571">
        <v>3.73</v>
      </c>
      <c r="G571">
        <v>6633.7539999999999</v>
      </c>
      <c r="H571">
        <v>499.18400000000003</v>
      </c>
      <c r="I571">
        <v>132.892</v>
      </c>
      <c r="J571" t="s">
        <v>488</v>
      </c>
      <c r="K571">
        <v>27.8</v>
      </c>
      <c r="N571">
        <v>67</v>
      </c>
      <c r="O571">
        <v>67</v>
      </c>
      <c r="P571" t="s">
        <v>721</v>
      </c>
      <c r="Q571" t="s">
        <v>414</v>
      </c>
      <c r="S571">
        <v>3.73</v>
      </c>
      <c r="T571">
        <v>7372.2650000000003</v>
      </c>
      <c r="U571">
        <v>816.5</v>
      </c>
      <c r="V571">
        <v>90.290999999999997</v>
      </c>
      <c r="W571" t="s">
        <v>488</v>
      </c>
      <c r="X571">
        <v>24.5</v>
      </c>
    </row>
    <row r="572" spans="1:25" x14ac:dyDescent="0.45">
      <c r="A572">
        <v>54</v>
      </c>
      <c r="B572">
        <v>54</v>
      </c>
      <c r="C572" t="s">
        <v>635</v>
      </c>
      <c r="D572" t="s">
        <v>414</v>
      </c>
      <c r="F572">
        <v>3.73</v>
      </c>
      <c r="G572">
        <v>1328.3610000000001</v>
      </c>
      <c r="H572">
        <v>256.32100000000003</v>
      </c>
      <c r="I572">
        <v>51.823999999999998</v>
      </c>
      <c r="J572" t="s">
        <v>488</v>
      </c>
      <c r="K572">
        <v>11.5</v>
      </c>
    </row>
    <row r="573" spans="1:25" x14ac:dyDescent="0.45">
      <c r="A573">
        <v>55</v>
      </c>
      <c r="B573">
        <v>55</v>
      </c>
      <c r="C573" t="s">
        <v>636</v>
      </c>
      <c r="D573" t="s">
        <v>414</v>
      </c>
      <c r="F573">
        <v>3.73</v>
      </c>
      <c r="G573">
        <v>3120.7939999999999</v>
      </c>
      <c r="H573">
        <v>526.49699999999996</v>
      </c>
      <c r="I573">
        <v>59.274999999999999</v>
      </c>
      <c r="J573" t="s">
        <v>488</v>
      </c>
      <c r="K573">
        <v>13</v>
      </c>
      <c r="N573" t="s">
        <v>494</v>
      </c>
    </row>
    <row r="574" spans="1:25" x14ac:dyDescent="0.45">
      <c r="A574">
        <v>56</v>
      </c>
      <c r="B574">
        <v>56</v>
      </c>
      <c r="C574" t="s">
        <v>637</v>
      </c>
      <c r="D574" t="s">
        <v>414</v>
      </c>
      <c r="F574">
        <v>3.73</v>
      </c>
      <c r="G574">
        <v>11612.95</v>
      </c>
      <c r="H574">
        <v>618.45799999999997</v>
      </c>
      <c r="I574">
        <v>187.773</v>
      </c>
      <c r="J574" t="s">
        <v>403</v>
      </c>
      <c r="K574">
        <v>38.9</v>
      </c>
    </row>
    <row r="575" spans="1:25" x14ac:dyDescent="0.45">
      <c r="A575">
        <v>57</v>
      </c>
      <c r="B575">
        <v>57</v>
      </c>
      <c r="C575" t="s">
        <v>638</v>
      </c>
      <c r="D575" t="s">
        <v>414</v>
      </c>
      <c r="F575">
        <v>3.73</v>
      </c>
      <c r="G575">
        <v>3390.51</v>
      </c>
      <c r="H575">
        <v>280.62799999999999</v>
      </c>
      <c r="I575">
        <v>120.819</v>
      </c>
      <c r="J575" t="s">
        <v>403</v>
      </c>
      <c r="K575">
        <v>25.4</v>
      </c>
      <c r="O575" t="s">
        <v>389</v>
      </c>
      <c r="P575" t="s">
        <v>123</v>
      </c>
      <c r="Q575" t="s">
        <v>390</v>
      </c>
      <c r="R575" t="s">
        <v>391</v>
      </c>
      <c r="S575" t="s">
        <v>392</v>
      </c>
      <c r="T575" t="s">
        <v>393</v>
      </c>
      <c r="U575" t="s">
        <v>394</v>
      </c>
      <c r="V575" t="s">
        <v>395</v>
      </c>
      <c r="W575" t="s">
        <v>396</v>
      </c>
      <c r="X575" t="s">
        <v>397</v>
      </c>
      <c r="Y575" t="s">
        <v>398</v>
      </c>
    </row>
    <row r="576" spans="1:25" x14ac:dyDescent="0.45">
      <c r="A576">
        <v>58</v>
      </c>
      <c r="B576">
        <v>58</v>
      </c>
      <c r="C576" t="s">
        <v>639</v>
      </c>
      <c r="D576" t="s">
        <v>414</v>
      </c>
      <c r="F576">
        <v>3.73</v>
      </c>
      <c r="G576">
        <v>1966.367</v>
      </c>
      <c r="H576">
        <v>222.76300000000001</v>
      </c>
      <c r="I576">
        <v>88.272000000000006</v>
      </c>
      <c r="J576" t="s">
        <v>403</v>
      </c>
      <c r="K576">
        <v>18.8</v>
      </c>
      <c r="N576">
        <v>1</v>
      </c>
      <c r="O576">
        <v>1</v>
      </c>
      <c r="P576" t="s">
        <v>655</v>
      </c>
      <c r="Q576" t="s">
        <v>400</v>
      </c>
      <c r="R576">
        <v>0.05</v>
      </c>
      <c r="S576">
        <v>2.5099999999999998</v>
      </c>
      <c r="T576">
        <v>5085.9170000000004</v>
      </c>
      <c r="V576">
        <v>5085.9170000000004</v>
      </c>
      <c r="W576" t="s">
        <v>415</v>
      </c>
      <c r="X576">
        <v>0</v>
      </c>
      <c r="Y576">
        <v>-28.8</v>
      </c>
    </row>
    <row r="577" spans="1:25" x14ac:dyDescent="0.45">
      <c r="A577">
        <v>59</v>
      </c>
      <c r="B577">
        <v>59</v>
      </c>
      <c r="C577" t="s">
        <v>640</v>
      </c>
      <c r="D577" t="s">
        <v>414</v>
      </c>
      <c r="F577">
        <v>3.73</v>
      </c>
      <c r="G577">
        <v>5224.067</v>
      </c>
      <c r="H577">
        <v>353.70400000000001</v>
      </c>
      <c r="I577">
        <v>147.696</v>
      </c>
      <c r="J577" t="s">
        <v>415</v>
      </c>
      <c r="K577">
        <v>30.8</v>
      </c>
      <c r="N577">
        <v>2</v>
      </c>
      <c r="O577">
        <v>2</v>
      </c>
      <c r="P577" t="s">
        <v>656</v>
      </c>
      <c r="Q577" t="s">
        <v>400</v>
      </c>
      <c r="R577">
        <v>0.5</v>
      </c>
      <c r="S577">
        <v>2.5099999999999998</v>
      </c>
      <c r="T577">
        <v>43633.504000000001</v>
      </c>
      <c r="V577">
        <v>43633.504000000001</v>
      </c>
      <c r="W577" t="s">
        <v>415</v>
      </c>
      <c r="X577">
        <v>0.5</v>
      </c>
      <c r="Y577">
        <v>-3</v>
      </c>
    </row>
    <row r="578" spans="1:25" x14ac:dyDescent="0.45">
      <c r="A578">
        <v>60</v>
      </c>
      <c r="B578">
        <v>60</v>
      </c>
      <c r="C578" t="s">
        <v>641</v>
      </c>
      <c r="D578" t="s">
        <v>414</v>
      </c>
      <c r="F578">
        <v>3.73</v>
      </c>
      <c r="G578">
        <v>3904.203</v>
      </c>
      <c r="H578">
        <v>335.43</v>
      </c>
      <c r="I578">
        <v>116.39400000000001</v>
      </c>
      <c r="J578" t="s">
        <v>401</v>
      </c>
      <c r="K578">
        <v>24.5</v>
      </c>
      <c r="N578">
        <v>3</v>
      </c>
      <c r="O578">
        <v>3</v>
      </c>
      <c r="P578" t="s">
        <v>657</v>
      </c>
      <c r="Q578" t="s">
        <v>400</v>
      </c>
      <c r="R578">
        <v>1.25</v>
      </c>
      <c r="S578">
        <v>2.5099999999999998</v>
      </c>
      <c r="T578">
        <v>111594.656</v>
      </c>
      <c r="V578">
        <v>111594.656</v>
      </c>
      <c r="W578" t="s">
        <v>403</v>
      </c>
      <c r="X578">
        <v>1.3</v>
      </c>
      <c r="Y578">
        <v>2.2000000000000002</v>
      </c>
    </row>
    <row r="579" spans="1:25" x14ac:dyDescent="0.45">
      <c r="A579">
        <v>61</v>
      </c>
      <c r="B579">
        <v>61</v>
      </c>
      <c r="C579" t="s">
        <v>642</v>
      </c>
      <c r="D579" t="s">
        <v>414</v>
      </c>
      <c r="F579">
        <v>3.73</v>
      </c>
      <c r="G579">
        <v>8512.6360000000004</v>
      </c>
      <c r="H579">
        <v>461.29399999999998</v>
      </c>
      <c r="I579">
        <v>184.53800000000001</v>
      </c>
      <c r="J579" t="s">
        <v>403</v>
      </c>
      <c r="K579">
        <v>38.200000000000003</v>
      </c>
      <c r="N579">
        <v>4</v>
      </c>
      <c r="O579">
        <v>4</v>
      </c>
      <c r="P579" t="s">
        <v>658</v>
      </c>
      <c r="Q579" t="s">
        <v>400</v>
      </c>
      <c r="R579">
        <v>2.5</v>
      </c>
      <c r="S579">
        <v>2.5099999999999998</v>
      </c>
      <c r="T579">
        <v>227970.71900000001</v>
      </c>
      <c r="V579">
        <v>227970.71900000001</v>
      </c>
      <c r="W579" t="s">
        <v>401</v>
      </c>
      <c r="X579">
        <v>2.6</v>
      </c>
      <c r="Y579">
        <v>5.4</v>
      </c>
    </row>
    <row r="580" spans="1:25" x14ac:dyDescent="0.45">
      <c r="A580">
        <v>62</v>
      </c>
      <c r="B580">
        <v>62</v>
      </c>
      <c r="C580" t="s">
        <v>643</v>
      </c>
      <c r="D580" t="s">
        <v>414</v>
      </c>
      <c r="F580">
        <v>3.73</v>
      </c>
      <c r="G580">
        <v>5354.7420000000002</v>
      </c>
      <c r="H580">
        <v>740.23599999999999</v>
      </c>
      <c r="I580">
        <v>72.337999999999994</v>
      </c>
      <c r="J580" t="s">
        <v>412</v>
      </c>
      <c r="K580">
        <v>15.6</v>
      </c>
      <c r="N580">
        <v>5</v>
      </c>
      <c r="O580">
        <v>5</v>
      </c>
      <c r="P580" t="s">
        <v>659</v>
      </c>
      <c r="Q580" t="s">
        <v>400</v>
      </c>
      <c r="R580">
        <v>3.5</v>
      </c>
      <c r="S580">
        <v>2.52</v>
      </c>
      <c r="T580">
        <v>282352.40600000002</v>
      </c>
      <c r="V580">
        <v>282352.40600000002</v>
      </c>
      <c r="W580" t="s">
        <v>401</v>
      </c>
      <c r="X580">
        <v>3.3</v>
      </c>
      <c r="Y580">
        <v>-6.6</v>
      </c>
    </row>
    <row r="581" spans="1:25" x14ac:dyDescent="0.45">
      <c r="A581">
        <v>63</v>
      </c>
      <c r="B581">
        <v>63</v>
      </c>
      <c r="C581" t="s">
        <v>644</v>
      </c>
      <c r="D581" t="s">
        <v>414</v>
      </c>
      <c r="F581">
        <v>3.73</v>
      </c>
      <c r="G581">
        <v>2578.7069999999999</v>
      </c>
      <c r="H581">
        <v>304.80200000000002</v>
      </c>
      <c r="I581">
        <v>84.602999999999994</v>
      </c>
      <c r="J581" t="s">
        <v>488</v>
      </c>
      <c r="K581">
        <v>18.100000000000001</v>
      </c>
      <c r="N581">
        <v>6</v>
      </c>
      <c r="O581">
        <v>6</v>
      </c>
      <c r="P581" t="s">
        <v>660</v>
      </c>
      <c r="Q581" t="s">
        <v>400</v>
      </c>
      <c r="R581">
        <v>5</v>
      </c>
      <c r="S581">
        <v>2.52</v>
      </c>
      <c r="T581">
        <v>441212.78100000002</v>
      </c>
      <c r="V581">
        <v>441212.78100000002</v>
      </c>
      <c r="W581" t="s">
        <v>401</v>
      </c>
      <c r="X581">
        <v>5.0999999999999996</v>
      </c>
      <c r="Y581">
        <v>2.4</v>
      </c>
    </row>
    <row r="582" spans="1:25" x14ac:dyDescent="0.45">
      <c r="A582">
        <v>64</v>
      </c>
      <c r="B582">
        <v>64</v>
      </c>
      <c r="C582" t="s">
        <v>645</v>
      </c>
      <c r="D582" t="s">
        <v>414</v>
      </c>
      <c r="F582">
        <v>3.73</v>
      </c>
      <c r="G582">
        <v>1705.8630000000001</v>
      </c>
      <c r="H582">
        <v>297.88499999999999</v>
      </c>
      <c r="I582">
        <v>57.265999999999998</v>
      </c>
      <c r="J582" t="s">
        <v>488</v>
      </c>
      <c r="K582">
        <v>12.6</v>
      </c>
      <c r="N582">
        <v>7</v>
      </c>
      <c r="O582">
        <v>7</v>
      </c>
      <c r="P582" t="s">
        <v>661</v>
      </c>
      <c r="Q582" t="s">
        <v>400</v>
      </c>
      <c r="R582">
        <v>7</v>
      </c>
      <c r="S582">
        <v>2.5099999999999998</v>
      </c>
      <c r="T582">
        <v>600382.68799999997</v>
      </c>
      <c r="V582">
        <v>600382.68799999997</v>
      </c>
      <c r="W582" t="s">
        <v>401</v>
      </c>
      <c r="X582">
        <v>7</v>
      </c>
      <c r="Y582">
        <v>-0.3</v>
      </c>
    </row>
    <row r="583" spans="1:25" x14ac:dyDescent="0.45">
      <c r="A583">
        <v>65</v>
      </c>
      <c r="B583">
        <v>65</v>
      </c>
      <c r="C583" t="s">
        <v>646</v>
      </c>
      <c r="D583" t="s">
        <v>414</v>
      </c>
      <c r="F583">
        <v>3.73</v>
      </c>
      <c r="G583">
        <v>2155.4479999999999</v>
      </c>
      <c r="H583">
        <v>343.589</v>
      </c>
      <c r="I583">
        <v>62.732999999999997</v>
      </c>
      <c r="J583" t="s">
        <v>488</v>
      </c>
      <c r="K583">
        <v>13.7</v>
      </c>
      <c r="N583">
        <v>8</v>
      </c>
      <c r="O583">
        <v>8</v>
      </c>
      <c r="P583" t="s">
        <v>662</v>
      </c>
      <c r="Q583" t="s">
        <v>414</v>
      </c>
      <c r="S583">
        <v>3.29</v>
      </c>
      <c r="T583">
        <v>5308.3789999999999</v>
      </c>
      <c r="V583">
        <v>5308.3789999999999</v>
      </c>
      <c r="W583" t="s">
        <v>415</v>
      </c>
      <c r="X583">
        <v>0</v>
      </c>
    </row>
    <row r="584" spans="1:25" x14ac:dyDescent="0.45">
      <c r="A584">
        <v>66</v>
      </c>
      <c r="B584">
        <v>66</v>
      </c>
      <c r="C584" t="s">
        <v>647</v>
      </c>
      <c r="D584" t="s">
        <v>414</v>
      </c>
      <c r="F584">
        <v>3.73</v>
      </c>
      <c r="G584">
        <v>3829.326</v>
      </c>
      <c r="H584">
        <v>489.92200000000003</v>
      </c>
      <c r="I584">
        <v>78.162000000000006</v>
      </c>
      <c r="J584" t="s">
        <v>488</v>
      </c>
      <c r="K584">
        <v>16.8</v>
      </c>
      <c r="N584">
        <v>9</v>
      </c>
      <c r="O584">
        <v>9</v>
      </c>
      <c r="P584" t="s">
        <v>663</v>
      </c>
      <c r="Q584" t="s">
        <v>414</v>
      </c>
      <c r="S584">
        <v>3.28</v>
      </c>
      <c r="T584">
        <v>3054.107</v>
      </c>
      <c r="V584">
        <v>3054.107</v>
      </c>
      <c r="W584" t="s">
        <v>401</v>
      </c>
      <c r="X584">
        <v>0</v>
      </c>
    </row>
    <row r="585" spans="1:25" x14ac:dyDescent="0.45">
      <c r="A585">
        <v>67</v>
      </c>
      <c r="B585">
        <v>67</v>
      </c>
      <c r="C585" t="s">
        <v>648</v>
      </c>
      <c r="D585" t="s">
        <v>414</v>
      </c>
      <c r="F585">
        <v>3.73</v>
      </c>
      <c r="G585">
        <v>1473.5920000000001</v>
      </c>
      <c r="H585">
        <v>263.76499999999999</v>
      </c>
      <c r="I585">
        <v>55.868000000000002</v>
      </c>
      <c r="J585" t="s">
        <v>488</v>
      </c>
      <c r="K585">
        <v>12.3</v>
      </c>
      <c r="N585">
        <v>10</v>
      </c>
      <c r="O585">
        <v>10</v>
      </c>
      <c r="P585" t="s">
        <v>664</v>
      </c>
      <c r="Q585" t="s">
        <v>414</v>
      </c>
      <c r="S585">
        <v>3.28</v>
      </c>
      <c r="T585">
        <v>4335.8059999999996</v>
      </c>
      <c r="V585">
        <v>4335.8059999999996</v>
      </c>
      <c r="W585" t="s">
        <v>415</v>
      </c>
      <c r="X585">
        <v>0</v>
      </c>
    </row>
    <row r="586" spans="1:25" x14ac:dyDescent="0.45">
      <c r="A586">
        <v>68</v>
      </c>
      <c r="B586">
        <v>68</v>
      </c>
      <c r="C586" t="s">
        <v>649</v>
      </c>
      <c r="D586" t="s">
        <v>414</v>
      </c>
      <c r="F586">
        <v>3.73</v>
      </c>
      <c r="G586">
        <v>2157.4369999999999</v>
      </c>
      <c r="H586">
        <v>316.54700000000003</v>
      </c>
      <c r="I586">
        <v>68.155000000000001</v>
      </c>
      <c r="J586" t="s">
        <v>488</v>
      </c>
      <c r="K586">
        <v>14.8</v>
      </c>
      <c r="N586">
        <v>11</v>
      </c>
      <c r="O586">
        <v>11</v>
      </c>
      <c r="P586" t="s">
        <v>665</v>
      </c>
      <c r="Q586" t="s">
        <v>414</v>
      </c>
      <c r="S586">
        <v>3.29</v>
      </c>
      <c r="T586">
        <v>3173.3620000000001</v>
      </c>
      <c r="V586">
        <v>3173.3620000000001</v>
      </c>
      <c r="W586" t="s">
        <v>415</v>
      </c>
      <c r="X586">
        <v>0</v>
      </c>
    </row>
    <row r="587" spans="1:25" x14ac:dyDescent="0.45">
      <c r="A587">
        <v>69</v>
      </c>
      <c r="B587">
        <v>69</v>
      </c>
      <c r="C587" t="s">
        <v>650</v>
      </c>
      <c r="D587" t="s">
        <v>414</v>
      </c>
      <c r="F587">
        <v>3.73</v>
      </c>
      <c r="G587">
        <v>2175.5239999999999</v>
      </c>
      <c r="H587">
        <v>567.75800000000004</v>
      </c>
      <c r="I587">
        <v>38.317999999999998</v>
      </c>
      <c r="J587" t="s">
        <v>488</v>
      </c>
      <c r="K587">
        <v>8.8000000000000007</v>
      </c>
      <c r="N587">
        <v>12</v>
      </c>
      <c r="O587">
        <v>12</v>
      </c>
      <c r="P587" t="s">
        <v>666</v>
      </c>
      <c r="Q587" t="s">
        <v>414</v>
      </c>
      <c r="S587">
        <v>3.28</v>
      </c>
      <c r="T587">
        <v>4869.0150000000003</v>
      </c>
      <c r="V587">
        <v>4869.0150000000003</v>
      </c>
      <c r="W587" t="s">
        <v>401</v>
      </c>
      <c r="X587">
        <v>0</v>
      </c>
    </row>
    <row r="588" spans="1:25" x14ac:dyDescent="0.45">
      <c r="N588">
        <v>13</v>
      </c>
      <c r="O588">
        <v>13</v>
      </c>
      <c r="P588" t="s">
        <v>667</v>
      </c>
      <c r="Q588" t="s">
        <v>414</v>
      </c>
      <c r="S588">
        <v>3.29</v>
      </c>
      <c r="T588">
        <v>4140.826</v>
      </c>
      <c r="V588">
        <v>4140.826</v>
      </c>
      <c r="W588" t="s">
        <v>415</v>
      </c>
      <c r="X588">
        <v>0</v>
      </c>
    </row>
    <row r="589" spans="1:25" x14ac:dyDescent="0.45">
      <c r="A589" t="s">
        <v>494</v>
      </c>
      <c r="N589">
        <v>14</v>
      </c>
      <c r="O589">
        <v>14</v>
      </c>
      <c r="P589" t="s">
        <v>668</v>
      </c>
      <c r="Q589" t="s">
        <v>414</v>
      </c>
      <c r="S589">
        <v>3.28</v>
      </c>
      <c r="T589">
        <v>4805.9560000000001</v>
      </c>
      <c r="V589">
        <v>4805.9560000000001</v>
      </c>
      <c r="W589" t="s">
        <v>401</v>
      </c>
      <c r="X589">
        <v>0</v>
      </c>
    </row>
    <row r="590" spans="1:25" x14ac:dyDescent="0.45">
      <c r="N590">
        <v>15</v>
      </c>
      <c r="O590">
        <v>15</v>
      </c>
      <c r="P590" t="s">
        <v>669</v>
      </c>
      <c r="Q590" t="s">
        <v>414</v>
      </c>
      <c r="S590">
        <v>3.28</v>
      </c>
      <c r="T590">
        <v>3116.15</v>
      </c>
      <c r="V590">
        <v>3116.15</v>
      </c>
      <c r="W590" t="s">
        <v>401</v>
      </c>
      <c r="X590">
        <v>0</v>
      </c>
    </row>
    <row r="591" spans="1:25" x14ac:dyDescent="0.45">
      <c r="B591" t="s">
        <v>389</v>
      </c>
      <c r="C591" t="s">
        <v>123</v>
      </c>
      <c r="D591" t="s">
        <v>390</v>
      </c>
      <c r="E591" t="s">
        <v>391</v>
      </c>
      <c r="F591" t="s">
        <v>392</v>
      </c>
      <c r="G591" t="s">
        <v>393</v>
      </c>
      <c r="H591" t="s">
        <v>394</v>
      </c>
      <c r="I591" t="s">
        <v>395</v>
      </c>
      <c r="J591" t="s">
        <v>396</v>
      </c>
      <c r="K591" t="s">
        <v>397</v>
      </c>
      <c r="L591" t="s">
        <v>398</v>
      </c>
      <c r="N591">
        <v>16</v>
      </c>
      <c r="O591">
        <v>16</v>
      </c>
      <c r="P591" t="s">
        <v>670</v>
      </c>
      <c r="Q591" t="s">
        <v>414</v>
      </c>
      <c r="S591">
        <v>3.28</v>
      </c>
      <c r="T591">
        <v>2493.7020000000002</v>
      </c>
      <c r="V591">
        <v>2493.7020000000002</v>
      </c>
      <c r="W591" t="s">
        <v>401</v>
      </c>
      <c r="X591">
        <v>0</v>
      </c>
    </row>
    <row r="592" spans="1:25" x14ac:dyDescent="0.45">
      <c r="A592">
        <v>1</v>
      </c>
      <c r="B592">
        <v>1</v>
      </c>
      <c r="C592" t="s">
        <v>582</v>
      </c>
      <c r="D592" t="s">
        <v>400</v>
      </c>
      <c r="E592">
        <v>0.05</v>
      </c>
      <c r="F592">
        <v>2.52</v>
      </c>
      <c r="G592">
        <v>4253.1840000000002</v>
      </c>
      <c r="I592">
        <v>4253.1840000000002</v>
      </c>
      <c r="J592" t="s">
        <v>403</v>
      </c>
      <c r="K592">
        <v>0.1</v>
      </c>
      <c r="L592">
        <v>11.4</v>
      </c>
      <c r="N592">
        <v>17</v>
      </c>
      <c r="O592">
        <v>17</v>
      </c>
      <c r="P592" t="s">
        <v>671</v>
      </c>
      <c r="Q592" t="s">
        <v>414</v>
      </c>
      <c r="S592">
        <v>3.28</v>
      </c>
      <c r="T592">
        <v>2480.69</v>
      </c>
      <c r="V592">
        <v>2480.69</v>
      </c>
      <c r="W592" t="s">
        <v>403</v>
      </c>
      <c r="X592">
        <v>0</v>
      </c>
    </row>
    <row r="593" spans="1:24" x14ac:dyDescent="0.45">
      <c r="A593">
        <v>2</v>
      </c>
      <c r="B593">
        <v>2</v>
      </c>
      <c r="C593" t="s">
        <v>583</v>
      </c>
      <c r="D593" t="s">
        <v>400</v>
      </c>
      <c r="E593">
        <v>0.5</v>
      </c>
      <c r="F593">
        <v>2.5099999999999998</v>
      </c>
      <c r="G593">
        <v>37384.550999999999</v>
      </c>
      <c r="I593">
        <v>37384.550999999999</v>
      </c>
      <c r="J593" t="s">
        <v>403</v>
      </c>
      <c r="K593">
        <v>0.5</v>
      </c>
      <c r="L593">
        <v>-3.2</v>
      </c>
      <c r="N593">
        <v>18</v>
      </c>
      <c r="O593">
        <v>18</v>
      </c>
      <c r="P593" t="s">
        <v>672</v>
      </c>
      <c r="Q593" t="s">
        <v>414</v>
      </c>
      <c r="S593">
        <v>3.29</v>
      </c>
      <c r="T593">
        <v>3190.837</v>
      </c>
      <c r="V593">
        <v>3190.837</v>
      </c>
      <c r="W593" t="s">
        <v>412</v>
      </c>
      <c r="X593">
        <v>0</v>
      </c>
    </row>
    <row r="594" spans="1:24" x14ac:dyDescent="0.45">
      <c r="A594">
        <v>3</v>
      </c>
      <c r="B594">
        <v>3</v>
      </c>
      <c r="C594" t="s">
        <v>584</v>
      </c>
      <c r="D594" t="s">
        <v>400</v>
      </c>
      <c r="E594">
        <v>1.25</v>
      </c>
      <c r="F594">
        <v>2.5099999999999998</v>
      </c>
      <c r="G594">
        <v>81942.991999999998</v>
      </c>
      <c r="I594">
        <v>81942.991999999998</v>
      </c>
      <c r="J594" t="s">
        <v>415</v>
      </c>
      <c r="K594">
        <v>1.1000000000000001</v>
      </c>
      <c r="L594">
        <v>-15.2</v>
      </c>
      <c r="N594">
        <v>19</v>
      </c>
      <c r="O594">
        <v>19</v>
      </c>
      <c r="P594" t="s">
        <v>673</v>
      </c>
      <c r="Q594" t="s">
        <v>414</v>
      </c>
      <c r="S594">
        <v>3.28</v>
      </c>
      <c r="T594">
        <v>2927.5050000000001</v>
      </c>
      <c r="V594">
        <v>2927.5050000000001</v>
      </c>
      <c r="W594" t="s">
        <v>401</v>
      </c>
      <c r="X594">
        <v>0</v>
      </c>
    </row>
    <row r="595" spans="1:24" x14ac:dyDescent="0.45">
      <c r="A595">
        <v>4</v>
      </c>
      <c r="B595">
        <v>4</v>
      </c>
      <c r="C595" t="s">
        <v>585</v>
      </c>
      <c r="D595" t="s">
        <v>400</v>
      </c>
      <c r="E595">
        <v>2.5</v>
      </c>
      <c r="F595">
        <v>2.5099999999999998</v>
      </c>
      <c r="G595">
        <v>182530</v>
      </c>
      <c r="I595">
        <v>182530</v>
      </c>
      <c r="J595" t="s">
        <v>415</v>
      </c>
      <c r="K595">
        <v>2.4</v>
      </c>
      <c r="L595">
        <v>-5.6</v>
      </c>
      <c r="N595">
        <v>20</v>
      </c>
      <c r="O595">
        <v>20</v>
      </c>
      <c r="P595" t="s">
        <v>674</v>
      </c>
      <c r="Q595" t="s">
        <v>414</v>
      </c>
      <c r="S595">
        <v>3.28</v>
      </c>
      <c r="T595">
        <v>3549.7890000000002</v>
      </c>
      <c r="V595">
        <v>3549.7890000000002</v>
      </c>
      <c r="W595" t="s">
        <v>403</v>
      </c>
      <c r="X595">
        <v>0</v>
      </c>
    </row>
    <row r="596" spans="1:24" x14ac:dyDescent="0.45">
      <c r="A596">
        <v>5</v>
      </c>
      <c r="B596">
        <v>5</v>
      </c>
      <c r="C596" t="s">
        <v>586</v>
      </c>
      <c r="D596" t="s">
        <v>400</v>
      </c>
      <c r="E596">
        <v>3.5</v>
      </c>
      <c r="F596">
        <v>2.5099999999999998</v>
      </c>
      <c r="G596">
        <v>286580.75</v>
      </c>
      <c r="I596">
        <v>286580.75</v>
      </c>
      <c r="J596" t="s">
        <v>401</v>
      </c>
      <c r="K596">
        <v>3.7</v>
      </c>
      <c r="L596">
        <v>5.9</v>
      </c>
      <c r="N596">
        <v>21</v>
      </c>
      <c r="O596">
        <v>21</v>
      </c>
      <c r="P596" t="s">
        <v>675</v>
      </c>
      <c r="Q596" t="s">
        <v>414</v>
      </c>
      <c r="S596">
        <v>3.29</v>
      </c>
      <c r="T596">
        <v>2550.3009999999999</v>
      </c>
      <c r="V596">
        <v>2550.3009999999999</v>
      </c>
      <c r="W596" t="s">
        <v>401</v>
      </c>
      <c r="X596">
        <v>0</v>
      </c>
    </row>
    <row r="597" spans="1:24" x14ac:dyDescent="0.45">
      <c r="A597">
        <v>6</v>
      </c>
      <c r="B597">
        <v>6</v>
      </c>
      <c r="C597" t="s">
        <v>587</v>
      </c>
      <c r="D597" t="s">
        <v>400</v>
      </c>
      <c r="E597">
        <v>5</v>
      </c>
      <c r="F597">
        <v>2.5099999999999998</v>
      </c>
      <c r="G597">
        <v>427321.40600000002</v>
      </c>
      <c r="I597">
        <v>427321.40600000002</v>
      </c>
      <c r="J597" t="s">
        <v>401</v>
      </c>
      <c r="K597">
        <v>5.5</v>
      </c>
      <c r="L597">
        <v>10.5</v>
      </c>
      <c r="N597">
        <v>22</v>
      </c>
      <c r="O597">
        <v>22</v>
      </c>
      <c r="P597" t="s">
        <v>676</v>
      </c>
      <c r="Q597" t="s">
        <v>414</v>
      </c>
      <c r="S597">
        <v>3.28</v>
      </c>
      <c r="T597">
        <v>3745.3319999999999</v>
      </c>
      <c r="V597">
        <v>3745.3319999999999</v>
      </c>
      <c r="W597" t="s">
        <v>403</v>
      </c>
      <c r="X597">
        <v>0</v>
      </c>
    </row>
    <row r="598" spans="1:24" x14ac:dyDescent="0.45">
      <c r="A598">
        <v>7</v>
      </c>
      <c r="B598">
        <v>7</v>
      </c>
      <c r="C598" t="s">
        <v>588</v>
      </c>
      <c r="D598" t="s">
        <v>400</v>
      </c>
      <c r="E598">
        <v>7</v>
      </c>
      <c r="F598">
        <v>2.5099999999999998</v>
      </c>
      <c r="G598">
        <v>510662.46899999998</v>
      </c>
      <c r="I598">
        <v>510662.46899999998</v>
      </c>
      <c r="J598" t="s">
        <v>403</v>
      </c>
      <c r="K598">
        <v>6.6</v>
      </c>
      <c r="L598">
        <v>-5.6</v>
      </c>
      <c r="N598">
        <v>23</v>
      </c>
      <c r="O598">
        <v>23</v>
      </c>
      <c r="P598" t="s">
        <v>677</v>
      </c>
      <c r="Q598" t="s">
        <v>414</v>
      </c>
      <c r="S598">
        <v>3.28</v>
      </c>
      <c r="T598">
        <v>3421.1120000000001</v>
      </c>
      <c r="V598">
        <v>3421.1120000000001</v>
      </c>
      <c r="W598" t="s">
        <v>401</v>
      </c>
      <c r="X598">
        <v>0</v>
      </c>
    </row>
    <row r="599" spans="1:24" x14ac:dyDescent="0.45">
      <c r="A599">
        <v>8</v>
      </c>
      <c r="B599">
        <v>8</v>
      </c>
      <c r="C599" t="s">
        <v>589</v>
      </c>
      <c r="D599" t="s">
        <v>410</v>
      </c>
      <c r="F599">
        <v>2.5099999999999998</v>
      </c>
      <c r="G599">
        <v>1418.99</v>
      </c>
      <c r="I599">
        <v>1418.99</v>
      </c>
      <c r="J599" t="s">
        <v>415</v>
      </c>
      <c r="K599">
        <v>0</v>
      </c>
      <c r="N599">
        <v>24</v>
      </c>
      <c r="O599">
        <v>24</v>
      </c>
      <c r="P599" t="s">
        <v>678</v>
      </c>
      <c r="Q599" t="s">
        <v>414</v>
      </c>
      <c r="S599">
        <v>3.28</v>
      </c>
      <c r="T599">
        <v>2561.5729999999999</v>
      </c>
      <c r="V599">
        <v>2561.5729999999999</v>
      </c>
      <c r="W599" t="s">
        <v>403</v>
      </c>
      <c r="X599">
        <v>0</v>
      </c>
    </row>
    <row r="600" spans="1:24" x14ac:dyDescent="0.45">
      <c r="A600">
        <v>9</v>
      </c>
      <c r="B600">
        <v>9</v>
      </c>
      <c r="C600" t="s">
        <v>590</v>
      </c>
      <c r="D600" t="s">
        <v>410</v>
      </c>
      <c r="F600">
        <v>2.94</v>
      </c>
      <c r="G600">
        <v>2920.8319999999999</v>
      </c>
      <c r="I600">
        <v>2920.8319999999999</v>
      </c>
      <c r="J600" t="s">
        <v>403</v>
      </c>
      <c r="K600">
        <v>0</v>
      </c>
      <c r="N600">
        <v>25</v>
      </c>
      <c r="O600">
        <v>25</v>
      </c>
      <c r="P600" t="s">
        <v>679</v>
      </c>
      <c r="Q600" t="s">
        <v>414</v>
      </c>
      <c r="S600">
        <v>3.28</v>
      </c>
      <c r="T600">
        <v>2302.3440000000001</v>
      </c>
      <c r="V600">
        <v>2302.3440000000001</v>
      </c>
      <c r="W600" t="s">
        <v>415</v>
      </c>
      <c r="X600">
        <v>0</v>
      </c>
    </row>
    <row r="601" spans="1:24" x14ac:dyDescent="0.45">
      <c r="A601">
        <v>10</v>
      </c>
      <c r="B601">
        <v>10</v>
      </c>
      <c r="C601" t="s">
        <v>591</v>
      </c>
      <c r="D601" t="s">
        <v>414</v>
      </c>
      <c r="F601">
        <v>3.29</v>
      </c>
      <c r="G601">
        <v>15690.723</v>
      </c>
      <c r="I601">
        <v>15690.723</v>
      </c>
      <c r="J601" t="s">
        <v>415</v>
      </c>
      <c r="K601">
        <v>0.2</v>
      </c>
      <c r="N601">
        <v>26</v>
      </c>
      <c r="O601">
        <v>26</v>
      </c>
      <c r="P601" t="s">
        <v>680</v>
      </c>
      <c r="Q601" t="s">
        <v>414</v>
      </c>
      <c r="S601">
        <v>3.28</v>
      </c>
      <c r="T601">
        <v>2995.1880000000001</v>
      </c>
      <c r="V601">
        <v>2995.1880000000001</v>
      </c>
      <c r="W601" t="s">
        <v>412</v>
      </c>
      <c r="X601">
        <v>0</v>
      </c>
    </row>
    <row r="602" spans="1:24" x14ac:dyDescent="0.45">
      <c r="A602">
        <v>11</v>
      </c>
      <c r="B602">
        <v>11</v>
      </c>
      <c r="C602" t="s">
        <v>592</v>
      </c>
      <c r="D602" t="s">
        <v>414</v>
      </c>
      <c r="F602">
        <v>3.29</v>
      </c>
      <c r="G602">
        <v>3106.1039999999998</v>
      </c>
      <c r="I602">
        <v>3106.1039999999998</v>
      </c>
      <c r="J602" t="s">
        <v>403</v>
      </c>
      <c r="K602">
        <v>0</v>
      </c>
      <c r="N602">
        <v>27</v>
      </c>
      <c r="O602">
        <v>27</v>
      </c>
      <c r="P602" t="s">
        <v>681</v>
      </c>
      <c r="Q602" t="s">
        <v>414</v>
      </c>
      <c r="S602">
        <v>3.28</v>
      </c>
      <c r="T602">
        <v>3478.26</v>
      </c>
      <c r="V602">
        <v>3478.26</v>
      </c>
      <c r="W602" t="s">
        <v>403</v>
      </c>
      <c r="X602">
        <v>0</v>
      </c>
    </row>
    <row r="603" spans="1:24" x14ac:dyDescent="0.45">
      <c r="A603">
        <v>12</v>
      </c>
      <c r="B603">
        <v>12</v>
      </c>
      <c r="C603" t="s">
        <v>593</v>
      </c>
      <c r="D603" t="s">
        <v>414</v>
      </c>
      <c r="F603">
        <v>3.29</v>
      </c>
      <c r="G603">
        <v>3939.616</v>
      </c>
      <c r="I603">
        <v>3939.616</v>
      </c>
      <c r="J603" t="s">
        <v>401</v>
      </c>
      <c r="K603">
        <v>0.1</v>
      </c>
      <c r="N603">
        <v>28</v>
      </c>
      <c r="O603">
        <v>28</v>
      </c>
      <c r="P603" t="s">
        <v>682</v>
      </c>
      <c r="Q603" t="s">
        <v>414</v>
      </c>
      <c r="S603">
        <v>3.28</v>
      </c>
      <c r="T603">
        <v>3194.2429999999999</v>
      </c>
      <c r="V603">
        <v>3194.2429999999999</v>
      </c>
      <c r="W603" t="s">
        <v>401</v>
      </c>
      <c r="X603">
        <v>0</v>
      </c>
    </row>
    <row r="604" spans="1:24" x14ac:dyDescent="0.45">
      <c r="A604">
        <v>13</v>
      </c>
      <c r="B604">
        <v>13</v>
      </c>
      <c r="C604" t="s">
        <v>594</v>
      </c>
      <c r="D604" t="s">
        <v>414</v>
      </c>
      <c r="F604">
        <v>3.29</v>
      </c>
      <c r="G604">
        <v>5268.982</v>
      </c>
      <c r="I604">
        <v>5268.982</v>
      </c>
      <c r="J604" t="s">
        <v>415</v>
      </c>
      <c r="K604">
        <v>0.1</v>
      </c>
      <c r="N604">
        <v>29</v>
      </c>
      <c r="O604">
        <v>29</v>
      </c>
      <c r="P604" t="s">
        <v>683</v>
      </c>
      <c r="Q604" t="s">
        <v>414</v>
      </c>
      <c r="S604">
        <v>3.28</v>
      </c>
      <c r="T604">
        <v>2246.616</v>
      </c>
      <c r="V604">
        <v>2246.616</v>
      </c>
      <c r="W604" t="s">
        <v>415</v>
      </c>
      <c r="X604">
        <v>0</v>
      </c>
    </row>
    <row r="605" spans="1:24" x14ac:dyDescent="0.45">
      <c r="A605">
        <v>14</v>
      </c>
      <c r="B605">
        <v>14</v>
      </c>
      <c r="C605" t="s">
        <v>595</v>
      </c>
      <c r="D605" t="s">
        <v>414</v>
      </c>
      <c r="F605">
        <v>3.29</v>
      </c>
      <c r="G605">
        <v>5776.8990000000003</v>
      </c>
      <c r="I605">
        <v>5776.8990000000003</v>
      </c>
      <c r="J605" t="s">
        <v>401</v>
      </c>
      <c r="K605">
        <v>0.1</v>
      </c>
      <c r="N605">
        <v>30</v>
      </c>
      <c r="O605">
        <v>30</v>
      </c>
      <c r="P605" t="s">
        <v>684</v>
      </c>
      <c r="Q605" t="s">
        <v>414</v>
      </c>
      <c r="S605">
        <v>3.28</v>
      </c>
      <c r="T605">
        <v>2906.0050000000001</v>
      </c>
      <c r="V605">
        <v>2906.0050000000001</v>
      </c>
      <c r="W605" t="s">
        <v>412</v>
      </c>
      <c r="X605">
        <v>0</v>
      </c>
    </row>
    <row r="606" spans="1:24" x14ac:dyDescent="0.45">
      <c r="A606">
        <v>15</v>
      </c>
      <c r="B606">
        <v>15</v>
      </c>
      <c r="C606" t="s">
        <v>596</v>
      </c>
      <c r="D606" t="s">
        <v>414</v>
      </c>
      <c r="F606">
        <v>3.29</v>
      </c>
      <c r="G606">
        <v>6669.1869999999999</v>
      </c>
      <c r="I606">
        <v>6669.1869999999999</v>
      </c>
      <c r="J606" t="s">
        <v>401</v>
      </c>
      <c r="K606">
        <v>0.1</v>
      </c>
      <c r="N606">
        <v>31</v>
      </c>
      <c r="O606">
        <v>31</v>
      </c>
      <c r="P606" t="s">
        <v>685</v>
      </c>
      <c r="Q606" t="s">
        <v>414</v>
      </c>
      <c r="S606">
        <v>3.28</v>
      </c>
      <c r="T606">
        <v>2798.9569999999999</v>
      </c>
      <c r="V606">
        <v>2798.9569999999999</v>
      </c>
      <c r="W606" t="s">
        <v>401</v>
      </c>
      <c r="X606">
        <v>0</v>
      </c>
    </row>
    <row r="607" spans="1:24" x14ac:dyDescent="0.45">
      <c r="A607">
        <v>16</v>
      </c>
      <c r="B607">
        <v>16</v>
      </c>
      <c r="C607" t="s">
        <v>597</v>
      </c>
      <c r="D607" t="s">
        <v>414</v>
      </c>
      <c r="F607">
        <v>3.29</v>
      </c>
      <c r="G607">
        <v>5293.6890000000003</v>
      </c>
      <c r="I607">
        <v>5293.6890000000003</v>
      </c>
      <c r="J607" t="s">
        <v>415</v>
      </c>
      <c r="K607">
        <v>0.1</v>
      </c>
      <c r="N607">
        <v>32</v>
      </c>
      <c r="O607">
        <v>32</v>
      </c>
      <c r="P607" t="s">
        <v>686</v>
      </c>
      <c r="Q607" t="s">
        <v>414</v>
      </c>
      <c r="S607">
        <v>3.28</v>
      </c>
      <c r="T607">
        <v>5288.4030000000002</v>
      </c>
      <c r="V607">
        <v>5288.4030000000002</v>
      </c>
      <c r="W607" t="s">
        <v>401</v>
      </c>
      <c r="X607">
        <v>0</v>
      </c>
    </row>
    <row r="608" spans="1:24" x14ac:dyDescent="0.45">
      <c r="A608">
        <v>17</v>
      </c>
      <c r="B608">
        <v>17</v>
      </c>
      <c r="C608" t="s">
        <v>598</v>
      </c>
      <c r="D608" t="s">
        <v>414</v>
      </c>
      <c r="F608">
        <v>3.29</v>
      </c>
      <c r="G608">
        <v>6079.1790000000001</v>
      </c>
      <c r="I608">
        <v>6079.1790000000001</v>
      </c>
      <c r="J608" t="s">
        <v>401</v>
      </c>
      <c r="K608">
        <v>0.1</v>
      </c>
      <c r="N608">
        <v>33</v>
      </c>
      <c r="O608">
        <v>33</v>
      </c>
      <c r="P608" t="s">
        <v>687</v>
      </c>
      <c r="Q608" t="s">
        <v>414</v>
      </c>
      <c r="S608">
        <v>3.28</v>
      </c>
      <c r="T608">
        <v>4263.9319999999998</v>
      </c>
      <c r="V608">
        <v>4263.9319999999998</v>
      </c>
      <c r="W608" t="s">
        <v>415</v>
      </c>
      <c r="X608">
        <v>0</v>
      </c>
    </row>
    <row r="609" spans="1:24" x14ac:dyDescent="0.45">
      <c r="A609">
        <v>18</v>
      </c>
      <c r="B609">
        <v>18</v>
      </c>
      <c r="C609" t="s">
        <v>599</v>
      </c>
      <c r="D609" t="s">
        <v>414</v>
      </c>
      <c r="F609">
        <v>3.29</v>
      </c>
      <c r="G609">
        <v>3254.913</v>
      </c>
      <c r="I609">
        <v>3254.913</v>
      </c>
      <c r="J609" t="s">
        <v>403</v>
      </c>
      <c r="K609">
        <v>0</v>
      </c>
      <c r="N609">
        <v>34</v>
      </c>
      <c r="O609">
        <v>34</v>
      </c>
      <c r="P609" t="s">
        <v>688</v>
      </c>
      <c r="Q609" t="s">
        <v>414</v>
      </c>
      <c r="S609">
        <v>3.28</v>
      </c>
      <c r="T609">
        <v>3832.2750000000001</v>
      </c>
      <c r="V609">
        <v>3832.2750000000001</v>
      </c>
      <c r="W609" t="s">
        <v>401</v>
      </c>
      <c r="X609">
        <v>0</v>
      </c>
    </row>
    <row r="610" spans="1:24" x14ac:dyDescent="0.45">
      <c r="A610">
        <v>19</v>
      </c>
      <c r="B610">
        <v>19</v>
      </c>
      <c r="C610" t="s">
        <v>600</v>
      </c>
      <c r="D610" t="s">
        <v>414</v>
      </c>
      <c r="F610">
        <v>3.29</v>
      </c>
      <c r="G610">
        <v>4818.1949999999997</v>
      </c>
      <c r="I610">
        <v>4818.1949999999997</v>
      </c>
      <c r="J610" t="s">
        <v>403</v>
      </c>
      <c r="K610">
        <v>0.1</v>
      </c>
      <c r="N610">
        <v>35</v>
      </c>
      <c r="O610">
        <v>35</v>
      </c>
      <c r="P610" t="s">
        <v>689</v>
      </c>
      <c r="Q610" t="s">
        <v>414</v>
      </c>
      <c r="S610">
        <v>3.1</v>
      </c>
      <c r="T610">
        <v>3789.6149999999998</v>
      </c>
      <c r="V610">
        <v>3789.6149999999998</v>
      </c>
      <c r="W610" t="s">
        <v>415</v>
      </c>
      <c r="X610">
        <v>0</v>
      </c>
    </row>
    <row r="611" spans="1:24" x14ac:dyDescent="0.45">
      <c r="A611">
        <v>20</v>
      </c>
      <c r="B611">
        <v>20</v>
      </c>
      <c r="C611" t="s">
        <v>601</v>
      </c>
      <c r="D611" t="s">
        <v>414</v>
      </c>
      <c r="F611">
        <v>3.29</v>
      </c>
      <c r="G611">
        <v>2365.84</v>
      </c>
      <c r="I611">
        <v>2365.84</v>
      </c>
      <c r="J611" t="s">
        <v>403</v>
      </c>
      <c r="K611">
        <v>0</v>
      </c>
      <c r="N611">
        <v>36</v>
      </c>
      <c r="O611">
        <v>36</v>
      </c>
      <c r="P611" t="s">
        <v>690</v>
      </c>
      <c r="Q611" t="s">
        <v>414</v>
      </c>
      <c r="S611">
        <v>3.28</v>
      </c>
      <c r="T611">
        <v>3632.0920000000001</v>
      </c>
      <c r="V611">
        <v>3632.0920000000001</v>
      </c>
      <c r="W611" t="s">
        <v>415</v>
      </c>
      <c r="X611">
        <v>0</v>
      </c>
    </row>
    <row r="612" spans="1:24" x14ac:dyDescent="0.45">
      <c r="A612">
        <v>21</v>
      </c>
      <c r="B612">
        <v>21</v>
      </c>
      <c r="C612" t="s">
        <v>602</v>
      </c>
      <c r="D612" t="s">
        <v>414</v>
      </c>
      <c r="F612">
        <v>3.29</v>
      </c>
      <c r="G612">
        <v>3693.8119999999999</v>
      </c>
      <c r="I612">
        <v>3693.8119999999999</v>
      </c>
      <c r="J612" t="s">
        <v>403</v>
      </c>
      <c r="K612">
        <v>0</v>
      </c>
      <c r="N612">
        <v>37</v>
      </c>
      <c r="O612">
        <v>37</v>
      </c>
      <c r="P612" t="s">
        <v>691</v>
      </c>
      <c r="Q612" t="s">
        <v>414</v>
      </c>
      <c r="S612">
        <v>3.28</v>
      </c>
      <c r="T612">
        <v>3021.6860000000001</v>
      </c>
      <c r="V612">
        <v>3021.6860000000001</v>
      </c>
      <c r="W612" t="s">
        <v>401</v>
      </c>
      <c r="X612">
        <v>0</v>
      </c>
    </row>
    <row r="613" spans="1:24" x14ac:dyDescent="0.45">
      <c r="A613">
        <v>22</v>
      </c>
      <c r="B613">
        <v>22</v>
      </c>
      <c r="C613" t="s">
        <v>603</v>
      </c>
      <c r="D613" t="s">
        <v>414</v>
      </c>
      <c r="F613">
        <v>3.29</v>
      </c>
      <c r="G613">
        <v>6137.5990000000002</v>
      </c>
      <c r="I613">
        <v>6137.5990000000002</v>
      </c>
      <c r="J613" t="s">
        <v>415</v>
      </c>
      <c r="K613">
        <v>0.1</v>
      </c>
      <c r="N613">
        <v>38</v>
      </c>
      <c r="O613">
        <v>38</v>
      </c>
      <c r="P613" t="s">
        <v>692</v>
      </c>
      <c r="Q613" t="s">
        <v>414</v>
      </c>
      <c r="S613">
        <v>3.28</v>
      </c>
      <c r="T613">
        <v>4154.3959999999997</v>
      </c>
      <c r="V613">
        <v>4154.3959999999997</v>
      </c>
      <c r="W613" t="s">
        <v>415</v>
      </c>
      <c r="X613">
        <v>0</v>
      </c>
    </row>
    <row r="614" spans="1:24" x14ac:dyDescent="0.45">
      <c r="A614">
        <v>23</v>
      </c>
      <c r="B614">
        <v>23</v>
      </c>
      <c r="C614" t="s">
        <v>604</v>
      </c>
      <c r="D614" t="s">
        <v>414</v>
      </c>
      <c r="F614">
        <v>3.29</v>
      </c>
      <c r="G614">
        <v>7445.8729999999996</v>
      </c>
      <c r="I614">
        <v>7445.8729999999996</v>
      </c>
      <c r="J614" t="s">
        <v>401</v>
      </c>
      <c r="K614">
        <v>0.1</v>
      </c>
      <c r="N614">
        <v>39</v>
      </c>
      <c r="O614">
        <v>39</v>
      </c>
      <c r="P614" t="s">
        <v>693</v>
      </c>
      <c r="Q614" t="s">
        <v>414</v>
      </c>
      <c r="S614">
        <v>3.1</v>
      </c>
      <c r="T614">
        <v>3671.8589999999999</v>
      </c>
      <c r="V614">
        <v>3671.8589999999999</v>
      </c>
      <c r="W614" t="s">
        <v>412</v>
      </c>
      <c r="X614">
        <v>0</v>
      </c>
    </row>
    <row r="615" spans="1:24" x14ac:dyDescent="0.45">
      <c r="A615">
        <v>24</v>
      </c>
      <c r="B615">
        <v>24</v>
      </c>
      <c r="C615" t="s">
        <v>605</v>
      </c>
      <c r="D615" t="s">
        <v>414</v>
      </c>
      <c r="F615">
        <v>3.29</v>
      </c>
      <c r="G615">
        <v>5579.6409999999996</v>
      </c>
      <c r="I615">
        <v>5579.6409999999996</v>
      </c>
      <c r="J615" t="s">
        <v>415</v>
      </c>
      <c r="K615">
        <v>0.1</v>
      </c>
      <c r="N615">
        <v>40</v>
      </c>
      <c r="O615">
        <v>40</v>
      </c>
      <c r="P615" t="s">
        <v>694</v>
      </c>
      <c r="Q615" t="s">
        <v>414</v>
      </c>
      <c r="S615">
        <v>3.28</v>
      </c>
      <c r="T615">
        <v>8008.9390000000003</v>
      </c>
      <c r="V615">
        <v>8008.9390000000003</v>
      </c>
      <c r="W615" t="s">
        <v>415</v>
      </c>
      <c r="X615">
        <v>0.1</v>
      </c>
    </row>
    <row r="616" spans="1:24" x14ac:dyDescent="0.45">
      <c r="A616">
        <v>25</v>
      </c>
      <c r="B616">
        <v>25</v>
      </c>
      <c r="C616" t="s">
        <v>606</v>
      </c>
      <c r="D616" t="s">
        <v>414</v>
      </c>
      <c r="F616">
        <v>3.29</v>
      </c>
      <c r="G616">
        <v>6855.067</v>
      </c>
      <c r="I616">
        <v>6855.067</v>
      </c>
      <c r="J616" t="s">
        <v>401</v>
      </c>
      <c r="K616">
        <v>0.1</v>
      </c>
      <c r="N616">
        <v>41</v>
      </c>
      <c r="O616">
        <v>41</v>
      </c>
      <c r="P616" t="s">
        <v>695</v>
      </c>
      <c r="Q616" t="s">
        <v>414</v>
      </c>
      <c r="S616">
        <v>3.28</v>
      </c>
      <c r="T616">
        <v>7262.83</v>
      </c>
      <c r="V616">
        <v>7262.83</v>
      </c>
      <c r="W616" t="s">
        <v>415</v>
      </c>
      <c r="X616">
        <v>0.1</v>
      </c>
    </row>
    <row r="617" spans="1:24" x14ac:dyDescent="0.45">
      <c r="A617">
        <v>26</v>
      </c>
      <c r="B617">
        <v>26</v>
      </c>
      <c r="C617" t="s">
        <v>607</v>
      </c>
      <c r="D617" t="s">
        <v>414</v>
      </c>
      <c r="F617">
        <v>3.29</v>
      </c>
      <c r="G617">
        <v>6410.0169999999998</v>
      </c>
      <c r="I617">
        <v>6410.0169999999998</v>
      </c>
      <c r="J617" t="s">
        <v>412</v>
      </c>
      <c r="K617">
        <v>0.1</v>
      </c>
      <c r="N617">
        <v>42</v>
      </c>
      <c r="O617">
        <v>42</v>
      </c>
      <c r="P617" t="s">
        <v>696</v>
      </c>
      <c r="Q617" t="s">
        <v>414</v>
      </c>
      <c r="S617">
        <v>3.28</v>
      </c>
      <c r="T617">
        <v>7496.058</v>
      </c>
      <c r="V617">
        <v>7496.058</v>
      </c>
      <c r="W617" t="s">
        <v>412</v>
      </c>
      <c r="X617">
        <v>0.1</v>
      </c>
    </row>
    <row r="618" spans="1:24" x14ac:dyDescent="0.45">
      <c r="A618">
        <v>27</v>
      </c>
      <c r="B618">
        <v>27</v>
      </c>
      <c r="C618" t="s">
        <v>608</v>
      </c>
      <c r="D618" t="s">
        <v>414</v>
      </c>
      <c r="F618">
        <v>3.29</v>
      </c>
      <c r="G618">
        <v>6263.4129999999996</v>
      </c>
      <c r="I618">
        <v>6263.4129999999996</v>
      </c>
      <c r="J618" t="s">
        <v>415</v>
      </c>
      <c r="K618">
        <v>0.1</v>
      </c>
      <c r="N618">
        <v>43</v>
      </c>
      <c r="O618">
        <v>43</v>
      </c>
      <c r="P618" t="s">
        <v>697</v>
      </c>
      <c r="Q618" t="s">
        <v>414</v>
      </c>
      <c r="S618">
        <v>3.28</v>
      </c>
      <c r="T618">
        <v>8482.2870000000003</v>
      </c>
      <c r="V618">
        <v>8482.2870000000003</v>
      </c>
      <c r="W618" t="s">
        <v>415</v>
      </c>
      <c r="X618">
        <v>0.1</v>
      </c>
    </row>
    <row r="619" spans="1:24" x14ac:dyDescent="0.45">
      <c r="A619">
        <v>28</v>
      </c>
      <c r="B619">
        <v>28</v>
      </c>
      <c r="C619" t="s">
        <v>609</v>
      </c>
      <c r="D619" t="s">
        <v>414</v>
      </c>
      <c r="F619">
        <v>3.29</v>
      </c>
      <c r="G619">
        <v>5731.2650000000003</v>
      </c>
      <c r="I619">
        <v>5731.2650000000003</v>
      </c>
      <c r="J619" t="s">
        <v>415</v>
      </c>
      <c r="K619">
        <v>0.1</v>
      </c>
      <c r="N619">
        <v>44</v>
      </c>
      <c r="O619">
        <v>44</v>
      </c>
      <c r="P619" t="s">
        <v>698</v>
      </c>
      <c r="Q619" t="s">
        <v>414</v>
      </c>
      <c r="S619">
        <v>3.28</v>
      </c>
      <c r="T619">
        <v>7938.3710000000001</v>
      </c>
      <c r="V619">
        <v>7938.3710000000001</v>
      </c>
      <c r="W619" t="s">
        <v>415</v>
      </c>
      <c r="X619">
        <v>0.1</v>
      </c>
    </row>
    <row r="620" spans="1:24" x14ac:dyDescent="0.45">
      <c r="A620">
        <v>29</v>
      </c>
      <c r="B620">
        <v>29</v>
      </c>
      <c r="C620" t="s">
        <v>610</v>
      </c>
      <c r="D620" t="s">
        <v>414</v>
      </c>
      <c r="F620">
        <v>3.29</v>
      </c>
      <c r="G620">
        <v>5549.6329999999998</v>
      </c>
      <c r="I620">
        <v>5549.6329999999998</v>
      </c>
      <c r="J620" t="s">
        <v>403</v>
      </c>
      <c r="K620">
        <v>0.1</v>
      </c>
      <c r="N620">
        <v>45</v>
      </c>
      <c r="O620">
        <v>45</v>
      </c>
      <c r="P620" t="s">
        <v>699</v>
      </c>
      <c r="Q620" t="s">
        <v>414</v>
      </c>
      <c r="S620">
        <v>3.29</v>
      </c>
      <c r="T620">
        <v>4280.8519999999999</v>
      </c>
      <c r="V620">
        <v>4280.8519999999999</v>
      </c>
      <c r="W620" t="s">
        <v>403</v>
      </c>
      <c r="X620">
        <v>0</v>
      </c>
    </row>
    <row r="621" spans="1:24" x14ac:dyDescent="0.45">
      <c r="A621">
        <v>30</v>
      </c>
      <c r="B621">
        <v>30</v>
      </c>
      <c r="C621" t="s">
        <v>611</v>
      </c>
      <c r="D621" t="s">
        <v>414</v>
      </c>
      <c r="F621">
        <v>3.29</v>
      </c>
      <c r="G621">
        <v>6333.5879999999997</v>
      </c>
      <c r="I621">
        <v>6333.5879999999997</v>
      </c>
      <c r="J621" t="s">
        <v>403</v>
      </c>
      <c r="K621">
        <v>0.1</v>
      </c>
      <c r="N621">
        <v>46</v>
      </c>
      <c r="O621">
        <v>46</v>
      </c>
      <c r="P621" t="s">
        <v>700</v>
      </c>
      <c r="Q621" t="s">
        <v>414</v>
      </c>
      <c r="S621">
        <v>3.28</v>
      </c>
      <c r="T621">
        <v>10763.464</v>
      </c>
      <c r="V621">
        <v>10763.464</v>
      </c>
      <c r="W621" t="s">
        <v>401</v>
      </c>
      <c r="X621">
        <v>0.1</v>
      </c>
    </row>
    <row r="622" spans="1:24" x14ac:dyDescent="0.45">
      <c r="A622">
        <v>31</v>
      </c>
      <c r="B622">
        <v>31</v>
      </c>
      <c r="C622" t="s">
        <v>612</v>
      </c>
      <c r="D622" t="s">
        <v>414</v>
      </c>
      <c r="F622">
        <v>3.29</v>
      </c>
      <c r="G622">
        <v>5528.6840000000002</v>
      </c>
      <c r="I622">
        <v>5528.6840000000002</v>
      </c>
      <c r="J622" t="s">
        <v>403</v>
      </c>
      <c r="K622">
        <v>0.1</v>
      </c>
      <c r="N622">
        <v>47</v>
      </c>
      <c r="O622">
        <v>47</v>
      </c>
      <c r="P622" t="s">
        <v>701</v>
      </c>
      <c r="Q622" t="s">
        <v>414</v>
      </c>
      <c r="S622">
        <v>3.28</v>
      </c>
      <c r="T622">
        <v>7291.9669999999996</v>
      </c>
      <c r="V622">
        <v>7291.9669999999996</v>
      </c>
      <c r="W622" t="s">
        <v>401</v>
      </c>
      <c r="X622">
        <v>0.1</v>
      </c>
    </row>
    <row r="623" spans="1:24" x14ac:dyDescent="0.45">
      <c r="A623">
        <v>32</v>
      </c>
      <c r="B623">
        <v>32</v>
      </c>
      <c r="C623" t="s">
        <v>613</v>
      </c>
      <c r="D623" t="s">
        <v>414</v>
      </c>
      <c r="F623">
        <v>3.29</v>
      </c>
      <c r="G623">
        <v>5472.7079999999996</v>
      </c>
      <c r="I623">
        <v>5472.7079999999996</v>
      </c>
      <c r="J623" t="s">
        <v>403</v>
      </c>
      <c r="K623">
        <v>0.1</v>
      </c>
      <c r="N623">
        <v>48</v>
      </c>
      <c r="O623">
        <v>48</v>
      </c>
      <c r="P623" t="s">
        <v>702</v>
      </c>
      <c r="Q623" t="s">
        <v>414</v>
      </c>
      <c r="S623">
        <v>3.28</v>
      </c>
      <c r="T623">
        <v>9138.1630000000005</v>
      </c>
      <c r="V623">
        <v>9138.1630000000005</v>
      </c>
      <c r="W623" t="s">
        <v>401</v>
      </c>
      <c r="X623">
        <v>0.1</v>
      </c>
    </row>
    <row r="624" spans="1:24" x14ac:dyDescent="0.45">
      <c r="A624">
        <v>33</v>
      </c>
      <c r="B624">
        <v>33</v>
      </c>
      <c r="C624" t="s">
        <v>614</v>
      </c>
      <c r="D624" t="s">
        <v>414</v>
      </c>
      <c r="F624">
        <v>3.29</v>
      </c>
      <c r="G624">
        <v>4873.9139999999998</v>
      </c>
      <c r="I624">
        <v>4873.9139999999998</v>
      </c>
      <c r="J624" t="s">
        <v>403</v>
      </c>
      <c r="K624">
        <v>0.1</v>
      </c>
      <c r="N624">
        <v>49</v>
      </c>
      <c r="O624">
        <v>49</v>
      </c>
      <c r="P624" t="s">
        <v>703</v>
      </c>
      <c r="Q624" t="s">
        <v>414</v>
      </c>
      <c r="S624">
        <v>3.28</v>
      </c>
      <c r="T624">
        <v>8288.7780000000002</v>
      </c>
      <c r="V624">
        <v>8288.7780000000002</v>
      </c>
      <c r="W624" t="s">
        <v>415</v>
      </c>
      <c r="X624">
        <v>0.1</v>
      </c>
    </row>
    <row r="625" spans="1:24" x14ac:dyDescent="0.45">
      <c r="A625">
        <v>34</v>
      </c>
      <c r="B625">
        <v>34</v>
      </c>
      <c r="C625" t="s">
        <v>615</v>
      </c>
      <c r="D625" t="s">
        <v>414</v>
      </c>
      <c r="F625">
        <v>3.29</v>
      </c>
      <c r="G625">
        <v>3790.154</v>
      </c>
      <c r="I625">
        <v>3790.154</v>
      </c>
      <c r="J625" t="s">
        <v>412</v>
      </c>
      <c r="K625">
        <v>0</v>
      </c>
      <c r="N625">
        <v>50</v>
      </c>
      <c r="O625">
        <v>50</v>
      </c>
      <c r="P625" t="s">
        <v>704</v>
      </c>
      <c r="Q625" t="s">
        <v>414</v>
      </c>
      <c r="S625">
        <v>3.28</v>
      </c>
      <c r="T625">
        <v>6529.2479999999996</v>
      </c>
      <c r="V625">
        <v>6529.2479999999996</v>
      </c>
      <c r="W625" t="s">
        <v>401</v>
      </c>
      <c r="X625">
        <v>0.1</v>
      </c>
    </row>
    <row r="626" spans="1:24" x14ac:dyDescent="0.45">
      <c r="A626">
        <v>35</v>
      </c>
      <c r="B626">
        <v>35</v>
      </c>
      <c r="C626" t="s">
        <v>616</v>
      </c>
      <c r="D626" t="s">
        <v>414</v>
      </c>
      <c r="F626">
        <v>3.29</v>
      </c>
      <c r="G626">
        <v>4743.6540000000005</v>
      </c>
      <c r="I626">
        <v>4743.6540000000005</v>
      </c>
      <c r="J626" t="s">
        <v>403</v>
      </c>
      <c r="K626">
        <v>0.1</v>
      </c>
      <c r="N626">
        <v>51</v>
      </c>
      <c r="O626">
        <v>51</v>
      </c>
      <c r="P626" t="s">
        <v>705</v>
      </c>
      <c r="Q626" t="s">
        <v>414</v>
      </c>
      <c r="S626">
        <v>3.28</v>
      </c>
      <c r="T626">
        <v>3105.5189999999998</v>
      </c>
      <c r="V626">
        <v>3105.5189999999998</v>
      </c>
      <c r="W626" t="s">
        <v>412</v>
      </c>
      <c r="X626">
        <v>0</v>
      </c>
    </row>
    <row r="627" spans="1:24" x14ac:dyDescent="0.45">
      <c r="A627">
        <v>36</v>
      </c>
      <c r="B627">
        <v>36</v>
      </c>
      <c r="C627" t="s">
        <v>617</v>
      </c>
      <c r="D627" t="s">
        <v>414</v>
      </c>
      <c r="F627">
        <v>3.29</v>
      </c>
      <c r="G627">
        <v>2709.857</v>
      </c>
      <c r="I627">
        <v>2709.857</v>
      </c>
      <c r="J627" t="s">
        <v>415</v>
      </c>
      <c r="K627">
        <v>0</v>
      </c>
      <c r="N627">
        <v>52</v>
      </c>
      <c r="O627">
        <v>52</v>
      </c>
      <c r="P627" t="s">
        <v>706</v>
      </c>
      <c r="Q627" t="s">
        <v>414</v>
      </c>
      <c r="S627">
        <v>3.28</v>
      </c>
      <c r="T627">
        <v>7429.5889999999999</v>
      </c>
      <c r="V627">
        <v>7429.5889999999999</v>
      </c>
      <c r="W627" t="s">
        <v>403</v>
      </c>
      <c r="X627">
        <v>0.1</v>
      </c>
    </row>
    <row r="628" spans="1:24" x14ac:dyDescent="0.45">
      <c r="A628">
        <v>37</v>
      </c>
      <c r="B628">
        <v>37</v>
      </c>
      <c r="C628" t="s">
        <v>618</v>
      </c>
      <c r="D628" t="s">
        <v>414</v>
      </c>
      <c r="F628">
        <v>3.28</v>
      </c>
      <c r="G628">
        <v>5020.4639999999999</v>
      </c>
      <c r="I628">
        <v>5020.4639999999999</v>
      </c>
      <c r="J628" t="s">
        <v>401</v>
      </c>
      <c r="K628">
        <v>0.1</v>
      </c>
      <c r="N628">
        <v>53</v>
      </c>
      <c r="O628">
        <v>53</v>
      </c>
      <c r="P628" t="s">
        <v>707</v>
      </c>
      <c r="Q628" t="s">
        <v>414</v>
      </c>
      <c r="S628">
        <v>3.28</v>
      </c>
      <c r="T628">
        <v>7458.1360000000004</v>
      </c>
      <c r="V628">
        <v>7458.1360000000004</v>
      </c>
      <c r="W628" t="s">
        <v>415</v>
      </c>
      <c r="X628">
        <v>0.1</v>
      </c>
    </row>
    <row r="629" spans="1:24" x14ac:dyDescent="0.45">
      <c r="A629">
        <v>38</v>
      </c>
      <c r="B629">
        <v>38</v>
      </c>
      <c r="C629" t="s">
        <v>619</v>
      </c>
      <c r="D629" t="s">
        <v>414</v>
      </c>
      <c r="F629">
        <v>3.1</v>
      </c>
      <c r="G629">
        <v>3410.0639999999999</v>
      </c>
      <c r="I629">
        <v>3410.0639999999999</v>
      </c>
      <c r="J629" t="s">
        <v>403</v>
      </c>
      <c r="K629">
        <v>0</v>
      </c>
      <c r="N629">
        <v>54</v>
      </c>
      <c r="O629">
        <v>54</v>
      </c>
      <c r="P629" t="s">
        <v>708</v>
      </c>
      <c r="Q629" t="s">
        <v>414</v>
      </c>
      <c r="S629">
        <v>3.28</v>
      </c>
      <c r="T629">
        <v>7951.7110000000002</v>
      </c>
      <c r="V629">
        <v>7951.7110000000002</v>
      </c>
      <c r="W629" t="s">
        <v>415</v>
      </c>
      <c r="X629">
        <v>0.1</v>
      </c>
    </row>
    <row r="630" spans="1:24" x14ac:dyDescent="0.45">
      <c r="A630">
        <v>39</v>
      </c>
      <c r="B630">
        <v>39</v>
      </c>
      <c r="C630" t="s">
        <v>620</v>
      </c>
      <c r="D630" t="s">
        <v>414</v>
      </c>
      <c r="F630">
        <v>3.28</v>
      </c>
      <c r="G630">
        <v>2386.857</v>
      </c>
      <c r="I630">
        <v>2386.857</v>
      </c>
      <c r="J630" t="s">
        <v>401</v>
      </c>
      <c r="K630">
        <v>0</v>
      </c>
      <c r="N630">
        <v>55</v>
      </c>
      <c r="O630">
        <v>55</v>
      </c>
      <c r="P630" t="s">
        <v>709</v>
      </c>
      <c r="Q630" t="s">
        <v>414</v>
      </c>
      <c r="S630">
        <v>3.28</v>
      </c>
      <c r="T630">
        <v>6881.5349999999999</v>
      </c>
      <c r="V630">
        <v>6881.5349999999999</v>
      </c>
      <c r="W630" t="s">
        <v>401</v>
      </c>
      <c r="X630">
        <v>0.1</v>
      </c>
    </row>
    <row r="631" spans="1:24" x14ac:dyDescent="0.45">
      <c r="A631">
        <v>40</v>
      </c>
      <c r="B631">
        <v>40</v>
      </c>
      <c r="C631" t="s">
        <v>621</v>
      </c>
      <c r="D631" t="s">
        <v>414</v>
      </c>
      <c r="F631">
        <v>3.29</v>
      </c>
      <c r="G631">
        <v>4684.4260000000004</v>
      </c>
      <c r="I631">
        <v>4684.4260000000004</v>
      </c>
      <c r="J631" t="s">
        <v>401</v>
      </c>
      <c r="K631">
        <v>0.1</v>
      </c>
      <c r="N631">
        <v>56</v>
      </c>
      <c r="O631">
        <v>56</v>
      </c>
      <c r="P631" t="s">
        <v>710</v>
      </c>
      <c r="Q631" t="s">
        <v>414</v>
      </c>
      <c r="S631">
        <v>3.28</v>
      </c>
      <c r="T631">
        <v>6762.4290000000001</v>
      </c>
      <c r="V631">
        <v>6762.4290000000001</v>
      </c>
      <c r="W631" t="s">
        <v>401</v>
      </c>
      <c r="X631">
        <v>0.1</v>
      </c>
    </row>
    <row r="632" spans="1:24" x14ac:dyDescent="0.45">
      <c r="A632">
        <v>41</v>
      </c>
      <c r="B632">
        <v>41</v>
      </c>
      <c r="C632" t="s">
        <v>622</v>
      </c>
      <c r="D632" t="s">
        <v>414</v>
      </c>
      <c r="F632">
        <v>3.29</v>
      </c>
      <c r="G632">
        <v>3750.6460000000002</v>
      </c>
      <c r="I632">
        <v>3750.6460000000002</v>
      </c>
      <c r="J632" t="s">
        <v>403</v>
      </c>
      <c r="K632">
        <v>0</v>
      </c>
      <c r="N632">
        <v>57</v>
      </c>
      <c r="O632">
        <v>57</v>
      </c>
      <c r="P632" t="s">
        <v>711</v>
      </c>
      <c r="Q632" t="s">
        <v>414</v>
      </c>
      <c r="S632">
        <v>3.28</v>
      </c>
      <c r="T632">
        <v>6104.1819999999998</v>
      </c>
      <c r="V632">
        <v>6104.1819999999998</v>
      </c>
      <c r="W632" t="s">
        <v>401</v>
      </c>
      <c r="X632">
        <v>0</v>
      </c>
    </row>
    <row r="633" spans="1:24" x14ac:dyDescent="0.45">
      <c r="A633">
        <v>42</v>
      </c>
      <c r="B633">
        <v>42</v>
      </c>
      <c r="C633" t="s">
        <v>623</v>
      </c>
      <c r="D633" t="s">
        <v>414</v>
      </c>
      <c r="F633">
        <v>3.29</v>
      </c>
      <c r="G633">
        <v>7458.7160000000003</v>
      </c>
      <c r="I633">
        <v>7458.7160000000003</v>
      </c>
      <c r="J633" t="s">
        <v>401</v>
      </c>
      <c r="K633">
        <v>0.1</v>
      </c>
      <c r="N633">
        <v>58</v>
      </c>
      <c r="O633">
        <v>58</v>
      </c>
      <c r="P633" t="s">
        <v>712</v>
      </c>
      <c r="Q633" t="s">
        <v>414</v>
      </c>
      <c r="S633">
        <v>3.28</v>
      </c>
      <c r="T633">
        <v>7001.8490000000002</v>
      </c>
      <c r="V633">
        <v>7001.8490000000002</v>
      </c>
      <c r="W633" t="s">
        <v>415</v>
      </c>
      <c r="X633">
        <v>0.1</v>
      </c>
    </row>
    <row r="634" spans="1:24" x14ac:dyDescent="0.45">
      <c r="A634">
        <v>43</v>
      </c>
      <c r="B634">
        <v>43</v>
      </c>
      <c r="C634" t="s">
        <v>624</v>
      </c>
      <c r="D634" t="s">
        <v>414</v>
      </c>
      <c r="F634">
        <v>3.29</v>
      </c>
      <c r="G634">
        <v>10758.779</v>
      </c>
      <c r="I634">
        <v>10758.779</v>
      </c>
      <c r="J634" t="s">
        <v>401</v>
      </c>
      <c r="K634">
        <v>0.1</v>
      </c>
      <c r="N634">
        <v>59</v>
      </c>
      <c r="O634">
        <v>59</v>
      </c>
      <c r="P634" t="s">
        <v>713</v>
      </c>
      <c r="Q634" t="s">
        <v>414</v>
      </c>
      <c r="S634">
        <v>3.29</v>
      </c>
      <c r="T634">
        <v>3278.3690000000001</v>
      </c>
      <c r="V634">
        <v>3278.3690000000001</v>
      </c>
      <c r="W634" t="s">
        <v>401</v>
      </c>
      <c r="X634">
        <v>0</v>
      </c>
    </row>
    <row r="635" spans="1:24" x14ac:dyDescent="0.45">
      <c r="A635">
        <v>44</v>
      </c>
      <c r="B635">
        <v>44</v>
      </c>
      <c r="C635" t="s">
        <v>625</v>
      </c>
      <c r="D635" t="s">
        <v>414</v>
      </c>
      <c r="F635">
        <v>3.29</v>
      </c>
      <c r="G635">
        <v>4881.1310000000003</v>
      </c>
      <c r="I635">
        <v>4881.1310000000003</v>
      </c>
      <c r="J635" t="s">
        <v>401</v>
      </c>
      <c r="K635">
        <v>0.1</v>
      </c>
      <c r="N635">
        <v>60</v>
      </c>
      <c r="O635">
        <v>60</v>
      </c>
      <c r="P635" t="s">
        <v>714</v>
      </c>
      <c r="Q635" t="s">
        <v>414</v>
      </c>
      <c r="S635">
        <v>3.28</v>
      </c>
      <c r="T635">
        <v>4034.0529999999999</v>
      </c>
      <c r="V635">
        <v>4034.0529999999999</v>
      </c>
      <c r="W635" t="s">
        <v>415</v>
      </c>
      <c r="X635">
        <v>0</v>
      </c>
    </row>
    <row r="636" spans="1:24" x14ac:dyDescent="0.45">
      <c r="A636">
        <v>45</v>
      </c>
      <c r="B636">
        <v>45</v>
      </c>
      <c r="C636" t="s">
        <v>626</v>
      </c>
      <c r="D636" t="s">
        <v>414</v>
      </c>
      <c r="F636">
        <v>3.29</v>
      </c>
      <c r="G636">
        <v>4612.7380000000003</v>
      </c>
      <c r="I636">
        <v>4612.7380000000003</v>
      </c>
      <c r="J636" t="s">
        <v>401</v>
      </c>
      <c r="K636">
        <v>0.1</v>
      </c>
      <c r="N636">
        <v>61</v>
      </c>
      <c r="O636">
        <v>61</v>
      </c>
      <c r="P636" t="s">
        <v>715</v>
      </c>
      <c r="Q636" t="s">
        <v>414</v>
      </c>
      <c r="S636">
        <v>3.28</v>
      </c>
      <c r="T636">
        <v>7064.35</v>
      </c>
      <c r="V636">
        <v>7064.35</v>
      </c>
      <c r="W636" t="s">
        <v>401</v>
      </c>
      <c r="X636">
        <v>0.1</v>
      </c>
    </row>
    <row r="637" spans="1:24" x14ac:dyDescent="0.45">
      <c r="A637">
        <v>46</v>
      </c>
      <c r="B637">
        <v>46</v>
      </c>
      <c r="C637" t="s">
        <v>627</v>
      </c>
      <c r="D637" t="s">
        <v>414</v>
      </c>
      <c r="F637">
        <v>3.28</v>
      </c>
      <c r="G637">
        <v>5740.5479999999998</v>
      </c>
      <c r="I637">
        <v>5740.5479999999998</v>
      </c>
      <c r="J637" t="s">
        <v>415</v>
      </c>
      <c r="K637">
        <v>0.1</v>
      </c>
      <c r="N637">
        <v>62</v>
      </c>
      <c r="O637">
        <v>62</v>
      </c>
      <c r="P637" t="s">
        <v>716</v>
      </c>
      <c r="Q637" t="s">
        <v>414</v>
      </c>
      <c r="S637">
        <v>3.28</v>
      </c>
      <c r="T637">
        <v>4352.8639999999996</v>
      </c>
      <c r="V637">
        <v>4352.8639999999996</v>
      </c>
      <c r="W637" t="s">
        <v>401</v>
      </c>
      <c r="X637">
        <v>0</v>
      </c>
    </row>
    <row r="638" spans="1:24" x14ac:dyDescent="0.45">
      <c r="A638">
        <v>47</v>
      </c>
      <c r="B638">
        <v>47</v>
      </c>
      <c r="C638" t="s">
        <v>628</v>
      </c>
      <c r="D638" t="s">
        <v>414</v>
      </c>
      <c r="F638">
        <v>3.29</v>
      </c>
      <c r="G638">
        <v>6315.174</v>
      </c>
      <c r="I638">
        <v>6315.174</v>
      </c>
      <c r="J638" t="s">
        <v>412</v>
      </c>
      <c r="K638">
        <v>0.1</v>
      </c>
      <c r="N638">
        <v>63</v>
      </c>
      <c r="O638">
        <v>63</v>
      </c>
      <c r="P638" t="s">
        <v>717</v>
      </c>
      <c r="Q638" t="s">
        <v>414</v>
      </c>
      <c r="S638">
        <v>3.28</v>
      </c>
      <c r="T638">
        <v>7599.92</v>
      </c>
      <c r="V638">
        <v>7599.92</v>
      </c>
      <c r="W638" t="s">
        <v>401</v>
      </c>
      <c r="X638">
        <v>0.1</v>
      </c>
    </row>
    <row r="639" spans="1:24" x14ac:dyDescent="0.45">
      <c r="A639">
        <v>48</v>
      </c>
      <c r="B639">
        <v>48</v>
      </c>
      <c r="C639" t="s">
        <v>629</v>
      </c>
      <c r="D639" t="s">
        <v>414</v>
      </c>
      <c r="F639">
        <v>3.28</v>
      </c>
      <c r="G639">
        <v>6127.1440000000002</v>
      </c>
      <c r="I639">
        <v>6127.1440000000002</v>
      </c>
      <c r="J639" t="s">
        <v>415</v>
      </c>
      <c r="K639">
        <v>0.1</v>
      </c>
      <c r="N639">
        <v>64</v>
      </c>
      <c r="O639">
        <v>64</v>
      </c>
      <c r="P639" t="s">
        <v>718</v>
      </c>
      <c r="Q639" t="s">
        <v>414</v>
      </c>
      <c r="S639">
        <v>3.28</v>
      </c>
      <c r="T639">
        <v>6950.308</v>
      </c>
      <c r="V639">
        <v>6950.308</v>
      </c>
      <c r="W639" t="s">
        <v>401</v>
      </c>
      <c r="X639">
        <v>0.1</v>
      </c>
    </row>
    <row r="640" spans="1:24" x14ac:dyDescent="0.45">
      <c r="A640">
        <v>49</v>
      </c>
      <c r="B640">
        <v>49</v>
      </c>
      <c r="C640" t="s">
        <v>630</v>
      </c>
      <c r="D640" t="s">
        <v>414</v>
      </c>
      <c r="F640">
        <v>3.29</v>
      </c>
      <c r="G640">
        <v>7524.2420000000002</v>
      </c>
      <c r="I640">
        <v>7524.2420000000002</v>
      </c>
      <c r="J640" t="s">
        <v>401</v>
      </c>
      <c r="K640">
        <v>0.1</v>
      </c>
      <c r="N640">
        <v>65</v>
      </c>
      <c r="O640">
        <v>65</v>
      </c>
      <c r="P640" t="s">
        <v>719</v>
      </c>
      <c r="Q640" t="s">
        <v>414</v>
      </c>
      <c r="S640">
        <v>3.28</v>
      </c>
      <c r="T640">
        <v>3158.97</v>
      </c>
      <c r="V640">
        <v>3158.97</v>
      </c>
      <c r="W640" t="s">
        <v>401</v>
      </c>
      <c r="X640">
        <v>0</v>
      </c>
    </row>
    <row r="641" spans="1:25" x14ac:dyDescent="0.45">
      <c r="A641">
        <v>50</v>
      </c>
      <c r="B641">
        <v>50</v>
      </c>
      <c r="C641" t="s">
        <v>631</v>
      </c>
      <c r="D641" t="s">
        <v>414</v>
      </c>
      <c r="F641">
        <v>3.29</v>
      </c>
      <c r="G641">
        <v>5745.4930000000004</v>
      </c>
      <c r="I641">
        <v>5745.4930000000004</v>
      </c>
      <c r="J641" t="s">
        <v>415</v>
      </c>
      <c r="K641">
        <v>0.1</v>
      </c>
      <c r="N641">
        <v>66</v>
      </c>
      <c r="O641">
        <v>66</v>
      </c>
      <c r="P641" t="s">
        <v>720</v>
      </c>
      <c r="Q641" t="s">
        <v>414</v>
      </c>
      <c r="S641">
        <v>3.28</v>
      </c>
      <c r="T641">
        <v>7738.7529999999997</v>
      </c>
      <c r="V641">
        <v>7738.7529999999997</v>
      </c>
      <c r="W641" t="s">
        <v>401</v>
      </c>
      <c r="X641">
        <v>0.1</v>
      </c>
    </row>
    <row r="642" spans="1:25" x14ac:dyDescent="0.45">
      <c r="A642">
        <v>51</v>
      </c>
      <c r="B642">
        <v>51</v>
      </c>
      <c r="C642" t="s">
        <v>632</v>
      </c>
      <c r="D642" t="s">
        <v>414</v>
      </c>
      <c r="F642">
        <v>3.29</v>
      </c>
      <c r="G642">
        <v>5480.2849999999999</v>
      </c>
      <c r="I642">
        <v>5480.2849999999999</v>
      </c>
      <c r="J642" t="s">
        <v>415</v>
      </c>
      <c r="K642">
        <v>0.1</v>
      </c>
      <c r="N642">
        <v>67</v>
      </c>
      <c r="O642">
        <v>67</v>
      </c>
      <c r="P642" t="s">
        <v>721</v>
      </c>
      <c r="Q642" t="s">
        <v>414</v>
      </c>
      <c r="S642">
        <v>3.28</v>
      </c>
      <c r="T642">
        <v>9297.0159999999996</v>
      </c>
      <c r="V642">
        <v>9297.0159999999996</v>
      </c>
      <c r="W642" t="s">
        <v>401</v>
      </c>
      <c r="X642">
        <v>0.1</v>
      </c>
    </row>
    <row r="643" spans="1:25" x14ac:dyDescent="0.45">
      <c r="A643">
        <v>52</v>
      </c>
      <c r="B643">
        <v>52</v>
      </c>
      <c r="C643" t="s">
        <v>633</v>
      </c>
      <c r="D643" t="s">
        <v>414</v>
      </c>
      <c r="F643">
        <v>3.29</v>
      </c>
      <c r="G643">
        <v>6307.8940000000002</v>
      </c>
      <c r="I643">
        <v>6307.8940000000002</v>
      </c>
      <c r="J643" t="s">
        <v>401</v>
      </c>
      <c r="K643">
        <v>0.1</v>
      </c>
    </row>
    <row r="644" spans="1:25" x14ac:dyDescent="0.45">
      <c r="A644">
        <v>53</v>
      </c>
      <c r="B644">
        <v>53</v>
      </c>
      <c r="C644" t="s">
        <v>634</v>
      </c>
      <c r="D644" t="s">
        <v>414</v>
      </c>
      <c r="F644">
        <v>3.29</v>
      </c>
      <c r="G644">
        <v>6998.8760000000002</v>
      </c>
      <c r="I644">
        <v>6998.8760000000002</v>
      </c>
      <c r="J644" t="s">
        <v>415</v>
      </c>
      <c r="K644">
        <v>0.1</v>
      </c>
      <c r="N644" t="s">
        <v>495</v>
      </c>
    </row>
    <row r="645" spans="1:25" x14ac:dyDescent="0.45">
      <c r="A645">
        <v>54</v>
      </c>
      <c r="B645">
        <v>54</v>
      </c>
      <c r="C645" t="s">
        <v>635</v>
      </c>
      <c r="D645" t="s">
        <v>414</v>
      </c>
      <c r="F645">
        <v>3.28</v>
      </c>
      <c r="G645">
        <v>4901.3729999999996</v>
      </c>
      <c r="I645">
        <v>4901.3729999999996</v>
      </c>
      <c r="J645" t="s">
        <v>403</v>
      </c>
      <c r="K645">
        <v>0.1</v>
      </c>
    </row>
    <row r="646" spans="1:25" x14ac:dyDescent="0.45">
      <c r="A646">
        <v>55</v>
      </c>
      <c r="B646">
        <v>55</v>
      </c>
      <c r="C646" t="s">
        <v>636</v>
      </c>
      <c r="D646" t="s">
        <v>414</v>
      </c>
      <c r="F646">
        <v>3.29</v>
      </c>
      <c r="G646">
        <v>5572.8959999999997</v>
      </c>
      <c r="I646">
        <v>5572.8959999999997</v>
      </c>
      <c r="J646" t="s">
        <v>401</v>
      </c>
      <c r="K646">
        <v>0.1</v>
      </c>
      <c r="O646" t="s">
        <v>389</v>
      </c>
      <c r="P646" t="s">
        <v>123</v>
      </c>
      <c r="Q646" t="s">
        <v>390</v>
      </c>
      <c r="R646" t="s">
        <v>391</v>
      </c>
      <c r="S646" t="s">
        <v>392</v>
      </c>
      <c r="T646" t="s">
        <v>393</v>
      </c>
      <c r="U646" t="s">
        <v>394</v>
      </c>
      <c r="V646" t="s">
        <v>395</v>
      </c>
      <c r="W646" t="s">
        <v>396</v>
      </c>
      <c r="X646" t="s">
        <v>397</v>
      </c>
      <c r="Y646" t="s">
        <v>398</v>
      </c>
    </row>
    <row r="647" spans="1:25" x14ac:dyDescent="0.45">
      <c r="A647">
        <v>56</v>
      </c>
      <c r="B647">
        <v>56</v>
      </c>
      <c r="C647" t="s">
        <v>637</v>
      </c>
      <c r="D647" t="s">
        <v>414</v>
      </c>
      <c r="F647">
        <v>3.28</v>
      </c>
      <c r="G647">
        <v>8518.7909999999993</v>
      </c>
      <c r="I647">
        <v>8518.7909999999993</v>
      </c>
      <c r="J647" t="s">
        <v>415</v>
      </c>
      <c r="K647">
        <v>0.1</v>
      </c>
      <c r="N647">
        <v>1</v>
      </c>
      <c r="O647">
        <v>1</v>
      </c>
      <c r="P647" t="s">
        <v>655</v>
      </c>
      <c r="Q647" t="s">
        <v>400</v>
      </c>
      <c r="R647">
        <v>0.05</v>
      </c>
      <c r="S647">
        <v>3.46</v>
      </c>
      <c r="T647">
        <v>877112.875</v>
      </c>
      <c r="V647">
        <v>877112.875</v>
      </c>
      <c r="W647" t="s">
        <v>403</v>
      </c>
      <c r="X647">
        <v>1.4</v>
      </c>
      <c r="Y647">
        <v>2710.2</v>
      </c>
    </row>
    <row r="648" spans="1:25" x14ac:dyDescent="0.45">
      <c r="A648">
        <v>57</v>
      </c>
      <c r="B648">
        <v>57</v>
      </c>
      <c r="C648" t="s">
        <v>638</v>
      </c>
      <c r="D648" t="s">
        <v>414</v>
      </c>
      <c r="F648">
        <v>3.29</v>
      </c>
      <c r="G648">
        <v>5164.8860000000004</v>
      </c>
      <c r="I648">
        <v>5164.8860000000004</v>
      </c>
      <c r="J648" t="s">
        <v>415</v>
      </c>
      <c r="K648">
        <v>0.1</v>
      </c>
      <c r="N648">
        <v>2</v>
      </c>
      <c r="O648">
        <v>2</v>
      </c>
      <c r="P648" t="s">
        <v>656</v>
      </c>
      <c r="Q648" t="s">
        <v>400</v>
      </c>
      <c r="R648">
        <v>0.5</v>
      </c>
      <c r="S648">
        <v>3.46</v>
      </c>
      <c r="T648">
        <v>880355</v>
      </c>
      <c r="V648">
        <v>880355</v>
      </c>
      <c r="W648" t="s">
        <v>403</v>
      </c>
      <c r="X648">
        <v>1.4</v>
      </c>
      <c r="Y648">
        <v>187.1</v>
      </c>
    </row>
    <row r="649" spans="1:25" x14ac:dyDescent="0.45">
      <c r="A649">
        <v>58</v>
      </c>
      <c r="B649">
        <v>58</v>
      </c>
      <c r="C649" t="s">
        <v>639</v>
      </c>
      <c r="D649" t="s">
        <v>414</v>
      </c>
      <c r="F649">
        <v>3.29</v>
      </c>
      <c r="G649">
        <v>5216.3789999999999</v>
      </c>
      <c r="I649">
        <v>5216.3789999999999</v>
      </c>
      <c r="J649" t="s">
        <v>403</v>
      </c>
      <c r="K649">
        <v>0.1</v>
      </c>
      <c r="N649">
        <v>3</v>
      </c>
      <c r="O649">
        <v>3</v>
      </c>
      <c r="P649" t="s">
        <v>657</v>
      </c>
      <c r="Q649" t="s">
        <v>400</v>
      </c>
      <c r="R649">
        <v>1.25</v>
      </c>
      <c r="S649">
        <v>3.46</v>
      </c>
      <c r="T649">
        <v>857130.375</v>
      </c>
      <c r="V649">
        <v>857130.375</v>
      </c>
      <c r="W649" t="s">
        <v>401</v>
      </c>
      <c r="X649">
        <v>1.2</v>
      </c>
      <c r="Y649">
        <v>-2.6</v>
      </c>
    </row>
    <row r="650" spans="1:25" x14ac:dyDescent="0.45">
      <c r="A650">
        <v>59</v>
      </c>
      <c r="B650">
        <v>59</v>
      </c>
      <c r="C650" t="s">
        <v>640</v>
      </c>
      <c r="D650" t="s">
        <v>414</v>
      </c>
      <c r="F650">
        <v>3.28</v>
      </c>
      <c r="G650">
        <v>5041.7939999999999</v>
      </c>
      <c r="I650">
        <v>5041.7939999999999</v>
      </c>
      <c r="J650" t="s">
        <v>401</v>
      </c>
      <c r="K650">
        <v>0.1</v>
      </c>
      <c r="N650">
        <v>4</v>
      </c>
      <c r="O650">
        <v>4</v>
      </c>
      <c r="P650" t="s">
        <v>658</v>
      </c>
      <c r="Q650" t="s">
        <v>400</v>
      </c>
      <c r="R650">
        <v>2.5</v>
      </c>
      <c r="S650">
        <v>3.46</v>
      </c>
      <c r="T650">
        <v>852975.5</v>
      </c>
      <c r="V650">
        <v>852975.5</v>
      </c>
      <c r="W650" t="s">
        <v>401</v>
      </c>
      <c r="X650">
        <v>1.2</v>
      </c>
      <c r="Y650">
        <v>-52.9</v>
      </c>
    </row>
    <row r="651" spans="1:25" x14ac:dyDescent="0.45">
      <c r="A651">
        <v>60</v>
      </c>
      <c r="B651">
        <v>60</v>
      </c>
      <c r="C651" t="s">
        <v>641</v>
      </c>
      <c r="D651" t="s">
        <v>414</v>
      </c>
      <c r="F651">
        <v>3.29</v>
      </c>
      <c r="G651">
        <v>6422.9920000000002</v>
      </c>
      <c r="I651">
        <v>6422.9920000000002</v>
      </c>
      <c r="J651" t="s">
        <v>403</v>
      </c>
      <c r="K651">
        <v>0.1</v>
      </c>
      <c r="N651">
        <v>5</v>
      </c>
      <c r="O651">
        <v>5</v>
      </c>
      <c r="P651" t="s">
        <v>659</v>
      </c>
      <c r="Q651" t="s">
        <v>400</v>
      </c>
      <c r="R651">
        <v>3.5</v>
      </c>
      <c r="S651">
        <v>3.46</v>
      </c>
      <c r="T651">
        <v>847069.25</v>
      </c>
      <c r="V651">
        <v>847069.25</v>
      </c>
      <c r="W651" t="s">
        <v>401</v>
      </c>
      <c r="X651">
        <v>1.1000000000000001</v>
      </c>
      <c r="Y651">
        <v>-67.900000000000006</v>
      </c>
    </row>
    <row r="652" spans="1:25" x14ac:dyDescent="0.45">
      <c r="A652">
        <v>61</v>
      </c>
      <c r="B652">
        <v>61</v>
      </c>
      <c r="C652" t="s">
        <v>642</v>
      </c>
      <c r="D652" t="s">
        <v>414</v>
      </c>
      <c r="F652">
        <v>3.28</v>
      </c>
      <c r="G652">
        <v>6742.6689999999999</v>
      </c>
      <c r="I652">
        <v>6742.6689999999999</v>
      </c>
      <c r="J652" t="s">
        <v>401</v>
      </c>
      <c r="K652">
        <v>0.1</v>
      </c>
      <c r="N652">
        <v>6</v>
      </c>
      <c r="O652">
        <v>6</v>
      </c>
      <c r="P652" t="s">
        <v>660</v>
      </c>
      <c r="Q652" t="s">
        <v>400</v>
      </c>
      <c r="R652">
        <v>5</v>
      </c>
      <c r="S652">
        <v>2.88</v>
      </c>
      <c r="T652">
        <v>1204004.875</v>
      </c>
      <c r="V652">
        <v>1204004.875</v>
      </c>
      <c r="W652" t="s">
        <v>415</v>
      </c>
      <c r="X652">
        <v>4.5</v>
      </c>
      <c r="Y652">
        <v>-10.4</v>
      </c>
    </row>
    <row r="653" spans="1:25" x14ac:dyDescent="0.45">
      <c r="A653">
        <v>62</v>
      </c>
      <c r="B653">
        <v>62</v>
      </c>
      <c r="C653" t="s">
        <v>643</v>
      </c>
      <c r="D653" t="s">
        <v>414</v>
      </c>
      <c r="F653">
        <v>3.29</v>
      </c>
      <c r="G653">
        <v>8437.4470000000001</v>
      </c>
      <c r="I653">
        <v>8437.4470000000001</v>
      </c>
      <c r="J653" t="s">
        <v>401</v>
      </c>
      <c r="K653">
        <v>0.1</v>
      </c>
      <c r="N653">
        <v>7</v>
      </c>
      <c r="O653">
        <v>7</v>
      </c>
      <c r="P653" t="s">
        <v>661</v>
      </c>
      <c r="Q653" t="s">
        <v>400</v>
      </c>
      <c r="R653">
        <v>7</v>
      </c>
      <c r="S653">
        <v>2.88</v>
      </c>
      <c r="T653">
        <v>1680332.875</v>
      </c>
      <c r="V653">
        <v>1680332.875</v>
      </c>
      <c r="W653" t="s">
        <v>415</v>
      </c>
      <c r="X653">
        <v>9</v>
      </c>
      <c r="Y653">
        <v>28</v>
      </c>
    </row>
    <row r="654" spans="1:25" x14ac:dyDescent="0.45">
      <c r="A654">
        <v>63</v>
      </c>
      <c r="B654">
        <v>63</v>
      </c>
      <c r="C654" t="s">
        <v>644</v>
      </c>
      <c r="D654" t="s">
        <v>414</v>
      </c>
      <c r="F654">
        <v>3.28</v>
      </c>
      <c r="G654">
        <v>4449.22</v>
      </c>
      <c r="I654">
        <v>4449.22</v>
      </c>
      <c r="J654" t="s">
        <v>401</v>
      </c>
      <c r="K654">
        <v>0.1</v>
      </c>
      <c r="N654">
        <v>8</v>
      </c>
      <c r="O654">
        <v>8</v>
      </c>
      <c r="P654" t="s">
        <v>662</v>
      </c>
      <c r="Q654" t="s">
        <v>414</v>
      </c>
      <c r="S654">
        <v>3.46</v>
      </c>
      <c r="T654">
        <v>794063.25</v>
      </c>
      <c r="V654">
        <v>794063.25</v>
      </c>
      <c r="W654" t="s">
        <v>403</v>
      </c>
      <c r="X654">
        <v>0.6</v>
      </c>
    </row>
    <row r="655" spans="1:25" x14ac:dyDescent="0.45">
      <c r="A655">
        <v>64</v>
      </c>
      <c r="B655">
        <v>64</v>
      </c>
      <c r="C655" t="s">
        <v>645</v>
      </c>
      <c r="D655" t="s">
        <v>414</v>
      </c>
      <c r="F655">
        <v>3.28</v>
      </c>
      <c r="G655">
        <v>6939.6419999999998</v>
      </c>
      <c r="I655">
        <v>6939.6419999999998</v>
      </c>
      <c r="J655" t="s">
        <v>403</v>
      </c>
      <c r="K655">
        <v>0.1</v>
      </c>
      <c r="N655">
        <v>9</v>
      </c>
      <c r="O655">
        <v>9</v>
      </c>
      <c r="P655" t="s">
        <v>663</v>
      </c>
      <c r="Q655" t="s">
        <v>414</v>
      </c>
      <c r="S655">
        <v>3.46</v>
      </c>
      <c r="T655">
        <v>808518.5</v>
      </c>
      <c r="V655">
        <v>808518.5</v>
      </c>
      <c r="W655" t="s">
        <v>403</v>
      </c>
      <c r="X655">
        <v>0.8</v>
      </c>
    </row>
    <row r="656" spans="1:25" x14ac:dyDescent="0.45">
      <c r="A656">
        <v>65</v>
      </c>
      <c r="B656">
        <v>65</v>
      </c>
      <c r="C656" t="s">
        <v>646</v>
      </c>
      <c r="D656" t="s">
        <v>414</v>
      </c>
      <c r="F656">
        <v>3.29</v>
      </c>
      <c r="G656">
        <v>7003.9170000000004</v>
      </c>
      <c r="I656">
        <v>7003.9170000000004</v>
      </c>
      <c r="J656" t="s">
        <v>403</v>
      </c>
      <c r="K656">
        <v>0.1</v>
      </c>
      <c r="N656">
        <v>10</v>
      </c>
      <c r="O656">
        <v>10</v>
      </c>
      <c r="P656" t="s">
        <v>664</v>
      </c>
      <c r="Q656" t="s">
        <v>414</v>
      </c>
      <c r="S656">
        <v>3.46</v>
      </c>
      <c r="T656">
        <v>784887.56299999997</v>
      </c>
      <c r="V656">
        <v>784887.56299999997</v>
      </c>
      <c r="W656" t="s">
        <v>403</v>
      </c>
      <c r="X656">
        <v>0.5</v>
      </c>
    </row>
    <row r="657" spans="1:24" x14ac:dyDescent="0.45">
      <c r="A657">
        <v>66</v>
      </c>
      <c r="B657">
        <v>66</v>
      </c>
      <c r="C657" t="s">
        <v>647</v>
      </c>
      <c r="D657" t="s">
        <v>414</v>
      </c>
      <c r="F657">
        <v>3.28</v>
      </c>
      <c r="G657">
        <v>6193.7730000000001</v>
      </c>
      <c r="I657">
        <v>6193.7730000000001</v>
      </c>
      <c r="J657" t="s">
        <v>415</v>
      </c>
      <c r="K657">
        <v>0.1</v>
      </c>
      <c r="N657">
        <v>11</v>
      </c>
      <c r="O657">
        <v>11</v>
      </c>
      <c r="P657" t="s">
        <v>665</v>
      </c>
      <c r="Q657" t="s">
        <v>414</v>
      </c>
      <c r="S657">
        <v>3.46</v>
      </c>
      <c r="T657">
        <v>825743.75</v>
      </c>
      <c r="V657">
        <v>825743.75</v>
      </c>
      <c r="W657" t="s">
        <v>403</v>
      </c>
      <c r="X657">
        <v>0.9</v>
      </c>
    </row>
    <row r="658" spans="1:24" x14ac:dyDescent="0.45">
      <c r="A658">
        <v>67</v>
      </c>
      <c r="B658">
        <v>67</v>
      </c>
      <c r="C658" t="s">
        <v>648</v>
      </c>
      <c r="D658" t="s">
        <v>414</v>
      </c>
      <c r="F658">
        <v>3.28</v>
      </c>
      <c r="G658">
        <v>3915.0169999999998</v>
      </c>
      <c r="I658">
        <v>3915.0169999999998</v>
      </c>
      <c r="J658" t="s">
        <v>415</v>
      </c>
      <c r="K658">
        <v>0.1</v>
      </c>
      <c r="N658">
        <v>12</v>
      </c>
      <c r="O658">
        <v>12</v>
      </c>
      <c r="P658" t="s">
        <v>666</v>
      </c>
      <c r="Q658" t="s">
        <v>414</v>
      </c>
      <c r="S658">
        <v>3.46</v>
      </c>
      <c r="T658">
        <v>829769.93799999997</v>
      </c>
      <c r="V658">
        <v>829769.93799999997</v>
      </c>
      <c r="W658" t="s">
        <v>403</v>
      </c>
      <c r="X658">
        <v>1</v>
      </c>
    </row>
    <row r="659" spans="1:24" x14ac:dyDescent="0.45">
      <c r="A659">
        <v>68</v>
      </c>
      <c r="B659">
        <v>68</v>
      </c>
      <c r="C659" t="s">
        <v>649</v>
      </c>
      <c r="D659" t="s">
        <v>414</v>
      </c>
      <c r="F659">
        <v>3.29</v>
      </c>
      <c r="G659">
        <v>6778.6949999999997</v>
      </c>
      <c r="I659">
        <v>6778.6949999999997</v>
      </c>
      <c r="J659" t="s">
        <v>403</v>
      </c>
      <c r="K659">
        <v>0.1</v>
      </c>
      <c r="N659">
        <v>13</v>
      </c>
      <c r="O659">
        <v>13</v>
      </c>
      <c r="P659" t="s">
        <v>667</v>
      </c>
      <c r="Q659" t="s">
        <v>414</v>
      </c>
      <c r="S659">
        <v>3.46</v>
      </c>
      <c r="T659">
        <v>808303.81299999997</v>
      </c>
      <c r="V659">
        <v>808303.81299999997</v>
      </c>
      <c r="W659" t="s">
        <v>403</v>
      </c>
      <c r="X659">
        <v>0.8</v>
      </c>
    </row>
    <row r="660" spans="1:24" x14ac:dyDescent="0.45">
      <c r="A660">
        <v>69</v>
      </c>
      <c r="B660">
        <v>69</v>
      </c>
      <c r="C660" t="s">
        <v>650</v>
      </c>
      <c r="D660" t="s">
        <v>414</v>
      </c>
      <c r="F660">
        <v>3.29</v>
      </c>
      <c r="G660">
        <v>7057.1959999999999</v>
      </c>
      <c r="I660">
        <v>7057.1959999999999</v>
      </c>
      <c r="J660" t="s">
        <v>415</v>
      </c>
      <c r="K660">
        <v>0.1</v>
      </c>
      <c r="N660">
        <v>14</v>
      </c>
      <c r="O660">
        <v>14</v>
      </c>
      <c r="P660" t="s">
        <v>668</v>
      </c>
      <c r="Q660" t="s">
        <v>414</v>
      </c>
      <c r="S660">
        <v>3.46</v>
      </c>
      <c r="T660">
        <v>819167</v>
      </c>
      <c r="V660">
        <v>819167</v>
      </c>
      <c r="W660" t="s">
        <v>403</v>
      </c>
      <c r="X660">
        <v>0.9</v>
      </c>
    </row>
    <row r="661" spans="1:24" x14ac:dyDescent="0.45">
      <c r="N661">
        <v>15</v>
      </c>
      <c r="O661">
        <v>15</v>
      </c>
      <c r="P661" t="s">
        <v>669</v>
      </c>
      <c r="Q661" t="s">
        <v>414</v>
      </c>
      <c r="S661">
        <v>3.46</v>
      </c>
      <c r="T661">
        <v>856616.81299999997</v>
      </c>
      <c r="V661">
        <v>856616.81299999997</v>
      </c>
      <c r="W661" t="s">
        <v>403</v>
      </c>
      <c r="X661">
        <v>1.2</v>
      </c>
    </row>
    <row r="662" spans="1:24" x14ac:dyDescent="0.45">
      <c r="A662" t="s">
        <v>495</v>
      </c>
      <c r="N662">
        <v>16</v>
      </c>
      <c r="O662">
        <v>16</v>
      </c>
      <c r="P662" t="s">
        <v>670</v>
      </c>
      <c r="Q662" t="s">
        <v>414</v>
      </c>
      <c r="S662">
        <v>3.46</v>
      </c>
      <c r="T662">
        <v>858471.93799999997</v>
      </c>
      <c r="V662">
        <v>858471.93799999997</v>
      </c>
      <c r="W662" t="s">
        <v>403</v>
      </c>
      <c r="X662">
        <v>1.2</v>
      </c>
    </row>
    <row r="663" spans="1:24" x14ac:dyDescent="0.45">
      <c r="N663">
        <v>17</v>
      </c>
      <c r="O663">
        <v>17</v>
      </c>
      <c r="P663" t="s">
        <v>671</v>
      </c>
      <c r="Q663" t="s">
        <v>414</v>
      </c>
      <c r="S663">
        <v>3.46</v>
      </c>
      <c r="T663">
        <v>858055.81299999997</v>
      </c>
      <c r="V663">
        <v>858055.81299999997</v>
      </c>
      <c r="W663" t="s">
        <v>403</v>
      </c>
      <c r="X663">
        <v>1.2</v>
      </c>
    </row>
    <row r="664" spans="1:24" x14ac:dyDescent="0.45">
      <c r="B664" t="s">
        <v>389</v>
      </c>
      <c r="C664" t="s">
        <v>123</v>
      </c>
      <c r="D664" t="s">
        <v>390</v>
      </c>
      <c r="E664" t="s">
        <v>391</v>
      </c>
      <c r="F664" t="s">
        <v>392</v>
      </c>
      <c r="G664" t="s">
        <v>393</v>
      </c>
      <c r="H664" t="s">
        <v>394</v>
      </c>
      <c r="I664" t="s">
        <v>395</v>
      </c>
      <c r="J664" t="s">
        <v>396</v>
      </c>
      <c r="K664" t="s">
        <v>397</v>
      </c>
      <c r="L664" t="s">
        <v>398</v>
      </c>
      <c r="N664">
        <v>18</v>
      </c>
      <c r="O664">
        <v>18</v>
      </c>
      <c r="P664" t="s">
        <v>672</v>
      </c>
      <c r="Q664" t="s">
        <v>414</v>
      </c>
      <c r="S664">
        <v>3.46</v>
      </c>
      <c r="T664">
        <v>855331.625</v>
      </c>
      <c r="V664">
        <v>855331.625</v>
      </c>
      <c r="W664" t="s">
        <v>403</v>
      </c>
      <c r="X664">
        <v>1.2</v>
      </c>
    </row>
    <row r="665" spans="1:24" x14ac:dyDescent="0.45">
      <c r="A665">
        <v>1</v>
      </c>
      <c r="B665">
        <v>1</v>
      </c>
      <c r="C665" t="s">
        <v>582</v>
      </c>
      <c r="D665" t="s">
        <v>400</v>
      </c>
      <c r="E665">
        <v>0.05</v>
      </c>
      <c r="F665">
        <v>3.47</v>
      </c>
      <c r="G665">
        <v>232503.54699999999</v>
      </c>
      <c r="I665">
        <v>232503.54699999999</v>
      </c>
      <c r="J665" t="s">
        <v>479</v>
      </c>
      <c r="N665">
        <v>19</v>
      </c>
      <c r="O665">
        <v>19</v>
      </c>
      <c r="P665" t="s">
        <v>673</v>
      </c>
      <c r="Q665" t="s">
        <v>414</v>
      </c>
      <c r="S665">
        <v>3.46</v>
      </c>
      <c r="T665">
        <v>742291.06299999997</v>
      </c>
      <c r="V665">
        <v>742291.06299999997</v>
      </c>
      <c r="W665" t="s">
        <v>415</v>
      </c>
      <c r="X665">
        <v>0.1</v>
      </c>
    </row>
    <row r="666" spans="1:24" x14ac:dyDescent="0.45">
      <c r="A666">
        <v>2</v>
      </c>
      <c r="B666">
        <v>2</v>
      </c>
      <c r="C666" t="s">
        <v>583</v>
      </c>
      <c r="D666" t="s">
        <v>400</v>
      </c>
      <c r="E666">
        <v>0.5</v>
      </c>
      <c r="F666">
        <v>3.46</v>
      </c>
      <c r="G666">
        <v>1474921.5</v>
      </c>
      <c r="I666">
        <v>1474921.5</v>
      </c>
      <c r="J666" t="s">
        <v>403</v>
      </c>
      <c r="K666">
        <v>0.4</v>
      </c>
      <c r="L666">
        <v>-24.6</v>
      </c>
      <c r="N666">
        <v>20</v>
      </c>
      <c r="O666">
        <v>20</v>
      </c>
      <c r="P666" t="s">
        <v>674</v>
      </c>
      <c r="Q666" t="s">
        <v>414</v>
      </c>
      <c r="S666">
        <v>3.46</v>
      </c>
      <c r="T666">
        <v>711405.56299999997</v>
      </c>
      <c r="V666">
        <v>711405.56299999997</v>
      </c>
      <c r="W666" t="s">
        <v>479</v>
      </c>
    </row>
    <row r="667" spans="1:24" x14ac:dyDescent="0.45">
      <c r="A667">
        <v>3</v>
      </c>
      <c r="B667">
        <v>3</v>
      </c>
      <c r="C667" t="s">
        <v>584</v>
      </c>
      <c r="D667" t="s">
        <v>400</v>
      </c>
      <c r="E667">
        <v>1.25</v>
      </c>
      <c r="F667">
        <v>3.46</v>
      </c>
      <c r="G667">
        <v>2494373.5</v>
      </c>
      <c r="I667">
        <v>2494373.5</v>
      </c>
      <c r="J667" t="s">
        <v>403</v>
      </c>
      <c r="K667">
        <v>4.8</v>
      </c>
      <c r="L667">
        <v>286.2</v>
      </c>
      <c r="N667">
        <v>21</v>
      </c>
      <c r="O667">
        <v>21</v>
      </c>
      <c r="P667" t="s">
        <v>675</v>
      </c>
      <c r="Q667" t="s">
        <v>414</v>
      </c>
      <c r="S667">
        <v>3.46</v>
      </c>
      <c r="T667">
        <v>776501.43799999997</v>
      </c>
      <c r="V667">
        <v>776501.43799999997</v>
      </c>
      <c r="W667" t="s">
        <v>403</v>
      </c>
      <c r="X667">
        <v>0.5</v>
      </c>
    </row>
    <row r="668" spans="1:24" x14ac:dyDescent="0.45">
      <c r="A668">
        <v>4</v>
      </c>
      <c r="B668">
        <v>4</v>
      </c>
      <c r="C668" t="s">
        <v>585</v>
      </c>
      <c r="D668" t="s">
        <v>400</v>
      </c>
      <c r="E668">
        <v>2.5</v>
      </c>
      <c r="F668">
        <v>3.46</v>
      </c>
      <c r="G668">
        <v>2509928.25</v>
      </c>
      <c r="I668">
        <v>2509928.25</v>
      </c>
      <c r="J668" t="s">
        <v>401</v>
      </c>
      <c r="K668">
        <v>4.9000000000000004</v>
      </c>
      <c r="L668">
        <v>95.8</v>
      </c>
      <c r="N668">
        <v>22</v>
      </c>
      <c r="O668">
        <v>22</v>
      </c>
      <c r="P668" t="s">
        <v>676</v>
      </c>
      <c r="Q668" t="s">
        <v>414</v>
      </c>
      <c r="S668">
        <v>3.46</v>
      </c>
      <c r="T668">
        <v>780354.5</v>
      </c>
      <c r="V668">
        <v>780354.5</v>
      </c>
      <c r="W668" t="s">
        <v>415</v>
      </c>
      <c r="X668">
        <v>0.5</v>
      </c>
    </row>
    <row r="669" spans="1:24" x14ac:dyDescent="0.45">
      <c r="A669">
        <v>5</v>
      </c>
      <c r="B669">
        <v>5</v>
      </c>
      <c r="C669" t="s">
        <v>586</v>
      </c>
      <c r="D669" t="s">
        <v>400</v>
      </c>
      <c r="E669">
        <v>3.5</v>
      </c>
      <c r="F669">
        <v>3.46</v>
      </c>
      <c r="G669">
        <v>2526943.5</v>
      </c>
      <c r="I669">
        <v>2526943.5</v>
      </c>
      <c r="J669" t="s">
        <v>401</v>
      </c>
      <c r="K669">
        <v>5</v>
      </c>
      <c r="L669">
        <v>42</v>
      </c>
      <c r="N669">
        <v>23</v>
      </c>
      <c r="O669">
        <v>23</v>
      </c>
      <c r="P669" t="s">
        <v>677</v>
      </c>
      <c r="Q669" t="s">
        <v>414</v>
      </c>
      <c r="S669">
        <v>3.46</v>
      </c>
      <c r="T669">
        <v>841737.81299999997</v>
      </c>
      <c r="V669">
        <v>841737.81299999997</v>
      </c>
      <c r="W669" t="s">
        <v>403</v>
      </c>
      <c r="X669">
        <v>1.1000000000000001</v>
      </c>
    </row>
    <row r="670" spans="1:24" x14ac:dyDescent="0.45">
      <c r="A670">
        <v>6</v>
      </c>
      <c r="B670">
        <v>6</v>
      </c>
      <c r="C670" t="s">
        <v>587</v>
      </c>
      <c r="D670" t="s">
        <v>400</v>
      </c>
      <c r="E670">
        <v>5</v>
      </c>
      <c r="F670">
        <v>3.46</v>
      </c>
      <c r="G670">
        <v>2501978.25</v>
      </c>
      <c r="I670">
        <v>2501978.25</v>
      </c>
      <c r="J670" t="s">
        <v>401</v>
      </c>
      <c r="K670">
        <v>4.9000000000000004</v>
      </c>
      <c r="L670">
        <v>-2.8</v>
      </c>
      <c r="N670">
        <v>24</v>
      </c>
      <c r="O670">
        <v>24</v>
      </c>
      <c r="P670" t="s">
        <v>678</v>
      </c>
      <c r="Q670" t="s">
        <v>414</v>
      </c>
      <c r="S670">
        <v>3.46</v>
      </c>
      <c r="T670">
        <v>853064.68799999997</v>
      </c>
      <c r="V670">
        <v>853064.68799999997</v>
      </c>
      <c r="W670" t="s">
        <v>403</v>
      </c>
      <c r="X670">
        <v>1.2</v>
      </c>
    </row>
    <row r="671" spans="1:24" x14ac:dyDescent="0.45">
      <c r="A671">
        <v>7</v>
      </c>
      <c r="B671">
        <v>7</v>
      </c>
      <c r="C671" t="s">
        <v>588</v>
      </c>
      <c r="D671" t="s">
        <v>400</v>
      </c>
      <c r="E671">
        <v>7</v>
      </c>
      <c r="F671">
        <v>3.46</v>
      </c>
      <c r="G671">
        <v>2514335</v>
      </c>
      <c r="I671">
        <v>2514335</v>
      </c>
      <c r="J671" t="s">
        <v>401</v>
      </c>
      <c r="K671">
        <v>4.9000000000000004</v>
      </c>
      <c r="L671">
        <v>-29.8</v>
      </c>
      <c r="N671">
        <v>25</v>
      </c>
      <c r="O671">
        <v>25</v>
      </c>
      <c r="P671" t="s">
        <v>679</v>
      </c>
      <c r="Q671" t="s">
        <v>414</v>
      </c>
      <c r="S671">
        <v>3.46</v>
      </c>
      <c r="T671">
        <v>849700.68799999997</v>
      </c>
      <c r="V671">
        <v>849700.68799999997</v>
      </c>
      <c r="W671" t="s">
        <v>403</v>
      </c>
      <c r="X671">
        <v>1.1000000000000001</v>
      </c>
    </row>
    <row r="672" spans="1:24" x14ac:dyDescent="0.45">
      <c r="A672">
        <v>8</v>
      </c>
      <c r="B672">
        <v>8</v>
      </c>
      <c r="C672" t="s">
        <v>589</v>
      </c>
      <c r="D672" t="s">
        <v>410</v>
      </c>
      <c r="F672">
        <v>3.46</v>
      </c>
      <c r="G672">
        <v>2591530.25</v>
      </c>
      <c r="I672">
        <v>2591530.25</v>
      </c>
      <c r="J672" t="s">
        <v>401</v>
      </c>
      <c r="K672">
        <v>5.3</v>
      </c>
      <c r="N672">
        <v>26</v>
      </c>
      <c r="O672">
        <v>26</v>
      </c>
      <c r="P672" t="s">
        <v>680</v>
      </c>
      <c r="Q672" t="s">
        <v>414</v>
      </c>
      <c r="S672">
        <v>3.46</v>
      </c>
      <c r="T672">
        <v>841906.31299999997</v>
      </c>
      <c r="V672">
        <v>841906.31299999997</v>
      </c>
      <c r="W672" t="s">
        <v>403</v>
      </c>
      <c r="X672">
        <v>1.1000000000000001</v>
      </c>
    </row>
    <row r="673" spans="1:24" x14ac:dyDescent="0.45">
      <c r="A673">
        <v>9</v>
      </c>
      <c r="B673">
        <v>9</v>
      </c>
      <c r="C673" t="s">
        <v>590</v>
      </c>
      <c r="D673" t="s">
        <v>410</v>
      </c>
      <c r="F673">
        <v>3.46</v>
      </c>
      <c r="G673">
        <v>2560803.25</v>
      </c>
      <c r="I673">
        <v>2560803.25</v>
      </c>
      <c r="J673" t="s">
        <v>403</v>
      </c>
      <c r="K673">
        <v>5.0999999999999996</v>
      </c>
      <c r="N673">
        <v>27</v>
      </c>
      <c r="O673">
        <v>27</v>
      </c>
      <c r="P673" t="s">
        <v>681</v>
      </c>
      <c r="Q673" t="s">
        <v>414</v>
      </c>
      <c r="S673">
        <v>3.46</v>
      </c>
      <c r="T673">
        <v>847433.375</v>
      </c>
      <c r="V673">
        <v>847433.375</v>
      </c>
      <c r="W673" t="s">
        <v>403</v>
      </c>
      <c r="X673">
        <v>1.1000000000000001</v>
      </c>
    </row>
    <row r="674" spans="1:24" x14ac:dyDescent="0.45">
      <c r="A674">
        <v>10</v>
      </c>
      <c r="B674">
        <v>10</v>
      </c>
      <c r="C674" t="s">
        <v>591</v>
      </c>
      <c r="D674" t="s">
        <v>414</v>
      </c>
      <c r="F674">
        <v>3.46</v>
      </c>
      <c r="G674">
        <v>2385351</v>
      </c>
      <c r="I674">
        <v>2385351</v>
      </c>
      <c r="J674" t="s">
        <v>403</v>
      </c>
      <c r="K674">
        <v>4.4000000000000004</v>
      </c>
      <c r="N674">
        <v>28</v>
      </c>
      <c r="O674">
        <v>28</v>
      </c>
      <c r="P674" t="s">
        <v>682</v>
      </c>
      <c r="Q674" t="s">
        <v>414</v>
      </c>
      <c r="S674">
        <v>3.46</v>
      </c>
      <c r="T674">
        <v>845386.06299999997</v>
      </c>
      <c r="V674">
        <v>845386.06299999997</v>
      </c>
      <c r="W674" t="s">
        <v>403</v>
      </c>
      <c r="X674">
        <v>1.1000000000000001</v>
      </c>
    </row>
    <row r="675" spans="1:24" x14ac:dyDescent="0.45">
      <c r="A675">
        <v>11</v>
      </c>
      <c r="B675">
        <v>11</v>
      </c>
      <c r="C675" t="s">
        <v>592</v>
      </c>
      <c r="D675" t="s">
        <v>414</v>
      </c>
      <c r="F675">
        <v>3.46</v>
      </c>
      <c r="G675">
        <v>2579607.5</v>
      </c>
      <c r="I675">
        <v>2579607.5</v>
      </c>
      <c r="J675" t="s">
        <v>403</v>
      </c>
      <c r="K675">
        <v>5.2</v>
      </c>
      <c r="N675">
        <v>29</v>
      </c>
      <c r="O675">
        <v>29</v>
      </c>
      <c r="P675" t="s">
        <v>683</v>
      </c>
      <c r="Q675" t="s">
        <v>414</v>
      </c>
      <c r="S675">
        <v>3.46</v>
      </c>
      <c r="T675">
        <v>840368</v>
      </c>
      <c r="V675">
        <v>840368</v>
      </c>
      <c r="W675" t="s">
        <v>403</v>
      </c>
      <c r="X675">
        <v>1.1000000000000001</v>
      </c>
    </row>
    <row r="676" spans="1:24" x14ac:dyDescent="0.45">
      <c r="A676">
        <v>12</v>
      </c>
      <c r="B676">
        <v>12</v>
      </c>
      <c r="C676" t="s">
        <v>593</v>
      </c>
      <c r="D676" t="s">
        <v>414</v>
      </c>
      <c r="F676">
        <v>3.46</v>
      </c>
      <c r="G676">
        <v>2500259.75</v>
      </c>
      <c r="I676">
        <v>2500259.75</v>
      </c>
      <c r="J676" t="s">
        <v>403</v>
      </c>
      <c r="K676">
        <v>4.9000000000000004</v>
      </c>
      <c r="N676">
        <v>30</v>
      </c>
      <c r="O676">
        <v>30</v>
      </c>
      <c r="P676" t="s">
        <v>684</v>
      </c>
      <c r="Q676" t="s">
        <v>414</v>
      </c>
      <c r="S676">
        <v>3.46</v>
      </c>
      <c r="T676">
        <v>851228</v>
      </c>
      <c r="V676">
        <v>851228</v>
      </c>
      <c r="W676" t="s">
        <v>403</v>
      </c>
      <c r="X676">
        <v>1.2</v>
      </c>
    </row>
    <row r="677" spans="1:24" x14ac:dyDescent="0.45">
      <c r="A677">
        <v>13</v>
      </c>
      <c r="B677">
        <v>13</v>
      </c>
      <c r="C677" t="s">
        <v>594</v>
      </c>
      <c r="D677" t="s">
        <v>414</v>
      </c>
      <c r="F677">
        <v>3.46</v>
      </c>
      <c r="G677">
        <v>2429629.25</v>
      </c>
      <c r="I677">
        <v>2429629.25</v>
      </c>
      <c r="J677" t="s">
        <v>403</v>
      </c>
      <c r="K677">
        <v>4.5</v>
      </c>
      <c r="N677">
        <v>31</v>
      </c>
      <c r="O677">
        <v>31</v>
      </c>
      <c r="P677" t="s">
        <v>685</v>
      </c>
      <c r="Q677" t="s">
        <v>414</v>
      </c>
      <c r="S677">
        <v>3.46</v>
      </c>
      <c r="T677">
        <v>736839.93799999997</v>
      </c>
      <c r="V677">
        <v>736839.93799999997</v>
      </c>
      <c r="W677" t="s">
        <v>415</v>
      </c>
      <c r="X677">
        <v>0.1</v>
      </c>
    </row>
    <row r="678" spans="1:24" x14ac:dyDescent="0.45">
      <c r="A678">
        <v>14</v>
      </c>
      <c r="B678">
        <v>14</v>
      </c>
      <c r="C678" t="s">
        <v>595</v>
      </c>
      <c r="D678" t="s">
        <v>414</v>
      </c>
      <c r="F678">
        <v>3.46</v>
      </c>
      <c r="G678">
        <v>2357372.5</v>
      </c>
      <c r="I678">
        <v>2357372.5</v>
      </c>
      <c r="J678" t="s">
        <v>403</v>
      </c>
      <c r="K678">
        <v>4.2</v>
      </c>
      <c r="N678">
        <v>32</v>
      </c>
      <c r="O678">
        <v>32</v>
      </c>
      <c r="P678" t="s">
        <v>686</v>
      </c>
      <c r="Q678" t="s">
        <v>414</v>
      </c>
      <c r="S678">
        <v>3.46</v>
      </c>
      <c r="T678">
        <v>779670.31299999997</v>
      </c>
      <c r="V678">
        <v>779670.31299999997</v>
      </c>
      <c r="W678" t="s">
        <v>403</v>
      </c>
      <c r="X678">
        <v>0.5</v>
      </c>
    </row>
    <row r="679" spans="1:24" x14ac:dyDescent="0.45">
      <c r="A679">
        <v>15</v>
      </c>
      <c r="B679">
        <v>15</v>
      </c>
      <c r="C679" t="s">
        <v>596</v>
      </c>
      <c r="D679" t="s">
        <v>414</v>
      </c>
      <c r="F679">
        <v>3.46</v>
      </c>
      <c r="G679">
        <v>2360577</v>
      </c>
      <c r="I679">
        <v>2360577</v>
      </c>
      <c r="J679" t="s">
        <v>403</v>
      </c>
      <c r="K679">
        <v>4.2</v>
      </c>
      <c r="N679">
        <v>33</v>
      </c>
      <c r="O679">
        <v>33</v>
      </c>
      <c r="P679" t="s">
        <v>687</v>
      </c>
      <c r="Q679" t="s">
        <v>414</v>
      </c>
      <c r="S679">
        <v>3.46</v>
      </c>
      <c r="T679">
        <v>811604.375</v>
      </c>
      <c r="V679">
        <v>811604.375</v>
      </c>
      <c r="W679" t="s">
        <v>403</v>
      </c>
      <c r="X679">
        <v>0.8</v>
      </c>
    </row>
    <row r="680" spans="1:24" x14ac:dyDescent="0.45">
      <c r="A680">
        <v>16</v>
      </c>
      <c r="B680">
        <v>16</v>
      </c>
      <c r="C680" t="s">
        <v>597</v>
      </c>
      <c r="D680" t="s">
        <v>414</v>
      </c>
      <c r="F680">
        <v>3.46</v>
      </c>
      <c r="G680">
        <v>2069506.125</v>
      </c>
      <c r="I680">
        <v>2069506.125</v>
      </c>
      <c r="J680" t="s">
        <v>403</v>
      </c>
      <c r="K680">
        <v>3</v>
      </c>
      <c r="N680">
        <v>34</v>
      </c>
      <c r="O680">
        <v>34</v>
      </c>
      <c r="P680" t="s">
        <v>688</v>
      </c>
      <c r="Q680" t="s">
        <v>414</v>
      </c>
      <c r="S680">
        <v>3.46</v>
      </c>
      <c r="T680">
        <v>733805.68799999997</v>
      </c>
      <c r="V680">
        <v>733805.68799999997</v>
      </c>
      <c r="W680" t="s">
        <v>415</v>
      </c>
      <c r="X680">
        <v>0.1</v>
      </c>
    </row>
    <row r="681" spans="1:24" x14ac:dyDescent="0.45">
      <c r="A681">
        <v>17</v>
      </c>
      <c r="B681">
        <v>17</v>
      </c>
      <c r="C681" t="s">
        <v>598</v>
      </c>
      <c r="D681" t="s">
        <v>414</v>
      </c>
      <c r="F681">
        <v>3.46</v>
      </c>
      <c r="G681">
        <v>2198441.5</v>
      </c>
      <c r="I681">
        <v>2198441.5</v>
      </c>
      <c r="J681" t="s">
        <v>403</v>
      </c>
      <c r="K681">
        <v>3.5</v>
      </c>
      <c r="N681">
        <v>35</v>
      </c>
      <c r="O681">
        <v>35</v>
      </c>
      <c r="P681" t="s">
        <v>689</v>
      </c>
      <c r="Q681" t="s">
        <v>414</v>
      </c>
      <c r="S681">
        <v>3.46</v>
      </c>
      <c r="T681">
        <v>819778.375</v>
      </c>
      <c r="V681">
        <v>819778.375</v>
      </c>
      <c r="W681" t="s">
        <v>403</v>
      </c>
      <c r="X681">
        <v>0.9</v>
      </c>
    </row>
    <row r="682" spans="1:24" x14ac:dyDescent="0.45">
      <c r="A682">
        <v>18</v>
      </c>
      <c r="B682">
        <v>18</v>
      </c>
      <c r="C682" t="s">
        <v>599</v>
      </c>
      <c r="D682" t="s">
        <v>414</v>
      </c>
      <c r="F682">
        <v>3.46</v>
      </c>
      <c r="G682">
        <v>2317397</v>
      </c>
      <c r="I682">
        <v>2317397</v>
      </c>
      <c r="J682" t="s">
        <v>403</v>
      </c>
      <c r="K682">
        <v>4.0999999999999996</v>
      </c>
      <c r="N682">
        <v>36</v>
      </c>
      <c r="O682">
        <v>36</v>
      </c>
      <c r="P682" t="s">
        <v>690</v>
      </c>
      <c r="Q682" t="s">
        <v>414</v>
      </c>
      <c r="S682">
        <v>3.46</v>
      </c>
      <c r="T682">
        <v>836730.43799999997</v>
      </c>
      <c r="V682">
        <v>836730.43799999997</v>
      </c>
      <c r="W682" t="s">
        <v>403</v>
      </c>
      <c r="X682">
        <v>1</v>
      </c>
    </row>
    <row r="683" spans="1:24" x14ac:dyDescent="0.45">
      <c r="A683">
        <v>19</v>
      </c>
      <c r="B683">
        <v>19</v>
      </c>
      <c r="C683" t="s">
        <v>600</v>
      </c>
      <c r="D683" t="s">
        <v>414</v>
      </c>
      <c r="F683">
        <v>3.46</v>
      </c>
      <c r="G683">
        <v>2334654.75</v>
      </c>
      <c r="I683">
        <v>2334654.75</v>
      </c>
      <c r="J683" t="s">
        <v>403</v>
      </c>
      <c r="K683">
        <v>4.0999999999999996</v>
      </c>
      <c r="N683">
        <v>37</v>
      </c>
      <c r="O683">
        <v>37</v>
      </c>
      <c r="P683" t="s">
        <v>691</v>
      </c>
      <c r="Q683" t="s">
        <v>414</v>
      </c>
      <c r="S683">
        <v>3.46</v>
      </c>
      <c r="T683">
        <v>730157.18799999997</v>
      </c>
      <c r="V683">
        <v>730157.18799999997</v>
      </c>
      <c r="W683" t="s">
        <v>415</v>
      </c>
      <c r="X683">
        <v>0</v>
      </c>
    </row>
    <row r="684" spans="1:24" x14ac:dyDescent="0.45">
      <c r="A684">
        <v>20</v>
      </c>
      <c r="B684">
        <v>20</v>
      </c>
      <c r="C684" t="s">
        <v>601</v>
      </c>
      <c r="D684" t="s">
        <v>414</v>
      </c>
      <c r="F684">
        <v>3.46</v>
      </c>
      <c r="G684">
        <v>2599257</v>
      </c>
      <c r="I684">
        <v>2599257</v>
      </c>
      <c r="J684" t="s">
        <v>403</v>
      </c>
      <c r="K684">
        <v>5.3</v>
      </c>
      <c r="N684">
        <v>38</v>
      </c>
      <c r="O684">
        <v>38</v>
      </c>
      <c r="P684" t="s">
        <v>692</v>
      </c>
      <c r="Q684" t="s">
        <v>414</v>
      </c>
      <c r="S684">
        <v>3.46</v>
      </c>
      <c r="T684">
        <v>809834.81299999997</v>
      </c>
      <c r="V684">
        <v>809834.81299999997</v>
      </c>
      <c r="W684" t="s">
        <v>403</v>
      </c>
      <c r="X684">
        <v>0.8</v>
      </c>
    </row>
    <row r="685" spans="1:24" x14ac:dyDescent="0.45">
      <c r="A685">
        <v>21</v>
      </c>
      <c r="B685">
        <v>21</v>
      </c>
      <c r="C685" t="s">
        <v>602</v>
      </c>
      <c r="D685" t="s">
        <v>414</v>
      </c>
      <c r="F685">
        <v>3.46</v>
      </c>
      <c r="G685">
        <v>2545041.75</v>
      </c>
      <c r="I685">
        <v>2545041.75</v>
      </c>
      <c r="J685" t="s">
        <v>401</v>
      </c>
      <c r="K685">
        <v>5</v>
      </c>
      <c r="N685">
        <v>39</v>
      </c>
      <c r="O685">
        <v>39</v>
      </c>
      <c r="P685" t="s">
        <v>693</v>
      </c>
      <c r="Q685" t="s">
        <v>414</v>
      </c>
      <c r="S685">
        <v>3.46</v>
      </c>
      <c r="T685">
        <v>809712.56299999997</v>
      </c>
      <c r="V685">
        <v>809712.56299999997</v>
      </c>
      <c r="W685" t="s">
        <v>403</v>
      </c>
      <c r="X685">
        <v>0.8</v>
      </c>
    </row>
    <row r="686" spans="1:24" x14ac:dyDescent="0.45">
      <c r="A686">
        <v>22</v>
      </c>
      <c r="B686">
        <v>22</v>
      </c>
      <c r="C686" t="s">
        <v>603</v>
      </c>
      <c r="D686" t="s">
        <v>414</v>
      </c>
      <c r="F686">
        <v>3.46</v>
      </c>
      <c r="G686">
        <v>2301490</v>
      </c>
      <c r="I686">
        <v>2301490</v>
      </c>
      <c r="J686" t="s">
        <v>403</v>
      </c>
      <c r="K686">
        <v>4</v>
      </c>
      <c r="N686">
        <v>40</v>
      </c>
      <c r="O686">
        <v>40</v>
      </c>
      <c r="P686" t="s">
        <v>694</v>
      </c>
      <c r="Q686" t="s">
        <v>414</v>
      </c>
      <c r="S686">
        <v>3.46</v>
      </c>
      <c r="T686">
        <v>774898.375</v>
      </c>
      <c r="V686">
        <v>774898.375</v>
      </c>
      <c r="W686" t="s">
        <v>403</v>
      </c>
      <c r="X686">
        <v>0.4</v>
      </c>
    </row>
    <row r="687" spans="1:24" x14ac:dyDescent="0.45">
      <c r="A687">
        <v>23</v>
      </c>
      <c r="B687">
        <v>23</v>
      </c>
      <c r="C687" t="s">
        <v>604</v>
      </c>
      <c r="D687" t="s">
        <v>414</v>
      </c>
      <c r="F687">
        <v>3.46</v>
      </c>
      <c r="G687">
        <v>2330958</v>
      </c>
      <c r="I687">
        <v>2330958</v>
      </c>
      <c r="J687" t="s">
        <v>403</v>
      </c>
      <c r="K687">
        <v>4.0999999999999996</v>
      </c>
      <c r="N687">
        <v>41</v>
      </c>
      <c r="O687">
        <v>41</v>
      </c>
      <c r="P687" t="s">
        <v>695</v>
      </c>
      <c r="Q687" t="s">
        <v>414</v>
      </c>
      <c r="S687">
        <v>3.46</v>
      </c>
      <c r="T687">
        <v>695214.56299999997</v>
      </c>
      <c r="V687">
        <v>695214.56299999997</v>
      </c>
      <c r="W687" t="s">
        <v>479</v>
      </c>
    </row>
    <row r="688" spans="1:24" x14ac:dyDescent="0.45">
      <c r="A688">
        <v>24</v>
      </c>
      <c r="B688">
        <v>24</v>
      </c>
      <c r="C688" t="s">
        <v>605</v>
      </c>
      <c r="D688" t="s">
        <v>414</v>
      </c>
      <c r="F688">
        <v>3.46</v>
      </c>
      <c r="G688">
        <v>2450953.75</v>
      </c>
      <c r="I688">
        <v>2450953.75</v>
      </c>
      <c r="J688" t="s">
        <v>403</v>
      </c>
      <c r="K688">
        <v>4.5999999999999996</v>
      </c>
      <c r="N688">
        <v>42</v>
      </c>
      <c r="O688">
        <v>42</v>
      </c>
      <c r="P688" t="s">
        <v>696</v>
      </c>
      <c r="Q688" t="s">
        <v>414</v>
      </c>
      <c r="S688">
        <v>3.46</v>
      </c>
      <c r="T688">
        <v>792704.06299999997</v>
      </c>
      <c r="V688">
        <v>792704.06299999997</v>
      </c>
      <c r="W688" t="s">
        <v>403</v>
      </c>
      <c r="X688">
        <v>0.6</v>
      </c>
    </row>
    <row r="689" spans="1:24" x14ac:dyDescent="0.45">
      <c r="A689">
        <v>25</v>
      </c>
      <c r="B689">
        <v>25</v>
      </c>
      <c r="C689" t="s">
        <v>606</v>
      </c>
      <c r="D689" t="s">
        <v>414</v>
      </c>
      <c r="F689">
        <v>3.46</v>
      </c>
      <c r="G689">
        <v>2468193.75</v>
      </c>
      <c r="I689">
        <v>2468193.75</v>
      </c>
      <c r="J689" t="s">
        <v>403</v>
      </c>
      <c r="K689">
        <v>4.7</v>
      </c>
      <c r="N689">
        <v>43</v>
      </c>
      <c r="O689">
        <v>43</v>
      </c>
      <c r="P689" t="s">
        <v>697</v>
      </c>
      <c r="Q689" t="s">
        <v>414</v>
      </c>
      <c r="S689">
        <v>3.46</v>
      </c>
      <c r="T689">
        <v>716534.31299999997</v>
      </c>
      <c r="V689">
        <v>716534.31299999997</v>
      </c>
      <c r="W689" t="s">
        <v>479</v>
      </c>
    </row>
    <row r="690" spans="1:24" x14ac:dyDescent="0.45">
      <c r="A690">
        <v>26</v>
      </c>
      <c r="B690">
        <v>26</v>
      </c>
      <c r="C690" t="s">
        <v>607</v>
      </c>
      <c r="D690" t="s">
        <v>414</v>
      </c>
      <c r="F690">
        <v>3.46</v>
      </c>
      <c r="G690">
        <v>2386994.25</v>
      </c>
      <c r="I690">
        <v>2386994.25</v>
      </c>
      <c r="J690" t="s">
        <v>403</v>
      </c>
      <c r="K690">
        <v>4.4000000000000004</v>
      </c>
      <c r="N690">
        <v>44</v>
      </c>
      <c r="O690">
        <v>44</v>
      </c>
      <c r="P690" t="s">
        <v>698</v>
      </c>
      <c r="Q690" t="s">
        <v>414</v>
      </c>
      <c r="S690">
        <v>3.46</v>
      </c>
      <c r="T690">
        <v>813319.68799999997</v>
      </c>
      <c r="V690">
        <v>813319.68799999997</v>
      </c>
      <c r="W690" t="s">
        <v>403</v>
      </c>
      <c r="X690">
        <v>0.8</v>
      </c>
    </row>
    <row r="691" spans="1:24" x14ac:dyDescent="0.45">
      <c r="A691">
        <v>27</v>
      </c>
      <c r="B691">
        <v>27</v>
      </c>
      <c r="C691" t="s">
        <v>608</v>
      </c>
      <c r="D691" t="s">
        <v>414</v>
      </c>
      <c r="F691">
        <v>3.46</v>
      </c>
      <c r="G691">
        <v>2316944.75</v>
      </c>
      <c r="I691">
        <v>2316944.75</v>
      </c>
      <c r="J691" t="s">
        <v>403</v>
      </c>
      <c r="K691">
        <v>4.0999999999999996</v>
      </c>
      <c r="N691">
        <v>45</v>
      </c>
      <c r="O691">
        <v>45</v>
      </c>
      <c r="P691" t="s">
        <v>699</v>
      </c>
      <c r="Q691" t="s">
        <v>414</v>
      </c>
      <c r="S691">
        <v>3.46</v>
      </c>
      <c r="T691">
        <v>853865.93799999997</v>
      </c>
      <c r="V691">
        <v>853865.93799999997</v>
      </c>
      <c r="W691" t="s">
        <v>403</v>
      </c>
      <c r="X691">
        <v>1.2</v>
      </c>
    </row>
    <row r="692" spans="1:24" x14ac:dyDescent="0.45">
      <c r="A692">
        <v>28</v>
      </c>
      <c r="B692">
        <v>28</v>
      </c>
      <c r="C692" t="s">
        <v>609</v>
      </c>
      <c r="D692" t="s">
        <v>414</v>
      </c>
      <c r="F692">
        <v>3.46</v>
      </c>
      <c r="G692">
        <v>2453071.25</v>
      </c>
      <c r="I692">
        <v>2453071.25</v>
      </c>
      <c r="J692" t="s">
        <v>401</v>
      </c>
      <c r="K692">
        <v>4.5999999999999996</v>
      </c>
      <c r="N692">
        <v>46</v>
      </c>
      <c r="O692">
        <v>46</v>
      </c>
      <c r="P692" t="s">
        <v>700</v>
      </c>
      <c r="Q692" t="s">
        <v>414</v>
      </c>
      <c r="S692">
        <v>3.46</v>
      </c>
      <c r="T692">
        <v>801055.625</v>
      </c>
      <c r="V692">
        <v>801055.625</v>
      </c>
      <c r="W692" t="s">
        <v>403</v>
      </c>
      <c r="X692">
        <v>0.7</v>
      </c>
    </row>
    <row r="693" spans="1:24" x14ac:dyDescent="0.45">
      <c r="A693">
        <v>29</v>
      </c>
      <c r="B693">
        <v>29</v>
      </c>
      <c r="C693" t="s">
        <v>610</v>
      </c>
      <c r="D693" t="s">
        <v>414</v>
      </c>
      <c r="F693">
        <v>3.46</v>
      </c>
      <c r="G693">
        <v>2523406.25</v>
      </c>
      <c r="I693">
        <v>2523406.25</v>
      </c>
      <c r="J693" t="s">
        <v>403</v>
      </c>
      <c r="K693">
        <v>5</v>
      </c>
      <c r="N693">
        <v>47</v>
      </c>
      <c r="O693">
        <v>47</v>
      </c>
      <c r="P693" t="s">
        <v>701</v>
      </c>
      <c r="Q693" t="s">
        <v>414</v>
      </c>
      <c r="S693">
        <v>3.46</v>
      </c>
      <c r="T693">
        <v>714758.56299999997</v>
      </c>
      <c r="V693">
        <v>714758.56299999997</v>
      </c>
      <c r="W693" t="s">
        <v>479</v>
      </c>
    </row>
    <row r="694" spans="1:24" x14ac:dyDescent="0.45">
      <c r="A694">
        <v>30</v>
      </c>
      <c r="B694">
        <v>30</v>
      </c>
      <c r="C694" t="s">
        <v>611</v>
      </c>
      <c r="D694" t="s">
        <v>414</v>
      </c>
      <c r="F694">
        <v>3.46</v>
      </c>
      <c r="G694">
        <v>2463232.75</v>
      </c>
      <c r="I694">
        <v>2463232.75</v>
      </c>
      <c r="J694" t="s">
        <v>403</v>
      </c>
      <c r="K694">
        <v>4.7</v>
      </c>
      <c r="N694">
        <v>48</v>
      </c>
      <c r="O694">
        <v>48</v>
      </c>
      <c r="P694" t="s">
        <v>702</v>
      </c>
      <c r="Q694" t="s">
        <v>414</v>
      </c>
      <c r="S694">
        <v>3.46</v>
      </c>
      <c r="T694">
        <v>818853.875</v>
      </c>
      <c r="V694">
        <v>818853.875</v>
      </c>
      <c r="W694" t="s">
        <v>403</v>
      </c>
      <c r="X694">
        <v>0.9</v>
      </c>
    </row>
    <row r="695" spans="1:24" x14ac:dyDescent="0.45">
      <c r="A695">
        <v>31</v>
      </c>
      <c r="B695">
        <v>31</v>
      </c>
      <c r="C695" t="s">
        <v>612</v>
      </c>
      <c r="D695" t="s">
        <v>414</v>
      </c>
      <c r="F695">
        <v>3.46</v>
      </c>
      <c r="G695">
        <v>2440518</v>
      </c>
      <c r="I695">
        <v>2440518</v>
      </c>
      <c r="J695" t="s">
        <v>403</v>
      </c>
      <c r="K695">
        <v>4.5999999999999996</v>
      </c>
      <c r="N695">
        <v>49</v>
      </c>
      <c r="O695">
        <v>49</v>
      </c>
      <c r="P695" t="s">
        <v>703</v>
      </c>
      <c r="Q695" t="s">
        <v>414</v>
      </c>
      <c r="S695">
        <v>3.46</v>
      </c>
      <c r="T695">
        <v>795595.5</v>
      </c>
      <c r="V695">
        <v>795595.5</v>
      </c>
      <c r="W695" t="s">
        <v>403</v>
      </c>
      <c r="X695">
        <v>0.6</v>
      </c>
    </row>
    <row r="696" spans="1:24" x14ac:dyDescent="0.45">
      <c r="A696">
        <v>32</v>
      </c>
      <c r="B696">
        <v>32</v>
      </c>
      <c r="C696" t="s">
        <v>613</v>
      </c>
      <c r="D696" t="s">
        <v>414</v>
      </c>
      <c r="F696">
        <v>3.46</v>
      </c>
      <c r="G696">
        <v>2534418.5</v>
      </c>
      <c r="I696">
        <v>2534418.5</v>
      </c>
      <c r="J696" t="s">
        <v>401</v>
      </c>
      <c r="K696">
        <v>5</v>
      </c>
      <c r="N696">
        <v>50</v>
      </c>
      <c r="O696">
        <v>50</v>
      </c>
      <c r="P696" t="s">
        <v>704</v>
      </c>
      <c r="Q696" t="s">
        <v>414</v>
      </c>
      <c r="S696">
        <v>3.46</v>
      </c>
      <c r="T696">
        <v>797904.93799999997</v>
      </c>
      <c r="V696">
        <v>797904.93799999997</v>
      </c>
      <c r="W696" t="s">
        <v>403</v>
      </c>
      <c r="X696">
        <v>0.7</v>
      </c>
    </row>
    <row r="697" spans="1:24" x14ac:dyDescent="0.45">
      <c r="A697">
        <v>33</v>
      </c>
      <c r="B697">
        <v>33</v>
      </c>
      <c r="C697" t="s">
        <v>614</v>
      </c>
      <c r="D697" t="s">
        <v>414</v>
      </c>
      <c r="F697">
        <v>3.46</v>
      </c>
      <c r="G697">
        <v>2504170.75</v>
      </c>
      <c r="I697">
        <v>2504170.75</v>
      </c>
      <c r="J697" t="s">
        <v>403</v>
      </c>
      <c r="K697">
        <v>4.9000000000000004</v>
      </c>
      <c r="N697">
        <v>51</v>
      </c>
      <c r="O697">
        <v>51</v>
      </c>
      <c r="P697" t="s">
        <v>705</v>
      </c>
      <c r="Q697" t="s">
        <v>414</v>
      </c>
      <c r="S697">
        <v>3.46</v>
      </c>
      <c r="T697">
        <v>872038.875</v>
      </c>
      <c r="V697">
        <v>872038.875</v>
      </c>
      <c r="W697" t="s">
        <v>403</v>
      </c>
      <c r="X697">
        <v>1.4</v>
      </c>
    </row>
    <row r="698" spans="1:24" x14ac:dyDescent="0.45">
      <c r="A698">
        <v>34</v>
      </c>
      <c r="B698">
        <v>34</v>
      </c>
      <c r="C698" t="s">
        <v>615</v>
      </c>
      <c r="D698" t="s">
        <v>414</v>
      </c>
      <c r="F698">
        <v>3.46</v>
      </c>
      <c r="G698">
        <v>2291705.75</v>
      </c>
      <c r="I698">
        <v>2291705.75</v>
      </c>
      <c r="J698" t="s">
        <v>403</v>
      </c>
      <c r="K698">
        <v>3.9</v>
      </c>
      <c r="N698">
        <v>52</v>
      </c>
      <c r="O698">
        <v>52</v>
      </c>
      <c r="P698" t="s">
        <v>706</v>
      </c>
      <c r="Q698" t="s">
        <v>414</v>
      </c>
      <c r="S698">
        <v>3.46</v>
      </c>
      <c r="T698">
        <v>820188.5</v>
      </c>
      <c r="V698">
        <v>820188.5</v>
      </c>
      <c r="W698" t="s">
        <v>403</v>
      </c>
      <c r="X698">
        <v>0.9</v>
      </c>
    </row>
    <row r="699" spans="1:24" x14ac:dyDescent="0.45">
      <c r="A699">
        <v>35</v>
      </c>
      <c r="B699">
        <v>35</v>
      </c>
      <c r="C699" t="s">
        <v>616</v>
      </c>
      <c r="D699" t="s">
        <v>414</v>
      </c>
      <c r="F699">
        <v>3.46</v>
      </c>
      <c r="G699">
        <v>2496017.25</v>
      </c>
      <c r="I699">
        <v>2496017.25</v>
      </c>
      <c r="J699" t="s">
        <v>401</v>
      </c>
      <c r="K699">
        <v>4.8</v>
      </c>
      <c r="N699">
        <v>53</v>
      </c>
      <c r="O699">
        <v>53</v>
      </c>
      <c r="P699" t="s">
        <v>707</v>
      </c>
      <c r="Q699" t="s">
        <v>414</v>
      </c>
      <c r="S699">
        <v>3.46</v>
      </c>
      <c r="T699">
        <v>822974.75</v>
      </c>
      <c r="V699">
        <v>822974.75</v>
      </c>
      <c r="W699" t="s">
        <v>403</v>
      </c>
      <c r="X699">
        <v>0.9</v>
      </c>
    </row>
    <row r="700" spans="1:24" x14ac:dyDescent="0.45">
      <c r="A700">
        <v>36</v>
      </c>
      <c r="B700">
        <v>36</v>
      </c>
      <c r="C700" t="s">
        <v>617</v>
      </c>
      <c r="D700" t="s">
        <v>414</v>
      </c>
      <c r="F700">
        <v>3.46</v>
      </c>
      <c r="G700">
        <v>2331734.25</v>
      </c>
      <c r="I700">
        <v>2331734.25</v>
      </c>
      <c r="J700" t="s">
        <v>403</v>
      </c>
      <c r="K700">
        <v>4.0999999999999996</v>
      </c>
      <c r="N700">
        <v>54</v>
      </c>
      <c r="O700">
        <v>54</v>
      </c>
      <c r="P700" t="s">
        <v>708</v>
      </c>
      <c r="Q700" t="s">
        <v>414</v>
      </c>
      <c r="S700">
        <v>3.46</v>
      </c>
      <c r="T700">
        <v>817107</v>
      </c>
      <c r="V700">
        <v>817107</v>
      </c>
      <c r="W700" t="s">
        <v>403</v>
      </c>
      <c r="X700">
        <v>0.8</v>
      </c>
    </row>
    <row r="701" spans="1:24" x14ac:dyDescent="0.45">
      <c r="A701">
        <v>37</v>
      </c>
      <c r="B701">
        <v>37</v>
      </c>
      <c r="C701" t="s">
        <v>618</v>
      </c>
      <c r="D701" t="s">
        <v>414</v>
      </c>
      <c r="F701">
        <v>3.46</v>
      </c>
      <c r="G701">
        <v>2214489</v>
      </c>
      <c r="I701">
        <v>2214489</v>
      </c>
      <c r="J701" t="s">
        <v>403</v>
      </c>
      <c r="K701">
        <v>3.6</v>
      </c>
      <c r="N701">
        <v>55</v>
      </c>
      <c r="O701">
        <v>55</v>
      </c>
      <c r="P701" t="s">
        <v>709</v>
      </c>
      <c r="Q701" t="s">
        <v>414</v>
      </c>
      <c r="S701">
        <v>3.46</v>
      </c>
      <c r="T701">
        <v>808285.31299999997</v>
      </c>
      <c r="V701">
        <v>808285.31299999997</v>
      </c>
      <c r="W701" t="s">
        <v>403</v>
      </c>
      <c r="X701">
        <v>0.8</v>
      </c>
    </row>
    <row r="702" spans="1:24" x14ac:dyDescent="0.45">
      <c r="A702">
        <v>38</v>
      </c>
      <c r="B702">
        <v>38</v>
      </c>
      <c r="C702" t="s">
        <v>619</v>
      </c>
      <c r="D702" t="s">
        <v>414</v>
      </c>
      <c r="F702">
        <v>3.46</v>
      </c>
      <c r="G702">
        <v>2498524.25</v>
      </c>
      <c r="I702">
        <v>2498524.25</v>
      </c>
      <c r="J702" t="s">
        <v>401</v>
      </c>
      <c r="K702">
        <v>4.8</v>
      </c>
      <c r="N702">
        <v>56</v>
      </c>
      <c r="O702">
        <v>56</v>
      </c>
      <c r="P702" t="s">
        <v>710</v>
      </c>
      <c r="Q702" t="s">
        <v>414</v>
      </c>
      <c r="S702">
        <v>3.46</v>
      </c>
      <c r="T702">
        <v>793131.5</v>
      </c>
      <c r="V702">
        <v>793131.5</v>
      </c>
      <c r="W702" t="s">
        <v>403</v>
      </c>
      <c r="X702">
        <v>0.6</v>
      </c>
    </row>
    <row r="703" spans="1:24" x14ac:dyDescent="0.45">
      <c r="A703">
        <v>39</v>
      </c>
      <c r="B703">
        <v>39</v>
      </c>
      <c r="C703" t="s">
        <v>620</v>
      </c>
      <c r="D703" t="s">
        <v>414</v>
      </c>
      <c r="F703">
        <v>3.46</v>
      </c>
      <c r="G703">
        <v>2410969.75</v>
      </c>
      <c r="I703">
        <v>2410969.75</v>
      </c>
      <c r="J703" t="s">
        <v>401</v>
      </c>
      <c r="K703">
        <v>4.5</v>
      </c>
      <c r="N703">
        <v>57</v>
      </c>
      <c r="O703">
        <v>57</v>
      </c>
      <c r="P703" t="s">
        <v>711</v>
      </c>
      <c r="Q703" t="s">
        <v>414</v>
      </c>
      <c r="S703">
        <v>3.46</v>
      </c>
      <c r="T703">
        <v>718803.31299999997</v>
      </c>
      <c r="V703">
        <v>718803.31299999997</v>
      </c>
      <c r="W703" t="s">
        <v>479</v>
      </c>
    </row>
    <row r="704" spans="1:24" x14ac:dyDescent="0.45">
      <c r="A704">
        <v>40</v>
      </c>
      <c r="B704">
        <v>40</v>
      </c>
      <c r="C704" t="s">
        <v>621</v>
      </c>
      <c r="D704" t="s">
        <v>414</v>
      </c>
      <c r="F704">
        <v>3.46</v>
      </c>
      <c r="G704">
        <v>2356831.25</v>
      </c>
      <c r="I704">
        <v>2356831.25</v>
      </c>
      <c r="J704" t="s">
        <v>403</v>
      </c>
      <c r="K704">
        <v>4.2</v>
      </c>
      <c r="N704">
        <v>58</v>
      </c>
      <c r="O704">
        <v>58</v>
      </c>
      <c r="P704" t="s">
        <v>712</v>
      </c>
      <c r="Q704" t="s">
        <v>414</v>
      </c>
      <c r="S704">
        <v>3.46</v>
      </c>
      <c r="T704">
        <v>784785.25</v>
      </c>
      <c r="V704">
        <v>784785.25</v>
      </c>
      <c r="W704" t="s">
        <v>403</v>
      </c>
      <c r="X704">
        <v>0.5</v>
      </c>
    </row>
    <row r="705" spans="1:25" x14ac:dyDescent="0.45">
      <c r="A705">
        <v>41</v>
      </c>
      <c r="B705">
        <v>41</v>
      </c>
      <c r="C705" t="s">
        <v>622</v>
      </c>
      <c r="D705" t="s">
        <v>414</v>
      </c>
      <c r="F705">
        <v>3.46</v>
      </c>
      <c r="G705">
        <v>2416323.75</v>
      </c>
      <c r="I705">
        <v>2416323.75</v>
      </c>
      <c r="J705" t="s">
        <v>403</v>
      </c>
      <c r="K705">
        <v>4.5</v>
      </c>
      <c r="N705">
        <v>59</v>
      </c>
      <c r="O705">
        <v>59</v>
      </c>
      <c r="P705" t="s">
        <v>713</v>
      </c>
      <c r="Q705" t="s">
        <v>414</v>
      </c>
      <c r="S705">
        <v>3.46</v>
      </c>
      <c r="T705">
        <v>863712.68799999997</v>
      </c>
      <c r="V705">
        <v>863712.68799999997</v>
      </c>
      <c r="W705" t="s">
        <v>403</v>
      </c>
      <c r="X705">
        <v>1.3</v>
      </c>
    </row>
    <row r="706" spans="1:25" x14ac:dyDescent="0.45">
      <c r="A706">
        <v>42</v>
      </c>
      <c r="B706">
        <v>42</v>
      </c>
      <c r="C706" t="s">
        <v>623</v>
      </c>
      <c r="D706" t="s">
        <v>414</v>
      </c>
      <c r="F706">
        <v>3.46</v>
      </c>
      <c r="G706">
        <v>2319385.5</v>
      </c>
      <c r="I706">
        <v>2319385.5</v>
      </c>
      <c r="J706" t="s">
        <v>403</v>
      </c>
      <c r="K706">
        <v>4.0999999999999996</v>
      </c>
      <c r="N706">
        <v>60</v>
      </c>
      <c r="O706">
        <v>60</v>
      </c>
      <c r="P706" t="s">
        <v>714</v>
      </c>
      <c r="Q706" t="s">
        <v>414</v>
      </c>
      <c r="S706">
        <v>3.46</v>
      </c>
      <c r="T706">
        <v>806471.75</v>
      </c>
      <c r="V706">
        <v>806471.75</v>
      </c>
      <c r="W706" t="s">
        <v>415</v>
      </c>
      <c r="X706">
        <v>0.7</v>
      </c>
    </row>
    <row r="707" spans="1:25" x14ac:dyDescent="0.45">
      <c r="A707">
        <v>43</v>
      </c>
      <c r="B707">
        <v>43</v>
      </c>
      <c r="C707" t="s">
        <v>624</v>
      </c>
      <c r="D707" t="s">
        <v>414</v>
      </c>
      <c r="F707">
        <v>3.46</v>
      </c>
      <c r="G707">
        <v>2337373.5</v>
      </c>
      <c r="I707">
        <v>2337373.5</v>
      </c>
      <c r="J707" t="s">
        <v>403</v>
      </c>
      <c r="K707">
        <v>4.0999999999999996</v>
      </c>
      <c r="N707">
        <v>61</v>
      </c>
      <c r="O707">
        <v>61</v>
      </c>
      <c r="P707" t="s">
        <v>715</v>
      </c>
      <c r="Q707" t="s">
        <v>414</v>
      </c>
      <c r="S707">
        <v>3.46</v>
      </c>
      <c r="T707">
        <v>799497.43799999997</v>
      </c>
      <c r="V707">
        <v>799497.43799999997</v>
      </c>
      <c r="W707" t="s">
        <v>403</v>
      </c>
      <c r="X707">
        <v>0.7</v>
      </c>
    </row>
    <row r="708" spans="1:25" x14ac:dyDescent="0.45">
      <c r="A708">
        <v>44</v>
      </c>
      <c r="B708">
        <v>44</v>
      </c>
      <c r="C708" t="s">
        <v>625</v>
      </c>
      <c r="D708" t="s">
        <v>414</v>
      </c>
      <c r="F708">
        <v>3.46</v>
      </c>
      <c r="G708">
        <v>2118388.5</v>
      </c>
      <c r="I708">
        <v>2118388.5</v>
      </c>
      <c r="J708" t="s">
        <v>403</v>
      </c>
      <c r="K708">
        <v>3.2</v>
      </c>
      <c r="N708">
        <v>62</v>
      </c>
      <c r="O708">
        <v>62</v>
      </c>
      <c r="P708" t="s">
        <v>716</v>
      </c>
      <c r="Q708" t="s">
        <v>414</v>
      </c>
      <c r="S708">
        <v>3.46</v>
      </c>
      <c r="T708">
        <v>870024</v>
      </c>
      <c r="V708">
        <v>870024</v>
      </c>
      <c r="W708" t="s">
        <v>403</v>
      </c>
      <c r="X708">
        <v>1.3</v>
      </c>
    </row>
    <row r="709" spans="1:25" x14ac:dyDescent="0.45">
      <c r="A709">
        <v>45</v>
      </c>
      <c r="B709">
        <v>45</v>
      </c>
      <c r="C709" t="s">
        <v>626</v>
      </c>
      <c r="D709" t="s">
        <v>414</v>
      </c>
      <c r="F709">
        <v>3.46</v>
      </c>
      <c r="G709">
        <v>2212088.75</v>
      </c>
      <c r="I709">
        <v>2212088.75</v>
      </c>
      <c r="J709" t="s">
        <v>403</v>
      </c>
      <c r="K709">
        <v>3.6</v>
      </c>
      <c r="N709">
        <v>63</v>
      </c>
      <c r="O709">
        <v>63</v>
      </c>
      <c r="P709" t="s">
        <v>717</v>
      </c>
      <c r="Q709" t="s">
        <v>414</v>
      </c>
      <c r="S709">
        <v>3.46</v>
      </c>
      <c r="T709">
        <v>802544.81299999997</v>
      </c>
      <c r="V709">
        <v>802544.81299999997</v>
      </c>
      <c r="W709" t="s">
        <v>403</v>
      </c>
      <c r="X709">
        <v>0.7</v>
      </c>
    </row>
    <row r="710" spans="1:25" x14ac:dyDescent="0.45">
      <c r="A710">
        <v>46</v>
      </c>
      <c r="B710">
        <v>46</v>
      </c>
      <c r="C710" t="s">
        <v>627</v>
      </c>
      <c r="D710" t="s">
        <v>414</v>
      </c>
      <c r="F710">
        <v>3.46</v>
      </c>
      <c r="G710">
        <v>2349152</v>
      </c>
      <c r="I710">
        <v>2349152</v>
      </c>
      <c r="J710" t="s">
        <v>403</v>
      </c>
      <c r="K710">
        <v>4.2</v>
      </c>
      <c r="N710">
        <v>64</v>
      </c>
      <c r="O710">
        <v>64</v>
      </c>
      <c r="P710" t="s">
        <v>718</v>
      </c>
      <c r="Q710" t="s">
        <v>414</v>
      </c>
      <c r="S710">
        <v>3.46</v>
      </c>
      <c r="T710">
        <v>781820.18799999997</v>
      </c>
      <c r="V710">
        <v>781820.18799999997</v>
      </c>
      <c r="W710" t="s">
        <v>403</v>
      </c>
      <c r="X710">
        <v>0.5</v>
      </c>
    </row>
    <row r="711" spans="1:25" x14ac:dyDescent="0.45">
      <c r="A711">
        <v>47</v>
      </c>
      <c r="B711">
        <v>47</v>
      </c>
      <c r="C711" t="s">
        <v>628</v>
      </c>
      <c r="D711" t="s">
        <v>414</v>
      </c>
      <c r="F711">
        <v>3.46</v>
      </c>
      <c r="G711">
        <v>2243262.5</v>
      </c>
      <c r="I711">
        <v>2243262.5</v>
      </c>
      <c r="J711" t="s">
        <v>403</v>
      </c>
      <c r="K711">
        <v>3.7</v>
      </c>
      <c r="N711">
        <v>65</v>
      </c>
      <c r="O711">
        <v>65</v>
      </c>
      <c r="P711" t="s">
        <v>719</v>
      </c>
      <c r="Q711" t="s">
        <v>414</v>
      </c>
      <c r="S711">
        <v>3.46</v>
      </c>
      <c r="T711">
        <v>857334.5</v>
      </c>
      <c r="V711">
        <v>857334.5</v>
      </c>
      <c r="W711" t="s">
        <v>403</v>
      </c>
      <c r="X711">
        <v>1.2</v>
      </c>
    </row>
    <row r="712" spans="1:25" x14ac:dyDescent="0.45">
      <c r="A712">
        <v>48</v>
      </c>
      <c r="B712">
        <v>48</v>
      </c>
      <c r="C712" t="s">
        <v>629</v>
      </c>
      <c r="D712" t="s">
        <v>414</v>
      </c>
      <c r="F712">
        <v>3.46</v>
      </c>
      <c r="G712">
        <v>2374169</v>
      </c>
      <c r="I712">
        <v>2374169</v>
      </c>
      <c r="J712" t="s">
        <v>403</v>
      </c>
      <c r="K712">
        <v>4.3</v>
      </c>
      <c r="N712">
        <v>66</v>
      </c>
      <c r="O712">
        <v>66</v>
      </c>
      <c r="P712" t="s">
        <v>720</v>
      </c>
      <c r="Q712" t="s">
        <v>414</v>
      </c>
      <c r="S712">
        <v>3.46</v>
      </c>
      <c r="T712">
        <v>710182.375</v>
      </c>
      <c r="V712">
        <v>710182.375</v>
      </c>
      <c r="W712" t="s">
        <v>479</v>
      </c>
    </row>
    <row r="713" spans="1:25" x14ac:dyDescent="0.45">
      <c r="A713">
        <v>49</v>
      </c>
      <c r="B713">
        <v>49</v>
      </c>
      <c r="C713" t="s">
        <v>630</v>
      </c>
      <c r="D713" t="s">
        <v>414</v>
      </c>
      <c r="F713">
        <v>3.46</v>
      </c>
      <c r="G713">
        <v>2251732.5</v>
      </c>
      <c r="I713">
        <v>2251732.5</v>
      </c>
      <c r="J713" t="s">
        <v>403</v>
      </c>
      <c r="K713">
        <v>3.8</v>
      </c>
      <c r="N713">
        <v>67</v>
      </c>
      <c r="O713">
        <v>67</v>
      </c>
      <c r="P713" t="s">
        <v>721</v>
      </c>
      <c r="Q713" t="s">
        <v>414</v>
      </c>
      <c r="S713">
        <v>3.44</v>
      </c>
      <c r="T713">
        <v>742192.625</v>
      </c>
      <c r="V713">
        <v>742192.625</v>
      </c>
      <c r="W713" t="s">
        <v>403</v>
      </c>
      <c r="X713">
        <v>0.1</v>
      </c>
    </row>
    <row r="714" spans="1:25" x14ac:dyDescent="0.45">
      <c r="A714">
        <v>50</v>
      </c>
      <c r="B714">
        <v>50</v>
      </c>
      <c r="C714" t="s">
        <v>631</v>
      </c>
      <c r="D714" t="s">
        <v>414</v>
      </c>
      <c r="F714">
        <v>3.46</v>
      </c>
      <c r="G714">
        <v>2369896.5</v>
      </c>
      <c r="I714">
        <v>2369896.5</v>
      </c>
      <c r="J714" t="s">
        <v>403</v>
      </c>
      <c r="K714">
        <v>4.3</v>
      </c>
    </row>
    <row r="715" spans="1:25" x14ac:dyDescent="0.45">
      <c r="A715">
        <v>51</v>
      </c>
      <c r="B715">
        <v>51</v>
      </c>
      <c r="C715" t="s">
        <v>632</v>
      </c>
      <c r="D715" t="s">
        <v>414</v>
      </c>
      <c r="F715">
        <v>3.46</v>
      </c>
      <c r="G715">
        <v>2440133</v>
      </c>
      <c r="I715">
        <v>2440133</v>
      </c>
      <c r="J715" t="s">
        <v>403</v>
      </c>
      <c r="K715">
        <v>4.5999999999999996</v>
      </c>
      <c r="N715" t="s">
        <v>496</v>
      </c>
    </row>
    <row r="716" spans="1:25" x14ac:dyDescent="0.45">
      <c r="A716">
        <v>52</v>
      </c>
      <c r="B716">
        <v>52</v>
      </c>
      <c r="C716" t="s">
        <v>633</v>
      </c>
      <c r="D716" t="s">
        <v>414</v>
      </c>
      <c r="F716">
        <v>3.46</v>
      </c>
      <c r="G716">
        <v>2417239.25</v>
      </c>
      <c r="I716">
        <v>2417239.25</v>
      </c>
      <c r="J716" t="s">
        <v>403</v>
      </c>
      <c r="K716">
        <v>4.5</v>
      </c>
    </row>
    <row r="717" spans="1:25" x14ac:dyDescent="0.45">
      <c r="A717">
        <v>53</v>
      </c>
      <c r="B717">
        <v>53</v>
      </c>
      <c r="C717" t="s">
        <v>634</v>
      </c>
      <c r="D717" t="s">
        <v>414</v>
      </c>
      <c r="F717">
        <v>3.46</v>
      </c>
      <c r="G717">
        <v>2318407.25</v>
      </c>
      <c r="I717">
        <v>2318407.25</v>
      </c>
      <c r="J717" t="s">
        <v>403</v>
      </c>
      <c r="K717">
        <v>4.0999999999999996</v>
      </c>
      <c r="O717" t="s">
        <v>389</v>
      </c>
      <c r="P717" t="s">
        <v>123</v>
      </c>
      <c r="Q717" t="s">
        <v>390</v>
      </c>
      <c r="R717" t="s">
        <v>391</v>
      </c>
      <c r="S717" t="s">
        <v>392</v>
      </c>
      <c r="T717" t="s">
        <v>393</v>
      </c>
      <c r="U717" t="s">
        <v>394</v>
      </c>
      <c r="V717" t="s">
        <v>395</v>
      </c>
      <c r="W717" t="s">
        <v>396</v>
      </c>
      <c r="X717" t="s">
        <v>397</v>
      </c>
      <c r="Y717" t="s">
        <v>398</v>
      </c>
    </row>
    <row r="718" spans="1:25" x14ac:dyDescent="0.45">
      <c r="A718">
        <v>54</v>
      </c>
      <c r="B718">
        <v>54</v>
      </c>
      <c r="C718" t="s">
        <v>635</v>
      </c>
      <c r="D718" t="s">
        <v>414</v>
      </c>
      <c r="F718">
        <v>3.46</v>
      </c>
      <c r="G718">
        <v>2343860.75</v>
      </c>
      <c r="I718">
        <v>2343860.75</v>
      </c>
      <c r="J718" t="s">
        <v>401</v>
      </c>
      <c r="K718">
        <v>4.2</v>
      </c>
      <c r="N718">
        <v>1</v>
      </c>
      <c r="O718">
        <v>1</v>
      </c>
      <c r="P718" t="s">
        <v>655</v>
      </c>
      <c r="Q718" t="s">
        <v>400</v>
      </c>
      <c r="R718">
        <v>0.05</v>
      </c>
      <c r="S718">
        <v>3.54</v>
      </c>
      <c r="T718">
        <v>2929.63</v>
      </c>
      <c r="U718">
        <v>157820.46900000001</v>
      </c>
      <c r="V718">
        <v>0.186</v>
      </c>
      <c r="W718" t="s">
        <v>401</v>
      </c>
      <c r="X718">
        <v>0.3</v>
      </c>
      <c r="Y718">
        <v>522.5</v>
      </c>
    </row>
    <row r="719" spans="1:25" x14ac:dyDescent="0.45">
      <c r="A719">
        <v>55</v>
      </c>
      <c r="B719">
        <v>55</v>
      </c>
      <c r="C719" t="s">
        <v>636</v>
      </c>
      <c r="D719" t="s">
        <v>414</v>
      </c>
      <c r="F719">
        <v>3.46</v>
      </c>
      <c r="G719">
        <v>2412911.75</v>
      </c>
      <c r="I719">
        <v>2412911.75</v>
      </c>
      <c r="J719" t="s">
        <v>401</v>
      </c>
      <c r="K719">
        <v>4.5</v>
      </c>
      <c r="N719">
        <v>2</v>
      </c>
      <c r="O719">
        <v>2</v>
      </c>
      <c r="P719" t="s">
        <v>656</v>
      </c>
      <c r="Q719" t="s">
        <v>400</v>
      </c>
      <c r="R719">
        <v>0.5</v>
      </c>
      <c r="S719">
        <v>3.33</v>
      </c>
      <c r="T719">
        <v>20639.16</v>
      </c>
      <c r="U719">
        <v>149271.09400000001</v>
      </c>
      <c r="V719">
        <v>1.383</v>
      </c>
      <c r="W719" t="s">
        <v>415</v>
      </c>
      <c r="X719">
        <v>0.6</v>
      </c>
      <c r="Y719">
        <v>25.9</v>
      </c>
    </row>
    <row r="720" spans="1:25" x14ac:dyDescent="0.45">
      <c r="A720">
        <v>56</v>
      </c>
      <c r="B720">
        <v>56</v>
      </c>
      <c r="C720" t="s">
        <v>637</v>
      </c>
      <c r="D720" t="s">
        <v>414</v>
      </c>
      <c r="F720">
        <v>3.46</v>
      </c>
      <c r="G720">
        <v>2272953.75</v>
      </c>
      <c r="I720">
        <v>2272953.75</v>
      </c>
      <c r="J720" t="s">
        <v>403</v>
      </c>
      <c r="K720">
        <v>3.9</v>
      </c>
      <c r="N720">
        <v>3</v>
      </c>
      <c r="O720">
        <v>3</v>
      </c>
      <c r="P720" t="s">
        <v>657</v>
      </c>
      <c r="Q720" t="s">
        <v>400</v>
      </c>
      <c r="R720">
        <v>1.25</v>
      </c>
      <c r="S720">
        <v>3.33</v>
      </c>
      <c r="T720">
        <v>53700.277000000002</v>
      </c>
      <c r="U720">
        <v>140143.20300000001</v>
      </c>
      <c r="V720">
        <v>3.8319999999999999</v>
      </c>
      <c r="W720" t="s">
        <v>401</v>
      </c>
      <c r="X720">
        <v>1.3</v>
      </c>
      <c r="Y720">
        <v>2.5</v>
      </c>
    </row>
    <row r="721" spans="1:25" x14ac:dyDescent="0.45">
      <c r="A721">
        <v>57</v>
      </c>
      <c r="B721">
        <v>57</v>
      </c>
      <c r="C721" t="s">
        <v>638</v>
      </c>
      <c r="D721" t="s">
        <v>414</v>
      </c>
      <c r="F721">
        <v>3.46</v>
      </c>
      <c r="G721">
        <v>2497914.5</v>
      </c>
      <c r="I721">
        <v>2497914.5</v>
      </c>
      <c r="J721" t="s">
        <v>403</v>
      </c>
      <c r="K721">
        <v>4.8</v>
      </c>
      <c r="N721">
        <v>4</v>
      </c>
      <c r="O721">
        <v>4</v>
      </c>
      <c r="P721" t="s">
        <v>658</v>
      </c>
      <c r="Q721" t="s">
        <v>400</v>
      </c>
      <c r="R721">
        <v>2.5</v>
      </c>
      <c r="S721">
        <v>3.33</v>
      </c>
      <c r="T721">
        <v>109233.18</v>
      </c>
      <c r="U721">
        <v>136556.125</v>
      </c>
      <c r="V721">
        <v>7.9989999999999997</v>
      </c>
      <c r="W721" t="s">
        <v>401</v>
      </c>
      <c r="X721">
        <v>2.4</v>
      </c>
      <c r="Y721">
        <v>-4.4000000000000004</v>
      </c>
    </row>
    <row r="722" spans="1:25" x14ac:dyDescent="0.45">
      <c r="A722">
        <v>58</v>
      </c>
      <c r="B722">
        <v>58</v>
      </c>
      <c r="C722" t="s">
        <v>639</v>
      </c>
      <c r="D722" t="s">
        <v>414</v>
      </c>
      <c r="F722">
        <v>3.46</v>
      </c>
      <c r="G722">
        <v>2515982.5</v>
      </c>
      <c r="I722">
        <v>2515982.5</v>
      </c>
      <c r="J722" t="s">
        <v>403</v>
      </c>
      <c r="K722">
        <v>4.9000000000000004</v>
      </c>
      <c r="N722">
        <v>5</v>
      </c>
      <c r="O722">
        <v>5</v>
      </c>
      <c r="P722" t="s">
        <v>659</v>
      </c>
      <c r="Q722" t="s">
        <v>400</v>
      </c>
      <c r="R722">
        <v>3.5</v>
      </c>
      <c r="S722">
        <v>3.33</v>
      </c>
      <c r="T722">
        <v>132337.109</v>
      </c>
      <c r="U722">
        <v>135322.93799999999</v>
      </c>
      <c r="V722">
        <v>9.7789999999999999</v>
      </c>
      <c r="W722" t="s">
        <v>403</v>
      </c>
      <c r="X722">
        <v>2.9</v>
      </c>
      <c r="Y722">
        <v>-18.2</v>
      </c>
    </row>
    <row r="723" spans="1:25" x14ac:dyDescent="0.45">
      <c r="A723">
        <v>59</v>
      </c>
      <c r="B723">
        <v>59</v>
      </c>
      <c r="C723" t="s">
        <v>640</v>
      </c>
      <c r="D723" t="s">
        <v>414</v>
      </c>
      <c r="F723">
        <v>3.46</v>
      </c>
      <c r="G723">
        <v>2370290.75</v>
      </c>
      <c r="I723">
        <v>2370290.75</v>
      </c>
      <c r="J723" t="s">
        <v>403</v>
      </c>
      <c r="K723">
        <v>4.3</v>
      </c>
      <c r="N723">
        <v>6</v>
      </c>
      <c r="O723">
        <v>6</v>
      </c>
      <c r="P723" t="s">
        <v>660</v>
      </c>
      <c r="Q723" t="s">
        <v>400</v>
      </c>
      <c r="R723">
        <v>5</v>
      </c>
      <c r="S723">
        <v>3.33</v>
      </c>
      <c r="T723">
        <v>225235.766</v>
      </c>
      <c r="U723">
        <v>127885.906</v>
      </c>
      <c r="V723">
        <v>17.611999999999998</v>
      </c>
      <c r="W723" t="s">
        <v>403</v>
      </c>
      <c r="X723">
        <v>4.9000000000000004</v>
      </c>
      <c r="Y723">
        <v>-1.1000000000000001</v>
      </c>
    </row>
    <row r="724" spans="1:25" x14ac:dyDescent="0.45">
      <c r="A724">
        <v>60</v>
      </c>
      <c r="B724">
        <v>60</v>
      </c>
      <c r="C724" t="s">
        <v>641</v>
      </c>
      <c r="D724" t="s">
        <v>414</v>
      </c>
      <c r="F724">
        <v>3.46</v>
      </c>
      <c r="G724">
        <v>2405481</v>
      </c>
      <c r="I724">
        <v>2405481</v>
      </c>
      <c r="J724" t="s">
        <v>401</v>
      </c>
      <c r="K724">
        <v>4.4000000000000004</v>
      </c>
      <c r="N724">
        <v>7</v>
      </c>
      <c r="O724">
        <v>7</v>
      </c>
      <c r="P724" t="s">
        <v>661</v>
      </c>
      <c r="Q724" t="s">
        <v>400</v>
      </c>
      <c r="R724">
        <v>7</v>
      </c>
      <c r="S724">
        <v>3.33</v>
      </c>
      <c r="T724">
        <v>332581.40600000002</v>
      </c>
      <c r="U724">
        <v>124263.06299999999</v>
      </c>
      <c r="V724">
        <v>26.763999999999999</v>
      </c>
      <c r="W724" t="s">
        <v>403</v>
      </c>
      <c r="X724">
        <v>7.4</v>
      </c>
      <c r="Y724">
        <v>5.4</v>
      </c>
    </row>
    <row r="725" spans="1:25" x14ac:dyDescent="0.45">
      <c r="A725">
        <v>61</v>
      </c>
      <c r="B725">
        <v>61</v>
      </c>
      <c r="C725" t="s">
        <v>642</v>
      </c>
      <c r="D725" t="s">
        <v>414</v>
      </c>
      <c r="F725">
        <v>3.46</v>
      </c>
      <c r="G725">
        <v>2324255</v>
      </c>
      <c r="I725">
        <v>2324255</v>
      </c>
      <c r="J725" t="s">
        <v>403</v>
      </c>
      <c r="K725">
        <v>4.0999999999999996</v>
      </c>
      <c r="N725">
        <v>8</v>
      </c>
      <c r="O725">
        <v>8</v>
      </c>
      <c r="P725" t="s">
        <v>662</v>
      </c>
      <c r="Q725" t="s">
        <v>414</v>
      </c>
      <c r="S725">
        <v>3.88</v>
      </c>
      <c r="T725">
        <v>23267.24</v>
      </c>
      <c r="U725">
        <v>51073.741999999998</v>
      </c>
      <c r="V725">
        <v>4.556</v>
      </c>
      <c r="W725" t="s">
        <v>403</v>
      </c>
      <c r="X725">
        <v>1.5</v>
      </c>
    </row>
    <row r="726" spans="1:25" x14ac:dyDescent="0.45">
      <c r="A726">
        <v>62</v>
      </c>
      <c r="B726">
        <v>62</v>
      </c>
      <c r="C726" t="s">
        <v>643</v>
      </c>
      <c r="D726" t="s">
        <v>414</v>
      </c>
      <c r="F726">
        <v>3.46</v>
      </c>
      <c r="G726">
        <v>2374283.5</v>
      </c>
      <c r="I726">
        <v>2374283.5</v>
      </c>
      <c r="J726" t="s">
        <v>403</v>
      </c>
      <c r="K726">
        <v>4.3</v>
      </c>
      <c r="N726">
        <v>9</v>
      </c>
      <c r="O726">
        <v>9</v>
      </c>
      <c r="P726" t="s">
        <v>663</v>
      </c>
      <c r="Q726" t="s">
        <v>414</v>
      </c>
      <c r="S726">
        <v>3.88</v>
      </c>
      <c r="T726">
        <v>27441.41</v>
      </c>
      <c r="U726">
        <v>41879.68</v>
      </c>
      <c r="V726">
        <v>6.5519999999999996</v>
      </c>
      <c r="W726" t="s">
        <v>401</v>
      </c>
      <c r="X726">
        <v>2</v>
      </c>
    </row>
    <row r="727" spans="1:25" x14ac:dyDescent="0.45">
      <c r="A727">
        <v>63</v>
      </c>
      <c r="B727">
        <v>63</v>
      </c>
      <c r="C727" t="s">
        <v>644</v>
      </c>
      <c r="D727" t="s">
        <v>414</v>
      </c>
      <c r="F727">
        <v>3.46</v>
      </c>
      <c r="G727">
        <v>2435513.25</v>
      </c>
      <c r="I727">
        <v>2435513.25</v>
      </c>
      <c r="J727" t="s">
        <v>403</v>
      </c>
      <c r="K727">
        <v>4.5999999999999996</v>
      </c>
      <c r="N727">
        <v>10</v>
      </c>
      <c r="O727">
        <v>10</v>
      </c>
      <c r="P727" t="s">
        <v>664</v>
      </c>
      <c r="Q727" t="s">
        <v>414</v>
      </c>
      <c r="S727">
        <v>3.88</v>
      </c>
      <c r="T727">
        <v>18091.349999999999</v>
      </c>
      <c r="U727">
        <v>40047.410000000003</v>
      </c>
      <c r="V727">
        <v>4.5170000000000003</v>
      </c>
      <c r="W727" t="s">
        <v>401</v>
      </c>
      <c r="X727">
        <v>1.5</v>
      </c>
    </row>
    <row r="728" spans="1:25" x14ac:dyDescent="0.45">
      <c r="A728">
        <v>64</v>
      </c>
      <c r="B728">
        <v>64</v>
      </c>
      <c r="C728" t="s">
        <v>645</v>
      </c>
      <c r="D728" t="s">
        <v>414</v>
      </c>
      <c r="F728">
        <v>3.46</v>
      </c>
      <c r="G728">
        <v>2544393.5</v>
      </c>
      <c r="I728">
        <v>2544393.5</v>
      </c>
      <c r="J728" t="s">
        <v>403</v>
      </c>
      <c r="K728">
        <v>5</v>
      </c>
      <c r="N728">
        <v>11</v>
      </c>
      <c r="O728">
        <v>11</v>
      </c>
      <c r="P728" t="s">
        <v>665</v>
      </c>
      <c r="Q728" t="s">
        <v>414</v>
      </c>
      <c r="S728">
        <v>3.88</v>
      </c>
      <c r="T728">
        <v>20414.532999999999</v>
      </c>
      <c r="U728">
        <v>37171.656000000003</v>
      </c>
      <c r="V728">
        <v>5.492</v>
      </c>
      <c r="W728" t="s">
        <v>401</v>
      </c>
      <c r="X728">
        <v>1.7</v>
      </c>
    </row>
    <row r="729" spans="1:25" x14ac:dyDescent="0.45">
      <c r="A729">
        <v>65</v>
      </c>
      <c r="B729">
        <v>65</v>
      </c>
      <c r="C729" t="s">
        <v>646</v>
      </c>
      <c r="D729" t="s">
        <v>414</v>
      </c>
      <c r="F729">
        <v>3.46</v>
      </c>
      <c r="G729">
        <v>2457005.5</v>
      </c>
      <c r="I729">
        <v>2457005.5</v>
      </c>
      <c r="J729" t="s">
        <v>403</v>
      </c>
      <c r="K729">
        <v>4.7</v>
      </c>
      <c r="N729">
        <v>12</v>
      </c>
      <c r="O729">
        <v>12</v>
      </c>
      <c r="P729" t="s">
        <v>666</v>
      </c>
      <c r="Q729" t="s">
        <v>414</v>
      </c>
      <c r="S729">
        <v>3.88</v>
      </c>
      <c r="T729">
        <v>12053.312</v>
      </c>
      <c r="U729">
        <v>50504.671999999999</v>
      </c>
      <c r="V729">
        <v>2.387</v>
      </c>
      <c r="W729" t="s">
        <v>401</v>
      </c>
      <c r="X729">
        <v>0.9</v>
      </c>
    </row>
    <row r="730" spans="1:25" x14ac:dyDescent="0.45">
      <c r="A730">
        <v>66</v>
      </c>
      <c r="B730">
        <v>66</v>
      </c>
      <c r="C730" t="s">
        <v>647</v>
      </c>
      <c r="D730" t="s">
        <v>414</v>
      </c>
      <c r="F730">
        <v>3.46</v>
      </c>
      <c r="G730">
        <v>2193861</v>
      </c>
      <c r="I730">
        <v>2193861</v>
      </c>
      <c r="J730" t="s">
        <v>403</v>
      </c>
      <c r="K730">
        <v>3.5</v>
      </c>
      <c r="N730">
        <v>13</v>
      </c>
      <c r="O730">
        <v>13</v>
      </c>
      <c r="P730" t="s">
        <v>667</v>
      </c>
      <c r="Q730" t="s">
        <v>414</v>
      </c>
      <c r="S730">
        <v>3.88</v>
      </c>
      <c r="T730">
        <v>16671.794999999998</v>
      </c>
      <c r="U730">
        <v>32754.655999999999</v>
      </c>
      <c r="V730">
        <v>5.09</v>
      </c>
      <c r="W730" t="s">
        <v>401</v>
      </c>
      <c r="X730">
        <v>1.6</v>
      </c>
    </row>
    <row r="731" spans="1:25" x14ac:dyDescent="0.45">
      <c r="A731">
        <v>67</v>
      </c>
      <c r="B731">
        <v>67</v>
      </c>
      <c r="C731" t="s">
        <v>648</v>
      </c>
      <c r="D731" t="s">
        <v>414</v>
      </c>
      <c r="F731">
        <v>3.46</v>
      </c>
      <c r="G731">
        <v>2366169</v>
      </c>
      <c r="I731">
        <v>2366169</v>
      </c>
      <c r="J731" t="s">
        <v>403</v>
      </c>
      <c r="K731">
        <v>4.3</v>
      </c>
      <c r="N731">
        <v>14</v>
      </c>
      <c r="O731">
        <v>14</v>
      </c>
      <c r="P731" t="s">
        <v>668</v>
      </c>
      <c r="Q731" t="s">
        <v>414</v>
      </c>
      <c r="S731">
        <v>3.88</v>
      </c>
      <c r="T731">
        <v>16333.508</v>
      </c>
      <c r="U731">
        <v>48809.023000000001</v>
      </c>
      <c r="V731">
        <v>3.3460000000000001</v>
      </c>
      <c r="W731" t="s">
        <v>401</v>
      </c>
      <c r="X731">
        <v>1.2</v>
      </c>
    </row>
    <row r="732" spans="1:25" x14ac:dyDescent="0.45">
      <c r="A732">
        <v>68</v>
      </c>
      <c r="B732">
        <v>68</v>
      </c>
      <c r="C732" t="s">
        <v>649</v>
      </c>
      <c r="D732" t="s">
        <v>414</v>
      </c>
      <c r="F732">
        <v>3.46</v>
      </c>
      <c r="G732">
        <v>2489104.75</v>
      </c>
      <c r="I732">
        <v>2489104.75</v>
      </c>
      <c r="J732" t="s">
        <v>401</v>
      </c>
      <c r="K732">
        <v>4.8</v>
      </c>
      <c r="N732">
        <v>15</v>
      </c>
      <c r="O732">
        <v>15</v>
      </c>
      <c r="P732" t="s">
        <v>669</v>
      </c>
      <c r="Q732" t="s">
        <v>414</v>
      </c>
      <c r="S732">
        <v>3.88</v>
      </c>
      <c r="T732">
        <v>13413.076999999999</v>
      </c>
      <c r="U732">
        <v>33390.375</v>
      </c>
      <c r="V732">
        <v>4.0170000000000003</v>
      </c>
      <c r="W732" t="s">
        <v>401</v>
      </c>
      <c r="X732">
        <v>1.3</v>
      </c>
    </row>
    <row r="733" spans="1:25" x14ac:dyDescent="0.45">
      <c r="A733">
        <v>69</v>
      </c>
      <c r="B733">
        <v>69</v>
      </c>
      <c r="C733" t="s">
        <v>650</v>
      </c>
      <c r="D733" t="s">
        <v>414</v>
      </c>
      <c r="F733">
        <v>3.46</v>
      </c>
      <c r="G733">
        <v>2366380.75</v>
      </c>
      <c r="I733">
        <v>2366380.75</v>
      </c>
      <c r="J733" t="s">
        <v>403</v>
      </c>
      <c r="K733">
        <v>4.3</v>
      </c>
      <c r="N733">
        <v>16</v>
      </c>
      <c r="O733">
        <v>16</v>
      </c>
      <c r="P733" t="s">
        <v>670</v>
      </c>
      <c r="Q733" t="s">
        <v>414</v>
      </c>
      <c r="S733">
        <v>3.88</v>
      </c>
      <c r="T733">
        <v>9053.5889999999999</v>
      </c>
      <c r="U733">
        <v>21181.046999999999</v>
      </c>
      <c r="V733">
        <v>4.274</v>
      </c>
      <c r="W733" t="s">
        <v>401</v>
      </c>
      <c r="X733">
        <v>1.4</v>
      </c>
    </row>
    <row r="734" spans="1:25" x14ac:dyDescent="0.45">
      <c r="N734">
        <v>17</v>
      </c>
      <c r="O734">
        <v>17</v>
      </c>
      <c r="P734" t="s">
        <v>671</v>
      </c>
      <c r="Q734" t="s">
        <v>414</v>
      </c>
      <c r="S734">
        <v>3.87</v>
      </c>
      <c r="T734">
        <v>13541.02</v>
      </c>
      <c r="U734">
        <v>24707.303</v>
      </c>
      <c r="V734">
        <v>5.4809999999999999</v>
      </c>
      <c r="W734" t="s">
        <v>401</v>
      </c>
      <c r="X734">
        <v>1.7</v>
      </c>
    </row>
    <row r="735" spans="1:25" x14ac:dyDescent="0.45">
      <c r="A735" t="s">
        <v>496</v>
      </c>
      <c r="N735">
        <v>18</v>
      </c>
      <c r="O735">
        <v>18</v>
      </c>
      <c r="P735" t="s">
        <v>672</v>
      </c>
      <c r="Q735" t="s">
        <v>414</v>
      </c>
      <c r="S735">
        <v>3.88</v>
      </c>
      <c r="T735">
        <v>15239.242</v>
      </c>
      <c r="U735">
        <v>31987.254000000001</v>
      </c>
      <c r="V735">
        <v>4.7640000000000002</v>
      </c>
      <c r="W735" t="s">
        <v>401</v>
      </c>
      <c r="X735">
        <v>1.5</v>
      </c>
    </row>
    <row r="736" spans="1:25" x14ac:dyDescent="0.45">
      <c r="N736">
        <v>19</v>
      </c>
      <c r="O736">
        <v>19</v>
      </c>
      <c r="P736" t="s">
        <v>673</v>
      </c>
      <c r="Q736" t="s">
        <v>414</v>
      </c>
      <c r="S736">
        <v>3.88</v>
      </c>
      <c r="T736">
        <v>12475.52</v>
      </c>
      <c r="U736">
        <v>32429.245999999999</v>
      </c>
      <c r="V736">
        <v>3.847</v>
      </c>
      <c r="W736" t="s">
        <v>403</v>
      </c>
      <c r="X736">
        <v>1.3</v>
      </c>
    </row>
    <row r="737" spans="1:24" x14ac:dyDescent="0.45">
      <c r="B737" t="s">
        <v>389</v>
      </c>
      <c r="C737" t="s">
        <v>123</v>
      </c>
      <c r="D737" t="s">
        <v>390</v>
      </c>
      <c r="E737" t="s">
        <v>391</v>
      </c>
      <c r="F737" t="s">
        <v>392</v>
      </c>
      <c r="G737" t="s">
        <v>393</v>
      </c>
      <c r="H737" t="s">
        <v>394</v>
      </c>
      <c r="I737" t="s">
        <v>395</v>
      </c>
      <c r="J737" t="s">
        <v>396</v>
      </c>
      <c r="K737" t="s">
        <v>397</v>
      </c>
      <c r="L737" t="s">
        <v>398</v>
      </c>
      <c r="N737">
        <v>20</v>
      </c>
      <c r="O737">
        <v>20</v>
      </c>
      <c r="P737" t="s">
        <v>674</v>
      </c>
      <c r="Q737" t="s">
        <v>414</v>
      </c>
      <c r="S737">
        <v>3.88</v>
      </c>
      <c r="T737">
        <v>8168.04</v>
      </c>
      <c r="U737">
        <v>28551.215</v>
      </c>
      <c r="V737">
        <v>2.8610000000000002</v>
      </c>
      <c r="W737" t="s">
        <v>401</v>
      </c>
      <c r="X737">
        <v>1</v>
      </c>
    </row>
    <row r="738" spans="1:24" x14ac:dyDescent="0.45">
      <c r="A738">
        <v>1</v>
      </c>
      <c r="B738">
        <v>1</v>
      </c>
      <c r="C738" t="s">
        <v>582</v>
      </c>
      <c r="D738" t="s">
        <v>400</v>
      </c>
      <c r="E738">
        <v>0.05</v>
      </c>
      <c r="F738">
        <v>3.55</v>
      </c>
      <c r="G738">
        <v>2412.596</v>
      </c>
      <c r="H738">
        <v>117411.164</v>
      </c>
      <c r="I738">
        <v>0.20499999999999999</v>
      </c>
      <c r="J738" t="s">
        <v>401</v>
      </c>
      <c r="K738">
        <v>0.5</v>
      </c>
      <c r="L738">
        <v>880.3</v>
      </c>
      <c r="N738">
        <v>21</v>
      </c>
      <c r="O738">
        <v>21</v>
      </c>
      <c r="P738" t="s">
        <v>675</v>
      </c>
      <c r="Q738" t="s">
        <v>414</v>
      </c>
      <c r="S738">
        <v>3.88</v>
      </c>
      <c r="T738">
        <v>14687.098</v>
      </c>
      <c r="U738">
        <v>33726.175999999999</v>
      </c>
      <c r="V738">
        <v>4.3550000000000004</v>
      </c>
      <c r="W738" t="s">
        <v>401</v>
      </c>
      <c r="X738">
        <v>1.4</v>
      </c>
    </row>
    <row r="739" spans="1:24" x14ac:dyDescent="0.45">
      <c r="A739">
        <v>2</v>
      </c>
      <c r="B739">
        <v>2</v>
      </c>
      <c r="C739" t="s">
        <v>583</v>
      </c>
      <c r="D739" t="s">
        <v>400</v>
      </c>
      <c r="E739">
        <v>0.5</v>
      </c>
      <c r="F739">
        <v>3.33</v>
      </c>
      <c r="G739">
        <v>11078.81</v>
      </c>
      <c r="H739">
        <v>138628.109</v>
      </c>
      <c r="I739">
        <v>0.79900000000000004</v>
      </c>
      <c r="J739" t="s">
        <v>415</v>
      </c>
      <c r="K739">
        <v>0.7</v>
      </c>
      <c r="L739">
        <v>32.200000000000003</v>
      </c>
      <c r="N739">
        <v>22</v>
      </c>
      <c r="O739">
        <v>22</v>
      </c>
      <c r="P739" t="s">
        <v>676</v>
      </c>
      <c r="Q739" t="s">
        <v>414</v>
      </c>
      <c r="S739">
        <v>3.88</v>
      </c>
      <c r="T739">
        <v>11312.596</v>
      </c>
      <c r="U739">
        <v>28869.703000000001</v>
      </c>
      <c r="V739">
        <v>3.919</v>
      </c>
      <c r="W739" t="s">
        <v>401</v>
      </c>
      <c r="X739">
        <v>1.3</v>
      </c>
    </row>
    <row r="740" spans="1:24" x14ac:dyDescent="0.45">
      <c r="A740">
        <v>3</v>
      </c>
      <c r="B740">
        <v>3</v>
      </c>
      <c r="C740" t="s">
        <v>584</v>
      </c>
      <c r="D740" t="s">
        <v>400</v>
      </c>
      <c r="E740">
        <v>1.25</v>
      </c>
      <c r="F740">
        <v>3.33</v>
      </c>
      <c r="G740">
        <v>20037.986000000001</v>
      </c>
      <c r="H740">
        <v>113435.594</v>
      </c>
      <c r="I740">
        <v>1.766</v>
      </c>
      <c r="J740" t="s">
        <v>415</v>
      </c>
      <c r="K740">
        <v>0.9</v>
      </c>
      <c r="L740">
        <v>-24.9</v>
      </c>
      <c r="N740">
        <v>23</v>
      </c>
      <c r="O740">
        <v>23</v>
      </c>
      <c r="P740" t="s">
        <v>677</v>
      </c>
      <c r="Q740" t="s">
        <v>414</v>
      </c>
      <c r="S740">
        <v>3.88</v>
      </c>
      <c r="T740">
        <v>14334.132</v>
      </c>
      <c r="U740">
        <v>28047.248</v>
      </c>
      <c r="V740">
        <v>5.1109999999999998</v>
      </c>
      <c r="W740" t="s">
        <v>403</v>
      </c>
      <c r="X740">
        <v>1.6</v>
      </c>
    </row>
    <row r="741" spans="1:24" x14ac:dyDescent="0.45">
      <c r="A741">
        <v>4</v>
      </c>
      <c r="B741">
        <v>4</v>
      </c>
      <c r="C741" t="s">
        <v>585</v>
      </c>
      <c r="D741" t="s">
        <v>400</v>
      </c>
      <c r="E741">
        <v>2.5</v>
      </c>
      <c r="F741">
        <v>3.33</v>
      </c>
      <c r="G741">
        <v>73501.937999999995</v>
      </c>
      <c r="H741">
        <v>119644.523</v>
      </c>
      <c r="I741">
        <v>6.1429999999999998</v>
      </c>
      <c r="J741" t="s">
        <v>401</v>
      </c>
      <c r="K741">
        <v>2.2000000000000002</v>
      </c>
      <c r="L741">
        <v>-12.1</v>
      </c>
      <c r="N741">
        <v>24</v>
      </c>
      <c r="O741">
        <v>24</v>
      </c>
      <c r="P741" t="s">
        <v>678</v>
      </c>
      <c r="Q741" t="s">
        <v>414</v>
      </c>
      <c r="S741">
        <v>3.88</v>
      </c>
      <c r="T741">
        <v>11180.754999999999</v>
      </c>
      <c r="U741">
        <v>22555.134999999998</v>
      </c>
      <c r="V741">
        <v>4.9569999999999999</v>
      </c>
      <c r="W741" t="s">
        <v>401</v>
      </c>
      <c r="X741">
        <v>1.6</v>
      </c>
    </row>
    <row r="742" spans="1:24" x14ac:dyDescent="0.45">
      <c r="A742">
        <v>5</v>
      </c>
      <c r="B742">
        <v>5</v>
      </c>
      <c r="C742" t="s">
        <v>586</v>
      </c>
      <c r="D742" t="s">
        <v>400</v>
      </c>
      <c r="E742">
        <v>3.5</v>
      </c>
      <c r="F742">
        <v>3.33</v>
      </c>
      <c r="G742">
        <v>123791.719</v>
      </c>
      <c r="H742">
        <v>134062.71900000001</v>
      </c>
      <c r="I742">
        <v>9.234</v>
      </c>
      <c r="J742" t="s">
        <v>401</v>
      </c>
      <c r="K742">
        <v>3.1</v>
      </c>
      <c r="L742">
        <v>-11.8</v>
      </c>
      <c r="N742">
        <v>25</v>
      </c>
      <c r="O742">
        <v>25</v>
      </c>
      <c r="P742" t="s">
        <v>679</v>
      </c>
      <c r="Q742" t="s">
        <v>414</v>
      </c>
      <c r="S742">
        <v>3.87</v>
      </c>
      <c r="T742">
        <v>9216.7929999999997</v>
      </c>
      <c r="U742">
        <v>20327.953000000001</v>
      </c>
      <c r="V742">
        <v>4.5339999999999998</v>
      </c>
      <c r="W742" t="s">
        <v>401</v>
      </c>
      <c r="X742">
        <v>1.5</v>
      </c>
    </row>
    <row r="743" spans="1:24" x14ac:dyDescent="0.45">
      <c r="A743">
        <v>6</v>
      </c>
      <c r="B743">
        <v>6</v>
      </c>
      <c r="C743" t="s">
        <v>587</v>
      </c>
      <c r="D743" t="s">
        <v>400</v>
      </c>
      <c r="E743">
        <v>5</v>
      </c>
      <c r="F743">
        <v>3.33</v>
      </c>
      <c r="G743">
        <v>227774.56299999999</v>
      </c>
      <c r="H743">
        <v>136304.92199999999</v>
      </c>
      <c r="I743">
        <v>16.710999999999999</v>
      </c>
      <c r="J743" t="s">
        <v>403</v>
      </c>
      <c r="K743">
        <v>5.2</v>
      </c>
      <c r="L743">
        <v>4.8</v>
      </c>
      <c r="N743">
        <v>26</v>
      </c>
      <c r="O743">
        <v>26</v>
      </c>
      <c r="P743" t="s">
        <v>680</v>
      </c>
      <c r="Q743" t="s">
        <v>414</v>
      </c>
      <c r="S743">
        <v>3.88</v>
      </c>
      <c r="T743">
        <v>13119.712</v>
      </c>
      <c r="U743">
        <v>21581.572</v>
      </c>
      <c r="V743">
        <v>6.0789999999999997</v>
      </c>
      <c r="W743" t="s">
        <v>401</v>
      </c>
      <c r="X743">
        <v>1.9</v>
      </c>
    </row>
    <row r="744" spans="1:24" x14ac:dyDescent="0.45">
      <c r="A744">
        <v>7</v>
      </c>
      <c r="B744">
        <v>7</v>
      </c>
      <c r="C744" t="s">
        <v>588</v>
      </c>
      <c r="D744" t="s">
        <v>400</v>
      </c>
      <c r="E744">
        <v>7</v>
      </c>
      <c r="F744">
        <v>3.33</v>
      </c>
      <c r="G744">
        <v>273555.71899999998</v>
      </c>
      <c r="H744">
        <v>116567.164</v>
      </c>
      <c r="I744">
        <v>23.468</v>
      </c>
      <c r="J744" t="s">
        <v>403</v>
      </c>
      <c r="K744">
        <v>7.2</v>
      </c>
      <c r="L744">
        <v>2.6</v>
      </c>
      <c r="N744">
        <v>27</v>
      </c>
      <c r="O744">
        <v>27</v>
      </c>
      <c r="P744" t="s">
        <v>681</v>
      </c>
      <c r="Q744" t="s">
        <v>414</v>
      </c>
      <c r="S744">
        <v>3.88</v>
      </c>
      <c r="T744">
        <v>15086.446</v>
      </c>
      <c r="U744">
        <v>22295.338</v>
      </c>
      <c r="V744">
        <v>6.7670000000000003</v>
      </c>
      <c r="W744" t="s">
        <v>403</v>
      </c>
      <c r="X744">
        <v>2.1</v>
      </c>
    </row>
    <row r="745" spans="1:24" x14ac:dyDescent="0.45">
      <c r="A745">
        <v>8</v>
      </c>
      <c r="B745">
        <v>8</v>
      </c>
      <c r="C745" t="s">
        <v>589</v>
      </c>
      <c r="D745" t="s">
        <v>410</v>
      </c>
      <c r="F745">
        <v>3.55</v>
      </c>
      <c r="G745">
        <v>3032.9319999999998</v>
      </c>
      <c r="H745">
        <v>7470.3019999999997</v>
      </c>
      <c r="I745">
        <v>4.0599999999999996</v>
      </c>
      <c r="J745" t="s">
        <v>415</v>
      </c>
      <c r="K745">
        <v>1.6</v>
      </c>
      <c r="N745">
        <v>28</v>
      </c>
      <c r="O745">
        <v>28</v>
      </c>
      <c r="P745" t="s">
        <v>682</v>
      </c>
      <c r="Q745" t="s">
        <v>414</v>
      </c>
      <c r="S745">
        <v>3.88</v>
      </c>
      <c r="T745">
        <v>13203.592000000001</v>
      </c>
      <c r="U745">
        <v>25773.692999999999</v>
      </c>
      <c r="V745">
        <v>5.1230000000000002</v>
      </c>
      <c r="W745" t="s">
        <v>403</v>
      </c>
      <c r="X745">
        <v>1.6</v>
      </c>
    </row>
    <row r="746" spans="1:24" x14ac:dyDescent="0.45">
      <c r="A746">
        <v>9</v>
      </c>
      <c r="B746">
        <v>9</v>
      </c>
      <c r="C746" t="s">
        <v>590</v>
      </c>
      <c r="D746" t="s">
        <v>410</v>
      </c>
      <c r="F746">
        <v>3.55</v>
      </c>
      <c r="G746">
        <v>2810.6790000000001</v>
      </c>
      <c r="H746">
        <v>2630.6849999999999</v>
      </c>
      <c r="I746">
        <v>10.683999999999999</v>
      </c>
      <c r="J746" t="s">
        <v>412</v>
      </c>
      <c r="K746">
        <v>3.5</v>
      </c>
      <c r="N746">
        <v>29</v>
      </c>
      <c r="O746">
        <v>29</v>
      </c>
      <c r="P746" t="s">
        <v>683</v>
      </c>
      <c r="Q746" t="s">
        <v>414</v>
      </c>
      <c r="S746">
        <v>3.87</v>
      </c>
      <c r="T746">
        <v>14966.982</v>
      </c>
      <c r="U746">
        <v>30564.956999999999</v>
      </c>
      <c r="V746">
        <v>4.8970000000000002</v>
      </c>
      <c r="W746" t="s">
        <v>403</v>
      </c>
      <c r="X746">
        <v>1.6</v>
      </c>
    </row>
    <row r="747" spans="1:24" x14ac:dyDescent="0.45">
      <c r="A747">
        <v>10</v>
      </c>
      <c r="B747">
        <v>10</v>
      </c>
      <c r="C747" t="s">
        <v>591</v>
      </c>
      <c r="D747" t="s">
        <v>414</v>
      </c>
      <c r="F747">
        <v>3.88</v>
      </c>
      <c r="G747">
        <v>23481.057000000001</v>
      </c>
      <c r="H747">
        <v>60054.163999999997</v>
      </c>
      <c r="I747">
        <v>3.91</v>
      </c>
      <c r="J747" t="s">
        <v>401</v>
      </c>
      <c r="K747">
        <v>1.6</v>
      </c>
      <c r="N747">
        <v>30</v>
      </c>
      <c r="O747">
        <v>30</v>
      </c>
      <c r="P747" t="s">
        <v>684</v>
      </c>
      <c r="Q747" t="s">
        <v>414</v>
      </c>
      <c r="S747">
        <v>3.88</v>
      </c>
      <c r="T747">
        <v>13810.482</v>
      </c>
      <c r="U747">
        <v>23776.713</v>
      </c>
      <c r="V747">
        <v>5.8079999999999998</v>
      </c>
      <c r="W747" t="s">
        <v>401</v>
      </c>
      <c r="X747">
        <v>1.8</v>
      </c>
    </row>
    <row r="748" spans="1:24" x14ac:dyDescent="0.45">
      <c r="A748">
        <v>11</v>
      </c>
      <c r="B748">
        <v>11</v>
      </c>
      <c r="C748" t="s">
        <v>592</v>
      </c>
      <c r="D748" t="s">
        <v>414</v>
      </c>
      <c r="F748">
        <v>3.88</v>
      </c>
      <c r="G748">
        <v>14705.114</v>
      </c>
      <c r="H748">
        <v>20785.078000000001</v>
      </c>
      <c r="I748">
        <v>7.0750000000000002</v>
      </c>
      <c r="J748" t="s">
        <v>401</v>
      </c>
      <c r="K748">
        <v>2.5</v>
      </c>
      <c r="N748">
        <v>31</v>
      </c>
      <c r="O748">
        <v>31</v>
      </c>
      <c r="P748" t="s">
        <v>685</v>
      </c>
      <c r="Q748" t="s">
        <v>414</v>
      </c>
      <c r="S748">
        <v>3.87</v>
      </c>
      <c r="T748">
        <v>20185.028999999999</v>
      </c>
      <c r="U748">
        <v>33512.824000000001</v>
      </c>
      <c r="V748">
        <v>6.0229999999999997</v>
      </c>
      <c r="W748" t="s">
        <v>401</v>
      </c>
      <c r="X748">
        <v>1.9</v>
      </c>
    </row>
    <row r="749" spans="1:24" x14ac:dyDescent="0.45">
      <c r="A749">
        <v>12</v>
      </c>
      <c r="B749">
        <v>12</v>
      </c>
      <c r="C749" t="s">
        <v>593</v>
      </c>
      <c r="D749" t="s">
        <v>414</v>
      </c>
      <c r="F749">
        <v>3.88</v>
      </c>
      <c r="G749">
        <v>12212.432000000001</v>
      </c>
      <c r="H749">
        <v>35113.836000000003</v>
      </c>
      <c r="I749">
        <v>3.4780000000000002</v>
      </c>
      <c r="J749" t="s">
        <v>401</v>
      </c>
      <c r="K749">
        <v>1.4</v>
      </c>
      <c r="N749">
        <v>32</v>
      </c>
      <c r="O749">
        <v>32</v>
      </c>
      <c r="P749" t="s">
        <v>686</v>
      </c>
      <c r="Q749" t="s">
        <v>414</v>
      </c>
      <c r="S749">
        <v>3.87</v>
      </c>
      <c r="T749">
        <v>16184.925999999999</v>
      </c>
      <c r="U749">
        <v>44923.574000000001</v>
      </c>
      <c r="V749">
        <v>3.6030000000000002</v>
      </c>
      <c r="W749" t="s">
        <v>415</v>
      </c>
      <c r="X749">
        <v>1.2</v>
      </c>
    </row>
    <row r="750" spans="1:24" x14ac:dyDescent="0.45">
      <c r="A750">
        <v>13</v>
      </c>
      <c r="B750">
        <v>13</v>
      </c>
      <c r="C750" t="s">
        <v>594</v>
      </c>
      <c r="D750" t="s">
        <v>414</v>
      </c>
      <c r="F750">
        <v>3.88</v>
      </c>
      <c r="G750">
        <v>17798.080000000002</v>
      </c>
      <c r="H750">
        <v>63296.608999999997</v>
      </c>
      <c r="I750">
        <v>2.8119999999999998</v>
      </c>
      <c r="J750" t="s">
        <v>401</v>
      </c>
      <c r="K750">
        <v>1.2</v>
      </c>
      <c r="N750">
        <v>33</v>
      </c>
      <c r="O750">
        <v>33</v>
      </c>
      <c r="P750" t="s">
        <v>687</v>
      </c>
      <c r="Q750" t="s">
        <v>414</v>
      </c>
      <c r="S750">
        <v>3.87</v>
      </c>
      <c r="T750">
        <v>14785.669</v>
      </c>
      <c r="U750">
        <v>43166.093999999997</v>
      </c>
      <c r="V750">
        <v>3.4249999999999998</v>
      </c>
      <c r="W750" t="s">
        <v>403</v>
      </c>
      <c r="X750">
        <v>1.2</v>
      </c>
    </row>
    <row r="751" spans="1:24" x14ac:dyDescent="0.45">
      <c r="A751">
        <v>14</v>
      </c>
      <c r="B751">
        <v>14</v>
      </c>
      <c r="C751" t="s">
        <v>595</v>
      </c>
      <c r="D751" t="s">
        <v>414</v>
      </c>
      <c r="F751">
        <v>3.88</v>
      </c>
      <c r="G751">
        <v>21376.1</v>
      </c>
      <c r="H751">
        <v>58263.476999999999</v>
      </c>
      <c r="I751">
        <v>3.669</v>
      </c>
      <c r="J751" t="s">
        <v>403</v>
      </c>
      <c r="K751">
        <v>1.5</v>
      </c>
      <c r="N751">
        <v>34</v>
      </c>
      <c r="O751">
        <v>34</v>
      </c>
      <c r="P751" t="s">
        <v>688</v>
      </c>
      <c r="Q751" t="s">
        <v>414</v>
      </c>
      <c r="S751">
        <v>3.88</v>
      </c>
      <c r="T751">
        <v>13992.213</v>
      </c>
      <c r="U751">
        <v>40017.68</v>
      </c>
      <c r="V751">
        <v>3.4969999999999999</v>
      </c>
      <c r="W751" t="s">
        <v>401</v>
      </c>
      <c r="X751">
        <v>1.2</v>
      </c>
    </row>
    <row r="752" spans="1:24" x14ac:dyDescent="0.45">
      <c r="A752">
        <v>15</v>
      </c>
      <c r="B752">
        <v>15</v>
      </c>
      <c r="C752" t="s">
        <v>596</v>
      </c>
      <c r="D752" t="s">
        <v>414</v>
      </c>
      <c r="F752">
        <v>3.88</v>
      </c>
      <c r="G752">
        <v>28926.865000000002</v>
      </c>
      <c r="H752">
        <v>81676.679999999993</v>
      </c>
      <c r="I752">
        <v>3.5419999999999998</v>
      </c>
      <c r="J752" t="s">
        <v>401</v>
      </c>
      <c r="K752">
        <v>1.5</v>
      </c>
      <c r="N752">
        <v>35</v>
      </c>
      <c r="O752">
        <v>35</v>
      </c>
      <c r="P752" t="s">
        <v>689</v>
      </c>
      <c r="Q752" t="s">
        <v>414</v>
      </c>
      <c r="S752">
        <v>3.88</v>
      </c>
      <c r="T752">
        <v>13219.156000000001</v>
      </c>
      <c r="U752">
        <v>49998.508000000002</v>
      </c>
      <c r="V752">
        <v>2.6440000000000001</v>
      </c>
      <c r="W752" t="s">
        <v>403</v>
      </c>
      <c r="X752">
        <v>1</v>
      </c>
    </row>
    <row r="753" spans="1:24" x14ac:dyDescent="0.45">
      <c r="A753">
        <v>16</v>
      </c>
      <c r="B753">
        <v>16</v>
      </c>
      <c r="C753" t="s">
        <v>597</v>
      </c>
      <c r="D753" t="s">
        <v>414</v>
      </c>
      <c r="F753">
        <v>3.88</v>
      </c>
      <c r="G753">
        <v>23998.973000000002</v>
      </c>
      <c r="H753">
        <v>92352.101999999999</v>
      </c>
      <c r="I753">
        <v>2.5990000000000002</v>
      </c>
      <c r="J753" t="s">
        <v>403</v>
      </c>
      <c r="K753">
        <v>1.2</v>
      </c>
      <c r="N753">
        <v>36</v>
      </c>
      <c r="O753">
        <v>36</v>
      </c>
      <c r="P753" t="s">
        <v>690</v>
      </c>
      <c r="Q753" t="s">
        <v>414</v>
      </c>
      <c r="S753">
        <v>3.88</v>
      </c>
      <c r="T753">
        <v>7965.308</v>
      </c>
      <c r="U753">
        <v>27517.188999999998</v>
      </c>
      <c r="V753">
        <v>2.895</v>
      </c>
      <c r="W753" t="s">
        <v>401</v>
      </c>
      <c r="X753">
        <v>1</v>
      </c>
    </row>
    <row r="754" spans="1:24" x14ac:dyDescent="0.45">
      <c r="A754">
        <v>17</v>
      </c>
      <c r="B754">
        <v>17</v>
      </c>
      <c r="C754" t="s">
        <v>598</v>
      </c>
      <c r="D754" t="s">
        <v>414</v>
      </c>
      <c r="F754">
        <v>3.88</v>
      </c>
      <c r="G754">
        <v>29013.613000000001</v>
      </c>
      <c r="H754">
        <v>88977.804999999993</v>
      </c>
      <c r="I754">
        <v>3.2610000000000001</v>
      </c>
      <c r="J754" t="s">
        <v>401</v>
      </c>
      <c r="K754">
        <v>1.4</v>
      </c>
      <c r="N754">
        <v>37</v>
      </c>
      <c r="O754">
        <v>37</v>
      </c>
      <c r="P754" t="s">
        <v>691</v>
      </c>
      <c r="Q754" t="s">
        <v>414</v>
      </c>
      <c r="S754">
        <v>3.88</v>
      </c>
      <c r="T754">
        <v>8888.4509999999991</v>
      </c>
      <c r="U754">
        <v>22755.203000000001</v>
      </c>
      <c r="V754">
        <v>3.9060000000000001</v>
      </c>
      <c r="W754" t="s">
        <v>401</v>
      </c>
      <c r="X754">
        <v>1.3</v>
      </c>
    </row>
    <row r="755" spans="1:24" x14ac:dyDescent="0.45">
      <c r="A755">
        <v>18</v>
      </c>
      <c r="B755">
        <v>18</v>
      </c>
      <c r="C755" t="s">
        <v>599</v>
      </c>
      <c r="D755" t="s">
        <v>414</v>
      </c>
      <c r="F755">
        <v>3.88</v>
      </c>
      <c r="G755">
        <v>10724.262000000001</v>
      </c>
      <c r="H755">
        <v>26907.398000000001</v>
      </c>
      <c r="I755">
        <v>3.9860000000000002</v>
      </c>
      <c r="J755" t="s">
        <v>401</v>
      </c>
      <c r="K755">
        <v>1.6</v>
      </c>
      <c r="N755">
        <v>38</v>
      </c>
      <c r="O755">
        <v>38</v>
      </c>
      <c r="P755" t="s">
        <v>692</v>
      </c>
      <c r="Q755" t="s">
        <v>414</v>
      </c>
      <c r="S755">
        <v>3.87</v>
      </c>
      <c r="T755">
        <v>15564.011</v>
      </c>
      <c r="U755">
        <v>30332.245999999999</v>
      </c>
      <c r="V755">
        <v>5.1310000000000002</v>
      </c>
      <c r="W755" t="s">
        <v>401</v>
      </c>
      <c r="X755">
        <v>1.6</v>
      </c>
    </row>
    <row r="756" spans="1:24" x14ac:dyDescent="0.45">
      <c r="A756">
        <v>19</v>
      </c>
      <c r="B756">
        <v>19</v>
      </c>
      <c r="C756" t="s">
        <v>600</v>
      </c>
      <c r="D756" t="s">
        <v>414</v>
      </c>
      <c r="F756">
        <v>3.88</v>
      </c>
      <c r="G756">
        <v>10242.438</v>
      </c>
      <c r="H756">
        <v>33219.324000000001</v>
      </c>
      <c r="I756">
        <v>3.0830000000000002</v>
      </c>
      <c r="J756" t="s">
        <v>401</v>
      </c>
      <c r="K756">
        <v>1.3</v>
      </c>
      <c r="N756">
        <v>39</v>
      </c>
      <c r="O756">
        <v>39</v>
      </c>
      <c r="P756" t="s">
        <v>693</v>
      </c>
      <c r="Q756" t="s">
        <v>414</v>
      </c>
      <c r="S756">
        <v>3.88</v>
      </c>
      <c r="T756">
        <v>14151.706</v>
      </c>
      <c r="U756">
        <v>31883.062999999998</v>
      </c>
      <c r="V756">
        <v>4.4390000000000001</v>
      </c>
      <c r="W756" t="s">
        <v>403</v>
      </c>
      <c r="X756">
        <v>1.4</v>
      </c>
    </row>
    <row r="757" spans="1:24" x14ac:dyDescent="0.45">
      <c r="A757">
        <v>20</v>
      </c>
      <c r="B757">
        <v>20</v>
      </c>
      <c r="C757" t="s">
        <v>601</v>
      </c>
      <c r="D757" t="s">
        <v>414</v>
      </c>
      <c r="F757">
        <v>3.88</v>
      </c>
      <c r="G757">
        <v>9270.4369999999999</v>
      </c>
      <c r="H757">
        <v>21503.061000000002</v>
      </c>
      <c r="I757">
        <v>4.3109999999999999</v>
      </c>
      <c r="J757" t="s">
        <v>401</v>
      </c>
      <c r="K757">
        <v>1.7</v>
      </c>
      <c r="N757">
        <v>40</v>
      </c>
      <c r="O757">
        <v>40</v>
      </c>
      <c r="P757" t="s">
        <v>694</v>
      </c>
      <c r="Q757" t="s">
        <v>414</v>
      </c>
      <c r="S757">
        <v>3.87</v>
      </c>
      <c r="T757">
        <v>73416.460999999996</v>
      </c>
      <c r="U757">
        <v>62225.445</v>
      </c>
      <c r="V757">
        <v>11.798</v>
      </c>
      <c r="W757" t="s">
        <v>403</v>
      </c>
      <c r="X757">
        <v>3.4</v>
      </c>
    </row>
    <row r="758" spans="1:24" x14ac:dyDescent="0.45">
      <c r="A758">
        <v>21</v>
      </c>
      <c r="B758">
        <v>21</v>
      </c>
      <c r="C758" t="s">
        <v>602</v>
      </c>
      <c r="D758" t="s">
        <v>414</v>
      </c>
      <c r="F758">
        <v>3.88</v>
      </c>
      <c r="G758">
        <v>11157.355</v>
      </c>
      <c r="H758">
        <v>36740.586000000003</v>
      </c>
      <c r="I758">
        <v>3.0369999999999999</v>
      </c>
      <c r="J758" t="s">
        <v>401</v>
      </c>
      <c r="K758">
        <v>1.3</v>
      </c>
      <c r="N758">
        <v>41</v>
      </c>
      <c r="O758">
        <v>41</v>
      </c>
      <c r="P758" t="s">
        <v>695</v>
      </c>
      <c r="Q758" t="s">
        <v>414</v>
      </c>
      <c r="S758">
        <v>3.87</v>
      </c>
      <c r="T758">
        <v>51182.292999999998</v>
      </c>
      <c r="U758">
        <v>65159.101999999999</v>
      </c>
      <c r="V758">
        <v>7.8550000000000004</v>
      </c>
      <c r="W758" t="s">
        <v>403</v>
      </c>
      <c r="X758">
        <v>2.4</v>
      </c>
    </row>
    <row r="759" spans="1:24" x14ac:dyDescent="0.45">
      <c r="A759">
        <v>22</v>
      </c>
      <c r="B759">
        <v>22</v>
      </c>
      <c r="C759" t="s">
        <v>603</v>
      </c>
      <c r="D759" t="s">
        <v>414</v>
      </c>
      <c r="F759">
        <v>3.88</v>
      </c>
      <c r="G759">
        <v>44347.940999999999</v>
      </c>
      <c r="H759">
        <v>81595.695000000007</v>
      </c>
      <c r="I759">
        <v>5.4349999999999996</v>
      </c>
      <c r="J759" t="s">
        <v>401</v>
      </c>
      <c r="K759">
        <v>2</v>
      </c>
      <c r="N759">
        <v>42</v>
      </c>
      <c r="O759">
        <v>42</v>
      </c>
      <c r="P759" t="s">
        <v>696</v>
      </c>
      <c r="Q759" t="s">
        <v>414</v>
      </c>
      <c r="S759">
        <v>3.88</v>
      </c>
      <c r="T759">
        <v>89698.351999999999</v>
      </c>
      <c r="U759">
        <v>62551.48</v>
      </c>
      <c r="V759">
        <v>14.34</v>
      </c>
      <c r="W759" t="s">
        <v>403</v>
      </c>
      <c r="X759">
        <v>4.0999999999999996</v>
      </c>
    </row>
    <row r="760" spans="1:24" x14ac:dyDescent="0.45">
      <c r="A760">
        <v>23</v>
      </c>
      <c r="B760">
        <v>23</v>
      </c>
      <c r="C760" t="s">
        <v>604</v>
      </c>
      <c r="D760" t="s">
        <v>414</v>
      </c>
      <c r="F760">
        <v>3.88</v>
      </c>
      <c r="G760">
        <v>41924.281000000003</v>
      </c>
      <c r="H760">
        <v>80605.625</v>
      </c>
      <c r="I760">
        <v>5.2009999999999996</v>
      </c>
      <c r="J760" t="s">
        <v>401</v>
      </c>
      <c r="K760">
        <v>1.9</v>
      </c>
      <c r="N760">
        <v>43</v>
      </c>
      <c r="O760">
        <v>43</v>
      </c>
      <c r="P760" t="s">
        <v>697</v>
      </c>
      <c r="Q760" t="s">
        <v>414</v>
      </c>
      <c r="S760">
        <v>3.88</v>
      </c>
      <c r="T760">
        <v>107260.81299999999</v>
      </c>
      <c r="U760">
        <v>69802.491999999998</v>
      </c>
      <c r="V760">
        <v>15.366</v>
      </c>
      <c r="W760" t="s">
        <v>403</v>
      </c>
      <c r="X760">
        <v>4.3</v>
      </c>
    </row>
    <row r="761" spans="1:24" x14ac:dyDescent="0.45">
      <c r="A761">
        <v>24</v>
      </c>
      <c r="B761">
        <v>24</v>
      </c>
      <c r="C761" t="s">
        <v>605</v>
      </c>
      <c r="D761" t="s">
        <v>414</v>
      </c>
      <c r="F761">
        <v>3.88</v>
      </c>
      <c r="G761">
        <v>22455.478999999999</v>
      </c>
      <c r="H761">
        <v>50490.616999999998</v>
      </c>
      <c r="I761">
        <v>4.4470000000000001</v>
      </c>
      <c r="J761" t="s">
        <v>401</v>
      </c>
      <c r="K761">
        <v>1.7</v>
      </c>
      <c r="N761">
        <v>44</v>
      </c>
      <c r="O761">
        <v>44</v>
      </c>
      <c r="P761" t="s">
        <v>698</v>
      </c>
      <c r="Q761" t="s">
        <v>414</v>
      </c>
      <c r="S761">
        <v>3.88</v>
      </c>
      <c r="T761">
        <v>38880.968999999997</v>
      </c>
      <c r="U761">
        <v>62200.565999999999</v>
      </c>
      <c r="V761">
        <v>6.2510000000000003</v>
      </c>
      <c r="W761" t="s">
        <v>403</v>
      </c>
      <c r="X761">
        <v>1.9</v>
      </c>
    </row>
    <row r="762" spans="1:24" x14ac:dyDescent="0.45">
      <c r="A762">
        <v>25</v>
      </c>
      <c r="B762">
        <v>25</v>
      </c>
      <c r="C762" t="s">
        <v>606</v>
      </c>
      <c r="D762" t="s">
        <v>414</v>
      </c>
      <c r="F762">
        <v>3.88</v>
      </c>
      <c r="G762">
        <v>23691.921999999999</v>
      </c>
      <c r="H762">
        <v>56918.065999999999</v>
      </c>
      <c r="I762">
        <v>4.1619999999999999</v>
      </c>
      <c r="J762" t="s">
        <v>403</v>
      </c>
      <c r="K762">
        <v>1.6</v>
      </c>
      <c r="N762">
        <v>45</v>
      </c>
      <c r="O762">
        <v>45</v>
      </c>
      <c r="P762" t="s">
        <v>699</v>
      </c>
      <c r="Q762" t="s">
        <v>414</v>
      </c>
      <c r="S762">
        <v>3.88</v>
      </c>
      <c r="T762">
        <v>32497.018</v>
      </c>
      <c r="U762">
        <v>38354.843999999997</v>
      </c>
      <c r="V762">
        <v>8.4730000000000008</v>
      </c>
      <c r="W762" t="s">
        <v>401</v>
      </c>
      <c r="X762">
        <v>2.5</v>
      </c>
    </row>
    <row r="763" spans="1:24" x14ac:dyDescent="0.45">
      <c r="A763">
        <v>26</v>
      </c>
      <c r="B763">
        <v>26</v>
      </c>
      <c r="C763" t="s">
        <v>607</v>
      </c>
      <c r="D763" t="s">
        <v>414</v>
      </c>
      <c r="F763">
        <v>3.88</v>
      </c>
      <c r="G763">
        <v>18502.563999999998</v>
      </c>
      <c r="H763">
        <v>41859.836000000003</v>
      </c>
      <c r="I763">
        <v>4.42</v>
      </c>
      <c r="J763" t="s">
        <v>401</v>
      </c>
      <c r="K763">
        <v>1.7</v>
      </c>
      <c r="N763">
        <v>46</v>
      </c>
      <c r="O763">
        <v>46</v>
      </c>
      <c r="P763" t="s">
        <v>700</v>
      </c>
      <c r="Q763" t="s">
        <v>414</v>
      </c>
      <c r="S763">
        <v>3.88</v>
      </c>
      <c r="T763">
        <v>53283.862999999998</v>
      </c>
      <c r="U763">
        <v>64870.605000000003</v>
      </c>
      <c r="V763">
        <v>8.2140000000000004</v>
      </c>
      <c r="W763" t="s">
        <v>403</v>
      </c>
      <c r="X763">
        <v>2.4</v>
      </c>
    </row>
    <row r="764" spans="1:24" x14ac:dyDescent="0.45">
      <c r="A764">
        <v>27</v>
      </c>
      <c r="B764">
        <v>27</v>
      </c>
      <c r="C764" t="s">
        <v>608</v>
      </c>
      <c r="D764" t="s">
        <v>414</v>
      </c>
      <c r="F764">
        <v>3.88</v>
      </c>
      <c r="G764">
        <v>45410.898000000001</v>
      </c>
      <c r="H764">
        <v>81430.202999999994</v>
      </c>
      <c r="I764">
        <v>5.577</v>
      </c>
      <c r="J764" t="s">
        <v>401</v>
      </c>
      <c r="K764">
        <v>2</v>
      </c>
      <c r="N764">
        <v>47</v>
      </c>
      <c r="O764">
        <v>47</v>
      </c>
      <c r="P764" t="s">
        <v>701</v>
      </c>
      <c r="Q764" t="s">
        <v>414</v>
      </c>
      <c r="S764">
        <v>3.88</v>
      </c>
      <c r="T764">
        <v>92628.125</v>
      </c>
      <c r="U764">
        <v>63617.777000000002</v>
      </c>
      <c r="V764">
        <v>14.56</v>
      </c>
      <c r="W764" t="s">
        <v>401</v>
      </c>
      <c r="X764">
        <v>4.0999999999999996</v>
      </c>
    </row>
    <row r="765" spans="1:24" x14ac:dyDescent="0.45">
      <c r="A765">
        <v>28</v>
      </c>
      <c r="B765">
        <v>28</v>
      </c>
      <c r="C765" t="s">
        <v>609</v>
      </c>
      <c r="D765" t="s">
        <v>414</v>
      </c>
      <c r="F765">
        <v>3.88</v>
      </c>
      <c r="G765">
        <v>24387.328000000001</v>
      </c>
      <c r="H765">
        <v>56940.358999999997</v>
      </c>
      <c r="I765">
        <v>4.2830000000000004</v>
      </c>
      <c r="J765" t="s">
        <v>401</v>
      </c>
      <c r="K765">
        <v>1.7</v>
      </c>
      <c r="N765">
        <v>48</v>
      </c>
      <c r="O765">
        <v>48</v>
      </c>
      <c r="P765" t="s">
        <v>702</v>
      </c>
      <c r="Q765" t="s">
        <v>414</v>
      </c>
      <c r="S765">
        <v>3.88</v>
      </c>
      <c r="T765">
        <v>84081.508000000002</v>
      </c>
      <c r="U765">
        <v>69169.375</v>
      </c>
      <c r="V765">
        <v>12.156000000000001</v>
      </c>
      <c r="W765" t="s">
        <v>401</v>
      </c>
      <c r="X765">
        <v>3.5</v>
      </c>
    </row>
    <row r="766" spans="1:24" x14ac:dyDescent="0.45">
      <c r="A766">
        <v>29</v>
      </c>
      <c r="B766">
        <v>29</v>
      </c>
      <c r="C766" t="s">
        <v>610</v>
      </c>
      <c r="D766" t="s">
        <v>414</v>
      </c>
      <c r="F766">
        <v>3.88</v>
      </c>
      <c r="G766">
        <v>16720.032999999999</v>
      </c>
      <c r="H766">
        <v>41702.207000000002</v>
      </c>
      <c r="I766">
        <v>4.0090000000000003</v>
      </c>
      <c r="J766" t="s">
        <v>403</v>
      </c>
      <c r="K766">
        <v>1.6</v>
      </c>
      <c r="N766">
        <v>49</v>
      </c>
      <c r="O766">
        <v>49</v>
      </c>
      <c r="P766" t="s">
        <v>703</v>
      </c>
      <c r="Q766" t="s">
        <v>414</v>
      </c>
      <c r="S766">
        <v>3.88</v>
      </c>
      <c r="T766">
        <v>80886.437999999995</v>
      </c>
      <c r="U766">
        <v>67523.733999999997</v>
      </c>
      <c r="V766">
        <v>11.978999999999999</v>
      </c>
      <c r="W766" t="s">
        <v>415</v>
      </c>
      <c r="X766">
        <v>3.4</v>
      </c>
    </row>
    <row r="767" spans="1:24" x14ac:dyDescent="0.45">
      <c r="A767">
        <v>30</v>
      </c>
      <c r="B767">
        <v>30</v>
      </c>
      <c r="C767" t="s">
        <v>611</v>
      </c>
      <c r="D767" t="s">
        <v>414</v>
      </c>
      <c r="F767">
        <v>3.88</v>
      </c>
      <c r="G767">
        <v>16755.565999999999</v>
      </c>
      <c r="H767">
        <v>42583.41</v>
      </c>
      <c r="I767">
        <v>3.9350000000000001</v>
      </c>
      <c r="J767" t="s">
        <v>403</v>
      </c>
      <c r="K767">
        <v>1.6</v>
      </c>
      <c r="N767">
        <v>50</v>
      </c>
      <c r="O767">
        <v>50</v>
      </c>
      <c r="P767" t="s">
        <v>704</v>
      </c>
      <c r="Q767" t="s">
        <v>414</v>
      </c>
      <c r="S767">
        <v>3.88</v>
      </c>
      <c r="T767">
        <v>95583.452999999994</v>
      </c>
      <c r="U767">
        <v>61063.315999999999</v>
      </c>
      <c r="V767">
        <v>15.653</v>
      </c>
      <c r="W767" t="s">
        <v>403</v>
      </c>
      <c r="X767">
        <v>4.4000000000000004</v>
      </c>
    </row>
    <row r="768" spans="1:24" x14ac:dyDescent="0.45">
      <c r="A768">
        <v>31</v>
      </c>
      <c r="B768">
        <v>31</v>
      </c>
      <c r="C768" t="s">
        <v>612</v>
      </c>
      <c r="D768" t="s">
        <v>414</v>
      </c>
      <c r="F768">
        <v>3.88</v>
      </c>
      <c r="G768">
        <v>15743.474</v>
      </c>
      <c r="H768">
        <v>45260.141000000003</v>
      </c>
      <c r="I768">
        <v>3.4780000000000002</v>
      </c>
      <c r="J768" t="s">
        <v>401</v>
      </c>
      <c r="K768">
        <v>1.4</v>
      </c>
      <c r="N768">
        <v>51</v>
      </c>
      <c r="O768">
        <v>51</v>
      </c>
      <c r="P768" t="s">
        <v>705</v>
      </c>
      <c r="Q768" t="s">
        <v>414</v>
      </c>
      <c r="S768">
        <v>3.88</v>
      </c>
      <c r="T768">
        <v>16486.974999999999</v>
      </c>
      <c r="U768">
        <v>19284.455000000002</v>
      </c>
      <c r="V768">
        <v>8.5489999999999995</v>
      </c>
      <c r="W768" t="s">
        <v>401</v>
      </c>
      <c r="X768">
        <v>2.5</v>
      </c>
    </row>
    <row r="769" spans="1:24" x14ac:dyDescent="0.45">
      <c r="A769">
        <v>32</v>
      </c>
      <c r="B769">
        <v>32</v>
      </c>
      <c r="C769" t="s">
        <v>613</v>
      </c>
      <c r="D769" t="s">
        <v>414</v>
      </c>
      <c r="F769">
        <v>3.88</v>
      </c>
      <c r="G769">
        <v>15706.679</v>
      </c>
      <c r="H769">
        <v>39332.086000000003</v>
      </c>
      <c r="I769">
        <v>3.9929999999999999</v>
      </c>
      <c r="J769" t="s">
        <v>401</v>
      </c>
      <c r="K769">
        <v>1.6</v>
      </c>
      <c r="N769">
        <v>52</v>
      </c>
      <c r="O769">
        <v>52</v>
      </c>
      <c r="P769" t="s">
        <v>706</v>
      </c>
      <c r="Q769" t="s">
        <v>414</v>
      </c>
      <c r="S769">
        <v>3.88</v>
      </c>
      <c r="T769">
        <v>86608.554999999993</v>
      </c>
      <c r="U769">
        <v>58839.02</v>
      </c>
      <c r="V769">
        <v>14.72</v>
      </c>
      <c r="W769" t="s">
        <v>403</v>
      </c>
      <c r="X769">
        <v>4.2</v>
      </c>
    </row>
    <row r="770" spans="1:24" x14ac:dyDescent="0.45">
      <c r="A770">
        <v>33</v>
      </c>
      <c r="B770">
        <v>33</v>
      </c>
      <c r="C770" t="s">
        <v>614</v>
      </c>
      <c r="D770" t="s">
        <v>414</v>
      </c>
      <c r="F770">
        <v>3.88</v>
      </c>
      <c r="G770">
        <v>19397.453000000001</v>
      </c>
      <c r="H770">
        <v>32713.895</v>
      </c>
      <c r="I770">
        <v>5.9290000000000003</v>
      </c>
      <c r="J770" t="s">
        <v>401</v>
      </c>
      <c r="K770">
        <v>2.1</v>
      </c>
      <c r="N770">
        <v>53</v>
      </c>
      <c r="O770">
        <v>53</v>
      </c>
      <c r="P770" t="s">
        <v>707</v>
      </c>
      <c r="Q770" t="s">
        <v>414</v>
      </c>
      <c r="S770">
        <v>3.88</v>
      </c>
      <c r="T770">
        <v>85385.773000000001</v>
      </c>
      <c r="U770">
        <v>63788.012000000002</v>
      </c>
      <c r="V770">
        <v>13.385999999999999</v>
      </c>
      <c r="W770" t="s">
        <v>403</v>
      </c>
      <c r="X770">
        <v>3.8</v>
      </c>
    </row>
    <row r="771" spans="1:24" x14ac:dyDescent="0.45">
      <c r="A771">
        <v>34</v>
      </c>
      <c r="B771">
        <v>34</v>
      </c>
      <c r="C771" t="s">
        <v>615</v>
      </c>
      <c r="D771" t="s">
        <v>414</v>
      </c>
      <c r="F771">
        <v>3.88</v>
      </c>
      <c r="G771">
        <v>9598.4249999999993</v>
      </c>
      <c r="H771">
        <v>37961.241999999998</v>
      </c>
      <c r="I771">
        <v>2.528</v>
      </c>
      <c r="J771" t="s">
        <v>401</v>
      </c>
      <c r="K771">
        <v>1.2</v>
      </c>
      <c r="N771">
        <v>54</v>
      </c>
      <c r="O771">
        <v>54</v>
      </c>
      <c r="P771" t="s">
        <v>708</v>
      </c>
      <c r="Q771" t="s">
        <v>414</v>
      </c>
      <c r="S771">
        <v>3.87</v>
      </c>
      <c r="T771">
        <v>78006.577999999994</v>
      </c>
      <c r="U771">
        <v>59934.800999999999</v>
      </c>
      <c r="V771">
        <v>13.015000000000001</v>
      </c>
      <c r="W771" t="s">
        <v>403</v>
      </c>
      <c r="X771">
        <v>3.7</v>
      </c>
    </row>
    <row r="772" spans="1:24" x14ac:dyDescent="0.45">
      <c r="A772">
        <v>35</v>
      </c>
      <c r="B772">
        <v>35</v>
      </c>
      <c r="C772" t="s">
        <v>616</v>
      </c>
      <c r="D772" t="s">
        <v>414</v>
      </c>
      <c r="F772">
        <v>3.88</v>
      </c>
      <c r="G772">
        <v>8804.9629999999997</v>
      </c>
      <c r="H772">
        <v>27034.145</v>
      </c>
      <c r="I772">
        <v>3.2570000000000001</v>
      </c>
      <c r="J772" t="s">
        <v>401</v>
      </c>
      <c r="K772">
        <v>1.4</v>
      </c>
      <c r="N772">
        <v>55</v>
      </c>
      <c r="O772">
        <v>55</v>
      </c>
      <c r="P772" t="s">
        <v>709</v>
      </c>
      <c r="Q772" t="s">
        <v>414</v>
      </c>
      <c r="S772">
        <v>3.88</v>
      </c>
      <c r="T772">
        <v>94397.608999999997</v>
      </c>
      <c r="U772">
        <v>61284.472999999998</v>
      </c>
      <c r="V772">
        <v>15.403</v>
      </c>
      <c r="W772" t="s">
        <v>401</v>
      </c>
      <c r="X772">
        <v>4.4000000000000004</v>
      </c>
    </row>
    <row r="773" spans="1:24" x14ac:dyDescent="0.45">
      <c r="A773">
        <v>36</v>
      </c>
      <c r="B773">
        <v>36</v>
      </c>
      <c r="C773" t="s">
        <v>617</v>
      </c>
      <c r="D773" t="s">
        <v>414</v>
      </c>
      <c r="F773">
        <v>3.88</v>
      </c>
      <c r="G773">
        <v>11678.444</v>
      </c>
      <c r="H773">
        <v>43597.648000000001</v>
      </c>
      <c r="I773">
        <v>2.6789999999999998</v>
      </c>
      <c r="J773" t="s">
        <v>401</v>
      </c>
      <c r="K773">
        <v>1.2</v>
      </c>
      <c r="N773">
        <v>56</v>
      </c>
      <c r="O773">
        <v>56</v>
      </c>
      <c r="P773" t="s">
        <v>710</v>
      </c>
      <c r="Q773" t="s">
        <v>414</v>
      </c>
      <c r="S773">
        <v>3.88</v>
      </c>
      <c r="T773">
        <v>72650.726999999999</v>
      </c>
      <c r="U773">
        <v>71664.577999999994</v>
      </c>
      <c r="V773">
        <v>10.138</v>
      </c>
      <c r="W773" t="s">
        <v>403</v>
      </c>
      <c r="X773">
        <v>3</v>
      </c>
    </row>
    <row r="774" spans="1:24" x14ac:dyDescent="0.45">
      <c r="A774">
        <v>37</v>
      </c>
      <c r="B774">
        <v>37</v>
      </c>
      <c r="C774" t="s">
        <v>618</v>
      </c>
      <c r="D774" t="s">
        <v>414</v>
      </c>
      <c r="F774">
        <v>3.88</v>
      </c>
      <c r="G774">
        <v>18331.074000000001</v>
      </c>
      <c r="H774">
        <v>91917.156000000003</v>
      </c>
      <c r="I774">
        <v>1.994</v>
      </c>
      <c r="J774" t="s">
        <v>401</v>
      </c>
      <c r="K774">
        <v>1</v>
      </c>
      <c r="N774">
        <v>57</v>
      </c>
      <c r="O774">
        <v>57</v>
      </c>
      <c r="P774" t="s">
        <v>711</v>
      </c>
      <c r="Q774" t="s">
        <v>414</v>
      </c>
      <c r="S774">
        <v>3.87</v>
      </c>
      <c r="T774">
        <v>79021.383000000002</v>
      </c>
      <c r="U774">
        <v>77849.312999999995</v>
      </c>
      <c r="V774">
        <v>10.151</v>
      </c>
      <c r="W774" t="s">
        <v>403</v>
      </c>
      <c r="X774">
        <v>3</v>
      </c>
    </row>
    <row r="775" spans="1:24" x14ac:dyDescent="0.45">
      <c r="A775">
        <v>38</v>
      </c>
      <c r="B775">
        <v>38</v>
      </c>
      <c r="C775" t="s">
        <v>619</v>
      </c>
      <c r="D775" t="s">
        <v>414</v>
      </c>
      <c r="F775">
        <v>3.88</v>
      </c>
      <c r="G775">
        <v>8920.5</v>
      </c>
      <c r="H775">
        <v>29262.738000000001</v>
      </c>
      <c r="I775">
        <v>3.048</v>
      </c>
      <c r="J775" t="s">
        <v>401</v>
      </c>
      <c r="K775">
        <v>1.3</v>
      </c>
      <c r="N775">
        <v>58</v>
      </c>
      <c r="O775">
        <v>58</v>
      </c>
      <c r="P775" t="s">
        <v>712</v>
      </c>
      <c r="Q775" t="s">
        <v>414</v>
      </c>
      <c r="S775">
        <v>3.88</v>
      </c>
      <c r="T775">
        <v>86235.335999999996</v>
      </c>
      <c r="U775">
        <v>78922.476999999999</v>
      </c>
      <c r="V775">
        <v>10.927</v>
      </c>
      <c r="W775" t="s">
        <v>401</v>
      </c>
      <c r="X775">
        <v>3.2</v>
      </c>
    </row>
    <row r="776" spans="1:24" x14ac:dyDescent="0.45">
      <c r="A776">
        <v>39</v>
      </c>
      <c r="B776">
        <v>39</v>
      </c>
      <c r="C776" t="s">
        <v>620</v>
      </c>
      <c r="D776" t="s">
        <v>414</v>
      </c>
      <c r="F776">
        <v>3.88</v>
      </c>
      <c r="G776">
        <v>8059.9709999999995</v>
      </c>
      <c r="H776">
        <v>32543.794999999998</v>
      </c>
      <c r="I776">
        <v>2.4769999999999999</v>
      </c>
      <c r="J776" t="s">
        <v>401</v>
      </c>
      <c r="K776">
        <v>1.1000000000000001</v>
      </c>
      <c r="N776">
        <v>59</v>
      </c>
      <c r="O776">
        <v>59</v>
      </c>
      <c r="P776" t="s">
        <v>713</v>
      </c>
      <c r="Q776" t="s">
        <v>414</v>
      </c>
      <c r="S776">
        <v>3.87</v>
      </c>
      <c r="T776">
        <v>24059.855</v>
      </c>
      <c r="U776">
        <v>37659.269999999997</v>
      </c>
      <c r="V776">
        <v>6.3890000000000002</v>
      </c>
      <c r="W776" t="s">
        <v>401</v>
      </c>
      <c r="X776">
        <v>2</v>
      </c>
    </row>
    <row r="777" spans="1:24" x14ac:dyDescent="0.45">
      <c r="A777">
        <v>40</v>
      </c>
      <c r="B777">
        <v>40</v>
      </c>
      <c r="C777" t="s">
        <v>621</v>
      </c>
      <c r="D777" t="s">
        <v>414</v>
      </c>
      <c r="F777">
        <v>3.88</v>
      </c>
      <c r="G777">
        <v>20637.585999999999</v>
      </c>
      <c r="H777">
        <v>52531.663999999997</v>
      </c>
      <c r="I777">
        <v>3.9289999999999998</v>
      </c>
      <c r="J777" t="s">
        <v>401</v>
      </c>
      <c r="K777">
        <v>1.6</v>
      </c>
      <c r="N777">
        <v>60</v>
      </c>
      <c r="O777">
        <v>60</v>
      </c>
      <c r="P777" t="s">
        <v>714</v>
      </c>
      <c r="Q777" t="s">
        <v>414</v>
      </c>
      <c r="S777">
        <v>3.87</v>
      </c>
      <c r="T777">
        <v>29508.903999999999</v>
      </c>
      <c r="U777">
        <v>45342.987999999998</v>
      </c>
      <c r="V777">
        <v>6.508</v>
      </c>
      <c r="W777" t="s">
        <v>403</v>
      </c>
      <c r="X777">
        <v>2</v>
      </c>
    </row>
    <row r="778" spans="1:24" x14ac:dyDescent="0.45">
      <c r="A778">
        <v>41</v>
      </c>
      <c r="B778">
        <v>41</v>
      </c>
      <c r="C778" t="s">
        <v>622</v>
      </c>
      <c r="D778" t="s">
        <v>414</v>
      </c>
      <c r="F778">
        <v>3.88</v>
      </c>
      <c r="G778">
        <v>12741.808999999999</v>
      </c>
      <c r="H778">
        <v>47078.351999999999</v>
      </c>
      <c r="I778">
        <v>2.7069999999999999</v>
      </c>
      <c r="J778" t="s">
        <v>403</v>
      </c>
      <c r="K778">
        <v>1.2</v>
      </c>
      <c r="N778">
        <v>61</v>
      </c>
      <c r="O778">
        <v>61</v>
      </c>
      <c r="P778" t="s">
        <v>715</v>
      </c>
      <c r="Q778" t="s">
        <v>414</v>
      </c>
      <c r="S778">
        <v>3.88</v>
      </c>
      <c r="T778">
        <v>34414.703000000001</v>
      </c>
      <c r="U778">
        <v>62978.968999999997</v>
      </c>
      <c r="V778">
        <v>5.4640000000000004</v>
      </c>
      <c r="W778" t="s">
        <v>401</v>
      </c>
      <c r="X778">
        <v>1.7</v>
      </c>
    </row>
    <row r="779" spans="1:24" x14ac:dyDescent="0.45">
      <c r="A779">
        <v>42</v>
      </c>
      <c r="B779">
        <v>42</v>
      </c>
      <c r="C779" t="s">
        <v>623</v>
      </c>
      <c r="D779" t="s">
        <v>414</v>
      </c>
      <c r="F779">
        <v>3.88</v>
      </c>
      <c r="G779">
        <v>90631.218999999997</v>
      </c>
      <c r="H779">
        <v>84166.258000000002</v>
      </c>
      <c r="I779">
        <v>10.768000000000001</v>
      </c>
      <c r="J779" t="s">
        <v>401</v>
      </c>
      <c r="K779">
        <v>3.5</v>
      </c>
      <c r="N779">
        <v>62</v>
      </c>
      <c r="O779">
        <v>62</v>
      </c>
      <c r="P779" t="s">
        <v>716</v>
      </c>
      <c r="Q779" t="s">
        <v>414</v>
      </c>
      <c r="S779">
        <v>3.88</v>
      </c>
      <c r="T779">
        <v>24411.561000000002</v>
      </c>
      <c r="U779">
        <v>36817.730000000003</v>
      </c>
      <c r="V779">
        <v>6.63</v>
      </c>
      <c r="W779" t="s">
        <v>403</v>
      </c>
      <c r="X779">
        <v>2</v>
      </c>
    </row>
    <row r="780" spans="1:24" x14ac:dyDescent="0.45">
      <c r="A780">
        <v>43</v>
      </c>
      <c r="B780">
        <v>43</v>
      </c>
      <c r="C780" t="s">
        <v>624</v>
      </c>
      <c r="D780" t="s">
        <v>414</v>
      </c>
      <c r="F780">
        <v>3.88</v>
      </c>
      <c r="G780">
        <v>47598.093999999997</v>
      </c>
      <c r="H780">
        <v>84072</v>
      </c>
      <c r="I780">
        <v>5.6619999999999999</v>
      </c>
      <c r="J780" t="s">
        <v>401</v>
      </c>
      <c r="K780">
        <v>2.1</v>
      </c>
      <c r="N780">
        <v>63</v>
      </c>
      <c r="O780">
        <v>63</v>
      </c>
      <c r="P780" t="s">
        <v>717</v>
      </c>
      <c r="Q780" t="s">
        <v>414</v>
      </c>
      <c r="S780">
        <v>3.88</v>
      </c>
      <c r="T780">
        <v>85425.195000000007</v>
      </c>
      <c r="U780">
        <v>78003.202999999994</v>
      </c>
      <c r="V780">
        <v>10.951000000000001</v>
      </c>
      <c r="W780" t="s">
        <v>403</v>
      </c>
      <c r="X780">
        <v>3.2</v>
      </c>
    </row>
    <row r="781" spans="1:24" x14ac:dyDescent="0.45">
      <c r="A781">
        <v>44</v>
      </c>
      <c r="B781">
        <v>44</v>
      </c>
      <c r="C781" t="s">
        <v>625</v>
      </c>
      <c r="D781" t="s">
        <v>414</v>
      </c>
      <c r="F781">
        <v>3.88</v>
      </c>
      <c r="G781">
        <v>29321.956999999999</v>
      </c>
      <c r="H781">
        <v>76599.687999999995</v>
      </c>
      <c r="I781">
        <v>3.8279999999999998</v>
      </c>
      <c r="J781" t="s">
        <v>401</v>
      </c>
      <c r="K781">
        <v>1.5</v>
      </c>
      <c r="N781">
        <v>64</v>
      </c>
      <c r="O781">
        <v>64</v>
      </c>
      <c r="P781" t="s">
        <v>718</v>
      </c>
      <c r="Q781" t="s">
        <v>414</v>
      </c>
      <c r="S781">
        <v>3.88</v>
      </c>
      <c r="T781">
        <v>83278.851999999999</v>
      </c>
      <c r="U781">
        <v>65362.445</v>
      </c>
      <c r="V781">
        <v>12.741</v>
      </c>
      <c r="W781" t="s">
        <v>401</v>
      </c>
      <c r="X781">
        <v>3.7</v>
      </c>
    </row>
    <row r="782" spans="1:24" x14ac:dyDescent="0.45">
      <c r="A782">
        <v>45</v>
      </c>
      <c r="B782">
        <v>45</v>
      </c>
      <c r="C782" t="s">
        <v>626</v>
      </c>
      <c r="D782" t="s">
        <v>414</v>
      </c>
      <c r="F782">
        <v>3.88</v>
      </c>
      <c r="G782">
        <v>40055.991999999998</v>
      </c>
      <c r="H782">
        <v>59279.472999999998</v>
      </c>
      <c r="I782">
        <v>6.7569999999999997</v>
      </c>
      <c r="J782" t="s">
        <v>401</v>
      </c>
      <c r="K782">
        <v>2.4</v>
      </c>
      <c r="N782">
        <v>65</v>
      </c>
      <c r="O782">
        <v>65</v>
      </c>
      <c r="P782" t="s">
        <v>719</v>
      </c>
      <c r="Q782" t="s">
        <v>414</v>
      </c>
      <c r="S782">
        <v>3.87</v>
      </c>
      <c r="T782">
        <v>22958.18</v>
      </c>
      <c r="U782">
        <v>30552.447</v>
      </c>
      <c r="V782">
        <v>7.5140000000000002</v>
      </c>
      <c r="W782" t="s">
        <v>401</v>
      </c>
      <c r="X782">
        <v>2.2999999999999998</v>
      </c>
    </row>
    <row r="783" spans="1:24" x14ac:dyDescent="0.45">
      <c r="A783">
        <v>46</v>
      </c>
      <c r="B783">
        <v>46</v>
      </c>
      <c r="C783" t="s">
        <v>627</v>
      </c>
      <c r="D783" t="s">
        <v>414</v>
      </c>
      <c r="F783">
        <v>3.88</v>
      </c>
      <c r="G783">
        <v>47909.983999999997</v>
      </c>
      <c r="H783">
        <v>59638.538999999997</v>
      </c>
      <c r="I783">
        <v>8.0329999999999995</v>
      </c>
      <c r="J783" t="s">
        <v>403</v>
      </c>
      <c r="K783">
        <v>2.7</v>
      </c>
      <c r="N783">
        <v>66</v>
      </c>
      <c r="O783">
        <v>66</v>
      </c>
      <c r="P783" t="s">
        <v>720</v>
      </c>
      <c r="Q783" t="s">
        <v>414</v>
      </c>
      <c r="S783">
        <v>3.87</v>
      </c>
      <c r="T783">
        <v>41549.625</v>
      </c>
      <c r="U783">
        <v>78069.945000000007</v>
      </c>
      <c r="V783">
        <v>5.3220000000000001</v>
      </c>
      <c r="W783" t="s">
        <v>403</v>
      </c>
      <c r="X783">
        <v>1.7</v>
      </c>
    </row>
    <row r="784" spans="1:24" x14ac:dyDescent="0.45">
      <c r="A784">
        <v>47</v>
      </c>
      <c r="B784">
        <v>47</v>
      </c>
      <c r="C784" t="s">
        <v>628</v>
      </c>
      <c r="D784" t="s">
        <v>414</v>
      </c>
      <c r="F784">
        <v>3.88</v>
      </c>
      <c r="G784">
        <v>64951.523000000001</v>
      </c>
      <c r="H784">
        <v>67374.608999999997</v>
      </c>
      <c r="I784">
        <v>9.64</v>
      </c>
      <c r="J784" t="s">
        <v>401</v>
      </c>
      <c r="K784">
        <v>3.2</v>
      </c>
      <c r="N784">
        <v>67</v>
      </c>
      <c r="O784">
        <v>67</v>
      </c>
      <c r="P784" t="s">
        <v>721</v>
      </c>
      <c r="Q784" t="s">
        <v>414</v>
      </c>
      <c r="S784">
        <v>3.87</v>
      </c>
      <c r="T784">
        <v>47803.421999999999</v>
      </c>
      <c r="U784">
        <v>67948.164000000004</v>
      </c>
      <c r="V784">
        <v>7.0350000000000001</v>
      </c>
      <c r="W784" t="s">
        <v>401</v>
      </c>
      <c r="X784">
        <v>2.1</v>
      </c>
    </row>
    <row r="785" spans="1:25" x14ac:dyDescent="0.45">
      <c r="A785">
        <v>48</v>
      </c>
      <c r="B785">
        <v>48</v>
      </c>
      <c r="C785" t="s">
        <v>629</v>
      </c>
      <c r="D785" t="s">
        <v>414</v>
      </c>
      <c r="F785">
        <v>3.88</v>
      </c>
      <c r="G785">
        <v>35165.906000000003</v>
      </c>
      <c r="H785">
        <v>51621.629000000001</v>
      </c>
      <c r="I785">
        <v>6.8120000000000003</v>
      </c>
      <c r="J785" t="s">
        <v>401</v>
      </c>
      <c r="K785">
        <v>2.4</v>
      </c>
    </row>
    <row r="786" spans="1:25" x14ac:dyDescent="0.45">
      <c r="A786">
        <v>49</v>
      </c>
      <c r="B786">
        <v>49</v>
      </c>
      <c r="C786" t="s">
        <v>630</v>
      </c>
      <c r="D786" t="s">
        <v>414</v>
      </c>
      <c r="F786">
        <v>3.88</v>
      </c>
      <c r="G786">
        <v>63897.351999999999</v>
      </c>
      <c r="H786">
        <v>58760.160000000003</v>
      </c>
      <c r="I786">
        <v>10.874000000000001</v>
      </c>
      <c r="J786" t="s">
        <v>401</v>
      </c>
      <c r="K786">
        <v>3.6</v>
      </c>
      <c r="N786" t="s">
        <v>497</v>
      </c>
    </row>
    <row r="787" spans="1:25" x14ac:dyDescent="0.45">
      <c r="A787">
        <v>50</v>
      </c>
      <c r="B787">
        <v>50</v>
      </c>
      <c r="C787" t="s">
        <v>631</v>
      </c>
      <c r="D787" t="s">
        <v>414</v>
      </c>
      <c r="F787">
        <v>3.88</v>
      </c>
      <c r="G787">
        <v>50108.582000000002</v>
      </c>
      <c r="H787">
        <v>50240.277000000002</v>
      </c>
      <c r="I787">
        <v>9.9740000000000002</v>
      </c>
      <c r="J787" t="s">
        <v>401</v>
      </c>
      <c r="K787">
        <v>3.3</v>
      </c>
    </row>
    <row r="788" spans="1:25" x14ac:dyDescent="0.45">
      <c r="A788">
        <v>51</v>
      </c>
      <c r="B788">
        <v>51</v>
      </c>
      <c r="C788" t="s">
        <v>632</v>
      </c>
      <c r="D788" t="s">
        <v>414</v>
      </c>
      <c r="F788">
        <v>3.88</v>
      </c>
      <c r="G788">
        <v>35788.343999999997</v>
      </c>
      <c r="H788">
        <v>42906.504000000001</v>
      </c>
      <c r="I788">
        <v>8.3409999999999993</v>
      </c>
      <c r="J788" t="s">
        <v>401</v>
      </c>
      <c r="K788">
        <v>2.8</v>
      </c>
      <c r="O788" t="s">
        <v>389</v>
      </c>
      <c r="P788" t="s">
        <v>123</v>
      </c>
      <c r="Q788" t="s">
        <v>390</v>
      </c>
      <c r="R788" t="s">
        <v>391</v>
      </c>
      <c r="S788" t="s">
        <v>392</v>
      </c>
      <c r="T788" t="s">
        <v>393</v>
      </c>
      <c r="U788" t="s">
        <v>394</v>
      </c>
      <c r="V788" t="s">
        <v>395</v>
      </c>
      <c r="W788" t="s">
        <v>396</v>
      </c>
      <c r="X788" t="s">
        <v>397</v>
      </c>
      <c r="Y788" t="s">
        <v>398</v>
      </c>
    </row>
    <row r="789" spans="1:25" x14ac:dyDescent="0.45">
      <c r="A789">
        <v>52</v>
      </c>
      <c r="B789">
        <v>52</v>
      </c>
      <c r="C789" t="s">
        <v>633</v>
      </c>
      <c r="D789" t="s">
        <v>414</v>
      </c>
      <c r="F789">
        <v>3.88</v>
      </c>
      <c r="G789">
        <v>47036.055</v>
      </c>
      <c r="H789">
        <v>53219.542999999998</v>
      </c>
      <c r="I789">
        <v>8.8379999999999992</v>
      </c>
      <c r="J789" t="s">
        <v>403</v>
      </c>
      <c r="K789">
        <v>3</v>
      </c>
      <c r="N789">
        <v>1</v>
      </c>
      <c r="O789">
        <v>1</v>
      </c>
      <c r="P789" t="s">
        <v>655</v>
      </c>
      <c r="Q789" t="s">
        <v>400</v>
      </c>
      <c r="R789">
        <v>0.05</v>
      </c>
      <c r="U789">
        <v>212.15100000000001</v>
      </c>
    </row>
    <row r="790" spans="1:25" x14ac:dyDescent="0.45">
      <c r="A790">
        <v>53</v>
      </c>
      <c r="B790">
        <v>53</v>
      </c>
      <c r="C790" t="s">
        <v>634</v>
      </c>
      <c r="D790" t="s">
        <v>414</v>
      </c>
      <c r="F790">
        <v>3.88</v>
      </c>
      <c r="G790">
        <v>78797.116999999998</v>
      </c>
      <c r="H790">
        <v>74245.062999999995</v>
      </c>
      <c r="I790">
        <v>10.613</v>
      </c>
      <c r="J790" t="s">
        <v>415</v>
      </c>
      <c r="K790">
        <v>3.5</v>
      </c>
      <c r="N790">
        <v>2</v>
      </c>
      <c r="O790">
        <v>2</v>
      </c>
      <c r="P790" t="s">
        <v>656</v>
      </c>
      <c r="Q790" t="s">
        <v>400</v>
      </c>
      <c r="R790">
        <v>0.5</v>
      </c>
      <c r="U790">
        <v>133.22</v>
      </c>
    </row>
    <row r="791" spans="1:25" x14ac:dyDescent="0.45">
      <c r="A791">
        <v>54</v>
      </c>
      <c r="B791">
        <v>54</v>
      </c>
      <c r="C791" t="s">
        <v>635</v>
      </c>
      <c r="D791" t="s">
        <v>414</v>
      </c>
      <c r="F791">
        <v>3.88</v>
      </c>
      <c r="G791">
        <v>26128.734</v>
      </c>
      <c r="H791">
        <v>35886.945</v>
      </c>
      <c r="I791">
        <v>7.2809999999999997</v>
      </c>
      <c r="J791" t="s">
        <v>401</v>
      </c>
      <c r="K791">
        <v>2.5</v>
      </c>
      <c r="N791">
        <v>3</v>
      </c>
      <c r="O791">
        <v>3</v>
      </c>
      <c r="P791" t="s">
        <v>657</v>
      </c>
      <c r="Q791" t="s">
        <v>400</v>
      </c>
      <c r="R791">
        <v>1.25</v>
      </c>
      <c r="U791">
        <v>1102.1690000000001</v>
      </c>
    </row>
    <row r="792" spans="1:25" x14ac:dyDescent="0.45">
      <c r="A792">
        <v>55</v>
      </c>
      <c r="B792">
        <v>55</v>
      </c>
      <c r="C792" t="s">
        <v>636</v>
      </c>
      <c r="D792" t="s">
        <v>414</v>
      </c>
      <c r="F792">
        <v>3.88</v>
      </c>
      <c r="G792">
        <v>43112.09</v>
      </c>
      <c r="H792">
        <v>42267.434000000001</v>
      </c>
      <c r="I792">
        <v>10.199999999999999</v>
      </c>
      <c r="J792" t="s">
        <v>401</v>
      </c>
      <c r="K792">
        <v>3.4</v>
      </c>
      <c r="N792">
        <v>4</v>
      </c>
      <c r="O792">
        <v>4</v>
      </c>
      <c r="P792" t="s">
        <v>658</v>
      </c>
      <c r="Q792" t="s">
        <v>400</v>
      </c>
      <c r="R792">
        <v>2.5</v>
      </c>
      <c r="U792">
        <v>472.21600000000001</v>
      </c>
    </row>
    <row r="793" spans="1:25" x14ac:dyDescent="0.45">
      <c r="A793">
        <v>56</v>
      </c>
      <c r="B793">
        <v>56</v>
      </c>
      <c r="C793" t="s">
        <v>637</v>
      </c>
      <c r="D793" t="s">
        <v>414</v>
      </c>
      <c r="F793">
        <v>3.88</v>
      </c>
      <c r="G793">
        <v>70460.202999999994</v>
      </c>
      <c r="H793">
        <v>71298.570000000007</v>
      </c>
      <c r="I793">
        <v>9.8819999999999997</v>
      </c>
      <c r="J793" t="s">
        <v>401</v>
      </c>
      <c r="K793">
        <v>3.3</v>
      </c>
      <c r="N793">
        <v>5</v>
      </c>
      <c r="O793">
        <v>5</v>
      </c>
      <c r="P793" t="s">
        <v>659</v>
      </c>
      <c r="Q793" t="s">
        <v>400</v>
      </c>
      <c r="R793">
        <v>3.5</v>
      </c>
      <c r="U793">
        <v>604.23</v>
      </c>
    </row>
    <row r="794" spans="1:25" x14ac:dyDescent="0.45">
      <c r="A794">
        <v>57</v>
      </c>
      <c r="B794">
        <v>57</v>
      </c>
      <c r="C794" t="s">
        <v>638</v>
      </c>
      <c r="D794" t="s">
        <v>414</v>
      </c>
      <c r="F794">
        <v>3.88</v>
      </c>
      <c r="G794">
        <v>30928.756000000001</v>
      </c>
      <c r="H794">
        <v>36711.555</v>
      </c>
      <c r="I794">
        <v>8.4250000000000007</v>
      </c>
      <c r="J794" t="s">
        <v>401</v>
      </c>
      <c r="K794">
        <v>2.9</v>
      </c>
      <c r="N794">
        <v>6</v>
      </c>
      <c r="O794">
        <v>6</v>
      </c>
      <c r="P794" t="s">
        <v>660</v>
      </c>
      <c r="Q794" t="s">
        <v>400</v>
      </c>
      <c r="R794">
        <v>5</v>
      </c>
      <c r="U794">
        <v>495.11</v>
      </c>
    </row>
    <row r="795" spans="1:25" x14ac:dyDescent="0.45">
      <c r="A795">
        <v>58</v>
      </c>
      <c r="B795">
        <v>58</v>
      </c>
      <c r="C795" t="s">
        <v>639</v>
      </c>
      <c r="D795" t="s">
        <v>414</v>
      </c>
      <c r="F795">
        <v>3.88</v>
      </c>
      <c r="G795">
        <v>21502.548999999999</v>
      </c>
      <c r="H795">
        <v>36887.887000000002</v>
      </c>
      <c r="I795">
        <v>5.8289999999999997</v>
      </c>
      <c r="J795" t="s">
        <v>401</v>
      </c>
      <c r="K795">
        <v>2.1</v>
      </c>
      <c r="N795">
        <v>7</v>
      </c>
      <c r="O795">
        <v>7</v>
      </c>
      <c r="P795" t="s">
        <v>661</v>
      </c>
      <c r="Q795" t="s">
        <v>400</v>
      </c>
      <c r="R795">
        <v>7</v>
      </c>
      <c r="U795">
        <v>716.97799999999995</v>
      </c>
    </row>
    <row r="796" spans="1:25" x14ac:dyDescent="0.45">
      <c r="A796">
        <v>59</v>
      </c>
      <c r="B796">
        <v>59</v>
      </c>
      <c r="C796" t="s">
        <v>640</v>
      </c>
      <c r="D796" t="s">
        <v>414</v>
      </c>
      <c r="F796">
        <v>3.88</v>
      </c>
      <c r="G796">
        <v>29057.263999999999</v>
      </c>
      <c r="H796">
        <v>48775.555</v>
      </c>
      <c r="I796">
        <v>5.9569999999999999</v>
      </c>
      <c r="J796" t="s">
        <v>401</v>
      </c>
      <c r="K796">
        <v>2.1</v>
      </c>
      <c r="N796">
        <v>8</v>
      </c>
      <c r="O796">
        <v>8</v>
      </c>
      <c r="P796" t="s">
        <v>662</v>
      </c>
      <c r="Q796" t="s">
        <v>414</v>
      </c>
      <c r="U796">
        <v>4635.8310000000001</v>
      </c>
    </row>
    <row r="797" spans="1:25" x14ac:dyDescent="0.45">
      <c r="A797">
        <v>60</v>
      </c>
      <c r="B797">
        <v>60</v>
      </c>
      <c r="C797" t="s">
        <v>641</v>
      </c>
      <c r="D797" t="s">
        <v>414</v>
      </c>
      <c r="F797">
        <v>3.88</v>
      </c>
      <c r="G797">
        <v>26664.261999999999</v>
      </c>
      <c r="H797">
        <v>39225.733999999997</v>
      </c>
      <c r="I797">
        <v>6.798</v>
      </c>
      <c r="J797" t="s">
        <v>401</v>
      </c>
      <c r="K797">
        <v>2.4</v>
      </c>
      <c r="N797">
        <v>9</v>
      </c>
      <c r="O797">
        <v>9</v>
      </c>
      <c r="P797" t="s">
        <v>663</v>
      </c>
      <c r="Q797" t="s">
        <v>414</v>
      </c>
      <c r="U797">
        <v>2729.3249999999998</v>
      </c>
    </row>
    <row r="798" spans="1:25" x14ac:dyDescent="0.45">
      <c r="A798">
        <v>61</v>
      </c>
      <c r="B798">
        <v>61</v>
      </c>
      <c r="C798" t="s">
        <v>642</v>
      </c>
      <c r="D798" t="s">
        <v>414</v>
      </c>
      <c r="F798">
        <v>3.88</v>
      </c>
      <c r="G798">
        <v>27899.973000000002</v>
      </c>
      <c r="H798">
        <v>61308.578000000001</v>
      </c>
      <c r="I798">
        <v>4.5510000000000002</v>
      </c>
      <c r="J798" t="s">
        <v>401</v>
      </c>
      <c r="K798">
        <v>1.7</v>
      </c>
      <c r="N798">
        <v>10</v>
      </c>
      <c r="O798">
        <v>10</v>
      </c>
      <c r="P798" t="s">
        <v>664</v>
      </c>
      <c r="Q798" t="s">
        <v>414</v>
      </c>
      <c r="U798">
        <v>4597.8</v>
      </c>
    </row>
    <row r="799" spans="1:25" x14ac:dyDescent="0.45">
      <c r="A799">
        <v>62</v>
      </c>
      <c r="B799">
        <v>62</v>
      </c>
      <c r="C799" t="s">
        <v>643</v>
      </c>
      <c r="D799" t="s">
        <v>414</v>
      </c>
      <c r="F799">
        <v>3.88</v>
      </c>
      <c r="G799">
        <v>33878.582000000002</v>
      </c>
      <c r="H799">
        <v>76461.062999999995</v>
      </c>
      <c r="I799">
        <v>4.431</v>
      </c>
      <c r="J799" t="s">
        <v>401</v>
      </c>
      <c r="K799">
        <v>1.7</v>
      </c>
      <c r="N799">
        <v>11</v>
      </c>
      <c r="O799">
        <v>11</v>
      </c>
      <c r="P799" t="s">
        <v>665</v>
      </c>
      <c r="Q799" t="s">
        <v>414</v>
      </c>
      <c r="U799">
        <v>1985.5650000000001</v>
      </c>
    </row>
    <row r="800" spans="1:25" x14ac:dyDescent="0.45">
      <c r="A800">
        <v>63</v>
      </c>
      <c r="B800">
        <v>63</v>
      </c>
      <c r="C800" t="s">
        <v>644</v>
      </c>
      <c r="D800" t="s">
        <v>414</v>
      </c>
      <c r="F800">
        <v>3.88</v>
      </c>
      <c r="G800">
        <v>23413.268</v>
      </c>
      <c r="H800">
        <v>46493.773000000001</v>
      </c>
      <c r="I800">
        <v>5.0359999999999996</v>
      </c>
      <c r="J800" t="s">
        <v>401</v>
      </c>
      <c r="K800">
        <v>1.9</v>
      </c>
      <c r="N800">
        <v>12</v>
      </c>
      <c r="O800">
        <v>12</v>
      </c>
      <c r="P800" t="s">
        <v>666</v>
      </c>
      <c r="Q800" t="s">
        <v>414</v>
      </c>
      <c r="U800">
        <v>2415.08</v>
      </c>
    </row>
    <row r="801" spans="1:21" x14ac:dyDescent="0.45">
      <c r="A801">
        <v>64</v>
      </c>
      <c r="B801">
        <v>64</v>
      </c>
      <c r="C801" t="s">
        <v>645</v>
      </c>
      <c r="D801" t="s">
        <v>414</v>
      </c>
      <c r="F801">
        <v>3.88</v>
      </c>
      <c r="G801">
        <v>24423.357</v>
      </c>
      <c r="H801">
        <v>36215.358999999997</v>
      </c>
      <c r="I801">
        <v>6.7439999999999998</v>
      </c>
      <c r="J801" t="s">
        <v>401</v>
      </c>
      <c r="K801">
        <v>2.4</v>
      </c>
      <c r="N801">
        <v>13</v>
      </c>
      <c r="O801">
        <v>13</v>
      </c>
      <c r="P801" t="s">
        <v>667</v>
      </c>
      <c r="Q801" t="s">
        <v>414</v>
      </c>
      <c r="U801">
        <v>3178.7370000000001</v>
      </c>
    </row>
    <row r="802" spans="1:21" x14ac:dyDescent="0.45">
      <c r="A802">
        <v>65</v>
      </c>
      <c r="B802">
        <v>65</v>
      </c>
      <c r="C802" t="s">
        <v>646</v>
      </c>
      <c r="D802" t="s">
        <v>414</v>
      </c>
      <c r="F802">
        <v>3.88</v>
      </c>
      <c r="G802">
        <v>27796.484</v>
      </c>
      <c r="H802">
        <v>39970.559000000001</v>
      </c>
      <c r="I802">
        <v>6.9539999999999997</v>
      </c>
      <c r="J802" t="s">
        <v>401</v>
      </c>
      <c r="K802">
        <v>2.4</v>
      </c>
      <c r="N802">
        <v>14</v>
      </c>
      <c r="O802">
        <v>14</v>
      </c>
      <c r="P802" t="s">
        <v>668</v>
      </c>
      <c r="Q802" t="s">
        <v>414</v>
      </c>
      <c r="U802">
        <v>4458.92</v>
      </c>
    </row>
    <row r="803" spans="1:21" x14ac:dyDescent="0.45">
      <c r="A803">
        <v>66</v>
      </c>
      <c r="B803">
        <v>66</v>
      </c>
      <c r="C803" t="s">
        <v>647</v>
      </c>
      <c r="D803" t="s">
        <v>414</v>
      </c>
      <c r="F803">
        <v>3.88</v>
      </c>
      <c r="G803">
        <v>41647.762000000002</v>
      </c>
      <c r="H803">
        <v>50769.237999999998</v>
      </c>
      <c r="I803">
        <v>8.2029999999999994</v>
      </c>
      <c r="J803" t="s">
        <v>401</v>
      </c>
      <c r="K803">
        <v>2.8</v>
      </c>
      <c r="N803">
        <v>15</v>
      </c>
      <c r="O803">
        <v>15</v>
      </c>
      <c r="P803" t="s">
        <v>669</v>
      </c>
      <c r="Q803" t="s">
        <v>414</v>
      </c>
      <c r="U803">
        <v>3793.7689999999998</v>
      </c>
    </row>
    <row r="804" spans="1:21" x14ac:dyDescent="0.45">
      <c r="A804">
        <v>67</v>
      </c>
      <c r="B804">
        <v>67</v>
      </c>
      <c r="C804" t="s">
        <v>648</v>
      </c>
      <c r="D804" t="s">
        <v>414</v>
      </c>
      <c r="F804">
        <v>3.88</v>
      </c>
      <c r="G804">
        <v>23398.072</v>
      </c>
      <c r="H804">
        <v>43750.964999999997</v>
      </c>
      <c r="I804">
        <v>5.3479999999999999</v>
      </c>
      <c r="J804" t="s">
        <v>401</v>
      </c>
      <c r="K804">
        <v>2</v>
      </c>
      <c r="N804">
        <v>16</v>
      </c>
      <c r="O804">
        <v>16</v>
      </c>
      <c r="P804" t="s">
        <v>670</v>
      </c>
      <c r="Q804" t="s">
        <v>414</v>
      </c>
      <c r="U804">
        <v>1611.0029999999999</v>
      </c>
    </row>
    <row r="805" spans="1:21" x14ac:dyDescent="0.45">
      <c r="A805">
        <v>68</v>
      </c>
      <c r="B805">
        <v>68</v>
      </c>
      <c r="C805" t="s">
        <v>649</v>
      </c>
      <c r="D805" t="s">
        <v>414</v>
      </c>
      <c r="F805">
        <v>3.88</v>
      </c>
      <c r="G805">
        <v>28076.532999999999</v>
      </c>
      <c r="H805">
        <v>38240.472999999998</v>
      </c>
      <c r="I805">
        <v>7.3419999999999996</v>
      </c>
      <c r="J805" t="s">
        <v>401</v>
      </c>
      <c r="K805">
        <v>2.5</v>
      </c>
      <c r="N805">
        <v>17</v>
      </c>
      <c r="O805">
        <v>17</v>
      </c>
      <c r="P805" t="s">
        <v>671</v>
      </c>
      <c r="Q805" t="s">
        <v>414</v>
      </c>
      <c r="U805">
        <v>2557.7739999999999</v>
      </c>
    </row>
    <row r="806" spans="1:21" x14ac:dyDescent="0.45">
      <c r="A806">
        <v>69</v>
      </c>
      <c r="B806">
        <v>69</v>
      </c>
      <c r="C806" t="s">
        <v>650</v>
      </c>
      <c r="D806" t="s">
        <v>414</v>
      </c>
      <c r="F806">
        <v>3.88</v>
      </c>
      <c r="G806">
        <v>41906.07</v>
      </c>
      <c r="H806">
        <v>51155.995999999999</v>
      </c>
      <c r="I806">
        <v>8.1920000000000002</v>
      </c>
      <c r="J806" t="s">
        <v>401</v>
      </c>
      <c r="K806">
        <v>2.8</v>
      </c>
      <c r="N806">
        <v>18</v>
      </c>
      <c r="O806">
        <v>18</v>
      </c>
      <c r="P806" t="s">
        <v>672</v>
      </c>
      <c r="Q806" t="s">
        <v>414</v>
      </c>
      <c r="U806">
        <v>3311.0729999999999</v>
      </c>
    </row>
    <row r="807" spans="1:21" x14ac:dyDescent="0.45">
      <c r="N807">
        <v>19</v>
      </c>
      <c r="O807">
        <v>19</v>
      </c>
      <c r="P807" t="s">
        <v>673</v>
      </c>
      <c r="Q807" t="s">
        <v>414</v>
      </c>
      <c r="U807">
        <v>2558.8270000000002</v>
      </c>
    </row>
    <row r="808" spans="1:21" x14ac:dyDescent="0.45">
      <c r="A808" t="s">
        <v>497</v>
      </c>
      <c r="N808">
        <v>20</v>
      </c>
      <c r="O808">
        <v>20</v>
      </c>
      <c r="P808" t="s">
        <v>674</v>
      </c>
      <c r="Q808" t="s">
        <v>414</v>
      </c>
      <c r="U808">
        <v>2109.8490000000002</v>
      </c>
    </row>
    <row r="809" spans="1:21" x14ac:dyDescent="0.45">
      <c r="N809">
        <v>21</v>
      </c>
      <c r="O809">
        <v>21</v>
      </c>
      <c r="P809" t="s">
        <v>675</v>
      </c>
      <c r="Q809" t="s">
        <v>414</v>
      </c>
      <c r="U809">
        <v>2976.7190000000001</v>
      </c>
    </row>
    <row r="810" spans="1:21" x14ac:dyDescent="0.45">
      <c r="B810" t="s">
        <v>389</v>
      </c>
      <c r="C810" t="s">
        <v>123</v>
      </c>
      <c r="D810" t="s">
        <v>390</v>
      </c>
      <c r="E810" t="s">
        <v>391</v>
      </c>
      <c r="F810" t="s">
        <v>392</v>
      </c>
      <c r="G810" t="s">
        <v>393</v>
      </c>
      <c r="H810" t="s">
        <v>394</v>
      </c>
      <c r="I810" t="s">
        <v>395</v>
      </c>
      <c r="J810" t="s">
        <v>396</v>
      </c>
      <c r="K810" t="s">
        <v>397</v>
      </c>
      <c r="L810" t="s">
        <v>398</v>
      </c>
      <c r="N810">
        <v>22</v>
      </c>
      <c r="O810">
        <v>22</v>
      </c>
      <c r="P810" t="s">
        <v>676</v>
      </c>
      <c r="Q810" t="s">
        <v>414</v>
      </c>
      <c r="U810">
        <v>1713.8150000000001</v>
      </c>
    </row>
    <row r="811" spans="1:21" x14ac:dyDescent="0.45">
      <c r="A811">
        <v>1</v>
      </c>
      <c r="B811">
        <v>1</v>
      </c>
      <c r="C811" t="s">
        <v>582</v>
      </c>
      <c r="D811" t="s">
        <v>400</v>
      </c>
      <c r="E811">
        <v>0.05</v>
      </c>
      <c r="H811">
        <v>86.075000000000003</v>
      </c>
      <c r="N811">
        <v>23</v>
      </c>
      <c r="O811">
        <v>23</v>
      </c>
      <c r="P811" t="s">
        <v>677</v>
      </c>
      <c r="Q811" t="s">
        <v>414</v>
      </c>
      <c r="U811">
        <v>2543.6179999999999</v>
      </c>
    </row>
    <row r="812" spans="1:21" x14ac:dyDescent="0.45">
      <c r="A812">
        <v>2</v>
      </c>
      <c r="B812">
        <v>2</v>
      </c>
      <c r="C812" t="s">
        <v>583</v>
      </c>
      <c r="D812" t="s">
        <v>400</v>
      </c>
      <c r="E812">
        <v>0.5</v>
      </c>
      <c r="H812">
        <v>159.358</v>
      </c>
      <c r="N812">
        <v>24</v>
      </c>
      <c r="O812">
        <v>24</v>
      </c>
      <c r="P812" t="s">
        <v>678</v>
      </c>
      <c r="Q812" t="s">
        <v>414</v>
      </c>
      <c r="U812">
        <v>1373.9380000000001</v>
      </c>
    </row>
    <row r="813" spans="1:21" x14ac:dyDescent="0.45">
      <c r="A813">
        <v>3</v>
      </c>
      <c r="B813">
        <v>3</v>
      </c>
      <c r="C813" t="s">
        <v>584</v>
      </c>
      <c r="D813" t="s">
        <v>400</v>
      </c>
      <c r="E813">
        <v>1.25</v>
      </c>
      <c r="H813">
        <v>314.36900000000003</v>
      </c>
      <c r="N813">
        <v>25</v>
      </c>
      <c r="O813">
        <v>25</v>
      </c>
      <c r="P813" t="s">
        <v>679</v>
      </c>
      <c r="Q813" t="s">
        <v>414</v>
      </c>
      <c r="U813">
        <v>1086.998</v>
      </c>
    </row>
    <row r="814" spans="1:21" x14ac:dyDescent="0.45">
      <c r="A814">
        <v>4</v>
      </c>
      <c r="B814">
        <v>4</v>
      </c>
      <c r="C814" t="s">
        <v>585</v>
      </c>
      <c r="D814" t="s">
        <v>400</v>
      </c>
      <c r="E814">
        <v>2.5</v>
      </c>
      <c r="H814">
        <v>472.13600000000002</v>
      </c>
      <c r="N814">
        <v>26</v>
      </c>
      <c r="O814">
        <v>26</v>
      </c>
      <c r="P814" t="s">
        <v>680</v>
      </c>
      <c r="Q814" t="s">
        <v>414</v>
      </c>
      <c r="U814">
        <v>4112.6840000000002</v>
      </c>
    </row>
    <row r="815" spans="1:21" x14ac:dyDescent="0.45">
      <c r="A815">
        <v>5</v>
      </c>
      <c r="B815">
        <v>5</v>
      </c>
      <c r="C815" t="s">
        <v>586</v>
      </c>
      <c r="D815" t="s">
        <v>400</v>
      </c>
      <c r="E815">
        <v>3.5</v>
      </c>
      <c r="H815">
        <v>635.84799999999996</v>
      </c>
      <c r="N815">
        <v>27</v>
      </c>
      <c r="O815">
        <v>27</v>
      </c>
      <c r="P815" t="s">
        <v>681</v>
      </c>
      <c r="Q815" t="s">
        <v>414</v>
      </c>
      <c r="U815">
        <v>4380.3519999999999</v>
      </c>
    </row>
    <row r="816" spans="1:21" x14ac:dyDescent="0.45">
      <c r="A816">
        <v>6</v>
      </c>
      <c r="B816">
        <v>6</v>
      </c>
      <c r="C816" t="s">
        <v>587</v>
      </c>
      <c r="D816" t="s">
        <v>400</v>
      </c>
      <c r="E816">
        <v>5</v>
      </c>
      <c r="H816">
        <v>393.79700000000003</v>
      </c>
      <c r="N816">
        <v>28</v>
      </c>
      <c r="O816">
        <v>28</v>
      </c>
      <c r="P816" t="s">
        <v>682</v>
      </c>
      <c r="Q816" t="s">
        <v>414</v>
      </c>
      <c r="U816">
        <v>2561.835</v>
      </c>
    </row>
    <row r="817" spans="1:21" x14ac:dyDescent="0.45">
      <c r="A817">
        <v>7</v>
      </c>
      <c r="B817">
        <v>7</v>
      </c>
      <c r="C817" t="s">
        <v>588</v>
      </c>
      <c r="D817" t="s">
        <v>400</v>
      </c>
      <c r="E817">
        <v>7</v>
      </c>
      <c r="H817">
        <v>788.56600000000003</v>
      </c>
      <c r="N817">
        <v>29</v>
      </c>
      <c r="O817">
        <v>29</v>
      </c>
      <c r="P817" t="s">
        <v>683</v>
      </c>
      <c r="Q817" t="s">
        <v>414</v>
      </c>
      <c r="U817">
        <v>2860.4110000000001</v>
      </c>
    </row>
    <row r="818" spans="1:21" x14ac:dyDescent="0.45">
      <c r="A818">
        <v>8</v>
      </c>
      <c r="B818">
        <v>8</v>
      </c>
      <c r="C818" t="s">
        <v>589</v>
      </c>
      <c r="D818" t="s">
        <v>410</v>
      </c>
      <c r="H818">
        <v>1234.396</v>
      </c>
      <c r="N818">
        <v>30</v>
      </c>
      <c r="O818">
        <v>30</v>
      </c>
      <c r="P818" t="s">
        <v>684</v>
      </c>
      <c r="Q818" t="s">
        <v>414</v>
      </c>
      <c r="U818">
        <v>4175.2910000000002</v>
      </c>
    </row>
    <row r="819" spans="1:21" x14ac:dyDescent="0.45">
      <c r="A819">
        <v>9</v>
      </c>
      <c r="B819">
        <v>9</v>
      </c>
      <c r="C819" t="s">
        <v>590</v>
      </c>
      <c r="D819" t="s">
        <v>410</v>
      </c>
      <c r="H819">
        <v>248.465</v>
      </c>
      <c r="N819">
        <v>31</v>
      </c>
      <c r="O819">
        <v>31</v>
      </c>
      <c r="P819" t="s">
        <v>685</v>
      </c>
      <c r="Q819" t="s">
        <v>414</v>
      </c>
      <c r="U819">
        <v>3061.3069999999998</v>
      </c>
    </row>
    <row r="820" spans="1:21" x14ac:dyDescent="0.45">
      <c r="A820">
        <v>10</v>
      </c>
      <c r="B820">
        <v>10</v>
      </c>
      <c r="C820" t="s">
        <v>591</v>
      </c>
      <c r="D820" t="s">
        <v>414</v>
      </c>
      <c r="H820">
        <v>3428.7080000000001</v>
      </c>
      <c r="N820">
        <v>32</v>
      </c>
      <c r="O820">
        <v>32</v>
      </c>
      <c r="P820" t="s">
        <v>686</v>
      </c>
      <c r="Q820" t="s">
        <v>414</v>
      </c>
      <c r="U820">
        <v>5844.549</v>
      </c>
    </row>
    <row r="821" spans="1:21" x14ac:dyDescent="0.45">
      <c r="A821">
        <v>11</v>
      </c>
      <c r="B821">
        <v>11</v>
      </c>
      <c r="C821" t="s">
        <v>592</v>
      </c>
      <c r="D821" t="s">
        <v>414</v>
      </c>
      <c r="H821">
        <v>963.23400000000004</v>
      </c>
      <c r="N821">
        <v>33</v>
      </c>
      <c r="O821">
        <v>33</v>
      </c>
      <c r="P821" t="s">
        <v>687</v>
      </c>
      <c r="Q821" t="s">
        <v>414</v>
      </c>
      <c r="U821">
        <v>4471.8500000000004</v>
      </c>
    </row>
    <row r="822" spans="1:21" x14ac:dyDescent="0.45">
      <c r="A822">
        <v>12</v>
      </c>
      <c r="B822">
        <v>12</v>
      </c>
      <c r="C822" t="s">
        <v>593</v>
      </c>
      <c r="D822" t="s">
        <v>414</v>
      </c>
      <c r="H822">
        <v>2820.5169999999998</v>
      </c>
      <c r="N822">
        <v>34</v>
      </c>
      <c r="O822">
        <v>34</v>
      </c>
      <c r="P822" t="s">
        <v>688</v>
      </c>
      <c r="Q822" t="s">
        <v>414</v>
      </c>
      <c r="U822">
        <v>4014.7539999999999</v>
      </c>
    </row>
    <row r="823" spans="1:21" x14ac:dyDescent="0.45">
      <c r="A823">
        <v>13</v>
      </c>
      <c r="B823">
        <v>13</v>
      </c>
      <c r="C823" t="s">
        <v>594</v>
      </c>
      <c r="D823" t="s">
        <v>414</v>
      </c>
      <c r="H823">
        <v>3849.703</v>
      </c>
      <c r="N823">
        <v>35</v>
      </c>
      <c r="O823">
        <v>35</v>
      </c>
      <c r="P823" t="s">
        <v>689</v>
      </c>
      <c r="Q823" t="s">
        <v>414</v>
      </c>
      <c r="U823">
        <v>3089.1370000000002</v>
      </c>
    </row>
    <row r="824" spans="1:21" x14ac:dyDescent="0.45">
      <c r="A824">
        <v>14</v>
      </c>
      <c r="B824">
        <v>14</v>
      </c>
      <c r="C824" t="s">
        <v>595</v>
      </c>
      <c r="D824" t="s">
        <v>414</v>
      </c>
      <c r="H824">
        <v>6403.6679999999997</v>
      </c>
      <c r="N824">
        <v>36</v>
      </c>
      <c r="O824">
        <v>36</v>
      </c>
      <c r="P824" t="s">
        <v>690</v>
      </c>
      <c r="Q824" t="s">
        <v>414</v>
      </c>
      <c r="U824">
        <v>3736.7190000000001</v>
      </c>
    </row>
    <row r="825" spans="1:21" x14ac:dyDescent="0.45">
      <c r="A825">
        <v>15</v>
      </c>
      <c r="B825">
        <v>15</v>
      </c>
      <c r="C825" t="s">
        <v>596</v>
      </c>
      <c r="D825" t="s">
        <v>414</v>
      </c>
      <c r="H825">
        <v>4480.6080000000002</v>
      </c>
      <c r="N825">
        <v>37</v>
      </c>
      <c r="O825">
        <v>37</v>
      </c>
      <c r="P825" t="s">
        <v>691</v>
      </c>
      <c r="Q825" t="s">
        <v>414</v>
      </c>
      <c r="U825">
        <v>2816.8249999999998</v>
      </c>
    </row>
    <row r="826" spans="1:21" x14ac:dyDescent="0.45">
      <c r="A826">
        <v>16</v>
      </c>
      <c r="B826">
        <v>16</v>
      </c>
      <c r="C826" t="s">
        <v>597</v>
      </c>
      <c r="D826" t="s">
        <v>414</v>
      </c>
      <c r="H826">
        <v>2936.74</v>
      </c>
      <c r="N826">
        <v>38</v>
      </c>
      <c r="O826">
        <v>38</v>
      </c>
      <c r="P826" t="s">
        <v>692</v>
      </c>
      <c r="Q826" t="s">
        <v>414</v>
      </c>
      <c r="U826">
        <v>5185.4319999999998</v>
      </c>
    </row>
    <row r="827" spans="1:21" x14ac:dyDescent="0.45">
      <c r="A827">
        <v>17</v>
      </c>
      <c r="B827">
        <v>17</v>
      </c>
      <c r="C827" t="s">
        <v>598</v>
      </c>
      <c r="D827" t="s">
        <v>414</v>
      </c>
      <c r="H827">
        <v>3590.366</v>
      </c>
      <c r="N827">
        <v>39</v>
      </c>
      <c r="O827">
        <v>39</v>
      </c>
      <c r="P827" t="s">
        <v>693</v>
      </c>
      <c r="Q827" t="s">
        <v>414</v>
      </c>
      <c r="U827">
        <v>5547.4030000000002</v>
      </c>
    </row>
    <row r="828" spans="1:21" x14ac:dyDescent="0.45">
      <c r="A828">
        <v>18</v>
      </c>
      <c r="B828">
        <v>18</v>
      </c>
      <c r="C828" t="s">
        <v>599</v>
      </c>
      <c r="D828" t="s">
        <v>414</v>
      </c>
      <c r="H828">
        <v>1637.329</v>
      </c>
      <c r="N828">
        <v>40</v>
      </c>
      <c r="O828">
        <v>40</v>
      </c>
      <c r="P828" t="s">
        <v>694</v>
      </c>
      <c r="Q828" t="s">
        <v>414</v>
      </c>
      <c r="U828">
        <v>7786.473</v>
      </c>
    </row>
    <row r="829" spans="1:21" x14ac:dyDescent="0.45">
      <c r="A829">
        <v>19</v>
      </c>
      <c r="B829">
        <v>19</v>
      </c>
      <c r="C829" t="s">
        <v>600</v>
      </c>
      <c r="D829" t="s">
        <v>414</v>
      </c>
      <c r="H829">
        <v>2373.1590000000001</v>
      </c>
      <c r="N829">
        <v>41</v>
      </c>
      <c r="O829">
        <v>41</v>
      </c>
      <c r="P829" t="s">
        <v>695</v>
      </c>
      <c r="Q829" t="s">
        <v>414</v>
      </c>
      <c r="U829">
        <v>7767.2969999999996</v>
      </c>
    </row>
    <row r="830" spans="1:21" x14ac:dyDescent="0.45">
      <c r="A830">
        <v>20</v>
      </c>
      <c r="B830">
        <v>20</v>
      </c>
      <c r="C830" t="s">
        <v>601</v>
      </c>
      <c r="D830" t="s">
        <v>414</v>
      </c>
      <c r="H830">
        <v>1133.806</v>
      </c>
      <c r="N830">
        <v>42</v>
      </c>
      <c r="O830">
        <v>42</v>
      </c>
      <c r="P830" t="s">
        <v>696</v>
      </c>
      <c r="Q830" t="s">
        <v>414</v>
      </c>
      <c r="U830">
        <v>4522.6670000000004</v>
      </c>
    </row>
    <row r="831" spans="1:21" x14ac:dyDescent="0.45">
      <c r="A831">
        <v>21</v>
      </c>
      <c r="B831">
        <v>21</v>
      </c>
      <c r="C831" t="s">
        <v>602</v>
      </c>
      <c r="D831" t="s">
        <v>414</v>
      </c>
      <c r="H831">
        <v>2509.6689999999999</v>
      </c>
      <c r="N831">
        <v>43</v>
      </c>
      <c r="O831">
        <v>43</v>
      </c>
      <c r="P831" t="s">
        <v>697</v>
      </c>
      <c r="Q831" t="s">
        <v>414</v>
      </c>
      <c r="U831">
        <v>6442.1319999999996</v>
      </c>
    </row>
    <row r="832" spans="1:21" x14ac:dyDescent="0.45">
      <c r="A832">
        <v>22</v>
      </c>
      <c r="B832">
        <v>22</v>
      </c>
      <c r="C832" t="s">
        <v>603</v>
      </c>
      <c r="D832" t="s">
        <v>414</v>
      </c>
      <c r="H832">
        <v>4798.6139999999996</v>
      </c>
      <c r="N832">
        <v>44</v>
      </c>
      <c r="O832">
        <v>44</v>
      </c>
      <c r="P832" t="s">
        <v>698</v>
      </c>
      <c r="Q832" t="s">
        <v>414</v>
      </c>
      <c r="U832">
        <v>3511.1329999999998</v>
      </c>
    </row>
    <row r="833" spans="1:21" x14ac:dyDescent="0.45">
      <c r="A833">
        <v>23</v>
      </c>
      <c r="B833">
        <v>23</v>
      </c>
      <c r="C833" t="s">
        <v>604</v>
      </c>
      <c r="D833" t="s">
        <v>414</v>
      </c>
      <c r="H833">
        <v>5299.1670000000004</v>
      </c>
      <c r="N833">
        <v>45</v>
      </c>
      <c r="O833">
        <v>45</v>
      </c>
      <c r="P833" t="s">
        <v>699</v>
      </c>
      <c r="Q833" t="s">
        <v>414</v>
      </c>
      <c r="U833">
        <v>1992.24</v>
      </c>
    </row>
    <row r="834" spans="1:21" x14ac:dyDescent="0.45">
      <c r="A834">
        <v>24</v>
      </c>
      <c r="B834">
        <v>24</v>
      </c>
      <c r="C834" t="s">
        <v>605</v>
      </c>
      <c r="D834" t="s">
        <v>414</v>
      </c>
      <c r="H834">
        <v>3648.7020000000002</v>
      </c>
      <c r="N834">
        <v>46</v>
      </c>
      <c r="O834">
        <v>46</v>
      </c>
      <c r="P834" t="s">
        <v>700</v>
      </c>
      <c r="Q834" t="s">
        <v>414</v>
      </c>
      <c r="U834">
        <v>5497.9589999999998</v>
      </c>
    </row>
    <row r="835" spans="1:21" x14ac:dyDescent="0.45">
      <c r="A835">
        <v>25</v>
      </c>
      <c r="B835">
        <v>25</v>
      </c>
      <c r="C835" t="s">
        <v>606</v>
      </c>
      <c r="D835" t="s">
        <v>414</v>
      </c>
      <c r="H835">
        <v>2966.607</v>
      </c>
      <c r="N835">
        <v>47</v>
      </c>
      <c r="O835">
        <v>47</v>
      </c>
      <c r="P835" t="s">
        <v>701</v>
      </c>
      <c r="Q835" t="s">
        <v>414</v>
      </c>
      <c r="U835">
        <v>5161.01</v>
      </c>
    </row>
    <row r="836" spans="1:21" x14ac:dyDescent="0.45">
      <c r="A836">
        <v>26</v>
      </c>
      <c r="B836">
        <v>26</v>
      </c>
      <c r="C836" t="s">
        <v>607</v>
      </c>
      <c r="D836" t="s">
        <v>414</v>
      </c>
      <c r="H836">
        <v>6362.848</v>
      </c>
      <c r="N836">
        <v>48</v>
      </c>
      <c r="O836">
        <v>48</v>
      </c>
      <c r="P836" t="s">
        <v>702</v>
      </c>
      <c r="Q836" t="s">
        <v>414</v>
      </c>
      <c r="U836">
        <v>5870.47</v>
      </c>
    </row>
    <row r="837" spans="1:21" x14ac:dyDescent="0.45">
      <c r="A837">
        <v>27</v>
      </c>
      <c r="B837">
        <v>27</v>
      </c>
      <c r="C837" t="s">
        <v>608</v>
      </c>
      <c r="D837" t="s">
        <v>414</v>
      </c>
      <c r="H837">
        <v>5939.0690000000004</v>
      </c>
      <c r="N837">
        <v>49</v>
      </c>
      <c r="O837">
        <v>49</v>
      </c>
      <c r="P837" t="s">
        <v>703</v>
      </c>
      <c r="Q837" t="s">
        <v>414</v>
      </c>
      <c r="U837">
        <v>5310.808</v>
      </c>
    </row>
    <row r="838" spans="1:21" x14ac:dyDescent="0.45">
      <c r="A838">
        <v>28</v>
      </c>
      <c r="B838">
        <v>28</v>
      </c>
      <c r="C838" t="s">
        <v>609</v>
      </c>
      <c r="D838" t="s">
        <v>414</v>
      </c>
      <c r="H838">
        <v>3838.049</v>
      </c>
      <c r="N838">
        <v>50</v>
      </c>
      <c r="O838">
        <v>50</v>
      </c>
      <c r="P838" t="s">
        <v>704</v>
      </c>
      <c r="Q838" t="s">
        <v>414</v>
      </c>
      <c r="U838">
        <v>4271.9110000000001</v>
      </c>
    </row>
    <row r="839" spans="1:21" x14ac:dyDescent="0.45">
      <c r="A839">
        <v>29</v>
      </c>
      <c r="B839">
        <v>29</v>
      </c>
      <c r="C839" t="s">
        <v>610</v>
      </c>
      <c r="D839" t="s">
        <v>414</v>
      </c>
      <c r="H839">
        <v>2362.0390000000002</v>
      </c>
      <c r="N839">
        <v>51</v>
      </c>
      <c r="O839">
        <v>51</v>
      </c>
      <c r="P839" t="s">
        <v>705</v>
      </c>
      <c r="Q839" t="s">
        <v>414</v>
      </c>
      <c r="U839">
        <v>2116.058</v>
      </c>
    </row>
    <row r="840" spans="1:21" x14ac:dyDescent="0.45">
      <c r="A840">
        <v>30</v>
      </c>
      <c r="B840">
        <v>30</v>
      </c>
      <c r="C840" t="s">
        <v>611</v>
      </c>
      <c r="D840" t="s">
        <v>414</v>
      </c>
      <c r="H840">
        <v>2821.4009999999998</v>
      </c>
      <c r="N840">
        <v>52</v>
      </c>
      <c r="O840">
        <v>52</v>
      </c>
      <c r="P840" t="s">
        <v>706</v>
      </c>
      <c r="Q840" t="s">
        <v>414</v>
      </c>
      <c r="U840">
        <v>4485.6589999999997</v>
      </c>
    </row>
    <row r="841" spans="1:21" x14ac:dyDescent="0.45">
      <c r="A841">
        <v>31</v>
      </c>
      <c r="B841">
        <v>31</v>
      </c>
      <c r="C841" t="s">
        <v>612</v>
      </c>
      <c r="D841" t="s">
        <v>414</v>
      </c>
      <c r="H841">
        <v>2550.893</v>
      </c>
      <c r="N841">
        <v>53</v>
      </c>
      <c r="O841">
        <v>53</v>
      </c>
      <c r="P841" t="s">
        <v>707</v>
      </c>
      <c r="Q841" t="s">
        <v>414</v>
      </c>
      <c r="U841">
        <v>3769.6770000000001</v>
      </c>
    </row>
    <row r="842" spans="1:21" x14ac:dyDescent="0.45">
      <c r="A842">
        <v>32</v>
      </c>
      <c r="B842">
        <v>32</v>
      </c>
      <c r="C842" t="s">
        <v>613</v>
      </c>
      <c r="D842" t="s">
        <v>414</v>
      </c>
      <c r="H842">
        <v>3105.2849999999999</v>
      </c>
      <c r="N842">
        <v>54</v>
      </c>
      <c r="O842">
        <v>54</v>
      </c>
      <c r="P842" t="s">
        <v>708</v>
      </c>
      <c r="Q842" t="s">
        <v>414</v>
      </c>
      <c r="U842">
        <v>4399.6710000000003</v>
      </c>
    </row>
    <row r="843" spans="1:21" x14ac:dyDescent="0.45">
      <c r="A843">
        <v>33</v>
      </c>
      <c r="B843">
        <v>33</v>
      </c>
      <c r="C843" t="s">
        <v>614</v>
      </c>
      <c r="D843" t="s">
        <v>414</v>
      </c>
      <c r="H843">
        <v>4282.8630000000003</v>
      </c>
      <c r="N843">
        <v>55</v>
      </c>
      <c r="O843">
        <v>55</v>
      </c>
      <c r="P843" t="s">
        <v>709</v>
      </c>
      <c r="Q843" t="s">
        <v>414</v>
      </c>
      <c r="U843">
        <v>5332.2470000000003</v>
      </c>
    </row>
    <row r="844" spans="1:21" x14ac:dyDescent="0.45">
      <c r="A844">
        <v>34</v>
      </c>
      <c r="B844">
        <v>34</v>
      </c>
      <c r="C844" t="s">
        <v>615</v>
      </c>
      <c r="D844" t="s">
        <v>414</v>
      </c>
      <c r="H844">
        <v>2287.1770000000001</v>
      </c>
      <c r="N844">
        <v>56</v>
      </c>
      <c r="O844">
        <v>56</v>
      </c>
      <c r="P844" t="s">
        <v>710</v>
      </c>
      <c r="Q844" t="s">
        <v>414</v>
      </c>
      <c r="U844">
        <v>5227.8029999999999</v>
      </c>
    </row>
    <row r="845" spans="1:21" x14ac:dyDescent="0.45">
      <c r="A845">
        <v>35</v>
      </c>
      <c r="B845">
        <v>35</v>
      </c>
      <c r="C845" t="s">
        <v>616</v>
      </c>
      <c r="D845" t="s">
        <v>414</v>
      </c>
      <c r="H845">
        <v>2325.58</v>
      </c>
      <c r="N845">
        <v>57</v>
      </c>
      <c r="O845">
        <v>57</v>
      </c>
      <c r="P845" t="s">
        <v>711</v>
      </c>
      <c r="Q845" t="s">
        <v>414</v>
      </c>
      <c r="U845">
        <v>5048.299</v>
      </c>
    </row>
    <row r="846" spans="1:21" x14ac:dyDescent="0.45">
      <c r="A846">
        <v>36</v>
      </c>
      <c r="B846">
        <v>36</v>
      </c>
      <c r="C846" t="s">
        <v>617</v>
      </c>
      <c r="D846" t="s">
        <v>414</v>
      </c>
      <c r="H846">
        <v>3024.9789999999998</v>
      </c>
      <c r="N846">
        <v>58</v>
      </c>
      <c r="O846">
        <v>58</v>
      </c>
      <c r="P846" t="s">
        <v>712</v>
      </c>
      <c r="Q846" t="s">
        <v>414</v>
      </c>
      <c r="U846">
        <v>4925.165</v>
      </c>
    </row>
    <row r="847" spans="1:21" x14ac:dyDescent="0.45">
      <c r="A847">
        <v>37</v>
      </c>
      <c r="B847">
        <v>37</v>
      </c>
      <c r="C847" t="s">
        <v>618</v>
      </c>
      <c r="D847" t="s">
        <v>414</v>
      </c>
      <c r="H847">
        <v>3401.3220000000001</v>
      </c>
      <c r="N847">
        <v>59</v>
      </c>
      <c r="O847">
        <v>59</v>
      </c>
      <c r="P847" t="s">
        <v>713</v>
      </c>
      <c r="Q847" t="s">
        <v>414</v>
      </c>
      <c r="U847">
        <v>2437.94</v>
      </c>
    </row>
    <row r="848" spans="1:21" x14ac:dyDescent="0.45">
      <c r="A848">
        <v>38</v>
      </c>
      <c r="B848">
        <v>38</v>
      </c>
      <c r="C848" t="s">
        <v>619</v>
      </c>
      <c r="D848" t="s">
        <v>414</v>
      </c>
      <c r="H848">
        <v>1386.2380000000001</v>
      </c>
      <c r="N848">
        <v>60</v>
      </c>
      <c r="O848">
        <v>60</v>
      </c>
      <c r="P848" t="s">
        <v>714</v>
      </c>
      <c r="Q848" t="s">
        <v>414</v>
      </c>
      <c r="U848">
        <v>3568.14</v>
      </c>
    </row>
    <row r="849" spans="1:25" x14ac:dyDescent="0.45">
      <c r="A849">
        <v>39</v>
      </c>
      <c r="B849">
        <v>39</v>
      </c>
      <c r="C849" t="s">
        <v>620</v>
      </c>
      <c r="D849" t="s">
        <v>414</v>
      </c>
      <c r="H849">
        <v>2764.1109999999999</v>
      </c>
      <c r="N849">
        <v>61</v>
      </c>
      <c r="O849">
        <v>61</v>
      </c>
      <c r="P849" t="s">
        <v>715</v>
      </c>
      <c r="Q849" t="s">
        <v>414</v>
      </c>
      <c r="U849">
        <v>4559.5439999999999</v>
      </c>
    </row>
    <row r="850" spans="1:25" x14ac:dyDescent="0.45">
      <c r="A850">
        <v>40</v>
      </c>
      <c r="B850">
        <v>40</v>
      </c>
      <c r="C850" t="s">
        <v>621</v>
      </c>
      <c r="D850" t="s">
        <v>414</v>
      </c>
      <c r="H850">
        <v>4274.0020000000004</v>
      </c>
      <c r="N850">
        <v>62</v>
      </c>
      <c r="O850">
        <v>62</v>
      </c>
      <c r="P850" t="s">
        <v>716</v>
      </c>
      <c r="Q850" t="s">
        <v>414</v>
      </c>
      <c r="U850">
        <v>2241.6460000000002</v>
      </c>
    </row>
    <row r="851" spans="1:25" x14ac:dyDescent="0.45">
      <c r="A851">
        <v>41</v>
      </c>
      <c r="B851">
        <v>41</v>
      </c>
      <c r="C851" t="s">
        <v>622</v>
      </c>
      <c r="D851" t="s">
        <v>414</v>
      </c>
      <c r="H851">
        <v>3044.741</v>
      </c>
      <c r="N851">
        <v>63</v>
      </c>
      <c r="O851">
        <v>63</v>
      </c>
      <c r="P851" t="s">
        <v>717</v>
      </c>
      <c r="Q851" t="s">
        <v>414</v>
      </c>
      <c r="U851">
        <v>3471.0210000000002</v>
      </c>
    </row>
    <row r="852" spans="1:25" x14ac:dyDescent="0.45">
      <c r="A852">
        <v>42</v>
      </c>
      <c r="B852">
        <v>42</v>
      </c>
      <c r="C852" t="s">
        <v>623</v>
      </c>
      <c r="D852" t="s">
        <v>414</v>
      </c>
      <c r="H852">
        <v>5161.0600000000004</v>
      </c>
      <c r="N852">
        <v>64</v>
      </c>
      <c r="O852">
        <v>64</v>
      </c>
      <c r="P852" t="s">
        <v>718</v>
      </c>
      <c r="Q852" t="s">
        <v>414</v>
      </c>
      <c r="U852">
        <v>5767.2709999999997</v>
      </c>
    </row>
    <row r="853" spans="1:25" x14ac:dyDescent="0.45">
      <c r="A853">
        <v>43</v>
      </c>
      <c r="B853">
        <v>43</v>
      </c>
      <c r="C853" t="s">
        <v>624</v>
      </c>
      <c r="D853" t="s">
        <v>414</v>
      </c>
      <c r="H853">
        <v>6932.7139999999999</v>
      </c>
      <c r="N853">
        <v>65</v>
      </c>
      <c r="O853">
        <v>65</v>
      </c>
      <c r="P853" t="s">
        <v>719</v>
      </c>
      <c r="Q853" t="s">
        <v>414</v>
      </c>
      <c r="U853">
        <v>3060.846</v>
      </c>
    </row>
    <row r="854" spans="1:25" x14ac:dyDescent="0.45">
      <c r="A854">
        <v>44</v>
      </c>
      <c r="B854">
        <v>44</v>
      </c>
      <c r="C854" t="s">
        <v>625</v>
      </c>
      <c r="D854" t="s">
        <v>414</v>
      </c>
      <c r="H854">
        <v>3403.01</v>
      </c>
      <c r="N854">
        <v>66</v>
      </c>
      <c r="O854">
        <v>66</v>
      </c>
      <c r="P854" t="s">
        <v>720</v>
      </c>
      <c r="Q854" t="s">
        <v>414</v>
      </c>
      <c r="U854">
        <v>5622.7560000000003</v>
      </c>
    </row>
    <row r="855" spans="1:25" x14ac:dyDescent="0.45">
      <c r="A855">
        <v>45</v>
      </c>
      <c r="B855">
        <v>45</v>
      </c>
      <c r="C855" t="s">
        <v>626</v>
      </c>
      <c r="D855" t="s">
        <v>414</v>
      </c>
      <c r="H855">
        <v>3233.2379999999998</v>
      </c>
      <c r="N855">
        <v>67</v>
      </c>
      <c r="O855">
        <v>67</v>
      </c>
      <c r="P855" t="s">
        <v>721</v>
      </c>
      <c r="Q855" t="s">
        <v>414</v>
      </c>
      <c r="U855">
        <v>5964.8680000000004</v>
      </c>
    </row>
    <row r="856" spans="1:25" x14ac:dyDescent="0.45">
      <c r="A856">
        <v>46</v>
      </c>
      <c r="B856">
        <v>46</v>
      </c>
      <c r="C856" t="s">
        <v>627</v>
      </c>
      <c r="D856" t="s">
        <v>414</v>
      </c>
      <c r="H856">
        <v>2725.703</v>
      </c>
    </row>
    <row r="857" spans="1:25" x14ac:dyDescent="0.45">
      <c r="A857">
        <v>47</v>
      </c>
      <c r="B857">
        <v>47</v>
      </c>
      <c r="C857" t="s">
        <v>628</v>
      </c>
      <c r="D857" t="s">
        <v>414</v>
      </c>
      <c r="H857">
        <v>3431.549</v>
      </c>
      <c r="N857" t="s">
        <v>498</v>
      </c>
    </row>
    <row r="858" spans="1:25" x14ac:dyDescent="0.45">
      <c r="A858">
        <v>48</v>
      </c>
      <c r="B858">
        <v>48</v>
      </c>
      <c r="C858" t="s">
        <v>629</v>
      </c>
      <c r="D858" t="s">
        <v>414</v>
      </c>
      <c r="H858">
        <v>3919.9749999999999</v>
      </c>
    </row>
    <row r="859" spans="1:25" x14ac:dyDescent="0.45">
      <c r="A859">
        <v>49</v>
      </c>
      <c r="B859">
        <v>49</v>
      </c>
      <c r="C859" t="s">
        <v>630</v>
      </c>
      <c r="D859" t="s">
        <v>414</v>
      </c>
      <c r="H859">
        <v>7946.5789999999997</v>
      </c>
      <c r="O859" t="s">
        <v>389</v>
      </c>
      <c r="P859" t="s">
        <v>123</v>
      </c>
      <c r="Q859" t="s">
        <v>390</v>
      </c>
      <c r="R859" t="s">
        <v>391</v>
      </c>
      <c r="S859" t="s">
        <v>392</v>
      </c>
      <c r="T859" t="s">
        <v>393</v>
      </c>
      <c r="U859" t="s">
        <v>394</v>
      </c>
      <c r="V859" t="s">
        <v>395</v>
      </c>
      <c r="W859" t="s">
        <v>396</v>
      </c>
      <c r="X859" t="s">
        <v>397</v>
      </c>
      <c r="Y859" t="s">
        <v>398</v>
      </c>
    </row>
    <row r="860" spans="1:25" x14ac:dyDescent="0.45">
      <c r="A860">
        <v>50</v>
      </c>
      <c r="B860">
        <v>50</v>
      </c>
      <c r="C860" t="s">
        <v>631</v>
      </c>
      <c r="D860" t="s">
        <v>414</v>
      </c>
      <c r="H860">
        <v>2545.52</v>
      </c>
      <c r="N860">
        <v>1</v>
      </c>
      <c r="O860">
        <v>1</v>
      </c>
      <c r="P860" t="s">
        <v>655</v>
      </c>
      <c r="Q860" t="s">
        <v>400</v>
      </c>
      <c r="R860">
        <v>0.05</v>
      </c>
      <c r="S860">
        <v>2.83</v>
      </c>
      <c r="T860">
        <v>3351.7379999999998</v>
      </c>
      <c r="U860">
        <v>157820.46900000001</v>
      </c>
      <c r="V860">
        <v>0.21199999999999999</v>
      </c>
      <c r="W860" t="s">
        <v>415</v>
      </c>
      <c r="X860">
        <v>0.1</v>
      </c>
      <c r="Y860">
        <v>91.4</v>
      </c>
    </row>
    <row r="861" spans="1:25" x14ac:dyDescent="0.45">
      <c r="A861">
        <v>51</v>
      </c>
      <c r="B861">
        <v>51</v>
      </c>
      <c r="C861" t="s">
        <v>632</v>
      </c>
      <c r="D861" t="s">
        <v>414</v>
      </c>
      <c r="H861">
        <v>2152.1460000000002</v>
      </c>
      <c r="N861">
        <v>2</v>
      </c>
      <c r="O861">
        <v>2</v>
      </c>
      <c r="P861" t="s">
        <v>656</v>
      </c>
      <c r="Q861" t="s">
        <v>400</v>
      </c>
      <c r="R861">
        <v>0.5</v>
      </c>
      <c r="S861">
        <v>2.82</v>
      </c>
      <c r="T861">
        <v>28042.438999999998</v>
      </c>
      <c r="U861">
        <v>149271.09400000001</v>
      </c>
      <c r="V861">
        <v>1.879</v>
      </c>
      <c r="W861" t="s">
        <v>415</v>
      </c>
      <c r="X861">
        <v>0.5</v>
      </c>
      <c r="Y861">
        <v>0.6</v>
      </c>
    </row>
    <row r="862" spans="1:25" x14ac:dyDescent="0.45">
      <c r="A862">
        <v>52</v>
      </c>
      <c r="B862">
        <v>52</v>
      </c>
      <c r="C862" t="s">
        <v>633</v>
      </c>
      <c r="D862" t="s">
        <v>414</v>
      </c>
      <c r="H862">
        <v>4894.3860000000004</v>
      </c>
      <c r="N862">
        <v>3</v>
      </c>
      <c r="O862">
        <v>3</v>
      </c>
      <c r="P862" t="s">
        <v>657</v>
      </c>
      <c r="Q862" t="s">
        <v>400</v>
      </c>
      <c r="R862">
        <v>1.25</v>
      </c>
      <c r="S862">
        <v>2.82</v>
      </c>
      <c r="T862">
        <v>69464.023000000001</v>
      </c>
      <c r="U862">
        <v>140143.20300000001</v>
      </c>
      <c r="V862">
        <v>4.9569999999999999</v>
      </c>
      <c r="W862" t="s">
        <v>415</v>
      </c>
      <c r="X862">
        <v>1.3</v>
      </c>
      <c r="Y862">
        <v>0.4</v>
      </c>
    </row>
    <row r="863" spans="1:25" x14ac:dyDescent="0.45">
      <c r="A863">
        <v>53</v>
      </c>
      <c r="B863">
        <v>53</v>
      </c>
      <c r="C863" t="s">
        <v>634</v>
      </c>
      <c r="D863" t="s">
        <v>414</v>
      </c>
      <c r="H863">
        <v>4693.0630000000001</v>
      </c>
      <c r="N863">
        <v>4</v>
      </c>
      <c r="O863">
        <v>4</v>
      </c>
      <c r="P863" t="s">
        <v>658</v>
      </c>
      <c r="Q863" t="s">
        <v>400</v>
      </c>
      <c r="R863">
        <v>2.5</v>
      </c>
      <c r="S863">
        <v>2.82</v>
      </c>
      <c r="T863">
        <v>135345.46900000001</v>
      </c>
      <c r="U863">
        <v>136556.125</v>
      </c>
      <c r="V863">
        <v>9.9109999999999996</v>
      </c>
      <c r="W863" t="s">
        <v>415</v>
      </c>
      <c r="X863">
        <v>2.5</v>
      </c>
      <c r="Y863">
        <v>-1.4</v>
      </c>
    </row>
    <row r="864" spans="1:25" x14ac:dyDescent="0.45">
      <c r="A864">
        <v>54</v>
      </c>
      <c r="B864">
        <v>54</v>
      </c>
      <c r="C864" t="s">
        <v>635</v>
      </c>
      <c r="D864" t="s">
        <v>414</v>
      </c>
      <c r="H864">
        <v>2984.8789999999999</v>
      </c>
      <c r="N864">
        <v>5</v>
      </c>
      <c r="O864">
        <v>5</v>
      </c>
      <c r="P864" t="s">
        <v>659</v>
      </c>
      <c r="Q864" t="s">
        <v>400</v>
      </c>
      <c r="R864">
        <v>3.5</v>
      </c>
      <c r="S864">
        <v>2.83</v>
      </c>
      <c r="T864">
        <v>187719.06299999999</v>
      </c>
      <c r="U864">
        <v>135322.93799999999</v>
      </c>
      <c r="V864">
        <v>13.872</v>
      </c>
      <c r="W864" t="s">
        <v>401</v>
      </c>
      <c r="X864">
        <v>3.4</v>
      </c>
      <c r="Y864">
        <v>-1.9</v>
      </c>
    </row>
    <row r="865" spans="1:25" x14ac:dyDescent="0.45">
      <c r="A865">
        <v>55</v>
      </c>
      <c r="B865">
        <v>55</v>
      </c>
      <c r="C865" t="s">
        <v>636</v>
      </c>
      <c r="D865" t="s">
        <v>414</v>
      </c>
      <c r="H865">
        <v>3896.8989999999999</v>
      </c>
      <c r="N865">
        <v>6</v>
      </c>
      <c r="O865">
        <v>6</v>
      </c>
      <c r="P865" t="s">
        <v>660</v>
      </c>
      <c r="Q865" t="s">
        <v>400</v>
      </c>
      <c r="R865">
        <v>5</v>
      </c>
      <c r="S865">
        <v>2.83</v>
      </c>
      <c r="T865">
        <v>260055.18799999999</v>
      </c>
      <c r="U865">
        <v>127885.906</v>
      </c>
      <c r="V865">
        <v>20.335000000000001</v>
      </c>
      <c r="W865" t="s">
        <v>415</v>
      </c>
      <c r="X865">
        <v>5</v>
      </c>
      <c r="Y865">
        <v>0.2</v>
      </c>
    </row>
    <row r="866" spans="1:25" x14ac:dyDescent="0.45">
      <c r="A866">
        <v>56</v>
      </c>
      <c r="B866">
        <v>56</v>
      </c>
      <c r="C866" t="s">
        <v>637</v>
      </c>
      <c r="D866" t="s">
        <v>414</v>
      </c>
      <c r="H866">
        <v>5898.3019999999997</v>
      </c>
      <c r="N866">
        <v>7</v>
      </c>
      <c r="O866">
        <v>7</v>
      </c>
      <c r="P866" t="s">
        <v>661</v>
      </c>
      <c r="Q866" t="s">
        <v>400</v>
      </c>
      <c r="R866">
        <v>7</v>
      </c>
      <c r="S866">
        <v>2.83</v>
      </c>
      <c r="T866">
        <v>355582.18800000002</v>
      </c>
      <c r="U866">
        <v>124263.06299999999</v>
      </c>
      <c r="V866">
        <v>28.614999999999998</v>
      </c>
      <c r="W866" t="s">
        <v>415</v>
      </c>
      <c r="X866">
        <v>7</v>
      </c>
      <c r="Y866">
        <v>0.5</v>
      </c>
    </row>
    <row r="867" spans="1:25" x14ac:dyDescent="0.45">
      <c r="A867">
        <v>57</v>
      </c>
      <c r="B867">
        <v>57</v>
      </c>
      <c r="C867" t="s">
        <v>638</v>
      </c>
      <c r="D867" t="s">
        <v>414</v>
      </c>
      <c r="H867">
        <v>3698.4110000000001</v>
      </c>
      <c r="N867">
        <v>8</v>
      </c>
      <c r="O867">
        <v>8</v>
      </c>
      <c r="P867" t="s">
        <v>662</v>
      </c>
      <c r="Q867" t="s">
        <v>414</v>
      </c>
      <c r="S867">
        <v>2.83</v>
      </c>
      <c r="T867">
        <v>36165.917999999998</v>
      </c>
      <c r="U867">
        <v>51073.741999999998</v>
      </c>
      <c r="V867">
        <v>7.0810000000000004</v>
      </c>
      <c r="W867" t="s">
        <v>403</v>
      </c>
      <c r="X867">
        <v>1.8</v>
      </c>
    </row>
    <row r="868" spans="1:25" x14ac:dyDescent="0.45">
      <c r="A868">
        <v>58</v>
      </c>
      <c r="B868">
        <v>58</v>
      </c>
      <c r="C868" t="s">
        <v>639</v>
      </c>
      <c r="D868" t="s">
        <v>414</v>
      </c>
      <c r="H868">
        <v>1777.5170000000001</v>
      </c>
      <c r="N868">
        <v>9</v>
      </c>
      <c r="O868">
        <v>9</v>
      </c>
      <c r="P868" t="s">
        <v>663</v>
      </c>
      <c r="Q868" t="s">
        <v>414</v>
      </c>
      <c r="S868">
        <v>2.83</v>
      </c>
      <c r="T868">
        <v>31029.578000000001</v>
      </c>
      <c r="U868">
        <v>41879.68</v>
      </c>
      <c r="V868">
        <v>7.4089999999999998</v>
      </c>
      <c r="W868" t="s">
        <v>415</v>
      </c>
      <c r="X868">
        <v>1.9</v>
      </c>
    </row>
    <row r="869" spans="1:25" x14ac:dyDescent="0.45">
      <c r="A869">
        <v>59</v>
      </c>
      <c r="B869">
        <v>59</v>
      </c>
      <c r="C869" t="s">
        <v>640</v>
      </c>
      <c r="D869" t="s">
        <v>414</v>
      </c>
      <c r="H869">
        <v>3510.886</v>
      </c>
      <c r="N869">
        <v>10</v>
      </c>
      <c r="O869">
        <v>10</v>
      </c>
      <c r="P869" t="s">
        <v>664</v>
      </c>
      <c r="Q869" t="s">
        <v>414</v>
      </c>
      <c r="S869">
        <v>2.83</v>
      </c>
      <c r="T869">
        <v>39513.233999999997</v>
      </c>
      <c r="U869">
        <v>40047.410000000003</v>
      </c>
      <c r="V869">
        <v>9.8670000000000009</v>
      </c>
      <c r="W869" t="s">
        <v>415</v>
      </c>
      <c r="X869">
        <v>2.5</v>
      </c>
    </row>
    <row r="870" spans="1:25" x14ac:dyDescent="0.45">
      <c r="A870">
        <v>60</v>
      </c>
      <c r="B870">
        <v>60</v>
      </c>
      <c r="C870" t="s">
        <v>641</v>
      </c>
      <c r="D870" t="s">
        <v>414</v>
      </c>
      <c r="H870">
        <v>2524.15</v>
      </c>
      <c r="N870">
        <v>11</v>
      </c>
      <c r="O870">
        <v>11</v>
      </c>
      <c r="P870" t="s">
        <v>665</v>
      </c>
      <c r="Q870" t="s">
        <v>414</v>
      </c>
      <c r="S870">
        <v>2.83</v>
      </c>
      <c r="T870">
        <v>27031.02</v>
      </c>
      <c r="U870">
        <v>37171.656000000003</v>
      </c>
      <c r="V870">
        <v>7.2720000000000002</v>
      </c>
      <c r="W870" t="s">
        <v>415</v>
      </c>
      <c r="X870">
        <v>1.8</v>
      </c>
    </row>
    <row r="871" spans="1:25" x14ac:dyDescent="0.45">
      <c r="A871">
        <v>61</v>
      </c>
      <c r="B871">
        <v>61</v>
      </c>
      <c r="C871" t="s">
        <v>642</v>
      </c>
      <c r="D871" t="s">
        <v>414</v>
      </c>
      <c r="H871">
        <v>2003.1120000000001</v>
      </c>
      <c r="N871">
        <v>12</v>
      </c>
      <c r="O871">
        <v>12</v>
      </c>
      <c r="P871" t="s">
        <v>666</v>
      </c>
      <c r="Q871" t="s">
        <v>414</v>
      </c>
      <c r="S871">
        <v>2.83</v>
      </c>
      <c r="T871">
        <v>28616.116999999998</v>
      </c>
      <c r="U871">
        <v>50504.671999999999</v>
      </c>
      <c r="V871">
        <v>5.6660000000000004</v>
      </c>
      <c r="W871" t="s">
        <v>415</v>
      </c>
      <c r="X871">
        <v>1.4</v>
      </c>
    </row>
    <row r="872" spans="1:25" x14ac:dyDescent="0.45">
      <c r="A872">
        <v>62</v>
      </c>
      <c r="B872">
        <v>62</v>
      </c>
      <c r="C872" t="s">
        <v>643</v>
      </c>
      <c r="D872" t="s">
        <v>414</v>
      </c>
      <c r="H872">
        <v>2535.6379999999999</v>
      </c>
      <c r="N872">
        <v>13</v>
      </c>
      <c r="O872">
        <v>13</v>
      </c>
      <c r="P872" t="s">
        <v>667</v>
      </c>
      <c r="Q872" t="s">
        <v>414</v>
      </c>
      <c r="S872">
        <v>2.83</v>
      </c>
      <c r="T872">
        <v>29020.607</v>
      </c>
      <c r="U872">
        <v>32754.655999999999</v>
      </c>
      <c r="V872">
        <v>8.86</v>
      </c>
      <c r="W872" t="s">
        <v>415</v>
      </c>
      <c r="X872">
        <v>2.2000000000000002</v>
      </c>
    </row>
    <row r="873" spans="1:25" x14ac:dyDescent="0.45">
      <c r="A873">
        <v>63</v>
      </c>
      <c r="B873">
        <v>63</v>
      </c>
      <c r="C873" t="s">
        <v>644</v>
      </c>
      <c r="D873" t="s">
        <v>414</v>
      </c>
      <c r="H873">
        <v>1866.739</v>
      </c>
      <c r="N873">
        <v>14</v>
      </c>
      <c r="O873">
        <v>14</v>
      </c>
      <c r="P873" t="s">
        <v>668</v>
      </c>
      <c r="Q873" t="s">
        <v>414</v>
      </c>
      <c r="S873">
        <v>2.83</v>
      </c>
      <c r="T873">
        <v>43148.421999999999</v>
      </c>
      <c r="U873">
        <v>48809.023000000001</v>
      </c>
      <c r="V873">
        <v>8.84</v>
      </c>
      <c r="W873" t="s">
        <v>415</v>
      </c>
      <c r="X873">
        <v>2.2000000000000002</v>
      </c>
    </row>
    <row r="874" spans="1:25" x14ac:dyDescent="0.45">
      <c r="A874">
        <v>64</v>
      </c>
      <c r="B874">
        <v>64</v>
      </c>
      <c r="C874" t="s">
        <v>645</v>
      </c>
      <c r="D874" t="s">
        <v>414</v>
      </c>
      <c r="H874">
        <v>2723.7260000000001</v>
      </c>
      <c r="N874">
        <v>15</v>
      </c>
      <c r="O874">
        <v>15</v>
      </c>
      <c r="P874" t="s">
        <v>669</v>
      </c>
      <c r="Q874" t="s">
        <v>414</v>
      </c>
      <c r="S874">
        <v>2.83</v>
      </c>
      <c r="T874">
        <v>27423.453000000001</v>
      </c>
      <c r="U874">
        <v>33390.375</v>
      </c>
      <c r="V874">
        <v>8.2129999999999992</v>
      </c>
      <c r="W874" t="s">
        <v>401</v>
      </c>
      <c r="X874">
        <v>2.1</v>
      </c>
    </row>
    <row r="875" spans="1:25" x14ac:dyDescent="0.45">
      <c r="A875">
        <v>65</v>
      </c>
      <c r="B875">
        <v>65</v>
      </c>
      <c r="C875" t="s">
        <v>646</v>
      </c>
      <c r="D875" t="s">
        <v>414</v>
      </c>
      <c r="H875">
        <v>1855.13</v>
      </c>
      <c r="N875">
        <v>16</v>
      </c>
      <c r="O875">
        <v>16</v>
      </c>
      <c r="P875" t="s">
        <v>670</v>
      </c>
      <c r="Q875" t="s">
        <v>414</v>
      </c>
      <c r="S875">
        <v>2.83</v>
      </c>
      <c r="T875">
        <v>16631.785</v>
      </c>
      <c r="U875">
        <v>21181.046999999999</v>
      </c>
      <c r="V875">
        <v>7.8520000000000003</v>
      </c>
      <c r="W875" t="s">
        <v>415</v>
      </c>
      <c r="X875">
        <v>2</v>
      </c>
    </row>
    <row r="876" spans="1:25" x14ac:dyDescent="0.45">
      <c r="A876">
        <v>66</v>
      </c>
      <c r="B876">
        <v>66</v>
      </c>
      <c r="C876" t="s">
        <v>647</v>
      </c>
      <c r="D876" t="s">
        <v>414</v>
      </c>
      <c r="H876">
        <v>3066.3739999999998</v>
      </c>
      <c r="N876">
        <v>17</v>
      </c>
      <c r="O876">
        <v>17</v>
      </c>
      <c r="P876" t="s">
        <v>671</v>
      </c>
      <c r="Q876" t="s">
        <v>414</v>
      </c>
      <c r="S876">
        <v>2.83</v>
      </c>
      <c r="T876">
        <v>18308.384999999998</v>
      </c>
      <c r="U876">
        <v>24707.303</v>
      </c>
      <c r="V876">
        <v>7.41</v>
      </c>
      <c r="W876" t="s">
        <v>415</v>
      </c>
      <c r="X876">
        <v>1.9</v>
      </c>
    </row>
    <row r="877" spans="1:25" x14ac:dyDescent="0.45">
      <c r="A877">
        <v>67</v>
      </c>
      <c r="B877">
        <v>67</v>
      </c>
      <c r="C877" t="s">
        <v>648</v>
      </c>
      <c r="D877" t="s">
        <v>414</v>
      </c>
      <c r="H877">
        <v>1782.3679999999999</v>
      </c>
      <c r="N877">
        <v>18</v>
      </c>
      <c r="O877">
        <v>18</v>
      </c>
      <c r="P877" t="s">
        <v>672</v>
      </c>
      <c r="Q877" t="s">
        <v>414</v>
      </c>
      <c r="S877">
        <v>2.83</v>
      </c>
      <c r="T877">
        <v>24107.796999999999</v>
      </c>
      <c r="U877">
        <v>31987.254000000001</v>
      </c>
      <c r="V877">
        <v>7.5369999999999999</v>
      </c>
      <c r="W877" t="s">
        <v>401</v>
      </c>
      <c r="X877">
        <v>1.9</v>
      </c>
    </row>
    <row r="878" spans="1:25" x14ac:dyDescent="0.45">
      <c r="A878">
        <v>68</v>
      </c>
      <c r="B878">
        <v>68</v>
      </c>
      <c r="C878" t="s">
        <v>649</v>
      </c>
      <c r="D878" t="s">
        <v>414</v>
      </c>
      <c r="H878">
        <v>2184.6170000000002</v>
      </c>
      <c r="N878">
        <v>19</v>
      </c>
      <c r="O878">
        <v>19</v>
      </c>
      <c r="P878" t="s">
        <v>673</v>
      </c>
      <c r="Q878" t="s">
        <v>414</v>
      </c>
      <c r="S878">
        <v>2.83</v>
      </c>
      <c r="T878">
        <v>20601.682000000001</v>
      </c>
      <c r="U878">
        <v>32429.245999999999</v>
      </c>
      <c r="V878">
        <v>6.3529999999999998</v>
      </c>
      <c r="W878" t="s">
        <v>403</v>
      </c>
      <c r="X878">
        <v>1.6</v>
      </c>
    </row>
    <row r="879" spans="1:25" x14ac:dyDescent="0.45">
      <c r="A879">
        <v>69</v>
      </c>
      <c r="B879">
        <v>69</v>
      </c>
      <c r="C879" t="s">
        <v>650</v>
      </c>
      <c r="D879" t="s">
        <v>414</v>
      </c>
      <c r="H879">
        <v>6028.5510000000004</v>
      </c>
      <c r="N879">
        <v>20</v>
      </c>
      <c r="O879">
        <v>20</v>
      </c>
      <c r="P879" t="s">
        <v>674</v>
      </c>
      <c r="Q879" t="s">
        <v>414</v>
      </c>
      <c r="S879">
        <v>2.83</v>
      </c>
      <c r="T879">
        <v>26392.275000000001</v>
      </c>
      <c r="U879">
        <v>28551.215</v>
      </c>
      <c r="V879">
        <v>9.2439999999999998</v>
      </c>
      <c r="W879" t="s">
        <v>415</v>
      </c>
      <c r="X879">
        <v>2.2999999999999998</v>
      </c>
    </row>
    <row r="880" spans="1:25" x14ac:dyDescent="0.45">
      <c r="N880">
        <v>21</v>
      </c>
      <c r="O880">
        <v>21</v>
      </c>
      <c r="P880" t="s">
        <v>675</v>
      </c>
      <c r="Q880" t="s">
        <v>414</v>
      </c>
      <c r="S880">
        <v>2.83</v>
      </c>
      <c r="T880">
        <v>41190.277000000002</v>
      </c>
      <c r="U880">
        <v>33726.175999999999</v>
      </c>
      <c r="V880">
        <v>12.212999999999999</v>
      </c>
      <c r="W880" t="s">
        <v>401</v>
      </c>
      <c r="X880">
        <v>3</v>
      </c>
    </row>
    <row r="881" spans="1:24" x14ac:dyDescent="0.45">
      <c r="A881" t="s">
        <v>498</v>
      </c>
      <c r="N881">
        <v>22</v>
      </c>
      <c r="O881">
        <v>22</v>
      </c>
      <c r="P881" t="s">
        <v>676</v>
      </c>
      <c r="Q881" t="s">
        <v>414</v>
      </c>
      <c r="S881">
        <v>2.83</v>
      </c>
      <c r="T881">
        <v>19101.400000000001</v>
      </c>
      <c r="U881">
        <v>28869.703000000001</v>
      </c>
      <c r="V881">
        <v>6.6159999999999997</v>
      </c>
      <c r="W881" t="s">
        <v>412</v>
      </c>
      <c r="X881">
        <v>1.7</v>
      </c>
    </row>
    <row r="882" spans="1:24" x14ac:dyDescent="0.45">
      <c r="N882">
        <v>23</v>
      </c>
      <c r="O882">
        <v>23</v>
      </c>
      <c r="P882" t="s">
        <v>677</v>
      </c>
      <c r="Q882" t="s">
        <v>414</v>
      </c>
      <c r="S882">
        <v>2.83</v>
      </c>
      <c r="T882">
        <v>24122.607</v>
      </c>
      <c r="U882">
        <v>28047.248</v>
      </c>
      <c r="V882">
        <v>8.6010000000000009</v>
      </c>
      <c r="W882" t="s">
        <v>415</v>
      </c>
      <c r="X882">
        <v>2.1</v>
      </c>
    </row>
    <row r="883" spans="1:24" x14ac:dyDescent="0.45">
      <c r="B883" t="s">
        <v>389</v>
      </c>
      <c r="C883" t="s">
        <v>123</v>
      </c>
      <c r="D883" t="s">
        <v>390</v>
      </c>
      <c r="E883" t="s">
        <v>391</v>
      </c>
      <c r="F883" t="s">
        <v>392</v>
      </c>
      <c r="G883" t="s">
        <v>393</v>
      </c>
      <c r="H883" t="s">
        <v>394</v>
      </c>
      <c r="I883" t="s">
        <v>395</v>
      </c>
      <c r="J883" t="s">
        <v>396</v>
      </c>
      <c r="K883" t="s">
        <v>397</v>
      </c>
      <c r="L883" t="s">
        <v>398</v>
      </c>
      <c r="N883">
        <v>24</v>
      </c>
      <c r="O883">
        <v>24</v>
      </c>
      <c r="P883" t="s">
        <v>678</v>
      </c>
      <c r="Q883" t="s">
        <v>414</v>
      </c>
      <c r="S883">
        <v>2.83</v>
      </c>
      <c r="T883">
        <v>13660.701999999999</v>
      </c>
      <c r="U883">
        <v>22555.134999999998</v>
      </c>
      <c r="V883">
        <v>6.0570000000000004</v>
      </c>
      <c r="W883" t="s">
        <v>415</v>
      </c>
      <c r="X883">
        <v>1.5</v>
      </c>
    </row>
    <row r="884" spans="1:24" x14ac:dyDescent="0.45">
      <c r="A884">
        <v>1</v>
      </c>
      <c r="B884">
        <v>1</v>
      </c>
      <c r="C884" t="s">
        <v>582</v>
      </c>
      <c r="D884" t="s">
        <v>400</v>
      </c>
      <c r="E884">
        <v>0.05</v>
      </c>
      <c r="F884">
        <v>2.83</v>
      </c>
      <c r="G884">
        <v>3594.8020000000001</v>
      </c>
      <c r="H884">
        <v>117411.164</v>
      </c>
      <c r="I884">
        <v>0.30599999999999999</v>
      </c>
      <c r="J884" t="s">
        <v>415</v>
      </c>
      <c r="K884">
        <v>0.1</v>
      </c>
      <c r="L884">
        <v>124.5</v>
      </c>
      <c r="N884">
        <v>25</v>
      </c>
      <c r="O884">
        <v>25</v>
      </c>
      <c r="P884" t="s">
        <v>679</v>
      </c>
      <c r="Q884" t="s">
        <v>414</v>
      </c>
      <c r="S884">
        <v>2.83</v>
      </c>
      <c r="T884">
        <v>14697.922</v>
      </c>
      <c r="U884">
        <v>20327.953000000001</v>
      </c>
      <c r="V884">
        <v>7.23</v>
      </c>
      <c r="W884" t="s">
        <v>401</v>
      </c>
      <c r="X884">
        <v>1.8</v>
      </c>
    </row>
    <row r="885" spans="1:24" x14ac:dyDescent="0.45">
      <c r="A885">
        <v>2</v>
      </c>
      <c r="B885">
        <v>2</v>
      </c>
      <c r="C885" t="s">
        <v>583</v>
      </c>
      <c r="D885" t="s">
        <v>400</v>
      </c>
      <c r="E885">
        <v>0.5</v>
      </c>
      <c r="F885">
        <v>2.83</v>
      </c>
      <c r="G885">
        <v>24432.41</v>
      </c>
      <c r="H885">
        <v>138628.109</v>
      </c>
      <c r="I885">
        <v>1.762</v>
      </c>
      <c r="J885" t="s">
        <v>415</v>
      </c>
      <c r="K885">
        <v>0.5</v>
      </c>
      <c r="L885">
        <v>-4.2</v>
      </c>
      <c r="N885">
        <v>26</v>
      </c>
      <c r="O885">
        <v>26</v>
      </c>
      <c r="P885" t="s">
        <v>680</v>
      </c>
      <c r="Q885" t="s">
        <v>414</v>
      </c>
      <c r="S885">
        <v>2.83</v>
      </c>
      <c r="T885">
        <v>27744.945</v>
      </c>
      <c r="U885">
        <v>21581.572</v>
      </c>
      <c r="V885">
        <v>12.856</v>
      </c>
      <c r="W885" t="s">
        <v>415</v>
      </c>
      <c r="X885">
        <v>3.2</v>
      </c>
    </row>
    <row r="886" spans="1:24" x14ac:dyDescent="0.45">
      <c r="A886">
        <v>3</v>
      </c>
      <c r="B886">
        <v>3</v>
      </c>
      <c r="C886" t="s">
        <v>584</v>
      </c>
      <c r="D886" t="s">
        <v>400</v>
      </c>
      <c r="E886">
        <v>1.25</v>
      </c>
      <c r="F886">
        <v>2.83</v>
      </c>
      <c r="G886">
        <v>54729.082000000002</v>
      </c>
      <c r="H886">
        <v>113435.594</v>
      </c>
      <c r="I886">
        <v>4.8250000000000002</v>
      </c>
      <c r="J886" t="s">
        <v>415</v>
      </c>
      <c r="K886">
        <v>1.3</v>
      </c>
      <c r="L886">
        <v>0</v>
      </c>
      <c r="N886">
        <v>27</v>
      </c>
      <c r="O886">
        <v>27</v>
      </c>
      <c r="P886" t="s">
        <v>681</v>
      </c>
      <c r="Q886" t="s">
        <v>414</v>
      </c>
      <c r="S886">
        <v>2.83</v>
      </c>
      <c r="T886">
        <v>26334.065999999999</v>
      </c>
      <c r="U886">
        <v>22295.338</v>
      </c>
      <c r="V886">
        <v>11.811</v>
      </c>
      <c r="W886" t="s">
        <v>403</v>
      </c>
      <c r="X886">
        <v>2.9</v>
      </c>
    </row>
    <row r="887" spans="1:24" x14ac:dyDescent="0.45">
      <c r="A887">
        <v>4</v>
      </c>
      <c r="B887">
        <v>4</v>
      </c>
      <c r="C887" t="s">
        <v>585</v>
      </c>
      <c r="D887" t="s">
        <v>400</v>
      </c>
      <c r="E887">
        <v>2.5</v>
      </c>
      <c r="F887">
        <v>2.83</v>
      </c>
      <c r="G887">
        <v>116019.29700000001</v>
      </c>
      <c r="H887">
        <v>119644.523</v>
      </c>
      <c r="I887">
        <v>9.6969999999999992</v>
      </c>
      <c r="J887" t="s">
        <v>415</v>
      </c>
      <c r="K887">
        <v>2.5</v>
      </c>
      <c r="L887">
        <v>-0.9</v>
      </c>
      <c r="N887">
        <v>28</v>
      </c>
      <c r="O887">
        <v>28</v>
      </c>
      <c r="P887" t="s">
        <v>682</v>
      </c>
      <c r="Q887" t="s">
        <v>414</v>
      </c>
      <c r="S887">
        <v>2.83</v>
      </c>
      <c r="T887">
        <v>24852.662</v>
      </c>
      <c r="U887">
        <v>25773.692999999999</v>
      </c>
      <c r="V887">
        <v>9.6430000000000007</v>
      </c>
      <c r="W887" t="s">
        <v>415</v>
      </c>
      <c r="X887">
        <v>2.4</v>
      </c>
    </row>
    <row r="888" spans="1:24" x14ac:dyDescent="0.45">
      <c r="A888">
        <v>5</v>
      </c>
      <c r="B888">
        <v>5</v>
      </c>
      <c r="C888" t="s">
        <v>586</v>
      </c>
      <c r="D888" t="s">
        <v>400</v>
      </c>
      <c r="E888">
        <v>3.5</v>
      </c>
      <c r="F888">
        <v>2.83</v>
      </c>
      <c r="G888">
        <v>180675.28099999999</v>
      </c>
      <c r="H888">
        <v>134062.71900000001</v>
      </c>
      <c r="I888">
        <v>13.477</v>
      </c>
      <c r="J888" t="s">
        <v>415</v>
      </c>
      <c r="K888">
        <v>3.4</v>
      </c>
      <c r="L888">
        <v>-2</v>
      </c>
      <c r="N888">
        <v>29</v>
      </c>
      <c r="O888">
        <v>29</v>
      </c>
      <c r="P888" t="s">
        <v>683</v>
      </c>
      <c r="Q888" t="s">
        <v>414</v>
      </c>
      <c r="S888">
        <v>2.83</v>
      </c>
      <c r="T888">
        <v>20359.157999999999</v>
      </c>
      <c r="U888">
        <v>30564.956999999999</v>
      </c>
      <c r="V888">
        <v>6.6609999999999996</v>
      </c>
      <c r="W888" t="s">
        <v>415</v>
      </c>
      <c r="X888">
        <v>1.7</v>
      </c>
    </row>
    <row r="889" spans="1:24" x14ac:dyDescent="0.45">
      <c r="A889">
        <v>6</v>
      </c>
      <c r="B889">
        <v>6</v>
      </c>
      <c r="C889" t="s">
        <v>587</v>
      </c>
      <c r="D889" t="s">
        <v>400</v>
      </c>
      <c r="E889">
        <v>5</v>
      </c>
      <c r="F889">
        <v>2.83</v>
      </c>
      <c r="G889">
        <v>269745.15600000002</v>
      </c>
      <c r="H889">
        <v>136304.92199999999</v>
      </c>
      <c r="I889">
        <v>19.79</v>
      </c>
      <c r="J889" t="s">
        <v>415</v>
      </c>
      <c r="K889">
        <v>5</v>
      </c>
      <c r="L889">
        <v>0.4</v>
      </c>
      <c r="N889">
        <v>30</v>
      </c>
      <c r="O889">
        <v>30</v>
      </c>
      <c r="P889" t="s">
        <v>684</v>
      </c>
      <c r="Q889" t="s">
        <v>414</v>
      </c>
      <c r="S889">
        <v>2.83</v>
      </c>
      <c r="T889">
        <v>21462.701000000001</v>
      </c>
      <c r="U889">
        <v>23776.713</v>
      </c>
      <c r="V889">
        <v>9.0269999999999992</v>
      </c>
      <c r="W889" t="s">
        <v>415</v>
      </c>
      <c r="X889">
        <v>2.2000000000000002</v>
      </c>
    </row>
    <row r="890" spans="1:24" x14ac:dyDescent="0.45">
      <c r="A890">
        <v>7</v>
      </c>
      <c r="B890">
        <v>7</v>
      </c>
      <c r="C890" t="s">
        <v>588</v>
      </c>
      <c r="D890" t="s">
        <v>400</v>
      </c>
      <c r="E890">
        <v>7</v>
      </c>
      <c r="F890">
        <v>2.83</v>
      </c>
      <c r="G890">
        <v>323590.625</v>
      </c>
      <c r="H890">
        <v>116567.164</v>
      </c>
      <c r="I890">
        <v>27.76</v>
      </c>
      <c r="J890" t="s">
        <v>415</v>
      </c>
      <c r="K890">
        <v>7</v>
      </c>
      <c r="L890">
        <v>0.4</v>
      </c>
      <c r="N890">
        <v>31</v>
      </c>
      <c r="O890">
        <v>31</v>
      </c>
      <c r="P890" t="s">
        <v>685</v>
      </c>
      <c r="Q890" t="s">
        <v>414</v>
      </c>
      <c r="S890">
        <v>2.83</v>
      </c>
      <c r="T890">
        <v>27490.396000000001</v>
      </c>
      <c r="U890">
        <v>33512.824000000001</v>
      </c>
      <c r="V890">
        <v>8.2029999999999994</v>
      </c>
      <c r="W890" t="s">
        <v>401</v>
      </c>
      <c r="X890">
        <v>2</v>
      </c>
    </row>
    <row r="891" spans="1:24" x14ac:dyDescent="0.45">
      <c r="A891">
        <v>8</v>
      </c>
      <c r="B891">
        <v>8</v>
      </c>
      <c r="C891" t="s">
        <v>589</v>
      </c>
      <c r="D891" t="s">
        <v>410</v>
      </c>
      <c r="F891">
        <v>2.83</v>
      </c>
      <c r="G891">
        <v>1057.52</v>
      </c>
      <c r="H891">
        <v>7470.3019999999997</v>
      </c>
      <c r="I891">
        <v>1.4159999999999999</v>
      </c>
      <c r="J891" t="s">
        <v>403</v>
      </c>
      <c r="K891">
        <v>0.4</v>
      </c>
      <c r="N891">
        <v>32</v>
      </c>
      <c r="O891">
        <v>32</v>
      </c>
      <c r="P891" t="s">
        <v>686</v>
      </c>
      <c r="Q891" t="s">
        <v>414</v>
      </c>
      <c r="S891">
        <v>2.83</v>
      </c>
      <c r="T891">
        <v>46914.32</v>
      </c>
      <c r="U891">
        <v>44923.574000000001</v>
      </c>
      <c r="V891">
        <v>10.443</v>
      </c>
      <c r="W891" t="s">
        <v>415</v>
      </c>
      <c r="X891">
        <v>2.6</v>
      </c>
    </row>
    <row r="892" spans="1:24" x14ac:dyDescent="0.45">
      <c r="A892">
        <v>9</v>
      </c>
      <c r="B892">
        <v>9</v>
      </c>
      <c r="C892" t="s">
        <v>590</v>
      </c>
      <c r="D892" t="s">
        <v>410</v>
      </c>
      <c r="F892">
        <v>2.82</v>
      </c>
      <c r="G892">
        <v>701.93499999999995</v>
      </c>
      <c r="H892">
        <v>2630.6849999999999</v>
      </c>
      <c r="I892">
        <v>2.6680000000000001</v>
      </c>
      <c r="J892" t="s">
        <v>401</v>
      </c>
      <c r="K892">
        <v>0.7</v>
      </c>
      <c r="N892">
        <v>33</v>
      </c>
      <c r="O892">
        <v>33</v>
      </c>
      <c r="P892" t="s">
        <v>687</v>
      </c>
      <c r="Q892" t="s">
        <v>414</v>
      </c>
      <c r="S892">
        <v>2.83</v>
      </c>
      <c r="T892">
        <v>45907.078000000001</v>
      </c>
      <c r="U892">
        <v>43166.093999999997</v>
      </c>
      <c r="V892">
        <v>10.635</v>
      </c>
      <c r="W892" t="s">
        <v>415</v>
      </c>
      <c r="X892">
        <v>2.6</v>
      </c>
    </row>
    <row r="893" spans="1:24" x14ac:dyDescent="0.45">
      <c r="A893">
        <v>10</v>
      </c>
      <c r="B893">
        <v>10</v>
      </c>
      <c r="C893" t="s">
        <v>591</v>
      </c>
      <c r="D893" t="s">
        <v>414</v>
      </c>
      <c r="F893">
        <v>2.83</v>
      </c>
      <c r="G893">
        <v>47552.968999999997</v>
      </c>
      <c r="H893">
        <v>60054.163999999997</v>
      </c>
      <c r="I893">
        <v>7.9180000000000001</v>
      </c>
      <c r="J893" t="s">
        <v>415</v>
      </c>
      <c r="K893">
        <v>2</v>
      </c>
      <c r="N893">
        <v>34</v>
      </c>
      <c r="O893">
        <v>34</v>
      </c>
      <c r="P893" t="s">
        <v>688</v>
      </c>
      <c r="Q893" t="s">
        <v>414</v>
      </c>
      <c r="S893">
        <v>2.83</v>
      </c>
      <c r="T893">
        <v>30412.348000000002</v>
      </c>
      <c r="U893">
        <v>40017.68</v>
      </c>
      <c r="V893">
        <v>7.6</v>
      </c>
      <c r="W893" t="s">
        <v>403</v>
      </c>
      <c r="X893">
        <v>1.9</v>
      </c>
    </row>
    <row r="894" spans="1:24" x14ac:dyDescent="0.45">
      <c r="A894">
        <v>11</v>
      </c>
      <c r="B894">
        <v>11</v>
      </c>
      <c r="C894" t="s">
        <v>592</v>
      </c>
      <c r="D894" t="s">
        <v>414</v>
      </c>
      <c r="F894">
        <v>2.83</v>
      </c>
      <c r="G894">
        <v>15496.849</v>
      </c>
      <c r="H894">
        <v>20785.078000000001</v>
      </c>
      <c r="I894">
        <v>7.4560000000000004</v>
      </c>
      <c r="J894" t="s">
        <v>401</v>
      </c>
      <c r="K894">
        <v>1.9</v>
      </c>
      <c r="N894">
        <v>35</v>
      </c>
      <c r="O894">
        <v>35</v>
      </c>
      <c r="P894" t="s">
        <v>689</v>
      </c>
      <c r="Q894" t="s">
        <v>414</v>
      </c>
      <c r="S894">
        <v>2.83</v>
      </c>
      <c r="T894">
        <v>32965.714999999997</v>
      </c>
      <c r="U894">
        <v>49998.508000000002</v>
      </c>
      <c r="V894">
        <v>6.593</v>
      </c>
      <c r="W894" t="s">
        <v>401</v>
      </c>
      <c r="X894">
        <v>1.7</v>
      </c>
    </row>
    <row r="895" spans="1:24" x14ac:dyDescent="0.45">
      <c r="A895">
        <v>12</v>
      </c>
      <c r="B895">
        <v>12</v>
      </c>
      <c r="C895" t="s">
        <v>593</v>
      </c>
      <c r="D895" t="s">
        <v>414</v>
      </c>
      <c r="F895">
        <v>2.83</v>
      </c>
      <c r="G895">
        <v>32196.221000000001</v>
      </c>
      <c r="H895">
        <v>35113.836000000003</v>
      </c>
      <c r="I895">
        <v>9.1690000000000005</v>
      </c>
      <c r="J895" t="s">
        <v>403</v>
      </c>
      <c r="K895">
        <v>2.2999999999999998</v>
      </c>
      <c r="N895">
        <v>36</v>
      </c>
      <c r="O895">
        <v>36</v>
      </c>
      <c r="P895" t="s">
        <v>690</v>
      </c>
      <c r="Q895" t="s">
        <v>414</v>
      </c>
      <c r="S895">
        <v>2.83</v>
      </c>
      <c r="T895">
        <v>38297.608999999997</v>
      </c>
      <c r="U895">
        <v>27517.188999999998</v>
      </c>
      <c r="V895">
        <v>13.917999999999999</v>
      </c>
      <c r="W895" t="s">
        <v>415</v>
      </c>
      <c r="X895">
        <v>3.4</v>
      </c>
    </row>
    <row r="896" spans="1:24" x14ac:dyDescent="0.45">
      <c r="A896">
        <v>13</v>
      </c>
      <c r="B896">
        <v>13</v>
      </c>
      <c r="C896" t="s">
        <v>594</v>
      </c>
      <c r="D896" t="s">
        <v>414</v>
      </c>
      <c r="F896">
        <v>2.83</v>
      </c>
      <c r="G896">
        <v>32810.648000000001</v>
      </c>
      <c r="H896">
        <v>63296.608999999997</v>
      </c>
      <c r="I896">
        <v>5.1840000000000002</v>
      </c>
      <c r="J896" t="s">
        <v>403</v>
      </c>
      <c r="K896">
        <v>1.3</v>
      </c>
      <c r="N896">
        <v>37</v>
      </c>
      <c r="O896">
        <v>37</v>
      </c>
      <c r="P896" t="s">
        <v>691</v>
      </c>
      <c r="Q896" t="s">
        <v>414</v>
      </c>
      <c r="S896">
        <v>2.83</v>
      </c>
      <c r="T896">
        <v>32307.092000000001</v>
      </c>
      <c r="U896">
        <v>22755.203000000001</v>
      </c>
      <c r="V896">
        <v>14.198</v>
      </c>
      <c r="W896" t="s">
        <v>415</v>
      </c>
      <c r="X896">
        <v>3.5</v>
      </c>
    </row>
    <row r="897" spans="1:24" x14ac:dyDescent="0.45">
      <c r="A897">
        <v>14</v>
      </c>
      <c r="B897">
        <v>14</v>
      </c>
      <c r="C897" t="s">
        <v>595</v>
      </c>
      <c r="D897" t="s">
        <v>414</v>
      </c>
      <c r="F897">
        <v>2.83</v>
      </c>
      <c r="G897">
        <v>75581.710999999996</v>
      </c>
      <c r="H897">
        <v>58263.476999999999</v>
      </c>
      <c r="I897">
        <v>12.972</v>
      </c>
      <c r="J897" t="s">
        <v>415</v>
      </c>
      <c r="K897">
        <v>3.3</v>
      </c>
      <c r="N897">
        <v>38</v>
      </c>
      <c r="O897">
        <v>38</v>
      </c>
      <c r="P897" t="s">
        <v>692</v>
      </c>
      <c r="Q897" t="s">
        <v>414</v>
      </c>
      <c r="S897">
        <v>2.83</v>
      </c>
      <c r="T897">
        <v>32063.611000000001</v>
      </c>
      <c r="U897">
        <v>30332.245999999999</v>
      </c>
      <c r="V897">
        <v>10.571</v>
      </c>
      <c r="W897" t="s">
        <v>401</v>
      </c>
      <c r="X897">
        <v>2.6</v>
      </c>
    </row>
    <row r="898" spans="1:24" x14ac:dyDescent="0.45">
      <c r="A898">
        <v>15</v>
      </c>
      <c r="B898">
        <v>15</v>
      </c>
      <c r="C898" t="s">
        <v>596</v>
      </c>
      <c r="D898" t="s">
        <v>414</v>
      </c>
      <c r="F898">
        <v>2.83</v>
      </c>
      <c r="G898">
        <v>64397.578000000001</v>
      </c>
      <c r="H898">
        <v>81676.679999999993</v>
      </c>
      <c r="I898">
        <v>7.8840000000000003</v>
      </c>
      <c r="J898" t="s">
        <v>415</v>
      </c>
      <c r="K898">
        <v>2</v>
      </c>
      <c r="N898">
        <v>39</v>
      </c>
      <c r="O898">
        <v>39</v>
      </c>
      <c r="P898" t="s">
        <v>693</v>
      </c>
      <c r="Q898" t="s">
        <v>414</v>
      </c>
      <c r="S898">
        <v>2.83</v>
      </c>
      <c r="T898">
        <v>37361.370999999999</v>
      </c>
      <c r="U898">
        <v>31883.062999999998</v>
      </c>
      <c r="V898">
        <v>11.718</v>
      </c>
      <c r="W898" t="s">
        <v>415</v>
      </c>
      <c r="X898">
        <v>2.9</v>
      </c>
    </row>
    <row r="899" spans="1:24" x14ac:dyDescent="0.45">
      <c r="A899">
        <v>16</v>
      </c>
      <c r="B899">
        <v>16</v>
      </c>
      <c r="C899" t="s">
        <v>597</v>
      </c>
      <c r="D899" t="s">
        <v>414</v>
      </c>
      <c r="F899">
        <v>2.83</v>
      </c>
      <c r="G899">
        <v>33826.078000000001</v>
      </c>
      <c r="H899">
        <v>92352.101999999999</v>
      </c>
      <c r="I899">
        <v>3.6629999999999998</v>
      </c>
      <c r="J899" t="s">
        <v>403</v>
      </c>
      <c r="K899">
        <v>1</v>
      </c>
      <c r="N899">
        <v>40</v>
      </c>
      <c r="O899">
        <v>40</v>
      </c>
      <c r="P899" t="s">
        <v>694</v>
      </c>
      <c r="Q899" t="s">
        <v>414</v>
      </c>
      <c r="S899">
        <v>2.83</v>
      </c>
      <c r="T899">
        <v>86638.491999999998</v>
      </c>
      <c r="U899">
        <v>62225.445</v>
      </c>
      <c r="V899">
        <v>13.923</v>
      </c>
      <c r="W899" t="s">
        <v>415</v>
      </c>
      <c r="X899">
        <v>3.4</v>
      </c>
    </row>
    <row r="900" spans="1:24" x14ac:dyDescent="0.45">
      <c r="A900">
        <v>17</v>
      </c>
      <c r="B900">
        <v>17</v>
      </c>
      <c r="C900" t="s">
        <v>598</v>
      </c>
      <c r="D900" t="s">
        <v>414</v>
      </c>
      <c r="F900">
        <v>2.83</v>
      </c>
      <c r="G900">
        <v>36250.586000000003</v>
      </c>
      <c r="H900">
        <v>88977.804999999993</v>
      </c>
      <c r="I900">
        <v>4.0739999999999998</v>
      </c>
      <c r="J900" t="s">
        <v>401</v>
      </c>
      <c r="K900">
        <v>1.1000000000000001</v>
      </c>
      <c r="N900">
        <v>41</v>
      </c>
      <c r="O900">
        <v>41</v>
      </c>
      <c r="P900" t="s">
        <v>695</v>
      </c>
      <c r="Q900" t="s">
        <v>414</v>
      </c>
      <c r="S900">
        <v>2.83</v>
      </c>
      <c r="T900">
        <v>74421.320000000007</v>
      </c>
      <c r="U900">
        <v>65159.101999999999</v>
      </c>
      <c r="V900">
        <v>11.420999999999999</v>
      </c>
      <c r="W900" t="s">
        <v>415</v>
      </c>
      <c r="X900">
        <v>2.8</v>
      </c>
    </row>
    <row r="901" spans="1:24" x14ac:dyDescent="0.45">
      <c r="A901">
        <v>18</v>
      </c>
      <c r="B901">
        <v>18</v>
      </c>
      <c r="C901" t="s">
        <v>599</v>
      </c>
      <c r="D901" t="s">
        <v>414</v>
      </c>
      <c r="F901">
        <v>2.83</v>
      </c>
      <c r="G901">
        <v>26345.164000000001</v>
      </c>
      <c r="H901">
        <v>26907.398000000001</v>
      </c>
      <c r="I901">
        <v>9.7910000000000004</v>
      </c>
      <c r="J901" t="s">
        <v>415</v>
      </c>
      <c r="K901">
        <v>2.5</v>
      </c>
      <c r="N901">
        <v>42</v>
      </c>
      <c r="O901">
        <v>42</v>
      </c>
      <c r="P901" t="s">
        <v>696</v>
      </c>
      <c r="Q901" t="s">
        <v>414</v>
      </c>
      <c r="S901">
        <v>2.83</v>
      </c>
      <c r="T901">
        <v>49741.707000000002</v>
      </c>
      <c r="U901">
        <v>62551.48</v>
      </c>
      <c r="V901">
        <v>7.952</v>
      </c>
      <c r="W901" t="s">
        <v>415</v>
      </c>
      <c r="X901">
        <v>2</v>
      </c>
    </row>
    <row r="902" spans="1:24" x14ac:dyDescent="0.45">
      <c r="A902">
        <v>19</v>
      </c>
      <c r="B902">
        <v>19</v>
      </c>
      <c r="C902" t="s">
        <v>600</v>
      </c>
      <c r="D902" t="s">
        <v>414</v>
      </c>
      <c r="F902">
        <v>2.83</v>
      </c>
      <c r="G902">
        <v>28942.84</v>
      </c>
      <c r="H902">
        <v>33219.324000000001</v>
      </c>
      <c r="I902">
        <v>8.7129999999999992</v>
      </c>
      <c r="J902" t="s">
        <v>415</v>
      </c>
      <c r="K902">
        <v>2.2000000000000002</v>
      </c>
      <c r="N902">
        <v>43</v>
      </c>
      <c r="O902">
        <v>43</v>
      </c>
      <c r="P902" t="s">
        <v>697</v>
      </c>
      <c r="Q902" t="s">
        <v>414</v>
      </c>
      <c r="S902">
        <v>2.83</v>
      </c>
      <c r="T902">
        <v>61843.565999999999</v>
      </c>
      <c r="U902">
        <v>69802.491999999998</v>
      </c>
      <c r="V902">
        <v>8.86</v>
      </c>
      <c r="W902" t="s">
        <v>412</v>
      </c>
      <c r="X902">
        <v>2.2000000000000002</v>
      </c>
    </row>
    <row r="903" spans="1:24" x14ac:dyDescent="0.45">
      <c r="A903">
        <v>20</v>
      </c>
      <c r="B903">
        <v>20</v>
      </c>
      <c r="C903" t="s">
        <v>601</v>
      </c>
      <c r="D903" t="s">
        <v>414</v>
      </c>
      <c r="F903">
        <v>2.83</v>
      </c>
      <c r="G903">
        <v>13385.188</v>
      </c>
      <c r="H903">
        <v>21503.061000000002</v>
      </c>
      <c r="I903">
        <v>6.2249999999999996</v>
      </c>
      <c r="J903" t="s">
        <v>403</v>
      </c>
      <c r="K903">
        <v>1.6</v>
      </c>
      <c r="N903">
        <v>44</v>
      </c>
      <c r="O903">
        <v>44</v>
      </c>
      <c r="P903" t="s">
        <v>698</v>
      </c>
      <c r="Q903" t="s">
        <v>414</v>
      </c>
      <c r="S903">
        <v>2.83</v>
      </c>
      <c r="T903">
        <v>49435.957000000002</v>
      </c>
      <c r="U903">
        <v>62200.565999999999</v>
      </c>
      <c r="V903">
        <v>7.9480000000000004</v>
      </c>
      <c r="W903" t="s">
        <v>401</v>
      </c>
      <c r="X903">
        <v>2</v>
      </c>
    </row>
    <row r="904" spans="1:24" x14ac:dyDescent="0.45">
      <c r="A904">
        <v>21</v>
      </c>
      <c r="B904">
        <v>21</v>
      </c>
      <c r="C904" t="s">
        <v>602</v>
      </c>
      <c r="D904" t="s">
        <v>414</v>
      </c>
      <c r="F904">
        <v>2.83</v>
      </c>
      <c r="G904">
        <v>13672.503000000001</v>
      </c>
      <c r="H904">
        <v>36740.586000000003</v>
      </c>
      <c r="I904">
        <v>3.7210000000000001</v>
      </c>
      <c r="J904" t="s">
        <v>415</v>
      </c>
      <c r="K904">
        <v>1</v>
      </c>
      <c r="N904">
        <v>45</v>
      </c>
      <c r="O904">
        <v>45</v>
      </c>
      <c r="P904" t="s">
        <v>699</v>
      </c>
      <c r="Q904" t="s">
        <v>414</v>
      </c>
      <c r="S904">
        <v>2.83</v>
      </c>
      <c r="T904">
        <v>30406.221000000001</v>
      </c>
      <c r="U904">
        <v>38354.843999999997</v>
      </c>
      <c r="V904">
        <v>7.9279999999999999</v>
      </c>
      <c r="W904" t="s">
        <v>401</v>
      </c>
      <c r="X904">
        <v>2</v>
      </c>
    </row>
    <row r="905" spans="1:24" x14ac:dyDescent="0.45">
      <c r="A905">
        <v>22</v>
      </c>
      <c r="B905">
        <v>22</v>
      </c>
      <c r="C905" t="s">
        <v>603</v>
      </c>
      <c r="D905" t="s">
        <v>414</v>
      </c>
      <c r="F905">
        <v>2.83</v>
      </c>
      <c r="G905">
        <v>76206.539000000004</v>
      </c>
      <c r="H905">
        <v>81595.695000000007</v>
      </c>
      <c r="I905">
        <v>9.34</v>
      </c>
      <c r="J905" t="s">
        <v>415</v>
      </c>
      <c r="K905">
        <v>2.4</v>
      </c>
      <c r="N905">
        <v>46</v>
      </c>
      <c r="O905">
        <v>46</v>
      </c>
      <c r="P905" t="s">
        <v>700</v>
      </c>
      <c r="Q905" t="s">
        <v>414</v>
      </c>
      <c r="S905">
        <v>2.83</v>
      </c>
      <c r="T905">
        <v>68938.327999999994</v>
      </c>
      <c r="U905">
        <v>64870.605000000003</v>
      </c>
      <c r="V905">
        <v>10.627000000000001</v>
      </c>
      <c r="W905" t="s">
        <v>415</v>
      </c>
      <c r="X905">
        <v>2.6</v>
      </c>
    </row>
    <row r="906" spans="1:24" x14ac:dyDescent="0.45">
      <c r="A906">
        <v>23</v>
      </c>
      <c r="B906">
        <v>23</v>
      </c>
      <c r="C906" t="s">
        <v>604</v>
      </c>
      <c r="D906" t="s">
        <v>414</v>
      </c>
      <c r="F906">
        <v>2.83</v>
      </c>
      <c r="G906">
        <v>78608.835999999996</v>
      </c>
      <c r="H906">
        <v>80605.625</v>
      </c>
      <c r="I906">
        <v>9.7520000000000007</v>
      </c>
      <c r="J906" t="s">
        <v>415</v>
      </c>
      <c r="K906">
        <v>2.5</v>
      </c>
      <c r="N906">
        <v>47</v>
      </c>
      <c r="O906">
        <v>47</v>
      </c>
      <c r="P906" t="s">
        <v>701</v>
      </c>
      <c r="Q906" t="s">
        <v>414</v>
      </c>
      <c r="S906">
        <v>2.83</v>
      </c>
      <c r="T906">
        <v>66821.641000000003</v>
      </c>
      <c r="U906">
        <v>63617.777000000002</v>
      </c>
      <c r="V906">
        <v>10.504</v>
      </c>
      <c r="W906" t="s">
        <v>415</v>
      </c>
      <c r="X906">
        <v>2.6</v>
      </c>
    </row>
    <row r="907" spans="1:24" x14ac:dyDescent="0.45">
      <c r="A907">
        <v>24</v>
      </c>
      <c r="B907">
        <v>24</v>
      </c>
      <c r="C907" t="s">
        <v>605</v>
      </c>
      <c r="D907" t="s">
        <v>414</v>
      </c>
      <c r="F907">
        <v>2.83</v>
      </c>
      <c r="G907">
        <v>38022.277000000002</v>
      </c>
      <c r="H907">
        <v>50490.616999999998</v>
      </c>
      <c r="I907">
        <v>7.5309999999999997</v>
      </c>
      <c r="J907" t="s">
        <v>415</v>
      </c>
      <c r="K907">
        <v>1.9</v>
      </c>
      <c r="N907">
        <v>48</v>
      </c>
      <c r="O907">
        <v>48</v>
      </c>
      <c r="P907" t="s">
        <v>702</v>
      </c>
      <c r="Q907" t="s">
        <v>414</v>
      </c>
      <c r="S907">
        <v>2.83</v>
      </c>
      <c r="T907">
        <v>84892.148000000001</v>
      </c>
      <c r="U907">
        <v>69169.375</v>
      </c>
      <c r="V907">
        <v>12.273</v>
      </c>
      <c r="W907" t="s">
        <v>415</v>
      </c>
      <c r="X907">
        <v>3</v>
      </c>
    </row>
    <row r="908" spans="1:24" x14ac:dyDescent="0.45">
      <c r="A908">
        <v>25</v>
      </c>
      <c r="B908">
        <v>25</v>
      </c>
      <c r="C908" t="s">
        <v>606</v>
      </c>
      <c r="D908" t="s">
        <v>414</v>
      </c>
      <c r="F908">
        <v>2.83</v>
      </c>
      <c r="G908">
        <v>44794.383000000002</v>
      </c>
      <c r="H908">
        <v>56918.065999999999</v>
      </c>
      <c r="I908">
        <v>7.87</v>
      </c>
      <c r="J908" t="s">
        <v>401</v>
      </c>
      <c r="K908">
        <v>2</v>
      </c>
      <c r="N908">
        <v>49</v>
      </c>
      <c r="O908">
        <v>49</v>
      </c>
      <c r="P908" t="s">
        <v>703</v>
      </c>
      <c r="Q908" t="s">
        <v>414</v>
      </c>
      <c r="S908">
        <v>2.83</v>
      </c>
      <c r="T908">
        <v>74009.875</v>
      </c>
      <c r="U908">
        <v>67523.733999999997</v>
      </c>
      <c r="V908">
        <v>10.961</v>
      </c>
      <c r="W908" t="s">
        <v>415</v>
      </c>
      <c r="X908">
        <v>2.7</v>
      </c>
    </row>
    <row r="909" spans="1:24" x14ac:dyDescent="0.45">
      <c r="A909">
        <v>26</v>
      </c>
      <c r="B909">
        <v>26</v>
      </c>
      <c r="C909" t="s">
        <v>607</v>
      </c>
      <c r="D909" t="s">
        <v>414</v>
      </c>
      <c r="F909">
        <v>2.83</v>
      </c>
      <c r="G909">
        <v>49787.226999999999</v>
      </c>
      <c r="H909">
        <v>41859.836000000003</v>
      </c>
      <c r="I909">
        <v>11.894</v>
      </c>
      <c r="J909" t="s">
        <v>415</v>
      </c>
      <c r="K909">
        <v>3</v>
      </c>
      <c r="N909">
        <v>50</v>
      </c>
      <c r="O909">
        <v>50</v>
      </c>
      <c r="P909" t="s">
        <v>704</v>
      </c>
      <c r="Q909" t="s">
        <v>414</v>
      </c>
      <c r="S909">
        <v>2.83</v>
      </c>
      <c r="T909">
        <v>72944.766000000003</v>
      </c>
      <c r="U909">
        <v>61063.315999999999</v>
      </c>
      <c r="V909">
        <v>11.946</v>
      </c>
      <c r="W909" t="s">
        <v>415</v>
      </c>
      <c r="X909">
        <v>3</v>
      </c>
    </row>
    <row r="910" spans="1:24" x14ac:dyDescent="0.45">
      <c r="A910">
        <v>27</v>
      </c>
      <c r="B910">
        <v>27</v>
      </c>
      <c r="C910" t="s">
        <v>608</v>
      </c>
      <c r="D910" t="s">
        <v>414</v>
      </c>
      <c r="F910">
        <v>2.83</v>
      </c>
      <c r="G910">
        <v>49872.542999999998</v>
      </c>
      <c r="H910">
        <v>81430.202999999994</v>
      </c>
      <c r="I910">
        <v>6.125</v>
      </c>
      <c r="J910" t="s">
        <v>415</v>
      </c>
      <c r="K910">
        <v>1.6</v>
      </c>
      <c r="N910">
        <v>51</v>
      </c>
      <c r="O910">
        <v>51</v>
      </c>
      <c r="P910" t="s">
        <v>705</v>
      </c>
      <c r="Q910" t="s">
        <v>414</v>
      </c>
      <c r="S910">
        <v>2.83</v>
      </c>
      <c r="T910">
        <v>22117.4</v>
      </c>
      <c r="U910">
        <v>19284.455000000002</v>
      </c>
      <c r="V910">
        <v>11.468999999999999</v>
      </c>
      <c r="W910" t="s">
        <v>415</v>
      </c>
      <c r="X910">
        <v>2.8</v>
      </c>
    </row>
    <row r="911" spans="1:24" x14ac:dyDescent="0.45">
      <c r="A911">
        <v>28</v>
      </c>
      <c r="B911">
        <v>28</v>
      </c>
      <c r="C911" t="s">
        <v>609</v>
      </c>
      <c r="D911" t="s">
        <v>414</v>
      </c>
      <c r="F911">
        <v>2.83</v>
      </c>
      <c r="G911">
        <v>39995.862999999998</v>
      </c>
      <c r="H911">
        <v>56940.358999999997</v>
      </c>
      <c r="I911">
        <v>7.024</v>
      </c>
      <c r="J911" t="s">
        <v>415</v>
      </c>
      <c r="K911">
        <v>1.8</v>
      </c>
      <c r="N911">
        <v>52</v>
      </c>
      <c r="O911">
        <v>52</v>
      </c>
      <c r="P911" t="s">
        <v>706</v>
      </c>
      <c r="Q911" t="s">
        <v>414</v>
      </c>
      <c r="S911">
        <v>2.83</v>
      </c>
      <c r="T911">
        <v>58671.870999999999</v>
      </c>
      <c r="U911">
        <v>58839.02</v>
      </c>
      <c r="V911">
        <v>9.9719999999999995</v>
      </c>
      <c r="W911" t="s">
        <v>415</v>
      </c>
      <c r="X911">
        <v>2.5</v>
      </c>
    </row>
    <row r="912" spans="1:24" x14ac:dyDescent="0.45">
      <c r="A912">
        <v>29</v>
      </c>
      <c r="B912">
        <v>29</v>
      </c>
      <c r="C912" t="s">
        <v>610</v>
      </c>
      <c r="D912" t="s">
        <v>414</v>
      </c>
      <c r="F912">
        <v>2.83</v>
      </c>
      <c r="G912">
        <v>32005.636999999999</v>
      </c>
      <c r="H912">
        <v>41702.207000000002</v>
      </c>
      <c r="I912">
        <v>7.6749999999999998</v>
      </c>
      <c r="J912" t="s">
        <v>415</v>
      </c>
      <c r="K912">
        <v>2</v>
      </c>
      <c r="N912">
        <v>53</v>
      </c>
      <c r="O912">
        <v>53</v>
      </c>
      <c r="P912" t="s">
        <v>707</v>
      </c>
      <c r="Q912" t="s">
        <v>414</v>
      </c>
      <c r="S912">
        <v>2.83</v>
      </c>
      <c r="T912">
        <v>50575.688000000002</v>
      </c>
      <c r="U912">
        <v>63788.012000000002</v>
      </c>
      <c r="V912">
        <v>7.9290000000000003</v>
      </c>
      <c r="W912" t="s">
        <v>415</v>
      </c>
      <c r="X912">
        <v>2</v>
      </c>
    </row>
    <row r="913" spans="1:24" x14ac:dyDescent="0.45">
      <c r="A913">
        <v>30</v>
      </c>
      <c r="B913">
        <v>30</v>
      </c>
      <c r="C913" t="s">
        <v>611</v>
      </c>
      <c r="D913" t="s">
        <v>414</v>
      </c>
      <c r="F913">
        <v>2.83</v>
      </c>
      <c r="G913">
        <v>36888.641000000003</v>
      </c>
      <c r="H913">
        <v>42583.41</v>
      </c>
      <c r="I913">
        <v>8.6630000000000003</v>
      </c>
      <c r="J913" t="s">
        <v>401</v>
      </c>
      <c r="K913">
        <v>2.2000000000000002</v>
      </c>
      <c r="N913">
        <v>54</v>
      </c>
      <c r="O913">
        <v>54</v>
      </c>
      <c r="P913" t="s">
        <v>708</v>
      </c>
      <c r="Q913" t="s">
        <v>414</v>
      </c>
      <c r="S913">
        <v>2.83</v>
      </c>
      <c r="T913">
        <v>52645.788999999997</v>
      </c>
      <c r="U913">
        <v>59934.800999999999</v>
      </c>
      <c r="V913">
        <v>8.7840000000000007</v>
      </c>
      <c r="W913" t="s">
        <v>412</v>
      </c>
      <c r="X913">
        <v>2.2000000000000002</v>
      </c>
    </row>
    <row r="914" spans="1:24" x14ac:dyDescent="0.45">
      <c r="A914">
        <v>31</v>
      </c>
      <c r="B914">
        <v>31</v>
      </c>
      <c r="C914" t="s">
        <v>612</v>
      </c>
      <c r="D914" t="s">
        <v>414</v>
      </c>
      <c r="F914">
        <v>2.83</v>
      </c>
      <c r="G914">
        <v>31907.328000000001</v>
      </c>
      <c r="H914">
        <v>45260.141000000003</v>
      </c>
      <c r="I914">
        <v>7.05</v>
      </c>
      <c r="J914" t="s">
        <v>401</v>
      </c>
      <c r="K914">
        <v>1.8</v>
      </c>
      <c r="N914">
        <v>55</v>
      </c>
      <c r="O914">
        <v>55</v>
      </c>
      <c r="P914" t="s">
        <v>709</v>
      </c>
      <c r="Q914" t="s">
        <v>414</v>
      </c>
      <c r="S914">
        <v>2.83</v>
      </c>
      <c r="T914">
        <v>70747.445000000007</v>
      </c>
      <c r="U914">
        <v>61284.472999999998</v>
      </c>
      <c r="V914">
        <v>11.544</v>
      </c>
      <c r="W914" t="s">
        <v>415</v>
      </c>
      <c r="X914">
        <v>2.9</v>
      </c>
    </row>
    <row r="915" spans="1:24" x14ac:dyDescent="0.45">
      <c r="A915">
        <v>32</v>
      </c>
      <c r="B915">
        <v>32</v>
      </c>
      <c r="C915" t="s">
        <v>613</v>
      </c>
      <c r="D915" t="s">
        <v>414</v>
      </c>
      <c r="F915">
        <v>2.83</v>
      </c>
      <c r="G915">
        <v>34820.851999999999</v>
      </c>
      <c r="H915">
        <v>39332.086000000003</v>
      </c>
      <c r="I915">
        <v>8.8529999999999998</v>
      </c>
      <c r="J915" t="s">
        <v>401</v>
      </c>
      <c r="K915">
        <v>2.2999999999999998</v>
      </c>
      <c r="N915">
        <v>56</v>
      </c>
      <c r="O915">
        <v>56</v>
      </c>
      <c r="P915" t="s">
        <v>710</v>
      </c>
      <c r="Q915" t="s">
        <v>414</v>
      </c>
      <c r="S915">
        <v>2.83</v>
      </c>
      <c r="T915">
        <v>68492.429999999993</v>
      </c>
      <c r="U915">
        <v>71664.577999999994</v>
      </c>
      <c r="V915">
        <v>9.5570000000000004</v>
      </c>
      <c r="W915" t="s">
        <v>415</v>
      </c>
      <c r="X915">
        <v>2.4</v>
      </c>
    </row>
    <row r="916" spans="1:24" x14ac:dyDescent="0.45">
      <c r="A916">
        <v>33</v>
      </c>
      <c r="B916">
        <v>33</v>
      </c>
      <c r="C916" t="s">
        <v>614</v>
      </c>
      <c r="D916" t="s">
        <v>414</v>
      </c>
      <c r="F916">
        <v>2.83</v>
      </c>
      <c r="G916">
        <v>28744.662</v>
      </c>
      <c r="H916">
        <v>32713.895</v>
      </c>
      <c r="I916">
        <v>8.7870000000000008</v>
      </c>
      <c r="J916" t="s">
        <v>415</v>
      </c>
      <c r="K916">
        <v>2.2000000000000002</v>
      </c>
      <c r="N916">
        <v>57</v>
      </c>
      <c r="O916">
        <v>57</v>
      </c>
      <c r="P916" t="s">
        <v>711</v>
      </c>
      <c r="Q916" t="s">
        <v>414</v>
      </c>
      <c r="S916">
        <v>2.83</v>
      </c>
      <c r="T916">
        <v>74410.781000000003</v>
      </c>
      <c r="U916">
        <v>77849.312999999995</v>
      </c>
      <c r="V916">
        <v>9.5579999999999998</v>
      </c>
      <c r="W916" t="s">
        <v>403</v>
      </c>
      <c r="X916">
        <v>2.4</v>
      </c>
    </row>
    <row r="917" spans="1:24" x14ac:dyDescent="0.45">
      <c r="A917">
        <v>34</v>
      </c>
      <c r="B917">
        <v>34</v>
      </c>
      <c r="C917" t="s">
        <v>615</v>
      </c>
      <c r="D917" t="s">
        <v>414</v>
      </c>
      <c r="F917">
        <v>2.83</v>
      </c>
      <c r="G917">
        <v>36599.468999999997</v>
      </c>
      <c r="H917">
        <v>37961.241999999998</v>
      </c>
      <c r="I917">
        <v>9.641</v>
      </c>
      <c r="J917" t="s">
        <v>403</v>
      </c>
      <c r="K917">
        <v>2.5</v>
      </c>
      <c r="N917">
        <v>58</v>
      </c>
      <c r="O917">
        <v>58</v>
      </c>
      <c r="P917" t="s">
        <v>712</v>
      </c>
      <c r="Q917" t="s">
        <v>414</v>
      </c>
      <c r="S917">
        <v>2.83</v>
      </c>
      <c r="T917">
        <v>35593.625</v>
      </c>
      <c r="U917">
        <v>78922.476999999999</v>
      </c>
      <c r="V917">
        <v>4.51</v>
      </c>
      <c r="W917" t="s">
        <v>403</v>
      </c>
      <c r="X917">
        <v>1.1000000000000001</v>
      </c>
    </row>
    <row r="918" spans="1:24" x14ac:dyDescent="0.45">
      <c r="A918">
        <v>35</v>
      </c>
      <c r="B918">
        <v>35</v>
      </c>
      <c r="C918" t="s">
        <v>616</v>
      </c>
      <c r="D918" t="s">
        <v>414</v>
      </c>
      <c r="F918">
        <v>2.83</v>
      </c>
      <c r="G918">
        <v>26075.671999999999</v>
      </c>
      <c r="H918">
        <v>27034.145</v>
      </c>
      <c r="I918">
        <v>9.6449999999999996</v>
      </c>
      <c r="J918" t="s">
        <v>412</v>
      </c>
      <c r="K918">
        <v>2.5</v>
      </c>
      <c r="N918">
        <v>59</v>
      </c>
      <c r="O918">
        <v>59</v>
      </c>
      <c r="P918" t="s">
        <v>713</v>
      </c>
      <c r="Q918" t="s">
        <v>414</v>
      </c>
      <c r="S918">
        <v>2.83</v>
      </c>
      <c r="T918">
        <v>21843.513999999999</v>
      </c>
      <c r="U918">
        <v>37659.269999999997</v>
      </c>
      <c r="V918">
        <v>5.8</v>
      </c>
      <c r="W918" t="s">
        <v>415</v>
      </c>
      <c r="X918">
        <v>1.5</v>
      </c>
    </row>
    <row r="919" spans="1:24" x14ac:dyDescent="0.45">
      <c r="A919">
        <v>36</v>
      </c>
      <c r="B919">
        <v>36</v>
      </c>
      <c r="C919" t="s">
        <v>617</v>
      </c>
      <c r="D919" t="s">
        <v>414</v>
      </c>
      <c r="F919">
        <v>2.83</v>
      </c>
      <c r="G919">
        <v>21112.219000000001</v>
      </c>
      <c r="H919">
        <v>43597.648000000001</v>
      </c>
      <c r="I919">
        <v>4.843</v>
      </c>
      <c r="J919" t="s">
        <v>415</v>
      </c>
      <c r="K919">
        <v>1.3</v>
      </c>
      <c r="N919">
        <v>60</v>
      </c>
      <c r="O919">
        <v>60</v>
      </c>
      <c r="P919" t="s">
        <v>714</v>
      </c>
      <c r="Q919" t="s">
        <v>414</v>
      </c>
      <c r="S919">
        <v>2.83</v>
      </c>
      <c r="T919">
        <v>26126.794999999998</v>
      </c>
      <c r="U919">
        <v>45342.987999999998</v>
      </c>
      <c r="V919">
        <v>5.7619999999999996</v>
      </c>
      <c r="W919" t="s">
        <v>403</v>
      </c>
      <c r="X919">
        <v>1.5</v>
      </c>
    </row>
    <row r="920" spans="1:24" x14ac:dyDescent="0.45">
      <c r="A920">
        <v>37</v>
      </c>
      <c r="B920">
        <v>37</v>
      </c>
      <c r="C920" t="s">
        <v>618</v>
      </c>
      <c r="D920" t="s">
        <v>414</v>
      </c>
      <c r="F920">
        <v>2.83</v>
      </c>
      <c r="G920">
        <v>37606.038999999997</v>
      </c>
      <c r="H920">
        <v>91917.156000000003</v>
      </c>
      <c r="I920">
        <v>4.0910000000000002</v>
      </c>
      <c r="J920" t="s">
        <v>403</v>
      </c>
      <c r="K920">
        <v>1.1000000000000001</v>
      </c>
      <c r="N920">
        <v>61</v>
      </c>
      <c r="O920">
        <v>61</v>
      </c>
      <c r="P920" t="s">
        <v>715</v>
      </c>
      <c r="Q920" t="s">
        <v>414</v>
      </c>
      <c r="S920">
        <v>2.83</v>
      </c>
      <c r="T920">
        <v>43322.34</v>
      </c>
      <c r="U920">
        <v>62978.968999999997</v>
      </c>
      <c r="V920">
        <v>6.8789999999999996</v>
      </c>
      <c r="W920" t="s">
        <v>401</v>
      </c>
      <c r="X920">
        <v>1.7</v>
      </c>
    </row>
    <row r="921" spans="1:24" x14ac:dyDescent="0.45">
      <c r="A921">
        <v>38</v>
      </c>
      <c r="B921">
        <v>38</v>
      </c>
      <c r="C921" t="s">
        <v>619</v>
      </c>
      <c r="D921" t="s">
        <v>414</v>
      </c>
      <c r="F921">
        <v>2.83</v>
      </c>
      <c r="G921">
        <v>27537.206999999999</v>
      </c>
      <c r="H921">
        <v>29262.738000000001</v>
      </c>
      <c r="I921">
        <v>9.41</v>
      </c>
      <c r="J921" t="s">
        <v>415</v>
      </c>
      <c r="K921">
        <v>2.4</v>
      </c>
      <c r="N921">
        <v>62</v>
      </c>
      <c r="O921">
        <v>62</v>
      </c>
      <c r="P921" t="s">
        <v>716</v>
      </c>
      <c r="Q921" t="s">
        <v>414</v>
      </c>
      <c r="S921">
        <v>2.83</v>
      </c>
      <c r="T921">
        <v>17234.418000000001</v>
      </c>
      <c r="U921">
        <v>36817.730000000003</v>
      </c>
      <c r="V921">
        <v>4.681</v>
      </c>
      <c r="W921" t="s">
        <v>403</v>
      </c>
      <c r="X921">
        <v>1.2</v>
      </c>
    </row>
    <row r="922" spans="1:24" x14ac:dyDescent="0.45">
      <c r="A922">
        <v>39</v>
      </c>
      <c r="B922">
        <v>39</v>
      </c>
      <c r="C922" t="s">
        <v>620</v>
      </c>
      <c r="D922" t="s">
        <v>414</v>
      </c>
      <c r="F922">
        <v>2.83</v>
      </c>
      <c r="G922">
        <v>29469.331999999999</v>
      </c>
      <c r="H922">
        <v>32543.794999999998</v>
      </c>
      <c r="I922">
        <v>9.0549999999999997</v>
      </c>
      <c r="J922" t="s">
        <v>403</v>
      </c>
      <c r="K922">
        <v>2.2999999999999998</v>
      </c>
      <c r="N922">
        <v>63</v>
      </c>
      <c r="O922">
        <v>63</v>
      </c>
      <c r="P922" t="s">
        <v>717</v>
      </c>
      <c r="Q922" t="s">
        <v>414</v>
      </c>
      <c r="S922">
        <v>2.83</v>
      </c>
      <c r="T922">
        <v>38367.288999999997</v>
      </c>
      <c r="U922">
        <v>78003.202999999994</v>
      </c>
      <c r="V922">
        <v>4.9189999999999996</v>
      </c>
      <c r="W922" t="s">
        <v>415</v>
      </c>
      <c r="X922">
        <v>1.2</v>
      </c>
    </row>
    <row r="923" spans="1:24" x14ac:dyDescent="0.45">
      <c r="A923">
        <v>40</v>
      </c>
      <c r="B923">
        <v>40</v>
      </c>
      <c r="C923" t="s">
        <v>621</v>
      </c>
      <c r="D923" t="s">
        <v>414</v>
      </c>
      <c r="F923">
        <v>2.83</v>
      </c>
      <c r="G923">
        <v>53081.222999999998</v>
      </c>
      <c r="H923">
        <v>52531.663999999997</v>
      </c>
      <c r="I923">
        <v>10.105</v>
      </c>
      <c r="J923" t="s">
        <v>403</v>
      </c>
      <c r="K923">
        <v>2.6</v>
      </c>
      <c r="N923">
        <v>64</v>
      </c>
      <c r="O923">
        <v>64</v>
      </c>
      <c r="P923" t="s">
        <v>718</v>
      </c>
      <c r="Q923" t="s">
        <v>414</v>
      </c>
      <c r="S923">
        <v>2.83</v>
      </c>
      <c r="T923">
        <v>56590.483999999997</v>
      </c>
      <c r="U923">
        <v>65362.445</v>
      </c>
      <c r="V923">
        <v>8.6579999999999995</v>
      </c>
      <c r="W923" t="s">
        <v>415</v>
      </c>
      <c r="X923">
        <v>2.2000000000000002</v>
      </c>
    </row>
    <row r="924" spans="1:24" x14ac:dyDescent="0.45">
      <c r="A924">
        <v>41</v>
      </c>
      <c r="B924">
        <v>41</v>
      </c>
      <c r="C924" t="s">
        <v>622</v>
      </c>
      <c r="D924" t="s">
        <v>414</v>
      </c>
      <c r="F924">
        <v>2.83</v>
      </c>
      <c r="G924">
        <v>47924.597999999998</v>
      </c>
      <c r="H924">
        <v>47078.351999999999</v>
      </c>
      <c r="I924">
        <v>10.18</v>
      </c>
      <c r="J924" t="s">
        <v>403</v>
      </c>
      <c r="K924">
        <v>2.6</v>
      </c>
      <c r="N924">
        <v>65</v>
      </c>
      <c r="O924">
        <v>65</v>
      </c>
      <c r="P924" t="s">
        <v>719</v>
      </c>
      <c r="Q924" t="s">
        <v>414</v>
      </c>
      <c r="S924">
        <v>2.83</v>
      </c>
      <c r="T924">
        <v>20115.226999999999</v>
      </c>
      <c r="U924">
        <v>30552.447</v>
      </c>
      <c r="V924">
        <v>6.5839999999999996</v>
      </c>
      <c r="W924" t="s">
        <v>415</v>
      </c>
      <c r="X924">
        <v>1.7</v>
      </c>
    </row>
    <row r="925" spans="1:24" x14ac:dyDescent="0.45">
      <c r="A925">
        <v>42</v>
      </c>
      <c r="B925">
        <v>42</v>
      </c>
      <c r="C925" t="s">
        <v>623</v>
      </c>
      <c r="D925" t="s">
        <v>414</v>
      </c>
      <c r="F925">
        <v>2.83</v>
      </c>
      <c r="G925">
        <v>70266.312999999995</v>
      </c>
      <c r="H925">
        <v>84166.258000000002</v>
      </c>
      <c r="I925">
        <v>8.3490000000000002</v>
      </c>
      <c r="J925" t="s">
        <v>415</v>
      </c>
      <c r="K925">
        <v>2.1</v>
      </c>
      <c r="N925">
        <v>66</v>
      </c>
      <c r="O925">
        <v>66</v>
      </c>
      <c r="P925" t="s">
        <v>720</v>
      </c>
      <c r="Q925" t="s">
        <v>414</v>
      </c>
      <c r="S925">
        <v>2.83</v>
      </c>
      <c r="T925">
        <v>59135.32</v>
      </c>
      <c r="U925">
        <v>78069.945000000007</v>
      </c>
      <c r="V925">
        <v>7.5750000000000002</v>
      </c>
      <c r="W925" t="s">
        <v>415</v>
      </c>
      <c r="X925">
        <v>1.9</v>
      </c>
    </row>
    <row r="926" spans="1:24" x14ac:dyDescent="0.45">
      <c r="A926">
        <v>43</v>
      </c>
      <c r="B926">
        <v>43</v>
      </c>
      <c r="C926" t="s">
        <v>624</v>
      </c>
      <c r="D926" t="s">
        <v>414</v>
      </c>
      <c r="F926">
        <v>2.83</v>
      </c>
      <c r="G926">
        <v>73612.539000000004</v>
      </c>
      <c r="H926">
        <v>84072</v>
      </c>
      <c r="I926">
        <v>8.7560000000000002</v>
      </c>
      <c r="J926" t="s">
        <v>415</v>
      </c>
      <c r="K926">
        <v>2.2000000000000002</v>
      </c>
      <c r="N926">
        <v>67</v>
      </c>
      <c r="O926">
        <v>67</v>
      </c>
      <c r="P926" t="s">
        <v>721</v>
      </c>
      <c r="Q926" t="s">
        <v>414</v>
      </c>
      <c r="S926">
        <v>2.83</v>
      </c>
      <c r="T926">
        <v>65678.906000000003</v>
      </c>
      <c r="U926">
        <v>67948.164000000004</v>
      </c>
      <c r="V926">
        <v>9.6660000000000004</v>
      </c>
      <c r="W926" t="s">
        <v>415</v>
      </c>
      <c r="X926">
        <v>2.4</v>
      </c>
    </row>
    <row r="927" spans="1:24" x14ac:dyDescent="0.45">
      <c r="A927">
        <v>44</v>
      </c>
      <c r="B927">
        <v>44</v>
      </c>
      <c r="C927" t="s">
        <v>625</v>
      </c>
      <c r="D927" t="s">
        <v>414</v>
      </c>
      <c r="F927">
        <v>2.83</v>
      </c>
      <c r="G927">
        <v>51315.41</v>
      </c>
      <c r="H927">
        <v>76599.687999999995</v>
      </c>
      <c r="I927">
        <v>6.6989999999999998</v>
      </c>
      <c r="J927" t="s">
        <v>412</v>
      </c>
      <c r="K927">
        <v>1.7</v>
      </c>
    </row>
    <row r="928" spans="1:24" x14ac:dyDescent="0.45">
      <c r="A928">
        <v>45</v>
      </c>
      <c r="B928">
        <v>45</v>
      </c>
      <c r="C928" t="s">
        <v>626</v>
      </c>
      <c r="D928" t="s">
        <v>414</v>
      </c>
      <c r="F928">
        <v>2.83</v>
      </c>
      <c r="G928">
        <v>44233.995999999999</v>
      </c>
      <c r="H928">
        <v>59279.472999999998</v>
      </c>
      <c r="I928">
        <v>7.4619999999999997</v>
      </c>
      <c r="J928" t="s">
        <v>415</v>
      </c>
      <c r="K928">
        <v>1.9</v>
      </c>
      <c r="N928" t="s">
        <v>499</v>
      </c>
    </row>
    <row r="929" spans="1:25" x14ac:dyDescent="0.45">
      <c r="A929">
        <v>46</v>
      </c>
      <c r="B929">
        <v>46</v>
      </c>
      <c r="C929" t="s">
        <v>627</v>
      </c>
      <c r="D929" t="s">
        <v>414</v>
      </c>
      <c r="F929">
        <v>2.83</v>
      </c>
      <c r="G929">
        <v>68195.383000000002</v>
      </c>
      <c r="H929">
        <v>59638.538999999997</v>
      </c>
      <c r="I929">
        <v>11.435</v>
      </c>
      <c r="J929" t="s">
        <v>401</v>
      </c>
      <c r="K929">
        <v>2.9</v>
      </c>
    </row>
    <row r="930" spans="1:25" x14ac:dyDescent="0.45">
      <c r="A930">
        <v>47</v>
      </c>
      <c r="B930">
        <v>47</v>
      </c>
      <c r="C930" t="s">
        <v>628</v>
      </c>
      <c r="D930" t="s">
        <v>414</v>
      </c>
      <c r="F930">
        <v>2.83</v>
      </c>
      <c r="G930">
        <v>74247.539000000004</v>
      </c>
      <c r="H930">
        <v>67374.608999999997</v>
      </c>
      <c r="I930">
        <v>11.02</v>
      </c>
      <c r="J930" t="s">
        <v>415</v>
      </c>
      <c r="K930">
        <v>2.8</v>
      </c>
      <c r="O930" t="s">
        <v>389</v>
      </c>
      <c r="P930" t="s">
        <v>123</v>
      </c>
      <c r="Q930" t="s">
        <v>390</v>
      </c>
      <c r="R930" t="s">
        <v>391</v>
      </c>
      <c r="S930" t="s">
        <v>392</v>
      </c>
      <c r="T930" t="s">
        <v>393</v>
      </c>
      <c r="U930" t="s">
        <v>394</v>
      </c>
      <c r="V930" t="s">
        <v>395</v>
      </c>
      <c r="W930" t="s">
        <v>396</v>
      </c>
      <c r="X930" t="s">
        <v>397</v>
      </c>
      <c r="Y930" t="s">
        <v>398</v>
      </c>
    </row>
    <row r="931" spans="1:25" x14ac:dyDescent="0.45">
      <c r="A931">
        <v>48</v>
      </c>
      <c r="B931">
        <v>48</v>
      </c>
      <c r="C931" t="s">
        <v>629</v>
      </c>
      <c r="D931" t="s">
        <v>414</v>
      </c>
      <c r="F931">
        <v>2.83</v>
      </c>
      <c r="G931">
        <v>60015.593999999997</v>
      </c>
      <c r="H931">
        <v>51621.629000000001</v>
      </c>
      <c r="I931">
        <v>11.625999999999999</v>
      </c>
      <c r="J931" t="s">
        <v>415</v>
      </c>
      <c r="K931">
        <v>3</v>
      </c>
      <c r="N931">
        <v>1</v>
      </c>
      <c r="O931">
        <v>1</v>
      </c>
      <c r="P931" t="s">
        <v>655</v>
      </c>
      <c r="Q931" t="s">
        <v>400</v>
      </c>
      <c r="R931">
        <v>0.05</v>
      </c>
      <c r="S931">
        <v>2.79</v>
      </c>
      <c r="T931">
        <v>2300.42</v>
      </c>
      <c r="U931">
        <v>157820.46900000001</v>
      </c>
      <c r="V931">
        <v>0.14599999999999999</v>
      </c>
      <c r="W931" t="s">
        <v>483</v>
      </c>
    </row>
    <row r="932" spans="1:25" x14ac:dyDescent="0.45">
      <c r="A932">
        <v>49</v>
      </c>
      <c r="B932">
        <v>49</v>
      </c>
      <c r="C932" t="s">
        <v>630</v>
      </c>
      <c r="D932" t="s">
        <v>414</v>
      </c>
      <c r="F932">
        <v>2.83</v>
      </c>
      <c r="G932">
        <v>84652.991999999998</v>
      </c>
      <c r="H932">
        <v>58760.160000000003</v>
      </c>
      <c r="I932">
        <v>14.407</v>
      </c>
      <c r="J932" t="s">
        <v>415</v>
      </c>
      <c r="K932">
        <v>3.7</v>
      </c>
      <c r="N932">
        <v>2</v>
      </c>
      <c r="O932">
        <v>2</v>
      </c>
      <c r="P932" t="s">
        <v>656</v>
      </c>
      <c r="Q932" t="s">
        <v>400</v>
      </c>
      <c r="R932">
        <v>0.5</v>
      </c>
      <c r="S932">
        <v>2.79</v>
      </c>
      <c r="T932">
        <v>10674.281999999999</v>
      </c>
      <c r="U932">
        <v>149271.09400000001</v>
      </c>
      <c r="V932">
        <v>0.71499999999999997</v>
      </c>
      <c r="W932" t="s">
        <v>403</v>
      </c>
      <c r="X932">
        <v>0.5</v>
      </c>
      <c r="Y932">
        <v>4.4000000000000004</v>
      </c>
    </row>
    <row r="933" spans="1:25" x14ac:dyDescent="0.45">
      <c r="A933">
        <v>50</v>
      </c>
      <c r="B933">
        <v>50</v>
      </c>
      <c r="C933" t="s">
        <v>631</v>
      </c>
      <c r="D933" t="s">
        <v>414</v>
      </c>
      <c r="F933">
        <v>2.83</v>
      </c>
      <c r="G933">
        <v>38335.410000000003</v>
      </c>
      <c r="H933">
        <v>50240.277000000002</v>
      </c>
      <c r="I933">
        <v>7.63</v>
      </c>
      <c r="J933" t="s">
        <v>415</v>
      </c>
      <c r="K933">
        <v>2</v>
      </c>
      <c r="N933">
        <v>3</v>
      </c>
      <c r="O933">
        <v>3</v>
      </c>
      <c r="P933" t="s">
        <v>657</v>
      </c>
      <c r="Q933" t="s">
        <v>400</v>
      </c>
      <c r="R933">
        <v>1.25</v>
      </c>
      <c r="S933">
        <v>2.79</v>
      </c>
      <c r="T933">
        <v>21070.199000000001</v>
      </c>
      <c r="U933">
        <v>140143.20300000001</v>
      </c>
      <c r="V933">
        <v>1.5029999999999999</v>
      </c>
      <c r="W933" t="s">
        <v>403</v>
      </c>
      <c r="X933">
        <v>1.6</v>
      </c>
      <c r="Y933">
        <v>32</v>
      </c>
    </row>
    <row r="934" spans="1:25" x14ac:dyDescent="0.45">
      <c r="A934">
        <v>51</v>
      </c>
      <c r="B934">
        <v>51</v>
      </c>
      <c r="C934" t="s">
        <v>632</v>
      </c>
      <c r="D934" t="s">
        <v>414</v>
      </c>
      <c r="F934">
        <v>2.83</v>
      </c>
      <c r="G934">
        <v>34772.711000000003</v>
      </c>
      <c r="H934">
        <v>42906.504000000001</v>
      </c>
      <c r="I934">
        <v>8.1039999999999992</v>
      </c>
      <c r="J934" t="s">
        <v>415</v>
      </c>
      <c r="K934">
        <v>2.1</v>
      </c>
      <c r="N934">
        <v>4</v>
      </c>
      <c r="O934">
        <v>4</v>
      </c>
      <c r="P934" t="s">
        <v>658</v>
      </c>
      <c r="Q934" t="s">
        <v>400</v>
      </c>
      <c r="R934">
        <v>2.5</v>
      </c>
      <c r="S934">
        <v>2.79</v>
      </c>
      <c r="T934">
        <v>34197.211000000003</v>
      </c>
      <c r="U934">
        <v>136556.125</v>
      </c>
      <c r="V934">
        <v>2.504</v>
      </c>
      <c r="W934" t="s">
        <v>491</v>
      </c>
      <c r="X934">
        <v>3.1</v>
      </c>
      <c r="Y934">
        <v>23.3</v>
      </c>
    </row>
    <row r="935" spans="1:25" x14ac:dyDescent="0.45">
      <c r="A935">
        <v>52</v>
      </c>
      <c r="B935">
        <v>52</v>
      </c>
      <c r="C935" t="s">
        <v>633</v>
      </c>
      <c r="D935" t="s">
        <v>414</v>
      </c>
      <c r="F935">
        <v>2.83</v>
      </c>
      <c r="G935">
        <v>61885.23</v>
      </c>
      <c r="H935">
        <v>53219.542999999998</v>
      </c>
      <c r="I935">
        <v>11.628</v>
      </c>
      <c r="J935" t="s">
        <v>401</v>
      </c>
      <c r="K935">
        <v>3</v>
      </c>
      <c r="N935">
        <v>5</v>
      </c>
      <c r="O935">
        <v>5</v>
      </c>
      <c r="P935" t="s">
        <v>659</v>
      </c>
      <c r="Q935" t="s">
        <v>400</v>
      </c>
      <c r="R935">
        <v>3.5</v>
      </c>
      <c r="S935">
        <v>2.79</v>
      </c>
      <c r="T935">
        <v>38463.945</v>
      </c>
      <c r="U935">
        <v>135322.93799999999</v>
      </c>
      <c r="V935">
        <v>2.8420000000000001</v>
      </c>
      <c r="W935" t="s">
        <v>403</v>
      </c>
      <c r="X935">
        <v>3.6</v>
      </c>
      <c r="Y935">
        <v>1.9</v>
      </c>
    </row>
    <row r="936" spans="1:25" x14ac:dyDescent="0.45">
      <c r="A936">
        <v>53</v>
      </c>
      <c r="B936">
        <v>53</v>
      </c>
      <c r="C936" t="s">
        <v>634</v>
      </c>
      <c r="D936" t="s">
        <v>414</v>
      </c>
      <c r="F936">
        <v>2.83</v>
      </c>
      <c r="G936">
        <v>70194.445000000007</v>
      </c>
      <c r="H936">
        <v>74245.062999999995</v>
      </c>
      <c r="I936">
        <v>9.4540000000000006</v>
      </c>
      <c r="J936" t="s">
        <v>415</v>
      </c>
      <c r="K936">
        <v>2.4</v>
      </c>
      <c r="N936">
        <v>6</v>
      </c>
      <c r="O936">
        <v>6</v>
      </c>
      <c r="P936" t="s">
        <v>660</v>
      </c>
      <c r="Q936" t="s">
        <v>400</v>
      </c>
      <c r="R936">
        <v>5</v>
      </c>
      <c r="S936">
        <v>2.79</v>
      </c>
      <c r="T936">
        <v>47875.237999999998</v>
      </c>
      <c r="U936">
        <v>127885.906</v>
      </c>
      <c r="V936">
        <v>3.7440000000000002</v>
      </c>
      <c r="W936" t="s">
        <v>403</v>
      </c>
      <c r="X936">
        <v>4.9000000000000004</v>
      </c>
      <c r="Y936">
        <v>-2.9</v>
      </c>
    </row>
    <row r="937" spans="1:25" x14ac:dyDescent="0.45">
      <c r="A937">
        <v>54</v>
      </c>
      <c r="B937">
        <v>54</v>
      </c>
      <c r="C937" t="s">
        <v>635</v>
      </c>
      <c r="D937" t="s">
        <v>414</v>
      </c>
      <c r="F937">
        <v>2.83</v>
      </c>
      <c r="G937">
        <v>37800.050999999999</v>
      </c>
      <c r="H937">
        <v>35886.945</v>
      </c>
      <c r="I937">
        <v>10.532999999999999</v>
      </c>
      <c r="J937" t="s">
        <v>403</v>
      </c>
      <c r="K937">
        <v>2.7</v>
      </c>
      <c r="N937">
        <v>7</v>
      </c>
      <c r="O937">
        <v>7</v>
      </c>
      <c r="P937" t="s">
        <v>661</v>
      </c>
      <c r="Q937" t="s">
        <v>400</v>
      </c>
      <c r="R937">
        <v>7</v>
      </c>
      <c r="S937">
        <v>2.79</v>
      </c>
      <c r="T937">
        <v>57275.527000000002</v>
      </c>
      <c r="U937">
        <v>124263.06299999999</v>
      </c>
      <c r="V937">
        <v>4.609</v>
      </c>
      <c r="W937" t="s">
        <v>491</v>
      </c>
      <c r="X937">
        <v>6.1</v>
      </c>
      <c r="Y937">
        <v>-12.9</v>
      </c>
    </row>
    <row r="938" spans="1:25" x14ac:dyDescent="0.45">
      <c r="A938">
        <v>55</v>
      </c>
      <c r="B938">
        <v>55</v>
      </c>
      <c r="C938" t="s">
        <v>636</v>
      </c>
      <c r="D938" t="s">
        <v>414</v>
      </c>
      <c r="F938">
        <v>2.83</v>
      </c>
      <c r="G938">
        <v>60652.300999999999</v>
      </c>
      <c r="H938">
        <v>42267.434000000001</v>
      </c>
      <c r="I938">
        <v>14.35</v>
      </c>
      <c r="J938" t="s">
        <v>415</v>
      </c>
      <c r="K938">
        <v>3.7</v>
      </c>
      <c r="N938">
        <v>8</v>
      </c>
      <c r="O938">
        <v>8</v>
      </c>
      <c r="P938" t="s">
        <v>662</v>
      </c>
      <c r="Q938" t="s">
        <v>414</v>
      </c>
      <c r="S938">
        <v>2.79</v>
      </c>
      <c r="T938">
        <v>4290.5150000000003</v>
      </c>
      <c r="U938">
        <v>51073.741999999998</v>
      </c>
      <c r="V938">
        <v>0.84</v>
      </c>
      <c r="W938" t="s">
        <v>403</v>
      </c>
      <c r="X938">
        <v>0.7</v>
      </c>
    </row>
    <row r="939" spans="1:25" x14ac:dyDescent="0.45">
      <c r="A939">
        <v>56</v>
      </c>
      <c r="B939">
        <v>56</v>
      </c>
      <c r="C939" t="s">
        <v>637</v>
      </c>
      <c r="D939" t="s">
        <v>414</v>
      </c>
      <c r="F939">
        <v>2.83</v>
      </c>
      <c r="G939">
        <v>73107.133000000002</v>
      </c>
      <c r="H939">
        <v>71298.570000000007</v>
      </c>
      <c r="I939">
        <v>10.254</v>
      </c>
      <c r="J939" t="s">
        <v>415</v>
      </c>
      <c r="K939">
        <v>2.6</v>
      </c>
      <c r="N939">
        <v>9</v>
      </c>
      <c r="O939">
        <v>9</v>
      </c>
      <c r="P939" t="s">
        <v>663</v>
      </c>
      <c r="Q939" t="s">
        <v>414</v>
      </c>
      <c r="S939">
        <v>2.79</v>
      </c>
      <c r="T939">
        <v>3751.3820000000001</v>
      </c>
      <c r="U939">
        <v>41879.68</v>
      </c>
      <c r="V939">
        <v>0.89600000000000002</v>
      </c>
      <c r="W939" t="s">
        <v>403</v>
      </c>
      <c r="X939">
        <v>0.8</v>
      </c>
    </row>
    <row r="940" spans="1:25" x14ac:dyDescent="0.45">
      <c r="A940">
        <v>57</v>
      </c>
      <c r="B940">
        <v>57</v>
      </c>
      <c r="C940" t="s">
        <v>638</v>
      </c>
      <c r="D940" t="s">
        <v>414</v>
      </c>
      <c r="F940">
        <v>2.83</v>
      </c>
      <c r="G940">
        <v>38632.281000000003</v>
      </c>
      <c r="H940">
        <v>36711.555</v>
      </c>
      <c r="I940">
        <v>10.523</v>
      </c>
      <c r="J940" t="s">
        <v>415</v>
      </c>
      <c r="K940">
        <v>2.7</v>
      </c>
      <c r="N940">
        <v>10</v>
      </c>
      <c r="O940">
        <v>10</v>
      </c>
      <c r="P940" t="s">
        <v>664</v>
      </c>
      <c r="Q940" t="s">
        <v>414</v>
      </c>
      <c r="S940">
        <v>2.79</v>
      </c>
      <c r="T940">
        <v>3557.2559999999999</v>
      </c>
      <c r="U940">
        <v>40047.410000000003</v>
      </c>
      <c r="V940">
        <v>0.88800000000000001</v>
      </c>
      <c r="W940" t="s">
        <v>403</v>
      </c>
      <c r="X940">
        <v>0.8</v>
      </c>
    </row>
    <row r="941" spans="1:25" x14ac:dyDescent="0.45">
      <c r="A941">
        <v>58</v>
      </c>
      <c r="B941">
        <v>58</v>
      </c>
      <c r="C941" t="s">
        <v>639</v>
      </c>
      <c r="D941" t="s">
        <v>414</v>
      </c>
      <c r="F941">
        <v>2.83</v>
      </c>
      <c r="G941">
        <v>24562.898000000001</v>
      </c>
      <c r="H941">
        <v>36887.887000000002</v>
      </c>
      <c r="I941">
        <v>6.6589999999999998</v>
      </c>
      <c r="J941" t="s">
        <v>415</v>
      </c>
      <c r="K941">
        <v>1.7</v>
      </c>
      <c r="N941">
        <v>11</v>
      </c>
      <c r="O941">
        <v>11</v>
      </c>
      <c r="P941" t="s">
        <v>665</v>
      </c>
      <c r="Q941" t="s">
        <v>414</v>
      </c>
      <c r="S941">
        <v>2.79</v>
      </c>
      <c r="T941">
        <v>2306.4969999999998</v>
      </c>
      <c r="U941">
        <v>37171.656000000003</v>
      </c>
      <c r="V941">
        <v>0.62</v>
      </c>
      <c r="W941" t="s">
        <v>488</v>
      </c>
      <c r="X941">
        <v>0.4</v>
      </c>
    </row>
    <row r="942" spans="1:25" x14ac:dyDescent="0.45">
      <c r="A942">
        <v>59</v>
      </c>
      <c r="B942">
        <v>59</v>
      </c>
      <c r="C942" t="s">
        <v>640</v>
      </c>
      <c r="D942" t="s">
        <v>414</v>
      </c>
      <c r="F942">
        <v>2.83</v>
      </c>
      <c r="G942">
        <v>40834.171999999999</v>
      </c>
      <c r="H942">
        <v>48775.555</v>
      </c>
      <c r="I942">
        <v>8.3719999999999999</v>
      </c>
      <c r="J942" t="s">
        <v>412</v>
      </c>
      <c r="K942">
        <v>2.1</v>
      </c>
      <c r="N942">
        <v>12</v>
      </c>
      <c r="O942">
        <v>12</v>
      </c>
      <c r="P942" t="s">
        <v>666</v>
      </c>
      <c r="Q942" t="s">
        <v>414</v>
      </c>
      <c r="S942">
        <v>2.79</v>
      </c>
      <c r="T942">
        <v>2490.8539999999998</v>
      </c>
      <c r="U942">
        <v>50504.671999999999</v>
      </c>
      <c r="V942">
        <v>0.49299999999999999</v>
      </c>
      <c r="W942" t="s">
        <v>488</v>
      </c>
      <c r="X942">
        <v>0.2</v>
      </c>
    </row>
    <row r="943" spans="1:25" x14ac:dyDescent="0.45">
      <c r="A943">
        <v>60</v>
      </c>
      <c r="B943">
        <v>60</v>
      </c>
      <c r="C943" t="s">
        <v>641</v>
      </c>
      <c r="D943" t="s">
        <v>414</v>
      </c>
      <c r="F943">
        <v>2.83</v>
      </c>
      <c r="G943">
        <v>47848.762000000002</v>
      </c>
      <c r="H943">
        <v>39225.733999999997</v>
      </c>
      <c r="I943">
        <v>12.198</v>
      </c>
      <c r="J943" t="s">
        <v>415</v>
      </c>
      <c r="K943">
        <v>3.1</v>
      </c>
      <c r="N943">
        <v>13</v>
      </c>
      <c r="O943">
        <v>13</v>
      </c>
      <c r="P943" t="s">
        <v>667</v>
      </c>
      <c r="Q943" t="s">
        <v>414</v>
      </c>
      <c r="S943">
        <v>2.79</v>
      </c>
      <c r="T943">
        <v>2481.2950000000001</v>
      </c>
      <c r="U943">
        <v>32754.655999999999</v>
      </c>
      <c r="V943">
        <v>0.75800000000000001</v>
      </c>
      <c r="W943" t="s">
        <v>488</v>
      </c>
      <c r="X943">
        <v>0.6</v>
      </c>
    </row>
    <row r="944" spans="1:25" x14ac:dyDescent="0.45">
      <c r="A944">
        <v>61</v>
      </c>
      <c r="B944">
        <v>61</v>
      </c>
      <c r="C944" t="s">
        <v>642</v>
      </c>
      <c r="D944" t="s">
        <v>414</v>
      </c>
      <c r="F944">
        <v>2.83</v>
      </c>
      <c r="G944">
        <v>53005.957000000002</v>
      </c>
      <c r="H944">
        <v>61308.578000000001</v>
      </c>
      <c r="I944">
        <v>8.6460000000000008</v>
      </c>
      <c r="J944" t="s">
        <v>415</v>
      </c>
      <c r="K944">
        <v>2.2000000000000002</v>
      </c>
      <c r="N944">
        <v>14</v>
      </c>
      <c r="O944">
        <v>14</v>
      </c>
      <c r="P944" t="s">
        <v>668</v>
      </c>
      <c r="Q944" t="s">
        <v>414</v>
      </c>
      <c r="S944">
        <v>2.79</v>
      </c>
      <c r="T944">
        <v>4941.5529999999999</v>
      </c>
      <c r="U944">
        <v>48809.023000000001</v>
      </c>
      <c r="V944">
        <v>1.012</v>
      </c>
      <c r="W944" t="s">
        <v>403</v>
      </c>
      <c r="X944">
        <v>0.9</v>
      </c>
    </row>
    <row r="945" spans="1:24" x14ac:dyDescent="0.45">
      <c r="A945">
        <v>62</v>
      </c>
      <c r="B945">
        <v>62</v>
      </c>
      <c r="C945" t="s">
        <v>643</v>
      </c>
      <c r="D945" t="s">
        <v>414</v>
      </c>
      <c r="F945">
        <v>2.83</v>
      </c>
      <c r="G945">
        <v>63582.398000000001</v>
      </c>
      <c r="H945">
        <v>76461.062999999995</v>
      </c>
      <c r="I945">
        <v>8.3160000000000007</v>
      </c>
      <c r="J945" t="s">
        <v>415</v>
      </c>
      <c r="K945">
        <v>2.1</v>
      </c>
      <c r="N945">
        <v>15</v>
      </c>
      <c r="O945">
        <v>15</v>
      </c>
      <c r="P945" t="s">
        <v>669</v>
      </c>
      <c r="Q945" t="s">
        <v>414</v>
      </c>
      <c r="S945">
        <v>2.78</v>
      </c>
      <c r="T945">
        <v>2307.3049999999998</v>
      </c>
      <c r="U945">
        <v>33390.375</v>
      </c>
      <c r="V945">
        <v>0.69099999999999995</v>
      </c>
      <c r="W945" t="s">
        <v>488</v>
      </c>
      <c r="X945">
        <v>0.5</v>
      </c>
    </row>
    <row r="946" spans="1:24" x14ac:dyDescent="0.45">
      <c r="A946">
        <v>63</v>
      </c>
      <c r="B946">
        <v>63</v>
      </c>
      <c r="C946" t="s">
        <v>644</v>
      </c>
      <c r="D946" t="s">
        <v>414</v>
      </c>
      <c r="F946">
        <v>2.83</v>
      </c>
      <c r="G946">
        <v>41912.839999999997</v>
      </c>
      <c r="H946">
        <v>46493.773000000001</v>
      </c>
      <c r="I946">
        <v>9.0150000000000006</v>
      </c>
      <c r="J946" t="s">
        <v>403</v>
      </c>
      <c r="K946">
        <v>2.2999999999999998</v>
      </c>
      <c r="N946">
        <v>16</v>
      </c>
      <c r="O946">
        <v>16</v>
      </c>
      <c r="P946" t="s">
        <v>670</v>
      </c>
      <c r="Q946" t="s">
        <v>414</v>
      </c>
      <c r="S946">
        <v>2.79</v>
      </c>
      <c r="T946">
        <v>1327.7149999999999</v>
      </c>
      <c r="U946">
        <v>21181.046999999999</v>
      </c>
      <c r="V946">
        <v>0.627</v>
      </c>
      <c r="W946" t="s">
        <v>488</v>
      </c>
      <c r="X946">
        <v>0.4</v>
      </c>
    </row>
    <row r="947" spans="1:24" x14ac:dyDescent="0.45">
      <c r="A947">
        <v>64</v>
      </c>
      <c r="B947">
        <v>64</v>
      </c>
      <c r="C947" t="s">
        <v>645</v>
      </c>
      <c r="D947" t="s">
        <v>414</v>
      </c>
      <c r="F947">
        <v>2.83</v>
      </c>
      <c r="G947">
        <v>36259.148000000001</v>
      </c>
      <c r="H947">
        <v>36215.358999999997</v>
      </c>
      <c r="I947">
        <v>10.012</v>
      </c>
      <c r="J947" t="s">
        <v>401</v>
      </c>
      <c r="K947">
        <v>2.6</v>
      </c>
      <c r="N947">
        <v>17</v>
      </c>
      <c r="O947">
        <v>17</v>
      </c>
      <c r="P947" t="s">
        <v>671</v>
      </c>
      <c r="Q947" t="s">
        <v>414</v>
      </c>
      <c r="S947">
        <v>2.79</v>
      </c>
      <c r="T947">
        <v>1445.4459999999999</v>
      </c>
      <c r="U947">
        <v>24707.303</v>
      </c>
      <c r="V947">
        <v>0.58499999999999996</v>
      </c>
      <c r="W947" t="s">
        <v>488</v>
      </c>
      <c r="X947">
        <v>0.3</v>
      </c>
    </row>
    <row r="948" spans="1:24" x14ac:dyDescent="0.45">
      <c r="A948">
        <v>65</v>
      </c>
      <c r="B948">
        <v>65</v>
      </c>
      <c r="C948" t="s">
        <v>646</v>
      </c>
      <c r="D948" t="s">
        <v>414</v>
      </c>
      <c r="F948">
        <v>2.83</v>
      </c>
      <c r="G948">
        <v>41491.125</v>
      </c>
      <c r="H948">
        <v>39970.559000000001</v>
      </c>
      <c r="I948">
        <v>10.38</v>
      </c>
      <c r="J948" t="s">
        <v>415</v>
      </c>
      <c r="K948">
        <v>2.7</v>
      </c>
      <c r="N948">
        <v>18</v>
      </c>
      <c r="O948">
        <v>18</v>
      </c>
      <c r="P948" t="s">
        <v>672</v>
      </c>
      <c r="Q948" t="s">
        <v>414</v>
      </c>
      <c r="S948">
        <v>2.79</v>
      </c>
      <c r="T948">
        <v>4063.4169999999999</v>
      </c>
      <c r="U948">
        <v>31987.254000000001</v>
      </c>
      <c r="V948">
        <v>1.27</v>
      </c>
      <c r="W948" t="s">
        <v>403</v>
      </c>
      <c r="X948">
        <v>1.3</v>
      </c>
    </row>
    <row r="949" spans="1:24" x14ac:dyDescent="0.45">
      <c r="A949">
        <v>66</v>
      </c>
      <c r="B949">
        <v>66</v>
      </c>
      <c r="C949" t="s">
        <v>647</v>
      </c>
      <c r="D949" t="s">
        <v>414</v>
      </c>
      <c r="F949">
        <v>2.83</v>
      </c>
      <c r="G949">
        <v>38078.894999999997</v>
      </c>
      <c r="H949">
        <v>50769.237999999998</v>
      </c>
      <c r="I949">
        <v>7.5</v>
      </c>
      <c r="J949" t="s">
        <v>415</v>
      </c>
      <c r="K949">
        <v>1.9</v>
      </c>
      <c r="N949">
        <v>19</v>
      </c>
      <c r="O949">
        <v>19</v>
      </c>
      <c r="P949" t="s">
        <v>673</v>
      </c>
      <c r="Q949" t="s">
        <v>414</v>
      </c>
      <c r="S949">
        <v>2.79</v>
      </c>
      <c r="T949">
        <v>4571.1360000000004</v>
      </c>
      <c r="U949">
        <v>32429.245999999999</v>
      </c>
      <c r="V949">
        <v>1.41</v>
      </c>
      <c r="W949" t="s">
        <v>403</v>
      </c>
      <c r="X949">
        <v>1.5</v>
      </c>
    </row>
    <row r="950" spans="1:24" x14ac:dyDescent="0.45">
      <c r="A950">
        <v>67</v>
      </c>
      <c r="B950">
        <v>67</v>
      </c>
      <c r="C950" t="s">
        <v>648</v>
      </c>
      <c r="D950" t="s">
        <v>414</v>
      </c>
      <c r="F950">
        <v>2.83</v>
      </c>
      <c r="G950">
        <v>25627.623</v>
      </c>
      <c r="H950">
        <v>43750.964999999997</v>
      </c>
      <c r="I950">
        <v>5.8579999999999997</v>
      </c>
      <c r="J950" t="s">
        <v>415</v>
      </c>
      <c r="K950">
        <v>1.5</v>
      </c>
      <c r="N950">
        <v>20</v>
      </c>
      <c r="O950">
        <v>20</v>
      </c>
      <c r="P950" t="s">
        <v>674</v>
      </c>
      <c r="Q950" t="s">
        <v>414</v>
      </c>
      <c r="S950">
        <v>2.79</v>
      </c>
      <c r="T950">
        <v>5929.54</v>
      </c>
      <c r="U950">
        <v>28551.215</v>
      </c>
      <c r="V950">
        <v>2.077</v>
      </c>
      <c r="W950" t="s">
        <v>403</v>
      </c>
      <c r="X950">
        <v>2.5</v>
      </c>
    </row>
    <row r="951" spans="1:24" x14ac:dyDescent="0.45">
      <c r="A951">
        <v>68</v>
      </c>
      <c r="B951">
        <v>68</v>
      </c>
      <c r="C951" t="s">
        <v>649</v>
      </c>
      <c r="D951" t="s">
        <v>414</v>
      </c>
      <c r="F951">
        <v>2.83</v>
      </c>
      <c r="G951">
        <v>45076.82</v>
      </c>
      <c r="H951">
        <v>38240.472999999998</v>
      </c>
      <c r="I951">
        <v>11.788</v>
      </c>
      <c r="J951" t="s">
        <v>403</v>
      </c>
      <c r="K951">
        <v>3</v>
      </c>
      <c r="N951">
        <v>21</v>
      </c>
      <c r="O951">
        <v>21</v>
      </c>
      <c r="P951" t="s">
        <v>675</v>
      </c>
      <c r="Q951" t="s">
        <v>414</v>
      </c>
      <c r="S951">
        <v>2.79</v>
      </c>
      <c r="T951">
        <v>5011.9480000000003</v>
      </c>
      <c r="U951">
        <v>33726.175999999999</v>
      </c>
      <c r="V951">
        <v>1.486</v>
      </c>
      <c r="W951" t="s">
        <v>403</v>
      </c>
      <c r="X951">
        <v>1.6</v>
      </c>
    </row>
    <row r="952" spans="1:24" x14ac:dyDescent="0.45">
      <c r="A952">
        <v>69</v>
      </c>
      <c r="B952">
        <v>69</v>
      </c>
      <c r="C952" t="s">
        <v>650</v>
      </c>
      <c r="D952" t="s">
        <v>414</v>
      </c>
      <c r="F952">
        <v>2.83</v>
      </c>
      <c r="G952">
        <v>66050.593999999997</v>
      </c>
      <c r="H952">
        <v>51155.995999999999</v>
      </c>
      <c r="I952">
        <v>12.912000000000001</v>
      </c>
      <c r="J952" t="s">
        <v>415</v>
      </c>
      <c r="K952">
        <v>3.3</v>
      </c>
      <c r="N952">
        <v>22</v>
      </c>
      <c r="O952">
        <v>22</v>
      </c>
      <c r="P952" t="s">
        <v>676</v>
      </c>
      <c r="Q952" t="s">
        <v>414</v>
      </c>
      <c r="S952">
        <v>2.79</v>
      </c>
      <c r="T952">
        <v>5182.5609999999997</v>
      </c>
      <c r="U952">
        <v>28869.703000000001</v>
      </c>
      <c r="V952">
        <v>1.7949999999999999</v>
      </c>
      <c r="W952" t="s">
        <v>403</v>
      </c>
      <c r="X952">
        <v>2.1</v>
      </c>
    </row>
    <row r="953" spans="1:24" x14ac:dyDescent="0.45">
      <c r="N953">
        <v>23</v>
      </c>
      <c r="O953">
        <v>23</v>
      </c>
      <c r="P953" t="s">
        <v>677</v>
      </c>
      <c r="Q953" t="s">
        <v>414</v>
      </c>
      <c r="S953">
        <v>2.79</v>
      </c>
      <c r="T953">
        <v>2980.4340000000002</v>
      </c>
      <c r="U953">
        <v>28047.248</v>
      </c>
      <c r="V953">
        <v>1.0629999999999999</v>
      </c>
      <c r="W953" t="s">
        <v>403</v>
      </c>
      <c r="X953">
        <v>1</v>
      </c>
    </row>
    <row r="954" spans="1:24" x14ac:dyDescent="0.45">
      <c r="A954" t="s">
        <v>499</v>
      </c>
      <c r="N954">
        <v>24</v>
      </c>
      <c r="O954">
        <v>24</v>
      </c>
      <c r="P954" t="s">
        <v>678</v>
      </c>
      <c r="Q954" t="s">
        <v>414</v>
      </c>
      <c r="S954">
        <v>2.79</v>
      </c>
      <c r="T954">
        <v>3423.038</v>
      </c>
      <c r="U954">
        <v>22555.134999999998</v>
      </c>
      <c r="V954">
        <v>1.518</v>
      </c>
      <c r="W954" t="s">
        <v>403</v>
      </c>
      <c r="X954">
        <v>1.7</v>
      </c>
    </row>
    <row r="955" spans="1:24" x14ac:dyDescent="0.45">
      <c r="N955">
        <v>25</v>
      </c>
      <c r="O955">
        <v>25</v>
      </c>
      <c r="P955" t="s">
        <v>679</v>
      </c>
      <c r="Q955" t="s">
        <v>414</v>
      </c>
      <c r="S955">
        <v>2.79</v>
      </c>
      <c r="T955">
        <v>1703.2560000000001</v>
      </c>
      <c r="U955">
        <v>20327.953000000001</v>
      </c>
      <c r="V955">
        <v>0.83799999999999997</v>
      </c>
      <c r="W955" t="s">
        <v>488</v>
      </c>
      <c r="X955">
        <v>0.7</v>
      </c>
    </row>
    <row r="956" spans="1:24" x14ac:dyDescent="0.45">
      <c r="B956" t="s">
        <v>389</v>
      </c>
      <c r="C956" t="s">
        <v>123</v>
      </c>
      <c r="D956" t="s">
        <v>390</v>
      </c>
      <c r="E956" t="s">
        <v>391</v>
      </c>
      <c r="F956" t="s">
        <v>392</v>
      </c>
      <c r="G956" t="s">
        <v>393</v>
      </c>
      <c r="H956" t="s">
        <v>394</v>
      </c>
      <c r="I956" t="s">
        <v>395</v>
      </c>
      <c r="J956" t="s">
        <v>396</v>
      </c>
      <c r="K956" t="s">
        <v>397</v>
      </c>
      <c r="L956" t="s">
        <v>398</v>
      </c>
      <c r="N956">
        <v>26</v>
      </c>
      <c r="O956">
        <v>26</v>
      </c>
      <c r="P956" t="s">
        <v>680</v>
      </c>
      <c r="Q956" t="s">
        <v>414</v>
      </c>
      <c r="S956">
        <v>2.79</v>
      </c>
      <c r="T956">
        <v>1887.704</v>
      </c>
      <c r="U956">
        <v>21581.572</v>
      </c>
      <c r="V956">
        <v>0.875</v>
      </c>
      <c r="W956" t="s">
        <v>488</v>
      </c>
      <c r="X956">
        <v>0.8</v>
      </c>
    </row>
    <row r="957" spans="1:24" x14ac:dyDescent="0.45">
      <c r="A957">
        <v>1</v>
      </c>
      <c r="B957">
        <v>1</v>
      </c>
      <c r="C957" t="s">
        <v>582</v>
      </c>
      <c r="D957" t="s">
        <v>400</v>
      </c>
      <c r="E957">
        <v>0.05</v>
      </c>
      <c r="F957">
        <v>2.8</v>
      </c>
      <c r="G957">
        <v>3247.6260000000002</v>
      </c>
      <c r="H957">
        <v>117411.164</v>
      </c>
      <c r="I957">
        <v>0.27700000000000002</v>
      </c>
      <c r="J957" t="s">
        <v>478</v>
      </c>
      <c r="N957">
        <v>27</v>
      </c>
      <c r="O957">
        <v>27</v>
      </c>
      <c r="P957" t="s">
        <v>681</v>
      </c>
      <c r="Q957" t="s">
        <v>414</v>
      </c>
      <c r="S957">
        <v>2.79</v>
      </c>
      <c r="T957">
        <v>4511.4459999999999</v>
      </c>
      <c r="U957">
        <v>22295.338</v>
      </c>
      <c r="V957">
        <v>2.0230000000000001</v>
      </c>
      <c r="W957" t="s">
        <v>403</v>
      </c>
      <c r="X957">
        <v>2.4</v>
      </c>
    </row>
    <row r="958" spans="1:24" x14ac:dyDescent="0.45">
      <c r="A958">
        <v>2</v>
      </c>
      <c r="B958">
        <v>2</v>
      </c>
      <c r="C958" t="s">
        <v>583</v>
      </c>
      <c r="D958" t="s">
        <v>400</v>
      </c>
      <c r="E958">
        <v>0.5</v>
      </c>
      <c r="F958">
        <v>2.79</v>
      </c>
      <c r="G958">
        <v>9380.8690000000006</v>
      </c>
      <c r="H958">
        <v>138628.109</v>
      </c>
      <c r="I958">
        <v>0.67700000000000005</v>
      </c>
      <c r="J958" t="s">
        <v>403</v>
      </c>
      <c r="K958">
        <v>0.4</v>
      </c>
      <c r="L958">
        <v>-20</v>
      </c>
      <c r="N958">
        <v>28</v>
      </c>
      <c r="O958">
        <v>28</v>
      </c>
      <c r="P958" t="s">
        <v>682</v>
      </c>
      <c r="Q958" t="s">
        <v>414</v>
      </c>
      <c r="S958">
        <v>2.79</v>
      </c>
      <c r="T958">
        <v>3736.4409999999998</v>
      </c>
      <c r="U958">
        <v>25773.692999999999</v>
      </c>
      <c r="V958">
        <v>1.45</v>
      </c>
      <c r="W958" t="s">
        <v>403</v>
      </c>
      <c r="X958">
        <v>1.6</v>
      </c>
    </row>
    <row r="959" spans="1:24" x14ac:dyDescent="0.45">
      <c r="A959">
        <v>3</v>
      </c>
      <c r="B959">
        <v>3</v>
      </c>
      <c r="C959" t="s">
        <v>584</v>
      </c>
      <c r="D959" t="s">
        <v>400</v>
      </c>
      <c r="E959">
        <v>1.25</v>
      </c>
      <c r="F959">
        <v>2.79</v>
      </c>
      <c r="G959">
        <v>14781.45</v>
      </c>
      <c r="H959">
        <v>113435.594</v>
      </c>
      <c r="I959">
        <v>1.3029999999999999</v>
      </c>
      <c r="J959" t="s">
        <v>403</v>
      </c>
      <c r="K959">
        <v>1.4</v>
      </c>
      <c r="L959">
        <v>12.2</v>
      </c>
      <c r="N959">
        <v>29</v>
      </c>
      <c r="O959">
        <v>29</v>
      </c>
      <c r="P959" t="s">
        <v>683</v>
      </c>
      <c r="Q959" t="s">
        <v>414</v>
      </c>
      <c r="S959">
        <v>2.79</v>
      </c>
      <c r="T959">
        <v>1724.568</v>
      </c>
      <c r="U959">
        <v>30564.956999999999</v>
      </c>
      <c r="V959">
        <v>0.56399999999999995</v>
      </c>
      <c r="W959" t="s">
        <v>488</v>
      </c>
      <c r="X959">
        <v>0.3</v>
      </c>
    </row>
    <row r="960" spans="1:24" x14ac:dyDescent="0.45">
      <c r="A960">
        <v>4</v>
      </c>
      <c r="B960">
        <v>4</v>
      </c>
      <c r="C960" t="s">
        <v>585</v>
      </c>
      <c r="D960" t="s">
        <v>400</v>
      </c>
      <c r="E960">
        <v>2.5</v>
      </c>
      <c r="F960">
        <v>2.79</v>
      </c>
      <c r="G960">
        <v>25577.565999999999</v>
      </c>
      <c r="H960">
        <v>119644.523</v>
      </c>
      <c r="I960">
        <v>2.1379999999999999</v>
      </c>
      <c r="J960" t="s">
        <v>403</v>
      </c>
      <c r="K960">
        <v>2.7</v>
      </c>
      <c r="L960">
        <v>9.6</v>
      </c>
      <c r="N960">
        <v>30</v>
      </c>
      <c r="O960">
        <v>30</v>
      </c>
      <c r="P960" t="s">
        <v>684</v>
      </c>
      <c r="Q960" t="s">
        <v>414</v>
      </c>
      <c r="S960">
        <v>2.79</v>
      </c>
      <c r="T960">
        <v>3281.51</v>
      </c>
      <c r="U960">
        <v>23776.713</v>
      </c>
      <c r="V960">
        <v>1.38</v>
      </c>
      <c r="W960" t="s">
        <v>403</v>
      </c>
      <c r="X960">
        <v>1.5</v>
      </c>
    </row>
    <row r="961" spans="1:24" x14ac:dyDescent="0.45">
      <c r="A961">
        <v>5</v>
      </c>
      <c r="B961">
        <v>5</v>
      </c>
      <c r="C961" t="s">
        <v>586</v>
      </c>
      <c r="D961" t="s">
        <v>400</v>
      </c>
      <c r="E961">
        <v>3.5</v>
      </c>
      <c r="F961">
        <v>2.79</v>
      </c>
      <c r="G961">
        <v>36507.832000000002</v>
      </c>
      <c r="H961">
        <v>134062.71900000001</v>
      </c>
      <c r="I961">
        <v>2.7229999999999999</v>
      </c>
      <c r="J961" t="s">
        <v>403</v>
      </c>
      <c r="K961">
        <v>3.7</v>
      </c>
      <c r="L961">
        <v>5.0999999999999996</v>
      </c>
      <c r="N961">
        <v>31</v>
      </c>
      <c r="O961">
        <v>31</v>
      </c>
      <c r="P961" t="s">
        <v>685</v>
      </c>
      <c r="Q961" t="s">
        <v>414</v>
      </c>
      <c r="S961">
        <v>2.79</v>
      </c>
      <c r="T961">
        <v>3549.422</v>
      </c>
      <c r="U961">
        <v>33512.824000000001</v>
      </c>
      <c r="V961">
        <v>1.0589999999999999</v>
      </c>
      <c r="W961" t="s">
        <v>403</v>
      </c>
      <c r="X961">
        <v>1</v>
      </c>
    </row>
    <row r="962" spans="1:24" x14ac:dyDescent="0.45">
      <c r="A962">
        <v>6</v>
      </c>
      <c r="B962">
        <v>6</v>
      </c>
      <c r="C962" t="s">
        <v>587</v>
      </c>
      <c r="D962" t="s">
        <v>400</v>
      </c>
      <c r="E962">
        <v>5</v>
      </c>
      <c r="F962">
        <v>2.79</v>
      </c>
      <c r="G962">
        <v>48755.699000000001</v>
      </c>
      <c r="H962">
        <v>136304.92199999999</v>
      </c>
      <c r="I962">
        <v>3.577</v>
      </c>
      <c r="J962" t="s">
        <v>403</v>
      </c>
      <c r="K962">
        <v>5</v>
      </c>
      <c r="L962">
        <v>0.9</v>
      </c>
      <c r="N962">
        <v>32</v>
      </c>
      <c r="O962">
        <v>32</v>
      </c>
      <c r="P962" t="s">
        <v>686</v>
      </c>
      <c r="Q962" t="s">
        <v>414</v>
      </c>
      <c r="S962">
        <v>2.79</v>
      </c>
      <c r="T962">
        <v>5450.5129999999999</v>
      </c>
      <c r="U962">
        <v>44923.574000000001</v>
      </c>
      <c r="V962">
        <v>1.2130000000000001</v>
      </c>
      <c r="W962" t="s">
        <v>403</v>
      </c>
      <c r="X962">
        <v>1.2</v>
      </c>
    </row>
    <row r="963" spans="1:24" x14ac:dyDescent="0.45">
      <c r="A963">
        <v>7</v>
      </c>
      <c r="B963">
        <v>7</v>
      </c>
      <c r="C963" t="s">
        <v>588</v>
      </c>
      <c r="D963" t="s">
        <v>400</v>
      </c>
      <c r="E963">
        <v>7</v>
      </c>
      <c r="F963">
        <v>2.79</v>
      </c>
      <c r="G963">
        <v>54281.309000000001</v>
      </c>
      <c r="H963">
        <v>116567.164</v>
      </c>
      <c r="I963">
        <v>4.657</v>
      </c>
      <c r="J963" t="s">
        <v>403</v>
      </c>
      <c r="K963">
        <v>6.8</v>
      </c>
      <c r="L963">
        <v>-3.2</v>
      </c>
      <c r="N963">
        <v>33</v>
      </c>
      <c r="O963">
        <v>33</v>
      </c>
      <c r="P963" t="s">
        <v>687</v>
      </c>
      <c r="Q963" t="s">
        <v>414</v>
      </c>
      <c r="S963">
        <v>2.79</v>
      </c>
      <c r="T963">
        <v>3829.0309999999999</v>
      </c>
      <c r="U963">
        <v>43166.093999999997</v>
      </c>
      <c r="V963">
        <v>0.88700000000000001</v>
      </c>
      <c r="W963" t="s">
        <v>403</v>
      </c>
      <c r="X963">
        <v>0.8</v>
      </c>
    </row>
    <row r="964" spans="1:24" x14ac:dyDescent="0.45">
      <c r="A964">
        <v>8</v>
      </c>
      <c r="B964">
        <v>8</v>
      </c>
      <c r="C964" t="s">
        <v>589</v>
      </c>
      <c r="D964" t="s">
        <v>410</v>
      </c>
      <c r="F964">
        <v>3.86</v>
      </c>
      <c r="G964">
        <v>2086.9560000000001</v>
      </c>
      <c r="H964">
        <v>7470.3019999999997</v>
      </c>
      <c r="I964">
        <v>2.794</v>
      </c>
      <c r="J964" t="s">
        <v>401</v>
      </c>
      <c r="K964">
        <v>3.8</v>
      </c>
      <c r="N964">
        <v>34</v>
      </c>
      <c r="O964">
        <v>34</v>
      </c>
      <c r="P964" t="s">
        <v>688</v>
      </c>
      <c r="Q964" t="s">
        <v>414</v>
      </c>
      <c r="S964">
        <v>2.79</v>
      </c>
      <c r="T964">
        <v>3974.66</v>
      </c>
      <c r="U964">
        <v>40017.68</v>
      </c>
      <c r="V964">
        <v>0.99299999999999999</v>
      </c>
      <c r="W964" t="s">
        <v>403</v>
      </c>
      <c r="X964">
        <v>0.9</v>
      </c>
    </row>
    <row r="965" spans="1:24" x14ac:dyDescent="0.45">
      <c r="A965">
        <v>9</v>
      </c>
      <c r="B965">
        <v>9</v>
      </c>
      <c r="C965" t="s">
        <v>590</v>
      </c>
      <c r="D965" t="s">
        <v>410</v>
      </c>
      <c r="F965">
        <v>3.47</v>
      </c>
      <c r="G965">
        <v>2134.0390000000002</v>
      </c>
      <c r="H965">
        <v>2630.6849999999999</v>
      </c>
      <c r="I965">
        <v>8.1120000000000001</v>
      </c>
      <c r="J965" t="s">
        <v>412</v>
      </c>
      <c r="K965">
        <v>12.3</v>
      </c>
      <c r="N965">
        <v>35</v>
      </c>
      <c r="O965">
        <v>35</v>
      </c>
      <c r="P965" t="s">
        <v>689</v>
      </c>
      <c r="Q965" t="s">
        <v>414</v>
      </c>
      <c r="S965">
        <v>2.79</v>
      </c>
      <c r="T965">
        <v>4892.085</v>
      </c>
      <c r="U965">
        <v>49998.508000000002</v>
      </c>
      <c r="V965">
        <v>0.97799999999999998</v>
      </c>
      <c r="W965" t="s">
        <v>403</v>
      </c>
      <c r="X965">
        <v>0.9</v>
      </c>
    </row>
    <row r="966" spans="1:24" x14ac:dyDescent="0.45">
      <c r="A966">
        <v>10</v>
      </c>
      <c r="B966">
        <v>10</v>
      </c>
      <c r="C966" t="s">
        <v>591</v>
      </c>
      <c r="D966" t="s">
        <v>414</v>
      </c>
      <c r="F966">
        <v>2.79</v>
      </c>
      <c r="G966">
        <v>4685.1689999999999</v>
      </c>
      <c r="H966">
        <v>60054.163999999997</v>
      </c>
      <c r="I966">
        <v>0.78</v>
      </c>
      <c r="J966" t="s">
        <v>403</v>
      </c>
      <c r="K966">
        <v>0.6</v>
      </c>
      <c r="N966">
        <v>36</v>
      </c>
      <c r="O966">
        <v>36</v>
      </c>
      <c r="P966" t="s">
        <v>690</v>
      </c>
      <c r="Q966" t="s">
        <v>414</v>
      </c>
      <c r="S966">
        <v>2.79</v>
      </c>
      <c r="T966">
        <v>6314.2889999999998</v>
      </c>
      <c r="U966">
        <v>27517.188999999998</v>
      </c>
      <c r="V966">
        <v>2.2949999999999999</v>
      </c>
      <c r="W966" t="s">
        <v>403</v>
      </c>
      <c r="X966">
        <v>2.8</v>
      </c>
    </row>
    <row r="967" spans="1:24" x14ac:dyDescent="0.45">
      <c r="A967">
        <v>11</v>
      </c>
      <c r="B967">
        <v>11</v>
      </c>
      <c r="C967" t="s">
        <v>592</v>
      </c>
      <c r="D967" t="s">
        <v>414</v>
      </c>
      <c r="F967">
        <v>2.78</v>
      </c>
      <c r="G967">
        <v>498.399</v>
      </c>
      <c r="H967">
        <v>20785.078000000001</v>
      </c>
      <c r="I967">
        <v>0.24</v>
      </c>
      <c r="J967" t="s">
        <v>483</v>
      </c>
      <c r="N967">
        <v>37</v>
      </c>
      <c r="O967">
        <v>37</v>
      </c>
      <c r="P967" t="s">
        <v>691</v>
      </c>
      <c r="Q967" t="s">
        <v>414</v>
      </c>
      <c r="S967">
        <v>2.79</v>
      </c>
      <c r="T967">
        <v>4419.2290000000003</v>
      </c>
      <c r="U967">
        <v>22755.203000000001</v>
      </c>
      <c r="V967">
        <v>1.9419999999999999</v>
      </c>
      <c r="W967" t="s">
        <v>403</v>
      </c>
      <c r="X967">
        <v>2.2999999999999998</v>
      </c>
    </row>
    <row r="968" spans="1:24" x14ac:dyDescent="0.45">
      <c r="A968">
        <v>12</v>
      </c>
      <c r="B968">
        <v>12</v>
      </c>
      <c r="C968" t="s">
        <v>593</v>
      </c>
      <c r="D968" t="s">
        <v>414</v>
      </c>
      <c r="F968">
        <v>2.79</v>
      </c>
      <c r="G968">
        <v>1409.3430000000001</v>
      </c>
      <c r="H968">
        <v>35113.836000000003</v>
      </c>
      <c r="I968">
        <v>0.40100000000000002</v>
      </c>
      <c r="J968" t="s">
        <v>483</v>
      </c>
      <c r="N968">
        <v>38</v>
      </c>
      <c r="O968">
        <v>38</v>
      </c>
      <c r="P968" t="s">
        <v>692</v>
      </c>
      <c r="Q968" t="s">
        <v>414</v>
      </c>
      <c r="S968">
        <v>2.79</v>
      </c>
      <c r="T968">
        <v>2135</v>
      </c>
      <c r="U968">
        <v>30332.245999999999</v>
      </c>
      <c r="V968">
        <v>0.70399999999999996</v>
      </c>
      <c r="W968" t="s">
        <v>488</v>
      </c>
      <c r="X968">
        <v>0.5</v>
      </c>
    </row>
    <row r="969" spans="1:24" x14ac:dyDescent="0.45">
      <c r="A969">
        <v>13</v>
      </c>
      <c r="B969">
        <v>13</v>
      </c>
      <c r="C969" t="s">
        <v>594</v>
      </c>
      <c r="D969" t="s">
        <v>414</v>
      </c>
      <c r="F969">
        <v>2.79</v>
      </c>
      <c r="G969">
        <v>3097.9789999999998</v>
      </c>
      <c r="H969">
        <v>63296.608999999997</v>
      </c>
      <c r="I969">
        <v>0.48899999999999999</v>
      </c>
      <c r="J969" t="s">
        <v>488</v>
      </c>
      <c r="K969">
        <v>0.1</v>
      </c>
      <c r="N969">
        <v>39</v>
      </c>
      <c r="O969">
        <v>39</v>
      </c>
      <c r="P969" t="s">
        <v>693</v>
      </c>
      <c r="Q969" t="s">
        <v>414</v>
      </c>
      <c r="S969">
        <v>2.79</v>
      </c>
      <c r="T969">
        <v>2709.1979999999999</v>
      </c>
      <c r="U969">
        <v>31883.062999999998</v>
      </c>
      <c r="V969">
        <v>0.85</v>
      </c>
      <c r="W969" t="s">
        <v>488</v>
      </c>
      <c r="X969">
        <v>0.7</v>
      </c>
    </row>
    <row r="970" spans="1:24" x14ac:dyDescent="0.45">
      <c r="A970">
        <v>14</v>
      </c>
      <c r="B970">
        <v>14</v>
      </c>
      <c r="C970" t="s">
        <v>595</v>
      </c>
      <c r="D970" t="s">
        <v>414</v>
      </c>
      <c r="F970">
        <v>2.79</v>
      </c>
      <c r="G970">
        <v>2973.73</v>
      </c>
      <c r="H970">
        <v>58263.476999999999</v>
      </c>
      <c r="I970">
        <v>0.51</v>
      </c>
      <c r="J970" t="s">
        <v>403</v>
      </c>
      <c r="K970">
        <v>0.1</v>
      </c>
      <c r="N970">
        <v>40</v>
      </c>
      <c r="O970">
        <v>40</v>
      </c>
      <c r="P970" t="s">
        <v>694</v>
      </c>
      <c r="Q970" t="s">
        <v>414</v>
      </c>
      <c r="S970">
        <v>2.79</v>
      </c>
      <c r="T970">
        <v>3530.9270000000001</v>
      </c>
      <c r="U970">
        <v>62225.445</v>
      </c>
      <c r="V970">
        <v>0.56699999999999995</v>
      </c>
      <c r="W970" t="s">
        <v>403</v>
      </c>
      <c r="X970">
        <v>0.3</v>
      </c>
    </row>
    <row r="971" spans="1:24" x14ac:dyDescent="0.45">
      <c r="A971">
        <v>15</v>
      </c>
      <c r="B971">
        <v>15</v>
      </c>
      <c r="C971" t="s">
        <v>596</v>
      </c>
      <c r="D971" t="s">
        <v>414</v>
      </c>
      <c r="F971">
        <v>2.79</v>
      </c>
      <c r="G971">
        <v>3776.74</v>
      </c>
      <c r="H971">
        <v>81676.679999999993</v>
      </c>
      <c r="I971">
        <v>0.46200000000000002</v>
      </c>
      <c r="J971" t="s">
        <v>403</v>
      </c>
      <c r="K971">
        <v>0.1</v>
      </c>
      <c r="N971">
        <v>41</v>
      </c>
      <c r="O971">
        <v>41</v>
      </c>
      <c r="P971" t="s">
        <v>695</v>
      </c>
      <c r="Q971" t="s">
        <v>414</v>
      </c>
      <c r="S971">
        <v>2.79</v>
      </c>
      <c r="T971">
        <v>3360.3069999999998</v>
      </c>
      <c r="U971">
        <v>65159.101999999999</v>
      </c>
      <c r="V971">
        <v>0.51600000000000001</v>
      </c>
      <c r="W971" t="s">
        <v>403</v>
      </c>
      <c r="X971">
        <v>0.2</v>
      </c>
    </row>
    <row r="972" spans="1:24" x14ac:dyDescent="0.45">
      <c r="A972">
        <v>16</v>
      </c>
      <c r="B972">
        <v>16</v>
      </c>
      <c r="C972" t="s">
        <v>597</v>
      </c>
      <c r="D972" t="s">
        <v>414</v>
      </c>
      <c r="F972">
        <v>2.79</v>
      </c>
      <c r="G972">
        <v>4203.0290000000005</v>
      </c>
      <c r="H972">
        <v>92352.101999999999</v>
      </c>
      <c r="I972">
        <v>0.45500000000000002</v>
      </c>
      <c r="J972" t="s">
        <v>403</v>
      </c>
      <c r="K972">
        <v>0</v>
      </c>
      <c r="N972">
        <v>42</v>
      </c>
      <c r="O972">
        <v>42</v>
      </c>
      <c r="P972" t="s">
        <v>696</v>
      </c>
      <c r="Q972" t="s">
        <v>414</v>
      </c>
      <c r="S972">
        <v>2.79</v>
      </c>
      <c r="T972">
        <v>4024.71</v>
      </c>
      <c r="U972">
        <v>62551.48</v>
      </c>
      <c r="V972">
        <v>0.64300000000000002</v>
      </c>
      <c r="W972" t="s">
        <v>403</v>
      </c>
      <c r="X972">
        <v>0.4</v>
      </c>
    </row>
    <row r="973" spans="1:24" x14ac:dyDescent="0.45">
      <c r="A973">
        <v>17</v>
      </c>
      <c r="B973">
        <v>17</v>
      </c>
      <c r="C973" t="s">
        <v>598</v>
      </c>
      <c r="D973" t="s">
        <v>414</v>
      </c>
      <c r="F973">
        <v>2.79</v>
      </c>
      <c r="G973">
        <v>4783.0349999999999</v>
      </c>
      <c r="H973">
        <v>88977.804999999993</v>
      </c>
      <c r="I973">
        <v>0.53800000000000003</v>
      </c>
      <c r="J973" t="s">
        <v>403</v>
      </c>
      <c r="K973">
        <v>0.2</v>
      </c>
      <c r="N973">
        <v>43</v>
      </c>
      <c r="O973">
        <v>43</v>
      </c>
      <c r="P973" t="s">
        <v>697</v>
      </c>
      <c r="Q973" t="s">
        <v>414</v>
      </c>
      <c r="S973">
        <v>2.79</v>
      </c>
      <c r="T973">
        <v>4454.0510000000004</v>
      </c>
      <c r="U973">
        <v>69802.491999999998</v>
      </c>
      <c r="V973">
        <v>0.63800000000000001</v>
      </c>
      <c r="W973" t="s">
        <v>403</v>
      </c>
      <c r="X973">
        <v>0.4</v>
      </c>
    </row>
    <row r="974" spans="1:24" x14ac:dyDescent="0.45">
      <c r="A974">
        <v>18</v>
      </c>
      <c r="B974">
        <v>18</v>
      </c>
      <c r="C974" t="s">
        <v>599</v>
      </c>
      <c r="D974" t="s">
        <v>414</v>
      </c>
      <c r="F974">
        <v>2.79</v>
      </c>
      <c r="G974">
        <v>3120.4029999999998</v>
      </c>
      <c r="H974">
        <v>26907.398000000001</v>
      </c>
      <c r="I974">
        <v>1.1599999999999999</v>
      </c>
      <c r="J974" t="s">
        <v>403</v>
      </c>
      <c r="K974">
        <v>1.2</v>
      </c>
      <c r="N974">
        <v>44</v>
      </c>
      <c r="O974">
        <v>44</v>
      </c>
      <c r="P974" t="s">
        <v>698</v>
      </c>
      <c r="Q974" t="s">
        <v>414</v>
      </c>
      <c r="S974">
        <v>2.79</v>
      </c>
      <c r="T974">
        <v>3211.4859999999999</v>
      </c>
      <c r="U974">
        <v>62200.565999999999</v>
      </c>
      <c r="V974">
        <v>0.51600000000000001</v>
      </c>
      <c r="W974" t="s">
        <v>403</v>
      </c>
      <c r="X974">
        <v>0.2</v>
      </c>
    </row>
    <row r="975" spans="1:24" x14ac:dyDescent="0.45">
      <c r="A975">
        <v>19</v>
      </c>
      <c r="B975">
        <v>19</v>
      </c>
      <c r="C975" t="s">
        <v>600</v>
      </c>
      <c r="D975" t="s">
        <v>414</v>
      </c>
      <c r="F975">
        <v>2.79</v>
      </c>
      <c r="G975">
        <v>5062.125</v>
      </c>
      <c r="H975">
        <v>33219.324000000001</v>
      </c>
      <c r="I975">
        <v>1.524</v>
      </c>
      <c r="J975" t="s">
        <v>403</v>
      </c>
      <c r="K975">
        <v>1.8</v>
      </c>
      <c r="N975">
        <v>45</v>
      </c>
      <c r="O975">
        <v>45</v>
      </c>
      <c r="P975" t="s">
        <v>699</v>
      </c>
      <c r="Q975" t="s">
        <v>414</v>
      </c>
      <c r="S975">
        <v>2.79</v>
      </c>
      <c r="T975">
        <v>2632.9549999999999</v>
      </c>
      <c r="U975">
        <v>38354.843999999997</v>
      </c>
      <c r="V975">
        <v>0.68600000000000005</v>
      </c>
      <c r="W975" t="s">
        <v>403</v>
      </c>
      <c r="X975">
        <v>0.5</v>
      </c>
    </row>
    <row r="976" spans="1:24" x14ac:dyDescent="0.45">
      <c r="A976">
        <v>20</v>
      </c>
      <c r="B976">
        <v>20</v>
      </c>
      <c r="C976" t="s">
        <v>601</v>
      </c>
      <c r="D976" t="s">
        <v>414</v>
      </c>
      <c r="F976">
        <v>2.79</v>
      </c>
      <c r="G976">
        <v>629.93200000000002</v>
      </c>
      <c r="H976">
        <v>21503.061000000002</v>
      </c>
      <c r="I976">
        <v>0.29299999999999998</v>
      </c>
      <c r="J976" t="s">
        <v>483</v>
      </c>
      <c r="N976">
        <v>46</v>
      </c>
      <c r="O976">
        <v>46</v>
      </c>
      <c r="P976" t="s">
        <v>700</v>
      </c>
      <c r="Q976" t="s">
        <v>414</v>
      </c>
      <c r="S976">
        <v>2.79</v>
      </c>
      <c r="T976">
        <v>1947.2550000000001</v>
      </c>
      <c r="U976">
        <v>64870.605000000003</v>
      </c>
      <c r="V976">
        <v>0.3</v>
      </c>
      <c r="W976" t="s">
        <v>483</v>
      </c>
    </row>
    <row r="977" spans="1:24" x14ac:dyDescent="0.45">
      <c r="A977">
        <v>21</v>
      </c>
      <c r="B977">
        <v>21</v>
      </c>
      <c r="C977" t="s">
        <v>602</v>
      </c>
      <c r="D977" t="s">
        <v>414</v>
      </c>
      <c r="F977">
        <v>2.8</v>
      </c>
      <c r="G977">
        <v>720.529</v>
      </c>
      <c r="H977">
        <v>36740.586000000003</v>
      </c>
      <c r="I977">
        <v>0.19600000000000001</v>
      </c>
      <c r="J977" t="s">
        <v>483</v>
      </c>
      <c r="N977">
        <v>47</v>
      </c>
      <c r="O977">
        <v>47</v>
      </c>
      <c r="P977" t="s">
        <v>701</v>
      </c>
      <c r="Q977" t="s">
        <v>414</v>
      </c>
      <c r="S977">
        <v>2.79</v>
      </c>
      <c r="T977">
        <v>1618.16</v>
      </c>
      <c r="U977">
        <v>63617.777000000002</v>
      </c>
      <c r="V977">
        <v>0.254</v>
      </c>
      <c r="W977" t="s">
        <v>483</v>
      </c>
    </row>
    <row r="978" spans="1:24" x14ac:dyDescent="0.45">
      <c r="A978">
        <v>22</v>
      </c>
      <c r="B978">
        <v>22</v>
      </c>
      <c r="C978" t="s">
        <v>603</v>
      </c>
      <c r="D978" t="s">
        <v>414</v>
      </c>
      <c r="F978">
        <v>2.79</v>
      </c>
      <c r="G978">
        <v>5334.491</v>
      </c>
      <c r="H978">
        <v>81595.695000000007</v>
      </c>
      <c r="I978">
        <v>0.65400000000000003</v>
      </c>
      <c r="J978" t="s">
        <v>403</v>
      </c>
      <c r="K978">
        <v>0.4</v>
      </c>
      <c r="N978">
        <v>48</v>
      </c>
      <c r="O978">
        <v>48</v>
      </c>
      <c r="P978" t="s">
        <v>702</v>
      </c>
      <c r="Q978" t="s">
        <v>414</v>
      </c>
      <c r="S978">
        <v>2.79</v>
      </c>
      <c r="T978">
        <v>2309.3989999999999</v>
      </c>
      <c r="U978">
        <v>69169.375</v>
      </c>
      <c r="V978">
        <v>0.33400000000000002</v>
      </c>
      <c r="W978" t="s">
        <v>483</v>
      </c>
    </row>
    <row r="979" spans="1:24" x14ac:dyDescent="0.45">
      <c r="A979">
        <v>23</v>
      </c>
      <c r="B979">
        <v>23</v>
      </c>
      <c r="C979" t="s">
        <v>604</v>
      </c>
      <c r="D979" t="s">
        <v>414</v>
      </c>
      <c r="F979">
        <v>2.79</v>
      </c>
      <c r="G979">
        <v>2134.0749999999998</v>
      </c>
      <c r="H979">
        <v>80605.625</v>
      </c>
      <c r="I979">
        <v>0.26500000000000001</v>
      </c>
      <c r="J979" t="s">
        <v>483</v>
      </c>
      <c r="N979">
        <v>49</v>
      </c>
      <c r="O979">
        <v>49</v>
      </c>
      <c r="P979" t="s">
        <v>703</v>
      </c>
      <c r="Q979" t="s">
        <v>414</v>
      </c>
      <c r="S979">
        <v>2.79</v>
      </c>
      <c r="T979">
        <v>2242.904</v>
      </c>
      <c r="U979">
        <v>67523.733999999997</v>
      </c>
      <c r="V979">
        <v>0.33200000000000002</v>
      </c>
      <c r="W979" t="s">
        <v>483</v>
      </c>
    </row>
    <row r="980" spans="1:24" x14ac:dyDescent="0.45">
      <c r="A980">
        <v>24</v>
      </c>
      <c r="B980">
        <v>24</v>
      </c>
      <c r="C980" t="s">
        <v>605</v>
      </c>
      <c r="D980" t="s">
        <v>414</v>
      </c>
      <c r="F980">
        <v>2.79</v>
      </c>
      <c r="G980">
        <v>2694.5610000000001</v>
      </c>
      <c r="H980">
        <v>50490.616999999998</v>
      </c>
      <c r="I980">
        <v>0.53400000000000003</v>
      </c>
      <c r="J980" t="s">
        <v>403</v>
      </c>
      <c r="K980">
        <v>0.2</v>
      </c>
      <c r="N980">
        <v>50</v>
      </c>
      <c r="O980">
        <v>50</v>
      </c>
      <c r="P980" t="s">
        <v>704</v>
      </c>
      <c r="Q980" t="s">
        <v>414</v>
      </c>
      <c r="S980">
        <v>2.79</v>
      </c>
      <c r="T980">
        <v>1994.5160000000001</v>
      </c>
      <c r="U980">
        <v>61063.315999999999</v>
      </c>
      <c r="V980">
        <v>0.32700000000000001</v>
      </c>
      <c r="W980" t="s">
        <v>483</v>
      </c>
    </row>
    <row r="981" spans="1:24" x14ac:dyDescent="0.45">
      <c r="A981">
        <v>25</v>
      </c>
      <c r="B981">
        <v>25</v>
      </c>
      <c r="C981" t="s">
        <v>606</v>
      </c>
      <c r="D981" t="s">
        <v>414</v>
      </c>
      <c r="F981">
        <v>2.79</v>
      </c>
      <c r="G981">
        <v>1615.5540000000001</v>
      </c>
      <c r="H981">
        <v>56918.065999999999</v>
      </c>
      <c r="I981">
        <v>0.28399999999999997</v>
      </c>
      <c r="J981" t="s">
        <v>483</v>
      </c>
      <c r="N981">
        <v>51</v>
      </c>
      <c r="O981">
        <v>51</v>
      </c>
      <c r="P981" t="s">
        <v>705</v>
      </c>
      <c r="Q981" t="s">
        <v>414</v>
      </c>
      <c r="S981">
        <v>2.78</v>
      </c>
      <c r="T981">
        <v>710.48099999999999</v>
      </c>
      <c r="U981">
        <v>19284.455000000002</v>
      </c>
      <c r="V981">
        <v>0.36799999999999999</v>
      </c>
      <c r="W981" t="s">
        <v>488</v>
      </c>
      <c r="X981">
        <v>0</v>
      </c>
    </row>
    <row r="982" spans="1:24" x14ac:dyDescent="0.45">
      <c r="A982">
        <v>26</v>
      </c>
      <c r="B982">
        <v>26</v>
      </c>
      <c r="C982" t="s">
        <v>607</v>
      </c>
      <c r="D982" t="s">
        <v>414</v>
      </c>
      <c r="F982">
        <v>2.79</v>
      </c>
      <c r="G982">
        <v>2549.9650000000001</v>
      </c>
      <c r="H982">
        <v>41859.836000000003</v>
      </c>
      <c r="I982">
        <v>0.60899999999999999</v>
      </c>
      <c r="J982" t="s">
        <v>488</v>
      </c>
      <c r="K982">
        <v>0.3</v>
      </c>
      <c r="N982">
        <v>52</v>
      </c>
      <c r="O982">
        <v>52</v>
      </c>
      <c r="P982" t="s">
        <v>706</v>
      </c>
      <c r="Q982" t="s">
        <v>414</v>
      </c>
      <c r="S982">
        <v>2.79</v>
      </c>
      <c r="T982">
        <v>3619.107</v>
      </c>
      <c r="U982">
        <v>58839.02</v>
      </c>
      <c r="V982">
        <v>0.61499999999999999</v>
      </c>
      <c r="W982" t="s">
        <v>403</v>
      </c>
      <c r="X982">
        <v>0.4</v>
      </c>
    </row>
    <row r="983" spans="1:24" x14ac:dyDescent="0.45">
      <c r="A983">
        <v>27</v>
      </c>
      <c r="B983">
        <v>27</v>
      </c>
      <c r="C983" t="s">
        <v>608</v>
      </c>
      <c r="D983" t="s">
        <v>414</v>
      </c>
      <c r="F983">
        <v>2.79</v>
      </c>
      <c r="G983">
        <v>3196.569</v>
      </c>
      <c r="H983">
        <v>81430.202999999994</v>
      </c>
      <c r="I983">
        <v>0.39300000000000002</v>
      </c>
      <c r="J983" t="s">
        <v>483</v>
      </c>
      <c r="N983">
        <v>53</v>
      </c>
      <c r="O983">
        <v>53</v>
      </c>
      <c r="P983" t="s">
        <v>707</v>
      </c>
      <c r="Q983" t="s">
        <v>414</v>
      </c>
      <c r="S983">
        <v>2.79</v>
      </c>
      <c r="T983">
        <v>3667.5079999999998</v>
      </c>
      <c r="U983">
        <v>63788.012000000002</v>
      </c>
      <c r="V983">
        <v>0.57499999999999996</v>
      </c>
      <c r="W983" t="s">
        <v>403</v>
      </c>
      <c r="X983">
        <v>0.3</v>
      </c>
    </row>
    <row r="984" spans="1:24" x14ac:dyDescent="0.45">
      <c r="A984">
        <v>28</v>
      </c>
      <c r="B984">
        <v>28</v>
      </c>
      <c r="C984" t="s">
        <v>609</v>
      </c>
      <c r="D984" t="s">
        <v>414</v>
      </c>
      <c r="F984">
        <v>2.79</v>
      </c>
      <c r="G984">
        <v>2011.6389999999999</v>
      </c>
      <c r="H984">
        <v>56940.358999999997</v>
      </c>
      <c r="I984">
        <v>0.35299999999999998</v>
      </c>
      <c r="J984" t="s">
        <v>483</v>
      </c>
      <c r="N984">
        <v>54</v>
      </c>
      <c r="O984">
        <v>54</v>
      </c>
      <c r="P984" t="s">
        <v>708</v>
      </c>
      <c r="Q984" t="s">
        <v>414</v>
      </c>
      <c r="S984">
        <v>2.79</v>
      </c>
      <c r="T984">
        <v>3076.694</v>
      </c>
      <c r="U984">
        <v>59934.800999999999</v>
      </c>
      <c r="V984">
        <v>0.51300000000000001</v>
      </c>
      <c r="W984" t="s">
        <v>403</v>
      </c>
      <c r="X984">
        <v>0.2</v>
      </c>
    </row>
    <row r="985" spans="1:24" x14ac:dyDescent="0.45">
      <c r="A985">
        <v>29</v>
      </c>
      <c r="B985">
        <v>29</v>
      </c>
      <c r="C985" t="s">
        <v>610</v>
      </c>
      <c r="D985" t="s">
        <v>414</v>
      </c>
      <c r="F985">
        <v>2.79</v>
      </c>
      <c r="G985">
        <v>1190.4010000000001</v>
      </c>
      <c r="H985">
        <v>41702.207000000002</v>
      </c>
      <c r="I985">
        <v>0.28499999999999998</v>
      </c>
      <c r="J985" t="s">
        <v>483</v>
      </c>
      <c r="N985">
        <v>55</v>
      </c>
      <c r="O985">
        <v>55</v>
      </c>
      <c r="P985" t="s">
        <v>709</v>
      </c>
      <c r="Q985" t="s">
        <v>414</v>
      </c>
      <c r="S985">
        <v>2.79</v>
      </c>
      <c r="T985">
        <v>3678.5349999999999</v>
      </c>
      <c r="U985">
        <v>61284.472999999998</v>
      </c>
      <c r="V985">
        <v>0.6</v>
      </c>
      <c r="W985" t="s">
        <v>401</v>
      </c>
      <c r="X985">
        <v>0.4</v>
      </c>
    </row>
    <row r="986" spans="1:24" x14ac:dyDescent="0.45">
      <c r="A986">
        <v>30</v>
      </c>
      <c r="B986">
        <v>30</v>
      </c>
      <c r="C986" t="s">
        <v>611</v>
      </c>
      <c r="D986" t="s">
        <v>414</v>
      </c>
      <c r="F986">
        <v>2.79</v>
      </c>
      <c r="G986">
        <v>2633.768</v>
      </c>
      <c r="H986">
        <v>42583.41</v>
      </c>
      <c r="I986">
        <v>0.61799999999999999</v>
      </c>
      <c r="J986" t="s">
        <v>403</v>
      </c>
      <c r="K986">
        <v>0.3</v>
      </c>
      <c r="N986">
        <v>56</v>
      </c>
      <c r="O986">
        <v>56</v>
      </c>
      <c r="P986" t="s">
        <v>710</v>
      </c>
      <c r="Q986" t="s">
        <v>414</v>
      </c>
      <c r="S986">
        <v>2.79</v>
      </c>
      <c r="T986">
        <v>5201.7299999999996</v>
      </c>
      <c r="U986">
        <v>71664.577999999994</v>
      </c>
      <c r="V986">
        <v>0.72599999999999998</v>
      </c>
      <c r="W986" t="s">
        <v>403</v>
      </c>
      <c r="X986">
        <v>0.5</v>
      </c>
    </row>
    <row r="987" spans="1:24" x14ac:dyDescent="0.45">
      <c r="A987">
        <v>31</v>
      </c>
      <c r="B987">
        <v>31</v>
      </c>
      <c r="C987" t="s">
        <v>612</v>
      </c>
      <c r="D987" t="s">
        <v>414</v>
      </c>
      <c r="F987">
        <v>2.79</v>
      </c>
      <c r="G987">
        <v>3475.8249999999998</v>
      </c>
      <c r="H987">
        <v>45260.141000000003</v>
      </c>
      <c r="I987">
        <v>0.76800000000000002</v>
      </c>
      <c r="J987" t="s">
        <v>403</v>
      </c>
      <c r="K987">
        <v>0.5</v>
      </c>
      <c r="N987">
        <v>57</v>
      </c>
      <c r="O987">
        <v>57</v>
      </c>
      <c r="P987" t="s">
        <v>711</v>
      </c>
      <c r="Q987" t="s">
        <v>414</v>
      </c>
      <c r="S987">
        <v>2.79</v>
      </c>
      <c r="T987">
        <v>3575.625</v>
      </c>
      <c r="U987">
        <v>77849.312999999995</v>
      </c>
      <c r="V987">
        <v>0.45900000000000002</v>
      </c>
      <c r="W987" t="s">
        <v>403</v>
      </c>
      <c r="X987">
        <v>0.2</v>
      </c>
    </row>
    <row r="988" spans="1:24" x14ac:dyDescent="0.45">
      <c r="A988">
        <v>32</v>
      </c>
      <c r="B988">
        <v>32</v>
      </c>
      <c r="C988" t="s">
        <v>613</v>
      </c>
      <c r="D988" t="s">
        <v>414</v>
      </c>
      <c r="F988">
        <v>2.79</v>
      </c>
      <c r="G988">
        <v>3025.788</v>
      </c>
      <c r="H988">
        <v>39332.086000000003</v>
      </c>
      <c r="I988">
        <v>0.76900000000000002</v>
      </c>
      <c r="J988" t="s">
        <v>403</v>
      </c>
      <c r="K988">
        <v>0.5</v>
      </c>
      <c r="N988">
        <v>58</v>
      </c>
      <c r="O988">
        <v>58</v>
      </c>
      <c r="P988" t="s">
        <v>712</v>
      </c>
      <c r="Q988" t="s">
        <v>414</v>
      </c>
      <c r="S988">
        <v>2.79</v>
      </c>
      <c r="T988">
        <v>5179.74</v>
      </c>
      <c r="U988">
        <v>78922.476999999999</v>
      </c>
      <c r="V988">
        <v>0.65600000000000003</v>
      </c>
      <c r="W988" t="s">
        <v>403</v>
      </c>
      <c r="X988">
        <v>0.4</v>
      </c>
    </row>
    <row r="989" spans="1:24" x14ac:dyDescent="0.45">
      <c r="A989">
        <v>33</v>
      </c>
      <c r="B989">
        <v>33</v>
      </c>
      <c r="C989" t="s">
        <v>614</v>
      </c>
      <c r="D989" t="s">
        <v>414</v>
      </c>
      <c r="F989">
        <v>2.78</v>
      </c>
      <c r="G989">
        <v>905.70100000000002</v>
      </c>
      <c r="H989">
        <v>32713.895</v>
      </c>
      <c r="I989">
        <v>0.27700000000000002</v>
      </c>
      <c r="J989" t="s">
        <v>483</v>
      </c>
      <c r="N989">
        <v>59</v>
      </c>
      <c r="O989">
        <v>59</v>
      </c>
      <c r="P989" t="s">
        <v>713</v>
      </c>
      <c r="Q989" t="s">
        <v>414</v>
      </c>
      <c r="S989">
        <v>2.78</v>
      </c>
      <c r="T989">
        <v>1056.2670000000001</v>
      </c>
      <c r="U989">
        <v>37659.269999999997</v>
      </c>
      <c r="V989">
        <v>0.28000000000000003</v>
      </c>
      <c r="W989" t="s">
        <v>483</v>
      </c>
    </row>
    <row r="990" spans="1:24" x14ac:dyDescent="0.45">
      <c r="A990">
        <v>34</v>
      </c>
      <c r="B990">
        <v>34</v>
      </c>
      <c r="C990" t="s">
        <v>615</v>
      </c>
      <c r="D990" t="s">
        <v>414</v>
      </c>
      <c r="F990">
        <v>2.79</v>
      </c>
      <c r="G990">
        <v>3746.634</v>
      </c>
      <c r="H990">
        <v>37961.241999999998</v>
      </c>
      <c r="I990">
        <v>0.98699999999999999</v>
      </c>
      <c r="J990" t="s">
        <v>403</v>
      </c>
      <c r="K990">
        <v>0.9</v>
      </c>
      <c r="N990">
        <v>60</v>
      </c>
      <c r="O990">
        <v>60</v>
      </c>
      <c r="P990" t="s">
        <v>714</v>
      </c>
      <c r="Q990" t="s">
        <v>414</v>
      </c>
      <c r="S990">
        <v>2.79</v>
      </c>
      <c r="T990">
        <v>2229.0729999999999</v>
      </c>
      <c r="U990">
        <v>45342.987999999998</v>
      </c>
      <c r="V990">
        <v>0.49199999999999999</v>
      </c>
      <c r="W990" t="s">
        <v>488</v>
      </c>
      <c r="X990">
        <v>0.2</v>
      </c>
    </row>
    <row r="991" spans="1:24" x14ac:dyDescent="0.45">
      <c r="A991">
        <v>35</v>
      </c>
      <c r="B991">
        <v>35</v>
      </c>
      <c r="C991" t="s">
        <v>616</v>
      </c>
      <c r="D991" t="s">
        <v>414</v>
      </c>
      <c r="F991">
        <v>2.79</v>
      </c>
      <c r="G991">
        <v>1641.06</v>
      </c>
      <c r="H991">
        <v>27034.145</v>
      </c>
      <c r="I991">
        <v>0.60699999999999998</v>
      </c>
      <c r="J991" t="s">
        <v>488</v>
      </c>
      <c r="K991">
        <v>0.3</v>
      </c>
      <c r="N991">
        <v>61</v>
      </c>
      <c r="O991">
        <v>61</v>
      </c>
      <c r="P991" t="s">
        <v>715</v>
      </c>
      <c r="Q991" t="s">
        <v>414</v>
      </c>
      <c r="S991">
        <v>2.79</v>
      </c>
      <c r="T991">
        <v>3342.2420000000002</v>
      </c>
      <c r="U991">
        <v>62978.968999999997</v>
      </c>
      <c r="V991">
        <v>0.53100000000000003</v>
      </c>
      <c r="W991" t="s">
        <v>403</v>
      </c>
      <c r="X991">
        <v>0.3</v>
      </c>
    </row>
    <row r="992" spans="1:24" x14ac:dyDescent="0.45">
      <c r="A992">
        <v>36</v>
      </c>
      <c r="B992">
        <v>36</v>
      </c>
      <c r="C992" t="s">
        <v>617</v>
      </c>
      <c r="D992" t="s">
        <v>414</v>
      </c>
      <c r="F992">
        <v>2.79</v>
      </c>
      <c r="G992">
        <v>4164.7820000000002</v>
      </c>
      <c r="H992">
        <v>43597.648000000001</v>
      </c>
      <c r="I992">
        <v>0.95499999999999996</v>
      </c>
      <c r="J992" t="s">
        <v>403</v>
      </c>
      <c r="K992">
        <v>0.8</v>
      </c>
      <c r="N992">
        <v>62</v>
      </c>
      <c r="O992">
        <v>62</v>
      </c>
      <c r="P992" t="s">
        <v>716</v>
      </c>
      <c r="Q992" t="s">
        <v>414</v>
      </c>
      <c r="S992">
        <v>2.79</v>
      </c>
      <c r="T992">
        <v>3521.7930000000001</v>
      </c>
      <c r="U992">
        <v>36817.730000000003</v>
      </c>
      <c r="V992">
        <v>0.95699999999999996</v>
      </c>
      <c r="W992" t="s">
        <v>403</v>
      </c>
      <c r="X992">
        <v>0.9</v>
      </c>
    </row>
    <row r="993" spans="1:25" x14ac:dyDescent="0.45">
      <c r="A993">
        <v>37</v>
      </c>
      <c r="B993">
        <v>37</v>
      </c>
      <c r="C993" t="s">
        <v>618</v>
      </c>
      <c r="D993" t="s">
        <v>414</v>
      </c>
      <c r="F993">
        <v>2.79</v>
      </c>
      <c r="G993">
        <v>5268.8919999999998</v>
      </c>
      <c r="H993">
        <v>91917.156000000003</v>
      </c>
      <c r="I993">
        <v>0.57299999999999995</v>
      </c>
      <c r="J993" t="s">
        <v>403</v>
      </c>
      <c r="K993">
        <v>0.2</v>
      </c>
      <c r="N993">
        <v>63</v>
      </c>
      <c r="O993">
        <v>63</v>
      </c>
      <c r="P993" t="s">
        <v>717</v>
      </c>
      <c r="Q993" t="s">
        <v>414</v>
      </c>
      <c r="S993">
        <v>2.79</v>
      </c>
      <c r="T993">
        <v>2947.9189999999999</v>
      </c>
      <c r="U993">
        <v>78003.202999999994</v>
      </c>
      <c r="V993">
        <v>0.378</v>
      </c>
      <c r="W993" t="s">
        <v>401</v>
      </c>
      <c r="X993">
        <v>0</v>
      </c>
    </row>
    <row r="994" spans="1:25" x14ac:dyDescent="0.45">
      <c r="A994">
        <v>38</v>
      </c>
      <c r="B994">
        <v>38</v>
      </c>
      <c r="C994" t="s">
        <v>619</v>
      </c>
      <c r="D994" t="s">
        <v>414</v>
      </c>
      <c r="F994">
        <v>2.79</v>
      </c>
      <c r="G994">
        <v>1204.297</v>
      </c>
      <c r="H994">
        <v>29262.738000000001</v>
      </c>
      <c r="I994">
        <v>0.41199999999999998</v>
      </c>
      <c r="J994" t="s">
        <v>483</v>
      </c>
      <c r="N994">
        <v>64</v>
      </c>
      <c r="O994">
        <v>64</v>
      </c>
      <c r="P994" t="s">
        <v>718</v>
      </c>
      <c r="Q994" t="s">
        <v>414</v>
      </c>
      <c r="S994">
        <v>2.79</v>
      </c>
      <c r="T994">
        <v>4801.8239999999996</v>
      </c>
      <c r="U994">
        <v>65362.445</v>
      </c>
      <c r="V994">
        <v>0.73499999999999999</v>
      </c>
      <c r="W994" t="s">
        <v>403</v>
      </c>
      <c r="X994">
        <v>0.5</v>
      </c>
    </row>
    <row r="995" spans="1:25" x14ac:dyDescent="0.45">
      <c r="A995">
        <v>39</v>
      </c>
      <c r="B995">
        <v>39</v>
      </c>
      <c r="C995" t="s">
        <v>620</v>
      </c>
      <c r="D995" t="s">
        <v>414</v>
      </c>
      <c r="F995">
        <v>2.78</v>
      </c>
      <c r="G995">
        <v>1538.288</v>
      </c>
      <c r="H995">
        <v>32543.794999999998</v>
      </c>
      <c r="I995">
        <v>0.47299999999999998</v>
      </c>
      <c r="J995" t="s">
        <v>488</v>
      </c>
      <c r="K995">
        <v>0.1</v>
      </c>
      <c r="N995">
        <v>65</v>
      </c>
      <c r="O995">
        <v>65</v>
      </c>
      <c r="P995" t="s">
        <v>719</v>
      </c>
      <c r="Q995" t="s">
        <v>414</v>
      </c>
      <c r="S995">
        <v>2.79</v>
      </c>
      <c r="T995">
        <v>2978.2779999999998</v>
      </c>
      <c r="U995">
        <v>30552.447</v>
      </c>
      <c r="V995">
        <v>0.97499999999999998</v>
      </c>
      <c r="W995" t="s">
        <v>403</v>
      </c>
      <c r="X995">
        <v>0.9</v>
      </c>
    </row>
    <row r="996" spans="1:25" x14ac:dyDescent="0.45">
      <c r="A996">
        <v>40</v>
      </c>
      <c r="B996">
        <v>40</v>
      </c>
      <c r="C996" t="s">
        <v>621</v>
      </c>
      <c r="D996" t="s">
        <v>414</v>
      </c>
      <c r="F996">
        <v>2.79</v>
      </c>
      <c r="G996">
        <v>2883.6779999999999</v>
      </c>
      <c r="H996">
        <v>52531.663999999997</v>
      </c>
      <c r="I996">
        <v>0.54900000000000004</v>
      </c>
      <c r="J996" t="s">
        <v>488</v>
      </c>
      <c r="K996">
        <v>0.2</v>
      </c>
      <c r="N996">
        <v>66</v>
      </c>
      <c r="O996">
        <v>66</v>
      </c>
      <c r="P996" t="s">
        <v>720</v>
      </c>
      <c r="Q996" t="s">
        <v>414</v>
      </c>
      <c r="S996">
        <v>2.79</v>
      </c>
      <c r="T996">
        <v>4018.1869999999999</v>
      </c>
      <c r="U996">
        <v>78069.945000000007</v>
      </c>
      <c r="V996">
        <v>0.51500000000000001</v>
      </c>
      <c r="W996" t="s">
        <v>403</v>
      </c>
      <c r="X996">
        <v>0.2</v>
      </c>
    </row>
    <row r="997" spans="1:25" x14ac:dyDescent="0.45">
      <c r="A997">
        <v>41</v>
      </c>
      <c r="B997">
        <v>41</v>
      </c>
      <c r="C997" t="s">
        <v>622</v>
      </c>
      <c r="D997" t="s">
        <v>414</v>
      </c>
      <c r="F997">
        <v>2.79</v>
      </c>
      <c r="G997">
        <v>3747.0189999999998</v>
      </c>
      <c r="H997">
        <v>47078.351999999999</v>
      </c>
      <c r="I997">
        <v>0.79600000000000004</v>
      </c>
      <c r="J997" t="s">
        <v>403</v>
      </c>
      <c r="K997">
        <v>0.6</v>
      </c>
      <c r="N997">
        <v>67</v>
      </c>
      <c r="O997">
        <v>67</v>
      </c>
      <c r="P997" t="s">
        <v>721</v>
      </c>
      <c r="Q997" t="s">
        <v>414</v>
      </c>
      <c r="S997">
        <v>2.79</v>
      </c>
      <c r="T997">
        <v>4782.2380000000003</v>
      </c>
      <c r="U997">
        <v>67948.164000000004</v>
      </c>
      <c r="V997">
        <v>0.70399999999999996</v>
      </c>
      <c r="W997" t="s">
        <v>403</v>
      </c>
      <c r="X997">
        <v>0.5</v>
      </c>
    </row>
    <row r="998" spans="1:25" x14ac:dyDescent="0.45">
      <c r="A998">
        <v>42</v>
      </c>
      <c r="B998">
        <v>42</v>
      </c>
      <c r="C998" t="s">
        <v>623</v>
      </c>
      <c r="D998" t="s">
        <v>414</v>
      </c>
      <c r="F998">
        <v>2.79</v>
      </c>
      <c r="G998">
        <v>3462.3719999999998</v>
      </c>
      <c r="H998">
        <v>84166.258000000002</v>
      </c>
      <c r="I998">
        <v>0.41099999999999998</v>
      </c>
      <c r="J998" t="s">
        <v>478</v>
      </c>
    </row>
    <row r="999" spans="1:25" x14ac:dyDescent="0.45">
      <c r="A999">
        <v>43</v>
      </c>
      <c r="B999">
        <v>43</v>
      </c>
      <c r="C999" t="s">
        <v>624</v>
      </c>
      <c r="D999" t="s">
        <v>414</v>
      </c>
      <c r="F999">
        <v>2.79</v>
      </c>
      <c r="G999">
        <v>3157.067</v>
      </c>
      <c r="H999">
        <v>84072</v>
      </c>
      <c r="I999">
        <v>0.376</v>
      </c>
      <c r="J999" t="s">
        <v>483</v>
      </c>
      <c r="N999" t="s">
        <v>500</v>
      </c>
    </row>
    <row r="1000" spans="1:25" x14ac:dyDescent="0.45">
      <c r="A1000">
        <v>44</v>
      </c>
      <c r="B1000">
        <v>44</v>
      </c>
      <c r="C1000" t="s">
        <v>625</v>
      </c>
      <c r="D1000" t="s">
        <v>414</v>
      </c>
      <c r="F1000">
        <v>2.79</v>
      </c>
      <c r="G1000">
        <v>4402.1549999999997</v>
      </c>
      <c r="H1000">
        <v>76599.687999999995</v>
      </c>
      <c r="I1000">
        <v>0.57499999999999996</v>
      </c>
      <c r="J1000" t="s">
        <v>401</v>
      </c>
      <c r="K1000">
        <v>0.2</v>
      </c>
    </row>
    <row r="1001" spans="1:25" x14ac:dyDescent="0.45">
      <c r="A1001">
        <v>45</v>
      </c>
      <c r="B1001">
        <v>45</v>
      </c>
      <c r="C1001" t="s">
        <v>626</v>
      </c>
      <c r="D1001" t="s">
        <v>414</v>
      </c>
      <c r="F1001">
        <v>2.79</v>
      </c>
      <c r="G1001">
        <v>3120.9279999999999</v>
      </c>
      <c r="H1001">
        <v>59279.472999999998</v>
      </c>
      <c r="I1001">
        <v>0.52600000000000002</v>
      </c>
      <c r="J1001" t="s">
        <v>403</v>
      </c>
      <c r="K1001">
        <v>0.2</v>
      </c>
      <c r="O1001" t="s">
        <v>389</v>
      </c>
      <c r="P1001" t="s">
        <v>123</v>
      </c>
      <c r="Q1001" t="s">
        <v>390</v>
      </c>
      <c r="R1001" t="s">
        <v>391</v>
      </c>
      <c r="S1001" t="s">
        <v>392</v>
      </c>
      <c r="T1001" t="s">
        <v>393</v>
      </c>
      <c r="U1001" t="s">
        <v>394</v>
      </c>
      <c r="V1001" t="s">
        <v>395</v>
      </c>
      <c r="W1001" t="s">
        <v>396</v>
      </c>
      <c r="X1001" t="s">
        <v>397</v>
      </c>
      <c r="Y1001" t="s">
        <v>398</v>
      </c>
    </row>
    <row r="1002" spans="1:25" x14ac:dyDescent="0.45">
      <c r="A1002">
        <v>46</v>
      </c>
      <c r="B1002">
        <v>46</v>
      </c>
      <c r="C1002" t="s">
        <v>627</v>
      </c>
      <c r="D1002" t="s">
        <v>414</v>
      </c>
      <c r="F1002">
        <v>2.79</v>
      </c>
      <c r="G1002">
        <v>3139.1570000000002</v>
      </c>
      <c r="H1002">
        <v>59638.538999999997</v>
      </c>
      <c r="I1002">
        <v>0.52600000000000002</v>
      </c>
      <c r="J1002" t="s">
        <v>403</v>
      </c>
      <c r="K1002">
        <v>0.2</v>
      </c>
      <c r="N1002">
        <v>1</v>
      </c>
      <c r="O1002">
        <v>1</v>
      </c>
      <c r="P1002" t="s">
        <v>655</v>
      </c>
      <c r="Q1002" t="s">
        <v>400</v>
      </c>
      <c r="R1002">
        <v>10</v>
      </c>
      <c r="S1002">
        <v>3.06</v>
      </c>
      <c r="T1002">
        <v>70686.258000000002</v>
      </c>
      <c r="V1002">
        <v>70686.258000000002</v>
      </c>
      <c r="W1002" t="s">
        <v>403</v>
      </c>
      <c r="X1002">
        <v>10.3</v>
      </c>
      <c r="Y1002">
        <v>3.2</v>
      </c>
    </row>
    <row r="1003" spans="1:25" x14ac:dyDescent="0.45">
      <c r="A1003">
        <v>47</v>
      </c>
      <c r="B1003">
        <v>47</v>
      </c>
      <c r="C1003" t="s">
        <v>628</v>
      </c>
      <c r="D1003" t="s">
        <v>414</v>
      </c>
      <c r="F1003">
        <v>2.79</v>
      </c>
      <c r="G1003">
        <v>4393.3159999999998</v>
      </c>
      <c r="H1003">
        <v>67374.608999999997</v>
      </c>
      <c r="I1003">
        <v>0.65200000000000002</v>
      </c>
      <c r="J1003" t="s">
        <v>403</v>
      </c>
      <c r="K1003">
        <v>0.4</v>
      </c>
      <c r="N1003">
        <v>2</v>
      </c>
      <c r="O1003">
        <v>2</v>
      </c>
      <c r="P1003" t="s">
        <v>656</v>
      </c>
      <c r="Q1003" t="s">
        <v>400</v>
      </c>
      <c r="R1003">
        <v>10</v>
      </c>
      <c r="S1003">
        <v>3.06</v>
      </c>
      <c r="T1003">
        <v>70183.054999999993</v>
      </c>
      <c r="V1003">
        <v>70183.054999999993</v>
      </c>
      <c r="W1003" t="s">
        <v>403</v>
      </c>
      <c r="X1003">
        <v>10.199999999999999</v>
      </c>
      <c r="Y1003">
        <v>2.4</v>
      </c>
    </row>
    <row r="1004" spans="1:25" x14ac:dyDescent="0.45">
      <c r="A1004">
        <v>48</v>
      </c>
      <c r="B1004">
        <v>48</v>
      </c>
      <c r="C1004" t="s">
        <v>629</v>
      </c>
      <c r="D1004" t="s">
        <v>414</v>
      </c>
      <c r="F1004">
        <v>2.79</v>
      </c>
      <c r="G1004">
        <v>3408.1010000000001</v>
      </c>
      <c r="H1004">
        <v>51621.629000000001</v>
      </c>
      <c r="I1004">
        <v>0.66</v>
      </c>
      <c r="J1004" t="s">
        <v>403</v>
      </c>
      <c r="K1004">
        <v>0.4</v>
      </c>
      <c r="N1004">
        <v>3</v>
      </c>
      <c r="O1004">
        <v>3</v>
      </c>
      <c r="P1004" t="s">
        <v>657</v>
      </c>
      <c r="Q1004" t="s">
        <v>400</v>
      </c>
      <c r="R1004">
        <v>10</v>
      </c>
      <c r="S1004">
        <v>3.06</v>
      </c>
      <c r="T1004">
        <v>69179.414000000004</v>
      </c>
      <c r="V1004">
        <v>69179.414000000004</v>
      </c>
      <c r="W1004" t="s">
        <v>403</v>
      </c>
      <c r="X1004">
        <v>10.1</v>
      </c>
      <c r="Y1004">
        <v>1</v>
      </c>
    </row>
    <row r="1005" spans="1:25" x14ac:dyDescent="0.45">
      <c r="A1005">
        <v>49</v>
      </c>
      <c r="B1005">
        <v>49</v>
      </c>
      <c r="C1005" t="s">
        <v>630</v>
      </c>
      <c r="D1005" t="s">
        <v>414</v>
      </c>
      <c r="F1005">
        <v>2.79</v>
      </c>
      <c r="G1005">
        <v>4373.0039999999999</v>
      </c>
      <c r="H1005">
        <v>58760.160000000003</v>
      </c>
      <c r="I1005">
        <v>0.74399999999999999</v>
      </c>
      <c r="J1005" t="s">
        <v>403</v>
      </c>
      <c r="K1005">
        <v>0.5</v>
      </c>
      <c r="N1005">
        <v>4</v>
      </c>
      <c r="O1005">
        <v>4</v>
      </c>
      <c r="P1005" t="s">
        <v>658</v>
      </c>
      <c r="Q1005" t="s">
        <v>400</v>
      </c>
      <c r="R1005">
        <v>10</v>
      </c>
      <c r="S1005">
        <v>3.06</v>
      </c>
      <c r="T1005">
        <v>67674.273000000001</v>
      </c>
      <c r="V1005">
        <v>67674.273000000001</v>
      </c>
      <c r="W1005" t="s">
        <v>403</v>
      </c>
      <c r="X1005">
        <v>9.9</v>
      </c>
      <c r="Y1005">
        <v>-1.2</v>
      </c>
    </row>
    <row r="1006" spans="1:25" x14ac:dyDescent="0.45">
      <c r="A1006">
        <v>50</v>
      </c>
      <c r="B1006">
        <v>50</v>
      </c>
      <c r="C1006" t="s">
        <v>631</v>
      </c>
      <c r="D1006" t="s">
        <v>414</v>
      </c>
      <c r="F1006">
        <v>2.79</v>
      </c>
      <c r="G1006">
        <v>2015.0029999999999</v>
      </c>
      <c r="H1006">
        <v>50240.277000000002</v>
      </c>
      <c r="I1006">
        <v>0.40100000000000002</v>
      </c>
      <c r="J1006" t="s">
        <v>478</v>
      </c>
      <c r="N1006">
        <v>5</v>
      </c>
      <c r="O1006">
        <v>5</v>
      </c>
      <c r="P1006" t="s">
        <v>659</v>
      </c>
      <c r="Q1006" t="s">
        <v>400</v>
      </c>
      <c r="R1006">
        <v>10</v>
      </c>
      <c r="S1006">
        <v>3.06</v>
      </c>
      <c r="T1006">
        <v>67297.766000000003</v>
      </c>
      <c r="V1006">
        <v>67297.766000000003</v>
      </c>
      <c r="W1006" t="s">
        <v>403</v>
      </c>
      <c r="X1006">
        <v>9.8000000000000007</v>
      </c>
      <c r="Y1006">
        <v>-1.8</v>
      </c>
    </row>
    <row r="1007" spans="1:25" x14ac:dyDescent="0.45">
      <c r="A1007">
        <v>51</v>
      </c>
      <c r="B1007">
        <v>51</v>
      </c>
      <c r="C1007" t="s">
        <v>632</v>
      </c>
      <c r="D1007" t="s">
        <v>414</v>
      </c>
      <c r="F1007">
        <v>2.79</v>
      </c>
      <c r="G1007">
        <v>1900.174</v>
      </c>
      <c r="H1007">
        <v>42906.504000000001</v>
      </c>
      <c r="I1007">
        <v>0.443</v>
      </c>
      <c r="J1007" t="s">
        <v>488</v>
      </c>
      <c r="K1007">
        <v>0</v>
      </c>
      <c r="N1007">
        <v>6</v>
      </c>
      <c r="O1007">
        <v>6</v>
      </c>
      <c r="P1007" t="s">
        <v>660</v>
      </c>
      <c r="Q1007" t="s">
        <v>400</v>
      </c>
      <c r="R1007">
        <v>10</v>
      </c>
      <c r="S1007">
        <v>3.06</v>
      </c>
      <c r="T1007">
        <v>68259.5</v>
      </c>
      <c r="V1007">
        <v>68259.5</v>
      </c>
      <c r="W1007" t="s">
        <v>403</v>
      </c>
      <c r="X1007">
        <v>10</v>
      </c>
      <c r="Y1007">
        <v>-0.4</v>
      </c>
    </row>
    <row r="1008" spans="1:25" x14ac:dyDescent="0.45">
      <c r="A1008">
        <v>52</v>
      </c>
      <c r="B1008">
        <v>52</v>
      </c>
      <c r="C1008" t="s">
        <v>633</v>
      </c>
      <c r="D1008" t="s">
        <v>414</v>
      </c>
      <c r="F1008">
        <v>2.79</v>
      </c>
      <c r="G1008">
        <v>2811.0320000000002</v>
      </c>
      <c r="H1008">
        <v>53219.542999999998</v>
      </c>
      <c r="I1008">
        <v>0.52800000000000002</v>
      </c>
      <c r="J1008" t="s">
        <v>488</v>
      </c>
      <c r="K1008">
        <v>0.2</v>
      </c>
      <c r="N1008">
        <v>7</v>
      </c>
      <c r="O1008">
        <v>7</v>
      </c>
      <c r="P1008" t="s">
        <v>661</v>
      </c>
      <c r="Q1008" t="s">
        <v>400</v>
      </c>
      <c r="R1008">
        <v>10</v>
      </c>
      <c r="S1008">
        <v>3.06</v>
      </c>
      <c r="T1008">
        <v>66365.156000000003</v>
      </c>
      <c r="V1008">
        <v>66365.156000000003</v>
      </c>
      <c r="W1008" t="s">
        <v>403</v>
      </c>
      <c r="X1008">
        <v>9.6999999999999993</v>
      </c>
      <c r="Y1008">
        <v>-3.1</v>
      </c>
    </row>
    <row r="1009" spans="1:25" x14ac:dyDescent="0.45">
      <c r="A1009">
        <v>53</v>
      </c>
      <c r="B1009">
        <v>53</v>
      </c>
      <c r="C1009" t="s">
        <v>634</v>
      </c>
      <c r="D1009" t="s">
        <v>414</v>
      </c>
      <c r="F1009">
        <v>2.79</v>
      </c>
      <c r="G1009">
        <v>4741.4809999999998</v>
      </c>
      <c r="H1009">
        <v>74245.062999999995</v>
      </c>
      <c r="I1009">
        <v>0.63900000000000001</v>
      </c>
      <c r="J1009" t="s">
        <v>403</v>
      </c>
      <c r="K1009">
        <v>0.3</v>
      </c>
      <c r="N1009">
        <v>8</v>
      </c>
      <c r="O1009">
        <v>8</v>
      </c>
      <c r="P1009" t="s">
        <v>662</v>
      </c>
      <c r="Q1009" t="s">
        <v>414</v>
      </c>
      <c r="R1009">
        <v>10</v>
      </c>
      <c r="S1009">
        <v>3.06</v>
      </c>
      <c r="T1009">
        <v>37255.237999999998</v>
      </c>
      <c r="V1009">
        <v>37255.237999999998</v>
      </c>
      <c r="W1009" t="s">
        <v>403</v>
      </c>
      <c r="X1009">
        <v>5.4</v>
      </c>
      <c r="Y1009">
        <v>-45.6</v>
      </c>
    </row>
    <row r="1010" spans="1:25" x14ac:dyDescent="0.45">
      <c r="A1010">
        <v>54</v>
      </c>
      <c r="B1010">
        <v>54</v>
      </c>
      <c r="C1010" t="s">
        <v>635</v>
      </c>
      <c r="D1010" t="s">
        <v>414</v>
      </c>
      <c r="F1010">
        <v>2.79</v>
      </c>
      <c r="G1010">
        <v>2105.6370000000002</v>
      </c>
      <c r="H1010">
        <v>35886.945</v>
      </c>
      <c r="I1010">
        <v>0.58699999999999997</v>
      </c>
      <c r="J1010" t="s">
        <v>412</v>
      </c>
      <c r="K1010">
        <v>0.3</v>
      </c>
      <c r="N1010">
        <v>9</v>
      </c>
      <c r="O1010">
        <v>9</v>
      </c>
      <c r="P1010" t="s">
        <v>663</v>
      </c>
      <c r="Q1010" t="s">
        <v>414</v>
      </c>
      <c r="R1010">
        <v>10</v>
      </c>
      <c r="S1010">
        <v>3.06</v>
      </c>
      <c r="T1010">
        <v>28990.307000000001</v>
      </c>
      <c r="V1010">
        <v>28990.307000000001</v>
      </c>
      <c r="W1010" t="s">
        <v>403</v>
      </c>
      <c r="X1010">
        <v>4.2</v>
      </c>
      <c r="Y1010">
        <v>-57.7</v>
      </c>
    </row>
    <row r="1011" spans="1:25" x14ac:dyDescent="0.45">
      <c r="A1011">
        <v>55</v>
      </c>
      <c r="B1011">
        <v>55</v>
      </c>
      <c r="C1011" t="s">
        <v>636</v>
      </c>
      <c r="D1011" t="s">
        <v>414</v>
      </c>
      <c r="F1011">
        <v>2.79</v>
      </c>
      <c r="G1011">
        <v>2132.9749999999999</v>
      </c>
      <c r="H1011">
        <v>42267.434000000001</v>
      </c>
      <c r="I1011">
        <v>0.505</v>
      </c>
      <c r="J1011" t="s">
        <v>488</v>
      </c>
      <c r="K1011">
        <v>0.1</v>
      </c>
      <c r="N1011">
        <v>10</v>
      </c>
      <c r="O1011">
        <v>10</v>
      </c>
      <c r="P1011" t="s">
        <v>664</v>
      </c>
      <c r="Q1011" t="s">
        <v>414</v>
      </c>
      <c r="R1011">
        <v>10</v>
      </c>
      <c r="S1011">
        <v>3.06</v>
      </c>
      <c r="T1011">
        <v>34863.836000000003</v>
      </c>
      <c r="V1011">
        <v>34863.836000000003</v>
      </c>
      <c r="W1011" t="s">
        <v>403</v>
      </c>
      <c r="X1011">
        <v>5.0999999999999996</v>
      </c>
      <c r="Y1011">
        <v>-49.1</v>
      </c>
    </row>
    <row r="1012" spans="1:25" x14ac:dyDescent="0.45">
      <c r="A1012">
        <v>56</v>
      </c>
      <c r="B1012">
        <v>56</v>
      </c>
      <c r="C1012" t="s">
        <v>637</v>
      </c>
      <c r="D1012" t="s">
        <v>414</v>
      </c>
      <c r="F1012">
        <v>2.79</v>
      </c>
      <c r="G1012">
        <v>4387.4080000000004</v>
      </c>
      <c r="H1012">
        <v>71298.570000000007</v>
      </c>
      <c r="I1012">
        <v>0.61499999999999999</v>
      </c>
      <c r="J1012" t="s">
        <v>403</v>
      </c>
      <c r="K1012">
        <v>0.3</v>
      </c>
      <c r="N1012">
        <v>11</v>
      </c>
      <c r="O1012">
        <v>11</v>
      </c>
      <c r="P1012" t="s">
        <v>665</v>
      </c>
      <c r="Q1012" t="s">
        <v>414</v>
      </c>
      <c r="R1012">
        <v>10</v>
      </c>
      <c r="S1012">
        <v>3.06</v>
      </c>
      <c r="T1012">
        <v>26582.697</v>
      </c>
      <c r="V1012">
        <v>26582.697</v>
      </c>
      <c r="W1012" t="s">
        <v>403</v>
      </c>
      <c r="X1012">
        <v>3.9</v>
      </c>
      <c r="Y1012">
        <v>-61.2</v>
      </c>
    </row>
    <row r="1013" spans="1:25" x14ac:dyDescent="0.45">
      <c r="A1013">
        <v>57</v>
      </c>
      <c r="B1013">
        <v>57</v>
      </c>
      <c r="C1013" t="s">
        <v>638</v>
      </c>
      <c r="D1013" t="s">
        <v>414</v>
      </c>
      <c r="F1013">
        <v>2.79</v>
      </c>
      <c r="G1013">
        <v>1957.0709999999999</v>
      </c>
      <c r="H1013">
        <v>36711.555</v>
      </c>
      <c r="I1013">
        <v>0.53300000000000003</v>
      </c>
      <c r="J1013" t="s">
        <v>488</v>
      </c>
      <c r="K1013">
        <v>0.2</v>
      </c>
      <c r="N1013">
        <v>12</v>
      </c>
      <c r="O1013">
        <v>12</v>
      </c>
      <c r="P1013" t="s">
        <v>666</v>
      </c>
      <c r="Q1013" t="s">
        <v>414</v>
      </c>
      <c r="R1013">
        <v>10</v>
      </c>
      <c r="S1013">
        <v>3.06</v>
      </c>
      <c r="T1013">
        <v>31520.986000000001</v>
      </c>
      <c r="V1013">
        <v>31520.986000000001</v>
      </c>
      <c r="W1013" t="s">
        <v>403</v>
      </c>
      <c r="X1013">
        <v>4.5999999999999996</v>
      </c>
      <c r="Y1013">
        <v>-54</v>
      </c>
    </row>
    <row r="1014" spans="1:25" x14ac:dyDescent="0.45">
      <c r="A1014">
        <v>58</v>
      </c>
      <c r="B1014">
        <v>58</v>
      </c>
      <c r="C1014" t="s">
        <v>639</v>
      </c>
      <c r="D1014" t="s">
        <v>414</v>
      </c>
      <c r="F1014">
        <v>2.79</v>
      </c>
      <c r="G1014">
        <v>1564.3869999999999</v>
      </c>
      <c r="H1014">
        <v>36887.887000000002</v>
      </c>
      <c r="I1014">
        <v>0.42399999999999999</v>
      </c>
      <c r="J1014" t="s">
        <v>483</v>
      </c>
      <c r="N1014">
        <v>13</v>
      </c>
      <c r="O1014">
        <v>13</v>
      </c>
      <c r="P1014" t="s">
        <v>667</v>
      </c>
      <c r="Q1014" t="s">
        <v>414</v>
      </c>
      <c r="R1014">
        <v>10</v>
      </c>
      <c r="S1014">
        <v>3.06</v>
      </c>
      <c r="T1014">
        <v>23903.855</v>
      </c>
      <c r="V1014">
        <v>23903.855</v>
      </c>
      <c r="W1014" t="s">
        <v>403</v>
      </c>
      <c r="X1014">
        <v>3.5</v>
      </c>
      <c r="Y1014">
        <v>-65.099999999999994</v>
      </c>
    </row>
    <row r="1015" spans="1:25" x14ac:dyDescent="0.45">
      <c r="A1015">
        <v>59</v>
      </c>
      <c r="B1015">
        <v>59</v>
      </c>
      <c r="C1015" t="s">
        <v>640</v>
      </c>
      <c r="D1015" t="s">
        <v>414</v>
      </c>
      <c r="F1015">
        <v>2.79</v>
      </c>
      <c r="G1015">
        <v>4049.1840000000002</v>
      </c>
      <c r="H1015">
        <v>48775.555</v>
      </c>
      <c r="I1015">
        <v>0.83</v>
      </c>
      <c r="J1015" t="s">
        <v>403</v>
      </c>
      <c r="K1015">
        <v>0.6</v>
      </c>
      <c r="N1015">
        <v>14</v>
      </c>
      <c r="O1015">
        <v>14</v>
      </c>
      <c r="P1015" t="s">
        <v>668</v>
      </c>
      <c r="Q1015" t="s">
        <v>414</v>
      </c>
      <c r="R1015">
        <v>10</v>
      </c>
      <c r="S1015">
        <v>3.06</v>
      </c>
      <c r="T1015">
        <v>33108.245999999999</v>
      </c>
      <c r="V1015">
        <v>33108.245999999999</v>
      </c>
      <c r="W1015" t="s">
        <v>403</v>
      </c>
      <c r="X1015">
        <v>4.8</v>
      </c>
      <c r="Y1015">
        <v>-51.7</v>
      </c>
    </row>
    <row r="1016" spans="1:25" x14ac:dyDescent="0.45">
      <c r="A1016">
        <v>60</v>
      </c>
      <c r="B1016">
        <v>60</v>
      </c>
      <c r="C1016" t="s">
        <v>641</v>
      </c>
      <c r="D1016" t="s">
        <v>414</v>
      </c>
      <c r="F1016">
        <v>2.78</v>
      </c>
      <c r="G1016">
        <v>2962.625</v>
      </c>
      <c r="H1016">
        <v>39225.733999999997</v>
      </c>
      <c r="I1016">
        <v>0.755</v>
      </c>
      <c r="J1016" t="s">
        <v>403</v>
      </c>
      <c r="K1016">
        <v>0.5</v>
      </c>
      <c r="N1016">
        <v>15</v>
      </c>
      <c r="O1016">
        <v>15</v>
      </c>
      <c r="P1016" t="s">
        <v>669</v>
      </c>
      <c r="Q1016" t="s">
        <v>414</v>
      </c>
      <c r="R1016">
        <v>10</v>
      </c>
      <c r="S1016">
        <v>3.06</v>
      </c>
      <c r="T1016">
        <v>22611.268</v>
      </c>
      <c r="V1016">
        <v>22611.268</v>
      </c>
      <c r="W1016" t="s">
        <v>403</v>
      </c>
      <c r="X1016">
        <v>3.3</v>
      </c>
      <c r="Y1016">
        <v>-67</v>
      </c>
    </row>
    <row r="1017" spans="1:25" x14ac:dyDescent="0.45">
      <c r="A1017">
        <v>61</v>
      </c>
      <c r="B1017">
        <v>61</v>
      </c>
      <c r="C1017" t="s">
        <v>642</v>
      </c>
      <c r="D1017" t="s">
        <v>414</v>
      </c>
      <c r="F1017">
        <v>2.79</v>
      </c>
      <c r="G1017">
        <v>1661.307</v>
      </c>
      <c r="H1017">
        <v>61308.578000000001</v>
      </c>
      <c r="I1017">
        <v>0.27100000000000002</v>
      </c>
      <c r="J1017" t="s">
        <v>483</v>
      </c>
      <c r="N1017">
        <v>16</v>
      </c>
      <c r="O1017">
        <v>16</v>
      </c>
      <c r="P1017" t="s">
        <v>670</v>
      </c>
      <c r="Q1017" t="s">
        <v>414</v>
      </c>
      <c r="R1017">
        <v>10</v>
      </c>
      <c r="S1017">
        <v>3.06</v>
      </c>
      <c r="T1017">
        <v>14656.233</v>
      </c>
      <c r="V1017">
        <v>14656.233</v>
      </c>
      <c r="W1017" t="s">
        <v>403</v>
      </c>
      <c r="X1017">
        <v>2.1</v>
      </c>
      <c r="Y1017">
        <v>-78.599999999999994</v>
      </c>
    </row>
    <row r="1018" spans="1:25" x14ac:dyDescent="0.45">
      <c r="A1018">
        <v>62</v>
      </c>
      <c r="B1018">
        <v>62</v>
      </c>
      <c r="C1018" t="s">
        <v>643</v>
      </c>
      <c r="D1018" t="s">
        <v>414</v>
      </c>
      <c r="F1018">
        <v>2.79</v>
      </c>
      <c r="G1018">
        <v>2905.4580000000001</v>
      </c>
      <c r="H1018">
        <v>76461.062999999995</v>
      </c>
      <c r="I1018">
        <v>0.38</v>
      </c>
      <c r="J1018" t="s">
        <v>478</v>
      </c>
      <c r="N1018">
        <v>17</v>
      </c>
      <c r="O1018">
        <v>17</v>
      </c>
      <c r="P1018" t="s">
        <v>671</v>
      </c>
      <c r="Q1018" t="s">
        <v>414</v>
      </c>
      <c r="R1018">
        <v>10</v>
      </c>
      <c r="S1018">
        <v>3.06</v>
      </c>
      <c r="T1018">
        <v>16859.504000000001</v>
      </c>
      <c r="V1018">
        <v>16859.504000000001</v>
      </c>
      <c r="W1018" t="s">
        <v>403</v>
      </c>
      <c r="X1018">
        <v>2.5</v>
      </c>
      <c r="Y1018">
        <v>-75.400000000000006</v>
      </c>
    </row>
    <row r="1019" spans="1:25" x14ac:dyDescent="0.45">
      <c r="A1019">
        <v>63</v>
      </c>
      <c r="B1019">
        <v>63</v>
      </c>
      <c r="C1019" t="s">
        <v>644</v>
      </c>
      <c r="D1019" t="s">
        <v>414</v>
      </c>
      <c r="F1019">
        <v>2.79</v>
      </c>
      <c r="G1019">
        <v>2910.2269999999999</v>
      </c>
      <c r="H1019">
        <v>46493.773000000001</v>
      </c>
      <c r="I1019">
        <v>0.626</v>
      </c>
      <c r="J1019" t="s">
        <v>403</v>
      </c>
      <c r="K1019">
        <v>0.3</v>
      </c>
      <c r="N1019">
        <v>18</v>
      </c>
      <c r="O1019">
        <v>18</v>
      </c>
      <c r="P1019" t="s">
        <v>672</v>
      </c>
      <c r="Q1019" t="s">
        <v>414</v>
      </c>
      <c r="R1019">
        <v>10</v>
      </c>
      <c r="S1019">
        <v>3.06</v>
      </c>
      <c r="T1019">
        <v>22387.474999999999</v>
      </c>
      <c r="V1019">
        <v>22387.474999999999</v>
      </c>
      <c r="W1019" t="s">
        <v>403</v>
      </c>
      <c r="X1019">
        <v>3.3</v>
      </c>
      <c r="Y1019">
        <v>-67.3</v>
      </c>
    </row>
    <row r="1020" spans="1:25" x14ac:dyDescent="0.45">
      <c r="A1020">
        <v>64</v>
      </c>
      <c r="B1020">
        <v>64</v>
      </c>
      <c r="C1020" t="s">
        <v>645</v>
      </c>
      <c r="D1020" t="s">
        <v>414</v>
      </c>
      <c r="F1020">
        <v>2.79</v>
      </c>
      <c r="G1020">
        <v>1599.8789999999999</v>
      </c>
      <c r="H1020">
        <v>36215.358999999997</v>
      </c>
      <c r="I1020">
        <v>0.442</v>
      </c>
      <c r="J1020" t="s">
        <v>488</v>
      </c>
      <c r="K1020">
        <v>0</v>
      </c>
      <c r="N1020">
        <v>19</v>
      </c>
      <c r="O1020">
        <v>19</v>
      </c>
      <c r="P1020" t="s">
        <v>673</v>
      </c>
      <c r="Q1020" t="s">
        <v>414</v>
      </c>
      <c r="R1020">
        <v>10</v>
      </c>
      <c r="S1020">
        <v>3.06</v>
      </c>
      <c r="T1020">
        <v>21369.715</v>
      </c>
      <c r="V1020">
        <v>21369.715</v>
      </c>
      <c r="W1020" t="s">
        <v>403</v>
      </c>
      <c r="X1020">
        <v>3.1</v>
      </c>
      <c r="Y1020">
        <v>-68.8</v>
      </c>
    </row>
    <row r="1021" spans="1:25" x14ac:dyDescent="0.45">
      <c r="A1021">
        <v>65</v>
      </c>
      <c r="B1021">
        <v>65</v>
      </c>
      <c r="C1021" t="s">
        <v>646</v>
      </c>
      <c r="D1021" t="s">
        <v>414</v>
      </c>
      <c r="F1021">
        <v>2.78</v>
      </c>
      <c r="G1021">
        <v>1714.3320000000001</v>
      </c>
      <c r="H1021">
        <v>39970.559000000001</v>
      </c>
      <c r="I1021">
        <v>0.42899999999999999</v>
      </c>
      <c r="J1021" t="s">
        <v>488</v>
      </c>
      <c r="K1021">
        <v>0</v>
      </c>
      <c r="N1021">
        <v>20</v>
      </c>
      <c r="O1021">
        <v>20</v>
      </c>
      <c r="P1021" t="s">
        <v>674</v>
      </c>
      <c r="Q1021" t="s">
        <v>414</v>
      </c>
      <c r="R1021">
        <v>10</v>
      </c>
      <c r="S1021">
        <v>3.06</v>
      </c>
      <c r="T1021">
        <v>17689.115000000002</v>
      </c>
      <c r="V1021">
        <v>17689.115000000002</v>
      </c>
      <c r="W1021" t="s">
        <v>403</v>
      </c>
      <c r="X1021">
        <v>2.6</v>
      </c>
      <c r="Y1021">
        <v>-74.2</v>
      </c>
    </row>
    <row r="1022" spans="1:25" x14ac:dyDescent="0.45">
      <c r="A1022">
        <v>66</v>
      </c>
      <c r="B1022">
        <v>66</v>
      </c>
      <c r="C1022" t="s">
        <v>647</v>
      </c>
      <c r="D1022" t="s">
        <v>414</v>
      </c>
      <c r="F1022">
        <v>2.79</v>
      </c>
      <c r="G1022">
        <v>3657.8</v>
      </c>
      <c r="H1022">
        <v>50769.237999999998</v>
      </c>
      <c r="I1022">
        <v>0.72</v>
      </c>
      <c r="J1022" t="s">
        <v>488</v>
      </c>
      <c r="K1022">
        <v>0.5</v>
      </c>
      <c r="N1022">
        <v>21</v>
      </c>
      <c r="O1022">
        <v>21</v>
      </c>
      <c r="P1022" t="s">
        <v>675</v>
      </c>
      <c r="Q1022" t="s">
        <v>414</v>
      </c>
      <c r="R1022">
        <v>10</v>
      </c>
      <c r="S1022">
        <v>3.06</v>
      </c>
      <c r="T1022">
        <v>17109.526999999998</v>
      </c>
      <c r="V1022">
        <v>17109.526999999998</v>
      </c>
      <c r="W1022" t="s">
        <v>403</v>
      </c>
      <c r="X1022">
        <v>2.5</v>
      </c>
      <c r="Y1022">
        <v>-75</v>
      </c>
    </row>
    <row r="1023" spans="1:25" x14ac:dyDescent="0.45">
      <c r="A1023">
        <v>67</v>
      </c>
      <c r="B1023">
        <v>67</v>
      </c>
      <c r="C1023" t="s">
        <v>648</v>
      </c>
      <c r="D1023" t="s">
        <v>414</v>
      </c>
      <c r="F1023">
        <v>2.79</v>
      </c>
      <c r="G1023">
        <v>2638.8139999999999</v>
      </c>
      <c r="H1023">
        <v>43750.964999999997</v>
      </c>
      <c r="I1023">
        <v>0.60299999999999998</v>
      </c>
      <c r="J1023" t="s">
        <v>488</v>
      </c>
      <c r="K1023">
        <v>0.3</v>
      </c>
      <c r="N1023">
        <v>22</v>
      </c>
      <c r="O1023">
        <v>22</v>
      </c>
      <c r="P1023" t="s">
        <v>676</v>
      </c>
      <c r="Q1023" t="s">
        <v>414</v>
      </c>
      <c r="R1023">
        <v>10</v>
      </c>
      <c r="S1023">
        <v>3.06</v>
      </c>
      <c r="T1023">
        <v>17063.831999999999</v>
      </c>
      <c r="V1023">
        <v>17063.831999999999</v>
      </c>
      <c r="W1023" t="s">
        <v>403</v>
      </c>
      <c r="X1023">
        <v>2.5</v>
      </c>
      <c r="Y1023">
        <v>-75.099999999999994</v>
      </c>
    </row>
    <row r="1024" spans="1:25" x14ac:dyDescent="0.45">
      <c r="A1024">
        <v>68</v>
      </c>
      <c r="B1024">
        <v>68</v>
      </c>
      <c r="C1024" t="s">
        <v>649</v>
      </c>
      <c r="D1024" t="s">
        <v>414</v>
      </c>
      <c r="F1024">
        <v>2.79</v>
      </c>
      <c r="G1024">
        <v>1722.4690000000001</v>
      </c>
      <c r="H1024">
        <v>38240.472999999998</v>
      </c>
      <c r="I1024">
        <v>0.45</v>
      </c>
      <c r="J1024" t="s">
        <v>488</v>
      </c>
      <c r="K1024">
        <v>0</v>
      </c>
      <c r="N1024">
        <v>23</v>
      </c>
      <c r="O1024">
        <v>23</v>
      </c>
      <c r="P1024" t="s">
        <v>677</v>
      </c>
      <c r="Q1024" t="s">
        <v>414</v>
      </c>
      <c r="R1024">
        <v>10</v>
      </c>
      <c r="S1024">
        <v>3.06</v>
      </c>
      <c r="T1024">
        <v>18315.048999999999</v>
      </c>
      <c r="V1024">
        <v>18315.048999999999</v>
      </c>
      <c r="W1024" t="s">
        <v>403</v>
      </c>
      <c r="X1024">
        <v>2.7</v>
      </c>
      <c r="Y1024">
        <v>-73.3</v>
      </c>
    </row>
    <row r="1025" spans="1:25" x14ac:dyDescent="0.45">
      <c r="A1025">
        <v>69</v>
      </c>
      <c r="B1025">
        <v>69</v>
      </c>
      <c r="C1025" t="s">
        <v>650</v>
      </c>
      <c r="D1025" t="s">
        <v>414</v>
      </c>
      <c r="F1025">
        <v>2.79</v>
      </c>
      <c r="G1025">
        <v>2997.9789999999998</v>
      </c>
      <c r="H1025">
        <v>51155.995999999999</v>
      </c>
      <c r="I1025">
        <v>0.58599999999999997</v>
      </c>
      <c r="J1025" t="s">
        <v>412</v>
      </c>
      <c r="K1025">
        <v>0.3</v>
      </c>
      <c r="N1025">
        <v>24</v>
      </c>
      <c r="O1025">
        <v>24</v>
      </c>
      <c r="P1025" t="s">
        <v>678</v>
      </c>
      <c r="Q1025" t="s">
        <v>414</v>
      </c>
      <c r="R1025">
        <v>10</v>
      </c>
      <c r="S1025">
        <v>3.06</v>
      </c>
      <c r="T1025">
        <v>16413.190999999999</v>
      </c>
      <c r="V1025">
        <v>16413.190999999999</v>
      </c>
      <c r="W1025" t="s">
        <v>403</v>
      </c>
      <c r="X1025">
        <v>2.4</v>
      </c>
      <c r="Y1025">
        <v>-76</v>
      </c>
    </row>
    <row r="1026" spans="1:25" x14ac:dyDescent="0.45">
      <c r="N1026">
        <v>25</v>
      </c>
      <c r="O1026">
        <v>25</v>
      </c>
      <c r="P1026" t="s">
        <v>679</v>
      </c>
      <c r="Q1026" t="s">
        <v>414</v>
      </c>
      <c r="R1026">
        <v>10</v>
      </c>
      <c r="S1026">
        <v>3.06</v>
      </c>
      <c r="T1026">
        <v>13470.316999999999</v>
      </c>
      <c r="V1026">
        <v>13470.316999999999</v>
      </c>
      <c r="W1026" t="s">
        <v>403</v>
      </c>
      <c r="X1026">
        <v>2</v>
      </c>
      <c r="Y1026">
        <v>-80.3</v>
      </c>
    </row>
    <row r="1027" spans="1:25" x14ac:dyDescent="0.45">
      <c r="A1027" t="s">
        <v>500</v>
      </c>
      <c r="N1027">
        <v>26</v>
      </c>
      <c r="O1027">
        <v>26</v>
      </c>
      <c r="P1027" t="s">
        <v>680</v>
      </c>
      <c r="Q1027" t="s">
        <v>414</v>
      </c>
      <c r="R1027">
        <v>10</v>
      </c>
      <c r="S1027">
        <v>3.06</v>
      </c>
      <c r="T1027">
        <v>16735.383000000002</v>
      </c>
      <c r="V1027">
        <v>16735.383000000002</v>
      </c>
      <c r="W1027" t="s">
        <v>403</v>
      </c>
      <c r="X1027">
        <v>2.4</v>
      </c>
      <c r="Y1027">
        <v>-75.599999999999994</v>
      </c>
    </row>
    <row r="1028" spans="1:25" x14ac:dyDescent="0.45">
      <c r="N1028">
        <v>27</v>
      </c>
      <c r="O1028">
        <v>27</v>
      </c>
      <c r="P1028" t="s">
        <v>681</v>
      </c>
      <c r="Q1028" t="s">
        <v>414</v>
      </c>
      <c r="R1028">
        <v>10</v>
      </c>
      <c r="S1028">
        <v>3.06</v>
      </c>
      <c r="T1028">
        <v>16571.995999999999</v>
      </c>
      <c r="V1028">
        <v>16571.995999999999</v>
      </c>
      <c r="W1028" t="s">
        <v>403</v>
      </c>
      <c r="X1028">
        <v>2.4</v>
      </c>
      <c r="Y1028">
        <v>-75.8</v>
      </c>
    </row>
    <row r="1029" spans="1:25" x14ac:dyDescent="0.45">
      <c r="B1029" t="s">
        <v>389</v>
      </c>
      <c r="C1029" t="s">
        <v>123</v>
      </c>
      <c r="D1029" t="s">
        <v>390</v>
      </c>
      <c r="E1029" t="s">
        <v>391</v>
      </c>
      <c r="F1029" t="s">
        <v>392</v>
      </c>
      <c r="G1029" t="s">
        <v>393</v>
      </c>
      <c r="H1029" t="s">
        <v>394</v>
      </c>
      <c r="I1029" t="s">
        <v>395</v>
      </c>
      <c r="J1029" t="s">
        <v>396</v>
      </c>
      <c r="K1029" t="s">
        <v>397</v>
      </c>
      <c r="L1029" t="s">
        <v>398</v>
      </c>
      <c r="N1029">
        <v>28</v>
      </c>
      <c r="O1029">
        <v>28</v>
      </c>
      <c r="P1029" t="s">
        <v>682</v>
      </c>
      <c r="Q1029" t="s">
        <v>414</v>
      </c>
      <c r="R1029">
        <v>10</v>
      </c>
      <c r="S1029">
        <v>3.06</v>
      </c>
      <c r="T1029">
        <v>20028.598000000002</v>
      </c>
      <c r="V1029">
        <v>20028.598000000002</v>
      </c>
      <c r="W1029" t="s">
        <v>403</v>
      </c>
      <c r="X1029">
        <v>2.9</v>
      </c>
      <c r="Y1029">
        <v>-70.8</v>
      </c>
    </row>
    <row r="1030" spans="1:25" x14ac:dyDescent="0.45">
      <c r="A1030">
        <v>1</v>
      </c>
      <c r="B1030">
        <v>1</v>
      </c>
      <c r="C1030" t="s">
        <v>582</v>
      </c>
      <c r="D1030" t="s">
        <v>400</v>
      </c>
      <c r="E1030">
        <v>10</v>
      </c>
      <c r="F1030">
        <v>3.07</v>
      </c>
      <c r="G1030">
        <v>55545.163999999997</v>
      </c>
      <c r="I1030">
        <v>55545.163999999997</v>
      </c>
      <c r="J1030" t="s">
        <v>403</v>
      </c>
      <c r="K1030">
        <v>9.4</v>
      </c>
      <c r="L1030">
        <v>-6.3</v>
      </c>
      <c r="N1030">
        <v>29</v>
      </c>
      <c r="O1030">
        <v>29</v>
      </c>
      <c r="P1030" t="s">
        <v>683</v>
      </c>
      <c r="Q1030" t="s">
        <v>414</v>
      </c>
      <c r="R1030">
        <v>10</v>
      </c>
      <c r="S1030">
        <v>3.06</v>
      </c>
      <c r="T1030">
        <v>19093.778999999999</v>
      </c>
      <c r="V1030">
        <v>19093.778999999999</v>
      </c>
      <c r="W1030" t="s">
        <v>403</v>
      </c>
      <c r="X1030">
        <v>2.8</v>
      </c>
      <c r="Y1030">
        <v>-72.099999999999994</v>
      </c>
    </row>
    <row r="1031" spans="1:25" x14ac:dyDescent="0.45">
      <c r="A1031">
        <v>2</v>
      </c>
      <c r="B1031">
        <v>2</v>
      </c>
      <c r="C1031" t="s">
        <v>583</v>
      </c>
      <c r="D1031" t="s">
        <v>400</v>
      </c>
      <c r="E1031">
        <v>10</v>
      </c>
      <c r="F1031">
        <v>3.06</v>
      </c>
      <c r="G1031">
        <v>63291.671999999999</v>
      </c>
      <c r="I1031">
        <v>63291.671999999999</v>
      </c>
      <c r="J1031" t="s">
        <v>403</v>
      </c>
      <c r="K1031">
        <v>10.7</v>
      </c>
      <c r="L1031">
        <v>6.8</v>
      </c>
      <c r="N1031">
        <v>30</v>
      </c>
      <c r="O1031">
        <v>30</v>
      </c>
      <c r="P1031" t="s">
        <v>684</v>
      </c>
      <c r="Q1031" t="s">
        <v>414</v>
      </c>
      <c r="R1031">
        <v>10</v>
      </c>
      <c r="S1031">
        <v>3.06</v>
      </c>
      <c r="T1031">
        <v>16640.738000000001</v>
      </c>
      <c r="V1031">
        <v>16640.738000000001</v>
      </c>
      <c r="W1031" t="s">
        <v>403</v>
      </c>
      <c r="X1031">
        <v>2.4</v>
      </c>
      <c r="Y1031">
        <v>-75.7</v>
      </c>
    </row>
    <row r="1032" spans="1:25" x14ac:dyDescent="0.45">
      <c r="A1032">
        <v>3</v>
      </c>
      <c r="B1032">
        <v>3</v>
      </c>
      <c r="C1032" t="s">
        <v>584</v>
      </c>
      <c r="D1032" t="s">
        <v>400</v>
      </c>
      <c r="E1032">
        <v>10</v>
      </c>
      <c r="F1032">
        <v>3.06</v>
      </c>
      <c r="G1032">
        <v>52527.434000000001</v>
      </c>
      <c r="I1032">
        <v>52527.434000000001</v>
      </c>
      <c r="J1032" t="s">
        <v>403</v>
      </c>
      <c r="K1032">
        <v>8.9</v>
      </c>
      <c r="L1032">
        <v>-11.4</v>
      </c>
      <c r="N1032">
        <v>31</v>
      </c>
      <c r="O1032">
        <v>31</v>
      </c>
      <c r="P1032" t="s">
        <v>685</v>
      </c>
      <c r="Q1032" t="s">
        <v>414</v>
      </c>
      <c r="R1032">
        <v>10</v>
      </c>
      <c r="S1032">
        <v>3.06</v>
      </c>
      <c r="T1032">
        <v>19947.875</v>
      </c>
      <c r="V1032">
        <v>19947.875</v>
      </c>
      <c r="W1032" t="s">
        <v>403</v>
      </c>
      <c r="X1032">
        <v>2.9</v>
      </c>
      <c r="Y1032">
        <v>-70.900000000000006</v>
      </c>
    </row>
    <row r="1033" spans="1:25" x14ac:dyDescent="0.45">
      <c r="A1033">
        <v>4</v>
      </c>
      <c r="B1033">
        <v>4</v>
      </c>
      <c r="C1033" t="s">
        <v>585</v>
      </c>
      <c r="D1033" t="s">
        <v>400</v>
      </c>
      <c r="E1033">
        <v>10</v>
      </c>
      <c r="F1033">
        <v>3.06</v>
      </c>
      <c r="G1033">
        <v>61634.991999999998</v>
      </c>
      <c r="I1033">
        <v>61634.991999999998</v>
      </c>
      <c r="J1033" t="s">
        <v>403</v>
      </c>
      <c r="K1033">
        <v>10.4</v>
      </c>
      <c r="L1033">
        <v>4</v>
      </c>
      <c r="N1033">
        <v>32</v>
      </c>
      <c r="O1033">
        <v>32</v>
      </c>
      <c r="P1033" t="s">
        <v>686</v>
      </c>
      <c r="Q1033" t="s">
        <v>414</v>
      </c>
      <c r="R1033">
        <v>10</v>
      </c>
      <c r="S1033">
        <v>3.06</v>
      </c>
      <c r="T1033">
        <v>40803.07</v>
      </c>
      <c r="V1033">
        <v>40803.07</v>
      </c>
      <c r="W1033" t="s">
        <v>403</v>
      </c>
      <c r="X1033">
        <v>6</v>
      </c>
      <c r="Y1033">
        <v>-40.5</v>
      </c>
    </row>
    <row r="1034" spans="1:25" x14ac:dyDescent="0.45">
      <c r="A1034">
        <v>5</v>
      </c>
      <c r="B1034">
        <v>5</v>
      </c>
      <c r="C1034" t="s">
        <v>586</v>
      </c>
      <c r="D1034" t="s">
        <v>400</v>
      </c>
      <c r="E1034">
        <v>10</v>
      </c>
      <c r="F1034">
        <v>3.06</v>
      </c>
      <c r="G1034">
        <v>63110.366999999998</v>
      </c>
      <c r="I1034">
        <v>63110.366999999998</v>
      </c>
      <c r="J1034" t="s">
        <v>403</v>
      </c>
      <c r="K1034">
        <v>10.6</v>
      </c>
      <c r="L1034">
        <v>6.5</v>
      </c>
      <c r="N1034">
        <v>33</v>
      </c>
      <c r="O1034">
        <v>33</v>
      </c>
      <c r="P1034" t="s">
        <v>687</v>
      </c>
      <c r="Q1034" t="s">
        <v>414</v>
      </c>
      <c r="R1034">
        <v>10</v>
      </c>
      <c r="S1034">
        <v>3.06</v>
      </c>
      <c r="T1034">
        <v>32324.375</v>
      </c>
      <c r="V1034">
        <v>32324.375</v>
      </c>
      <c r="W1034" t="s">
        <v>403</v>
      </c>
      <c r="X1034">
        <v>4.7</v>
      </c>
      <c r="Y1034">
        <v>-52.8</v>
      </c>
    </row>
    <row r="1035" spans="1:25" x14ac:dyDescent="0.45">
      <c r="A1035">
        <v>6</v>
      </c>
      <c r="B1035">
        <v>6</v>
      </c>
      <c r="C1035" t="s">
        <v>587</v>
      </c>
      <c r="D1035" t="s">
        <v>400</v>
      </c>
      <c r="E1035">
        <v>10</v>
      </c>
      <c r="F1035">
        <v>3.06</v>
      </c>
      <c r="G1035">
        <v>63891.625</v>
      </c>
      <c r="I1035">
        <v>63891.625</v>
      </c>
      <c r="J1035" t="s">
        <v>403</v>
      </c>
      <c r="K1035">
        <v>10.8</v>
      </c>
      <c r="L1035">
        <v>7.8</v>
      </c>
      <c r="N1035">
        <v>34</v>
      </c>
      <c r="O1035">
        <v>34</v>
      </c>
      <c r="P1035" t="s">
        <v>688</v>
      </c>
      <c r="Q1035" t="s">
        <v>414</v>
      </c>
      <c r="R1035">
        <v>10</v>
      </c>
      <c r="S1035">
        <v>3.06</v>
      </c>
      <c r="T1035">
        <v>28324.118999999999</v>
      </c>
      <c r="V1035">
        <v>28324.118999999999</v>
      </c>
      <c r="W1035" t="s">
        <v>403</v>
      </c>
      <c r="X1035">
        <v>4.0999999999999996</v>
      </c>
      <c r="Y1035">
        <v>-58.7</v>
      </c>
    </row>
    <row r="1036" spans="1:25" x14ac:dyDescent="0.45">
      <c r="A1036">
        <v>7</v>
      </c>
      <c r="B1036">
        <v>7</v>
      </c>
      <c r="C1036" t="s">
        <v>588</v>
      </c>
      <c r="D1036" t="s">
        <v>400</v>
      </c>
      <c r="E1036">
        <v>10</v>
      </c>
      <c r="F1036">
        <v>3.06</v>
      </c>
      <c r="G1036">
        <v>54847.535000000003</v>
      </c>
      <c r="I1036">
        <v>54847.535000000003</v>
      </c>
      <c r="J1036" t="s">
        <v>403</v>
      </c>
      <c r="K1036">
        <v>9.3000000000000007</v>
      </c>
      <c r="L1036">
        <v>-7.5</v>
      </c>
      <c r="N1036">
        <v>35</v>
      </c>
      <c r="O1036">
        <v>35</v>
      </c>
      <c r="P1036" t="s">
        <v>689</v>
      </c>
      <c r="Q1036" t="s">
        <v>414</v>
      </c>
      <c r="R1036">
        <v>10</v>
      </c>
      <c r="S1036">
        <v>3.06</v>
      </c>
      <c r="T1036">
        <v>38151.563000000002</v>
      </c>
      <c r="V1036">
        <v>38151.563000000002</v>
      </c>
      <c r="W1036" t="s">
        <v>403</v>
      </c>
      <c r="X1036">
        <v>5.6</v>
      </c>
      <c r="Y1036">
        <v>-44.3</v>
      </c>
    </row>
    <row r="1037" spans="1:25" x14ac:dyDescent="0.45">
      <c r="A1037">
        <v>8</v>
      </c>
      <c r="B1037">
        <v>8</v>
      </c>
      <c r="C1037" t="s">
        <v>589</v>
      </c>
      <c r="D1037" t="s">
        <v>410</v>
      </c>
      <c r="E1037">
        <v>10</v>
      </c>
      <c r="F1037">
        <v>2.94</v>
      </c>
      <c r="G1037">
        <v>4453.0020000000004</v>
      </c>
      <c r="I1037">
        <v>4453.0020000000004</v>
      </c>
      <c r="J1037" t="s">
        <v>403</v>
      </c>
      <c r="K1037">
        <v>0.8</v>
      </c>
      <c r="L1037">
        <v>-92.5</v>
      </c>
      <c r="N1037">
        <v>36</v>
      </c>
      <c r="O1037">
        <v>36</v>
      </c>
      <c r="P1037" t="s">
        <v>690</v>
      </c>
      <c r="Q1037" t="s">
        <v>414</v>
      </c>
      <c r="R1037">
        <v>10</v>
      </c>
      <c r="S1037">
        <v>3.06</v>
      </c>
      <c r="T1037">
        <v>20750.706999999999</v>
      </c>
      <c r="V1037">
        <v>20750.706999999999</v>
      </c>
      <c r="W1037" t="s">
        <v>403</v>
      </c>
      <c r="X1037">
        <v>3</v>
      </c>
      <c r="Y1037">
        <v>-69.7</v>
      </c>
    </row>
    <row r="1038" spans="1:25" x14ac:dyDescent="0.45">
      <c r="A1038">
        <v>9</v>
      </c>
      <c r="B1038">
        <v>9</v>
      </c>
      <c r="C1038" t="s">
        <v>590</v>
      </c>
      <c r="D1038" t="s">
        <v>410</v>
      </c>
      <c r="E1038">
        <v>10</v>
      </c>
      <c r="F1038">
        <v>2.86</v>
      </c>
      <c r="G1038">
        <v>2474.4119999999998</v>
      </c>
      <c r="I1038">
        <v>2474.4119999999998</v>
      </c>
      <c r="J1038" t="s">
        <v>403</v>
      </c>
      <c r="K1038">
        <v>0.4</v>
      </c>
      <c r="L1038">
        <v>-95.8</v>
      </c>
      <c r="N1038">
        <v>37</v>
      </c>
      <c r="O1038">
        <v>37</v>
      </c>
      <c r="P1038" t="s">
        <v>691</v>
      </c>
      <c r="Q1038" t="s">
        <v>414</v>
      </c>
      <c r="R1038">
        <v>10</v>
      </c>
      <c r="S1038">
        <v>3.06</v>
      </c>
      <c r="T1038">
        <v>18088.598000000002</v>
      </c>
      <c r="V1038">
        <v>18088.598000000002</v>
      </c>
      <c r="W1038" t="s">
        <v>403</v>
      </c>
      <c r="X1038">
        <v>2.6</v>
      </c>
      <c r="Y1038">
        <v>-73.599999999999994</v>
      </c>
    </row>
    <row r="1039" spans="1:25" x14ac:dyDescent="0.45">
      <c r="A1039">
        <v>10</v>
      </c>
      <c r="B1039">
        <v>10</v>
      </c>
      <c r="C1039" t="s">
        <v>591</v>
      </c>
      <c r="D1039" t="s">
        <v>414</v>
      </c>
      <c r="E1039">
        <v>10</v>
      </c>
      <c r="F1039">
        <v>3.06</v>
      </c>
      <c r="G1039">
        <v>36936.949000000001</v>
      </c>
      <c r="I1039">
        <v>36936.949000000001</v>
      </c>
      <c r="J1039" t="s">
        <v>403</v>
      </c>
      <c r="K1039">
        <v>6.2</v>
      </c>
      <c r="L1039">
        <v>-37.700000000000003</v>
      </c>
      <c r="N1039">
        <v>38</v>
      </c>
      <c r="O1039">
        <v>38</v>
      </c>
      <c r="P1039" t="s">
        <v>692</v>
      </c>
      <c r="Q1039" t="s">
        <v>414</v>
      </c>
      <c r="R1039">
        <v>10</v>
      </c>
      <c r="S1039">
        <v>3.06</v>
      </c>
      <c r="T1039">
        <v>27521.148000000001</v>
      </c>
      <c r="V1039">
        <v>27521.148000000001</v>
      </c>
      <c r="W1039" t="s">
        <v>403</v>
      </c>
      <c r="X1039">
        <v>4</v>
      </c>
      <c r="Y1039">
        <v>-59.8</v>
      </c>
    </row>
    <row r="1040" spans="1:25" x14ac:dyDescent="0.45">
      <c r="A1040">
        <v>11</v>
      </c>
      <c r="B1040">
        <v>11</v>
      </c>
      <c r="C1040" t="s">
        <v>592</v>
      </c>
      <c r="D1040" t="s">
        <v>414</v>
      </c>
      <c r="E1040">
        <v>10</v>
      </c>
      <c r="F1040">
        <v>3.06</v>
      </c>
      <c r="G1040">
        <v>12436.325000000001</v>
      </c>
      <c r="I1040">
        <v>12436.325000000001</v>
      </c>
      <c r="J1040" t="s">
        <v>403</v>
      </c>
      <c r="K1040">
        <v>2.1</v>
      </c>
      <c r="L1040">
        <v>-79</v>
      </c>
      <c r="N1040">
        <v>39</v>
      </c>
      <c r="O1040">
        <v>39</v>
      </c>
      <c r="P1040" t="s">
        <v>693</v>
      </c>
      <c r="Q1040" t="s">
        <v>414</v>
      </c>
      <c r="R1040">
        <v>10</v>
      </c>
      <c r="S1040">
        <v>3.06</v>
      </c>
      <c r="T1040">
        <v>28853.125</v>
      </c>
      <c r="V1040">
        <v>28853.125</v>
      </c>
      <c r="W1040" t="s">
        <v>403</v>
      </c>
      <c r="X1040">
        <v>4.2</v>
      </c>
      <c r="Y1040">
        <v>-57.9</v>
      </c>
    </row>
    <row r="1041" spans="1:25" x14ac:dyDescent="0.45">
      <c r="A1041">
        <v>12</v>
      </c>
      <c r="B1041">
        <v>12</v>
      </c>
      <c r="C1041" t="s">
        <v>593</v>
      </c>
      <c r="D1041" t="s">
        <v>414</v>
      </c>
      <c r="E1041">
        <v>10</v>
      </c>
      <c r="F1041">
        <v>3.07</v>
      </c>
      <c r="G1041">
        <v>21454.960999999999</v>
      </c>
      <c r="I1041">
        <v>21454.960999999999</v>
      </c>
      <c r="J1041" t="s">
        <v>403</v>
      </c>
      <c r="K1041">
        <v>3.6</v>
      </c>
      <c r="L1041">
        <v>-63.8</v>
      </c>
      <c r="N1041">
        <v>40</v>
      </c>
      <c r="O1041">
        <v>40</v>
      </c>
      <c r="P1041" t="s">
        <v>694</v>
      </c>
      <c r="Q1041" t="s">
        <v>414</v>
      </c>
      <c r="R1041">
        <v>10</v>
      </c>
      <c r="S1041">
        <v>3.06</v>
      </c>
      <c r="T1041">
        <v>44698.949000000001</v>
      </c>
      <c r="V1041">
        <v>44698.949000000001</v>
      </c>
      <c r="W1041" t="s">
        <v>403</v>
      </c>
      <c r="X1041">
        <v>6.5</v>
      </c>
      <c r="Y1041">
        <v>-34.799999999999997</v>
      </c>
    </row>
    <row r="1042" spans="1:25" x14ac:dyDescent="0.45">
      <c r="A1042">
        <v>13</v>
      </c>
      <c r="B1042">
        <v>13</v>
      </c>
      <c r="C1042" t="s">
        <v>594</v>
      </c>
      <c r="D1042" t="s">
        <v>414</v>
      </c>
      <c r="E1042">
        <v>10</v>
      </c>
      <c r="F1042">
        <v>3.06</v>
      </c>
      <c r="G1042">
        <v>36244.605000000003</v>
      </c>
      <c r="I1042">
        <v>36244.605000000003</v>
      </c>
      <c r="J1042" t="s">
        <v>403</v>
      </c>
      <c r="K1042">
        <v>6.1</v>
      </c>
      <c r="L1042">
        <v>-38.799999999999997</v>
      </c>
      <c r="N1042">
        <v>41</v>
      </c>
      <c r="O1042">
        <v>41</v>
      </c>
      <c r="P1042" t="s">
        <v>695</v>
      </c>
      <c r="Q1042" t="s">
        <v>414</v>
      </c>
      <c r="R1042">
        <v>10</v>
      </c>
      <c r="S1042">
        <v>3.06</v>
      </c>
      <c r="T1042">
        <v>42988.108999999997</v>
      </c>
      <c r="V1042">
        <v>42988.108999999997</v>
      </c>
      <c r="W1042" t="s">
        <v>403</v>
      </c>
      <c r="X1042">
        <v>6.3</v>
      </c>
      <c r="Y1042">
        <v>-37.299999999999997</v>
      </c>
    </row>
    <row r="1043" spans="1:25" x14ac:dyDescent="0.45">
      <c r="A1043">
        <v>14</v>
      </c>
      <c r="B1043">
        <v>14</v>
      </c>
      <c r="C1043" t="s">
        <v>595</v>
      </c>
      <c r="D1043" t="s">
        <v>414</v>
      </c>
      <c r="E1043">
        <v>10</v>
      </c>
      <c r="F1043">
        <v>3.06</v>
      </c>
      <c r="G1043">
        <v>38431.43</v>
      </c>
      <c r="I1043">
        <v>38431.43</v>
      </c>
      <c r="J1043" t="s">
        <v>403</v>
      </c>
      <c r="K1043">
        <v>6.5</v>
      </c>
      <c r="L1043">
        <v>-35.200000000000003</v>
      </c>
      <c r="N1043">
        <v>42</v>
      </c>
      <c r="O1043">
        <v>42</v>
      </c>
      <c r="P1043" t="s">
        <v>696</v>
      </c>
      <c r="Q1043" t="s">
        <v>414</v>
      </c>
      <c r="R1043">
        <v>10</v>
      </c>
      <c r="S1043">
        <v>3.06</v>
      </c>
      <c r="T1043">
        <v>40251.074000000001</v>
      </c>
      <c r="V1043">
        <v>40251.074000000001</v>
      </c>
      <c r="W1043" t="s">
        <v>403</v>
      </c>
      <c r="X1043">
        <v>5.9</v>
      </c>
      <c r="Y1043">
        <v>-41.3</v>
      </c>
    </row>
    <row r="1044" spans="1:25" x14ac:dyDescent="0.45">
      <c r="A1044">
        <v>15</v>
      </c>
      <c r="B1044">
        <v>15</v>
      </c>
      <c r="C1044" t="s">
        <v>596</v>
      </c>
      <c r="D1044" t="s">
        <v>414</v>
      </c>
      <c r="E1044">
        <v>10</v>
      </c>
      <c r="F1044">
        <v>3.06</v>
      </c>
      <c r="G1044">
        <v>46231.292999999998</v>
      </c>
      <c r="I1044">
        <v>46231.292999999998</v>
      </c>
      <c r="J1044" t="s">
        <v>403</v>
      </c>
      <c r="K1044">
        <v>7.8</v>
      </c>
      <c r="L1044">
        <v>-22</v>
      </c>
      <c r="N1044">
        <v>43</v>
      </c>
      <c r="O1044">
        <v>43</v>
      </c>
      <c r="P1044" t="s">
        <v>697</v>
      </c>
      <c r="Q1044" t="s">
        <v>414</v>
      </c>
      <c r="R1044">
        <v>10</v>
      </c>
      <c r="S1044">
        <v>3.06</v>
      </c>
      <c r="T1044">
        <v>46483.605000000003</v>
      </c>
      <c r="V1044">
        <v>46483.605000000003</v>
      </c>
      <c r="W1044" t="s">
        <v>403</v>
      </c>
      <c r="X1044">
        <v>6.8</v>
      </c>
      <c r="Y1044">
        <v>-32.200000000000003</v>
      </c>
    </row>
    <row r="1045" spans="1:25" x14ac:dyDescent="0.45">
      <c r="A1045">
        <v>16</v>
      </c>
      <c r="B1045">
        <v>16</v>
      </c>
      <c r="C1045" t="s">
        <v>597</v>
      </c>
      <c r="D1045" t="s">
        <v>414</v>
      </c>
      <c r="E1045">
        <v>10</v>
      </c>
      <c r="F1045">
        <v>3.06</v>
      </c>
      <c r="G1045">
        <v>48355.813000000002</v>
      </c>
      <c r="I1045">
        <v>48355.813000000002</v>
      </c>
      <c r="J1045" t="s">
        <v>403</v>
      </c>
      <c r="K1045">
        <v>8.1999999999999993</v>
      </c>
      <c r="L1045">
        <v>-18.399999999999999</v>
      </c>
      <c r="N1045">
        <v>44</v>
      </c>
      <c r="O1045">
        <v>44</v>
      </c>
      <c r="P1045" t="s">
        <v>698</v>
      </c>
      <c r="Q1045" t="s">
        <v>414</v>
      </c>
      <c r="R1045">
        <v>10</v>
      </c>
      <c r="S1045">
        <v>3.06</v>
      </c>
      <c r="T1045">
        <v>39255.995999999999</v>
      </c>
      <c r="V1045">
        <v>39255.995999999999</v>
      </c>
      <c r="W1045" t="s">
        <v>403</v>
      </c>
      <c r="X1045">
        <v>5.7</v>
      </c>
      <c r="Y1045">
        <v>-42.7</v>
      </c>
    </row>
    <row r="1046" spans="1:25" x14ac:dyDescent="0.45">
      <c r="A1046">
        <v>17</v>
      </c>
      <c r="B1046">
        <v>17</v>
      </c>
      <c r="C1046" t="s">
        <v>598</v>
      </c>
      <c r="D1046" t="s">
        <v>414</v>
      </c>
      <c r="E1046">
        <v>10</v>
      </c>
      <c r="F1046">
        <v>3.06</v>
      </c>
      <c r="G1046">
        <v>41038.550999999999</v>
      </c>
      <c r="I1046">
        <v>41038.550999999999</v>
      </c>
      <c r="J1046" t="s">
        <v>415</v>
      </c>
      <c r="K1046">
        <v>6.9</v>
      </c>
      <c r="L1046">
        <v>-30.8</v>
      </c>
      <c r="N1046">
        <v>45</v>
      </c>
      <c r="O1046">
        <v>45</v>
      </c>
      <c r="P1046" t="s">
        <v>699</v>
      </c>
      <c r="Q1046" t="s">
        <v>414</v>
      </c>
      <c r="R1046">
        <v>10</v>
      </c>
      <c r="S1046">
        <v>3.06</v>
      </c>
      <c r="T1046">
        <v>24142.414000000001</v>
      </c>
      <c r="V1046">
        <v>24142.414000000001</v>
      </c>
      <c r="W1046" t="s">
        <v>403</v>
      </c>
      <c r="X1046">
        <v>3.5</v>
      </c>
      <c r="Y1046">
        <v>-64.8</v>
      </c>
    </row>
    <row r="1047" spans="1:25" x14ac:dyDescent="0.45">
      <c r="A1047">
        <v>18</v>
      </c>
      <c r="B1047">
        <v>18</v>
      </c>
      <c r="C1047" t="s">
        <v>599</v>
      </c>
      <c r="D1047" t="s">
        <v>414</v>
      </c>
      <c r="E1047">
        <v>10</v>
      </c>
      <c r="F1047">
        <v>3.06</v>
      </c>
      <c r="G1047">
        <v>17038.736000000001</v>
      </c>
      <c r="I1047">
        <v>17038.736000000001</v>
      </c>
      <c r="J1047" t="s">
        <v>403</v>
      </c>
      <c r="K1047">
        <v>2.9</v>
      </c>
      <c r="L1047">
        <v>-71.2</v>
      </c>
      <c r="N1047">
        <v>46</v>
      </c>
      <c r="O1047">
        <v>46</v>
      </c>
      <c r="P1047" t="s">
        <v>700</v>
      </c>
      <c r="Q1047" t="s">
        <v>414</v>
      </c>
      <c r="R1047">
        <v>10</v>
      </c>
      <c r="S1047">
        <v>3.06</v>
      </c>
      <c r="T1047">
        <v>42658.141000000003</v>
      </c>
      <c r="V1047">
        <v>42658.141000000003</v>
      </c>
      <c r="W1047" t="s">
        <v>403</v>
      </c>
      <c r="X1047">
        <v>6.2</v>
      </c>
      <c r="Y1047">
        <v>-37.700000000000003</v>
      </c>
    </row>
    <row r="1048" spans="1:25" x14ac:dyDescent="0.45">
      <c r="A1048">
        <v>19</v>
      </c>
      <c r="B1048">
        <v>19</v>
      </c>
      <c r="C1048" t="s">
        <v>600</v>
      </c>
      <c r="D1048" t="s">
        <v>414</v>
      </c>
      <c r="E1048">
        <v>10</v>
      </c>
      <c r="F1048">
        <v>3.06</v>
      </c>
      <c r="G1048">
        <v>17334.338</v>
      </c>
      <c r="I1048">
        <v>17334.338</v>
      </c>
      <c r="J1048" t="s">
        <v>403</v>
      </c>
      <c r="K1048">
        <v>2.9</v>
      </c>
      <c r="L1048">
        <v>-70.8</v>
      </c>
      <c r="N1048">
        <v>47</v>
      </c>
      <c r="O1048">
        <v>47</v>
      </c>
      <c r="P1048" t="s">
        <v>701</v>
      </c>
      <c r="Q1048" t="s">
        <v>414</v>
      </c>
      <c r="R1048">
        <v>10</v>
      </c>
      <c r="S1048">
        <v>3.06</v>
      </c>
      <c r="T1048">
        <v>43740.440999999999</v>
      </c>
      <c r="V1048">
        <v>43740.440999999999</v>
      </c>
      <c r="W1048" t="s">
        <v>403</v>
      </c>
      <c r="X1048">
        <v>6.4</v>
      </c>
      <c r="Y1048">
        <v>-36.200000000000003</v>
      </c>
    </row>
    <row r="1049" spans="1:25" x14ac:dyDescent="0.45">
      <c r="A1049">
        <v>20</v>
      </c>
      <c r="B1049">
        <v>20</v>
      </c>
      <c r="C1049" t="s">
        <v>601</v>
      </c>
      <c r="D1049" t="s">
        <v>414</v>
      </c>
      <c r="E1049">
        <v>10</v>
      </c>
      <c r="F1049">
        <v>3.06</v>
      </c>
      <c r="G1049">
        <v>13003.51</v>
      </c>
      <c r="I1049">
        <v>13003.51</v>
      </c>
      <c r="J1049" t="s">
        <v>403</v>
      </c>
      <c r="K1049">
        <v>2.2000000000000002</v>
      </c>
      <c r="L1049">
        <v>-78.099999999999994</v>
      </c>
      <c r="N1049">
        <v>48</v>
      </c>
      <c r="O1049">
        <v>48</v>
      </c>
      <c r="P1049" t="s">
        <v>702</v>
      </c>
      <c r="Q1049" t="s">
        <v>414</v>
      </c>
      <c r="R1049">
        <v>10</v>
      </c>
      <c r="S1049">
        <v>3.06</v>
      </c>
      <c r="T1049">
        <v>46697.137000000002</v>
      </c>
      <c r="V1049">
        <v>46697.137000000002</v>
      </c>
      <c r="W1049" t="s">
        <v>403</v>
      </c>
      <c r="X1049">
        <v>6.8</v>
      </c>
      <c r="Y1049">
        <v>-31.8</v>
      </c>
    </row>
    <row r="1050" spans="1:25" x14ac:dyDescent="0.45">
      <c r="A1050">
        <v>21</v>
      </c>
      <c r="B1050">
        <v>21</v>
      </c>
      <c r="C1050" t="s">
        <v>602</v>
      </c>
      <c r="D1050" t="s">
        <v>414</v>
      </c>
      <c r="E1050">
        <v>10</v>
      </c>
      <c r="F1050">
        <v>3.06</v>
      </c>
      <c r="G1050">
        <v>22904.982</v>
      </c>
      <c r="I1050">
        <v>22904.982</v>
      </c>
      <c r="J1050" t="s">
        <v>403</v>
      </c>
      <c r="K1050">
        <v>3.9</v>
      </c>
      <c r="L1050">
        <v>-61.4</v>
      </c>
      <c r="N1050">
        <v>49</v>
      </c>
      <c r="O1050">
        <v>49</v>
      </c>
      <c r="P1050" t="s">
        <v>703</v>
      </c>
      <c r="Q1050" t="s">
        <v>414</v>
      </c>
      <c r="R1050">
        <v>10</v>
      </c>
      <c r="S1050">
        <v>3.06</v>
      </c>
      <c r="T1050">
        <v>45431.555</v>
      </c>
      <c r="V1050">
        <v>45431.555</v>
      </c>
      <c r="W1050" t="s">
        <v>403</v>
      </c>
      <c r="X1050">
        <v>6.6</v>
      </c>
      <c r="Y1050">
        <v>-33.700000000000003</v>
      </c>
    </row>
    <row r="1051" spans="1:25" x14ac:dyDescent="0.45">
      <c r="A1051">
        <v>22</v>
      </c>
      <c r="B1051">
        <v>22</v>
      </c>
      <c r="C1051" t="s">
        <v>603</v>
      </c>
      <c r="D1051" t="s">
        <v>414</v>
      </c>
      <c r="E1051">
        <v>10</v>
      </c>
      <c r="F1051">
        <v>3.06</v>
      </c>
      <c r="G1051">
        <v>48310.879000000001</v>
      </c>
      <c r="I1051">
        <v>48310.879000000001</v>
      </c>
      <c r="J1051" t="s">
        <v>403</v>
      </c>
      <c r="K1051">
        <v>8.1999999999999993</v>
      </c>
      <c r="L1051">
        <v>-18.5</v>
      </c>
      <c r="N1051">
        <v>50</v>
      </c>
      <c r="O1051">
        <v>50</v>
      </c>
      <c r="P1051" t="s">
        <v>704</v>
      </c>
      <c r="Q1051" t="s">
        <v>414</v>
      </c>
      <c r="R1051">
        <v>10</v>
      </c>
      <c r="S1051">
        <v>3.06</v>
      </c>
      <c r="T1051">
        <v>41780.940999999999</v>
      </c>
      <c r="V1051">
        <v>41780.940999999999</v>
      </c>
      <c r="W1051" t="s">
        <v>403</v>
      </c>
      <c r="X1051">
        <v>6.1</v>
      </c>
      <c r="Y1051">
        <v>-39</v>
      </c>
    </row>
    <row r="1052" spans="1:25" x14ac:dyDescent="0.45">
      <c r="A1052">
        <v>23</v>
      </c>
      <c r="B1052">
        <v>23</v>
      </c>
      <c r="C1052" t="s">
        <v>604</v>
      </c>
      <c r="D1052" t="s">
        <v>414</v>
      </c>
      <c r="E1052">
        <v>10</v>
      </c>
      <c r="F1052">
        <v>3.06</v>
      </c>
      <c r="G1052">
        <v>48992.141000000003</v>
      </c>
      <c r="I1052">
        <v>48992.141000000003</v>
      </c>
      <c r="J1052" t="s">
        <v>403</v>
      </c>
      <c r="K1052">
        <v>8.3000000000000007</v>
      </c>
      <c r="L1052">
        <v>-17.3</v>
      </c>
      <c r="N1052">
        <v>51</v>
      </c>
      <c r="O1052">
        <v>51</v>
      </c>
      <c r="P1052" t="s">
        <v>705</v>
      </c>
      <c r="Q1052" t="s">
        <v>414</v>
      </c>
      <c r="R1052">
        <v>10</v>
      </c>
      <c r="S1052">
        <v>3.06</v>
      </c>
      <c r="T1052">
        <v>12568.46</v>
      </c>
      <c r="V1052">
        <v>12568.46</v>
      </c>
      <c r="W1052" t="s">
        <v>403</v>
      </c>
      <c r="X1052">
        <v>1.8</v>
      </c>
      <c r="Y1052">
        <v>-81.7</v>
      </c>
    </row>
    <row r="1053" spans="1:25" x14ac:dyDescent="0.45">
      <c r="A1053">
        <v>24</v>
      </c>
      <c r="B1053">
        <v>24</v>
      </c>
      <c r="C1053" t="s">
        <v>605</v>
      </c>
      <c r="D1053" t="s">
        <v>414</v>
      </c>
      <c r="E1053">
        <v>10</v>
      </c>
      <c r="F1053">
        <v>3.06</v>
      </c>
      <c r="G1053">
        <v>29997.831999999999</v>
      </c>
      <c r="I1053">
        <v>29997.831999999999</v>
      </c>
      <c r="J1053" t="s">
        <v>403</v>
      </c>
      <c r="K1053">
        <v>5.0999999999999996</v>
      </c>
      <c r="L1053">
        <v>-49.4</v>
      </c>
      <c r="N1053">
        <v>52</v>
      </c>
      <c r="O1053">
        <v>52</v>
      </c>
      <c r="P1053" t="s">
        <v>706</v>
      </c>
      <c r="Q1053" t="s">
        <v>414</v>
      </c>
      <c r="R1053">
        <v>10</v>
      </c>
      <c r="S1053">
        <v>3.06</v>
      </c>
      <c r="T1053">
        <v>37599.461000000003</v>
      </c>
      <c r="V1053">
        <v>37599.461000000003</v>
      </c>
      <c r="W1053" t="s">
        <v>403</v>
      </c>
      <c r="X1053">
        <v>5.5</v>
      </c>
      <c r="Y1053">
        <v>-45.1</v>
      </c>
    </row>
    <row r="1054" spans="1:25" x14ac:dyDescent="0.45">
      <c r="A1054">
        <v>25</v>
      </c>
      <c r="B1054">
        <v>25</v>
      </c>
      <c r="C1054" t="s">
        <v>606</v>
      </c>
      <c r="D1054" t="s">
        <v>414</v>
      </c>
      <c r="E1054">
        <v>10</v>
      </c>
      <c r="F1054">
        <v>3.06</v>
      </c>
      <c r="G1054">
        <v>34763.843999999997</v>
      </c>
      <c r="I1054">
        <v>34763.843999999997</v>
      </c>
      <c r="J1054" t="s">
        <v>403</v>
      </c>
      <c r="K1054">
        <v>5.9</v>
      </c>
      <c r="L1054">
        <v>-41.3</v>
      </c>
      <c r="N1054">
        <v>53</v>
      </c>
      <c r="O1054">
        <v>53</v>
      </c>
      <c r="P1054" t="s">
        <v>707</v>
      </c>
      <c r="Q1054" t="s">
        <v>414</v>
      </c>
      <c r="R1054">
        <v>10</v>
      </c>
      <c r="S1054">
        <v>3.06</v>
      </c>
      <c r="T1054">
        <v>41193.773000000001</v>
      </c>
      <c r="V1054">
        <v>41193.773000000001</v>
      </c>
      <c r="W1054" t="s">
        <v>403</v>
      </c>
      <c r="X1054">
        <v>6</v>
      </c>
      <c r="Y1054">
        <v>-39.9</v>
      </c>
    </row>
    <row r="1055" spans="1:25" x14ac:dyDescent="0.45">
      <c r="A1055">
        <v>26</v>
      </c>
      <c r="B1055">
        <v>26</v>
      </c>
      <c r="C1055" t="s">
        <v>607</v>
      </c>
      <c r="D1055" t="s">
        <v>414</v>
      </c>
      <c r="E1055">
        <v>10</v>
      </c>
      <c r="F1055">
        <v>3.06</v>
      </c>
      <c r="G1055">
        <v>33047.019999999997</v>
      </c>
      <c r="I1055">
        <v>33047.019999999997</v>
      </c>
      <c r="J1055" t="s">
        <v>403</v>
      </c>
      <c r="K1055">
        <v>5.6</v>
      </c>
      <c r="L1055">
        <v>-44.2</v>
      </c>
      <c r="N1055">
        <v>54</v>
      </c>
      <c r="O1055">
        <v>54</v>
      </c>
      <c r="P1055" t="s">
        <v>708</v>
      </c>
      <c r="Q1055" t="s">
        <v>414</v>
      </c>
      <c r="R1055">
        <v>10</v>
      </c>
      <c r="S1055">
        <v>3.06</v>
      </c>
      <c r="T1055">
        <v>39102.995999999999</v>
      </c>
      <c r="V1055">
        <v>39102.995999999999</v>
      </c>
      <c r="W1055" t="s">
        <v>403</v>
      </c>
      <c r="X1055">
        <v>5.7</v>
      </c>
      <c r="Y1055">
        <v>-42.9</v>
      </c>
    </row>
    <row r="1056" spans="1:25" x14ac:dyDescent="0.45">
      <c r="A1056">
        <v>27</v>
      </c>
      <c r="B1056">
        <v>27</v>
      </c>
      <c r="C1056" t="s">
        <v>608</v>
      </c>
      <c r="D1056" t="s">
        <v>414</v>
      </c>
      <c r="E1056">
        <v>10</v>
      </c>
      <c r="F1056">
        <v>3.06</v>
      </c>
      <c r="G1056">
        <v>45573.468999999997</v>
      </c>
      <c r="I1056">
        <v>45573.468999999997</v>
      </c>
      <c r="J1056" t="s">
        <v>403</v>
      </c>
      <c r="K1056">
        <v>7.7</v>
      </c>
      <c r="L1056">
        <v>-23.1</v>
      </c>
      <c r="N1056">
        <v>55</v>
      </c>
      <c r="O1056">
        <v>55</v>
      </c>
      <c r="P1056" t="s">
        <v>709</v>
      </c>
      <c r="Q1056" t="s">
        <v>414</v>
      </c>
      <c r="R1056">
        <v>10</v>
      </c>
      <c r="S1056">
        <v>3.06</v>
      </c>
      <c r="T1056">
        <v>40568.152000000002</v>
      </c>
      <c r="V1056">
        <v>40568.152000000002</v>
      </c>
      <c r="W1056" t="s">
        <v>403</v>
      </c>
      <c r="X1056">
        <v>5.9</v>
      </c>
      <c r="Y1056">
        <v>-40.799999999999997</v>
      </c>
    </row>
    <row r="1057" spans="1:25" x14ac:dyDescent="0.45">
      <c r="A1057">
        <v>28</v>
      </c>
      <c r="B1057">
        <v>28</v>
      </c>
      <c r="C1057" t="s">
        <v>609</v>
      </c>
      <c r="D1057" t="s">
        <v>414</v>
      </c>
      <c r="E1057">
        <v>10</v>
      </c>
      <c r="F1057">
        <v>3.06</v>
      </c>
      <c r="G1057">
        <v>36686.887000000002</v>
      </c>
      <c r="I1057">
        <v>36686.887000000002</v>
      </c>
      <c r="J1057" t="s">
        <v>403</v>
      </c>
      <c r="K1057">
        <v>6.2</v>
      </c>
      <c r="L1057">
        <v>-38.1</v>
      </c>
      <c r="N1057">
        <v>56</v>
      </c>
      <c r="O1057">
        <v>56</v>
      </c>
      <c r="P1057" t="s">
        <v>710</v>
      </c>
      <c r="Q1057" t="s">
        <v>414</v>
      </c>
      <c r="R1057">
        <v>10</v>
      </c>
      <c r="S1057">
        <v>3.06</v>
      </c>
      <c r="T1057">
        <v>47855.73</v>
      </c>
      <c r="V1057">
        <v>47855.73</v>
      </c>
      <c r="W1057" t="s">
        <v>403</v>
      </c>
      <c r="X1057">
        <v>7</v>
      </c>
      <c r="Y1057">
        <v>-30.2</v>
      </c>
    </row>
    <row r="1058" spans="1:25" x14ac:dyDescent="0.45">
      <c r="A1058">
        <v>29</v>
      </c>
      <c r="B1058">
        <v>29</v>
      </c>
      <c r="C1058" t="s">
        <v>610</v>
      </c>
      <c r="D1058" t="s">
        <v>414</v>
      </c>
      <c r="E1058">
        <v>10</v>
      </c>
      <c r="F1058">
        <v>3.06</v>
      </c>
      <c r="G1058">
        <v>25054.958999999999</v>
      </c>
      <c r="I1058">
        <v>25054.958999999999</v>
      </c>
      <c r="J1058" t="s">
        <v>403</v>
      </c>
      <c r="K1058">
        <v>4.2</v>
      </c>
      <c r="L1058">
        <v>-57.7</v>
      </c>
      <c r="N1058">
        <v>57</v>
      </c>
      <c r="O1058">
        <v>57</v>
      </c>
      <c r="P1058" t="s">
        <v>711</v>
      </c>
      <c r="Q1058" t="s">
        <v>414</v>
      </c>
      <c r="R1058">
        <v>10</v>
      </c>
      <c r="S1058">
        <v>3.06</v>
      </c>
      <c r="T1058">
        <v>46796.972999999998</v>
      </c>
      <c r="V1058">
        <v>46796.972999999998</v>
      </c>
      <c r="W1058" t="s">
        <v>403</v>
      </c>
      <c r="X1058">
        <v>6.8</v>
      </c>
      <c r="Y1058">
        <v>-31.7</v>
      </c>
    </row>
    <row r="1059" spans="1:25" x14ac:dyDescent="0.45">
      <c r="A1059">
        <v>30</v>
      </c>
      <c r="B1059">
        <v>30</v>
      </c>
      <c r="C1059" t="s">
        <v>611</v>
      </c>
      <c r="D1059" t="s">
        <v>414</v>
      </c>
      <c r="E1059">
        <v>10</v>
      </c>
      <c r="F1059">
        <v>3.06</v>
      </c>
      <c r="G1059">
        <v>28791.208999999999</v>
      </c>
      <c r="I1059">
        <v>28791.208999999999</v>
      </c>
      <c r="J1059" t="s">
        <v>403</v>
      </c>
      <c r="K1059">
        <v>4.9000000000000004</v>
      </c>
      <c r="L1059">
        <v>-51.4</v>
      </c>
      <c r="N1059">
        <v>58</v>
      </c>
      <c r="O1059">
        <v>58</v>
      </c>
      <c r="P1059" t="s">
        <v>712</v>
      </c>
      <c r="Q1059" t="s">
        <v>414</v>
      </c>
      <c r="R1059">
        <v>10</v>
      </c>
      <c r="S1059">
        <v>3.06</v>
      </c>
      <c r="T1059">
        <v>48178.417999999998</v>
      </c>
      <c r="V1059">
        <v>48178.417999999998</v>
      </c>
      <c r="W1059" t="s">
        <v>403</v>
      </c>
      <c r="X1059">
        <v>7</v>
      </c>
      <c r="Y1059">
        <v>-29.7</v>
      </c>
    </row>
    <row r="1060" spans="1:25" x14ac:dyDescent="0.45">
      <c r="A1060">
        <v>31</v>
      </c>
      <c r="B1060">
        <v>31</v>
      </c>
      <c r="C1060" t="s">
        <v>612</v>
      </c>
      <c r="D1060" t="s">
        <v>414</v>
      </c>
      <c r="E1060">
        <v>10</v>
      </c>
      <c r="F1060">
        <v>3.06</v>
      </c>
      <c r="G1060">
        <v>30078.146000000001</v>
      </c>
      <c r="I1060">
        <v>30078.146000000001</v>
      </c>
      <c r="J1060" t="s">
        <v>403</v>
      </c>
      <c r="K1060">
        <v>5.0999999999999996</v>
      </c>
      <c r="L1060">
        <v>-49.2</v>
      </c>
      <c r="N1060">
        <v>59</v>
      </c>
      <c r="O1060">
        <v>59</v>
      </c>
      <c r="P1060" t="s">
        <v>713</v>
      </c>
      <c r="Q1060" t="s">
        <v>414</v>
      </c>
      <c r="R1060">
        <v>10</v>
      </c>
      <c r="S1060">
        <v>3.06</v>
      </c>
      <c r="T1060">
        <v>24496.83</v>
      </c>
      <c r="V1060">
        <v>24496.83</v>
      </c>
      <c r="W1060" t="s">
        <v>403</v>
      </c>
      <c r="X1060">
        <v>3.6</v>
      </c>
      <c r="Y1060">
        <v>-64.2</v>
      </c>
    </row>
    <row r="1061" spans="1:25" x14ac:dyDescent="0.45">
      <c r="A1061">
        <v>32</v>
      </c>
      <c r="B1061">
        <v>32</v>
      </c>
      <c r="C1061" t="s">
        <v>613</v>
      </c>
      <c r="D1061" t="s">
        <v>414</v>
      </c>
      <c r="E1061">
        <v>10</v>
      </c>
      <c r="F1061">
        <v>3.06</v>
      </c>
      <c r="G1061">
        <v>24710.296999999999</v>
      </c>
      <c r="I1061">
        <v>24710.296999999999</v>
      </c>
      <c r="J1061" t="s">
        <v>403</v>
      </c>
      <c r="K1061">
        <v>4.2</v>
      </c>
      <c r="L1061">
        <v>-58.3</v>
      </c>
      <c r="N1061">
        <v>60</v>
      </c>
      <c r="O1061">
        <v>60</v>
      </c>
      <c r="P1061" t="s">
        <v>714</v>
      </c>
      <c r="Q1061" t="s">
        <v>414</v>
      </c>
      <c r="R1061">
        <v>10</v>
      </c>
      <c r="S1061">
        <v>3.06</v>
      </c>
      <c r="T1061">
        <v>30169.942999999999</v>
      </c>
      <c r="V1061">
        <v>30169.942999999999</v>
      </c>
      <c r="W1061" t="s">
        <v>403</v>
      </c>
      <c r="X1061">
        <v>4.4000000000000004</v>
      </c>
      <c r="Y1061">
        <v>-56</v>
      </c>
    </row>
    <row r="1062" spans="1:25" x14ac:dyDescent="0.45">
      <c r="A1062">
        <v>33</v>
      </c>
      <c r="B1062">
        <v>33</v>
      </c>
      <c r="C1062" t="s">
        <v>614</v>
      </c>
      <c r="D1062" t="s">
        <v>414</v>
      </c>
      <c r="E1062">
        <v>10</v>
      </c>
      <c r="F1062">
        <v>3.07</v>
      </c>
      <c r="G1062">
        <v>21894.67</v>
      </c>
      <c r="I1062">
        <v>21894.67</v>
      </c>
      <c r="J1062" t="s">
        <v>403</v>
      </c>
      <c r="K1062">
        <v>3.7</v>
      </c>
      <c r="L1062">
        <v>-63.1</v>
      </c>
      <c r="N1062">
        <v>61</v>
      </c>
      <c r="O1062">
        <v>61</v>
      </c>
      <c r="P1062" t="s">
        <v>715</v>
      </c>
      <c r="Q1062" t="s">
        <v>414</v>
      </c>
      <c r="R1062">
        <v>10</v>
      </c>
      <c r="S1062">
        <v>3.06</v>
      </c>
      <c r="T1062">
        <v>38924.508000000002</v>
      </c>
      <c r="V1062">
        <v>38924.508000000002</v>
      </c>
      <c r="W1062" t="s">
        <v>403</v>
      </c>
      <c r="X1062">
        <v>5.7</v>
      </c>
      <c r="Y1062">
        <v>-43.2</v>
      </c>
    </row>
    <row r="1063" spans="1:25" x14ac:dyDescent="0.45">
      <c r="A1063">
        <v>34</v>
      </c>
      <c r="B1063">
        <v>34</v>
      </c>
      <c r="C1063" t="s">
        <v>615</v>
      </c>
      <c r="D1063" t="s">
        <v>414</v>
      </c>
      <c r="E1063">
        <v>10</v>
      </c>
      <c r="F1063">
        <v>3.06</v>
      </c>
      <c r="G1063">
        <v>22693.129000000001</v>
      </c>
      <c r="I1063">
        <v>22693.129000000001</v>
      </c>
      <c r="J1063" t="s">
        <v>403</v>
      </c>
      <c r="K1063">
        <v>3.8</v>
      </c>
      <c r="L1063">
        <v>-61.7</v>
      </c>
      <c r="N1063">
        <v>62</v>
      </c>
      <c r="O1063">
        <v>62</v>
      </c>
      <c r="P1063" t="s">
        <v>716</v>
      </c>
      <c r="Q1063" t="s">
        <v>414</v>
      </c>
      <c r="R1063">
        <v>10</v>
      </c>
      <c r="S1063">
        <v>3.06</v>
      </c>
      <c r="T1063">
        <v>22769.317999999999</v>
      </c>
      <c r="V1063">
        <v>22769.317999999999</v>
      </c>
      <c r="W1063" t="s">
        <v>403</v>
      </c>
      <c r="X1063">
        <v>3.3</v>
      </c>
      <c r="Y1063">
        <v>-66.8</v>
      </c>
    </row>
    <row r="1064" spans="1:25" x14ac:dyDescent="0.45">
      <c r="A1064">
        <v>35</v>
      </c>
      <c r="B1064">
        <v>35</v>
      </c>
      <c r="C1064" t="s">
        <v>616</v>
      </c>
      <c r="D1064" t="s">
        <v>414</v>
      </c>
      <c r="E1064">
        <v>10</v>
      </c>
      <c r="F1064">
        <v>3.06</v>
      </c>
      <c r="G1064">
        <v>20772.778999999999</v>
      </c>
      <c r="I1064">
        <v>20772.778999999999</v>
      </c>
      <c r="J1064" t="s">
        <v>403</v>
      </c>
      <c r="K1064">
        <v>3.5</v>
      </c>
      <c r="L1064">
        <v>-64.900000000000006</v>
      </c>
      <c r="N1064">
        <v>63</v>
      </c>
      <c r="O1064">
        <v>63</v>
      </c>
      <c r="P1064" t="s">
        <v>717</v>
      </c>
      <c r="Q1064" t="s">
        <v>414</v>
      </c>
      <c r="R1064">
        <v>10</v>
      </c>
      <c r="S1064">
        <v>3.06</v>
      </c>
      <c r="T1064">
        <v>46966.858999999997</v>
      </c>
      <c r="V1064">
        <v>46966.858999999997</v>
      </c>
      <c r="W1064" t="s">
        <v>403</v>
      </c>
      <c r="X1064">
        <v>6.9</v>
      </c>
      <c r="Y1064">
        <v>-31.5</v>
      </c>
    </row>
    <row r="1065" spans="1:25" x14ac:dyDescent="0.45">
      <c r="A1065">
        <v>36</v>
      </c>
      <c r="B1065">
        <v>36</v>
      </c>
      <c r="C1065" t="s">
        <v>617</v>
      </c>
      <c r="D1065" t="s">
        <v>414</v>
      </c>
      <c r="E1065">
        <v>10</v>
      </c>
      <c r="F1065">
        <v>3.06</v>
      </c>
      <c r="G1065">
        <v>25116.715</v>
      </c>
      <c r="I1065">
        <v>25116.715</v>
      </c>
      <c r="J1065" t="s">
        <v>403</v>
      </c>
      <c r="K1065">
        <v>4.2</v>
      </c>
      <c r="L1065">
        <v>-57.6</v>
      </c>
      <c r="N1065">
        <v>64</v>
      </c>
      <c r="O1065">
        <v>64</v>
      </c>
      <c r="P1065" t="s">
        <v>718</v>
      </c>
      <c r="Q1065" t="s">
        <v>414</v>
      </c>
      <c r="R1065">
        <v>10</v>
      </c>
      <c r="S1065">
        <v>3.06</v>
      </c>
      <c r="T1065">
        <v>41885.788999999997</v>
      </c>
      <c r="V1065">
        <v>41885.788999999997</v>
      </c>
      <c r="W1065" t="s">
        <v>403</v>
      </c>
      <c r="X1065">
        <v>6.1</v>
      </c>
      <c r="Y1065">
        <v>-38.9</v>
      </c>
    </row>
    <row r="1066" spans="1:25" x14ac:dyDescent="0.45">
      <c r="A1066">
        <v>37</v>
      </c>
      <c r="B1066">
        <v>37</v>
      </c>
      <c r="C1066" t="s">
        <v>618</v>
      </c>
      <c r="D1066" t="s">
        <v>414</v>
      </c>
      <c r="E1066">
        <v>10</v>
      </c>
      <c r="F1066">
        <v>3.06</v>
      </c>
      <c r="G1066">
        <v>46959.065999999999</v>
      </c>
      <c r="I1066">
        <v>46959.065999999999</v>
      </c>
      <c r="J1066" t="s">
        <v>415</v>
      </c>
      <c r="K1066">
        <v>7.9</v>
      </c>
      <c r="L1066">
        <v>-20.8</v>
      </c>
      <c r="N1066">
        <v>65</v>
      </c>
      <c r="O1066">
        <v>65</v>
      </c>
      <c r="P1066" t="s">
        <v>719</v>
      </c>
      <c r="Q1066" t="s">
        <v>414</v>
      </c>
      <c r="R1066">
        <v>10</v>
      </c>
      <c r="S1066">
        <v>3.06</v>
      </c>
      <c r="T1066">
        <v>19885.386999999999</v>
      </c>
      <c r="V1066">
        <v>19885.386999999999</v>
      </c>
      <c r="W1066" t="s">
        <v>403</v>
      </c>
      <c r="X1066">
        <v>2.9</v>
      </c>
      <c r="Y1066">
        <v>-71</v>
      </c>
    </row>
    <row r="1067" spans="1:25" x14ac:dyDescent="0.45">
      <c r="A1067">
        <v>38</v>
      </c>
      <c r="B1067">
        <v>38</v>
      </c>
      <c r="C1067" t="s">
        <v>619</v>
      </c>
      <c r="D1067" t="s">
        <v>414</v>
      </c>
      <c r="E1067">
        <v>10</v>
      </c>
      <c r="F1067">
        <v>3.06</v>
      </c>
      <c r="G1067">
        <v>19940.789000000001</v>
      </c>
      <c r="I1067">
        <v>19940.789000000001</v>
      </c>
      <c r="J1067" t="s">
        <v>403</v>
      </c>
      <c r="K1067">
        <v>3.4</v>
      </c>
      <c r="L1067">
        <v>-66.400000000000006</v>
      </c>
      <c r="N1067">
        <v>66</v>
      </c>
      <c r="O1067">
        <v>66</v>
      </c>
      <c r="P1067" t="s">
        <v>720</v>
      </c>
      <c r="Q1067" t="s">
        <v>414</v>
      </c>
      <c r="R1067">
        <v>10</v>
      </c>
      <c r="S1067">
        <v>3.06</v>
      </c>
      <c r="T1067">
        <v>47034.675999999999</v>
      </c>
      <c r="V1067">
        <v>47034.675999999999</v>
      </c>
      <c r="W1067" t="s">
        <v>403</v>
      </c>
      <c r="X1067">
        <v>6.9</v>
      </c>
      <c r="Y1067">
        <v>-31.4</v>
      </c>
    </row>
    <row r="1068" spans="1:25" x14ac:dyDescent="0.45">
      <c r="A1068">
        <v>39</v>
      </c>
      <c r="B1068">
        <v>39</v>
      </c>
      <c r="C1068" t="s">
        <v>620</v>
      </c>
      <c r="D1068" t="s">
        <v>414</v>
      </c>
      <c r="E1068">
        <v>10</v>
      </c>
      <c r="F1068">
        <v>3.06</v>
      </c>
      <c r="G1068">
        <v>19643.796999999999</v>
      </c>
      <c r="I1068">
        <v>19643.796999999999</v>
      </c>
      <c r="J1068" t="s">
        <v>403</v>
      </c>
      <c r="K1068">
        <v>3.3</v>
      </c>
      <c r="L1068">
        <v>-66.900000000000006</v>
      </c>
      <c r="N1068">
        <v>67</v>
      </c>
      <c r="O1068">
        <v>67</v>
      </c>
      <c r="P1068" t="s">
        <v>721</v>
      </c>
      <c r="Q1068" t="s">
        <v>414</v>
      </c>
      <c r="R1068">
        <v>10</v>
      </c>
      <c r="S1068">
        <v>3.06</v>
      </c>
      <c r="T1068">
        <v>45776.504000000001</v>
      </c>
      <c r="V1068">
        <v>45776.504000000001</v>
      </c>
      <c r="W1068" t="s">
        <v>403</v>
      </c>
      <c r="X1068">
        <v>6.7</v>
      </c>
      <c r="Y1068">
        <v>-33.200000000000003</v>
      </c>
    </row>
    <row r="1069" spans="1:25" x14ac:dyDescent="0.45">
      <c r="A1069">
        <v>40</v>
      </c>
      <c r="B1069">
        <v>40</v>
      </c>
      <c r="C1069" t="s">
        <v>621</v>
      </c>
      <c r="D1069" t="s">
        <v>414</v>
      </c>
      <c r="E1069">
        <v>10</v>
      </c>
      <c r="F1069">
        <v>3.06</v>
      </c>
      <c r="G1069">
        <v>37430.832000000002</v>
      </c>
      <c r="I1069">
        <v>37430.832000000002</v>
      </c>
      <c r="J1069" t="s">
        <v>403</v>
      </c>
      <c r="K1069">
        <v>6.3</v>
      </c>
      <c r="L1069">
        <v>-36.799999999999997</v>
      </c>
    </row>
    <row r="1070" spans="1:25" x14ac:dyDescent="0.45">
      <c r="A1070">
        <v>41</v>
      </c>
      <c r="B1070">
        <v>41</v>
      </c>
      <c r="C1070" t="s">
        <v>622</v>
      </c>
      <c r="D1070" t="s">
        <v>414</v>
      </c>
      <c r="E1070">
        <v>10</v>
      </c>
      <c r="F1070">
        <v>3.06</v>
      </c>
      <c r="G1070">
        <v>29678.662</v>
      </c>
      <c r="I1070">
        <v>29678.662</v>
      </c>
      <c r="J1070" t="s">
        <v>403</v>
      </c>
      <c r="K1070">
        <v>5</v>
      </c>
      <c r="L1070">
        <v>-49.9</v>
      </c>
      <c r="N1070" t="s">
        <v>501</v>
      </c>
    </row>
    <row r="1071" spans="1:25" x14ac:dyDescent="0.45">
      <c r="A1071">
        <v>42</v>
      </c>
      <c r="B1071">
        <v>42</v>
      </c>
      <c r="C1071" t="s">
        <v>623</v>
      </c>
      <c r="D1071" t="s">
        <v>414</v>
      </c>
      <c r="E1071">
        <v>10</v>
      </c>
      <c r="F1071">
        <v>3.06</v>
      </c>
      <c r="G1071">
        <v>50961.355000000003</v>
      </c>
      <c r="I1071">
        <v>50961.355000000003</v>
      </c>
      <c r="J1071" t="s">
        <v>403</v>
      </c>
      <c r="K1071">
        <v>8.6</v>
      </c>
      <c r="L1071">
        <v>-14</v>
      </c>
    </row>
    <row r="1072" spans="1:25" x14ac:dyDescent="0.45">
      <c r="A1072">
        <v>43</v>
      </c>
      <c r="B1072">
        <v>43</v>
      </c>
      <c r="C1072" t="s">
        <v>624</v>
      </c>
      <c r="D1072" t="s">
        <v>414</v>
      </c>
      <c r="E1072">
        <v>10</v>
      </c>
      <c r="F1072">
        <v>3.06</v>
      </c>
      <c r="G1072">
        <v>47069.722999999998</v>
      </c>
      <c r="I1072">
        <v>47069.722999999998</v>
      </c>
      <c r="J1072" t="s">
        <v>415</v>
      </c>
      <c r="K1072">
        <v>7.9</v>
      </c>
      <c r="L1072">
        <v>-20.6</v>
      </c>
      <c r="O1072" t="s">
        <v>389</v>
      </c>
      <c r="P1072" t="s">
        <v>123</v>
      </c>
      <c r="Q1072" t="s">
        <v>390</v>
      </c>
      <c r="R1072" t="s">
        <v>391</v>
      </c>
      <c r="S1072" t="s">
        <v>392</v>
      </c>
      <c r="T1072" t="s">
        <v>393</v>
      </c>
      <c r="U1072" t="s">
        <v>394</v>
      </c>
      <c r="V1072" t="s">
        <v>395</v>
      </c>
      <c r="W1072" t="s">
        <v>396</v>
      </c>
      <c r="X1072" t="s">
        <v>397</v>
      </c>
      <c r="Y1072" t="s">
        <v>398</v>
      </c>
    </row>
    <row r="1073" spans="1:25" x14ac:dyDescent="0.45">
      <c r="A1073">
        <v>44</v>
      </c>
      <c r="B1073">
        <v>44</v>
      </c>
      <c r="C1073" t="s">
        <v>625</v>
      </c>
      <c r="D1073" t="s">
        <v>414</v>
      </c>
      <c r="E1073">
        <v>10</v>
      </c>
      <c r="F1073">
        <v>3.06</v>
      </c>
      <c r="G1073">
        <v>44099.32</v>
      </c>
      <c r="I1073">
        <v>44099.32</v>
      </c>
      <c r="J1073" t="s">
        <v>403</v>
      </c>
      <c r="K1073">
        <v>7.4</v>
      </c>
      <c r="L1073">
        <v>-25.6</v>
      </c>
      <c r="N1073">
        <v>1</v>
      </c>
      <c r="O1073">
        <v>1</v>
      </c>
      <c r="P1073" t="s">
        <v>655</v>
      </c>
      <c r="Q1073" t="s">
        <v>400</v>
      </c>
      <c r="R1073">
        <v>10</v>
      </c>
      <c r="S1073">
        <v>3.04</v>
      </c>
      <c r="T1073">
        <v>193356.859</v>
      </c>
      <c r="V1073">
        <v>193356.859</v>
      </c>
      <c r="W1073" t="s">
        <v>403</v>
      </c>
      <c r="X1073">
        <v>10.4</v>
      </c>
      <c r="Y1073">
        <v>4.2</v>
      </c>
    </row>
    <row r="1074" spans="1:25" x14ac:dyDescent="0.45">
      <c r="A1074">
        <v>45</v>
      </c>
      <c r="B1074">
        <v>45</v>
      </c>
      <c r="C1074" t="s">
        <v>626</v>
      </c>
      <c r="D1074" t="s">
        <v>414</v>
      </c>
      <c r="E1074">
        <v>10</v>
      </c>
      <c r="F1074">
        <v>3.06</v>
      </c>
      <c r="G1074">
        <v>33686.707000000002</v>
      </c>
      <c r="I1074">
        <v>33686.707000000002</v>
      </c>
      <c r="J1074" t="s">
        <v>403</v>
      </c>
      <c r="K1074">
        <v>5.7</v>
      </c>
      <c r="L1074">
        <v>-43.2</v>
      </c>
      <c r="N1074">
        <v>2</v>
      </c>
      <c r="O1074">
        <v>2</v>
      </c>
      <c r="P1074" t="s">
        <v>656</v>
      </c>
      <c r="Q1074" t="s">
        <v>400</v>
      </c>
      <c r="R1074">
        <v>10</v>
      </c>
      <c r="S1074">
        <v>3.05</v>
      </c>
      <c r="T1074">
        <v>172043.79699999999</v>
      </c>
      <c r="V1074">
        <v>172043.79699999999</v>
      </c>
      <c r="W1074" t="s">
        <v>415</v>
      </c>
      <c r="X1074">
        <v>9.3000000000000007</v>
      </c>
      <c r="Y1074">
        <v>-7.3</v>
      </c>
    </row>
    <row r="1075" spans="1:25" x14ac:dyDescent="0.45">
      <c r="A1075">
        <v>46</v>
      </c>
      <c r="B1075">
        <v>46</v>
      </c>
      <c r="C1075" t="s">
        <v>627</v>
      </c>
      <c r="D1075" t="s">
        <v>414</v>
      </c>
      <c r="E1075">
        <v>10</v>
      </c>
      <c r="F1075">
        <v>3.06</v>
      </c>
      <c r="G1075">
        <v>37282.733999999997</v>
      </c>
      <c r="I1075">
        <v>37282.733999999997</v>
      </c>
      <c r="J1075" t="s">
        <v>403</v>
      </c>
      <c r="K1075">
        <v>6.3</v>
      </c>
      <c r="L1075">
        <v>-37.1</v>
      </c>
      <c r="N1075">
        <v>3</v>
      </c>
      <c r="O1075">
        <v>3</v>
      </c>
      <c r="P1075" t="s">
        <v>657</v>
      </c>
      <c r="Q1075" t="s">
        <v>400</v>
      </c>
      <c r="R1075">
        <v>10</v>
      </c>
      <c r="S1075">
        <v>3.05</v>
      </c>
      <c r="T1075">
        <v>166185.375</v>
      </c>
      <c r="V1075">
        <v>166185.375</v>
      </c>
      <c r="W1075" t="s">
        <v>415</v>
      </c>
      <c r="X1075">
        <v>9</v>
      </c>
      <c r="Y1075">
        <v>-10.4</v>
      </c>
    </row>
    <row r="1076" spans="1:25" x14ac:dyDescent="0.45">
      <c r="A1076">
        <v>47</v>
      </c>
      <c r="B1076">
        <v>47</v>
      </c>
      <c r="C1076" t="s">
        <v>628</v>
      </c>
      <c r="D1076" t="s">
        <v>414</v>
      </c>
      <c r="E1076">
        <v>10</v>
      </c>
      <c r="F1076">
        <v>3.06</v>
      </c>
      <c r="G1076">
        <v>44516.222999999998</v>
      </c>
      <c r="I1076">
        <v>44516.222999999998</v>
      </c>
      <c r="J1076" t="s">
        <v>403</v>
      </c>
      <c r="K1076">
        <v>7.5</v>
      </c>
      <c r="L1076">
        <v>-24.9</v>
      </c>
      <c r="N1076">
        <v>4</v>
      </c>
      <c r="O1076">
        <v>4</v>
      </c>
      <c r="P1076" t="s">
        <v>658</v>
      </c>
      <c r="Q1076" t="s">
        <v>400</v>
      </c>
      <c r="R1076">
        <v>10</v>
      </c>
      <c r="S1076">
        <v>3.05</v>
      </c>
      <c r="T1076">
        <v>171007.78099999999</v>
      </c>
      <c r="V1076">
        <v>171007.78099999999</v>
      </c>
      <c r="W1076" t="s">
        <v>415</v>
      </c>
      <c r="X1076">
        <v>9.1999999999999993</v>
      </c>
      <c r="Y1076">
        <v>-7.8</v>
      </c>
    </row>
    <row r="1077" spans="1:25" x14ac:dyDescent="0.45">
      <c r="A1077">
        <v>48</v>
      </c>
      <c r="B1077">
        <v>48</v>
      </c>
      <c r="C1077" t="s">
        <v>629</v>
      </c>
      <c r="D1077" t="s">
        <v>414</v>
      </c>
      <c r="E1077">
        <v>10</v>
      </c>
      <c r="F1077">
        <v>3.06</v>
      </c>
      <c r="G1077">
        <v>32305.705000000002</v>
      </c>
      <c r="I1077">
        <v>32305.705000000002</v>
      </c>
      <c r="J1077" t="s">
        <v>403</v>
      </c>
      <c r="K1077">
        <v>5.5</v>
      </c>
      <c r="L1077">
        <v>-45.5</v>
      </c>
      <c r="N1077">
        <v>5</v>
      </c>
      <c r="O1077">
        <v>5</v>
      </c>
      <c r="P1077" t="s">
        <v>659</v>
      </c>
      <c r="Q1077" t="s">
        <v>400</v>
      </c>
      <c r="R1077">
        <v>10</v>
      </c>
      <c r="S1077">
        <v>3.06</v>
      </c>
      <c r="T1077">
        <v>207124.79699999999</v>
      </c>
      <c r="V1077">
        <v>207124.79699999999</v>
      </c>
      <c r="W1077" t="s">
        <v>415</v>
      </c>
      <c r="X1077">
        <v>11.2</v>
      </c>
      <c r="Y1077">
        <v>11.6</v>
      </c>
    </row>
    <row r="1078" spans="1:25" x14ac:dyDescent="0.45">
      <c r="A1078">
        <v>49</v>
      </c>
      <c r="B1078">
        <v>49</v>
      </c>
      <c r="C1078" t="s">
        <v>630</v>
      </c>
      <c r="D1078" t="s">
        <v>414</v>
      </c>
      <c r="E1078">
        <v>10</v>
      </c>
      <c r="F1078">
        <v>3.06</v>
      </c>
      <c r="G1078">
        <v>42821.972999999998</v>
      </c>
      <c r="I1078">
        <v>42821.972999999998</v>
      </c>
      <c r="J1078" t="s">
        <v>403</v>
      </c>
      <c r="K1078">
        <v>7.2</v>
      </c>
      <c r="L1078">
        <v>-27.7</v>
      </c>
      <c r="N1078">
        <v>6</v>
      </c>
      <c r="O1078">
        <v>6</v>
      </c>
      <c r="P1078" t="s">
        <v>660</v>
      </c>
      <c r="Q1078" t="s">
        <v>400</v>
      </c>
      <c r="R1078">
        <v>10</v>
      </c>
      <c r="S1078">
        <v>3.06</v>
      </c>
      <c r="T1078">
        <v>203095.21900000001</v>
      </c>
      <c r="V1078">
        <v>203095.21900000001</v>
      </c>
      <c r="W1078" t="s">
        <v>415</v>
      </c>
      <c r="X1078">
        <v>10.9</v>
      </c>
      <c r="Y1078">
        <v>9.5</v>
      </c>
    </row>
    <row r="1079" spans="1:25" x14ac:dyDescent="0.45">
      <c r="A1079">
        <v>50</v>
      </c>
      <c r="B1079">
        <v>50</v>
      </c>
      <c r="C1079" t="s">
        <v>631</v>
      </c>
      <c r="D1079" t="s">
        <v>414</v>
      </c>
      <c r="E1079">
        <v>10</v>
      </c>
      <c r="F1079">
        <v>3.07</v>
      </c>
      <c r="G1079">
        <v>28752.822</v>
      </c>
      <c r="I1079">
        <v>28752.822</v>
      </c>
      <c r="J1079" t="s">
        <v>403</v>
      </c>
      <c r="K1079">
        <v>4.9000000000000004</v>
      </c>
      <c r="L1079">
        <v>-51.5</v>
      </c>
      <c r="N1079">
        <v>7</v>
      </c>
      <c r="O1079">
        <v>7</v>
      </c>
      <c r="P1079" t="s">
        <v>661</v>
      </c>
      <c r="Q1079" t="s">
        <v>400</v>
      </c>
      <c r="R1079">
        <v>10</v>
      </c>
      <c r="S1079">
        <v>3.06</v>
      </c>
      <c r="T1079">
        <v>185792.5</v>
      </c>
      <c r="V1079">
        <v>185792.5</v>
      </c>
      <c r="W1079" t="s">
        <v>412</v>
      </c>
      <c r="X1079">
        <v>10</v>
      </c>
      <c r="Y1079">
        <v>0.1</v>
      </c>
    </row>
    <row r="1080" spans="1:25" x14ac:dyDescent="0.45">
      <c r="A1080">
        <v>51</v>
      </c>
      <c r="B1080">
        <v>51</v>
      </c>
      <c r="C1080" t="s">
        <v>632</v>
      </c>
      <c r="D1080" t="s">
        <v>414</v>
      </c>
      <c r="E1080">
        <v>10</v>
      </c>
      <c r="F1080">
        <v>3.06</v>
      </c>
      <c r="G1080">
        <v>25246.773000000001</v>
      </c>
      <c r="I1080">
        <v>25246.773000000001</v>
      </c>
      <c r="J1080" t="s">
        <v>403</v>
      </c>
      <c r="K1080">
        <v>4.3</v>
      </c>
      <c r="L1080">
        <v>-57.4</v>
      </c>
      <c r="N1080">
        <v>8</v>
      </c>
      <c r="O1080">
        <v>8</v>
      </c>
      <c r="P1080" t="s">
        <v>662</v>
      </c>
      <c r="Q1080" t="s">
        <v>414</v>
      </c>
      <c r="R1080">
        <v>10</v>
      </c>
      <c r="S1080">
        <v>3.07</v>
      </c>
      <c r="T1080">
        <v>83556.25</v>
      </c>
      <c r="V1080">
        <v>83556.25</v>
      </c>
      <c r="W1080" t="s">
        <v>403</v>
      </c>
      <c r="X1080">
        <v>4.5</v>
      </c>
      <c r="Y1080">
        <v>-55</v>
      </c>
    </row>
    <row r="1081" spans="1:25" x14ac:dyDescent="0.45">
      <c r="A1081">
        <v>52</v>
      </c>
      <c r="B1081">
        <v>52</v>
      </c>
      <c r="C1081" t="s">
        <v>633</v>
      </c>
      <c r="D1081" t="s">
        <v>414</v>
      </c>
      <c r="E1081">
        <v>10</v>
      </c>
      <c r="F1081">
        <v>3.06</v>
      </c>
      <c r="G1081">
        <v>32179.440999999999</v>
      </c>
      <c r="I1081">
        <v>32179.440999999999</v>
      </c>
      <c r="J1081" t="s">
        <v>403</v>
      </c>
      <c r="K1081">
        <v>5.4</v>
      </c>
      <c r="L1081">
        <v>-45.7</v>
      </c>
      <c r="N1081">
        <v>9</v>
      </c>
      <c r="O1081">
        <v>9</v>
      </c>
      <c r="P1081" t="s">
        <v>663</v>
      </c>
      <c r="Q1081" t="s">
        <v>414</v>
      </c>
      <c r="R1081">
        <v>10</v>
      </c>
      <c r="S1081">
        <v>3.07</v>
      </c>
      <c r="T1081">
        <v>76502.093999999997</v>
      </c>
      <c r="V1081">
        <v>76502.093999999997</v>
      </c>
      <c r="W1081" t="s">
        <v>403</v>
      </c>
      <c r="X1081">
        <v>4.0999999999999996</v>
      </c>
      <c r="Y1081">
        <v>-58.8</v>
      </c>
    </row>
    <row r="1082" spans="1:25" x14ac:dyDescent="0.45">
      <c r="A1082">
        <v>53</v>
      </c>
      <c r="B1082">
        <v>53</v>
      </c>
      <c r="C1082" t="s">
        <v>634</v>
      </c>
      <c r="D1082" t="s">
        <v>414</v>
      </c>
      <c r="E1082">
        <v>10</v>
      </c>
      <c r="F1082">
        <v>3.06</v>
      </c>
      <c r="G1082">
        <v>46770.73</v>
      </c>
      <c r="I1082">
        <v>46770.73</v>
      </c>
      <c r="J1082" t="s">
        <v>403</v>
      </c>
      <c r="K1082">
        <v>7.9</v>
      </c>
      <c r="L1082">
        <v>-21.1</v>
      </c>
      <c r="N1082">
        <v>10</v>
      </c>
      <c r="O1082">
        <v>10</v>
      </c>
      <c r="P1082" t="s">
        <v>664</v>
      </c>
      <c r="Q1082" t="s">
        <v>414</v>
      </c>
      <c r="R1082">
        <v>10</v>
      </c>
      <c r="S1082">
        <v>3.07</v>
      </c>
      <c r="T1082">
        <v>94327.679999999993</v>
      </c>
      <c r="V1082">
        <v>94327.679999999993</v>
      </c>
      <c r="W1082" t="s">
        <v>403</v>
      </c>
      <c r="X1082">
        <v>5.0999999999999996</v>
      </c>
      <c r="Y1082">
        <v>-49.2</v>
      </c>
    </row>
    <row r="1083" spans="1:25" x14ac:dyDescent="0.45">
      <c r="A1083">
        <v>54</v>
      </c>
      <c r="B1083">
        <v>54</v>
      </c>
      <c r="C1083" t="s">
        <v>635</v>
      </c>
      <c r="D1083" t="s">
        <v>414</v>
      </c>
      <c r="E1083">
        <v>10</v>
      </c>
      <c r="F1083">
        <v>3.06</v>
      </c>
      <c r="G1083">
        <v>19138.756000000001</v>
      </c>
      <c r="I1083">
        <v>19138.756000000001</v>
      </c>
      <c r="J1083" t="s">
        <v>403</v>
      </c>
      <c r="K1083">
        <v>3.2</v>
      </c>
      <c r="L1083">
        <v>-67.7</v>
      </c>
      <c r="N1083">
        <v>11</v>
      </c>
      <c r="O1083">
        <v>11</v>
      </c>
      <c r="P1083" t="s">
        <v>665</v>
      </c>
      <c r="Q1083" t="s">
        <v>414</v>
      </c>
      <c r="R1083">
        <v>10</v>
      </c>
      <c r="S1083">
        <v>3.07</v>
      </c>
      <c r="T1083">
        <v>62249.362999999998</v>
      </c>
      <c r="V1083">
        <v>62249.362999999998</v>
      </c>
      <c r="W1083" t="s">
        <v>403</v>
      </c>
      <c r="X1083">
        <v>3.4</v>
      </c>
      <c r="Y1083">
        <v>-66.400000000000006</v>
      </c>
    </row>
    <row r="1084" spans="1:25" x14ac:dyDescent="0.45">
      <c r="A1084">
        <v>55</v>
      </c>
      <c r="B1084">
        <v>55</v>
      </c>
      <c r="C1084" t="s">
        <v>636</v>
      </c>
      <c r="D1084" t="s">
        <v>414</v>
      </c>
      <c r="E1084">
        <v>10</v>
      </c>
      <c r="F1084">
        <v>3.06</v>
      </c>
      <c r="G1084">
        <v>28770.453000000001</v>
      </c>
      <c r="I1084">
        <v>28770.453000000001</v>
      </c>
      <c r="J1084" t="s">
        <v>403</v>
      </c>
      <c r="K1084">
        <v>4.9000000000000004</v>
      </c>
      <c r="L1084">
        <v>-51.5</v>
      </c>
      <c r="N1084">
        <v>12</v>
      </c>
      <c r="O1084">
        <v>12</v>
      </c>
      <c r="P1084" t="s">
        <v>666</v>
      </c>
      <c r="Q1084" t="s">
        <v>414</v>
      </c>
      <c r="R1084">
        <v>10</v>
      </c>
      <c r="S1084">
        <v>3.07</v>
      </c>
      <c r="T1084">
        <v>50064.565999999999</v>
      </c>
      <c r="V1084">
        <v>50064.565999999999</v>
      </c>
      <c r="W1084" t="s">
        <v>415</v>
      </c>
      <c r="X1084">
        <v>2.7</v>
      </c>
      <c r="Y1084">
        <v>-73</v>
      </c>
    </row>
    <row r="1085" spans="1:25" x14ac:dyDescent="0.45">
      <c r="A1085">
        <v>56</v>
      </c>
      <c r="B1085">
        <v>56</v>
      </c>
      <c r="C1085" t="s">
        <v>637</v>
      </c>
      <c r="D1085" t="s">
        <v>414</v>
      </c>
      <c r="E1085">
        <v>10</v>
      </c>
      <c r="F1085">
        <v>3.06</v>
      </c>
      <c r="G1085">
        <v>46809.652000000002</v>
      </c>
      <c r="I1085">
        <v>46809.652000000002</v>
      </c>
      <c r="J1085" t="s">
        <v>403</v>
      </c>
      <c r="K1085">
        <v>7.9</v>
      </c>
      <c r="L1085">
        <v>-21</v>
      </c>
      <c r="N1085">
        <v>13</v>
      </c>
      <c r="O1085">
        <v>13</v>
      </c>
      <c r="P1085" t="s">
        <v>667</v>
      </c>
      <c r="Q1085" t="s">
        <v>414</v>
      </c>
      <c r="R1085">
        <v>10</v>
      </c>
      <c r="S1085">
        <v>3.07</v>
      </c>
      <c r="T1085">
        <v>55640.379000000001</v>
      </c>
      <c r="V1085">
        <v>55640.379000000001</v>
      </c>
      <c r="W1085" t="s">
        <v>403</v>
      </c>
      <c r="X1085">
        <v>3</v>
      </c>
      <c r="Y1085">
        <v>-70</v>
      </c>
    </row>
    <row r="1086" spans="1:25" x14ac:dyDescent="0.45">
      <c r="A1086">
        <v>57</v>
      </c>
      <c r="B1086">
        <v>57</v>
      </c>
      <c r="C1086" t="s">
        <v>638</v>
      </c>
      <c r="D1086" t="s">
        <v>414</v>
      </c>
      <c r="E1086">
        <v>10</v>
      </c>
      <c r="F1086">
        <v>3.06</v>
      </c>
      <c r="G1086">
        <v>22968.118999999999</v>
      </c>
      <c r="I1086">
        <v>22968.118999999999</v>
      </c>
      <c r="J1086" t="s">
        <v>403</v>
      </c>
      <c r="K1086">
        <v>3.9</v>
      </c>
      <c r="L1086">
        <v>-61.2</v>
      </c>
      <c r="N1086">
        <v>14</v>
      </c>
      <c r="O1086">
        <v>14</v>
      </c>
      <c r="P1086" t="s">
        <v>668</v>
      </c>
      <c r="Q1086" t="s">
        <v>414</v>
      </c>
      <c r="R1086">
        <v>10</v>
      </c>
      <c r="S1086">
        <v>3.07</v>
      </c>
      <c r="T1086">
        <v>66750.031000000003</v>
      </c>
      <c r="V1086">
        <v>66750.031000000003</v>
      </c>
      <c r="W1086" t="s">
        <v>403</v>
      </c>
      <c r="X1086">
        <v>3.6</v>
      </c>
      <c r="Y1086">
        <v>-64</v>
      </c>
    </row>
    <row r="1087" spans="1:25" x14ac:dyDescent="0.45">
      <c r="A1087">
        <v>58</v>
      </c>
      <c r="B1087">
        <v>58</v>
      </c>
      <c r="C1087" t="s">
        <v>639</v>
      </c>
      <c r="D1087" t="s">
        <v>414</v>
      </c>
      <c r="E1087">
        <v>10</v>
      </c>
      <c r="F1087">
        <v>3.06</v>
      </c>
      <c r="G1087">
        <v>21423.228999999999</v>
      </c>
      <c r="I1087">
        <v>21423.228999999999</v>
      </c>
      <c r="J1087" t="s">
        <v>403</v>
      </c>
      <c r="K1087">
        <v>3.6</v>
      </c>
      <c r="L1087">
        <v>-63.9</v>
      </c>
      <c r="N1087">
        <v>15</v>
      </c>
      <c r="O1087">
        <v>15</v>
      </c>
      <c r="P1087" t="s">
        <v>669</v>
      </c>
      <c r="Q1087" t="s">
        <v>414</v>
      </c>
      <c r="R1087">
        <v>10</v>
      </c>
      <c r="S1087">
        <v>3.07</v>
      </c>
      <c r="T1087">
        <v>47150.453000000001</v>
      </c>
      <c r="V1087">
        <v>47150.453000000001</v>
      </c>
      <c r="W1087" t="s">
        <v>415</v>
      </c>
      <c r="X1087">
        <v>2.5</v>
      </c>
      <c r="Y1087">
        <v>-74.599999999999994</v>
      </c>
    </row>
    <row r="1088" spans="1:25" x14ac:dyDescent="0.45">
      <c r="A1088">
        <v>59</v>
      </c>
      <c r="B1088">
        <v>59</v>
      </c>
      <c r="C1088" t="s">
        <v>640</v>
      </c>
      <c r="D1088" t="s">
        <v>414</v>
      </c>
      <c r="E1088">
        <v>10</v>
      </c>
      <c r="F1088">
        <v>3.06</v>
      </c>
      <c r="G1088">
        <v>32038.596000000001</v>
      </c>
      <c r="I1088">
        <v>32038.596000000001</v>
      </c>
      <c r="J1088" t="s">
        <v>403</v>
      </c>
      <c r="K1088">
        <v>5.4</v>
      </c>
      <c r="L1088">
        <v>-45.9</v>
      </c>
      <c r="N1088">
        <v>16</v>
      </c>
      <c r="O1088">
        <v>16</v>
      </c>
      <c r="P1088" t="s">
        <v>670</v>
      </c>
      <c r="Q1088" t="s">
        <v>414</v>
      </c>
      <c r="R1088">
        <v>10</v>
      </c>
      <c r="S1088">
        <v>3.07</v>
      </c>
      <c r="T1088">
        <v>31946.664000000001</v>
      </c>
      <c r="V1088">
        <v>31946.664000000001</v>
      </c>
      <c r="W1088" t="s">
        <v>403</v>
      </c>
      <c r="X1088">
        <v>1.7</v>
      </c>
      <c r="Y1088">
        <v>-82.8</v>
      </c>
    </row>
    <row r="1089" spans="1:25" x14ac:dyDescent="0.45">
      <c r="A1089">
        <v>60</v>
      </c>
      <c r="B1089">
        <v>60</v>
      </c>
      <c r="C1089" t="s">
        <v>641</v>
      </c>
      <c r="D1089" t="s">
        <v>414</v>
      </c>
      <c r="E1089">
        <v>10</v>
      </c>
      <c r="F1089">
        <v>3.06</v>
      </c>
      <c r="G1089">
        <v>29809.223000000002</v>
      </c>
      <c r="I1089">
        <v>29809.223000000002</v>
      </c>
      <c r="J1089" t="s">
        <v>403</v>
      </c>
      <c r="K1089">
        <v>5</v>
      </c>
      <c r="L1089">
        <v>-49.7</v>
      </c>
      <c r="N1089">
        <v>17</v>
      </c>
      <c r="O1089">
        <v>17</v>
      </c>
      <c r="P1089" t="s">
        <v>671</v>
      </c>
      <c r="Q1089" t="s">
        <v>414</v>
      </c>
      <c r="R1089">
        <v>10</v>
      </c>
      <c r="S1089">
        <v>3.07</v>
      </c>
      <c r="T1089">
        <v>38021.741999999998</v>
      </c>
      <c r="V1089">
        <v>38021.741999999998</v>
      </c>
      <c r="W1089" t="s">
        <v>403</v>
      </c>
      <c r="X1089">
        <v>2</v>
      </c>
      <c r="Y1089">
        <v>-79.5</v>
      </c>
    </row>
    <row r="1090" spans="1:25" x14ac:dyDescent="0.45">
      <c r="A1090">
        <v>61</v>
      </c>
      <c r="B1090">
        <v>61</v>
      </c>
      <c r="C1090" t="s">
        <v>642</v>
      </c>
      <c r="D1090" t="s">
        <v>414</v>
      </c>
      <c r="E1090">
        <v>10</v>
      </c>
      <c r="F1090">
        <v>3.06</v>
      </c>
      <c r="G1090">
        <v>34502.788999999997</v>
      </c>
      <c r="I1090">
        <v>34502.788999999997</v>
      </c>
      <c r="J1090" t="s">
        <v>403</v>
      </c>
      <c r="K1090">
        <v>5.8</v>
      </c>
      <c r="L1090">
        <v>-41.8</v>
      </c>
      <c r="N1090">
        <v>18</v>
      </c>
      <c r="O1090">
        <v>18</v>
      </c>
      <c r="P1090" t="s">
        <v>672</v>
      </c>
      <c r="Q1090" t="s">
        <v>414</v>
      </c>
      <c r="R1090">
        <v>10</v>
      </c>
      <c r="S1090">
        <v>3.08</v>
      </c>
      <c r="T1090">
        <v>47917.008000000002</v>
      </c>
      <c r="V1090">
        <v>47917.008000000002</v>
      </c>
      <c r="W1090" t="s">
        <v>403</v>
      </c>
      <c r="X1090">
        <v>2.6</v>
      </c>
      <c r="Y1090">
        <v>-74.2</v>
      </c>
    </row>
    <row r="1091" spans="1:25" x14ac:dyDescent="0.45">
      <c r="A1091">
        <v>62</v>
      </c>
      <c r="B1091">
        <v>62</v>
      </c>
      <c r="C1091" t="s">
        <v>643</v>
      </c>
      <c r="D1091" t="s">
        <v>414</v>
      </c>
      <c r="E1091">
        <v>10</v>
      </c>
      <c r="F1091">
        <v>3.06</v>
      </c>
      <c r="G1091">
        <v>45911.652000000002</v>
      </c>
      <c r="I1091">
        <v>45911.652000000002</v>
      </c>
      <c r="J1091" t="s">
        <v>403</v>
      </c>
      <c r="K1091">
        <v>7.7</v>
      </c>
      <c r="L1091">
        <v>-22.5</v>
      </c>
      <c r="N1091">
        <v>19</v>
      </c>
      <c r="O1091">
        <v>19</v>
      </c>
      <c r="P1091" t="s">
        <v>673</v>
      </c>
      <c r="Q1091" t="s">
        <v>414</v>
      </c>
      <c r="R1091">
        <v>10</v>
      </c>
      <c r="S1091">
        <v>3.08</v>
      </c>
      <c r="T1091">
        <v>56579.597999999998</v>
      </c>
      <c r="V1091">
        <v>56579.597999999998</v>
      </c>
      <c r="W1091" t="s">
        <v>403</v>
      </c>
      <c r="X1091">
        <v>3</v>
      </c>
      <c r="Y1091">
        <v>-69.5</v>
      </c>
    </row>
    <row r="1092" spans="1:25" x14ac:dyDescent="0.45">
      <c r="A1092">
        <v>63</v>
      </c>
      <c r="B1092">
        <v>63</v>
      </c>
      <c r="C1092" t="s">
        <v>644</v>
      </c>
      <c r="D1092" t="s">
        <v>414</v>
      </c>
      <c r="E1092">
        <v>10</v>
      </c>
      <c r="F1092">
        <v>3.06</v>
      </c>
      <c r="G1092">
        <v>31933.603999999999</v>
      </c>
      <c r="I1092">
        <v>31933.603999999999</v>
      </c>
      <c r="J1092" t="s">
        <v>403</v>
      </c>
      <c r="K1092">
        <v>5.4</v>
      </c>
      <c r="L1092">
        <v>-46.1</v>
      </c>
      <c r="N1092">
        <v>20</v>
      </c>
      <c r="O1092">
        <v>20</v>
      </c>
      <c r="P1092" t="s">
        <v>674</v>
      </c>
      <c r="Q1092" t="s">
        <v>414</v>
      </c>
      <c r="R1092">
        <v>10</v>
      </c>
      <c r="S1092">
        <v>3.07</v>
      </c>
      <c r="T1092">
        <v>48580.699000000001</v>
      </c>
      <c r="V1092">
        <v>48580.699000000001</v>
      </c>
      <c r="W1092" t="s">
        <v>403</v>
      </c>
      <c r="X1092">
        <v>2.6</v>
      </c>
      <c r="Y1092">
        <v>-73.8</v>
      </c>
    </row>
    <row r="1093" spans="1:25" x14ac:dyDescent="0.45">
      <c r="A1093">
        <v>64</v>
      </c>
      <c r="B1093">
        <v>64</v>
      </c>
      <c r="C1093" t="s">
        <v>645</v>
      </c>
      <c r="D1093" t="s">
        <v>414</v>
      </c>
      <c r="E1093">
        <v>10</v>
      </c>
      <c r="F1093">
        <v>3.06</v>
      </c>
      <c r="G1093">
        <v>24148.785</v>
      </c>
      <c r="I1093">
        <v>24148.785</v>
      </c>
      <c r="J1093" t="s">
        <v>403</v>
      </c>
      <c r="K1093">
        <v>4.0999999999999996</v>
      </c>
      <c r="L1093">
        <v>-59.3</v>
      </c>
      <c r="N1093">
        <v>21</v>
      </c>
      <c r="O1093">
        <v>21</v>
      </c>
      <c r="P1093" t="s">
        <v>675</v>
      </c>
      <c r="Q1093" t="s">
        <v>414</v>
      </c>
      <c r="R1093">
        <v>10</v>
      </c>
      <c r="S1093">
        <v>3.08</v>
      </c>
      <c r="T1093">
        <v>49960.809000000001</v>
      </c>
      <c r="V1093">
        <v>49960.809000000001</v>
      </c>
      <c r="W1093" t="s">
        <v>403</v>
      </c>
      <c r="X1093">
        <v>2.7</v>
      </c>
      <c r="Y1093">
        <v>-73.099999999999994</v>
      </c>
    </row>
    <row r="1094" spans="1:25" x14ac:dyDescent="0.45">
      <c r="A1094">
        <v>65</v>
      </c>
      <c r="B1094">
        <v>65</v>
      </c>
      <c r="C1094" t="s">
        <v>646</v>
      </c>
      <c r="D1094" t="s">
        <v>414</v>
      </c>
      <c r="E1094">
        <v>10</v>
      </c>
      <c r="F1094">
        <v>3.06</v>
      </c>
      <c r="G1094">
        <v>25737.803</v>
      </c>
      <c r="I1094">
        <v>25737.803</v>
      </c>
      <c r="J1094" t="s">
        <v>403</v>
      </c>
      <c r="K1094">
        <v>4.3</v>
      </c>
      <c r="L1094">
        <v>-56.6</v>
      </c>
      <c r="N1094">
        <v>22</v>
      </c>
      <c r="O1094">
        <v>22</v>
      </c>
      <c r="P1094" t="s">
        <v>676</v>
      </c>
      <c r="Q1094" t="s">
        <v>414</v>
      </c>
      <c r="R1094">
        <v>10</v>
      </c>
      <c r="S1094">
        <v>3.08</v>
      </c>
      <c r="T1094">
        <v>42173.285000000003</v>
      </c>
      <c r="V1094">
        <v>42173.285000000003</v>
      </c>
      <c r="W1094" t="s">
        <v>415</v>
      </c>
      <c r="X1094">
        <v>2.2999999999999998</v>
      </c>
      <c r="Y1094">
        <v>-77.3</v>
      </c>
    </row>
    <row r="1095" spans="1:25" x14ac:dyDescent="0.45">
      <c r="A1095">
        <v>66</v>
      </c>
      <c r="B1095">
        <v>66</v>
      </c>
      <c r="C1095" t="s">
        <v>647</v>
      </c>
      <c r="D1095" t="s">
        <v>414</v>
      </c>
      <c r="E1095">
        <v>10</v>
      </c>
      <c r="F1095">
        <v>3.06</v>
      </c>
      <c r="G1095">
        <v>35171.711000000003</v>
      </c>
      <c r="I1095">
        <v>35171.711000000003</v>
      </c>
      <c r="J1095" t="s">
        <v>403</v>
      </c>
      <c r="K1095">
        <v>5.9</v>
      </c>
      <c r="L1095">
        <v>-40.700000000000003</v>
      </c>
      <c r="N1095">
        <v>23</v>
      </c>
      <c r="O1095">
        <v>23</v>
      </c>
      <c r="P1095" t="s">
        <v>677</v>
      </c>
      <c r="Q1095" t="s">
        <v>414</v>
      </c>
      <c r="R1095">
        <v>10</v>
      </c>
      <c r="S1095">
        <v>3.08</v>
      </c>
      <c r="T1095">
        <v>52315.714999999997</v>
      </c>
      <c r="V1095">
        <v>52315.714999999997</v>
      </c>
      <c r="W1095" t="s">
        <v>403</v>
      </c>
      <c r="X1095">
        <v>2.8</v>
      </c>
      <c r="Y1095">
        <v>-71.8</v>
      </c>
    </row>
    <row r="1096" spans="1:25" x14ac:dyDescent="0.45">
      <c r="A1096">
        <v>67</v>
      </c>
      <c r="B1096">
        <v>67</v>
      </c>
      <c r="C1096" t="s">
        <v>648</v>
      </c>
      <c r="D1096" t="s">
        <v>414</v>
      </c>
      <c r="E1096">
        <v>10</v>
      </c>
      <c r="F1096">
        <v>3.06</v>
      </c>
      <c r="G1096">
        <v>26023.921999999999</v>
      </c>
      <c r="I1096">
        <v>26023.921999999999</v>
      </c>
      <c r="J1096" t="s">
        <v>403</v>
      </c>
      <c r="K1096">
        <v>4.4000000000000004</v>
      </c>
      <c r="L1096">
        <v>-56.1</v>
      </c>
      <c r="N1096">
        <v>24</v>
      </c>
      <c r="O1096">
        <v>24</v>
      </c>
      <c r="P1096" t="s">
        <v>678</v>
      </c>
      <c r="Q1096" t="s">
        <v>414</v>
      </c>
      <c r="R1096">
        <v>10</v>
      </c>
      <c r="S1096">
        <v>3.08</v>
      </c>
      <c r="T1096">
        <v>38249.663999999997</v>
      </c>
      <c r="V1096">
        <v>38249.663999999997</v>
      </c>
      <c r="W1096" t="s">
        <v>403</v>
      </c>
      <c r="X1096">
        <v>2.1</v>
      </c>
      <c r="Y1096">
        <v>-79.400000000000006</v>
      </c>
    </row>
    <row r="1097" spans="1:25" x14ac:dyDescent="0.45">
      <c r="A1097">
        <v>68</v>
      </c>
      <c r="B1097">
        <v>68</v>
      </c>
      <c r="C1097" t="s">
        <v>649</v>
      </c>
      <c r="D1097" t="s">
        <v>414</v>
      </c>
      <c r="E1097">
        <v>10</v>
      </c>
      <c r="F1097">
        <v>3.06</v>
      </c>
      <c r="G1097">
        <v>27925.355</v>
      </c>
      <c r="I1097">
        <v>27925.355</v>
      </c>
      <c r="J1097" t="s">
        <v>403</v>
      </c>
      <c r="K1097">
        <v>4.7</v>
      </c>
      <c r="L1097">
        <v>-52.9</v>
      </c>
      <c r="N1097">
        <v>25</v>
      </c>
      <c r="O1097">
        <v>25</v>
      </c>
      <c r="P1097" t="s">
        <v>679</v>
      </c>
      <c r="Q1097" t="s">
        <v>414</v>
      </c>
      <c r="R1097">
        <v>10</v>
      </c>
      <c r="S1097">
        <v>3.08</v>
      </c>
      <c r="T1097">
        <v>31218.657999999999</v>
      </c>
      <c r="V1097">
        <v>31218.657999999999</v>
      </c>
      <c r="W1097" t="s">
        <v>403</v>
      </c>
      <c r="X1097">
        <v>1.7</v>
      </c>
      <c r="Y1097">
        <v>-83.2</v>
      </c>
    </row>
    <row r="1098" spans="1:25" x14ac:dyDescent="0.45">
      <c r="A1098">
        <v>69</v>
      </c>
      <c r="B1098">
        <v>69</v>
      </c>
      <c r="C1098" t="s">
        <v>650</v>
      </c>
      <c r="D1098" t="s">
        <v>414</v>
      </c>
      <c r="E1098">
        <v>10</v>
      </c>
      <c r="F1098">
        <v>3.06</v>
      </c>
      <c r="G1098">
        <v>40413.137000000002</v>
      </c>
      <c r="I1098">
        <v>40413.137000000002</v>
      </c>
      <c r="J1098" t="s">
        <v>403</v>
      </c>
      <c r="K1098">
        <v>6.8</v>
      </c>
      <c r="L1098">
        <v>-31.8</v>
      </c>
      <c r="N1098">
        <v>26</v>
      </c>
      <c r="O1098">
        <v>26</v>
      </c>
      <c r="P1098" t="s">
        <v>680</v>
      </c>
      <c r="Q1098" t="s">
        <v>414</v>
      </c>
      <c r="R1098">
        <v>10</v>
      </c>
      <c r="S1098">
        <v>3.08</v>
      </c>
      <c r="T1098">
        <v>33727.086000000003</v>
      </c>
      <c r="V1098">
        <v>33727.086000000003</v>
      </c>
      <c r="W1098" t="s">
        <v>403</v>
      </c>
      <c r="X1098">
        <v>1.8</v>
      </c>
      <c r="Y1098">
        <v>-81.8</v>
      </c>
    </row>
    <row r="1099" spans="1:25" x14ac:dyDescent="0.45">
      <c r="N1099">
        <v>27</v>
      </c>
      <c r="O1099">
        <v>27</v>
      </c>
      <c r="P1099" t="s">
        <v>681</v>
      </c>
      <c r="Q1099" t="s">
        <v>414</v>
      </c>
      <c r="R1099">
        <v>10</v>
      </c>
      <c r="S1099">
        <v>3.08</v>
      </c>
      <c r="T1099">
        <v>34575.695</v>
      </c>
      <c r="V1099">
        <v>34575.695</v>
      </c>
      <c r="W1099" t="s">
        <v>403</v>
      </c>
      <c r="X1099">
        <v>1.9</v>
      </c>
      <c r="Y1099">
        <v>-81.400000000000006</v>
      </c>
    </row>
    <row r="1100" spans="1:25" x14ac:dyDescent="0.45">
      <c r="A1100" t="s">
        <v>501</v>
      </c>
      <c r="N1100">
        <v>28</v>
      </c>
      <c r="O1100">
        <v>28</v>
      </c>
      <c r="P1100" t="s">
        <v>682</v>
      </c>
      <c r="Q1100" t="s">
        <v>414</v>
      </c>
      <c r="R1100">
        <v>10</v>
      </c>
      <c r="S1100">
        <v>3.08</v>
      </c>
      <c r="T1100">
        <v>37367.637000000002</v>
      </c>
      <c r="V1100">
        <v>37367.637000000002</v>
      </c>
      <c r="W1100" t="s">
        <v>403</v>
      </c>
      <c r="X1100">
        <v>2</v>
      </c>
      <c r="Y1100">
        <v>-79.900000000000006</v>
      </c>
    </row>
    <row r="1101" spans="1:25" x14ac:dyDescent="0.45">
      <c r="N1101">
        <v>29</v>
      </c>
      <c r="O1101">
        <v>29</v>
      </c>
      <c r="P1101" t="s">
        <v>683</v>
      </c>
      <c r="Q1101" t="s">
        <v>414</v>
      </c>
      <c r="R1101">
        <v>10</v>
      </c>
      <c r="S1101">
        <v>3.08</v>
      </c>
      <c r="T1101">
        <v>42469.425999999999</v>
      </c>
      <c r="V1101">
        <v>42469.425999999999</v>
      </c>
      <c r="W1101" t="s">
        <v>403</v>
      </c>
      <c r="X1101">
        <v>2.2999999999999998</v>
      </c>
      <c r="Y1101">
        <v>-77.099999999999994</v>
      </c>
    </row>
    <row r="1102" spans="1:25" x14ac:dyDescent="0.45">
      <c r="B1102" t="s">
        <v>389</v>
      </c>
      <c r="C1102" t="s">
        <v>123</v>
      </c>
      <c r="D1102" t="s">
        <v>390</v>
      </c>
      <c r="E1102" t="s">
        <v>391</v>
      </c>
      <c r="F1102" t="s">
        <v>392</v>
      </c>
      <c r="G1102" t="s">
        <v>393</v>
      </c>
      <c r="H1102" t="s">
        <v>394</v>
      </c>
      <c r="I1102" t="s">
        <v>395</v>
      </c>
      <c r="J1102" t="s">
        <v>396</v>
      </c>
      <c r="K1102" t="s">
        <v>397</v>
      </c>
      <c r="L1102" t="s">
        <v>398</v>
      </c>
      <c r="N1102">
        <v>30</v>
      </c>
      <c r="O1102">
        <v>30</v>
      </c>
      <c r="P1102" t="s">
        <v>684</v>
      </c>
      <c r="Q1102" t="s">
        <v>414</v>
      </c>
      <c r="R1102">
        <v>10</v>
      </c>
      <c r="S1102">
        <v>3.08</v>
      </c>
      <c r="T1102">
        <v>30130.928</v>
      </c>
      <c r="V1102">
        <v>30130.928</v>
      </c>
      <c r="W1102" t="s">
        <v>415</v>
      </c>
      <c r="X1102">
        <v>1.6</v>
      </c>
      <c r="Y1102">
        <v>-83.8</v>
      </c>
    </row>
    <row r="1103" spans="1:25" x14ac:dyDescent="0.45">
      <c r="A1103">
        <v>1</v>
      </c>
      <c r="B1103">
        <v>1</v>
      </c>
      <c r="C1103" t="s">
        <v>582</v>
      </c>
      <c r="D1103" t="s">
        <v>400</v>
      </c>
      <c r="E1103">
        <v>10</v>
      </c>
      <c r="F1103">
        <v>3.02</v>
      </c>
      <c r="G1103">
        <v>112126.477</v>
      </c>
      <c r="I1103">
        <v>112126.477</v>
      </c>
      <c r="J1103" t="s">
        <v>403</v>
      </c>
      <c r="K1103">
        <v>7.7</v>
      </c>
      <c r="L1103">
        <v>-22.9</v>
      </c>
      <c r="N1103">
        <v>31</v>
      </c>
      <c r="O1103">
        <v>31</v>
      </c>
      <c r="P1103" t="s">
        <v>685</v>
      </c>
      <c r="Q1103" t="s">
        <v>414</v>
      </c>
      <c r="R1103">
        <v>10</v>
      </c>
      <c r="S1103">
        <v>3.08</v>
      </c>
      <c r="T1103">
        <v>58656.898000000001</v>
      </c>
      <c r="V1103">
        <v>58656.898000000001</v>
      </c>
      <c r="W1103" t="s">
        <v>403</v>
      </c>
      <c r="X1103">
        <v>3.2</v>
      </c>
      <c r="Y1103">
        <v>-68.400000000000006</v>
      </c>
    </row>
    <row r="1104" spans="1:25" x14ac:dyDescent="0.45">
      <c r="A1104">
        <v>2</v>
      </c>
      <c r="B1104">
        <v>2</v>
      </c>
      <c r="C1104" t="s">
        <v>583</v>
      </c>
      <c r="D1104" t="s">
        <v>400</v>
      </c>
      <c r="E1104">
        <v>10</v>
      </c>
      <c r="F1104">
        <v>3.03</v>
      </c>
      <c r="G1104">
        <v>132045.46900000001</v>
      </c>
      <c r="I1104">
        <v>132045.46900000001</v>
      </c>
      <c r="J1104" t="s">
        <v>403</v>
      </c>
      <c r="K1104">
        <v>9.1</v>
      </c>
      <c r="L1104">
        <v>-9.1999999999999993</v>
      </c>
      <c r="N1104">
        <v>32</v>
      </c>
      <c r="O1104">
        <v>32</v>
      </c>
      <c r="P1104" t="s">
        <v>686</v>
      </c>
      <c r="Q1104" t="s">
        <v>414</v>
      </c>
      <c r="R1104">
        <v>10</v>
      </c>
      <c r="S1104">
        <v>3.08</v>
      </c>
      <c r="T1104">
        <v>78178.601999999999</v>
      </c>
      <c r="V1104">
        <v>78178.601999999999</v>
      </c>
      <c r="W1104" t="s">
        <v>403</v>
      </c>
      <c r="X1104">
        <v>4.2</v>
      </c>
      <c r="Y1104">
        <v>-57.9</v>
      </c>
    </row>
    <row r="1105" spans="1:25" x14ac:dyDescent="0.45">
      <c r="A1105">
        <v>3</v>
      </c>
      <c r="B1105">
        <v>3</v>
      </c>
      <c r="C1105" t="s">
        <v>584</v>
      </c>
      <c r="D1105" t="s">
        <v>400</v>
      </c>
      <c r="E1105">
        <v>10</v>
      </c>
      <c r="F1105">
        <v>3.04</v>
      </c>
      <c r="G1105">
        <v>111546.383</v>
      </c>
      <c r="I1105">
        <v>111546.383</v>
      </c>
      <c r="J1105" t="s">
        <v>403</v>
      </c>
      <c r="K1105">
        <v>7.7</v>
      </c>
      <c r="L1105">
        <v>-23.3</v>
      </c>
      <c r="N1105">
        <v>33</v>
      </c>
      <c r="O1105">
        <v>33</v>
      </c>
      <c r="P1105" t="s">
        <v>687</v>
      </c>
      <c r="Q1105" t="s">
        <v>414</v>
      </c>
      <c r="R1105">
        <v>10</v>
      </c>
      <c r="S1105">
        <v>3.08</v>
      </c>
      <c r="T1105">
        <v>67120.570000000007</v>
      </c>
      <c r="V1105">
        <v>67120.570000000007</v>
      </c>
      <c r="W1105" t="s">
        <v>415</v>
      </c>
      <c r="X1105">
        <v>3.6</v>
      </c>
      <c r="Y1105">
        <v>-63.8</v>
      </c>
    </row>
    <row r="1106" spans="1:25" x14ac:dyDescent="0.45">
      <c r="A1106">
        <v>4</v>
      </c>
      <c r="B1106">
        <v>4</v>
      </c>
      <c r="C1106" t="s">
        <v>585</v>
      </c>
      <c r="D1106" t="s">
        <v>400</v>
      </c>
      <c r="E1106">
        <v>10</v>
      </c>
      <c r="F1106">
        <v>3.04</v>
      </c>
      <c r="G1106">
        <v>147326.109</v>
      </c>
      <c r="I1106">
        <v>147326.109</v>
      </c>
      <c r="J1106" t="s">
        <v>401</v>
      </c>
      <c r="K1106">
        <v>10.1</v>
      </c>
      <c r="L1106">
        <v>1.3</v>
      </c>
      <c r="N1106">
        <v>34</v>
      </c>
      <c r="O1106">
        <v>34</v>
      </c>
      <c r="P1106" t="s">
        <v>688</v>
      </c>
      <c r="Q1106" t="s">
        <v>414</v>
      </c>
      <c r="R1106">
        <v>10</v>
      </c>
      <c r="S1106">
        <v>3.08</v>
      </c>
      <c r="T1106">
        <v>51171.57</v>
      </c>
      <c r="V1106">
        <v>51171.57</v>
      </c>
      <c r="W1106" t="s">
        <v>403</v>
      </c>
      <c r="X1106">
        <v>2.8</v>
      </c>
      <c r="Y1106">
        <v>-72.400000000000006</v>
      </c>
    </row>
    <row r="1107" spans="1:25" x14ac:dyDescent="0.45">
      <c r="A1107">
        <v>5</v>
      </c>
      <c r="B1107">
        <v>5</v>
      </c>
      <c r="C1107" t="s">
        <v>586</v>
      </c>
      <c r="D1107" t="s">
        <v>400</v>
      </c>
      <c r="E1107">
        <v>10</v>
      </c>
      <c r="F1107">
        <v>3.05</v>
      </c>
      <c r="G1107">
        <v>168990.53099999999</v>
      </c>
      <c r="I1107">
        <v>168990.53099999999</v>
      </c>
      <c r="J1107" t="s">
        <v>401</v>
      </c>
      <c r="K1107">
        <v>11.6</v>
      </c>
      <c r="L1107">
        <v>16.2</v>
      </c>
      <c r="N1107">
        <v>35</v>
      </c>
      <c r="O1107">
        <v>35</v>
      </c>
      <c r="P1107" t="s">
        <v>689</v>
      </c>
      <c r="Q1107" t="s">
        <v>414</v>
      </c>
      <c r="R1107">
        <v>10</v>
      </c>
      <c r="S1107">
        <v>3.08</v>
      </c>
      <c r="T1107">
        <v>52206.597999999998</v>
      </c>
      <c r="V1107">
        <v>52206.597999999998</v>
      </c>
      <c r="W1107" t="s">
        <v>415</v>
      </c>
      <c r="X1107">
        <v>2.8</v>
      </c>
      <c r="Y1107">
        <v>-71.900000000000006</v>
      </c>
    </row>
    <row r="1108" spans="1:25" x14ac:dyDescent="0.45">
      <c r="A1108">
        <v>6</v>
      </c>
      <c r="B1108">
        <v>6</v>
      </c>
      <c r="C1108" t="s">
        <v>587</v>
      </c>
      <c r="D1108" t="s">
        <v>400</v>
      </c>
      <c r="E1108">
        <v>10</v>
      </c>
      <c r="F1108">
        <v>3.05</v>
      </c>
      <c r="G1108">
        <v>185178.07800000001</v>
      </c>
      <c r="I1108">
        <v>185178.07800000001</v>
      </c>
      <c r="J1108" t="s">
        <v>401</v>
      </c>
      <c r="K1108">
        <v>12.7</v>
      </c>
      <c r="L1108">
        <v>27.3</v>
      </c>
      <c r="N1108">
        <v>36</v>
      </c>
      <c r="O1108">
        <v>36</v>
      </c>
      <c r="P1108" t="s">
        <v>690</v>
      </c>
      <c r="Q1108" t="s">
        <v>414</v>
      </c>
      <c r="R1108">
        <v>10</v>
      </c>
      <c r="S1108">
        <v>3.08</v>
      </c>
      <c r="T1108">
        <v>40864.042999999998</v>
      </c>
      <c r="V1108">
        <v>40864.042999999998</v>
      </c>
      <c r="W1108" t="s">
        <v>403</v>
      </c>
      <c r="X1108">
        <v>2.2000000000000002</v>
      </c>
      <c r="Y1108">
        <v>-78</v>
      </c>
    </row>
    <row r="1109" spans="1:25" x14ac:dyDescent="0.45">
      <c r="A1109">
        <v>7</v>
      </c>
      <c r="B1109">
        <v>7</v>
      </c>
      <c r="C1109" t="s">
        <v>588</v>
      </c>
      <c r="D1109" t="s">
        <v>400</v>
      </c>
      <c r="E1109">
        <v>10</v>
      </c>
      <c r="F1109">
        <v>3.05</v>
      </c>
      <c r="G1109">
        <v>160790.875</v>
      </c>
      <c r="I1109">
        <v>160790.875</v>
      </c>
      <c r="J1109" t="s">
        <v>401</v>
      </c>
      <c r="K1109">
        <v>11.1</v>
      </c>
      <c r="L1109">
        <v>10.6</v>
      </c>
      <c r="N1109">
        <v>37</v>
      </c>
      <c r="O1109">
        <v>37</v>
      </c>
      <c r="P1109" t="s">
        <v>691</v>
      </c>
      <c r="Q1109" t="s">
        <v>414</v>
      </c>
      <c r="R1109">
        <v>10</v>
      </c>
      <c r="S1109">
        <v>3.08</v>
      </c>
      <c r="T1109">
        <v>32623.313999999998</v>
      </c>
      <c r="V1109">
        <v>32623.313999999998</v>
      </c>
      <c r="W1109" t="s">
        <v>403</v>
      </c>
      <c r="X1109">
        <v>1.8</v>
      </c>
      <c r="Y1109">
        <v>-82.4</v>
      </c>
    </row>
    <row r="1110" spans="1:25" x14ac:dyDescent="0.45">
      <c r="A1110">
        <v>8</v>
      </c>
      <c r="B1110">
        <v>8</v>
      </c>
      <c r="C1110" t="s">
        <v>589</v>
      </c>
      <c r="D1110" t="s">
        <v>410</v>
      </c>
      <c r="E1110">
        <v>10</v>
      </c>
      <c r="F1110">
        <v>3.47</v>
      </c>
      <c r="G1110">
        <v>1747.645</v>
      </c>
      <c r="I1110">
        <v>1747.645</v>
      </c>
      <c r="J1110" t="s">
        <v>412</v>
      </c>
      <c r="K1110">
        <v>0.1</v>
      </c>
      <c r="L1110">
        <v>-98.8</v>
      </c>
      <c r="N1110">
        <v>38</v>
      </c>
      <c r="O1110">
        <v>38</v>
      </c>
      <c r="P1110" t="s">
        <v>692</v>
      </c>
      <c r="Q1110" t="s">
        <v>414</v>
      </c>
      <c r="R1110">
        <v>10</v>
      </c>
      <c r="S1110">
        <v>3.08</v>
      </c>
      <c r="T1110">
        <v>51757.73</v>
      </c>
      <c r="V1110">
        <v>51757.73</v>
      </c>
      <c r="W1110" t="s">
        <v>403</v>
      </c>
      <c r="X1110">
        <v>2.8</v>
      </c>
      <c r="Y1110">
        <v>-72.099999999999994</v>
      </c>
    </row>
    <row r="1111" spans="1:25" x14ac:dyDescent="0.45">
      <c r="A1111">
        <v>9</v>
      </c>
      <c r="B1111">
        <v>9</v>
      </c>
      <c r="C1111" t="s">
        <v>590</v>
      </c>
      <c r="D1111" t="s">
        <v>410</v>
      </c>
      <c r="E1111">
        <v>10</v>
      </c>
      <c r="F1111">
        <v>3.46</v>
      </c>
      <c r="G1111">
        <v>1776.184</v>
      </c>
      <c r="I1111">
        <v>1776.184</v>
      </c>
      <c r="J1111" t="s">
        <v>412</v>
      </c>
      <c r="K1111">
        <v>0.1</v>
      </c>
      <c r="L1111">
        <v>-98.8</v>
      </c>
      <c r="N1111">
        <v>39</v>
      </c>
      <c r="O1111">
        <v>39</v>
      </c>
      <c r="P1111" t="s">
        <v>693</v>
      </c>
      <c r="Q1111" t="s">
        <v>414</v>
      </c>
      <c r="R1111">
        <v>10</v>
      </c>
      <c r="S1111">
        <v>3.08</v>
      </c>
      <c r="T1111">
        <v>54442.074000000001</v>
      </c>
      <c r="V1111">
        <v>54442.074000000001</v>
      </c>
      <c r="W1111" t="s">
        <v>403</v>
      </c>
      <c r="X1111">
        <v>2.9</v>
      </c>
      <c r="Y1111">
        <v>-70.7</v>
      </c>
    </row>
    <row r="1112" spans="1:25" x14ac:dyDescent="0.45">
      <c r="A1112">
        <v>10</v>
      </c>
      <c r="B1112">
        <v>10</v>
      </c>
      <c r="C1112" t="s">
        <v>591</v>
      </c>
      <c r="D1112" t="s">
        <v>414</v>
      </c>
      <c r="E1112">
        <v>10</v>
      </c>
      <c r="F1112">
        <v>3.06</v>
      </c>
      <c r="G1112">
        <v>76489.547000000006</v>
      </c>
      <c r="I1112">
        <v>76489.547000000006</v>
      </c>
      <c r="J1112" t="s">
        <v>403</v>
      </c>
      <c r="K1112">
        <v>5.3</v>
      </c>
      <c r="L1112">
        <v>-47.4</v>
      </c>
      <c r="N1112">
        <v>40</v>
      </c>
      <c r="O1112">
        <v>40</v>
      </c>
      <c r="P1112" t="s">
        <v>694</v>
      </c>
      <c r="Q1112" t="s">
        <v>414</v>
      </c>
      <c r="R1112">
        <v>10</v>
      </c>
      <c r="S1112">
        <v>3.08</v>
      </c>
      <c r="T1112">
        <v>128477.414</v>
      </c>
      <c r="V1112">
        <v>128477.414</v>
      </c>
      <c r="W1112" t="s">
        <v>403</v>
      </c>
      <c r="X1112">
        <v>6.9</v>
      </c>
      <c r="Y1112">
        <v>-30.7</v>
      </c>
    </row>
    <row r="1113" spans="1:25" x14ac:dyDescent="0.45">
      <c r="A1113">
        <v>11</v>
      </c>
      <c r="B1113">
        <v>11</v>
      </c>
      <c r="C1113" t="s">
        <v>592</v>
      </c>
      <c r="D1113" t="s">
        <v>414</v>
      </c>
      <c r="E1113">
        <v>10</v>
      </c>
      <c r="F1113">
        <v>3.06</v>
      </c>
      <c r="G1113">
        <v>27540.883000000002</v>
      </c>
      <c r="I1113">
        <v>27540.883000000002</v>
      </c>
      <c r="J1113" t="s">
        <v>403</v>
      </c>
      <c r="K1113">
        <v>1.9</v>
      </c>
      <c r="L1113">
        <v>-81.099999999999994</v>
      </c>
      <c r="N1113">
        <v>41</v>
      </c>
      <c r="O1113">
        <v>41</v>
      </c>
      <c r="P1113" t="s">
        <v>695</v>
      </c>
      <c r="Q1113" t="s">
        <v>414</v>
      </c>
      <c r="R1113">
        <v>10</v>
      </c>
      <c r="S1113">
        <v>3.08</v>
      </c>
      <c r="T1113">
        <v>127399.57</v>
      </c>
      <c r="V1113">
        <v>127399.57</v>
      </c>
      <c r="W1113" t="s">
        <v>403</v>
      </c>
      <c r="X1113">
        <v>6.9</v>
      </c>
      <c r="Y1113">
        <v>-31.3</v>
      </c>
    </row>
    <row r="1114" spans="1:25" x14ac:dyDescent="0.45">
      <c r="A1114">
        <v>12</v>
      </c>
      <c r="B1114">
        <v>12</v>
      </c>
      <c r="C1114" t="s">
        <v>593</v>
      </c>
      <c r="D1114" t="s">
        <v>414</v>
      </c>
      <c r="E1114">
        <v>10</v>
      </c>
      <c r="F1114">
        <v>3.06</v>
      </c>
      <c r="G1114">
        <v>52116.199000000001</v>
      </c>
      <c r="I1114">
        <v>52116.199000000001</v>
      </c>
      <c r="J1114" t="s">
        <v>403</v>
      </c>
      <c r="K1114">
        <v>3.6</v>
      </c>
      <c r="L1114">
        <v>-64.2</v>
      </c>
      <c r="N1114">
        <v>42</v>
      </c>
      <c r="O1114">
        <v>42</v>
      </c>
      <c r="P1114" t="s">
        <v>696</v>
      </c>
      <c r="Q1114" t="s">
        <v>414</v>
      </c>
      <c r="R1114">
        <v>10</v>
      </c>
      <c r="S1114">
        <v>3.09</v>
      </c>
      <c r="T1114">
        <v>120620.469</v>
      </c>
      <c r="V1114">
        <v>120620.469</v>
      </c>
      <c r="W1114" t="s">
        <v>403</v>
      </c>
      <c r="X1114">
        <v>6.5</v>
      </c>
      <c r="Y1114">
        <v>-35</v>
      </c>
    </row>
    <row r="1115" spans="1:25" x14ac:dyDescent="0.45">
      <c r="A1115">
        <v>13</v>
      </c>
      <c r="B1115">
        <v>13</v>
      </c>
      <c r="C1115" t="s">
        <v>594</v>
      </c>
      <c r="D1115" t="s">
        <v>414</v>
      </c>
      <c r="E1115">
        <v>10</v>
      </c>
      <c r="F1115">
        <v>3.06</v>
      </c>
      <c r="G1115">
        <v>74078.101999999999</v>
      </c>
      <c r="I1115">
        <v>74078.101999999999</v>
      </c>
      <c r="J1115" t="s">
        <v>403</v>
      </c>
      <c r="K1115">
        <v>5.0999999999999996</v>
      </c>
      <c r="L1115">
        <v>-49.1</v>
      </c>
      <c r="N1115">
        <v>43</v>
      </c>
      <c r="O1115">
        <v>43</v>
      </c>
      <c r="P1115" t="s">
        <v>697</v>
      </c>
      <c r="Q1115" t="s">
        <v>414</v>
      </c>
      <c r="R1115">
        <v>10</v>
      </c>
      <c r="S1115">
        <v>3.08</v>
      </c>
      <c r="T1115">
        <v>137215.68799999999</v>
      </c>
      <c r="V1115">
        <v>137215.68799999999</v>
      </c>
      <c r="W1115" t="s">
        <v>403</v>
      </c>
      <c r="X1115">
        <v>7.4</v>
      </c>
      <c r="Y1115">
        <v>-26</v>
      </c>
    </row>
    <row r="1116" spans="1:25" x14ac:dyDescent="0.45">
      <c r="A1116">
        <v>14</v>
      </c>
      <c r="B1116">
        <v>14</v>
      </c>
      <c r="C1116" t="s">
        <v>595</v>
      </c>
      <c r="D1116" t="s">
        <v>414</v>
      </c>
      <c r="E1116">
        <v>10</v>
      </c>
      <c r="F1116">
        <v>3.06</v>
      </c>
      <c r="G1116">
        <v>83833.827999999994</v>
      </c>
      <c r="I1116">
        <v>83833.827999999994</v>
      </c>
      <c r="J1116" t="s">
        <v>403</v>
      </c>
      <c r="K1116">
        <v>5.8</v>
      </c>
      <c r="L1116">
        <v>-42.4</v>
      </c>
      <c r="N1116">
        <v>44</v>
      </c>
      <c r="O1116">
        <v>44</v>
      </c>
      <c r="P1116" t="s">
        <v>698</v>
      </c>
      <c r="Q1116" t="s">
        <v>414</v>
      </c>
      <c r="R1116">
        <v>10</v>
      </c>
      <c r="S1116">
        <v>3.08</v>
      </c>
      <c r="T1116">
        <v>117471.18</v>
      </c>
      <c r="V1116">
        <v>117471.18</v>
      </c>
      <c r="W1116" t="s">
        <v>403</v>
      </c>
      <c r="X1116">
        <v>6.3</v>
      </c>
      <c r="Y1116">
        <v>-36.700000000000003</v>
      </c>
    </row>
    <row r="1117" spans="1:25" x14ac:dyDescent="0.45">
      <c r="A1117">
        <v>15</v>
      </c>
      <c r="B1117">
        <v>15</v>
      </c>
      <c r="C1117" t="s">
        <v>596</v>
      </c>
      <c r="D1117" t="s">
        <v>414</v>
      </c>
      <c r="E1117">
        <v>10</v>
      </c>
      <c r="F1117">
        <v>3.06</v>
      </c>
      <c r="G1117">
        <v>124995.727</v>
      </c>
      <c r="I1117">
        <v>124995.727</v>
      </c>
      <c r="J1117" t="s">
        <v>403</v>
      </c>
      <c r="K1117">
        <v>8.6</v>
      </c>
      <c r="L1117">
        <v>-14.1</v>
      </c>
      <c r="N1117">
        <v>45</v>
      </c>
      <c r="O1117">
        <v>45</v>
      </c>
      <c r="P1117" t="s">
        <v>699</v>
      </c>
      <c r="Q1117" t="s">
        <v>414</v>
      </c>
      <c r="R1117">
        <v>10</v>
      </c>
      <c r="S1117">
        <v>3.09</v>
      </c>
      <c r="T1117">
        <v>63819.004000000001</v>
      </c>
      <c r="V1117">
        <v>63819.004000000001</v>
      </c>
      <c r="W1117" t="s">
        <v>403</v>
      </c>
      <c r="X1117">
        <v>3.4</v>
      </c>
      <c r="Y1117">
        <v>-65.599999999999994</v>
      </c>
    </row>
    <row r="1118" spans="1:25" x14ac:dyDescent="0.45">
      <c r="A1118">
        <v>16</v>
      </c>
      <c r="B1118">
        <v>16</v>
      </c>
      <c r="C1118" t="s">
        <v>597</v>
      </c>
      <c r="D1118" t="s">
        <v>414</v>
      </c>
      <c r="E1118">
        <v>10</v>
      </c>
      <c r="F1118">
        <v>3.06</v>
      </c>
      <c r="G1118">
        <v>131551.766</v>
      </c>
      <c r="I1118">
        <v>131551.766</v>
      </c>
      <c r="J1118" t="s">
        <v>403</v>
      </c>
      <c r="K1118">
        <v>9</v>
      </c>
      <c r="L1118">
        <v>-9.5</v>
      </c>
      <c r="N1118">
        <v>46</v>
      </c>
      <c r="O1118">
        <v>46</v>
      </c>
      <c r="P1118" t="s">
        <v>700</v>
      </c>
      <c r="Q1118" t="s">
        <v>414</v>
      </c>
      <c r="R1118">
        <v>10</v>
      </c>
      <c r="S1118">
        <v>3.09</v>
      </c>
      <c r="T1118">
        <v>123878.289</v>
      </c>
      <c r="V1118">
        <v>123878.289</v>
      </c>
      <c r="W1118" t="s">
        <v>403</v>
      </c>
      <c r="X1118">
        <v>6.7</v>
      </c>
      <c r="Y1118">
        <v>-33.200000000000003</v>
      </c>
    </row>
    <row r="1119" spans="1:25" x14ac:dyDescent="0.45">
      <c r="A1119">
        <v>17</v>
      </c>
      <c r="B1119">
        <v>17</v>
      </c>
      <c r="C1119" t="s">
        <v>598</v>
      </c>
      <c r="D1119" t="s">
        <v>414</v>
      </c>
      <c r="E1119">
        <v>10</v>
      </c>
      <c r="F1119">
        <v>3.07</v>
      </c>
      <c r="G1119">
        <v>123119.359</v>
      </c>
      <c r="I1119">
        <v>123119.359</v>
      </c>
      <c r="J1119" t="s">
        <v>403</v>
      </c>
      <c r="K1119">
        <v>8.5</v>
      </c>
      <c r="L1119">
        <v>-15.3</v>
      </c>
      <c r="N1119">
        <v>47</v>
      </c>
      <c r="O1119">
        <v>47</v>
      </c>
      <c r="P1119" t="s">
        <v>701</v>
      </c>
      <c r="Q1119" t="s">
        <v>414</v>
      </c>
      <c r="R1119">
        <v>10</v>
      </c>
      <c r="S1119">
        <v>3.09</v>
      </c>
      <c r="T1119">
        <v>128919.102</v>
      </c>
      <c r="V1119">
        <v>128919.102</v>
      </c>
      <c r="W1119" t="s">
        <v>403</v>
      </c>
      <c r="X1119">
        <v>6.9</v>
      </c>
      <c r="Y1119">
        <v>-30.5</v>
      </c>
    </row>
    <row r="1120" spans="1:25" x14ac:dyDescent="0.45">
      <c r="A1120">
        <v>18</v>
      </c>
      <c r="B1120">
        <v>18</v>
      </c>
      <c r="C1120" t="s">
        <v>599</v>
      </c>
      <c r="D1120" t="s">
        <v>414</v>
      </c>
      <c r="E1120">
        <v>10</v>
      </c>
      <c r="F1120">
        <v>3.07</v>
      </c>
      <c r="G1120">
        <v>37662.758000000002</v>
      </c>
      <c r="I1120">
        <v>37662.758000000002</v>
      </c>
      <c r="J1120" t="s">
        <v>403</v>
      </c>
      <c r="K1120">
        <v>2.6</v>
      </c>
      <c r="L1120">
        <v>-74.099999999999994</v>
      </c>
      <c r="N1120">
        <v>48</v>
      </c>
      <c r="O1120">
        <v>48</v>
      </c>
      <c r="P1120" t="s">
        <v>702</v>
      </c>
      <c r="Q1120" t="s">
        <v>414</v>
      </c>
      <c r="R1120">
        <v>10</v>
      </c>
      <c r="S1120">
        <v>3.09</v>
      </c>
      <c r="T1120">
        <v>139734.016</v>
      </c>
      <c r="V1120">
        <v>139734.016</v>
      </c>
      <c r="W1120" t="s">
        <v>403</v>
      </c>
      <c r="X1120">
        <v>7.5</v>
      </c>
      <c r="Y1120">
        <v>-24.7</v>
      </c>
    </row>
    <row r="1121" spans="1:25" x14ac:dyDescent="0.45">
      <c r="A1121">
        <v>19</v>
      </c>
      <c r="B1121">
        <v>19</v>
      </c>
      <c r="C1121" t="s">
        <v>600</v>
      </c>
      <c r="D1121" t="s">
        <v>414</v>
      </c>
      <c r="E1121">
        <v>10</v>
      </c>
      <c r="F1121">
        <v>3.07</v>
      </c>
      <c r="G1121">
        <v>42557.855000000003</v>
      </c>
      <c r="I1121">
        <v>42557.855000000003</v>
      </c>
      <c r="J1121" t="s">
        <v>403</v>
      </c>
      <c r="K1121">
        <v>2.9</v>
      </c>
      <c r="L1121">
        <v>-70.7</v>
      </c>
      <c r="N1121">
        <v>49</v>
      </c>
      <c r="O1121">
        <v>49</v>
      </c>
      <c r="P1121" t="s">
        <v>703</v>
      </c>
      <c r="Q1121" t="s">
        <v>414</v>
      </c>
      <c r="R1121">
        <v>10</v>
      </c>
      <c r="S1121">
        <v>3.09</v>
      </c>
      <c r="T1121">
        <v>134715.21900000001</v>
      </c>
      <c r="V1121">
        <v>134715.21900000001</v>
      </c>
      <c r="W1121" t="s">
        <v>403</v>
      </c>
      <c r="X1121">
        <v>7.3</v>
      </c>
      <c r="Y1121">
        <v>-27.4</v>
      </c>
    </row>
    <row r="1122" spans="1:25" x14ac:dyDescent="0.45">
      <c r="A1122">
        <v>20</v>
      </c>
      <c r="B1122">
        <v>20</v>
      </c>
      <c r="C1122" t="s">
        <v>601</v>
      </c>
      <c r="D1122" t="s">
        <v>414</v>
      </c>
      <c r="E1122">
        <v>10</v>
      </c>
      <c r="F1122">
        <v>3.07</v>
      </c>
      <c r="G1122">
        <v>26482.266</v>
      </c>
      <c r="I1122">
        <v>26482.266</v>
      </c>
      <c r="J1122" t="s">
        <v>415</v>
      </c>
      <c r="K1122">
        <v>1.8</v>
      </c>
      <c r="L1122">
        <v>-81.8</v>
      </c>
      <c r="N1122">
        <v>50</v>
      </c>
      <c r="O1122">
        <v>50</v>
      </c>
      <c r="P1122" t="s">
        <v>704</v>
      </c>
      <c r="Q1122" t="s">
        <v>414</v>
      </c>
      <c r="R1122">
        <v>10</v>
      </c>
      <c r="S1122">
        <v>3.09</v>
      </c>
      <c r="T1122">
        <v>126867.82799999999</v>
      </c>
      <c r="V1122">
        <v>126867.82799999999</v>
      </c>
      <c r="W1122" t="s">
        <v>403</v>
      </c>
      <c r="X1122">
        <v>6.8</v>
      </c>
      <c r="Y1122">
        <v>-31.6</v>
      </c>
    </row>
    <row r="1123" spans="1:25" x14ac:dyDescent="0.45">
      <c r="A1123">
        <v>21</v>
      </c>
      <c r="B1123">
        <v>21</v>
      </c>
      <c r="C1123" t="s">
        <v>602</v>
      </c>
      <c r="D1123" t="s">
        <v>414</v>
      </c>
      <c r="E1123">
        <v>10</v>
      </c>
      <c r="F1123">
        <v>3.07</v>
      </c>
      <c r="G1123">
        <v>45341.762000000002</v>
      </c>
      <c r="I1123">
        <v>45341.762000000002</v>
      </c>
      <c r="J1123" t="s">
        <v>403</v>
      </c>
      <c r="K1123">
        <v>3.1</v>
      </c>
      <c r="L1123">
        <v>-68.8</v>
      </c>
      <c r="N1123">
        <v>51</v>
      </c>
      <c r="O1123">
        <v>51</v>
      </c>
      <c r="P1123" t="s">
        <v>705</v>
      </c>
      <c r="Q1123" t="s">
        <v>414</v>
      </c>
      <c r="R1123">
        <v>10</v>
      </c>
      <c r="S1123">
        <v>3.09</v>
      </c>
      <c r="T1123">
        <v>32657.949000000001</v>
      </c>
      <c r="V1123">
        <v>32657.949000000001</v>
      </c>
      <c r="W1123" t="s">
        <v>403</v>
      </c>
      <c r="X1123">
        <v>1.8</v>
      </c>
      <c r="Y1123">
        <v>-82.4</v>
      </c>
    </row>
    <row r="1124" spans="1:25" x14ac:dyDescent="0.45">
      <c r="A1124">
        <v>22</v>
      </c>
      <c r="B1124">
        <v>22</v>
      </c>
      <c r="C1124" t="s">
        <v>603</v>
      </c>
      <c r="D1124" t="s">
        <v>414</v>
      </c>
      <c r="E1124">
        <v>10</v>
      </c>
      <c r="F1124">
        <v>3.07</v>
      </c>
      <c r="G1124">
        <v>130099.008</v>
      </c>
      <c r="I1124">
        <v>130099.008</v>
      </c>
      <c r="J1124" t="s">
        <v>403</v>
      </c>
      <c r="K1124">
        <v>8.9</v>
      </c>
      <c r="L1124">
        <v>-10.5</v>
      </c>
      <c r="N1124">
        <v>52</v>
      </c>
      <c r="O1124">
        <v>52</v>
      </c>
      <c r="P1124" t="s">
        <v>706</v>
      </c>
      <c r="Q1124" t="s">
        <v>414</v>
      </c>
      <c r="R1124">
        <v>10</v>
      </c>
      <c r="S1124">
        <v>3.09</v>
      </c>
      <c r="T1124">
        <v>113259.398</v>
      </c>
      <c r="V1124">
        <v>113259.398</v>
      </c>
      <c r="W1124" t="s">
        <v>403</v>
      </c>
      <c r="X1124">
        <v>6.1</v>
      </c>
      <c r="Y1124">
        <v>-38.9</v>
      </c>
    </row>
    <row r="1125" spans="1:25" x14ac:dyDescent="0.45">
      <c r="A1125">
        <v>23</v>
      </c>
      <c r="B1125">
        <v>23</v>
      </c>
      <c r="C1125" t="s">
        <v>604</v>
      </c>
      <c r="D1125" t="s">
        <v>414</v>
      </c>
      <c r="E1125">
        <v>10</v>
      </c>
      <c r="F1125">
        <v>3.07</v>
      </c>
      <c r="G1125">
        <v>130103.039</v>
      </c>
      <c r="I1125">
        <v>130103.039</v>
      </c>
      <c r="J1125" t="s">
        <v>403</v>
      </c>
      <c r="K1125">
        <v>8.9</v>
      </c>
      <c r="L1125">
        <v>-10.5</v>
      </c>
      <c r="N1125">
        <v>53</v>
      </c>
      <c r="O1125">
        <v>53</v>
      </c>
      <c r="P1125" t="s">
        <v>707</v>
      </c>
      <c r="Q1125" t="s">
        <v>414</v>
      </c>
      <c r="R1125">
        <v>10</v>
      </c>
      <c r="S1125">
        <v>3.09</v>
      </c>
      <c r="T1125">
        <v>124243.109</v>
      </c>
      <c r="V1125">
        <v>124243.109</v>
      </c>
      <c r="W1125" t="s">
        <v>403</v>
      </c>
      <c r="X1125">
        <v>6.7</v>
      </c>
      <c r="Y1125">
        <v>-33</v>
      </c>
    </row>
    <row r="1126" spans="1:25" x14ac:dyDescent="0.45">
      <c r="A1126">
        <v>24</v>
      </c>
      <c r="B1126">
        <v>24</v>
      </c>
      <c r="C1126" t="s">
        <v>605</v>
      </c>
      <c r="D1126" t="s">
        <v>414</v>
      </c>
      <c r="E1126">
        <v>10</v>
      </c>
      <c r="F1126">
        <v>3.07</v>
      </c>
      <c r="G1126">
        <v>69343.851999999999</v>
      </c>
      <c r="I1126">
        <v>69343.851999999999</v>
      </c>
      <c r="J1126" t="s">
        <v>403</v>
      </c>
      <c r="K1126">
        <v>4.8</v>
      </c>
      <c r="L1126">
        <v>-52.3</v>
      </c>
      <c r="N1126">
        <v>54</v>
      </c>
      <c r="O1126">
        <v>54</v>
      </c>
      <c r="P1126" t="s">
        <v>708</v>
      </c>
      <c r="Q1126" t="s">
        <v>414</v>
      </c>
      <c r="R1126">
        <v>10</v>
      </c>
      <c r="S1126">
        <v>3.09</v>
      </c>
      <c r="T1126">
        <v>114665.094</v>
      </c>
      <c r="V1126">
        <v>114665.094</v>
      </c>
      <c r="W1126" t="s">
        <v>403</v>
      </c>
      <c r="X1126">
        <v>6.2</v>
      </c>
      <c r="Y1126">
        <v>-38.200000000000003</v>
      </c>
    </row>
    <row r="1127" spans="1:25" x14ac:dyDescent="0.45">
      <c r="A1127">
        <v>25</v>
      </c>
      <c r="B1127">
        <v>25</v>
      </c>
      <c r="C1127" t="s">
        <v>606</v>
      </c>
      <c r="D1127" t="s">
        <v>414</v>
      </c>
      <c r="E1127">
        <v>10</v>
      </c>
      <c r="F1127">
        <v>3.07</v>
      </c>
      <c r="G1127">
        <v>77829.054999999993</v>
      </c>
      <c r="I1127">
        <v>77829.054999999993</v>
      </c>
      <c r="J1127" t="s">
        <v>403</v>
      </c>
      <c r="K1127">
        <v>5.4</v>
      </c>
      <c r="L1127">
        <v>-46.5</v>
      </c>
      <c r="N1127">
        <v>55</v>
      </c>
      <c r="O1127">
        <v>55</v>
      </c>
      <c r="P1127" t="s">
        <v>709</v>
      </c>
      <c r="Q1127" t="s">
        <v>414</v>
      </c>
      <c r="R1127">
        <v>10</v>
      </c>
      <c r="S1127">
        <v>3.09</v>
      </c>
      <c r="T1127">
        <v>121366.523</v>
      </c>
      <c r="V1127">
        <v>121366.523</v>
      </c>
      <c r="W1127" t="s">
        <v>403</v>
      </c>
      <c r="X1127">
        <v>6.5</v>
      </c>
      <c r="Y1127">
        <v>-34.6</v>
      </c>
    </row>
    <row r="1128" spans="1:25" x14ac:dyDescent="0.45">
      <c r="A1128">
        <v>26</v>
      </c>
      <c r="B1128">
        <v>26</v>
      </c>
      <c r="C1128" t="s">
        <v>607</v>
      </c>
      <c r="D1128" t="s">
        <v>414</v>
      </c>
      <c r="E1128">
        <v>10</v>
      </c>
      <c r="F1128">
        <v>3.07</v>
      </c>
      <c r="G1128">
        <v>63774.438000000002</v>
      </c>
      <c r="I1128">
        <v>63774.438000000002</v>
      </c>
      <c r="J1128" t="s">
        <v>403</v>
      </c>
      <c r="K1128">
        <v>4.4000000000000004</v>
      </c>
      <c r="L1128">
        <v>-56.1</v>
      </c>
      <c r="N1128">
        <v>56</v>
      </c>
      <c r="O1128">
        <v>56</v>
      </c>
      <c r="P1128" t="s">
        <v>710</v>
      </c>
      <c r="Q1128" t="s">
        <v>414</v>
      </c>
      <c r="R1128">
        <v>10</v>
      </c>
      <c r="S1128">
        <v>3.09</v>
      </c>
      <c r="T1128">
        <v>121716.352</v>
      </c>
      <c r="V1128">
        <v>121716.352</v>
      </c>
      <c r="W1128" t="s">
        <v>415</v>
      </c>
      <c r="X1128">
        <v>6.6</v>
      </c>
      <c r="Y1128">
        <v>-34.4</v>
      </c>
    </row>
    <row r="1129" spans="1:25" x14ac:dyDescent="0.45">
      <c r="A1129">
        <v>27</v>
      </c>
      <c r="B1129">
        <v>27</v>
      </c>
      <c r="C1129" t="s">
        <v>608</v>
      </c>
      <c r="D1129" t="s">
        <v>414</v>
      </c>
      <c r="E1129">
        <v>10</v>
      </c>
      <c r="F1129">
        <v>3.07</v>
      </c>
      <c r="G1129">
        <v>131047.18799999999</v>
      </c>
      <c r="I1129">
        <v>131047.18799999999</v>
      </c>
      <c r="J1129" t="s">
        <v>403</v>
      </c>
      <c r="K1129">
        <v>9</v>
      </c>
      <c r="L1129">
        <v>-9.9</v>
      </c>
      <c r="N1129">
        <v>57</v>
      </c>
      <c r="O1129">
        <v>57</v>
      </c>
      <c r="P1129" t="s">
        <v>711</v>
      </c>
      <c r="Q1129" t="s">
        <v>414</v>
      </c>
      <c r="R1129">
        <v>10</v>
      </c>
      <c r="S1129">
        <v>3.09</v>
      </c>
      <c r="T1129">
        <v>145073.04699999999</v>
      </c>
      <c r="V1129">
        <v>145073.04699999999</v>
      </c>
      <c r="W1129" t="s">
        <v>403</v>
      </c>
      <c r="X1129">
        <v>7.8</v>
      </c>
      <c r="Y1129">
        <v>-21.8</v>
      </c>
    </row>
    <row r="1130" spans="1:25" x14ac:dyDescent="0.45">
      <c r="A1130">
        <v>28</v>
      </c>
      <c r="B1130">
        <v>28</v>
      </c>
      <c r="C1130" t="s">
        <v>609</v>
      </c>
      <c r="D1130" t="s">
        <v>414</v>
      </c>
      <c r="E1130">
        <v>10</v>
      </c>
      <c r="F1130">
        <v>3.07</v>
      </c>
      <c r="G1130">
        <v>76078.218999999997</v>
      </c>
      <c r="I1130">
        <v>76078.218999999997</v>
      </c>
      <c r="J1130" t="s">
        <v>403</v>
      </c>
      <c r="K1130">
        <v>5.2</v>
      </c>
      <c r="L1130">
        <v>-47.7</v>
      </c>
      <c r="N1130">
        <v>58</v>
      </c>
      <c r="O1130">
        <v>58</v>
      </c>
      <c r="P1130" t="s">
        <v>712</v>
      </c>
      <c r="Q1130" t="s">
        <v>414</v>
      </c>
      <c r="R1130">
        <v>10</v>
      </c>
      <c r="S1130">
        <v>3.09</v>
      </c>
      <c r="T1130">
        <v>120038.648</v>
      </c>
      <c r="V1130">
        <v>120038.648</v>
      </c>
      <c r="W1130" t="s">
        <v>415</v>
      </c>
      <c r="X1130">
        <v>6.5</v>
      </c>
      <c r="Y1130">
        <v>-35.299999999999997</v>
      </c>
    </row>
    <row r="1131" spans="1:25" x14ac:dyDescent="0.45">
      <c r="A1131">
        <v>29</v>
      </c>
      <c r="B1131">
        <v>29</v>
      </c>
      <c r="C1131" t="s">
        <v>610</v>
      </c>
      <c r="D1131" t="s">
        <v>414</v>
      </c>
      <c r="E1131">
        <v>10</v>
      </c>
      <c r="F1131">
        <v>3.07</v>
      </c>
      <c r="G1131">
        <v>50431.792999999998</v>
      </c>
      <c r="I1131">
        <v>50431.792999999998</v>
      </c>
      <c r="J1131" t="s">
        <v>403</v>
      </c>
      <c r="K1131">
        <v>3.5</v>
      </c>
      <c r="L1131">
        <v>-65.3</v>
      </c>
      <c r="N1131">
        <v>59</v>
      </c>
      <c r="O1131">
        <v>59</v>
      </c>
      <c r="P1131" t="s">
        <v>713</v>
      </c>
      <c r="Q1131" t="s">
        <v>414</v>
      </c>
      <c r="R1131">
        <v>10</v>
      </c>
      <c r="S1131">
        <v>3.09</v>
      </c>
      <c r="T1131">
        <v>65922.922000000006</v>
      </c>
      <c r="V1131">
        <v>65922.922000000006</v>
      </c>
      <c r="W1131" t="s">
        <v>403</v>
      </c>
      <c r="X1131">
        <v>3.6</v>
      </c>
      <c r="Y1131">
        <v>-64.5</v>
      </c>
    </row>
    <row r="1132" spans="1:25" x14ac:dyDescent="0.45">
      <c r="A1132">
        <v>30</v>
      </c>
      <c r="B1132">
        <v>30</v>
      </c>
      <c r="C1132" t="s">
        <v>611</v>
      </c>
      <c r="D1132" t="s">
        <v>414</v>
      </c>
      <c r="E1132">
        <v>10</v>
      </c>
      <c r="F1132">
        <v>3.07</v>
      </c>
      <c r="G1132">
        <v>52037.156000000003</v>
      </c>
      <c r="I1132">
        <v>52037.156000000003</v>
      </c>
      <c r="J1132" t="s">
        <v>403</v>
      </c>
      <c r="K1132">
        <v>3.6</v>
      </c>
      <c r="L1132">
        <v>-64.2</v>
      </c>
      <c r="N1132">
        <v>60</v>
      </c>
      <c r="O1132">
        <v>60</v>
      </c>
      <c r="P1132" t="s">
        <v>714</v>
      </c>
      <c r="Q1132" t="s">
        <v>414</v>
      </c>
      <c r="R1132">
        <v>10</v>
      </c>
      <c r="S1132">
        <v>3.09</v>
      </c>
      <c r="T1132">
        <v>84066.273000000001</v>
      </c>
      <c r="V1132">
        <v>84066.273000000001</v>
      </c>
      <c r="W1132" t="s">
        <v>403</v>
      </c>
      <c r="X1132">
        <v>4.5</v>
      </c>
      <c r="Y1132">
        <v>-54.7</v>
      </c>
    </row>
    <row r="1133" spans="1:25" x14ac:dyDescent="0.45">
      <c r="A1133">
        <v>31</v>
      </c>
      <c r="B1133">
        <v>31</v>
      </c>
      <c r="C1133" t="s">
        <v>612</v>
      </c>
      <c r="D1133" t="s">
        <v>414</v>
      </c>
      <c r="E1133">
        <v>10</v>
      </c>
      <c r="F1133">
        <v>3.07</v>
      </c>
      <c r="G1133">
        <v>52544.184000000001</v>
      </c>
      <c r="I1133">
        <v>52544.184000000001</v>
      </c>
      <c r="J1133" t="s">
        <v>403</v>
      </c>
      <c r="K1133">
        <v>3.6</v>
      </c>
      <c r="L1133">
        <v>-63.9</v>
      </c>
      <c r="N1133">
        <v>61</v>
      </c>
      <c r="O1133">
        <v>61</v>
      </c>
      <c r="P1133" t="s">
        <v>715</v>
      </c>
      <c r="Q1133" t="s">
        <v>414</v>
      </c>
      <c r="R1133">
        <v>10</v>
      </c>
      <c r="S1133">
        <v>3.09</v>
      </c>
      <c r="T1133">
        <v>117342.242</v>
      </c>
      <c r="V1133">
        <v>117342.242</v>
      </c>
      <c r="W1133" t="s">
        <v>401</v>
      </c>
      <c r="X1133">
        <v>6.3</v>
      </c>
      <c r="Y1133">
        <v>-36.700000000000003</v>
      </c>
    </row>
    <row r="1134" spans="1:25" x14ac:dyDescent="0.45">
      <c r="A1134">
        <v>32</v>
      </c>
      <c r="B1134">
        <v>32</v>
      </c>
      <c r="C1134" t="s">
        <v>613</v>
      </c>
      <c r="D1134" t="s">
        <v>414</v>
      </c>
      <c r="E1134">
        <v>10</v>
      </c>
      <c r="F1134">
        <v>3.08</v>
      </c>
      <c r="G1134">
        <v>48754.777000000002</v>
      </c>
      <c r="I1134">
        <v>48754.777000000002</v>
      </c>
      <c r="J1134" t="s">
        <v>403</v>
      </c>
      <c r="K1134">
        <v>3.4</v>
      </c>
      <c r="L1134">
        <v>-66.5</v>
      </c>
      <c r="N1134">
        <v>62</v>
      </c>
      <c r="O1134">
        <v>62</v>
      </c>
      <c r="P1134" t="s">
        <v>716</v>
      </c>
      <c r="Q1134" t="s">
        <v>414</v>
      </c>
      <c r="R1134">
        <v>10</v>
      </c>
      <c r="S1134">
        <v>3.09</v>
      </c>
      <c r="T1134">
        <v>59151.184000000001</v>
      </c>
      <c r="V1134">
        <v>59151.184000000001</v>
      </c>
      <c r="W1134" t="s">
        <v>403</v>
      </c>
      <c r="X1134">
        <v>3.2</v>
      </c>
      <c r="Y1134">
        <v>-68.099999999999994</v>
      </c>
    </row>
    <row r="1135" spans="1:25" x14ac:dyDescent="0.45">
      <c r="A1135">
        <v>33</v>
      </c>
      <c r="B1135">
        <v>33</v>
      </c>
      <c r="C1135" t="s">
        <v>614</v>
      </c>
      <c r="D1135" t="s">
        <v>414</v>
      </c>
      <c r="E1135">
        <v>10</v>
      </c>
      <c r="F1135">
        <v>3.08</v>
      </c>
      <c r="G1135">
        <v>47807.108999999997</v>
      </c>
      <c r="I1135">
        <v>47807.108999999997</v>
      </c>
      <c r="J1135" t="s">
        <v>403</v>
      </c>
      <c r="K1135">
        <v>3.3</v>
      </c>
      <c r="L1135">
        <v>-67.099999999999994</v>
      </c>
      <c r="N1135">
        <v>63</v>
      </c>
      <c r="O1135">
        <v>63</v>
      </c>
      <c r="P1135" t="s">
        <v>717</v>
      </c>
      <c r="Q1135" t="s">
        <v>414</v>
      </c>
      <c r="R1135">
        <v>10</v>
      </c>
      <c r="S1135">
        <v>3.09</v>
      </c>
      <c r="T1135">
        <v>138972.04699999999</v>
      </c>
      <c r="V1135">
        <v>138972.04699999999</v>
      </c>
      <c r="W1135" t="s">
        <v>403</v>
      </c>
      <c r="X1135">
        <v>7.5</v>
      </c>
      <c r="Y1135">
        <v>-25.1</v>
      </c>
    </row>
    <row r="1136" spans="1:25" x14ac:dyDescent="0.45">
      <c r="A1136">
        <v>34</v>
      </c>
      <c r="B1136">
        <v>34</v>
      </c>
      <c r="C1136" t="s">
        <v>615</v>
      </c>
      <c r="D1136" t="s">
        <v>414</v>
      </c>
      <c r="E1136">
        <v>10</v>
      </c>
      <c r="F1136">
        <v>3.08</v>
      </c>
      <c r="G1136">
        <v>47397.387000000002</v>
      </c>
      <c r="I1136">
        <v>47397.387000000002</v>
      </c>
      <c r="J1136" t="s">
        <v>403</v>
      </c>
      <c r="K1136">
        <v>3.3</v>
      </c>
      <c r="L1136">
        <v>-67.400000000000006</v>
      </c>
      <c r="N1136">
        <v>64</v>
      </c>
      <c r="O1136">
        <v>64</v>
      </c>
      <c r="P1136" t="s">
        <v>718</v>
      </c>
      <c r="Q1136" t="s">
        <v>414</v>
      </c>
      <c r="R1136">
        <v>10</v>
      </c>
      <c r="S1136">
        <v>3.09</v>
      </c>
      <c r="T1136">
        <v>127812.383</v>
      </c>
      <c r="V1136">
        <v>127812.383</v>
      </c>
      <c r="W1136" t="s">
        <v>403</v>
      </c>
      <c r="X1136">
        <v>6.9</v>
      </c>
      <c r="Y1136">
        <v>-31.1</v>
      </c>
    </row>
    <row r="1137" spans="1:25" x14ac:dyDescent="0.45">
      <c r="A1137">
        <v>35</v>
      </c>
      <c r="B1137">
        <v>35</v>
      </c>
      <c r="C1137" t="s">
        <v>616</v>
      </c>
      <c r="D1137" t="s">
        <v>414</v>
      </c>
      <c r="E1137">
        <v>10</v>
      </c>
      <c r="F1137">
        <v>3.08</v>
      </c>
      <c r="G1137">
        <v>37888.813000000002</v>
      </c>
      <c r="I1137">
        <v>37888.813000000002</v>
      </c>
      <c r="J1137" t="s">
        <v>403</v>
      </c>
      <c r="K1137">
        <v>2.6</v>
      </c>
      <c r="L1137">
        <v>-73.900000000000006</v>
      </c>
      <c r="N1137">
        <v>65</v>
      </c>
      <c r="O1137">
        <v>65</v>
      </c>
      <c r="P1137" t="s">
        <v>719</v>
      </c>
      <c r="Q1137" t="s">
        <v>414</v>
      </c>
      <c r="R1137">
        <v>10</v>
      </c>
      <c r="S1137">
        <v>3.09</v>
      </c>
      <c r="T1137">
        <v>46748.483999999997</v>
      </c>
      <c r="V1137">
        <v>46748.483999999997</v>
      </c>
      <c r="W1137" t="s">
        <v>415</v>
      </c>
      <c r="X1137">
        <v>2.5</v>
      </c>
      <c r="Y1137">
        <v>-74.8</v>
      </c>
    </row>
    <row r="1138" spans="1:25" x14ac:dyDescent="0.45">
      <c r="A1138">
        <v>36</v>
      </c>
      <c r="B1138">
        <v>36</v>
      </c>
      <c r="C1138" t="s">
        <v>617</v>
      </c>
      <c r="D1138" t="s">
        <v>414</v>
      </c>
      <c r="E1138">
        <v>10</v>
      </c>
      <c r="F1138">
        <v>3.08</v>
      </c>
      <c r="G1138">
        <v>46233.296999999999</v>
      </c>
      <c r="I1138">
        <v>46233.296999999999</v>
      </c>
      <c r="J1138" t="s">
        <v>415</v>
      </c>
      <c r="K1138">
        <v>3.2</v>
      </c>
      <c r="L1138">
        <v>-68.2</v>
      </c>
      <c r="N1138">
        <v>66</v>
      </c>
      <c r="O1138">
        <v>66</v>
      </c>
      <c r="P1138" t="s">
        <v>720</v>
      </c>
      <c r="Q1138" t="s">
        <v>414</v>
      </c>
      <c r="R1138">
        <v>10</v>
      </c>
      <c r="S1138">
        <v>3.09</v>
      </c>
      <c r="T1138">
        <v>151900.109</v>
      </c>
      <c r="V1138">
        <v>151900.109</v>
      </c>
      <c r="W1138" t="s">
        <v>403</v>
      </c>
      <c r="X1138">
        <v>8.1999999999999993</v>
      </c>
      <c r="Y1138">
        <v>-18.100000000000001</v>
      </c>
    </row>
    <row r="1139" spans="1:25" x14ac:dyDescent="0.45">
      <c r="A1139">
        <v>37</v>
      </c>
      <c r="B1139">
        <v>37</v>
      </c>
      <c r="C1139" t="s">
        <v>618</v>
      </c>
      <c r="D1139" t="s">
        <v>414</v>
      </c>
      <c r="E1139">
        <v>10</v>
      </c>
      <c r="F1139">
        <v>3.08</v>
      </c>
      <c r="G1139">
        <v>132257.07800000001</v>
      </c>
      <c r="I1139">
        <v>132257.07800000001</v>
      </c>
      <c r="J1139" t="s">
        <v>403</v>
      </c>
      <c r="K1139">
        <v>9.1</v>
      </c>
      <c r="L1139">
        <v>-9.1</v>
      </c>
      <c r="N1139">
        <v>67</v>
      </c>
      <c r="O1139">
        <v>67</v>
      </c>
      <c r="P1139" t="s">
        <v>721</v>
      </c>
      <c r="Q1139" t="s">
        <v>414</v>
      </c>
      <c r="R1139">
        <v>10</v>
      </c>
      <c r="S1139">
        <v>3.09</v>
      </c>
      <c r="T1139">
        <v>137364.109</v>
      </c>
      <c r="V1139">
        <v>137364.109</v>
      </c>
      <c r="W1139" t="s">
        <v>403</v>
      </c>
      <c r="X1139">
        <v>7.4</v>
      </c>
      <c r="Y1139">
        <v>-26</v>
      </c>
    </row>
    <row r="1140" spans="1:25" x14ac:dyDescent="0.45">
      <c r="A1140">
        <v>38</v>
      </c>
      <c r="B1140">
        <v>38</v>
      </c>
      <c r="C1140" t="s">
        <v>619</v>
      </c>
      <c r="D1140" t="s">
        <v>414</v>
      </c>
      <c r="E1140">
        <v>10</v>
      </c>
      <c r="F1140">
        <v>3.08</v>
      </c>
      <c r="G1140">
        <v>35576.281000000003</v>
      </c>
      <c r="I1140">
        <v>35576.281000000003</v>
      </c>
      <c r="J1140" t="s">
        <v>403</v>
      </c>
      <c r="K1140">
        <v>2.4</v>
      </c>
      <c r="L1140">
        <v>-75.5</v>
      </c>
    </row>
    <row r="1141" spans="1:25" x14ac:dyDescent="0.45">
      <c r="A1141">
        <v>39</v>
      </c>
      <c r="B1141">
        <v>39</v>
      </c>
      <c r="C1141" t="s">
        <v>620</v>
      </c>
      <c r="D1141" t="s">
        <v>414</v>
      </c>
      <c r="E1141">
        <v>10</v>
      </c>
      <c r="F1141">
        <v>3.08</v>
      </c>
      <c r="G1141">
        <v>34606.141000000003</v>
      </c>
      <c r="I1141">
        <v>34606.141000000003</v>
      </c>
      <c r="J1141" t="s">
        <v>415</v>
      </c>
      <c r="K1141">
        <v>2.4</v>
      </c>
      <c r="L1141">
        <v>-76.2</v>
      </c>
      <c r="N1141" t="s">
        <v>502</v>
      </c>
    </row>
    <row r="1142" spans="1:25" x14ac:dyDescent="0.45">
      <c r="A1142">
        <v>40</v>
      </c>
      <c r="B1142">
        <v>40</v>
      </c>
      <c r="C1142" t="s">
        <v>621</v>
      </c>
      <c r="D1142" t="s">
        <v>414</v>
      </c>
      <c r="E1142">
        <v>10</v>
      </c>
      <c r="F1142">
        <v>3.08</v>
      </c>
      <c r="G1142">
        <v>73800.733999999997</v>
      </c>
      <c r="I1142">
        <v>73800.733999999997</v>
      </c>
      <c r="J1142" t="s">
        <v>403</v>
      </c>
      <c r="K1142">
        <v>5.0999999999999996</v>
      </c>
      <c r="L1142">
        <v>-49.3</v>
      </c>
    </row>
    <row r="1143" spans="1:25" x14ac:dyDescent="0.45">
      <c r="A1143">
        <v>41</v>
      </c>
      <c r="B1143">
        <v>41</v>
      </c>
      <c r="C1143" t="s">
        <v>622</v>
      </c>
      <c r="D1143" t="s">
        <v>414</v>
      </c>
      <c r="E1143">
        <v>10</v>
      </c>
      <c r="F1143">
        <v>3.08</v>
      </c>
      <c r="G1143">
        <v>68812.991999999998</v>
      </c>
      <c r="I1143">
        <v>68812.991999999998</v>
      </c>
      <c r="J1143" t="s">
        <v>403</v>
      </c>
      <c r="K1143">
        <v>4.7</v>
      </c>
      <c r="L1143">
        <v>-52.7</v>
      </c>
      <c r="O1143" t="s">
        <v>389</v>
      </c>
      <c r="P1143" t="s">
        <v>123</v>
      </c>
      <c r="Q1143" t="s">
        <v>390</v>
      </c>
      <c r="R1143" t="s">
        <v>391</v>
      </c>
      <c r="S1143" t="s">
        <v>392</v>
      </c>
      <c r="T1143" t="s">
        <v>393</v>
      </c>
      <c r="U1143" t="s">
        <v>394</v>
      </c>
      <c r="V1143" t="s">
        <v>395</v>
      </c>
      <c r="W1143" t="s">
        <v>396</v>
      </c>
      <c r="X1143" t="s">
        <v>397</v>
      </c>
      <c r="Y1143" t="s">
        <v>398</v>
      </c>
    </row>
    <row r="1144" spans="1:25" x14ac:dyDescent="0.45">
      <c r="A1144">
        <v>42</v>
      </c>
      <c r="B1144">
        <v>42</v>
      </c>
      <c r="C1144" t="s">
        <v>623</v>
      </c>
      <c r="D1144" t="s">
        <v>414</v>
      </c>
      <c r="E1144">
        <v>10</v>
      </c>
      <c r="F1144">
        <v>3.08</v>
      </c>
      <c r="G1144">
        <v>142742.34400000001</v>
      </c>
      <c r="I1144">
        <v>142742.34400000001</v>
      </c>
      <c r="J1144" t="s">
        <v>403</v>
      </c>
      <c r="K1144">
        <v>9.8000000000000007</v>
      </c>
      <c r="L1144">
        <v>-1.8</v>
      </c>
      <c r="N1144">
        <v>1</v>
      </c>
      <c r="O1144">
        <v>1</v>
      </c>
      <c r="P1144" t="s">
        <v>655</v>
      </c>
      <c r="Q1144" t="s">
        <v>400</v>
      </c>
      <c r="R1144">
        <v>10</v>
      </c>
      <c r="S1144">
        <v>3.36</v>
      </c>
      <c r="T1144">
        <v>6542.2110000000002</v>
      </c>
      <c r="V1144">
        <v>6542.2110000000002</v>
      </c>
      <c r="W1144" t="s">
        <v>415</v>
      </c>
      <c r="X1144">
        <v>7.5</v>
      </c>
      <c r="Y1144">
        <v>-25.2</v>
      </c>
    </row>
    <row r="1145" spans="1:25" x14ac:dyDescent="0.45">
      <c r="A1145">
        <v>43</v>
      </c>
      <c r="B1145">
        <v>43</v>
      </c>
      <c r="C1145" t="s">
        <v>624</v>
      </c>
      <c r="D1145" t="s">
        <v>414</v>
      </c>
      <c r="E1145">
        <v>10</v>
      </c>
      <c r="F1145">
        <v>3.08</v>
      </c>
      <c r="G1145">
        <v>141139.20300000001</v>
      </c>
      <c r="I1145">
        <v>141139.20300000001</v>
      </c>
      <c r="J1145" t="s">
        <v>403</v>
      </c>
      <c r="K1145">
        <v>9.6999999999999993</v>
      </c>
      <c r="L1145">
        <v>-2.9</v>
      </c>
      <c r="N1145">
        <v>2</v>
      </c>
      <c r="O1145">
        <v>2</v>
      </c>
      <c r="P1145" t="s">
        <v>656</v>
      </c>
      <c r="Q1145" t="s">
        <v>400</v>
      </c>
      <c r="R1145">
        <v>10</v>
      </c>
      <c r="S1145">
        <v>3.36</v>
      </c>
      <c r="T1145">
        <v>7601.1270000000004</v>
      </c>
      <c r="V1145">
        <v>7601.1270000000004</v>
      </c>
      <c r="W1145" t="s">
        <v>403</v>
      </c>
      <c r="X1145">
        <v>8.6999999999999993</v>
      </c>
      <c r="Y1145">
        <v>-13.1</v>
      </c>
    </row>
    <row r="1146" spans="1:25" x14ac:dyDescent="0.45">
      <c r="A1146">
        <v>44</v>
      </c>
      <c r="B1146">
        <v>44</v>
      </c>
      <c r="C1146" t="s">
        <v>625</v>
      </c>
      <c r="D1146" t="s">
        <v>414</v>
      </c>
      <c r="E1146">
        <v>10</v>
      </c>
      <c r="F1146">
        <v>3.08</v>
      </c>
      <c r="G1146">
        <v>109559.80499999999</v>
      </c>
      <c r="I1146">
        <v>109559.80499999999</v>
      </c>
      <c r="J1146" t="s">
        <v>415</v>
      </c>
      <c r="K1146">
        <v>7.5</v>
      </c>
      <c r="L1146">
        <v>-24.7</v>
      </c>
      <c r="N1146">
        <v>3</v>
      </c>
      <c r="O1146">
        <v>3</v>
      </c>
      <c r="P1146" t="s">
        <v>657</v>
      </c>
      <c r="Q1146" t="s">
        <v>400</v>
      </c>
      <c r="R1146">
        <v>10</v>
      </c>
      <c r="S1146">
        <v>3.36</v>
      </c>
      <c r="T1146">
        <v>7594.0249999999996</v>
      </c>
      <c r="V1146">
        <v>7594.0249999999996</v>
      </c>
      <c r="W1146" t="s">
        <v>415</v>
      </c>
      <c r="X1146">
        <v>8.6999999999999993</v>
      </c>
      <c r="Y1146">
        <v>-13.2</v>
      </c>
    </row>
    <row r="1147" spans="1:25" x14ac:dyDescent="0.45">
      <c r="A1147">
        <v>45</v>
      </c>
      <c r="B1147">
        <v>45</v>
      </c>
      <c r="C1147" t="s">
        <v>626</v>
      </c>
      <c r="D1147" t="s">
        <v>414</v>
      </c>
      <c r="E1147">
        <v>10</v>
      </c>
      <c r="F1147">
        <v>3.08</v>
      </c>
      <c r="G1147">
        <v>100699.852</v>
      </c>
      <c r="I1147">
        <v>100699.852</v>
      </c>
      <c r="J1147" t="s">
        <v>403</v>
      </c>
      <c r="K1147">
        <v>6.9</v>
      </c>
      <c r="L1147">
        <v>-30.8</v>
      </c>
      <c r="N1147">
        <v>4</v>
      </c>
      <c r="O1147">
        <v>4</v>
      </c>
      <c r="P1147" t="s">
        <v>658</v>
      </c>
      <c r="Q1147" t="s">
        <v>400</v>
      </c>
      <c r="R1147">
        <v>10</v>
      </c>
      <c r="S1147">
        <v>3.36</v>
      </c>
      <c r="T1147">
        <v>8426.7469999999994</v>
      </c>
      <c r="V1147">
        <v>8426.7469999999994</v>
      </c>
      <c r="W1147" t="s">
        <v>415</v>
      </c>
      <c r="X1147">
        <v>9.6</v>
      </c>
      <c r="Y1147">
        <v>-3.7</v>
      </c>
    </row>
    <row r="1148" spans="1:25" x14ac:dyDescent="0.45">
      <c r="A1148">
        <v>46</v>
      </c>
      <c r="B1148">
        <v>46</v>
      </c>
      <c r="C1148" t="s">
        <v>627</v>
      </c>
      <c r="D1148" t="s">
        <v>414</v>
      </c>
      <c r="E1148">
        <v>10</v>
      </c>
      <c r="F1148">
        <v>3.08</v>
      </c>
      <c r="G1148">
        <v>104970.602</v>
      </c>
      <c r="I1148">
        <v>104970.602</v>
      </c>
      <c r="J1148" t="s">
        <v>403</v>
      </c>
      <c r="K1148">
        <v>7.2</v>
      </c>
      <c r="L1148">
        <v>-27.8</v>
      </c>
      <c r="N1148">
        <v>5</v>
      </c>
      <c r="O1148">
        <v>5</v>
      </c>
      <c r="P1148" t="s">
        <v>659</v>
      </c>
      <c r="Q1148" t="s">
        <v>400</v>
      </c>
      <c r="R1148">
        <v>10</v>
      </c>
      <c r="S1148">
        <v>3.36</v>
      </c>
      <c r="T1148">
        <v>9636.4599999999991</v>
      </c>
      <c r="V1148">
        <v>9636.4599999999991</v>
      </c>
      <c r="W1148" t="s">
        <v>403</v>
      </c>
      <c r="X1148">
        <v>11</v>
      </c>
      <c r="Y1148">
        <v>10.1</v>
      </c>
    </row>
    <row r="1149" spans="1:25" x14ac:dyDescent="0.45">
      <c r="A1149">
        <v>47</v>
      </c>
      <c r="B1149">
        <v>47</v>
      </c>
      <c r="C1149" t="s">
        <v>628</v>
      </c>
      <c r="D1149" t="s">
        <v>414</v>
      </c>
      <c r="E1149">
        <v>10</v>
      </c>
      <c r="F1149">
        <v>3.08</v>
      </c>
      <c r="G1149">
        <v>109074.336</v>
      </c>
      <c r="I1149">
        <v>109074.336</v>
      </c>
      <c r="J1149" t="s">
        <v>415</v>
      </c>
      <c r="K1149">
        <v>7.5</v>
      </c>
      <c r="L1149">
        <v>-25</v>
      </c>
      <c r="N1149">
        <v>6</v>
      </c>
      <c r="O1149">
        <v>6</v>
      </c>
      <c r="P1149" t="s">
        <v>660</v>
      </c>
      <c r="Q1149" t="s">
        <v>400</v>
      </c>
      <c r="R1149">
        <v>10</v>
      </c>
      <c r="S1149">
        <v>3.36</v>
      </c>
      <c r="T1149">
        <v>10262.049999999999</v>
      </c>
      <c r="V1149">
        <v>10262.049999999999</v>
      </c>
      <c r="W1149" t="s">
        <v>415</v>
      </c>
      <c r="X1149">
        <v>11.7</v>
      </c>
      <c r="Y1149">
        <v>17.3</v>
      </c>
    </row>
    <row r="1150" spans="1:25" x14ac:dyDescent="0.45">
      <c r="A1150">
        <v>48</v>
      </c>
      <c r="B1150">
        <v>48</v>
      </c>
      <c r="C1150" t="s">
        <v>629</v>
      </c>
      <c r="D1150" t="s">
        <v>414</v>
      </c>
      <c r="E1150">
        <v>10</v>
      </c>
      <c r="F1150">
        <v>3.08</v>
      </c>
      <c r="G1150">
        <v>85798.312999999995</v>
      </c>
      <c r="I1150">
        <v>85798.312999999995</v>
      </c>
      <c r="J1150" t="s">
        <v>403</v>
      </c>
      <c r="K1150">
        <v>5.9</v>
      </c>
      <c r="L1150">
        <v>-41</v>
      </c>
      <c r="N1150">
        <v>7</v>
      </c>
      <c r="O1150">
        <v>7</v>
      </c>
      <c r="P1150" t="s">
        <v>661</v>
      </c>
      <c r="Q1150" t="s">
        <v>400</v>
      </c>
      <c r="R1150">
        <v>10</v>
      </c>
      <c r="S1150">
        <v>3.36</v>
      </c>
      <c r="T1150">
        <v>11177.1</v>
      </c>
      <c r="V1150">
        <v>11177.1</v>
      </c>
      <c r="W1150" t="s">
        <v>401</v>
      </c>
      <c r="X1150">
        <v>12.8</v>
      </c>
      <c r="Y1150">
        <v>27.8</v>
      </c>
    </row>
    <row r="1151" spans="1:25" x14ac:dyDescent="0.45">
      <c r="A1151">
        <v>49</v>
      </c>
      <c r="B1151">
        <v>49</v>
      </c>
      <c r="C1151" t="s">
        <v>630</v>
      </c>
      <c r="D1151" t="s">
        <v>414</v>
      </c>
      <c r="E1151">
        <v>10</v>
      </c>
      <c r="F1151">
        <v>3.08</v>
      </c>
      <c r="G1151">
        <v>116367.523</v>
      </c>
      <c r="I1151">
        <v>116367.523</v>
      </c>
      <c r="J1151" t="s">
        <v>403</v>
      </c>
      <c r="K1151">
        <v>8</v>
      </c>
      <c r="L1151">
        <v>-20</v>
      </c>
      <c r="N1151">
        <v>8</v>
      </c>
      <c r="O1151">
        <v>8</v>
      </c>
      <c r="P1151" t="s">
        <v>662</v>
      </c>
      <c r="Q1151" t="s">
        <v>414</v>
      </c>
      <c r="R1151">
        <v>10</v>
      </c>
      <c r="S1151">
        <v>3.36</v>
      </c>
      <c r="T1151">
        <v>7371.2659999999996</v>
      </c>
      <c r="V1151">
        <v>7371.2659999999996</v>
      </c>
      <c r="W1151" t="s">
        <v>403</v>
      </c>
      <c r="X1151">
        <v>8.4</v>
      </c>
      <c r="Y1151">
        <v>-15.7</v>
      </c>
    </row>
    <row r="1152" spans="1:25" x14ac:dyDescent="0.45">
      <c r="A1152">
        <v>50</v>
      </c>
      <c r="B1152">
        <v>50</v>
      </c>
      <c r="C1152" t="s">
        <v>631</v>
      </c>
      <c r="D1152" t="s">
        <v>414</v>
      </c>
      <c r="E1152">
        <v>10</v>
      </c>
      <c r="F1152">
        <v>3.08</v>
      </c>
      <c r="G1152">
        <v>87716.672000000006</v>
      </c>
      <c r="I1152">
        <v>87716.672000000006</v>
      </c>
      <c r="J1152" t="s">
        <v>403</v>
      </c>
      <c r="K1152">
        <v>6</v>
      </c>
      <c r="L1152">
        <v>-39.700000000000003</v>
      </c>
      <c r="N1152">
        <v>9</v>
      </c>
      <c r="O1152">
        <v>9</v>
      </c>
      <c r="P1152" t="s">
        <v>663</v>
      </c>
      <c r="Q1152" t="s">
        <v>414</v>
      </c>
      <c r="R1152">
        <v>10</v>
      </c>
      <c r="S1152">
        <v>3.36</v>
      </c>
      <c r="T1152">
        <v>7494.1639999999998</v>
      </c>
      <c r="V1152">
        <v>7494.1639999999998</v>
      </c>
      <c r="W1152" t="s">
        <v>403</v>
      </c>
      <c r="X1152">
        <v>8.6</v>
      </c>
      <c r="Y1152">
        <v>-14.3</v>
      </c>
    </row>
    <row r="1153" spans="1:25" x14ac:dyDescent="0.45">
      <c r="A1153">
        <v>51</v>
      </c>
      <c r="B1153">
        <v>51</v>
      </c>
      <c r="C1153" t="s">
        <v>632</v>
      </c>
      <c r="D1153" t="s">
        <v>414</v>
      </c>
      <c r="E1153">
        <v>10</v>
      </c>
      <c r="F1153">
        <v>3.08</v>
      </c>
      <c r="G1153">
        <v>80047.312999999995</v>
      </c>
      <c r="I1153">
        <v>80047.312999999995</v>
      </c>
      <c r="J1153" t="s">
        <v>403</v>
      </c>
      <c r="K1153">
        <v>5.5</v>
      </c>
      <c r="L1153">
        <v>-45</v>
      </c>
      <c r="N1153">
        <v>10</v>
      </c>
      <c r="O1153">
        <v>10</v>
      </c>
      <c r="P1153" t="s">
        <v>664</v>
      </c>
      <c r="Q1153" t="s">
        <v>414</v>
      </c>
      <c r="R1153">
        <v>10</v>
      </c>
      <c r="S1153">
        <v>3.36</v>
      </c>
      <c r="T1153">
        <v>5932.5050000000001</v>
      </c>
      <c r="V1153">
        <v>5932.5050000000001</v>
      </c>
      <c r="W1153" t="s">
        <v>415</v>
      </c>
      <c r="X1153">
        <v>6.8</v>
      </c>
      <c r="Y1153">
        <v>-32.200000000000003</v>
      </c>
    </row>
    <row r="1154" spans="1:25" x14ac:dyDescent="0.45">
      <c r="A1154">
        <v>52</v>
      </c>
      <c r="B1154">
        <v>52</v>
      </c>
      <c r="C1154" t="s">
        <v>633</v>
      </c>
      <c r="D1154" t="s">
        <v>414</v>
      </c>
      <c r="E1154">
        <v>10</v>
      </c>
      <c r="F1154">
        <v>3.08</v>
      </c>
      <c r="G1154">
        <v>95509.702999999994</v>
      </c>
      <c r="I1154">
        <v>95509.702999999994</v>
      </c>
      <c r="J1154" t="s">
        <v>403</v>
      </c>
      <c r="K1154">
        <v>6.6</v>
      </c>
      <c r="L1154">
        <v>-34.299999999999997</v>
      </c>
      <c r="N1154">
        <v>11</v>
      </c>
      <c r="O1154">
        <v>11</v>
      </c>
      <c r="P1154" t="s">
        <v>665</v>
      </c>
      <c r="Q1154" t="s">
        <v>414</v>
      </c>
      <c r="R1154">
        <v>10</v>
      </c>
      <c r="S1154">
        <v>3.36</v>
      </c>
      <c r="T1154">
        <v>7834.9650000000001</v>
      </c>
      <c r="V1154">
        <v>7834.9650000000001</v>
      </c>
      <c r="W1154" t="s">
        <v>401</v>
      </c>
      <c r="X1154">
        <v>9</v>
      </c>
      <c r="Y1154">
        <v>-10.4</v>
      </c>
    </row>
    <row r="1155" spans="1:25" x14ac:dyDescent="0.45">
      <c r="A1155">
        <v>53</v>
      </c>
      <c r="B1155">
        <v>53</v>
      </c>
      <c r="C1155" t="s">
        <v>634</v>
      </c>
      <c r="D1155" t="s">
        <v>414</v>
      </c>
      <c r="E1155">
        <v>10</v>
      </c>
      <c r="F1155">
        <v>3.08</v>
      </c>
      <c r="G1155">
        <v>131696.625</v>
      </c>
      <c r="I1155">
        <v>131696.625</v>
      </c>
      <c r="J1155" t="s">
        <v>403</v>
      </c>
      <c r="K1155">
        <v>9.1</v>
      </c>
      <c r="L1155">
        <v>-9.4</v>
      </c>
      <c r="N1155">
        <v>12</v>
      </c>
      <c r="O1155">
        <v>12</v>
      </c>
      <c r="P1155" t="s">
        <v>666</v>
      </c>
      <c r="Q1155" t="s">
        <v>414</v>
      </c>
      <c r="R1155">
        <v>10</v>
      </c>
      <c r="S1155">
        <v>3.36</v>
      </c>
      <c r="T1155">
        <v>7178.3860000000004</v>
      </c>
      <c r="V1155">
        <v>7178.3860000000004</v>
      </c>
      <c r="W1155" t="s">
        <v>403</v>
      </c>
      <c r="X1155">
        <v>8.1999999999999993</v>
      </c>
      <c r="Y1155">
        <v>-17.899999999999999</v>
      </c>
    </row>
    <row r="1156" spans="1:25" x14ac:dyDescent="0.45">
      <c r="A1156">
        <v>54</v>
      </c>
      <c r="B1156">
        <v>54</v>
      </c>
      <c r="C1156" t="s">
        <v>635</v>
      </c>
      <c r="D1156" t="s">
        <v>414</v>
      </c>
      <c r="E1156">
        <v>10</v>
      </c>
      <c r="F1156">
        <v>3.08</v>
      </c>
      <c r="G1156">
        <v>51488.027000000002</v>
      </c>
      <c r="I1156">
        <v>51488.027000000002</v>
      </c>
      <c r="J1156" t="s">
        <v>415</v>
      </c>
      <c r="K1156">
        <v>3.5</v>
      </c>
      <c r="L1156">
        <v>-64.599999999999994</v>
      </c>
      <c r="N1156">
        <v>13</v>
      </c>
      <c r="O1156">
        <v>13</v>
      </c>
      <c r="P1156" t="s">
        <v>667</v>
      </c>
      <c r="Q1156" t="s">
        <v>414</v>
      </c>
      <c r="R1156">
        <v>10</v>
      </c>
      <c r="S1156">
        <v>3.36</v>
      </c>
      <c r="T1156">
        <v>7721.3209999999999</v>
      </c>
      <c r="V1156">
        <v>7721.3209999999999</v>
      </c>
      <c r="W1156" t="s">
        <v>403</v>
      </c>
      <c r="X1156">
        <v>8.8000000000000007</v>
      </c>
      <c r="Y1156">
        <v>-11.7</v>
      </c>
    </row>
    <row r="1157" spans="1:25" x14ac:dyDescent="0.45">
      <c r="A1157">
        <v>55</v>
      </c>
      <c r="B1157">
        <v>55</v>
      </c>
      <c r="C1157" t="s">
        <v>636</v>
      </c>
      <c r="D1157" t="s">
        <v>414</v>
      </c>
      <c r="E1157">
        <v>10</v>
      </c>
      <c r="F1157">
        <v>3.08</v>
      </c>
      <c r="G1157">
        <v>81706.172000000006</v>
      </c>
      <c r="I1157">
        <v>81706.172000000006</v>
      </c>
      <c r="J1157" t="s">
        <v>403</v>
      </c>
      <c r="K1157">
        <v>5.6</v>
      </c>
      <c r="L1157">
        <v>-43.8</v>
      </c>
      <c r="N1157">
        <v>14</v>
      </c>
      <c r="O1157">
        <v>14</v>
      </c>
      <c r="P1157" t="s">
        <v>668</v>
      </c>
      <c r="Q1157" t="s">
        <v>414</v>
      </c>
      <c r="R1157">
        <v>10</v>
      </c>
      <c r="S1157">
        <v>3.36</v>
      </c>
      <c r="T1157">
        <v>7314.1639999999998</v>
      </c>
      <c r="V1157">
        <v>7314.1639999999998</v>
      </c>
      <c r="W1157" t="s">
        <v>403</v>
      </c>
      <c r="X1157">
        <v>8.4</v>
      </c>
      <c r="Y1157">
        <v>-16.399999999999999</v>
      </c>
    </row>
    <row r="1158" spans="1:25" x14ac:dyDescent="0.45">
      <c r="A1158">
        <v>56</v>
      </c>
      <c r="B1158">
        <v>56</v>
      </c>
      <c r="C1158" t="s">
        <v>637</v>
      </c>
      <c r="D1158" t="s">
        <v>414</v>
      </c>
      <c r="E1158">
        <v>10</v>
      </c>
      <c r="F1158">
        <v>3.08</v>
      </c>
      <c r="G1158">
        <v>133634.18799999999</v>
      </c>
      <c r="I1158">
        <v>133634.18799999999</v>
      </c>
      <c r="J1158" t="s">
        <v>403</v>
      </c>
      <c r="K1158">
        <v>9.1999999999999993</v>
      </c>
      <c r="L1158">
        <v>-8.1</v>
      </c>
      <c r="N1158">
        <v>15</v>
      </c>
      <c r="O1158">
        <v>15</v>
      </c>
      <c r="P1158" t="s">
        <v>669</v>
      </c>
      <c r="Q1158" t="s">
        <v>414</v>
      </c>
      <c r="R1158">
        <v>10</v>
      </c>
      <c r="S1158">
        <v>3.36</v>
      </c>
      <c r="T1158">
        <v>8010.2529999999997</v>
      </c>
      <c r="V1158">
        <v>8010.2529999999997</v>
      </c>
      <c r="W1158" t="s">
        <v>403</v>
      </c>
      <c r="X1158">
        <v>9.1999999999999993</v>
      </c>
      <c r="Y1158">
        <v>-8.4</v>
      </c>
    </row>
    <row r="1159" spans="1:25" x14ac:dyDescent="0.45">
      <c r="A1159">
        <v>57</v>
      </c>
      <c r="B1159">
        <v>57</v>
      </c>
      <c r="C1159" t="s">
        <v>638</v>
      </c>
      <c r="D1159" t="s">
        <v>414</v>
      </c>
      <c r="E1159">
        <v>10</v>
      </c>
      <c r="F1159">
        <v>3.08</v>
      </c>
      <c r="G1159">
        <v>66668.858999999997</v>
      </c>
      <c r="I1159">
        <v>66668.858999999997</v>
      </c>
      <c r="J1159" t="s">
        <v>403</v>
      </c>
      <c r="K1159">
        <v>4.5999999999999996</v>
      </c>
      <c r="L1159">
        <v>-54.2</v>
      </c>
      <c r="N1159">
        <v>16</v>
      </c>
      <c r="O1159">
        <v>16</v>
      </c>
      <c r="P1159" t="s">
        <v>670</v>
      </c>
      <c r="Q1159" t="s">
        <v>414</v>
      </c>
      <c r="R1159">
        <v>10</v>
      </c>
      <c r="S1159">
        <v>3.36</v>
      </c>
      <c r="T1159">
        <v>6524.5940000000001</v>
      </c>
      <c r="V1159">
        <v>6524.5940000000001</v>
      </c>
      <c r="W1159" t="s">
        <v>415</v>
      </c>
      <c r="X1159">
        <v>7.5</v>
      </c>
      <c r="Y1159">
        <v>-25.4</v>
      </c>
    </row>
    <row r="1160" spans="1:25" x14ac:dyDescent="0.45">
      <c r="A1160">
        <v>58</v>
      </c>
      <c r="B1160">
        <v>58</v>
      </c>
      <c r="C1160" t="s">
        <v>639</v>
      </c>
      <c r="D1160" t="s">
        <v>414</v>
      </c>
      <c r="E1160">
        <v>10</v>
      </c>
      <c r="F1160">
        <v>3.08</v>
      </c>
      <c r="G1160">
        <v>65731.679999999993</v>
      </c>
      <c r="I1160">
        <v>65731.679999999993</v>
      </c>
      <c r="J1160" t="s">
        <v>403</v>
      </c>
      <c r="K1160">
        <v>4.5</v>
      </c>
      <c r="L1160">
        <v>-54.8</v>
      </c>
      <c r="N1160">
        <v>17</v>
      </c>
      <c r="O1160">
        <v>17</v>
      </c>
      <c r="P1160" t="s">
        <v>671</v>
      </c>
      <c r="Q1160" t="s">
        <v>414</v>
      </c>
      <c r="R1160">
        <v>10</v>
      </c>
      <c r="S1160">
        <v>3.36</v>
      </c>
      <c r="T1160">
        <v>8131.5519999999997</v>
      </c>
      <c r="V1160">
        <v>8131.5519999999997</v>
      </c>
      <c r="W1160" t="s">
        <v>403</v>
      </c>
      <c r="X1160">
        <v>9.3000000000000007</v>
      </c>
      <c r="Y1160">
        <v>-7.1</v>
      </c>
    </row>
    <row r="1161" spans="1:25" x14ac:dyDescent="0.45">
      <c r="A1161">
        <v>59</v>
      </c>
      <c r="B1161">
        <v>59</v>
      </c>
      <c r="C1161" t="s">
        <v>640</v>
      </c>
      <c r="D1161" t="s">
        <v>414</v>
      </c>
      <c r="E1161">
        <v>10</v>
      </c>
      <c r="F1161">
        <v>3.08</v>
      </c>
      <c r="G1161">
        <v>86693.023000000001</v>
      </c>
      <c r="I1161">
        <v>86693.023000000001</v>
      </c>
      <c r="J1161" t="s">
        <v>403</v>
      </c>
      <c r="K1161">
        <v>6</v>
      </c>
      <c r="L1161">
        <v>-40.4</v>
      </c>
      <c r="N1161">
        <v>18</v>
      </c>
      <c r="O1161">
        <v>18</v>
      </c>
      <c r="P1161" t="s">
        <v>672</v>
      </c>
      <c r="Q1161" t="s">
        <v>414</v>
      </c>
      <c r="R1161">
        <v>10</v>
      </c>
      <c r="S1161">
        <v>3.36</v>
      </c>
      <c r="T1161">
        <v>7028.3710000000001</v>
      </c>
      <c r="V1161">
        <v>7028.3710000000001</v>
      </c>
      <c r="W1161" t="s">
        <v>415</v>
      </c>
      <c r="X1161">
        <v>8</v>
      </c>
      <c r="Y1161">
        <v>-19.7</v>
      </c>
    </row>
    <row r="1162" spans="1:25" x14ac:dyDescent="0.45">
      <c r="A1162">
        <v>60</v>
      </c>
      <c r="B1162">
        <v>60</v>
      </c>
      <c r="C1162" t="s">
        <v>641</v>
      </c>
      <c r="D1162" t="s">
        <v>414</v>
      </c>
      <c r="E1162">
        <v>10</v>
      </c>
      <c r="F1162">
        <v>3.08</v>
      </c>
      <c r="G1162">
        <v>78097.077999999994</v>
      </c>
      <c r="I1162">
        <v>78097.077999999994</v>
      </c>
      <c r="J1162" t="s">
        <v>403</v>
      </c>
      <c r="K1162">
        <v>5.4</v>
      </c>
      <c r="L1162">
        <v>-46.3</v>
      </c>
      <c r="N1162">
        <v>19</v>
      </c>
      <c r="O1162">
        <v>19</v>
      </c>
      <c r="P1162" t="s">
        <v>673</v>
      </c>
      <c r="Q1162" t="s">
        <v>414</v>
      </c>
      <c r="R1162">
        <v>10</v>
      </c>
      <c r="S1162">
        <v>3.36</v>
      </c>
      <c r="T1162">
        <v>8198.0159999999996</v>
      </c>
      <c r="V1162">
        <v>8198.0159999999996</v>
      </c>
      <c r="W1162" t="s">
        <v>403</v>
      </c>
      <c r="X1162">
        <v>9.4</v>
      </c>
      <c r="Y1162">
        <v>-6.3</v>
      </c>
    </row>
    <row r="1163" spans="1:25" x14ac:dyDescent="0.45">
      <c r="A1163">
        <v>61</v>
      </c>
      <c r="B1163">
        <v>61</v>
      </c>
      <c r="C1163" t="s">
        <v>642</v>
      </c>
      <c r="D1163" t="s">
        <v>414</v>
      </c>
      <c r="E1163">
        <v>10</v>
      </c>
      <c r="F1163">
        <v>3.08</v>
      </c>
      <c r="G1163">
        <v>107251.93799999999</v>
      </c>
      <c r="I1163">
        <v>107251.93799999999</v>
      </c>
      <c r="J1163" t="s">
        <v>403</v>
      </c>
      <c r="K1163">
        <v>7.4</v>
      </c>
      <c r="L1163">
        <v>-26.3</v>
      </c>
      <c r="N1163">
        <v>20</v>
      </c>
      <c r="O1163">
        <v>20</v>
      </c>
      <c r="P1163" t="s">
        <v>674</v>
      </c>
      <c r="Q1163" t="s">
        <v>414</v>
      </c>
      <c r="R1163">
        <v>10</v>
      </c>
      <c r="S1163">
        <v>3.36</v>
      </c>
      <c r="T1163">
        <v>6126.87</v>
      </c>
      <c r="V1163">
        <v>6126.87</v>
      </c>
      <c r="W1163" t="s">
        <v>415</v>
      </c>
      <c r="X1163">
        <v>7</v>
      </c>
      <c r="Y1163">
        <v>-30</v>
      </c>
    </row>
    <row r="1164" spans="1:25" x14ac:dyDescent="0.45">
      <c r="A1164">
        <v>62</v>
      </c>
      <c r="B1164">
        <v>62</v>
      </c>
      <c r="C1164" t="s">
        <v>643</v>
      </c>
      <c r="D1164" t="s">
        <v>414</v>
      </c>
      <c r="E1164">
        <v>10</v>
      </c>
      <c r="F1164">
        <v>3.08</v>
      </c>
      <c r="G1164">
        <v>123916.984</v>
      </c>
      <c r="I1164">
        <v>123916.984</v>
      </c>
      <c r="J1164" t="s">
        <v>401</v>
      </c>
      <c r="K1164">
        <v>8.5</v>
      </c>
      <c r="L1164">
        <v>-14.8</v>
      </c>
      <c r="N1164">
        <v>21</v>
      </c>
      <c r="O1164">
        <v>21</v>
      </c>
      <c r="P1164" t="s">
        <v>675</v>
      </c>
      <c r="Q1164" t="s">
        <v>414</v>
      </c>
      <c r="R1164">
        <v>10</v>
      </c>
      <c r="S1164">
        <v>3.36</v>
      </c>
      <c r="T1164">
        <v>6785.0079999999998</v>
      </c>
      <c r="V1164">
        <v>6785.0079999999998</v>
      </c>
      <c r="W1164" t="s">
        <v>403</v>
      </c>
      <c r="X1164">
        <v>7.8</v>
      </c>
      <c r="Y1164">
        <v>-22.4</v>
      </c>
    </row>
    <row r="1165" spans="1:25" x14ac:dyDescent="0.45">
      <c r="A1165">
        <v>63</v>
      </c>
      <c r="B1165">
        <v>63</v>
      </c>
      <c r="C1165" t="s">
        <v>644</v>
      </c>
      <c r="D1165" t="s">
        <v>414</v>
      </c>
      <c r="E1165">
        <v>10</v>
      </c>
      <c r="F1165">
        <v>3.08</v>
      </c>
      <c r="G1165">
        <v>82257.5</v>
      </c>
      <c r="I1165">
        <v>82257.5</v>
      </c>
      <c r="J1165" t="s">
        <v>403</v>
      </c>
      <c r="K1165">
        <v>5.7</v>
      </c>
      <c r="L1165">
        <v>-43.4</v>
      </c>
      <c r="N1165">
        <v>22</v>
      </c>
      <c r="O1165">
        <v>22</v>
      </c>
      <c r="P1165" t="s">
        <v>676</v>
      </c>
      <c r="Q1165" t="s">
        <v>414</v>
      </c>
      <c r="R1165">
        <v>10</v>
      </c>
      <c r="S1165">
        <v>3.36</v>
      </c>
      <c r="T1165">
        <v>8401.982</v>
      </c>
      <c r="V1165">
        <v>8401.982</v>
      </c>
      <c r="W1165" t="s">
        <v>403</v>
      </c>
      <c r="X1165">
        <v>9.6</v>
      </c>
      <c r="Y1165">
        <v>-4</v>
      </c>
    </row>
    <row r="1166" spans="1:25" x14ac:dyDescent="0.45">
      <c r="A1166">
        <v>64</v>
      </c>
      <c r="B1166">
        <v>64</v>
      </c>
      <c r="C1166" t="s">
        <v>645</v>
      </c>
      <c r="D1166" t="s">
        <v>414</v>
      </c>
      <c r="E1166">
        <v>10</v>
      </c>
      <c r="F1166">
        <v>3.08</v>
      </c>
      <c r="G1166">
        <v>65478.347999999998</v>
      </c>
      <c r="I1166">
        <v>65478.347999999998</v>
      </c>
      <c r="J1166" t="s">
        <v>403</v>
      </c>
      <c r="K1166">
        <v>4.5</v>
      </c>
      <c r="L1166">
        <v>-55</v>
      </c>
      <c r="N1166">
        <v>23</v>
      </c>
      <c r="O1166">
        <v>23</v>
      </c>
      <c r="P1166" t="s">
        <v>677</v>
      </c>
      <c r="Q1166" t="s">
        <v>414</v>
      </c>
      <c r="R1166">
        <v>10</v>
      </c>
      <c r="S1166">
        <v>3.36</v>
      </c>
      <c r="T1166">
        <v>8231.143</v>
      </c>
      <c r="V1166">
        <v>8231.143</v>
      </c>
      <c r="W1166" t="s">
        <v>403</v>
      </c>
      <c r="X1166">
        <v>9.4</v>
      </c>
      <c r="Y1166">
        <v>-5.9</v>
      </c>
    </row>
    <row r="1167" spans="1:25" x14ac:dyDescent="0.45">
      <c r="A1167">
        <v>65</v>
      </c>
      <c r="B1167">
        <v>65</v>
      </c>
      <c r="C1167" t="s">
        <v>646</v>
      </c>
      <c r="D1167" t="s">
        <v>414</v>
      </c>
      <c r="E1167">
        <v>10</v>
      </c>
      <c r="F1167">
        <v>3.08</v>
      </c>
      <c r="G1167">
        <v>75065.875</v>
      </c>
      <c r="I1167">
        <v>75065.875</v>
      </c>
      <c r="J1167" t="s">
        <v>403</v>
      </c>
      <c r="K1167">
        <v>5.2</v>
      </c>
      <c r="L1167">
        <v>-48.4</v>
      </c>
      <c r="N1167">
        <v>24</v>
      </c>
      <c r="O1167">
        <v>24</v>
      </c>
      <c r="P1167" t="s">
        <v>678</v>
      </c>
      <c r="Q1167" t="s">
        <v>414</v>
      </c>
      <c r="R1167">
        <v>10</v>
      </c>
      <c r="S1167">
        <v>3.36</v>
      </c>
      <c r="T1167">
        <v>6850.3670000000002</v>
      </c>
      <c r="V1167">
        <v>6850.3670000000002</v>
      </c>
      <c r="W1167" t="s">
        <v>415</v>
      </c>
      <c r="X1167">
        <v>7.8</v>
      </c>
      <c r="Y1167">
        <v>-21.7</v>
      </c>
    </row>
    <row r="1168" spans="1:25" x14ac:dyDescent="0.45">
      <c r="A1168">
        <v>66</v>
      </c>
      <c r="B1168">
        <v>66</v>
      </c>
      <c r="C1168" t="s">
        <v>647</v>
      </c>
      <c r="D1168" t="s">
        <v>414</v>
      </c>
      <c r="E1168">
        <v>10</v>
      </c>
      <c r="F1168">
        <v>3.08</v>
      </c>
      <c r="G1168">
        <v>97245</v>
      </c>
      <c r="I1168">
        <v>97245</v>
      </c>
      <c r="J1168" t="s">
        <v>403</v>
      </c>
      <c r="K1168">
        <v>6.7</v>
      </c>
      <c r="L1168">
        <v>-33.1</v>
      </c>
      <c r="N1168">
        <v>25</v>
      </c>
      <c r="O1168">
        <v>25</v>
      </c>
      <c r="P1168" t="s">
        <v>679</v>
      </c>
      <c r="Q1168" t="s">
        <v>414</v>
      </c>
      <c r="R1168">
        <v>10</v>
      </c>
      <c r="S1168">
        <v>3.36</v>
      </c>
      <c r="T1168">
        <v>6906.6469999999999</v>
      </c>
      <c r="V1168">
        <v>6906.6469999999999</v>
      </c>
      <c r="W1168" t="s">
        <v>415</v>
      </c>
      <c r="X1168">
        <v>7.9</v>
      </c>
      <c r="Y1168">
        <v>-21.1</v>
      </c>
    </row>
    <row r="1169" spans="1:25" x14ac:dyDescent="0.45">
      <c r="A1169">
        <v>67</v>
      </c>
      <c r="B1169">
        <v>67</v>
      </c>
      <c r="C1169" t="s">
        <v>648</v>
      </c>
      <c r="D1169" t="s">
        <v>414</v>
      </c>
      <c r="E1169">
        <v>10</v>
      </c>
      <c r="F1169">
        <v>3.08</v>
      </c>
      <c r="G1169">
        <v>72379.960999999996</v>
      </c>
      <c r="I1169">
        <v>72379.960999999996</v>
      </c>
      <c r="J1169" t="s">
        <v>403</v>
      </c>
      <c r="K1169">
        <v>5</v>
      </c>
      <c r="L1169">
        <v>-50.2</v>
      </c>
      <c r="N1169">
        <v>26</v>
      </c>
      <c r="O1169">
        <v>26</v>
      </c>
      <c r="P1169" t="s">
        <v>680</v>
      </c>
      <c r="Q1169" t="s">
        <v>414</v>
      </c>
      <c r="R1169">
        <v>10</v>
      </c>
      <c r="S1169">
        <v>3.36</v>
      </c>
      <c r="T1169">
        <v>7483.2979999999998</v>
      </c>
      <c r="V1169">
        <v>7483.2979999999998</v>
      </c>
      <c r="W1169" t="s">
        <v>403</v>
      </c>
      <c r="X1169">
        <v>8.6</v>
      </c>
      <c r="Y1169">
        <v>-14.5</v>
      </c>
    </row>
    <row r="1170" spans="1:25" x14ac:dyDescent="0.45">
      <c r="A1170">
        <v>68</v>
      </c>
      <c r="B1170">
        <v>68</v>
      </c>
      <c r="C1170" t="s">
        <v>649</v>
      </c>
      <c r="D1170" t="s">
        <v>414</v>
      </c>
      <c r="E1170">
        <v>10</v>
      </c>
      <c r="F1170">
        <v>3.08</v>
      </c>
      <c r="G1170">
        <v>76601.156000000003</v>
      </c>
      <c r="I1170">
        <v>76601.156000000003</v>
      </c>
      <c r="J1170" t="s">
        <v>403</v>
      </c>
      <c r="K1170">
        <v>5.3</v>
      </c>
      <c r="L1170">
        <v>-47.3</v>
      </c>
      <c r="N1170">
        <v>27</v>
      </c>
      <c r="O1170">
        <v>27</v>
      </c>
      <c r="P1170" t="s">
        <v>681</v>
      </c>
      <c r="Q1170" t="s">
        <v>414</v>
      </c>
      <c r="R1170">
        <v>10</v>
      </c>
      <c r="S1170">
        <v>3.36</v>
      </c>
      <c r="T1170">
        <v>7596.8040000000001</v>
      </c>
      <c r="V1170">
        <v>7596.8040000000001</v>
      </c>
      <c r="W1170" t="s">
        <v>403</v>
      </c>
      <c r="X1170">
        <v>8.6999999999999993</v>
      </c>
      <c r="Y1170">
        <v>-13.2</v>
      </c>
    </row>
    <row r="1171" spans="1:25" x14ac:dyDescent="0.45">
      <c r="A1171">
        <v>69</v>
      </c>
      <c r="B1171">
        <v>69</v>
      </c>
      <c r="C1171" t="s">
        <v>650</v>
      </c>
      <c r="D1171" t="s">
        <v>414</v>
      </c>
      <c r="E1171">
        <v>10</v>
      </c>
      <c r="F1171">
        <v>3.08</v>
      </c>
      <c r="G1171">
        <v>93657.812999999995</v>
      </c>
      <c r="I1171">
        <v>93657.812999999995</v>
      </c>
      <c r="J1171" t="s">
        <v>415</v>
      </c>
      <c r="K1171">
        <v>6.4</v>
      </c>
      <c r="L1171">
        <v>-35.6</v>
      </c>
      <c r="N1171">
        <v>28</v>
      </c>
      <c r="O1171">
        <v>28</v>
      </c>
      <c r="P1171" t="s">
        <v>682</v>
      </c>
      <c r="Q1171" t="s">
        <v>414</v>
      </c>
      <c r="R1171">
        <v>10</v>
      </c>
      <c r="S1171">
        <v>3.36</v>
      </c>
      <c r="T1171">
        <v>7863.0709999999999</v>
      </c>
      <c r="V1171">
        <v>7863.0709999999999</v>
      </c>
      <c r="W1171" t="s">
        <v>403</v>
      </c>
      <c r="X1171">
        <v>9</v>
      </c>
      <c r="Y1171">
        <v>-10.1</v>
      </c>
    </row>
    <row r="1172" spans="1:25" x14ac:dyDescent="0.45">
      <c r="N1172">
        <v>29</v>
      </c>
      <c r="O1172">
        <v>29</v>
      </c>
      <c r="P1172" t="s">
        <v>683</v>
      </c>
      <c r="Q1172" t="s">
        <v>414</v>
      </c>
      <c r="R1172">
        <v>10</v>
      </c>
      <c r="S1172">
        <v>3.36</v>
      </c>
      <c r="T1172">
        <v>8119.5910000000003</v>
      </c>
      <c r="V1172">
        <v>8119.5910000000003</v>
      </c>
      <c r="W1172" t="s">
        <v>403</v>
      </c>
      <c r="X1172">
        <v>9.3000000000000007</v>
      </c>
      <c r="Y1172">
        <v>-7.2</v>
      </c>
    </row>
    <row r="1173" spans="1:25" x14ac:dyDescent="0.45">
      <c r="A1173" t="s">
        <v>502</v>
      </c>
      <c r="N1173">
        <v>30</v>
      </c>
      <c r="O1173">
        <v>30</v>
      </c>
      <c r="P1173" t="s">
        <v>684</v>
      </c>
      <c r="Q1173" t="s">
        <v>414</v>
      </c>
      <c r="R1173">
        <v>10</v>
      </c>
      <c r="S1173">
        <v>3.36</v>
      </c>
      <c r="T1173">
        <v>7252.8950000000004</v>
      </c>
      <c r="V1173">
        <v>7252.8950000000004</v>
      </c>
      <c r="W1173" t="s">
        <v>415</v>
      </c>
      <c r="X1173">
        <v>8.3000000000000007</v>
      </c>
      <c r="Y1173">
        <v>-17.100000000000001</v>
      </c>
    </row>
    <row r="1174" spans="1:25" x14ac:dyDescent="0.45">
      <c r="N1174">
        <v>31</v>
      </c>
      <c r="O1174">
        <v>31</v>
      </c>
      <c r="P1174" t="s">
        <v>685</v>
      </c>
      <c r="Q1174" t="s">
        <v>414</v>
      </c>
      <c r="R1174">
        <v>10</v>
      </c>
      <c r="S1174">
        <v>3.36</v>
      </c>
      <c r="T1174">
        <v>7940.0230000000001</v>
      </c>
      <c r="V1174">
        <v>7940.0230000000001</v>
      </c>
      <c r="W1174" t="s">
        <v>403</v>
      </c>
      <c r="X1174">
        <v>9.1</v>
      </c>
      <c r="Y1174">
        <v>-9.1999999999999993</v>
      </c>
    </row>
    <row r="1175" spans="1:25" x14ac:dyDescent="0.45">
      <c r="B1175" t="s">
        <v>389</v>
      </c>
      <c r="C1175" t="s">
        <v>123</v>
      </c>
      <c r="D1175" t="s">
        <v>390</v>
      </c>
      <c r="E1175" t="s">
        <v>391</v>
      </c>
      <c r="F1175" t="s">
        <v>392</v>
      </c>
      <c r="G1175" t="s">
        <v>393</v>
      </c>
      <c r="H1175" t="s">
        <v>394</v>
      </c>
      <c r="I1175" t="s">
        <v>395</v>
      </c>
      <c r="J1175" t="s">
        <v>396</v>
      </c>
      <c r="K1175" t="s">
        <v>397</v>
      </c>
      <c r="L1175" t="s">
        <v>398</v>
      </c>
      <c r="N1175">
        <v>32</v>
      </c>
      <c r="O1175">
        <v>32</v>
      </c>
      <c r="P1175" t="s">
        <v>686</v>
      </c>
      <c r="Q1175" t="s">
        <v>414</v>
      </c>
      <c r="R1175">
        <v>10</v>
      </c>
      <c r="S1175">
        <v>3.36</v>
      </c>
      <c r="T1175">
        <v>7651.9</v>
      </c>
      <c r="V1175">
        <v>7651.9</v>
      </c>
      <c r="W1175" t="s">
        <v>403</v>
      </c>
      <c r="X1175">
        <v>8.6999999999999993</v>
      </c>
      <c r="Y1175">
        <v>-12.5</v>
      </c>
    </row>
    <row r="1176" spans="1:25" x14ac:dyDescent="0.45">
      <c r="A1176">
        <v>1</v>
      </c>
      <c r="B1176">
        <v>1</v>
      </c>
      <c r="C1176" t="s">
        <v>582</v>
      </c>
      <c r="D1176" t="s">
        <v>400</v>
      </c>
      <c r="E1176">
        <v>10</v>
      </c>
      <c r="F1176">
        <v>3.37</v>
      </c>
      <c r="G1176">
        <v>6207.5280000000002</v>
      </c>
      <c r="I1176">
        <v>6207.5280000000002</v>
      </c>
      <c r="J1176" t="s">
        <v>401</v>
      </c>
      <c r="K1176">
        <v>7.6</v>
      </c>
      <c r="L1176">
        <v>-24.3</v>
      </c>
      <c r="N1176">
        <v>33</v>
      </c>
      <c r="O1176">
        <v>33</v>
      </c>
      <c r="P1176" t="s">
        <v>687</v>
      </c>
      <c r="Q1176" t="s">
        <v>414</v>
      </c>
      <c r="R1176">
        <v>10</v>
      </c>
      <c r="S1176">
        <v>3.36</v>
      </c>
      <c r="T1176">
        <v>6745.1710000000003</v>
      </c>
      <c r="V1176">
        <v>6745.1710000000003</v>
      </c>
      <c r="W1176" t="s">
        <v>412</v>
      </c>
      <c r="X1176">
        <v>7.7</v>
      </c>
      <c r="Y1176">
        <v>-22.9</v>
      </c>
    </row>
    <row r="1177" spans="1:25" x14ac:dyDescent="0.45">
      <c r="A1177">
        <v>2</v>
      </c>
      <c r="B1177">
        <v>2</v>
      </c>
      <c r="C1177" t="s">
        <v>583</v>
      </c>
      <c r="D1177" t="s">
        <v>400</v>
      </c>
      <c r="E1177">
        <v>10</v>
      </c>
      <c r="F1177">
        <v>3.36</v>
      </c>
      <c r="G1177">
        <v>6653.7640000000001</v>
      </c>
      <c r="I1177">
        <v>6653.7640000000001</v>
      </c>
      <c r="J1177" t="s">
        <v>415</v>
      </c>
      <c r="K1177">
        <v>8.1</v>
      </c>
      <c r="L1177">
        <v>-18.8</v>
      </c>
      <c r="N1177">
        <v>34</v>
      </c>
      <c r="O1177">
        <v>34</v>
      </c>
      <c r="P1177" t="s">
        <v>688</v>
      </c>
      <c r="Q1177" t="s">
        <v>414</v>
      </c>
      <c r="R1177">
        <v>10</v>
      </c>
      <c r="S1177">
        <v>3.36</v>
      </c>
      <c r="T1177">
        <v>8934.7430000000004</v>
      </c>
      <c r="V1177">
        <v>8934.7430000000004</v>
      </c>
      <c r="W1177" t="s">
        <v>403</v>
      </c>
      <c r="X1177">
        <v>10.199999999999999</v>
      </c>
      <c r="Y1177">
        <v>2.1</v>
      </c>
    </row>
    <row r="1178" spans="1:25" x14ac:dyDescent="0.45">
      <c r="A1178">
        <v>3</v>
      </c>
      <c r="B1178">
        <v>3</v>
      </c>
      <c r="C1178" t="s">
        <v>584</v>
      </c>
      <c r="D1178" t="s">
        <v>400</v>
      </c>
      <c r="E1178">
        <v>10</v>
      </c>
      <c r="F1178">
        <v>3.36</v>
      </c>
      <c r="G1178">
        <v>7428.1049999999996</v>
      </c>
      <c r="I1178">
        <v>7428.1049999999996</v>
      </c>
      <c r="J1178" t="s">
        <v>403</v>
      </c>
      <c r="K1178">
        <v>9.1</v>
      </c>
      <c r="L1178">
        <v>-9.4</v>
      </c>
      <c r="N1178">
        <v>35</v>
      </c>
      <c r="O1178">
        <v>35</v>
      </c>
      <c r="P1178" t="s">
        <v>689</v>
      </c>
      <c r="Q1178" t="s">
        <v>414</v>
      </c>
      <c r="R1178">
        <v>10</v>
      </c>
      <c r="S1178">
        <v>3.36</v>
      </c>
      <c r="T1178">
        <v>7888.2950000000001</v>
      </c>
      <c r="V1178">
        <v>7888.2950000000001</v>
      </c>
      <c r="W1178" t="s">
        <v>403</v>
      </c>
      <c r="X1178">
        <v>9</v>
      </c>
      <c r="Y1178">
        <v>-9.8000000000000007</v>
      </c>
    </row>
    <row r="1179" spans="1:25" x14ac:dyDescent="0.45">
      <c r="A1179">
        <v>4</v>
      </c>
      <c r="B1179">
        <v>4</v>
      </c>
      <c r="C1179" t="s">
        <v>585</v>
      </c>
      <c r="D1179" t="s">
        <v>400</v>
      </c>
      <c r="E1179">
        <v>10</v>
      </c>
      <c r="F1179">
        <v>3.36</v>
      </c>
      <c r="G1179">
        <v>8668.2990000000009</v>
      </c>
      <c r="I1179">
        <v>8668.2990000000009</v>
      </c>
      <c r="J1179" t="s">
        <v>403</v>
      </c>
      <c r="K1179">
        <v>10.6</v>
      </c>
      <c r="L1179">
        <v>5.8</v>
      </c>
      <c r="N1179">
        <v>36</v>
      </c>
      <c r="O1179">
        <v>36</v>
      </c>
      <c r="P1179" t="s">
        <v>690</v>
      </c>
      <c r="Q1179" t="s">
        <v>414</v>
      </c>
      <c r="R1179">
        <v>10</v>
      </c>
      <c r="S1179">
        <v>3.36</v>
      </c>
      <c r="T1179">
        <v>7973.2139999999999</v>
      </c>
      <c r="V1179">
        <v>7973.2139999999999</v>
      </c>
      <c r="W1179" t="s">
        <v>401</v>
      </c>
      <c r="X1179">
        <v>9.1</v>
      </c>
      <c r="Y1179">
        <v>-8.9</v>
      </c>
    </row>
    <row r="1180" spans="1:25" x14ac:dyDescent="0.45">
      <c r="A1180">
        <v>5</v>
      </c>
      <c r="B1180">
        <v>5</v>
      </c>
      <c r="C1180" t="s">
        <v>586</v>
      </c>
      <c r="D1180" t="s">
        <v>400</v>
      </c>
      <c r="E1180">
        <v>10</v>
      </c>
      <c r="F1180">
        <v>3.36</v>
      </c>
      <c r="G1180">
        <v>8680.1209999999992</v>
      </c>
      <c r="I1180">
        <v>8680.1209999999992</v>
      </c>
      <c r="J1180" t="s">
        <v>415</v>
      </c>
      <c r="K1180">
        <v>10.6</v>
      </c>
      <c r="L1180">
        <v>5.9</v>
      </c>
      <c r="N1180">
        <v>37</v>
      </c>
      <c r="O1180">
        <v>37</v>
      </c>
      <c r="P1180" t="s">
        <v>691</v>
      </c>
      <c r="Q1180" t="s">
        <v>414</v>
      </c>
      <c r="R1180">
        <v>10</v>
      </c>
      <c r="S1180">
        <v>3.36</v>
      </c>
      <c r="T1180">
        <v>7657.6940000000004</v>
      </c>
      <c r="V1180">
        <v>7657.6940000000004</v>
      </c>
      <c r="W1180" t="s">
        <v>403</v>
      </c>
      <c r="X1180">
        <v>8.8000000000000007</v>
      </c>
      <c r="Y1180">
        <v>-12.5</v>
      </c>
    </row>
    <row r="1181" spans="1:25" x14ac:dyDescent="0.45">
      <c r="A1181">
        <v>6</v>
      </c>
      <c r="B1181">
        <v>6</v>
      </c>
      <c r="C1181" t="s">
        <v>587</v>
      </c>
      <c r="D1181" t="s">
        <v>400</v>
      </c>
      <c r="E1181">
        <v>10</v>
      </c>
      <c r="F1181">
        <v>3.36</v>
      </c>
      <c r="G1181">
        <v>9562.61</v>
      </c>
      <c r="I1181">
        <v>9562.61</v>
      </c>
      <c r="J1181" t="s">
        <v>415</v>
      </c>
      <c r="K1181">
        <v>11.7</v>
      </c>
      <c r="L1181">
        <v>16.7</v>
      </c>
      <c r="N1181">
        <v>38</v>
      </c>
      <c r="O1181">
        <v>38</v>
      </c>
      <c r="P1181" t="s">
        <v>692</v>
      </c>
      <c r="Q1181" t="s">
        <v>414</v>
      </c>
      <c r="R1181">
        <v>10</v>
      </c>
      <c r="S1181">
        <v>3.36</v>
      </c>
      <c r="T1181">
        <v>8165.6279999999997</v>
      </c>
      <c r="V1181">
        <v>8165.6279999999997</v>
      </c>
      <c r="W1181" t="s">
        <v>403</v>
      </c>
      <c r="X1181">
        <v>9.3000000000000007</v>
      </c>
      <c r="Y1181">
        <v>-6.7</v>
      </c>
    </row>
    <row r="1182" spans="1:25" x14ac:dyDescent="0.45">
      <c r="A1182">
        <v>7</v>
      </c>
      <c r="B1182">
        <v>7</v>
      </c>
      <c r="C1182" t="s">
        <v>588</v>
      </c>
      <c r="D1182" t="s">
        <v>400</v>
      </c>
      <c r="E1182">
        <v>10</v>
      </c>
      <c r="F1182">
        <v>3.36</v>
      </c>
      <c r="G1182">
        <v>10165.453</v>
      </c>
      <c r="I1182">
        <v>10165.453</v>
      </c>
      <c r="J1182" t="s">
        <v>415</v>
      </c>
      <c r="K1182">
        <v>12.4</v>
      </c>
      <c r="L1182">
        <v>24</v>
      </c>
      <c r="N1182">
        <v>39</v>
      </c>
      <c r="O1182">
        <v>39</v>
      </c>
      <c r="P1182" t="s">
        <v>693</v>
      </c>
      <c r="Q1182" t="s">
        <v>414</v>
      </c>
      <c r="R1182">
        <v>10</v>
      </c>
      <c r="S1182">
        <v>3.36</v>
      </c>
      <c r="T1182">
        <v>7604.4390000000003</v>
      </c>
      <c r="V1182">
        <v>7604.4390000000003</v>
      </c>
      <c r="W1182" t="s">
        <v>403</v>
      </c>
      <c r="X1182">
        <v>8.6999999999999993</v>
      </c>
      <c r="Y1182">
        <v>-13.1</v>
      </c>
    </row>
    <row r="1183" spans="1:25" x14ac:dyDescent="0.45">
      <c r="A1183">
        <v>8</v>
      </c>
      <c r="B1183">
        <v>8</v>
      </c>
      <c r="C1183" t="s">
        <v>589</v>
      </c>
      <c r="D1183" t="s">
        <v>410</v>
      </c>
      <c r="E1183">
        <v>10</v>
      </c>
      <c r="F1183">
        <v>3.36</v>
      </c>
      <c r="G1183">
        <v>7294.7259999999997</v>
      </c>
      <c r="I1183">
        <v>7294.7259999999997</v>
      </c>
      <c r="J1183" t="s">
        <v>403</v>
      </c>
      <c r="K1183">
        <v>8.9</v>
      </c>
      <c r="L1183">
        <v>-11</v>
      </c>
      <c r="N1183">
        <v>40</v>
      </c>
      <c r="O1183">
        <v>40</v>
      </c>
      <c r="P1183" t="s">
        <v>694</v>
      </c>
      <c r="Q1183" t="s">
        <v>414</v>
      </c>
      <c r="R1183">
        <v>10</v>
      </c>
      <c r="S1183">
        <v>3.36</v>
      </c>
      <c r="T1183">
        <v>6701.82</v>
      </c>
      <c r="V1183">
        <v>6701.82</v>
      </c>
      <c r="W1183" t="s">
        <v>403</v>
      </c>
      <c r="X1183">
        <v>7.7</v>
      </c>
      <c r="Y1183">
        <v>-23.4</v>
      </c>
    </row>
    <row r="1184" spans="1:25" x14ac:dyDescent="0.45">
      <c r="A1184">
        <v>9</v>
      </c>
      <c r="B1184">
        <v>9</v>
      </c>
      <c r="C1184" t="s">
        <v>590</v>
      </c>
      <c r="D1184" t="s">
        <v>410</v>
      </c>
      <c r="E1184">
        <v>10</v>
      </c>
      <c r="F1184">
        <v>3.36</v>
      </c>
      <c r="G1184">
        <v>7230.6670000000004</v>
      </c>
      <c r="I1184">
        <v>7230.6670000000004</v>
      </c>
      <c r="J1184" t="s">
        <v>415</v>
      </c>
      <c r="K1184">
        <v>8.8000000000000007</v>
      </c>
      <c r="L1184">
        <v>-11.8</v>
      </c>
      <c r="N1184">
        <v>41</v>
      </c>
      <c r="O1184">
        <v>41</v>
      </c>
      <c r="P1184" t="s">
        <v>695</v>
      </c>
      <c r="Q1184" t="s">
        <v>414</v>
      </c>
      <c r="R1184">
        <v>10</v>
      </c>
      <c r="S1184">
        <v>3.36</v>
      </c>
      <c r="T1184">
        <v>7267.9790000000003</v>
      </c>
      <c r="V1184">
        <v>7267.9790000000003</v>
      </c>
      <c r="W1184" t="s">
        <v>412</v>
      </c>
      <c r="X1184">
        <v>8.3000000000000007</v>
      </c>
      <c r="Y1184">
        <v>-16.899999999999999</v>
      </c>
    </row>
    <row r="1185" spans="1:25" x14ac:dyDescent="0.45">
      <c r="A1185">
        <v>10</v>
      </c>
      <c r="B1185">
        <v>10</v>
      </c>
      <c r="C1185" t="s">
        <v>591</v>
      </c>
      <c r="D1185" t="s">
        <v>414</v>
      </c>
      <c r="E1185">
        <v>10</v>
      </c>
      <c r="F1185">
        <v>3.36</v>
      </c>
      <c r="G1185">
        <v>8199.8359999999993</v>
      </c>
      <c r="I1185">
        <v>8199.8359999999993</v>
      </c>
      <c r="J1185" t="s">
        <v>403</v>
      </c>
      <c r="K1185">
        <v>10</v>
      </c>
      <c r="L1185">
        <v>0.1</v>
      </c>
      <c r="N1185">
        <v>42</v>
      </c>
      <c r="O1185">
        <v>42</v>
      </c>
      <c r="P1185" t="s">
        <v>696</v>
      </c>
      <c r="Q1185" t="s">
        <v>414</v>
      </c>
      <c r="R1185">
        <v>10</v>
      </c>
      <c r="S1185">
        <v>3.36</v>
      </c>
      <c r="T1185">
        <v>7303.8649999999998</v>
      </c>
      <c r="V1185">
        <v>7303.8649999999998</v>
      </c>
      <c r="W1185" t="s">
        <v>403</v>
      </c>
      <c r="X1185">
        <v>8.3000000000000007</v>
      </c>
      <c r="Y1185">
        <v>-16.5</v>
      </c>
    </row>
    <row r="1186" spans="1:25" x14ac:dyDescent="0.45">
      <c r="A1186">
        <v>11</v>
      </c>
      <c r="B1186">
        <v>11</v>
      </c>
      <c r="C1186" t="s">
        <v>592</v>
      </c>
      <c r="D1186" t="s">
        <v>414</v>
      </c>
      <c r="E1186">
        <v>10</v>
      </c>
      <c r="F1186">
        <v>3.36</v>
      </c>
      <c r="G1186">
        <v>8223.3330000000005</v>
      </c>
      <c r="I1186">
        <v>8223.3330000000005</v>
      </c>
      <c r="J1186" t="s">
        <v>403</v>
      </c>
      <c r="K1186">
        <v>10</v>
      </c>
      <c r="L1186">
        <v>0.3</v>
      </c>
      <c r="N1186">
        <v>43</v>
      </c>
      <c r="O1186">
        <v>43</v>
      </c>
      <c r="P1186" t="s">
        <v>697</v>
      </c>
      <c r="Q1186" t="s">
        <v>414</v>
      </c>
      <c r="R1186">
        <v>10</v>
      </c>
      <c r="S1186">
        <v>3.36</v>
      </c>
      <c r="T1186">
        <v>6701.8119999999999</v>
      </c>
      <c r="V1186">
        <v>6701.8119999999999</v>
      </c>
      <c r="W1186" t="s">
        <v>403</v>
      </c>
      <c r="X1186">
        <v>7.7</v>
      </c>
      <c r="Y1186">
        <v>-23.4</v>
      </c>
    </row>
    <row r="1187" spans="1:25" x14ac:dyDescent="0.45">
      <c r="A1187">
        <v>12</v>
      </c>
      <c r="B1187">
        <v>12</v>
      </c>
      <c r="C1187" t="s">
        <v>593</v>
      </c>
      <c r="D1187" t="s">
        <v>414</v>
      </c>
      <c r="E1187">
        <v>10</v>
      </c>
      <c r="F1187">
        <v>3.37</v>
      </c>
      <c r="G1187">
        <v>7331.7730000000001</v>
      </c>
      <c r="I1187">
        <v>7331.7730000000001</v>
      </c>
      <c r="J1187" t="s">
        <v>415</v>
      </c>
      <c r="K1187">
        <v>8.9</v>
      </c>
      <c r="L1187">
        <v>-10.5</v>
      </c>
      <c r="N1187">
        <v>44</v>
      </c>
      <c r="O1187">
        <v>44</v>
      </c>
      <c r="P1187" t="s">
        <v>698</v>
      </c>
      <c r="Q1187" t="s">
        <v>414</v>
      </c>
      <c r="R1187">
        <v>10</v>
      </c>
      <c r="S1187">
        <v>3.36</v>
      </c>
      <c r="T1187">
        <v>8721.3449999999993</v>
      </c>
      <c r="V1187">
        <v>8721.3449999999993</v>
      </c>
      <c r="W1187" t="s">
        <v>403</v>
      </c>
      <c r="X1187">
        <v>10</v>
      </c>
      <c r="Y1187">
        <v>-0.3</v>
      </c>
    </row>
    <row r="1188" spans="1:25" x14ac:dyDescent="0.45">
      <c r="A1188">
        <v>13</v>
      </c>
      <c r="B1188">
        <v>13</v>
      </c>
      <c r="C1188" t="s">
        <v>594</v>
      </c>
      <c r="D1188" t="s">
        <v>414</v>
      </c>
      <c r="E1188">
        <v>10</v>
      </c>
      <c r="F1188">
        <v>3.36</v>
      </c>
      <c r="G1188">
        <v>7836.9920000000002</v>
      </c>
      <c r="I1188">
        <v>7836.9920000000002</v>
      </c>
      <c r="J1188" t="s">
        <v>403</v>
      </c>
      <c r="K1188">
        <v>9.6</v>
      </c>
      <c r="L1188">
        <v>-4.4000000000000004</v>
      </c>
      <c r="N1188">
        <v>45</v>
      </c>
      <c r="O1188">
        <v>45</v>
      </c>
      <c r="P1188" t="s">
        <v>699</v>
      </c>
      <c r="Q1188" t="s">
        <v>414</v>
      </c>
      <c r="R1188">
        <v>10</v>
      </c>
      <c r="S1188">
        <v>3.36</v>
      </c>
      <c r="T1188">
        <v>8064.1729999999998</v>
      </c>
      <c r="V1188">
        <v>8064.1729999999998</v>
      </c>
      <c r="W1188" t="s">
        <v>403</v>
      </c>
      <c r="X1188">
        <v>9.1999999999999993</v>
      </c>
      <c r="Y1188">
        <v>-7.8</v>
      </c>
    </row>
    <row r="1189" spans="1:25" x14ac:dyDescent="0.45">
      <c r="A1189">
        <v>14</v>
      </c>
      <c r="B1189">
        <v>14</v>
      </c>
      <c r="C1189" t="s">
        <v>595</v>
      </c>
      <c r="D1189" t="s">
        <v>414</v>
      </c>
      <c r="E1189">
        <v>10</v>
      </c>
      <c r="F1189">
        <v>3.36</v>
      </c>
      <c r="G1189">
        <v>7868.576</v>
      </c>
      <c r="I1189">
        <v>7868.576</v>
      </c>
      <c r="J1189" t="s">
        <v>403</v>
      </c>
      <c r="K1189">
        <v>9.6</v>
      </c>
      <c r="L1189">
        <v>-4</v>
      </c>
      <c r="N1189">
        <v>46</v>
      </c>
      <c r="O1189">
        <v>46</v>
      </c>
      <c r="P1189" t="s">
        <v>700</v>
      </c>
      <c r="Q1189" t="s">
        <v>414</v>
      </c>
      <c r="R1189">
        <v>10</v>
      </c>
      <c r="S1189">
        <v>3.36</v>
      </c>
      <c r="T1189">
        <v>7270.6980000000003</v>
      </c>
      <c r="V1189">
        <v>7270.6980000000003</v>
      </c>
      <c r="W1189" t="s">
        <v>403</v>
      </c>
      <c r="X1189">
        <v>8.3000000000000007</v>
      </c>
      <c r="Y1189">
        <v>-16.899999999999999</v>
      </c>
    </row>
    <row r="1190" spans="1:25" x14ac:dyDescent="0.45">
      <c r="A1190">
        <v>15</v>
      </c>
      <c r="B1190">
        <v>15</v>
      </c>
      <c r="C1190" t="s">
        <v>596</v>
      </c>
      <c r="D1190" t="s">
        <v>414</v>
      </c>
      <c r="E1190">
        <v>10</v>
      </c>
      <c r="F1190">
        <v>3.36</v>
      </c>
      <c r="G1190">
        <v>7447.0330000000004</v>
      </c>
      <c r="I1190">
        <v>7447.0330000000004</v>
      </c>
      <c r="J1190" t="s">
        <v>403</v>
      </c>
      <c r="K1190">
        <v>9.1</v>
      </c>
      <c r="L1190">
        <v>-9.1</v>
      </c>
      <c r="N1190">
        <v>47</v>
      </c>
      <c r="O1190">
        <v>47</v>
      </c>
      <c r="P1190" t="s">
        <v>701</v>
      </c>
      <c r="Q1190" t="s">
        <v>414</v>
      </c>
      <c r="R1190">
        <v>10</v>
      </c>
      <c r="S1190">
        <v>3.36</v>
      </c>
      <c r="T1190">
        <v>7840.2579999999998</v>
      </c>
      <c r="V1190">
        <v>7840.2579999999998</v>
      </c>
      <c r="W1190" t="s">
        <v>403</v>
      </c>
      <c r="X1190">
        <v>9</v>
      </c>
      <c r="Y1190">
        <v>-10.4</v>
      </c>
    </row>
    <row r="1191" spans="1:25" x14ac:dyDescent="0.45">
      <c r="A1191">
        <v>16</v>
      </c>
      <c r="B1191">
        <v>16</v>
      </c>
      <c r="C1191" t="s">
        <v>597</v>
      </c>
      <c r="D1191" t="s">
        <v>414</v>
      </c>
      <c r="E1191">
        <v>10</v>
      </c>
      <c r="F1191">
        <v>3.36</v>
      </c>
      <c r="G1191">
        <v>6646.6660000000002</v>
      </c>
      <c r="I1191">
        <v>6646.6660000000002</v>
      </c>
      <c r="J1191" t="s">
        <v>403</v>
      </c>
      <c r="K1191">
        <v>8.1</v>
      </c>
      <c r="L1191">
        <v>-18.899999999999999</v>
      </c>
      <c r="N1191">
        <v>48</v>
      </c>
      <c r="O1191">
        <v>48</v>
      </c>
      <c r="P1191" t="s">
        <v>702</v>
      </c>
      <c r="Q1191" t="s">
        <v>414</v>
      </c>
      <c r="R1191">
        <v>10</v>
      </c>
      <c r="S1191">
        <v>3.36</v>
      </c>
      <c r="T1191">
        <v>7784.74</v>
      </c>
      <c r="V1191">
        <v>7784.74</v>
      </c>
      <c r="W1191" t="s">
        <v>403</v>
      </c>
      <c r="X1191">
        <v>8.9</v>
      </c>
      <c r="Y1191">
        <v>-11</v>
      </c>
    </row>
    <row r="1192" spans="1:25" x14ac:dyDescent="0.45">
      <c r="A1192">
        <v>17</v>
      </c>
      <c r="B1192">
        <v>17</v>
      </c>
      <c r="C1192" t="s">
        <v>598</v>
      </c>
      <c r="D1192" t="s">
        <v>414</v>
      </c>
      <c r="E1192">
        <v>10</v>
      </c>
      <c r="F1192">
        <v>3.36</v>
      </c>
      <c r="G1192">
        <v>5843.42</v>
      </c>
      <c r="I1192">
        <v>5843.42</v>
      </c>
      <c r="J1192" t="s">
        <v>415</v>
      </c>
      <c r="K1192">
        <v>7.1</v>
      </c>
      <c r="L1192">
        <v>-28.7</v>
      </c>
      <c r="N1192">
        <v>49</v>
      </c>
      <c r="O1192">
        <v>49</v>
      </c>
      <c r="P1192" t="s">
        <v>703</v>
      </c>
      <c r="Q1192" t="s">
        <v>414</v>
      </c>
      <c r="R1192">
        <v>10</v>
      </c>
      <c r="S1192">
        <v>3.36</v>
      </c>
      <c r="T1192">
        <v>6529.3410000000003</v>
      </c>
      <c r="V1192">
        <v>6529.3410000000003</v>
      </c>
      <c r="W1192" t="s">
        <v>415</v>
      </c>
      <c r="X1192">
        <v>7.5</v>
      </c>
      <c r="Y1192">
        <v>-25.4</v>
      </c>
    </row>
    <row r="1193" spans="1:25" x14ac:dyDescent="0.45">
      <c r="A1193">
        <v>18</v>
      </c>
      <c r="B1193">
        <v>18</v>
      </c>
      <c r="C1193" t="s">
        <v>599</v>
      </c>
      <c r="D1193" t="s">
        <v>414</v>
      </c>
      <c r="E1193">
        <v>10</v>
      </c>
      <c r="F1193">
        <v>3.36</v>
      </c>
      <c r="G1193">
        <v>7566.0320000000002</v>
      </c>
      <c r="I1193">
        <v>7566.0320000000002</v>
      </c>
      <c r="J1193" t="s">
        <v>403</v>
      </c>
      <c r="K1193">
        <v>9.1999999999999993</v>
      </c>
      <c r="L1193">
        <v>-7.7</v>
      </c>
      <c r="N1193">
        <v>50</v>
      </c>
      <c r="O1193">
        <v>50</v>
      </c>
      <c r="P1193" t="s">
        <v>704</v>
      </c>
      <c r="Q1193" t="s">
        <v>414</v>
      </c>
      <c r="R1193">
        <v>10</v>
      </c>
      <c r="S1193">
        <v>3.36</v>
      </c>
      <c r="T1193">
        <v>7372.25</v>
      </c>
      <c r="V1193">
        <v>7372.25</v>
      </c>
      <c r="W1193" t="s">
        <v>403</v>
      </c>
      <c r="X1193">
        <v>8.4</v>
      </c>
      <c r="Y1193">
        <v>-15.7</v>
      </c>
    </row>
    <row r="1194" spans="1:25" x14ac:dyDescent="0.45">
      <c r="A1194">
        <v>19</v>
      </c>
      <c r="B1194">
        <v>19</v>
      </c>
      <c r="C1194" t="s">
        <v>600</v>
      </c>
      <c r="D1194" t="s">
        <v>414</v>
      </c>
      <c r="E1194">
        <v>10</v>
      </c>
      <c r="F1194">
        <v>3.36</v>
      </c>
      <c r="G1194">
        <v>5791.2619999999997</v>
      </c>
      <c r="I1194">
        <v>5791.2619999999997</v>
      </c>
      <c r="J1194" t="s">
        <v>403</v>
      </c>
      <c r="K1194">
        <v>7.1</v>
      </c>
      <c r="L1194">
        <v>-29.3</v>
      </c>
      <c r="N1194">
        <v>51</v>
      </c>
      <c r="O1194">
        <v>51</v>
      </c>
      <c r="P1194" t="s">
        <v>705</v>
      </c>
      <c r="Q1194" t="s">
        <v>414</v>
      </c>
      <c r="R1194">
        <v>10</v>
      </c>
      <c r="S1194">
        <v>3.36</v>
      </c>
      <c r="T1194">
        <v>7735.152</v>
      </c>
      <c r="V1194">
        <v>7735.152</v>
      </c>
      <c r="W1194" t="s">
        <v>403</v>
      </c>
      <c r="X1194">
        <v>8.8000000000000007</v>
      </c>
      <c r="Y1194">
        <v>-11.6</v>
      </c>
    </row>
    <row r="1195" spans="1:25" x14ac:dyDescent="0.45">
      <c r="A1195">
        <v>20</v>
      </c>
      <c r="B1195">
        <v>20</v>
      </c>
      <c r="C1195" t="s">
        <v>601</v>
      </c>
      <c r="D1195" t="s">
        <v>414</v>
      </c>
      <c r="E1195">
        <v>10</v>
      </c>
      <c r="F1195">
        <v>3.36</v>
      </c>
      <c r="G1195">
        <v>7755.777</v>
      </c>
      <c r="I1195">
        <v>7755.777</v>
      </c>
      <c r="J1195" t="s">
        <v>415</v>
      </c>
      <c r="K1195">
        <v>9.5</v>
      </c>
      <c r="L1195">
        <v>-5.4</v>
      </c>
      <c r="N1195">
        <v>52</v>
      </c>
      <c r="O1195">
        <v>52</v>
      </c>
      <c r="P1195" t="s">
        <v>706</v>
      </c>
      <c r="Q1195" t="s">
        <v>414</v>
      </c>
      <c r="R1195">
        <v>10</v>
      </c>
      <c r="S1195">
        <v>3.36</v>
      </c>
      <c r="T1195">
        <v>7460.18</v>
      </c>
      <c r="V1195">
        <v>7460.18</v>
      </c>
      <c r="W1195" t="s">
        <v>412</v>
      </c>
      <c r="X1195">
        <v>8.5</v>
      </c>
      <c r="Y1195">
        <v>-14.7</v>
      </c>
    </row>
    <row r="1196" spans="1:25" x14ac:dyDescent="0.45">
      <c r="A1196">
        <v>21</v>
      </c>
      <c r="B1196">
        <v>21</v>
      </c>
      <c r="C1196" t="s">
        <v>602</v>
      </c>
      <c r="D1196" t="s">
        <v>414</v>
      </c>
      <c r="E1196">
        <v>10</v>
      </c>
      <c r="F1196">
        <v>3.37</v>
      </c>
      <c r="G1196">
        <v>8432.5540000000001</v>
      </c>
      <c r="I1196">
        <v>8432.5540000000001</v>
      </c>
      <c r="J1196" t="s">
        <v>403</v>
      </c>
      <c r="K1196">
        <v>10.3</v>
      </c>
      <c r="L1196">
        <v>2.9</v>
      </c>
      <c r="N1196">
        <v>53</v>
      </c>
      <c r="O1196">
        <v>53</v>
      </c>
      <c r="P1196" t="s">
        <v>707</v>
      </c>
      <c r="Q1196" t="s">
        <v>414</v>
      </c>
      <c r="R1196">
        <v>10</v>
      </c>
      <c r="S1196">
        <v>3.36</v>
      </c>
      <c r="T1196">
        <v>7318.6319999999996</v>
      </c>
      <c r="V1196">
        <v>7318.6319999999996</v>
      </c>
      <c r="W1196" t="s">
        <v>403</v>
      </c>
      <c r="X1196">
        <v>8.4</v>
      </c>
      <c r="Y1196">
        <v>-16.3</v>
      </c>
    </row>
    <row r="1197" spans="1:25" x14ac:dyDescent="0.45">
      <c r="A1197">
        <v>22</v>
      </c>
      <c r="B1197">
        <v>22</v>
      </c>
      <c r="C1197" t="s">
        <v>603</v>
      </c>
      <c r="D1197" t="s">
        <v>414</v>
      </c>
      <c r="E1197">
        <v>10</v>
      </c>
      <c r="F1197">
        <v>3.36</v>
      </c>
      <c r="G1197">
        <v>6992.9690000000001</v>
      </c>
      <c r="I1197">
        <v>6992.9690000000001</v>
      </c>
      <c r="J1197" t="s">
        <v>403</v>
      </c>
      <c r="K1197">
        <v>8.5</v>
      </c>
      <c r="L1197">
        <v>-14.7</v>
      </c>
      <c r="N1197">
        <v>54</v>
      </c>
      <c r="O1197">
        <v>54</v>
      </c>
      <c r="P1197" t="s">
        <v>708</v>
      </c>
      <c r="Q1197" t="s">
        <v>414</v>
      </c>
      <c r="R1197">
        <v>10</v>
      </c>
      <c r="S1197">
        <v>3.36</v>
      </c>
      <c r="T1197">
        <v>6753.2290000000003</v>
      </c>
      <c r="V1197">
        <v>6753.2290000000003</v>
      </c>
      <c r="W1197" t="s">
        <v>403</v>
      </c>
      <c r="X1197">
        <v>7.7</v>
      </c>
      <c r="Y1197">
        <v>-22.8</v>
      </c>
    </row>
    <row r="1198" spans="1:25" x14ac:dyDescent="0.45">
      <c r="A1198">
        <v>23</v>
      </c>
      <c r="B1198">
        <v>23</v>
      </c>
      <c r="C1198" t="s">
        <v>604</v>
      </c>
      <c r="D1198" t="s">
        <v>414</v>
      </c>
      <c r="E1198">
        <v>10</v>
      </c>
      <c r="F1198">
        <v>3.36</v>
      </c>
      <c r="G1198">
        <v>7514.0749999999998</v>
      </c>
      <c r="I1198">
        <v>7514.0749999999998</v>
      </c>
      <c r="J1198" t="s">
        <v>403</v>
      </c>
      <c r="K1198">
        <v>9.1999999999999993</v>
      </c>
      <c r="L1198">
        <v>-8.3000000000000007</v>
      </c>
      <c r="N1198">
        <v>55</v>
      </c>
      <c r="O1198">
        <v>55</v>
      </c>
      <c r="P1198" t="s">
        <v>709</v>
      </c>
      <c r="Q1198" t="s">
        <v>414</v>
      </c>
      <c r="R1198">
        <v>10</v>
      </c>
      <c r="S1198">
        <v>3.36</v>
      </c>
      <c r="T1198">
        <v>6365.9160000000002</v>
      </c>
      <c r="V1198">
        <v>6365.9160000000002</v>
      </c>
      <c r="W1198" t="s">
        <v>415</v>
      </c>
      <c r="X1198">
        <v>7.3</v>
      </c>
      <c r="Y1198">
        <v>-27.2</v>
      </c>
    </row>
    <row r="1199" spans="1:25" x14ac:dyDescent="0.45">
      <c r="A1199">
        <v>24</v>
      </c>
      <c r="B1199">
        <v>24</v>
      </c>
      <c r="C1199" t="s">
        <v>605</v>
      </c>
      <c r="D1199" t="s">
        <v>414</v>
      </c>
      <c r="E1199">
        <v>10</v>
      </c>
      <c r="F1199">
        <v>3.36</v>
      </c>
      <c r="G1199">
        <v>7881.44</v>
      </c>
      <c r="I1199">
        <v>7881.44</v>
      </c>
      <c r="J1199" t="s">
        <v>403</v>
      </c>
      <c r="K1199">
        <v>9.6</v>
      </c>
      <c r="L1199">
        <v>-3.8</v>
      </c>
      <c r="N1199">
        <v>56</v>
      </c>
      <c r="O1199">
        <v>56</v>
      </c>
      <c r="P1199" t="s">
        <v>710</v>
      </c>
      <c r="Q1199" t="s">
        <v>414</v>
      </c>
      <c r="R1199">
        <v>10</v>
      </c>
      <c r="S1199">
        <v>3.36</v>
      </c>
      <c r="T1199">
        <v>8085.5609999999997</v>
      </c>
      <c r="V1199">
        <v>8085.5609999999997</v>
      </c>
      <c r="W1199" t="s">
        <v>403</v>
      </c>
      <c r="X1199">
        <v>9.1999999999999993</v>
      </c>
      <c r="Y1199">
        <v>-7.6</v>
      </c>
    </row>
    <row r="1200" spans="1:25" x14ac:dyDescent="0.45">
      <c r="A1200">
        <v>25</v>
      </c>
      <c r="B1200">
        <v>25</v>
      </c>
      <c r="C1200" t="s">
        <v>606</v>
      </c>
      <c r="D1200" t="s">
        <v>414</v>
      </c>
      <c r="E1200">
        <v>10</v>
      </c>
      <c r="F1200">
        <v>3.36</v>
      </c>
      <c r="G1200">
        <v>7190.1530000000002</v>
      </c>
      <c r="I1200">
        <v>7190.1530000000002</v>
      </c>
      <c r="J1200" t="s">
        <v>403</v>
      </c>
      <c r="K1200">
        <v>8.8000000000000007</v>
      </c>
      <c r="L1200">
        <v>-12.3</v>
      </c>
      <c r="N1200">
        <v>57</v>
      </c>
      <c r="O1200">
        <v>57</v>
      </c>
      <c r="P1200" t="s">
        <v>711</v>
      </c>
      <c r="Q1200" t="s">
        <v>414</v>
      </c>
      <c r="R1200">
        <v>10</v>
      </c>
      <c r="S1200">
        <v>3.36</v>
      </c>
      <c r="T1200">
        <v>8529.5679999999993</v>
      </c>
      <c r="V1200">
        <v>8529.5679999999993</v>
      </c>
      <c r="W1200" t="s">
        <v>403</v>
      </c>
      <c r="X1200">
        <v>9.6999999999999993</v>
      </c>
      <c r="Y1200">
        <v>-2.5</v>
      </c>
    </row>
    <row r="1201" spans="1:25" x14ac:dyDescent="0.45">
      <c r="A1201">
        <v>26</v>
      </c>
      <c r="B1201">
        <v>26</v>
      </c>
      <c r="C1201" t="s">
        <v>607</v>
      </c>
      <c r="D1201" t="s">
        <v>414</v>
      </c>
      <c r="E1201">
        <v>10</v>
      </c>
      <c r="F1201">
        <v>3.36</v>
      </c>
      <c r="G1201">
        <v>7486.549</v>
      </c>
      <c r="I1201">
        <v>7486.549</v>
      </c>
      <c r="J1201" t="s">
        <v>403</v>
      </c>
      <c r="K1201">
        <v>9.1</v>
      </c>
      <c r="L1201">
        <v>-8.6</v>
      </c>
      <c r="N1201">
        <v>58</v>
      </c>
      <c r="O1201">
        <v>58</v>
      </c>
      <c r="P1201" t="s">
        <v>712</v>
      </c>
      <c r="Q1201" t="s">
        <v>414</v>
      </c>
      <c r="R1201">
        <v>10</v>
      </c>
      <c r="S1201">
        <v>3.36</v>
      </c>
      <c r="T1201">
        <v>8483.2950000000001</v>
      </c>
      <c r="V1201">
        <v>8483.2950000000001</v>
      </c>
      <c r="W1201" t="s">
        <v>403</v>
      </c>
      <c r="X1201">
        <v>9.6999999999999993</v>
      </c>
      <c r="Y1201">
        <v>-3</v>
      </c>
    </row>
    <row r="1202" spans="1:25" x14ac:dyDescent="0.45">
      <c r="A1202">
        <v>27</v>
      </c>
      <c r="B1202">
        <v>27</v>
      </c>
      <c r="C1202" t="s">
        <v>608</v>
      </c>
      <c r="D1202" t="s">
        <v>414</v>
      </c>
      <c r="E1202">
        <v>10</v>
      </c>
      <c r="F1202">
        <v>3.36</v>
      </c>
      <c r="G1202">
        <v>6179.2879999999996</v>
      </c>
      <c r="I1202">
        <v>6179.2879999999996</v>
      </c>
      <c r="J1202" t="s">
        <v>415</v>
      </c>
      <c r="K1202">
        <v>7.5</v>
      </c>
      <c r="L1202">
        <v>-24.6</v>
      </c>
      <c r="N1202">
        <v>59</v>
      </c>
      <c r="O1202">
        <v>59</v>
      </c>
      <c r="P1202" t="s">
        <v>713</v>
      </c>
      <c r="Q1202" t="s">
        <v>414</v>
      </c>
      <c r="R1202">
        <v>10</v>
      </c>
      <c r="S1202">
        <v>3.36</v>
      </c>
      <c r="T1202">
        <v>7121.4049999999997</v>
      </c>
      <c r="V1202">
        <v>7121.4049999999997</v>
      </c>
      <c r="W1202" t="s">
        <v>415</v>
      </c>
      <c r="X1202">
        <v>8.1</v>
      </c>
      <c r="Y1202">
        <v>-18.600000000000001</v>
      </c>
    </row>
    <row r="1203" spans="1:25" x14ac:dyDescent="0.45">
      <c r="A1203">
        <v>28</v>
      </c>
      <c r="B1203">
        <v>28</v>
      </c>
      <c r="C1203" t="s">
        <v>609</v>
      </c>
      <c r="D1203" t="s">
        <v>414</v>
      </c>
      <c r="E1203">
        <v>10</v>
      </c>
      <c r="F1203">
        <v>3.36</v>
      </c>
      <c r="G1203">
        <v>8520.5859999999993</v>
      </c>
      <c r="I1203">
        <v>8520.5859999999993</v>
      </c>
      <c r="J1203" t="s">
        <v>403</v>
      </c>
      <c r="K1203">
        <v>10.4</v>
      </c>
      <c r="L1203">
        <v>4</v>
      </c>
      <c r="N1203">
        <v>60</v>
      </c>
      <c r="O1203">
        <v>60</v>
      </c>
      <c r="P1203" t="s">
        <v>714</v>
      </c>
      <c r="Q1203" t="s">
        <v>414</v>
      </c>
      <c r="R1203">
        <v>10</v>
      </c>
      <c r="S1203">
        <v>3.36</v>
      </c>
      <c r="T1203">
        <v>8674.9740000000002</v>
      </c>
      <c r="V1203">
        <v>8674.9740000000002</v>
      </c>
      <c r="W1203" t="s">
        <v>403</v>
      </c>
      <c r="X1203">
        <v>9.9</v>
      </c>
      <c r="Y1203">
        <v>-0.8</v>
      </c>
    </row>
    <row r="1204" spans="1:25" x14ac:dyDescent="0.45">
      <c r="A1204">
        <v>29</v>
      </c>
      <c r="B1204">
        <v>29</v>
      </c>
      <c r="C1204" t="s">
        <v>610</v>
      </c>
      <c r="D1204" t="s">
        <v>414</v>
      </c>
      <c r="E1204">
        <v>10</v>
      </c>
      <c r="F1204">
        <v>3.36</v>
      </c>
      <c r="G1204">
        <v>8573.2669999999998</v>
      </c>
      <c r="I1204">
        <v>8573.2669999999998</v>
      </c>
      <c r="J1204" t="s">
        <v>403</v>
      </c>
      <c r="K1204">
        <v>10.5</v>
      </c>
      <c r="L1204">
        <v>4.5999999999999996</v>
      </c>
      <c r="N1204">
        <v>61</v>
      </c>
      <c r="O1204">
        <v>61</v>
      </c>
      <c r="P1204" t="s">
        <v>715</v>
      </c>
      <c r="Q1204" t="s">
        <v>414</v>
      </c>
      <c r="R1204">
        <v>10</v>
      </c>
      <c r="S1204">
        <v>3.36</v>
      </c>
      <c r="T1204">
        <v>7332.7780000000002</v>
      </c>
      <c r="V1204">
        <v>7332.7780000000002</v>
      </c>
      <c r="W1204" t="s">
        <v>403</v>
      </c>
      <c r="X1204">
        <v>8.4</v>
      </c>
      <c r="Y1204">
        <v>-16.2</v>
      </c>
    </row>
    <row r="1205" spans="1:25" x14ac:dyDescent="0.45">
      <c r="A1205">
        <v>30</v>
      </c>
      <c r="B1205">
        <v>30</v>
      </c>
      <c r="C1205" t="s">
        <v>611</v>
      </c>
      <c r="D1205" t="s">
        <v>414</v>
      </c>
      <c r="E1205">
        <v>10</v>
      </c>
      <c r="F1205">
        <v>3.36</v>
      </c>
      <c r="G1205">
        <v>7088.2330000000002</v>
      </c>
      <c r="I1205">
        <v>7088.2330000000002</v>
      </c>
      <c r="J1205" t="s">
        <v>403</v>
      </c>
      <c r="K1205">
        <v>8.6</v>
      </c>
      <c r="L1205">
        <v>-13.5</v>
      </c>
      <c r="N1205">
        <v>62</v>
      </c>
      <c r="O1205">
        <v>62</v>
      </c>
      <c r="P1205" t="s">
        <v>716</v>
      </c>
      <c r="Q1205" t="s">
        <v>414</v>
      </c>
      <c r="R1205">
        <v>10</v>
      </c>
      <c r="S1205">
        <v>3.36</v>
      </c>
      <c r="T1205">
        <v>8496.1509999999998</v>
      </c>
      <c r="V1205">
        <v>8496.1509999999998</v>
      </c>
      <c r="W1205" t="s">
        <v>403</v>
      </c>
      <c r="X1205">
        <v>9.6999999999999993</v>
      </c>
      <c r="Y1205">
        <v>-2.9</v>
      </c>
    </row>
    <row r="1206" spans="1:25" x14ac:dyDescent="0.45">
      <c r="A1206">
        <v>31</v>
      </c>
      <c r="B1206">
        <v>31</v>
      </c>
      <c r="C1206" t="s">
        <v>612</v>
      </c>
      <c r="D1206" t="s">
        <v>414</v>
      </c>
      <c r="E1206">
        <v>10</v>
      </c>
      <c r="F1206">
        <v>3.36</v>
      </c>
      <c r="G1206">
        <v>6784.5429999999997</v>
      </c>
      <c r="I1206">
        <v>6784.5429999999997</v>
      </c>
      <c r="J1206" t="s">
        <v>415</v>
      </c>
      <c r="K1206">
        <v>8.3000000000000007</v>
      </c>
      <c r="L1206">
        <v>-17.2</v>
      </c>
      <c r="N1206">
        <v>63</v>
      </c>
      <c r="O1206">
        <v>63</v>
      </c>
      <c r="P1206" t="s">
        <v>717</v>
      </c>
      <c r="Q1206" t="s">
        <v>414</v>
      </c>
      <c r="R1206">
        <v>10</v>
      </c>
      <c r="S1206">
        <v>3.36</v>
      </c>
      <c r="T1206">
        <v>7582.1149999999998</v>
      </c>
      <c r="V1206">
        <v>7582.1149999999998</v>
      </c>
      <c r="W1206" t="s">
        <v>415</v>
      </c>
      <c r="X1206">
        <v>8.6999999999999993</v>
      </c>
      <c r="Y1206">
        <v>-13.3</v>
      </c>
    </row>
    <row r="1207" spans="1:25" x14ac:dyDescent="0.45">
      <c r="A1207">
        <v>32</v>
      </c>
      <c r="B1207">
        <v>32</v>
      </c>
      <c r="C1207" t="s">
        <v>613</v>
      </c>
      <c r="D1207" t="s">
        <v>414</v>
      </c>
      <c r="E1207">
        <v>10</v>
      </c>
      <c r="F1207">
        <v>3.36</v>
      </c>
      <c r="G1207">
        <v>9152.89</v>
      </c>
      <c r="I1207">
        <v>9152.89</v>
      </c>
      <c r="J1207" t="s">
        <v>403</v>
      </c>
      <c r="K1207">
        <v>11.2</v>
      </c>
      <c r="L1207">
        <v>11.7</v>
      </c>
      <c r="N1207">
        <v>64</v>
      </c>
      <c r="O1207">
        <v>64</v>
      </c>
      <c r="P1207" t="s">
        <v>718</v>
      </c>
      <c r="Q1207" t="s">
        <v>414</v>
      </c>
      <c r="R1207">
        <v>10</v>
      </c>
      <c r="S1207">
        <v>3.36</v>
      </c>
      <c r="T1207">
        <v>7891.3310000000001</v>
      </c>
      <c r="V1207">
        <v>7891.3310000000001</v>
      </c>
      <c r="W1207" t="s">
        <v>403</v>
      </c>
      <c r="X1207">
        <v>9</v>
      </c>
      <c r="Y1207">
        <v>-9.8000000000000007</v>
      </c>
    </row>
    <row r="1208" spans="1:25" x14ac:dyDescent="0.45">
      <c r="A1208">
        <v>33</v>
      </c>
      <c r="B1208">
        <v>33</v>
      </c>
      <c r="C1208" t="s">
        <v>614</v>
      </c>
      <c r="D1208" t="s">
        <v>414</v>
      </c>
      <c r="E1208">
        <v>10</v>
      </c>
      <c r="F1208">
        <v>3.36</v>
      </c>
      <c r="G1208">
        <v>8133.924</v>
      </c>
      <c r="I1208">
        <v>8133.924</v>
      </c>
      <c r="J1208" t="s">
        <v>403</v>
      </c>
      <c r="K1208">
        <v>9.9</v>
      </c>
      <c r="L1208">
        <v>-0.7</v>
      </c>
      <c r="N1208">
        <v>65</v>
      </c>
      <c r="O1208">
        <v>65</v>
      </c>
      <c r="P1208" t="s">
        <v>719</v>
      </c>
      <c r="Q1208" t="s">
        <v>414</v>
      </c>
      <c r="R1208">
        <v>10</v>
      </c>
      <c r="S1208">
        <v>3.36</v>
      </c>
      <c r="T1208">
        <v>7099.28</v>
      </c>
      <c r="V1208">
        <v>7099.28</v>
      </c>
      <c r="W1208" t="s">
        <v>415</v>
      </c>
      <c r="X1208">
        <v>8.1</v>
      </c>
      <c r="Y1208">
        <v>-18.899999999999999</v>
      </c>
    </row>
    <row r="1209" spans="1:25" x14ac:dyDescent="0.45">
      <c r="A1209">
        <v>34</v>
      </c>
      <c r="B1209">
        <v>34</v>
      </c>
      <c r="C1209" t="s">
        <v>615</v>
      </c>
      <c r="D1209" t="s">
        <v>414</v>
      </c>
      <c r="E1209">
        <v>10</v>
      </c>
      <c r="F1209">
        <v>3.36</v>
      </c>
      <c r="G1209">
        <v>6152.98</v>
      </c>
      <c r="I1209">
        <v>6152.98</v>
      </c>
      <c r="J1209" t="s">
        <v>415</v>
      </c>
      <c r="K1209">
        <v>7.5</v>
      </c>
      <c r="L1209">
        <v>-24.9</v>
      </c>
      <c r="N1209">
        <v>66</v>
      </c>
      <c r="O1209">
        <v>66</v>
      </c>
      <c r="P1209" t="s">
        <v>720</v>
      </c>
      <c r="Q1209" t="s">
        <v>414</v>
      </c>
      <c r="R1209">
        <v>10</v>
      </c>
      <c r="S1209">
        <v>3.36</v>
      </c>
      <c r="T1209">
        <v>6551.8829999999998</v>
      </c>
      <c r="V1209">
        <v>6551.8829999999998</v>
      </c>
      <c r="W1209" t="s">
        <v>415</v>
      </c>
      <c r="X1209">
        <v>7.5</v>
      </c>
      <c r="Y1209">
        <v>-25.1</v>
      </c>
    </row>
    <row r="1210" spans="1:25" x14ac:dyDescent="0.45">
      <c r="A1210">
        <v>35</v>
      </c>
      <c r="B1210">
        <v>35</v>
      </c>
      <c r="C1210" t="s">
        <v>616</v>
      </c>
      <c r="D1210" t="s">
        <v>414</v>
      </c>
      <c r="E1210">
        <v>10</v>
      </c>
      <c r="F1210">
        <v>3.36</v>
      </c>
      <c r="G1210">
        <v>8364.2900000000009</v>
      </c>
      <c r="I1210">
        <v>8364.2900000000009</v>
      </c>
      <c r="J1210" t="s">
        <v>403</v>
      </c>
      <c r="K1210">
        <v>10.199999999999999</v>
      </c>
      <c r="L1210">
        <v>2.1</v>
      </c>
      <c r="N1210">
        <v>67</v>
      </c>
      <c r="O1210">
        <v>67</v>
      </c>
      <c r="P1210" t="s">
        <v>721</v>
      </c>
      <c r="Q1210" t="s">
        <v>414</v>
      </c>
      <c r="R1210">
        <v>10</v>
      </c>
      <c r="S1210">
        <v>3.36</v>
      </c>
      <c r="T1210">
        <v>7513.3869999999997</v>
      </c>
      <c r="V1210">
        <v>7513.3869999999997</v>
      </c>
      <c r="W1210" t="s">
        <v>403</v>
      </c>
      <c r="X1210">
        <v>8.6</v>
      </c>
      <c r="Y1210">
        <v>-14.1</v>
      </c>
    </row>
    <row r="1211" spans="1:25" x14ac:dyDescent="0.45">
      <c r="A1211">
        <v>36</v>
      </c>
      <c r="B1211">
        <v>36</v>
      </c>
      <c r="C1211" t="s">
        <v>617</v>
      </c>
      <c r="D1211" t="s">
        <v>414</v>
      </c>
      <c r="E1211">
        <v>10</v>
      </c>
      <c r="F1211">
        <v>3.36</v>
      </c>
      <c r="G1211">
        <v>6933.7929999999997</v>
      </c>
      <c r="I1211">
        <v>6933.7929999999997</v>
      </c>
      <c r="J1211" t="s">
        <v>403</v>
      </c>
      <c r="K1211">
        <v>8.5</v>
      </c>
      <c r="L1211">
        <v>-15.4</v>
      </c>
    </row>
    <row r="1212" spans="1:25" x14ac:dyDescent="0.45">
      <c r="A1212">
        <v>37</v>
      </c>
      <c r="B1212">
        <v>37</v>
      </c>
      <c r="C1212" t="s">
        <v>618</v>
      </c>
      <c r="D1212" t="s">
        <v>414</v>
      </c>
      <c r="E1212">
        <v>10</v>
      </c>
      <c r="F1212">
        <v>3.36</v>
      </c>
      <c r="G1212">
        <v>6895.0569999999998</v>
      </c>
      <c r="I1212">
        <v>6895.0569999999998</v>
      </c>
      <c r="J1212" t="s">
        <v>403</v>
      </c>
      <c r="K1212">
        <v>8.4</v>
      </c>
      <c r="L1212">
        <v>-15.9</v>
      </c>
      <c r="N1212" t="s">
        <v>503</v>
      </c>
    </row>
    <row r="1213" spans="1:25" x14ac:dyDescent="0.45">
      <c r="A1213">
        <v>38</v>
      </c>
      <c r="B1213">
        <v>38</v>
      </c>
      <c r="C1213" t="s">
        <v>619</v>
      </c>
      <c r="D1213" t="s">
        <v>414</v>
      </c>
      <c r="E1213">
        <v>10</v>
      </c>
      <c r="F1213">
        <v>3.36</v>
      </c>
      <c r="G1213">
        <v>8706.0329999999994</v>
      </c>
      <c r="I1213">
        <v>8706.0329999999994</v>
      </c>
      <c r="J1213" t="s">
        <v>403</v>
      </c>
      <c r="K1213">
        <v>10.6</v>
      </c>
      <c r="L1213">
        <v>6.2</v>
      </c>
    </row>
    <row r="1214" spans="1:25" x14ac:dyDescent="0.45">
      <c r="A1214">
        <v>39</v>
      </c>
      <c r="B1214">
        <v>39</v>
      </c>
      <c r="C1214" t="s">
        <v>620</v>
      </c>
      <c r="D1214" t="s">
        <v>414</v>
      </c>
      <c r="E1214">
        <v>10</v>
      </c>
      <c r="F1214">
        <v>3.36</v>
      </c>
      <c r="G1214">
        <v>7116.0609999999997</v>
      </c>
      <c r="I1214">
        <v>7116.0609999999997</v>
      </c>
      <c r="J1214" t="s">
        <v>415</v>
      </c>
      <c r="K1214">
        <v>8.6999999999999993</v>
      </c>
      <c r="L1214">
        <v>-13.2</v>
      </c>
      <c r="O1214" t="s">
        <v>389</v>
      </c>
      <c r="P1214" t="s">
        <v>123</v>
      </c>
      <c r="Q1214" t="s">
        <v>390</v>
      </c>
      <c r="R1214" t="s">
        <v>391</v>
      </c>
      <c r="S1214" t="s">
        <v>392</v>
      </c>
      <c r="T1214" t="s">
        <v>393</v>
      </c>
      <c r="U1214" t="s">
        <v>394</v>
      </c>
      <c r="V1214" t="s">
        <v>395</v>
      </c>
      <c r="W1214" t="s">
        <v>396</v>
      </c>
      <c r="X1214" t="s">
        <v>397</v>
      </c>
      <c r="Y1214" t="s">
        <v>398</v>
      </c>
    </row>
    <row r="1215" spans="1:25" x14ac:dyDescent="0.45">
      <c r="A1215">
        <v>40</v>
      </c>
      <c r="B1215">
        <v>40</v>
      </c>
      <c r="C1215" t="s">
        <v>621</v>
      </c>
      <c r="D1215" t="s">
        <v>414</v>
      </c>
      <c r="E1215">
        <v>10</v>
      </c>
      <c r="F1215">
        <v>3.36</v>
      </c>
      <c r="G1215">
        <v>7164.2359999999999</v>
      </c>
      <c r="I1215">
        <v>7164.2359999999999</v>
      </c>
      <c r="J1215" t="s">
        <v>403</v>
      </c>
      <c r="K1215">
        <v>8.6999999999999993</v>
      </c>
      <c r="L1215">
        <v>-12.6</v>
      </c>
      <c r="N1215">
        <v>1</v>
      </c>
      <c r="O1215">
        <v>1</v>
      </c>
      <c r="P1215" t="s">
        <v>655</v>
      </c>
      <c r="Q1215" t="s">
        <v>400</v>
      </c>
      <c r="R1215">
        <v>10</v>
      </c>
      <c r="S1215">
        <v>2.7</v>
      </c>
      <c r="T1215">
        <v>212.15100000000001</v>
      </c>
      <c r="V1215">
        <v>212.15100000000001</v>
      </c>
      <c r="W1215" t="s">
        <v>401</v>
      </c>
      <c r="X1215">
        <v>4</v>
      </c>
      <c r="Y1215">
        <v>-60.3</v>
      </c>
    </row>
    <row r="1216" spans="1:25" x14ac:dyDescent="0.45">
      <c r="A1216">
        <v>41</v>
      </c>
      <c r="B1216">
        <v>41</v>
      </c>
      <c r="C1216" t="s">
        <v>622</v>
      </c>
      <c r="D1216" t="s">
        <v>414</v>
      </c>
      <c r="E1216">
        <v>10</v>
      </c>
      <c r="F1216">
        <v>3.36</v>
      </c>
      <c r="G1216">
        <v>7873.9260000000004</v>
      </c>
      <c r="I1216">
        <v>7873.9260000000004</v>
      </c>
      <c r="J1216" t="s">
        <v>403</v>
      </c>
      <c r="K1216">
        <v>9.6</v>
      </c>
      <c r="L1216">
        <v>-3.9</v>
      </c>
      <c r="N1216">
        <v>2</v>
      </c>
      <c r="O1216">
        <v>2</v>
      </c>
      <c r="P1216" t="s">
        <v>656</v>
      </c>
      <c r="Q1216" t="s">
        <v>400</v>
      </c>
      <c r="R1216">
        <v>10</v>
      </c>
      <c r="S1216">
        <v>2.72</v>
      </c>
      <c r="T1216">
        <v>133.22</v>
      </c>
      <c r="V1216">
        <v>133.22</v>
      </c>
      <c r="W1216" t="s">
        <v>415</v>
      </c>
      <c r="X1216">
        <v>2.5</v>
      </c>
      <c r="Y1216">
        <v>-75</v>
      </c>
    </row>
    <row r="1217" spans="1:25" x14ac:dyDescent="0.45">
      <c r="A1217">
        <v>42</v>
      </c>
      <c r="B1217">
        <v>42</v>
      </c>
      <c r="C1217" t="s">
        <v>623</v>
      </c>
      <c r="D1217" t="s">
        <v>414</v>
      </c>
      <c r="E1217">
        <v>10</v>
      </c>
      <c r="F1217">
        <v>3.36</v>
      </c>
      <c r="G1217">
        <v>7077.2169999999996</v>
      </c>
      <c r="I1217">
        <v>7077.2169999999996</v>
      </c>
      <c r="J1217" t="s">
        <v>415</v>
      </c>
      <c r="K1217">
        <v>8.6</v>
      </c>
      <c r="L1217">
        <v>-13.6</v>
      </c>
      <c r="N1217">
        <v>3</v>
      </c>
      <c r="O1217">
        <v>3</v>
      </c>
      <c r="P1217" t="s">
        <v>657</v>
      </c>
      <c r="Q1217" t="s">
        <v>400</v>
      </c>
      <c r="R1217">
        <v>10</v>
      </c>
      <c r="S1217">
        <v>2.82</v>
      </c>
      <c r="T1217">
        <v>1102.1690000000001</v>
      </c>
      <c r="V1217">
        <v>1102.1690000000001</v>
      </c>
      <c r="W1217" t="s">
        <v>401</v>
      </c>
      <c r="X1217">
        <v>20.7</v>
      </c>
      <c r="Y1217">
        <v>106.5</v>
      </c>
    </row>
    <row r="1218" spans="1:25" x14ac:dyDescent="0.45">
      <c r="A1218">
        <v>43</v>
      </c>
      <c r="B1218">
        <v>43</v>
      </c>
      <c r="C1218" t="s">
        <v>624</v>
      </c>
      <c r="D1218" t="s">
        <v>414</v>
      </c>
      <c r="E1218">
        <v>10</v>
      </c>
      <c r="F1218">
        <v>3.36</v>
      </c>
      <c r="G1218">
        <v>6644.3519999999999</v>
      </c>
      <c r="I1218">
        <v>6644.3519999999999</v>
      </c>
      <c r="J1218" t="s">
        <v>415</v>
      </c>
      <c r="K1218">
        <v>8.1</v>
      </c>
      <c r="L1218">
        <v>-18.899999999999999</v>
      </c>
      <c r="N1218">
        <v>4</v>
      </c>
      <c r="O1218">
        <v>4</v>
      </c>
      <c r="P1218" t="s">
        <v>658</v>
      </c>
      <c r="Q1218" t="s">
        <v>400</v>
      </c>
      <c r="R1218">
        <v>10</v>
      </c>
      <c r="S1218">
        <v>2.73</v>
      </c>
      <c r="T1218">
        <v>472.21600000000001</v>
      </c>
      <c r="V1218">
        <v>472.21600000000001</v>
      </c>
      <c r="W1218" t="s">
        <v>415</v>
      </c>
      <c r="X1218">
        <v>8.8000000000000007</v>
      </c>
      <c r="Y1218">
        <v>-11.5</v>
      </c>
    </row>
    <row r="1219" spans="1:25" x14ac:dyDescent="0.45">
      <c r="A1219">
        <v>44</v>
      </c>
      <c r="B1219">
        <v>44</v>
      </c>
      <c r="C1219" t="s">
        <v>625</v>
      </c>
      <c r="D1219" t="s">
        <v>414</v>
      </c>
      <c r="E1219">
        <v>10</v>
      </c>
      <c r="F1219">
        <v>3.36</v>
      </c>
      <c r="G1219">
        <v>5047.9430000000002</v>
      </c>
      <c r="I1219">
        <v>5047.9430000000002</v>
      </c>
      <c r="J1219" t="s">
        <v>412</v>
      </c>
      <c r="K1219">
        <v>6.2</v>
      </c>
      <c r="L1219">
        <v>-38.4</v>
      </c>
      <c r="N1219">
        <v>5</v>
      </c>
      <c r="O1219">
        <v>5</v>
      </c>
      <c r="P1219" t="s">
        <v>659</v>
      </c>
      <c r="Q1219" t="s">
        <v>400</v>
      </c>
      <c r="R1219">
        <v>10</v>
      </c>
      <c r="S1219">
        <v>2.72</v>
      </c>
      <c r="T1219">
        <v>604.23</v>
      </c>
      <c r="V1219">
        <v>604.23</v>
      </c>
      <c r="W1219" t="s">
        <v>415</v>
      </c>
      <c r="X1219">
        <v>11.3</v>
      </c>
      <c r="Y1219">
        <v>13.2</v>
      </c>
    </row>
    <row r="1220" spans="1:25" x14ac:dyDescent="0.45">
      <c r="A1220">
        <v>45</v>
      </c>
      <c r="B1220">
        <v>45</v>
      </c>
      <c r="C1220" t="s">
        <v>626</v>
      </c>
      <c r="D1220" t="s">
        <v>414</v>
      </c>
      <c r="E1220">
        <v>10</v>
      </c>
      <c r="F1220">
        <v>3.36</v>
      </c>
      <c r="G1220">
        <v>5203.2730000000001</v>
      </c>
      <c r="I1220">
        <v>5203.2730000000001</v>
      </c>
      <c r="J1220" t="s">
        <v>403</v>
      </c>
      <c r="K1220">
        <v>6.3</v>
      </c>
      <c r="L1220">
        <v>-36.5</v>
      </c>
      <c r="N1220">
        <v>6</v>
      </c>
      <c r="O1220">
        <v>6</v>
      </c>
      <c r="P1220" t="s">
        <v>660</v>
      </c>
      <c r="Q1220" t="s">
        <v>400</v>
      </c>
      <c r="R1220">
        <v>10</v>
      </c>
      <c r="S1220">
        <v>2.73</v>
      </c>
      <c r="T1220">
        <v>495.11</v>
      </c>
      <c r="V1220">
        <v>495.11</v>
      </c>
      <c r="W1220" t="s">
        <v>403</v>
      </c>
      <c r="X1220">
        <v>9.3000000000000007</v>
      </c>
      <c r="Y1220">
        <v>-7.2</v>
      </c>
    </row>
    <row r="1221" spans="1:25" x14ac:dyDescent="0.45">
      <c r="A1221">
        <v>46</v>
      </c>
      <c r="B1221">
        <v>46</v>
      </c>
      <c r="C1221" t="s">
        <v>627</v>
      </c>
      <c r="D1221" t="s">
        <v>414</v>
      </c>
      <c r="E1221">
        <v>10</v>
      </c>
      <c r="F1221">
        <v>3.36</v>
      </c>
      <c r="G1221">
        <v>6413.884</v>
      </c>
      <c r="I1221">
        <v>6413.884</v>
      </c>
      <c r="J1221" t="s">
        <v>415</v>
      </c>
      <c r="K1221">
        <v>7.8</v>
      </c>
      <c r="L1221">
        <v>-21.7</v>
      </c>
      <c r="N1221">
        <v>7</v>
      </c>
      <c r="O1221">
        <v>7</v>
      </c>
      <c r="P1221" t="s">
        <v>661</v>
      </c>
      <c r="Q1221" t="s">
        <v>400</v>
      </c>
      <c r="R1221">
        <v>10</v>
      </c>
      <c r="S1221">
        <v>2.72</v>
      </c>
      <c r="T1221">
        <v>716.97799999999995</v>
      </c>
      <c r="V1221">
        <v>716.97799999999995</v>
      </c>
      <c r="W1221" t="s">
        <v>412</v>
      </c>
      <c r="X1221">
        <v>13.4</v>
      </c>
      <c r="Y1221">
        <v>34.299999999999997</v>
      </c>
    </row>
    <row r="1222" spans="1:25" x14ac:dyDescent="0.45">
      <c r="A1222">
        <v>47</v>
      </c>
      <c r="B1222">
        <v>47</v>
      </c>
      <c r="C1222" t="s">
        <v>628</v>
      </c>
      <c r="D1222" t="s">
        <v>414</v>
      </c>
      <c r="E1222">
        <v>10</v>
      </c>
      <c r="F1222">
        <v>3.36</v>
      </c>
      <c r="G1222">
        <v>6185.8130000000001</v>
      </c>
      <c r="I1222">
        <v>6185.8130000000001</v>
      </c>
      <c r="J1222" t="s">
        <v>403</v>
      </c>
      <c r="K1222">
        <v>7.5</v>
      </c>
      <c r="L1222">
        <v>-24.5</v>
      </c>
      <c r="N1222">
        <v>8</v>
      </c>
      <c r="O1222">
        <v>8</v>
      </c>
      <c r="P1222" t="s">
        <v>662</v>
      </c>
      <c r="Q1222" t="s">
        <v>414</v>
      </c>
      <c r="R1222">
        <v>10</v>
      </c>
      <c r="S1222">
        <v>2.76</v>
      </c>
      <c r="T1222">
        <v>4635.8310000000001</v>
      </c>
      <c r="V1222">
        <v>4635.8310000000001</v>
      </c>
      <c r="W1222" t="s">
        <v>403</v>
      </c>
      <c r="X1222">
        <v>86.9</v>
      </c>
      <c r="Y1222">
        <v>768.6</v>
      </c>
    </row>
    <row r="1223" spans="1:25" x14ac:dyDescent="0.45">
      <c r="A1223">
        <v>48</v>
      </c>
      <c r="B1223">
        <v>48</v>
      </c>
      <c r="C1223" t="s">
        <v>629</v>
      </c>
      <c r="D1223" t="s">
        <v>414</v>
      </c>
      <c r="E1223">
        <v>10</v>
      </c>
      <c r="F1223">
        <v>3.36</v>
      </c>
      <c r="G1223">
        <v>7457.5619999999999</v>
      </c>
      <c r="I1223">
        <v>7457.5619999999999</v>
      </c>
      <c r="J1223" t="s">
        <v>403</v>
      </c>
      <c r="K1223">
        <v>9.1</v>
      </c>
      <c r="L1223">
        <v>-9</v>
      </c>
      <c r="N1223">
        <v>9</v>
      </c>
      <c r="O1223">
        <v>9</v>
      </c>
      <c r="P1223" t="s">
        <v>663</v>
      </c>
      <c r="Q1223" t="s">
        <v>414</v>
      </c>
      <c r="R1223">
        <v>10</v>
      </c>
      <c r="S1223">
        <v>2.76</v>
      </c>
      <c r="T1223">
        <v>2729.3249999999998</v>
      </c>
      <c r="V1223">
        <v>2729.3249999999998</v>
      </c>
      <c r="W1223" t="s">
        <v>403</v>
      </c>
      <c r="X1223">
        <v>51.1</v>
      </c>
      <c r="Y1223">
        <v>411.4</v>
      </c>
    </row>
    <row r="1224" spans="1:25" x14ac:dyDescent="0.45">
      <c r="A1224">
        <v>49</v>
      </c>
      <c r="B1224">
        <v>49</v>
      </c>
      <c r="C1224" t="s">
        <v>630</v>
      </c>
      <c r="D1224" t="s">
        <v>414</v>
      </c>
      <c r="E1224">
        <v>10</v>
      </c>
      <c r="F1224">
        <v>3.36</v>
      </c>
      <c r="G1224">
        <v>6400.1080000000002</v>
      </c>
      <c r="I1224">
        <v>6400.1080000000002</v>
      </c>
      <c r="J1224" t="s">
        <v>403</v>
      </c>
      <c r="K1224">
        <v>7.8</v>
      </c>
      <c r="L1224">
        <v>-21.9</v>
      </c>
      <c r="N1224">
        <v>10</v>
      </c>
      <c r="O1224">
        <v>10</v>
      </c>
      <c r="P1224" t="s">
        <v>664</v>
      </c>
      <c r="Q1224" t="s">
        <v>414</v>
      </c>
      <c r="R1224">
        <v>10</v>
      </c>
      <c r="S1224">
        <v>2.76</v>
      </c>
      <c r="T1224">
        <v>4597.8</v>
      </c>
      <c r="V1224">
        <v>4597.8</v>
      </c>
      <c r="W1224" t="s">
        <v>401</v>
      </c>
      <c r="X1224">
        <v>86.1</v>
      </c>
      <c r="Y1224">
        <v>761.5</v>
      </c>
    </row>
    <row r="1225" spans="1:25" x14ac:dyDescent="0.45">
      <c r="A1225">
        <v>50</v>
      </c>
      <c r="B1225">
        <v>50</v>
      </c>
      <c r="C1225" t="s">
        <v>631</v>
      </c>
      <c r="D1225" t="s">
        <v>414</v>
      </c>
      <c r="E1225">
        <v>10</v>
      </c>
      <c r="F1225">
        <v>3.36</v>
      </c>
      <c r="G1225">
        <v>7165.15</v>
      </c>
      <c r="I1225">
        <v>7165.15</v>
      </c>
      <c r="J1225" t="s">
        <v>403</v>
      </c>
      <c r="K1225">
        <v>8.6999999999999993</v>
      </c>
      <c r="L1225">
        <v>-12.6</v>
      </c>
      <c r="N1225">
        <v>11</v>
      </c>
      <c r="O1225">
        <v>11</v>
      </c>
      <c r="P1225" t="s">
        <v>665</v>
      </c>
      <c r="Q1225" t="s">
        <v>414</v>
      </c>
      <c r="R1225">
        <v>10</v>
      </c>
      <c r="S1225">
        <v>2.76</v>
      </c>
      <c r="T1225">
        <v>1985.5650000000001</v>
      </c>
      <c r="V1225">
        <v>1985.5650000000001</v>
      </c>
      <c r="W1225" t="s">
        <v>403</v>
      </c>
      <c r="X1225">
        <v>37.200000000000003</v>
      </c>
      <c r="Y1225">
        <v>272</v>
      </c>
    </row>
    <row r="1226" spans="1:25" x14ac:dyDescent="0.45">
      <c r="A1226">
        <v>51</v>
      </c>
      <c r="B1226">
        <v>51</v>
      </c>
      <c r="C1226" t="s">
        <v>632</v>
      </c>
      <c r="D1226" t="s">
        <v>414</v>
      </c>
      <c r="E1226">
        <v>10</v>
      </c>
      <c r="F1226">
        <v>3.36</v>
      </c>
      <c r="G1226">
        <v>7183.2150000000001</v>
      </c>
      <c r="I1226">
        <v>7183.2150000000001</v>
      </c>
      <c r="J1226" t="s">
        <v>412</v>
      </c>
      <c r="K1226">
        <v>8.8000000000000007</v>
      </c>
      <c r="L1226">
        <v>-12.3</v>
      </c>
      <c r="N1226">
        <v>12</v>
      </c>
      <c r="O1226">
        <v>12</v>
      </c>
      <c r="P1226" t="s">
        <v>666</v>
      </c>
      <c r="Q1226" t="s">
        <v>414</v>
      </c>
      <c r="R1226">
        <v>10</v>
      </c>
      <c r="S1226">
        <v>2.76</v>
      </c>
      <c r="T1226">
        <v>2415.08</v>
      </c>
      <c r="V1226">
        <v>2415.08</v>
      </c>
      <c r="W1226" t="s">
        <v>401</v>
      </c>
      <c r="X1226">
        <v>45.2</v>
      </c>
      <c r="Y1226">
        <v>352.5</v>
      </c>
    </row>
    <row r="1227" spans="1:25" x14ac:dyDescent="0.45">
      <c r="A1227">
        <v>52</v>
      </c>
      <c r="B1227">
        <v>52</v>
      </c>
      <c r="C1227" t="s">
        <v>633</v>
      </c>
      <c r="D1227" t="s">
        <v>414</v>
      </c>
      <c r="E1227">
        <v>10</v>
      </c>
      <c r="F1227">
        <v>3.36</v>
      </c>
      <c r="G1227">
        <v>6947.9660000000003</v>
      </c>
      <c r="I1227">
        <v>6947.9660000000003</v>
      </c>
      <c r="J1227" t="s">
        <v>415</v>
      </c>
      <c r="K1227">
        <v>8.5</v>
      </c>
      <c r="L1227">
        <v>-15.2</v>
      </c>
      <c r="N1227">
        <v>13</v>
      </c>
      <c r="O1227">
        <v>13</v>
      </c>
      <c r="P1227" t="s">
        <v>667</v>
      </c>
      <c r="Q1227" t="s">
        <v>414</v>
      </c>
      <c r="R1227">
        <v>10</v>
      </c>
      <c r="S1227">
        <v>2.76</v>
      </c>
      <c r="T1227">
        <v>3178.7370000000001</v>
      </c>
      <c r="V1227">
        <v>3178.7370000000001</v>
      </c>
      <c r="W1227" t="s">
        <v>401</v>
      </c>
      <c r="X1227">
        <v>59.6</v>
      </c>
      <c r="Y1227">
        <v>495.6</v>
      </c>
    </row>
    <row r="1228" spans="1:25" x14ac:dyDescent="0.45">
      <c r="A1228">
        <v>53</v>
      </c>
      <c r="B1228">
        <v>53</v>
      </c>
      <c r="C1228" t="s">
        <v>634</v>
      </c>
      <c r="D1228" t="s">
        <v>414</v>
      </c>
      <c r="E1228">
        <v>10</v>
      </c>
      <c r="F1228">
        <v>3.36</v>
      </c>
      <c r="G1228">
        <v>7074.3050000000003</v>
      </c>
      <c r="I1228">
        <v>7074.3050000000003</v>
      </c>
      <c r="J1228" t="s">
        <v>403</v>
      </c>
      <c r="K1228">
        <v>8.6</v>
      </c>
      <c r="L1228">
        <v>-13.7</v>
      </c>
      <c r="N1228">
        <v>14</v>
      </c>
      <c r="O1228">
        <v>14</v>
      </c>
      <c r="P1228" t="s">
        <v>668</v>
      </c>
      <c r="Q1228" t="s">
        <v>414</v>
      </c>
      <c r="R1228">
        <v>10</v>
      </c>
      <c r="S1228">
        <v>2.76</v>
      </c>
      <c r="T1228">
        <v>4458.92</v>
      </c>
      <c r="V1228">
        <v>4458.92</v>
      </c>
      <c r="W1228" t="s">
        <v>403</v>
      </c>
      <c r="X1228">
        <v>83.5</v>
      </c>
      <c r="Y1228">
        <v>735.4</v>
      </c>
    </row>
    <row r="1229" spans="1:25" x14ac:dyDescent="0.45">
      <c r="A1229">
        <v>54</v>
      </c>
      <c r="B1229">
        <v>54</v>
      </c>
      <c r="C1229" t="s">
        <v>635</v>
      </c>
      <c r="D1229" t="s">
        <v>414</v>
      </c>
      <c r="E1229">
        <v>10</v>
      </c>
      <c r="F1229">
        <v>3.36</v>
      </c>
      <c r="G1229">
        <v>6569.07</v>
      </c>
      <c r="I1229">
        <v>6569.07</v>
      </c>
      <c r="J1229" t="s">
        <v>403</v>
      </c>
      <c r="K1229">
        <v>8</v>
      </c>
      <c r="L1229">
        <v>-19.8</v>
      </c>
      <c r="N1229">
        <v>15</v>
      </c>
      <c r="O1229">
        <v>15</v>
      </c>
      <c r="P1229" t="s">
        <v>669</v>
      </c>
      <c r="Q1229" t="s">
        <v>414</v>
      </c>
      <c r="R1229">
        <v>10</v>
      </c>
      <c r="S1229">
        <v>2.76</v>
      </c>
      <c r="T1229">
        <v>3793.7689999999998</v>
      </c>
      <c r="V1229">
        <v>3793.7689999999998</v>
      </c>
      <c r="W1229" t="s">
        <v>403</v>
      </c>
      <c r="X1229">
        <v>71.099999999999994</v>
      </c>
      <c r="Y1229">
        <v>610.79999999999995</v>
      </c>
    </row>
    <row r="1230" spans="1:25" x14ac:dyDescent="0.45">
      <c r="A1230">
        <v>55</v>
      </c>
      <c r="B1230">
        <v>55</v>
      </c>
      <c r="C1230" t="s">
        <v>636</v>
      </c>
      <c r="D1230" t="s">
        <v>414</v>
      </c>
      <c r="E1230">
        <v>10</v>
      </c>
      <c r="F1230">
        <v>3.36</v>
      </c>
      <c r="G1230">
        <v>6778.9539999999997</v>
      </c>
      <c r="I1230">
        <v>6778.9539999999997</v>
      </c>
      <c r="J1230" t="s">
        <v>415</v>
      </c>
      <c r="K1230">
        <v>8.3000000000000007</v>
      </c>
      <c r="L1230">
        <v>-17.3</v>
      </c>
      <c r="N1230">
        <v>16</v>
      </c>
      <c r="O1230">
        <v>16</v>
      </c>
      <c r="P1230" t="s">
        <v>670</v>
      </c>
      <c r="Q1230" t="s">
        <v>414</v>
      </c>
      <c r="R1230">
        <v>10</v>
      </c>
      <c r="S1230">
        <v>2.76</v>
      </c>
      <c r="T1230">
        <v>1611.0029999999999</v>
      </c>
      <c r="V1230">
        <v>1611.0029999999999</v>
      </c>
      <c r="W1230" t="s">
        <v>401</v>
      </c>
      <c r="X1230">
        <v>30.2</v>
      </c>
      <c r="Y1230">
        <v>201.8</v>
      </c>
    </row>
    <row r="1231" spans="1:25" x14ac:dyDescent="0.45">
      <c r="A1231">
        <v>56</v>
      </c>
      <c r="B1231">
        <v>56</v>
      </c>
      <c r="C1231" t="s">
        <v>637</v>
      </c>
      <c r="D1231" t="s">
        <v>414</v>
      </c>
      <c r="E1231">
        <v>10</v>
      </c>
      <c r="F1231">
        <v>3.36</v>
      </c>
      <c r="G1231">
        <v>7502.857</v>
      </c>
      <c r="I1231">
        <v>7502.857</v>
      </c>
      <c r="J1231" t="s">
        <v>415</v>
      </c>
      <c r="K1231">
        <v>9.1999999999999993</v>
      </c>
      <c r="L1231">
        <v>-8.4</v>
      </c>
      <c r="N1231">
        <v>17</v>
      </c>
      <c r="O1231">
        <v>17</v>
      </c>
      <c r="P1231" t="s">
        <v>671</v>
      </c>
      <c r="Q1231" t="s">
        <v>414</v>
      </c>
      <c r="R1231">
        <v>10</v>
      </c>
      <c r="S1231">
        <v>2.76</v>
      </c>
      <c r="T1231">
        <v>2557.7739999999999</v>
      </c>
      <c r="V1231">
        <v>2557.7739999999999</v>
      </c>
      <c r="W1231" t="s">
        <v>401</v>
      </c>
      <c r="X1231">
        <v>47.9</v>
      </c>
      <c r="Y1231">
        <v>379.2</v>
      </c>
    </row>
    <row r="1232" spans="1:25" x14ac:dyDescent="0.45">
      <c r="A1232">
        <v>57</v>
      </c>
      <c r="B1232">
        <v>57</v>
      </c>
      <c r="C1232" t="s">
        <v>638</v>
      </c>
      <c r="D1232" t="s">
        <v>414</v>
      </c>
      <c r="E1232">
        <v>10</v>
      </c>
      <c r="F1232">
        <v>3.36</v>
      </c>
      <c r="G1232">
        <v>7761.3119999999999</v>
      </c>
      <c r="I1232">
        <v>7761.3119999999999</v>
      </c>
      <c r="J1232" t="s">
        <v>403</v>
      </c>
      <c r="K1232">
        <v>9.5</v>
      </c>
      <c r="L1232">
        <v>-5.3</v>
      </c>
      <c r="N1232">
        <v>18</v>
      </c>
      <c r="O1232">
        <v>18</v>
      </c>
      <c r="P1232" t="s">
        <v>672</v>
      </c>
      <c r="Q1232" t="s">
        <v>414</v>
      </c>
      <c r="R1232">
        <v>10</v>
      </c>
      <c r="S1232">
        <v>2.76</v>
      </c>
      <c r="T1232">
        <v>3311.0729999999999</v>
      </c>
      <c r="V1232">
        <v>3311.0729999999999</v>
      </c>
      <c r="W1232" t="s">
        <v>403</v>
      </c>
      <c r="X1232">
        <v>62</v>
      </c>
      <c r="Y1232">
        <v>520.4</v>
      </c>
    </row>
    <row r="1233" spans="1:25" x14ac:dyDescent="0.45">
      <c r="A1233">
        <v>58</v>
      </c>
      <c r="B1233">
        <v>58</v>
      </c>
      <c r="C1233" t="s">
        <v>639</v>
      </c>
      <c r="D1233" t="s">
        <v>414</v>
      </c>
      <c r="E1233">
        <v>10</v>
      </c>
      <c r="F1233">
        <v>3.36</v>
      </c>
      <c r="G1233">
        <v>7879.0559999999996</v>
      </c>
      <c r="I1233">
        <v>7879.0559999999996</v>
      </c>
      <c r="J1233" t="s">
        <v>415</v>
      </c>
      <c r="K1233">
        <v>9.6</v>
      </c>
      <c r="L1233">
        <v>-3.9</v>
      </c>
      <c r="N1233">
        <v>19</v>
      </c>
      <c r="O1233">
        <v>19</v>
      </c>
      <c r="P1233" t="s">
        <v>673</v>
      </c>
      <c r="Q1233" t="s">
        <v>414</v>
      </c>
      <c r="R1233">
        <v>10</v>
      </c>
      <c r="S1233">
        <v>2.76</v>
      </c>
      <c r="T1233">
        <v>2558.8270000000002</v>
      </c>
      <c r="V1233">
        <v>2558.8270000000002</v>
      </c>
      <c r="W1233" t="s">
        <v>401</v>
      </c>
      <c r="X1233">
        <v>47.9</v>
      </c>
      <c r="Y1233">
        <v>379.4</v>
      </c>
    </row>
    <row r="1234" spans="1:25" x14ac:dyDescent="0.45">
      <c r="A1234">
        <v>59</v>
      </c>
      <c r="B1234">
        <v>59</v>
      </c>
      <c r="C1234" t="s">
        <v>640</v>
      </c>
      <c r="D1234" t="s">
        <v>414</v>
      </c>
      <c r="E1234">
        <v>10</v>
      </c>
      <c r="F1234">
        <v>3.36</v>
      </c>
      <c r="G1234">
        <v>7626.4579999999996</v>
      </c>
      <c r="I1234">
        <v>7626.4579999999996</v>
      </c>
      <c r="J1234" t="s">
        <v>403</v>
      </c>
      <c r="K1234">
        <v>9.3000000000000007</v>
      </c>
      <c r="L1234">
        <v>-6.9</v>
      </c>
      <c r="N1234">
        <v>20</v>
      </c>
      <c r="O1234">
        <v>20</v>
      </c>
      <c r="P1234" t="s">
        <v>674</v>
      </c>
      <c r="Q1234" t="s">
        <v>414</v>
      </c>
      <c r="R1234">
        <v>10</v>
      </c>
      <c r="S1234">
        <v>2.76</v>
      </c>
      <c r="T1234">
        <v>2109.8490000000002</v>
      </c>
      <c r="V1234">
        <v>2109.8490000000002</v>
      </c>
      <c r="W1234" t="s">
        <v>401</v>
      </c>
      <c r="X1234">
        <v>39.5</v>
      </c>
      <c r="Y1234">
        <v>295.3</v>
      </c>
    </row>
    <row r="1235" spans="1:25" x14ac:dyDescent="0.45">
      <c r="A1235">
        <v>60</v>
      </c>
      <c r="B1235">
        <v>60</v>
      </c>
      <c r="C1235" t="s">
        <v>641</v>
      </c>
      <c r="D1235" t="s">
        <v>414</v>
      </c>
      <c r="E1235">
        <v>10</v>
      </c>
      <c r="F1235">
        <v>3.36</v>
      </c>
      <c r="G1235">
        <v>7456.9309999999996</v>
      </c>
      <c r="I1235">
        <v>7456.9309999999996</v>
      </c>
      <c r="J1235" t="s">
        <v>415</v>
      </c>
      <c r="K1235">
        <v>9.1</v>
      </c>
      <c r="L1235">
        <v>-9</v>
      </c>
      <c r="N1235">
        <v>21</v>
      </c>
      <c r="O1235">
        <v>21</v>
      </c>
      <c r="P1235" t="s">
        <v>675</v>
      </c>
      <c r="Q1235" t="s">
        <v>414</v>
      </c>
      <c r="R1235">
        <v>10</v>
      </c>
      <c r="S1235">
        <v>2.76</v>
      </c>
      <c r="T1235">
        <v>2976.7190000000001</v>
      </c>
      <c r="V1235">
        <v>2976.7190000000001</v>
      </c>
      <c r="W1235" t="s">
        <v>403</v>
      </c>
      <c r="X1235">
        <v>55.8</v>
      </c>
      <c r="Y1235">
        <v>457.7</v>
      </c>
    </row>
    <row r="1236" spans="1:25" x14ac:dyDescent="0.45">
      <c r="A1236">
        <v>61</v>
      </c>
      <c r="B1236">
        <v>61</v>
      </c>
      <c r="C1236" t="s">
        <v>642</v>
      </c>
      <c r="D1236" t="s">
        <v>414</v>
      </c>
      <c r="E1236">
        <v>10</v>
      </c>
      <c r="F1236">
        <v>3.36</v>
      </c>
      <c r="G1236">
        <v>7528.6239999999998</v>
      </c>
      <c r="I1236">
        <v>7528.6239999999998</v>
      </c>
      <c r="J1236" t="s">
        <v>403</v>
      </c>
      <c r="K1236">
        <v>9.1999999999999993</v>
      </c>
      <c r="L1236">
        <v>-8.1</v>
      </c>
      <c r="N1236">
        <v>22</v>
      </c>
      <c r="O1236">
        <v>22</v>
      </c>
      <c r="P1236" t="s">
        <v>676</v>
      </c>
      <c r="Q1236" t="s">
        <v>414</v>
      </c>
      <c r="R1236">
        <v>10</v>
      </c>
      <c r="S1236">
        <v>2.76</v>
      </c>
      <c r="T1236">
        <v>1713.8150000000001</v>
      </c>
      <c r="V1236">
        <v>1713.8150000000001</v>
      </c>
      <c r="W1236" t="s">
        <v>403</v>
      </c>
      <c r="X1236">
        <v>32.1</v>
      </c>
      <c r="Y1236">
        <v>221.1</v>
      </c>
    </row>
    <row r="1237" spans="1:25" x14ac:dyDescent="0.45">
      <c r="A1237">
        <v>62</v>
      </c>
      <c r="B1237">
        <v>62</v>
      </c>
      <c r="C1237" t="s">
        <v>643</v>
      </c>
      <c r="D1237" t="s">
        <v>414</v>
      </c>
      <c r="E1237">
        <v>10</v>
      </c>
      <c r="F1237">
        <v>3.36</v>
      </c>
      <c r="G1237">
        <v>8625.77</v>
      </c>
      <c r="I1237">
        <v>8625.77</v>
      </c>
      <c r="J1237" t="s">
        <v>403</v>
      </c>
      <c r="K1237">
        <v>10.5</v>
      </c>
      <c r="L1237">
        <v>5.3</v>
      </c>
      <c r="N1237">
        <v>23</v>
      </c>
      <c r="O1237">
        <v>23</v>
      </c>
      <c r="P1237" t="s">
        <v>677</v>
      </c>
      <c r="Q1237" t="s">
        <v>414</v>
      </c>
      <c r="R1237">
        <v>10</v>
      </c>
      <c r="S1237">
        <v>2.76</v>
      </c>
      <c r="T1237">
        <v>2543.6179999999999</v>
      </c>
      <c r="V1237">
        <v>2543.6179999999999</v>
      </c>
      <c r="W1237" t="s">
        <v>403</v>
      </c>
      <c r="X1237">
        <v>47.7</v>
      </c>
      <c r="Y1237">
        <v>376.6</v>
      </c>
    </row>
    <row r="1238" spans="1:25" x14ac:dyDescent="0.45">
      <c r="A1238">
        <v>63</v>
      </c>
      <c r="B1238">
        <v>63</v>
      </c>
      <c r="C1238" t="s">
        <v>644</v>
      </c>
      <c r="D1238" t="s">
        <v>414</v>
      </c>
      <c r="E1238">
        <v>10</v>
      </c>
      <c r="F1238">
        <v>3.36</v>
      </c>
      <c r="G1238">
        <v>8287.348</v>
      </c>
      <c r="I1238">
        <v>8287.348</v>
      </c>
      <c r="J1238" t="s">
        <v>401</v>
      </c>
      <c r="K1238">
        <v>10.1</v>
      </c>
      <c r="L1238">
        <v>1.1000000000000001</v>
      </c>
      <c r="N1238">
        <v>24</v>
      </c>
      <c r="O1238">
        <v>24</v>
      </c>
      <c r="P1238" t="s">
        <v>678</v>
      </c>
      <c r="Q1238" t="s">
        <v>414</v>
      </c>
      <c r="R1238">
        <v>10</v>
      </c>
      <c r="S1238">
        <v>2.76</v>
      </c>
      <c r="T1238">
        <v>1373.9380000000001</v>
      </c>
      <c r="V1238">
        <v>1373.9380000000001</v>
      </c>
      <c r="W1238" t="s">
        <v>403</v>
      </c>
      <c r="X1238">
        <v>25.7</v>
      </c>
      <c r="Y1238">
        <v>157.4</v>
      </c>
    </row>
    <row r="1239" spans="1:25" x14ac:dyDescent="0.45">
      <c r="A1239">
        <v>64</v>
      </c>
      <c r="B1239">
        <v>64</v>
      </c>
      <c r="C1239" t="s">
        <v>645</v>
      </c>
      <c r="D1239" t="s">
        <v>414</v>
      </c>
      <c r="E1239">
        <v>10</v>
      </c>
      <c r="F1239">
        <v>3.36</v>
      </c>
      <c r="G1239">
        <v>7514.6710000000003</v>
      </c>
      <c r="I1239">
        <v>7514.6710000000003</v>
      </c>
      <c r="J1239" t="s">
        <v>415</v>
      </c>
      <c r="K1239">
        <v>9.1999999999999993</v>
      </c>
      <c r="L1239">
        <v>-8.3000000000000007</v>
      </c>
      <c r="N1239">
        <v>25</v>
      </c>
      <c r="O1239">
        <v>25</v>
      </c>
      <c r="P1239" t="s">
        <v>679</v>
      </c>
      <c r="Q1239" t="s">
        <v>414</v>
      </c>
      <c r="R1239">
        <v>10</v>
      </c>
      <c r="S1239">
        <v>2.76</v>
      </c>
      <c r="T1239">
        <v>1086.998</v>
      </c>
      <c r="V1239">
        <v>1086.998</v>
      </c>
      <c r="W1239" t="s">
        <v>401</v>
      </c>
      <c r="X1239">
        <v>20.399999999999999</v>
      </c>
      <c r="Y1239">
        <v>103.7</v>
      </c>
    </row>
    <row r="1240" spans="1:25" x14ac:dyDescent="0.45">
      <c r="A1240">
        <v>65</v>
      </c>
      <c r="B1240">
        <v>65</v>
      </c>
      <c r="C1240" t="s">
        <v>646</v>
      </c>
      <c r="D1240" t="s">
        <v>414</v>
      </c>
      <c r="E1240">
        <v>10</v>
      </c>
      <c r="F1240">
        <v>3.36</v>
      </c>
      <c r="G1240">
        <v>6705.7910000000002</v>
      </c>
      <c r="I1240">
        <v>6705.7910000000002</v>
      </c>
      <c r="J1240" t="s">
        <v>415</v>
      </c>
      <c r="K1240">
        <v>8.1999999999999993</v>
      </c>
      <c r="L1240">
        <v>-18.2</v>
      </c>
      <c r="N1240">
        <v>26</v>
      </c>
      <c r="O1240">
        <v>26</v>
      </c>
      <c r="P1240" t="s">
        <v>680</v>
      </c>
      <c r="Q1240" t="s">
        <v>414</v>
      </c>
      <c r="R1240">
        <v>10</v>
      </c>
      <c r="S1240">
        <v>2.76</v>
      </c>
      <c r="T1240">
        <v>4112.6840000000002</v>
      </c>
      <c r="V1240">
        <v>4112.6840000000002</v>
      </c>
      <c r="W1240" t="s">
        <v>403</v>
      </c>
      <c r="X1240">
        <v>77.099999999999994</v>
      </c>
      <c r="Y1240">
        <v>670.6</v>
      </c>
    </row>
    <row r="1241" spans="1:25" x14ac:dyDescent="0.45">
      <c r="A1241">
        <v>66</v>
      </c>
      <c r="B1241">
        <v>66</v>
      </c>
      <c r="C1241" t="s">
        <v>647</v>
      </c>
      <c r="D1241" t="s">
        <v>414</v>
      </c>
      <c r="E1241">
        <v>10</v>
      </c>
      <c r="F1241">
        <v>3.36</v>
      </c>
      <c r="G1241">
        <v>4987.0360000000001</v>
      </c>
      <c r="I1241">
        <v>4987.0360000000001</v>
      </c>
      <c r="J1241" t="s">
        <v>415</v>
      </c>
      <c r="K1241">
        <v>6.1</v>
      </c>
      <c r="L1241">
        <v>-39.1</v>
      </c>
      <c r="N1241">
        <v>27</v>
      </c>
      <c r="O1241">
        <v>27</v>
      </c>
      <c r="P1241" t="s">
        <v>681</v>
      </c>
      <c r="Q1241" t="s">
        <v>414</v>
      </c>
      <c r="R1241">
        <v>10</v>
      </c>
      <c r="S1241">
        <v>2.76</v>
      </c>
      <c r="T1241">
        <v>4380.3519999999999</v>
      </c>
      <c r="V1241">
        <v>4380.3519999999999</v>
      </c>
      <c r="W1241" t="s">
        <v>403</v>
      </c>
      <c r="X1241">
        <v>82.1</v>
      </c>
      <c r="Y1241">
        <v>720.7</v>
      </c>
    </row>
    <row r="1242" spans="1:25" x14ac:dyDescent="0.45">
      <c r="A1242">
        <v>67</v>
      </c>
      <c r="B1242">
        <v>67</v>
      </c>
      <c r="C1242" t="s">
        <v>648</v>
      </c>
      <c r="D1242" t="s">
        <v>414</v>
      </c>
      <c r="E1242">
        <v>10</v>
      </c>
      <c r="F1242">
        <v>3.36</v>
      </c>
      <c r="G1242">
        <v>6785.5280000000002</v>
      </c>
      <c r="I1242">
        <v>6785.5280000000002</v>
      </c>
      <c r="J1242" t="s">
        <v>403</v>
      </c>
      <c r="K1242">
        <v>8.3000000000000007</v>
      </c>
      <c r="L1242">
        <v>-17.2</v>
      </c>
      <c r="N1242">
        <v>28</v>
      </c>
      <c r="O1242">
        <v>28</v>
      </c>
      <c r="P1242" t="s">
        <v>682</v>
      </c>
      <c r="Q1242" t="s">
        <v>414</v>
      </c>
      <c r="R1242">
        <v>10</v>
      </c>
      <c r="S1242">
        <v>2.76</v>
      </c>
      <c r="T1242">
        <v>2561.835</v>
      </c>
      <c r="V1242">
        <v>2561.835</v>
      </c>
      <c r="W1242" t="s">
        <v>401</v>
      </c>
      <c r="X1242">
        <v>48</v>
      </c>
      <c r="Y1242">
        <v>380</v>
      </c>
    </row>
    <row r="1243" spans="1:25" x14ac:dyDescent="0.45">
      <c r="A1243">
        <v>68</v>
      </c>
      <c r="B1243">
        <v>68</v>
      </c>
      <c r="C1243" t="s">
        <v>649</v>
      </c>
      <c r="D1243" t="s">
        <v>414</v>
      </c>
      <c r="E1243">
        <v>10</v>
      </c>
      <c r="F1243">
        <v>3.36</v>
      </c>
      <c r="G1243">
        <v>7901.7150000000001</v>
      </c>
      <c r="I1243">
        <v>7901.7150000000001</v>
      </c>
      <c r="J1243" t="s">
        <v>403</v>
      </c>
      <c r="K1243">
        <v>9.6</v>
      </c>
      <c r="L1243">
        <v>-3.6</v>
      </c>
      <c r="N1243">
        <v>29</v>
      </c>
      <c r="O1243">
        <v>29</v>
      </c>
      <c r="P1243" t="s">
        <v>683</v>
      </c>
      <c r="Q1243" t="s">
        <v>414</v>
      </c>
      <c r="R1243">
        <v>10</v>
      </c>
      <c r="S1243">
        <v>2.76</v>
      </c>
      <c r="T1243">
        <v>2860.4110000000001</v>
      </c>
      <c r="V1243">
        <v>2860.4110000000001</v>
      </c>
      <c r="W1243" t="s">
        <v>412</v>
      </c>
      <c r="X1243">
        <v>53.6</v>
      </c>
      <c r="Y1243">
        <v>435.9</v>
      </c>
    </row>
    <row r="1244" spans="1:25" x14ac:dyDescent="0.45">
      <c r="A1244">
        <v>69</v>
      </c>
      <c r="B1244">
        <v>69</v>
      </c>
      <c r="C1244" t="s">
        <v>650</v>
      </c>
      <c r="D1244" t="s">
        <v>414</v>
      </c>
      <c r="E1244">
        <v>10</v>
      </c>
      <c r="F1244">
        <v>3.36</v>
      </c>
      <c r="G1244">
        <v>6952.9229999999998</v>
      </c>
      <c r="I1244">
        <v>6952.9229999999998</v>
      </c>
      <c r="J1244" t="s">
        <v>415</v>
      </c>
      <c r="K1244">
        <v>8.5</v>
      </c>
      <c r="L1244">
        <v>-15.2</v>
      </c>
      <c r="N1244">
        <v>30</v>
      </c>
      <c r="O1244">
        <v>30</v>
      </c>
      <c r="P1244" t="s">
        <v>684</v>
      </c>
      <c r="Q1244" t="s">
        <v>414</v>
      </c>
      <c r="R1244">
        <v>10</v>
      </c>
      <c r="S1244">
        <v>2.76</v>
      </c>
      <c r="T1244">
        <v>4175.2910000000002</v>
      </c>
      <c r="V1244">
        <v>4175.2910000000002</v>
      </c>
      <c r="W1244" t="s">
        <v>403</v>
      </c>
      <c r="X1244">
        <v>78.2</v>
      </c>
      <c r="Y1244">
        <v>682.3</v>
      </c>
    </row>
    <row r="1245" spans="1:25" x14ac:dyDescent="0.45">
      <c r="N1245">
        <v>31</v>
      </c>
      <c r="O1245">
        <v>31</v>
      </c>
      <c r="P1245" t="s">
        <v>685</v>
      </c>
      <c r="Q1245" t="s">
        <v>414</v>
      </c>
      <c r="R1245">
        <v>10</v>
      </c>
      <c r="S1245">
        <v>2.76</v>
      </c>
      <c r="T1245">
        <v>3061.3069999999998</v>
      </c>
      <c r="V1245">
        <v>3061.3069999999998</v>
      </c>
      <c r="W1245" t="s">
        <v>403</v>
      </c>
      <c r="X1245">
        <v>57.4</v>
      </c>
      <c r="Y1245">
        <v>473.6</v>
      </c>
    </row>
    <row r="1246" spans="1:25" x14ac:dyDescent="0.45">
      <c r="A1246" t="s">
        <v>503</v>
      </c>
      <c r="N1246">
        <v>32</v>
      </c>
      <c r="O1246">
        <v>32</v>
      </c>
      <c r="P1246" t="s">
        <v>686</v>
      </c>
      <c r="Q1246" t="s">
        <v>414</v>
      </c>
      <c r="R1246">
        <v>10</v>
      </c>
      <c r="S1246">
        <v>2.76</v>
      </c>
      <c r="T1246">
        <v>5844.549</v>
      </c>
      <c r="V1246">
        <v>5844.549</v>
      </c>
      <c r="W1246" t="s">
        <v>401</v>
      </c>
      <c r="X1246">
        <v>109.5</v>
      </c>
      <c r="Y1246">
        <v>995</v>
      </c>
    </row>
    <row r="1247" spans="1:25" x14ac:dyDescent="0.45">
      <c r="N1247">
        <v>33</v>
      </c>
      <c r="O1247">
        <v>33</v>
      </c>
      <c r="P1247" t="s">
        <v>687</v>
      </c>
      <c r="Q1247" t="s">
        <v>414</v>
      </c>
      <c r="R1247">
        <v>10</v>
      </c>
      <c r="S1247">
        <v>2.76</v>
      </c>
      <c r="T1247">
        <v>4471.8500000000004</v>
      </c>
      <c r="V1247">
        <v>4471.8500000000004</v>
      </c>
      <c r="W1247" t="s">
        <v>403</v>
      </c>
      <c r="X1247">
        <v>83.8</v>
      </c>
      <c r="Y1247">
        <v>737.9</v>
      </c>
    </row>
    <row r="1248" spans="1:25" x14ac:dyDescent="0.45">
      <c r="B1248" t="s">
        <v>389</v>
      </c>
      <c r="C1248" t="s">
        <v>123</v>
      </c>
      <c r="D1248" t="s">
        <v>390</v>
      </c>
      <c r="E1248" t="s">
        <v>391</v>
      </c>
      <c r="F1248" t="s">
        <v>392</v>
      </c>
      <c r="G1248" t="s">
        <v>393</v>
      </c>
      <c r="H1248" t="s">
        <v>394</v>
      </c>
      <c r="I1248" t="s">
        <v>395</v>
      </c>
      <c r="J1248" t="s">
        <v>396</v>
      </c>
      <c r="K1248" t="s">
        <v>397</v>
      </c>
      <c r="L1248" t="s">
        <v>398</v>
      </c>
      <c r="N1248">
        <v>34</v>
      </c>
      <c r="O1248">
        <v>34</v>
      </c>
      <c r="P1248" t="s">
        <v>688</v>
      </c>
      <c r="Q1248" t="s">
        <v>414</v>
      </c>
      <c r="R1248">
        <v>10</v>
      </c>
      <c r="S1248">
        <v>2.76</v>
      </c>
      <c r="T1248">
        <v>4014.7539999999999</v>
      </c>
      <c r="V1248">
        <v>4014.7539999999999</v>
      </c>
      <c r="W1248" t="s">
        <v>403</v>
      </c>
      <c r="X1248">
        <v>75.2</v>
      </c>
      <c r="Y1248">
        <v>652.20000000000005</v>
      </c>
    </row>
    <row r="1249" spans="1:25" x14ac:dyDescent="0.45">
      <c r="A1249">
        <v>1</v>
      </c>
      <c r="B1249">
        <v>1</v>
      </c>
      <c r="C1249" t="s">
        <v>582</v>
      </c>
      <c r="D1249" t="s">
        <v>400</v>
      </c>
      <c r="E1249">
        <v>10</v>
      </c>
      <c r="F1249">
        <v>2.7</v>
      </c>
      <c r="G1249">
        <v>86.075000000000003</v>
      </c>
      <c r="I1249">
        <v>86.075000000000003</v>
      </c>
      <c r="J1249" t="s">
        <v>403</v>
      </c>
      <c r="K1249">
        <v>2.1</v>
      </c>
      <c r="L1249">
        <v>-78.900000000000006</v>
      </c>
      <c r="N1249">
        <v>35</v>
      </c>
      <c r="O1249">
        <v>35</v>
      </c>
      <c r="P1249" t="s">
        <v>689</v>
      </c>
      <c r="Q1249" t="s">
        <v>414</v>
      </c>
      <c r="R1249">
        <v>10</v>
      </c>
      <c r="S1249">
        <v>2.76</v>
      </c>
      <c r="T1249">
        <v>3089.1370000000002</v>
      </c>
      <c r="V1249">
        <v>3089.1370000000002</v>
      </c>
      <c r="W1249" t="s">
        <v>415</v>
      </c>
      <c r="X1249">
        <v>57.9</v>
      </c>
      <c r="Y1249">
        <v>478.8</v>
      </c>
    </row>
    <row r="1250" spans="1:25" x14ac:dyDescent="0.45">
      <c r="A1250">
        <v>2</v>
      </c>
      <c r="B1250">
        <v>2</v>
      </c>
      <c r="C1250" t="s">
        <v>583</v>
      </c>
      <c r="D1250" t="s">
        <v>400</v>
      </c>
      <c r="E1250">
        <v>10</v>
      </c>
      <c r="F1250">
        <v>2.72</v>
      </c>
      <c r="G1250">
        <v>159.358</v>
      </c>
      <c r="I1250">
        <v>159.358</v>
      </c>
      <c r="J1250" t="s">
        <v>412</v>
      </c>
      <c r="K1250">
        <v>3.9</v>
      </c>
      <c r="L1250">
        <v>-60.9</v>
      </c>
      <c r="N1250">
        <v>36</v>
      </c>
      <c r="O1250">
        <v>36</v>
      </c>
      <c r="P1250" t="s">
        <v>690</v>
      </c>
      <c r="Q1250" t="s">
        <v>414</v>
      </c>
      <c r="R1250">
        <v>10</v>
      </c>
      <c r="S1250">
        <v>2.76</v>
      </c>
      <c r="T1250">
        <v>3736.7190000000001</v>
      </c>
      <c r="V1250">
        <v>3736.7190000000001</v>
      </c>
      <c r="W1250" t="s">
        <v>401</v>
      </c>
      <c r="X1250">
        <v>70</v>
      </c>
      <c r="Y1250">
        <v>600.1</v>
      </c>
    </row>
    <row r="1251" spans="1:25" x14ac:dyDescent="0.45">
      <c r="A1251">
        <v>3</v>
      </c>
      <c r="B1251">
        <v>3</v>
      </c>
      <c r="C1251" t="s">
        <v>584</v>
      </c>
      <c r="D1251" t="s">
        <v>400</v>
      </c>
      <c r="E1251">
        <v>10</v>
      </c>
      <c r="F1251">
        <v>2.72</v>
      </c>
      <c r="G1251">
        <v>314.36900000000003</v>
      </c>
      <c r="I1251">
        <v>314.36900000000003</v>
      </c>
      <c r="J1251" t="s">
        <v>403</v>
      </c>
      <c r="K1251">
        <v>7.7</v>
      </c>
      <c r="L1251">
        <v>-22.8</v>
      </c>
      <c r="N1251">
        <v>37</v>
      </c>
      <c r="O1251">
        <v>37</v>
      </c>
      <c r="P1251" t="s">
        <v>691</v>
      </c>
      <c r="Q1251" t="s">
        <v>414</v>
      </c>
      <c r="R1251">
        <v>10</v>
      </c>
      <c r="S1251">
        <v>2.76</v>
      </c>
      <c r="T1251">
        <v>2816.8249999999998</v>
      </c>
      <c r="V1251">
        <v>2816.8249999999998</v>
      </c>
      <c r="W1251" t="s">
        <v>401</v>
      </c>
      <c r="X1251">
        <v>52.8</v>
      </c>
      <c r="Y1251">
        <v>427.8</v>
      </c>
    </row>
    <row r="1252" spans="1:25" x14ac:dyDescent="0.45">
      <c r="A1252">
        <v>4</v>
      </c>
      <c r="B1252">
        <v>4</v>
      </c>
      <c r="C1252" t="s">
        <v>585</v>
      </c>
      <c r="D1252" t="s">
        <v>400</v>
      </c>
      <c r="E1252">
        <v>10</v>
      </c>
      <c r="F1252">
        <v>2.72</v>
      </c>
      <c r="G1252">
        <v>472.13600000000002</v>
      </c>
      <c r="I1252">
        <v>472.13600000000002</v>
      </c>
      <c r="J1252" t="s">
        <v>415</v>
      </c>
      <c r="K1252">
        <v>11.6</v>
      </c>
      <c r="L1252">
        <v>16</v>
      </c>
      <c r="N1252">
        <v>38</v>
      </c>
      <c r="O1252">
        <v>38</v>
      </c>
      <c r="P1252" t="s">
        <v>692</v>
      </c>
      <c r="Q1252" t="s">
        <v>414</v>
      </c>
      <c r="R1252">
        <v>10</v>
      </c>
      <c r="S1252">
        <v>2.76</v>
      </c>
      <c r="T1252">
        <v>5185.4319999999998</v>
      </c>
      <c r="V1252">
        <v>5185.4319999999998</v>
      </c>
      <c r="W1252" t="s">
        <v>401</v>
      </c>
      <c r="X1252">
        <v>97.2</v>
      </c>
      <c r="Y1252">
        <v>871.6</v>
      </c>
    </row>
    <row r="1253" spans="1:25" x14ac:dyDescent="0.45">
      <c r="A1253">
        <v>5</v>
      </c>
      <c r="B1253">
        <v>5</v>
      </c>
      <c r="C1253" t="s">
        <v>586</v>
      </c>
      <c r="D1253" t="s">
        <v>400</v>
      </c>
      <c r="E1253">
        <v>10</v>
      </c>
      <c r="F1253">
        <v>2.73</v>
      </c>
      <c r="G1253">
        <v>635.84799999999996</v>
      </c>
      <c r="I1253">
        <v>635.84799999999996</v>
      </c>
      <c r="J1253" t="s">
        <v>403</v>
      </c>
      <c r="K1253">
        <v>15.6</v>
      </c>
      <c r="L1253">
        <v>56.2</v>
      </c>
      <c r="N1253">
        <v>39</v>
      </c>
      <c r="O1253">
        <v>39</v>
      </c>
      <c r="P1253" t="s">
        <v>693</v>
      </c>
      <c r="Q1253" t="s">
        <v>414</v>
      </c>
      <c r="R1253">
        <v>10</v>
      </c>
      <c r="S1253">
        <v>2.76</v>
      </c>
      <c r="T1253">
        <v>5547.4030000000002</v>
      </c>
      <c r="V1253">
        <v>5547.4030000000002</v>
      </c>
      <c r="W1253" t="s">
        <v>403</v>
      </c>
      <c r="X1253">
        <v>103.9</v>
      </c>
      <c r="Y1253">
        <v>939.4</v>
      </c>
    </row>
    <row r="1254" spans="1:25" x14ac:dyDescent="0.45">
      <c r="A1254">
        <v>6</v>
      </c>
      <c r="B1254">
        <v>6</v>
      </c>
      <c r="C1254" t="s">
        <v>587</v>
      </c>
      <c r="D1254" t="s">
        <v>400</v>
      </c>
      <c r="E1254">
        <v>10</v>
      </c>
      <c r="F1254">
        <v>2.72</v>
      </c>
      <c r="G1254">
        <v>393.79700000000003</v>
      </c>
      <c r="I1254">
        <v>393.79700000000003</v>
      </c>
      <c r="J1254" t="s">
        <v>403</v>
      </c>
      <c r="K1254">
        <v>9.6999999999999993</v>
      </c>
      <c r="L1254">
        <v>-3.3</v>
      </c>
      <c r="N1254">
        <v>40</v>
      </c>
      <c r="O1254">
        <v>40</v>
      </c>
      <c r="P1254" t="s">
        <v>694</v>
      </c>
      <c r="Q1254" t="s">
        <v>414</v>
      </c>
      <c r="R1254">
        <v>10</v>
      </c>
      <c r="S1254">
        <v>2.76</v>
      </c>
      <c r="T1254">
        <v>7786.473</v>
      </c>
      <c r="V1254">
        <v>7786.473</v>
      </c>
      <c r="W1254" t="s">
        <v>403</v>
      </c>
      <c r="X1254">
        <v>145.9</v>
      </c>
      <c r="Y1254">
        <v>1358.9</v>
      </c>
    </row>
    <row r="1255" spans="1:25" x14ac:dyDescent="0.45">
      <c r="A1255">
        <v>7</v>
      </c>
      <c r="B1255">
        <v>7</v>
      </c>
      <c r="C1255" t="s">
        <v>588</v>
      </c>
      <c r="D1255" t="s">
        <v>400</v>
      </c>
      <c r="E1255">
        <v>10</v>
      </c>
      <c r="F1255">
        <v>2.72</v>
      </c>
      <c r="G1255">
        <v>788.56600000000003</v>
      </c>
      <c r="I1255">
        <v>788.56600000000003</v>
      </c>
      <c r="J1255" t="s">
        <v>403</v>
      </c>
      <c r="K1255">
        <v>19.399999999999999</v>
      </c>
      <c r="L1255">
        <v>93.7</v>
      </c>
      <c r="N1255">
        <v>41</v>
      </c>
      <c r="O1255">
        <v>41</v>
      </c>
      <c r="P1255" t="s">
        <v>695</v>
      </c>
      <c r="Q1255" t="s">
        <v>414</v>
      </c>
      <c r="R1255">
        <v>10</v>
      </c>
      <c r="S1255">
        <v>2.76</v>
      </c>
      <c r="T1255">
        <v>7767.2969999999996</v>
      </c>
      <c r="V1255">
        <v>7767.2969999999996</v>
      </c>
      <c r="W1255" t="s">
        <v>403</v>
      </c>
      <c r="X1255">
        <v>145.5</v>
      </c>
      <c r="Y1255">
        <v>1355.3</v>
      </c>
    </row>
    <row r="1256" spans="1:25" x14ac:dyDescent="0.45">
      <c r="A1256">
        <v>8</v>
      </c>
      <c r="B1256">
        <v>8</v>
      </c>
      <c r="C1256" t="s">
        <v>589</v>
      </c>
      <c r="D1256" t="s">
        <v>410</v>
      </c>
      <c r="E1256">
        <v>10</v>
      </c>
      <c r="F1256">
        <v>2.82</v>
      </c>
      <c r="G1256">
        <v>1234.396</v>
      </c>
      <c r="I1256">
        <v>1234.396</v>
      </c>
      <c r="J1256" t="s">
        <v>403</v>
      </c>
      <c r="K1256">
        <v>30.3</v>
      </c>
      <c r="L1256">
        <v>203.2</v>
      </c>
      <c r="N1256">
        <v>42</v>
      </c>
      <c r="O1256">
        <v>42</v>
      </c>
      <c r="P1256" t="s">
        <v>696</v>
      </c>
      <c r="Q1256" t="s">
        <v>414</v>
      </c>
      <c r="R1256">
        <v>10</v>
      </c>
      <c r="S1256">
        <v>2.76</v>
      </c>
      <c r="T1256">
        <v>4522.6670000000004</v>
      </c>
      <c r="V1256">
        <v>4522.6670000000004</v>
      </c>
      <c r="W1256" t="s">
        <v>401</v>
      </c>
      <c r="X1256">
        <v>84.7</v>
      </c>
      <c r="Y1256">
        <v>747.4</v>
      </c>
    </row>
    <row r="1257" spans="1:25" x14ac:dyDescent="0.45">
      <c r="A1257">
        <v>9</v>
      </c>
      <c r="B1257">
        <v>9</v>
      </c>
      <c r="C1257" t="s">
        <v>590</v>
      </c>
      <c r="D1257" t="s">
        <v>410</v>
      </c>
      <c r="E1257">
        <v>10</v>
      </c>
      <c r="F1257">
        <v>2.73</v>
      </c>
      <c r="G1257">
        <v>248.465</v>
      </c>
      <c r="I1257">
        <v>248.465</v>
      </c>
      <c r="J1257" t="s">
        <v>403</v>
      </c>
      <c r="K1257">
        <v>6.1</v>
      </c>
      <c r="L1257">
        <v>-39</v>
      </c>
      <c r="N1257">
        <v>43</v>
      </c>
      <c r="O1257">
        <v>43</v>
      </c>
      <c r="P1257" t="s">
        <v>697</v>
      </c>
      <c r="Q1257" t="s">
        <v>414</v>
      </c>
      <c r="R1257">
        <v>10</v>
      </c>
      <c r="S1257">
        <v>2.76</v>
      </c>
      <c r="T1257">
        <v>6442.1319999999996</v>
      </c>
      <c r="V1257">
        <v>6442.1319999999996</v>
      </c>
      <c r="W1257" t="s">
        <v>401</v>
      </c>
      <c r="X1257">
        <v>120.7</v>
      </c>
      <c r="Y1257">
        <v>1107</v>
      </c>
    </row>
    <row r="1258" spans="1:25" x14ac:dyDescent="0.45">
      <c r="A1258">
        <v>10</v>
      </c>
      <c r="B1258">
        <v>10</v>
      </c>
      <c r="C1258" t="s">
        <v>591</v>
      </c>
      <c r="D1258" t="s">
        <v>414</v>
      </c>
      <c r="E1258">
        <v>10</v>
      </c>
      <c r="F1258">
        <v>2.76</v>
      </c>
      <c r="G1258">
        <v>3428.7080000000001</v>
      </c>
      <c r="I1258">
        <v>3428.7080000000001</v>
      </c>
      <c r="J1258" t="s">
        <v>401</v>
      </c>
      <c r="K1258">
        <v>84.2</v>
      </c>
      <c r="L1258">
        <v>742.1</v>
      </c>
      <c r="N1258">
        <v>44</v>
      </c>
      <c r="O1258">
        <v>44</v>
      </c>
      <c r="P1258" t="s">
        <v>698</v>
      </c>
      <c r="Q1258" t="s">
        <v>414</v>
      </c>
      <c r="R1258">
        <v>10</v>
      </c>
      <c r="S1258">
        <v>2.77</v>
      </c>
      <c r="T1258">
        <v>3511.1329999999998</v>
      </c>
      <c r="V1258">
        <v>3511.1329999999998</v>
      </c>
      <c r="W1258" t="s">
        <v>401</v>
      </c>
      <c r="X1258">
        <v>65.8</v>
      </c>
      <c r="Y1258">
        <v>557.9</v>
      </c>
    </row>
    <row r="1259" spans="1:25" x14ac:dyDescent="0.45">
      <c r="A1259">
        <v>11</v>
      </c>
      <c r="B1259">
        <v>11</v>
      </c>
      <c r="C1259" t="s">
        <v>592</v>
      </c>
      <c r="D1259" t="s">
        <v>414</v>
      </c>
      <c r="E1259">
        <v>10</v>
      </c>
      <c r="F1259">
        <v>2.76</v>
      </c>
      <c r="G1259">
        <v>963.23400000000004</v>
      </c>
      <c r="I1259">
        <v>963.23400000000004</v>
      </c>
      <c r="J1259" t="s">
        <v>401</v>
      </c>
      <c r="K1259">
        <v>23.7</v>
      </c>
      <c r="L1259">
        <v>136.6</v>
      </c>
      <c r="N1259">
        <v>45</v>
      </c>
      <c r="O1259">
        <v>45</v>
      </c>
      <c r="P1259" t="s">
        <v>699</v>
      </c>
      <c r="Q1259" t="s">
        <v>414</v>
      </c>
      <c r="R1259">
        <v>10</v>
      </c>
      <c r="S1259">
        <v>2.76</v>
      </c>
      <c r="T1259">
        <v>1992.24</v>
      </c>
      <c r="V1259">
        <v>1992.24</v>
      </c>
      <c r="W1259" t="s">
        <v>401</v>
      </c>
      <c r="X1259">
        <v>37.299999999999997</v>
      </c>
      <c r="Y1259">
        <v>273.3</v>
      </c>
    </row>
    <row r="1260" spans="1:25" x14ac:dyDescent="0.45">
      <c r="A1260">
        <v>12</v>
      </c>
      <c r="B1260">
        <v>12</v>
      </c>
      <c r="C1260" t="s">
        <v>593</v>
      </c>
      <c r="D1260" t="s">
        <v>414</v>
      </c>
      <c r="E1260">
        <v>10</v>
      </c>
      <c r="F1260">
        <v>2.76</v>
      </c>
      <c r="G1260">
        <v>2820.5169999999998</v>
      </c>
      <c r="I1260">
        <v>2820.5169999999998</v>
      </c>
      <c r="J1260" t="s">
        <v>401</v>
      </c>
      <c r="K1260">
        <v>69.3</v>
      </c>
      <c r="L1260">
        <v>592.70000000000005</v>
      </c>
      <c r="N1260">
        <v>46</v>
      </c>
      <c r="O1260">
        <v>46</v>
      </c>
      <c r="P1260" t="s">
        <v>700</v>
      </c>
      <c r="Q1260" t="s">
        <v>414</v>
      </c>
      <c r="R1260">
        <v>10</v>
      </c>
      <c r="S1260">
        <v>2.76</v>
      </c>
      <c r="T1260">
        <v>5497.9589999999998</v>
      </c>
      <c r="V1260">
        <v>5497.9589999999998</v>
      </c>
      <c r="W1260" t="s">
        <v>401</v>
      </c>
      <c r="X1260">
        <v>103</v>
      </c>
      <c r="Y1260">
        <v>930.1</v>
      </c>
    </row>
    <row r="1261" spans="1:25" x14ac:dyDescent="0.45">
      <c r="A1261">
        <v>13</v>
      </c>
      <c r="B1261">
        <v>13</v>
      </c>
      <c r="C1261" t="s">
        <v>594</v>
      </c>
      <c r="D1261" t="s">
        <v>414</v>
      </c>
      <c r="E1261">
        <v>10</v>
      </c>
      <c r="F1261">
        <v>2.76</v>
      </c>
      <c r="G1261">
        <v>3849.703</v>
      </c>
      <c r="I1261">
        <v>3849.703</v>
      </c>
      <c r="J1261" t="s">
        <v>403</v>
      </c>
      <c r="K1261">
        <v>94.5</v>
      </c>
      <c r="L1261">
        <v>845.5</v>
      </c>
      <c r="N1261">
        <v>47</v>
      </c>
      <c r="O1261">
        <v>47</v>
      </c>
      <c r="P1261" t="s">
        <v>701</v>
      </c>
      <c r="Q1261" t="s">
        <v>414</v>
      </c>
      <c r="R1261">
        <v>10</v>
      </c>
      <c r="S1261">
        <v>2.76</v>
      </c>
      <c r="T1261">
        <v>5161.01</v>
      </c>
      <c r="V1261">
        <v>5161.01</v>
      </c>
      <c r="W1261" t="s">
        <v>401</v>
      </c>
      <c r="X1261">
        <v>96.7</v>
      </c>
      <c r="Y1261">
        <v>867</v>
      </c>
    </row>
    <row r="1262" spans="1:25" x14ac:dyDescent="0.45">
      <c r="A1262">
        <v>14</v>
      </c>
      <c r="B1262">
        <v>14</v>
      </c>
      <c r="C1262" t="s">
        <v>595</v>
      </c>
      <c r="D1262" t="s">
        <v>414</v>
      </c>
      <c r="E1262">
        <v>10</v>
      </c>
      <c r="F1262">
        <v>2.76</v>
      </c>
      <c r="G1262">
        <v>6403.6679999999997</v>
      </c>
      <c r="I1262">
        <v>6403.6679999999997</v>
      </c>
      <c r="J1262" t="s">
        <v>401</v>
      </c>
      <c r="K1262">
        <v>157.30000000000001</v>
      </c>
      <c r="L1262">
        <v>1472.7</v>
      </c>
      <c r="N1262">
        <v>48</v>
      </c>
      <c r="O1262">
        <v>48</v>
      </c>
      <c r="P1262" t="s">
        <v>702</v>
      </c>
      <c r="Q1262" t="s">
        <v>414</v>
      </c>
      <c r="R1262">
        <v>10</v>
      </c>
      <c r="S1262">
        <v>2.76</v>
      </c>
      <c r="T1262">
        <v>5870.47</v>
      </c>
      <c r="V1262">
        <v>5870.47</v>
      </c>
      <c r="W1262" t="s">
        <v>403</v>
      </c>
      <c r="X1262">
        <v>110</v>
      </c>
      <c r="Y1262">
        <v>999.9</v>
      </c>
    </row>
    <row r="1263" spans="1:25" x14ac:dyDescent="0.45">
      <c r="A1263">
        <v>15</v>
      </c>
      <c r="B1263">
        <v>15</v>
      </c>
      <c r="C1263" t="s">
        <v>596</v>
      </c>
      <c r="D1263" t="s">
        <v>414</v>
      </c>
      <c r="E1263">
        <v>10</v>
      </c>
      <c r="F1263">
        <v>2.76</v>
      </c>
      <c r="G1263">
        <v>4480.6080000000002</v>
      </c>
      <c r="I1263">
        <v>4480.6080000000002</v>
      </c>
      <c r="J1263" t="s">
        <v>412</v>
      </c>
      <c r="K1263">
        <v>110</v>
      </c>
      <c r="L1263">
        <v>1000.4</v>
      </c>
      <c r="N1263">
        <v>49</v>
      </c>
      <c r="O1263">
        <v>49</v>
      </c>
      <c r="P1263" t="s">
        <v>703</v>
      </c>
      <c r="Q1263" t="s">
        <v>414</v>
      </c>
      <c r="R1263">
        <v>10</v>
      </c>
      <c r="S1263">
        <v>2.76</v>
      </c>
      <c r="T1263">
        <v>5310.808</v>
      </c>
      <c r="V1263">
        <v>5310.808</v>
      </c>
      <c r="W1263" t="s">
        <v>401</v>
      </c>
      <c r="X1263">
        <v>99.5</v>
      </c>
      <c r="Y1263">
        <v>895</v>
      </c>
    </row>
    <row r="1264" spans="1:25" x14ac:dyDescent="0.45">
      <c r="A1264">
        <v>16</v>
      </c>
      <c r="B1264">
        <v>16</v>
      </c>
      <c r="C1264" t="s">
        <v>597</v>
      </c>
      <c r="D1264" t="s">
        <v>414</v>
      </c>
      <c r="E1264">
        <v>10</v>
      </c>
      <c r="F1264">
        <v>2.76</v>
      </c>
      <c r="G1264">
        <v>2936.74</v>
      </c>
      <c r="I1264">
        <v>2936.74</v>
      </c>
      <c r="J1264" t="s">
        <v>401</v>
      </c>
      <c r="K1264">
        <v>72.099999999999994</v>
      </c>
      <c r="L1264">
        <v>621.29999999999995</v>
      </c>
      <c r="N1264">
        <v>50</v>
      </c>
      <c r="O1264">
        <v>50</v>
      </c>
      <c r="P1264" t="s">
        <v>704</v>
      </c>
      <c r="Q1264" t="s">
        <v>414</v>
      </c>
      <c r="R1264">
        <v>10</v>
      </c>
      <c r="S1264">
        <v>2.76</v>
      </c>
      <c r="T1264">
        <v>4271.9110000000001</v>
      </c>
      <c r="V1264">
        <v>4271.9110000000001</v>
      </c>
      <c r="W1264" t="s">
        <v>401</v>
      </c>
      <c r="X1264">
        <v>80</v>
      </c>
      <c r="Y1264">
        <v>700.4</v>
      </c>
    </row>
    <row r="1265" spans="1:25" x14ac:dyDescent="0.45">
      <c r="A1265">
        <v>17</v>
      </c>
      <c r="B1265">
        <v>17</v>
      </c>
      <c r="C1265" t="s">
        <v>598</v>
      </c>
      <c r="D1265" t="s">
        <v>414</v>
      </c>
      <c r="E1265">
        <v>10</v>
      </c>
      <c r="F1265">
        <v>2.76</v>
      </c>
      <c r="G1265">
        <v>3590.366</v>
      </c>
      <c r="I1265">
        <v>3590.366</v>
      </c>
      <c r="J1265" t="s">
        <v>403</v>
      </c>
      <c r="K1265">
        <v>88.2</v>
      </c>
      <c r="L1265">
        <v>781.8</v>
      </c>
      <c r="N1265">
        <v>51</v>
      </c>
      <c r="O1265">
        <v>51</v>
      </c>
      <c r="P1265" t="s">
        <v>705</v>
      </c>
      <c r="Q1265" t="s">
        <v>414</v>
      </c>
      <c r="R1265">
        <v>10</v>
      </c>
      <c r="S1265">
        <v>2.76</v>
      </c>
      <c r="T1265">
        <v>2116.058</v>
      </c>
      <c r="V1265">
        <v>2116.058</v>
      </c>
      <c r="W1265" t="s">
        <v>401</v>
      </c>
      <c r="X1265">
        <v>39.6</v>
      </c>
      <c r="Y1265">
        <v>296.5</v>
      </c>
    </row>
    <row r="1266" spans="1:25" x14ac:dyDescent="0.45">
      <c r="A1266">
        <v>18</v>
      </c>
      <c r="B1266">
        <v>18</v>
      </c>
      <c r="C1266" t="s">
        <v>599</v>
      </c>
      <c r="D1266" t="s">
        <v>414</v>
      </c>
      <c r="E1266">
        <v>10</v>
      </c>
      <c r="F1266">
        <v>2.76</v>
      </c>
      <c r="G1266">
        <v>1637.329</v>
      </c>
      <c r="I1266">
        <v>1637.329</v>
      </c>
      <c r="J1266" t="s">
        <v>401</v>
      </c>
      <c r="K1266">
        <v>40.200000000000003</v>
      </c>
      <c r="L1266">
        <v>302.10000000000002</v>
      </c>
      <c r="N1266">
        <v>52</v>
      </c>
      <c r="O1266">
        <v>52</v>
      </c>
      <c r="P1266" t="s">
        <v>706</v>
      </c>
      <c r="Q1266" t="s">
        <v>414</v>
      </c>
      <c r="R1266">
        <v>10</v>
      </c>
      <c r="S1266">
        <v>2.76</v>
      </c>
      <c r="T1266">
        <v>4485.6589999999997</v>
      </c>
      <c r="V1266">
        <v>4485.6589999999997</v>
      </c>
      <c r="W1266" t="s">
        <v>401</v>
      </c>
      <c r="X1266">
        <v>84</v>
      </c>
      <c r="Y1266">
        <v>740.4</v>
      </c>
    </row>
    <row r="1267" spans="1:25" x14ac:dyDescent="0.45">
      <c r="A1267">
        <v>19</v>
      </c>
      <c r="B1267">
        <v>19</v>
      </c>
      <c r="C1267" t="s">
        <v>600</v>
      </c>
      <c r="D1267" t="s">
        <v>414</v>
      </c>
      <c r="E1267">
        <v>10</v>
      </c>
      <c r="F1267">
        <v>2.76</v>
      </c>
      <c r="G1267">
        <v>2373.1590000000001</v>
      </c>
      <c r="I1267">
        <v>2373.1590000000001</v>
      </c>
      <c r="J1267" t="s">
        <v>401</v>
      </c>
      <c r="K1267">
        <v>58.3</v>
      </c>
      <c r="L1267">
        <v>482.9</v>
      </c>
      <c r="N1267">
        <v>53</v>
      </c>
      <c r="O1267">
        <v>53</v>
      </c>
      <c r="P1267" t="s">
        <v>707</v>
      </c>
      <c r="Q1267" t="s">
        <v>414</v>
      </c>
      <c r="R1267">
        <v>10</v>
      </c>
      <c r="S1267">
        <v>2.76</v>
      </c>
      <c r="T1267">
        <v>3769.6770000000001</v>
      </c>
      <c r="V1267">
        <v>3769.6770000000001</v>
      </c>
      <c r="W1267" t="s">
        <v>401</v>
      </c>
      <c r="X1267">
        <v>70.599999999999994</v>
      </c>
      <c r="Y1267">
        <v>606.29999999999995</v>
      </c>
    </row>
    <row r="1268" spans="1:25" x14ac:dyDescent="0.45">
      <c r="A1268">
        <v>20</v>
      </c>
      <c r="B1268">
        <v>20</v>
      </c>
      <c r="C1268" t="s">
        <v>601</v>
      </c>
      <c r="D1268" t="s">
        <v>414</v>
      </c>
      <c r="E1268">
        <v>10</v>
      </c>
      <c r="F1268">
        <v>2.76</v>
      </c>
      <c r="G1268">
        <v>1133.806</v>
      </c>
      <c r="I1268">
        <v>1133.806</v>
      </c>
      <c r="J1268" t="s">
        <v>403</v>
      </c>
      <c r="K1268">
        <v>27.8</v>
      </c>
      <c r="L1268">
        <v>178.5</v>
      </c>
      <c r="N1268">
        <v>54</v>
      </c>
      <c r="O1268">
        <v>54</v>
      </c>
      <c r="P1268" t="s">
        <v>708</v>
      </c>
      <c r="Q1268" t="s">
        <v>414</v>
      </c>
      <c r="R1268">
        <v>10</v>
      </c>
      <c r="S1268">
        <v>2.76</v>
      </c>
      <c r="T1268">
        <v>4399.6710000000003</v>
      </c>
      <c r="V1268">
        <v>4399.6710000000003</v>
      </c>
      <c r="W1268" t="s">
        <v>403</v>
      </c>
      <c r="X1268">
        <v>82.4</v>
      </c>
      <c r="Y1268">
        <v>724.3</v>
      </c>
    </row>
    <row r="1269" spans="1:25" x14ac:dyDescent="0.45">
      <c r="A1269">
        <v>21</v>
      </c>
      <c r="B1269">
        <v>21</v>
      </c>
      <c r="C1269" t="s">
        <v>602</v>
      </c>
      <c r="D1269" t="s">
        <v>414</v>
      </c>
      <c r="E1269">
        <v>10</v>
      </c>
      <c r="F1269">
        <v>2.76</v>
      </c>
      <c r="G1269">
        <v>2509.6689999999999</v>
      </c>
      <c r="I1269">
        <v>2509.6689999999999</v>
      </c>
      <c r="J1269" t="s">
        <v>403</v>
      </c>
      <c r="K1269">
        <v>61.6</v>
      </c>
      <c r="L1269">
        <v>516.4</v>
      </c>
      <c r="N1269">
        <v>55</v>
      </c>
      <c r="O1269">
        <v>55</v>
      </c>
      <c r="P1269" t="s">
        <v>709</v>
      </c>
      <c r="Q1269" t="s">
        <v>414</v>
      </c>
      <c r="R1269">
        <v>10</v>
      </c>
      <c r="S1269">
        <v>2.76</v>
      </c>
      <c r="T1269">
        <v>5332.2470000000003</v>
      </c>
      <c r="V1269">
        <v>5332.2470000000003</v>
      </c>
      <c r="W1269" t="s">
        <v>401</v>
      </c>
      <c r="X1269">
        <v>99.9</v>
      </c>
      <c r="Y1269">
        <v>899.1</v>
      </c>
    </row>
    <row r="1270" spans="1:25" x14ac:dyDescent="0.45">
      <c r="A1270">
        <v>22</v>
      </c>
      <c r="B1270">
        <v>22</v>
      </c>
      <c r="C1270" t="s">
        <v>603</v>
      </c>
      <c r="D1270" t="s">
        <v>414</v>
      </c>
      <c r="E1270">
        <v>10</v>
      </c>
      <c r="F1270">
        <v>2.76</v>
      </c>
      <c r="G1270">
        <v>4798.6139999999996</v>
      </c>
      <c r="I1270">
        <v>4798.6139999999996</v>
      </c>
      <c r="J1270" t="s">
        <v>401</v>
      </c>
      <c r="K1270">
        <v>117.9</v>
      </c>
      <c r="L1270">
        <v>1078.5</v>
      </c>
      <c r="N1270">
        <v>56</v>
      </c>
      <c r="O1270">
        <v>56</v>
      </c>
      <c r="P1270" t="s">
        <v>710</v>
      </c>
      <c r="Q1270" t="s">
        <v>414</v>
      </c>
      <c r="R1270">
        <v>10</v>
      </c>
      <c r="S1270">
        <v>2.76</v>
      </c>
      <c r="T1270">
        <v>5227.8029999999999</v>
      </c>
      <c r="V1270">
        <v>5227.8029999999999</v>
      </c>
      <c r="W1270" t="s">
        <v>403</v>
      </c>
      <c r="X1270">
        <v>97.9</v>
      </c>
      <c r="Y1270">
        <v>879.5</v>
      </c>
    </row>
    <row r="1271" spans="1:25" x14ac:dyDescent="0.45">
      <c r="A1271">
        <v>23</v>
      </c>
      <c r="B1271">
        <v>23</v>
      </c>
      <c r="C1271" t="s">
        <v>604</v>
      </c>
      <c r="D1271" t="s">
        <v>414</v>
      </c>
      <c r="E1271">
        <v>10</v>
      </c>
      <c r="F1271">
        <v>2.76</v>
      </c>
      <c r="G1271">
        <v>5299.1670000000004</v>
      </c>
      <c r="I1271">
        <v>5299.1670000000004</v>
      </c>
      <c r="J1271" t="s">
        <v>415</v>
      </c>
      <c r="K1271">
        <v>130.1</v>
      </c>
      <c r="L1271">
        <v>1201.5</v>
      </c>
      <c r="N1271">
        <v>57</v>
      </c>
      <c r="O1271">
        <v>57</v>
      </c>
      <c r="P1271" t="s">
        <v>711</v>
      </c>
      <c r="Q1271" t="s">
        <v>414</v>
      </c>
      <c r="R1271">
        <v>10</v>
      </c>
      <c r="S1271">
        <v>2.76</v>
      </c>
      <c r="T1271">
        <v>5048.299</v>
      </c>
      <c r="V1271">
        <v>5048.299</v>
      </c>
      <c r="W1271" t="s">
        <v>401</v>
      </c>
      <c r="X1271">
        <v>94.6</v>
      </c>
      <c r="Y1271">
        <v>845.9</v>
      </c>
    </row>
    <row r="1272" spans="1:25" x14ac:dyDescent="0.45">
      <c r="A1272">
        <v>24</v>
      </c>
      <c r="B1272">
        <v>24</v>
      </c>
      <c r="C1272" t="s">
        <v>605</v>
      </c>
      <c r="D1272" t="s">
        <v>414</v>
      </c>
      <c r="E1272">
        <v>10</v>
      </c>
      <c r="F1272">
        <v>2.76</v>
      </c>
      <c r="G1272">
        <v>3648.7020000000002</v>
      </c>
      <c r="I1272">
        <v>3648.7020000000002</v>
      </c>
      <c r="J1272" t="s">
        <v>403</v>
      </c>
      <c r="K1272">
        <v>89.6</v>
      </c>
      <c r="L1272">
        <v>796.1</v>
      </c>
      <c r="N1272">
        <v>58</v>
      </c>
      <c r="O1272">
        <v>58</v>
      </c>
      <c r="P1272" t="s">
        <v>712</v>
      </c>
      <c r="Q1272" t="s">
        <v>414</v>
      </c>
      <c r="R1272">
        <v>10</v>
      </c>
      <c r="S1272">
        <v>2.76</v>
      </c>
      <c r="T1272">
        <v>4925.165</v>
      </c>
      <c r="V1272">
        <v>4925.165</v>
      </c>
      <c r="W1272" t="s">
        <v>401</v>
      </c>
      <c r="X1272">
        <v>92.3</v>
      </c>
      <c r="Y1272">
        <v>822.8</v>
      </c>
    </row>
    <row r="1273" spans="1:25" x14ac:dyDescent="0.45">
      <c r="A1273">
        <v>25</v>
      </c>
      <c r="B1273">
        <v>25</v>
      </c>
      <c r="C1273" t="s">
        <v>606</v>
      </c>
      <c r="D1273" t="s">
        <v>414</v>
      </c>
      <c r="E1273">
        <v>10</v>
      </c>
      <c r="F1273">
        <v>2.76</v>
      </c>
      <c r="G1273">
        <v>2966.607</v>
      </c>
      <c r="I1273">
        <v>2966.607</v>
      </c>
      <c r="J1273" t="s">
        <v>401</v>
      </c>
      <c r="K1273">
        <v>72.900000000000006</v>
      </c>
      <c r="L1273">
        <v>628.6</v>
      </c>
      <c r="N1273">
        <v>59</v>
      </c>
      <c r="O1273">
        <v>59</v>
      </c>
      <c r="P1273" t="s">
        <v>713</v>
      </c>
      <c r="Q1273" t="s">
        <v>414</v>
      </c>
      <c r="R1273">
        <v>10</v>
      </c>
      <c r="S1273">
        <v>2.76</v>
      </c>
      <c r="T1273">
        <v>2437.94</v>
      </c>
      <c r="V1273">
        <v>2437.94</v>
      </c>
      <c r="W1273" t="s">
        <v>403</v>
      </c>
      <c r="X1273">
        <v>45.7</v>
      </c>
      <c r="Y1273">
        <v>356.8</v>
      </c>
    </row>
    <row r="1274" spans="1:25" x14ac:dyDescent="0.45">
      <c r="A1274">
        <v>26</v>
      </c>
      <c r="B1274">
        <v>26</v>
      </c>
      <c r="C1274" t="s">
        <v>607</v>
      </c>
      <c r="D1274" t="s">
        <v>414</v>
      </c>
      <c r="E1274">
        <v>10</v>
      </c>
      <c r="F1274">
        <v>2.76</v>
      </c>
      <c r="G1274">
        <v>6362.848</v>
      </c>
      <c r="I1274">
        <v>6362.848</v>
      </c>
      <c r="J1274" t="s">
        <v>403</v>
      </c>
      <c r="K1274">
        <v>156.30000000000001</v>
      </c>
      <c r="L1274">
        <v>1462.7</v>
      </c>
      <c r="N1274">
        <v>60</v>
      </c>
      <c r="O1274">
        <v>60</v>
      </c>
      <c r="P1274" t="s">
        <v>714</v>
      </c>
      <c r="Q1274" t="s">
        <v>414</v>
      </c>
      <c r="R1274">
        <v>10</v>
      </c>
      <c r="S1274">
        <v>2.76</v>
      </c>
      <c r="T1274">
        <v>3568.14</v>
      </c>
      <c r="V1274">
        <v>3568.14</v>
      </c>
      <c r="W1274" t="s">
        <v>401</v>
      </c>
      <c r="X1274">
        <v>66.900000000000006</v>
      </c>
      <c r="Y1274">
        <v>568.5</v>
      </c>
    </row>
    <row r="1275" spans="1:25" x14ac:dyDescent="0.45">
      <c r="A1275">
        <v>27</v>
      </c>
      <c r="B1275">
        <v>27</v>
      </c>
      <c r="C1275" t="s">
        <v>608</v>
      </c>
      <c r="D1275" t="s">
        <v>414</v>
      </c>
      <c r="E1275">
        <v>10</v>
      </c>
      <c r="F1275">
        <v>2.76</v>
      </c>
      <c r="G1275">
        <v>5939.0690000000004</v>
      </c>
      <c r="I1275">
        <v>5939.0690000000004</v>
      </c>
      <c r="J1275" t="s">
        <v>403</v>
      </c>
      <c r="K1275">
        <v>145.9</v>
      </c>
      <c r="L1275">
        <v>1358.6</v>
      </c>
      <c r="N1275">
        <v>61</v>
      </c>
      <c r="O1275">
        <v>61</v>
      </c>
      <c r="P1275" t="s">
        <v>715</v>
      </c>
      <c r="Q1275" t="s">
        <v>414</v>
      </c>
      <c r="R1275">
        <v>10</v>
      </c>
      <c r="S1275">
        <v>2.77</v>
      </c>
      <c r="T1275">
        <v>4559.5439999999999</v>
      </c>
      <c r="V1275">
        <v>4559.5439999999999</v>
      </c>
      <c r="W1275" t="s">
        <v>415</v>
      </c>
      <c r="X1275">
        <v>85.4</v>
      </c>
      <c r="Y1275">
        <v>754.3</v>
      </c>
    </row>
    <row r="1276" spans="1:25" x14ac:dyDescent="0.45">
      <c r="A1276">
        <v>28</v>
      </c>
      <c r="B1276">
        <v>28</v>
      </c>
      <c r="C1276" t="s">
        <v>609</v>
      </c>
      <c r="D1276" t="s">
        <v>414</v>
      </c>
      <c r="E1276">
        <v>10</v>
      </c>
      <c r="F1276">
        <v>2.76</v>
      </c>
      <c r="G1276">
        <v>3838.049</v>
      </c>
      <c r="I1276">
        <v>3838.049</v>
      </c>
      <c r="J1276" t="s">
        <v>403</v>
      </c>
      <c r="K1276">
        <v>94.3</v>
      </c>
      <c r="L1276">
        <v>842.6</v>
      </c>
      <c r="N1276">
        <v>62</v>
      </c>
      <c r="O1276">
        <v>62</v>
      </c>
      <c r="P1276" t="s">
        <v>716</v>
      </c>
      <c r="Q1276" t="s">
        <v>414</v>
      </c>
      <c r="R1276">
        <v>10</v>
      </c>
      <c r="S1276">
        <v>2.76</v>
      </c>
      <c r="T1276">
        <v>2241.6460000000002</v>
      </c>
      <c r="V1276">
        <v>2241.6460000000002</v>
      </c>
      <c r="W1276" t="s">
        <v>401</v>
      </c>
      <c r="X1276">
        <v>42</v>
      </c>
      <c r="Y1276">
        <v>320</v>
      </c>
    </row>
    <row r="1277" spans="1:25" x14ac:dyDescent="0.45">
      <c r="A1277">
        <v>29</v>
      </c>
      <c r="B1277">
        <v>29</v>
      </c>
      <c r="C1277" t="s">
        <v>610</v>
      </c>
      <c r="D1277" t="s">
        <v>414</v>
      </c>
      <c r="E1277">
        <v>10</v>
      </c>
      <c r="F1277">
        <v>2.76</v>
      </c>
      <c r="G1277">
        <v>2362.0390000000002</v>
      </c>
      <c r="I1277">
        <v>2362.0390000000002</v>
      </c>
      <c r="J1277" t="s">
        <v>401</v>
      </c>
      <c r="K1277">
        <v>58</v>
      </c>
      <c r="L1277">
        <v>480.1</v>
      </c>
      <c r="N1277">
        <v>63</v>
      </c>
      <c r="O1277">
        <v>63</v>
      </c>
      <c r="P1277" t="s">
        <v>717</v>
      </c>
      <c r="Q1277" t="s">
        <v>414</v>
      </c>
      <c r="R1277">
        <v>10</v>
      </c>
      <c r="S1277">
        <v>2.76</v>
      </c>
      <c r="T1277">
        <v>3471.0210000000002</v>
      </c>
      <c r="V1277">
        <v>3471.0210000000002</v>
      </c>
      <c r="W1277" t="s">
        <v>401</v>
      </c>
      <c r="X1277">
        <v>65</v>
      </c>
      <c r="Y1277">
        <v>550.29999999999995</v>
      </c>
    </row>
    <row r="1278" spans="1:25" x14ac:dyDescent="0.45">
      <c r="A1278">
        <v>30</v>
      </c>
      <c r="B1278">
        <v>30</v>
      </c>
      <c r="C1278" t="s">
        <v>611</v>
      </c>
      <c r="D1278" t="s">
        <v>414</v>
      </c>
      <c r="E1278">
        <v>10</v>
      </c>
      <c r="F1278">
        <v>2.76</v>
      </c>
      <c r="G1278">
        <v>2821.4009999999998</v>
      </c>
      <c r="I1278">
        <v>2821.4009999999998</v>
      </c>
      <c r="J1278" t="s">
        <v>401</v>
      </c>
      <c r="K1278">
        <v>69.3</v>
      </c>
      <c r="L1278">
        <v>592.9</v>
      </c>
      <c r="N1278">
        <v>64</v>
      </c>
      <c r="O1278">
        <v>64</v>
      </c>
      <c r="P1278" t="s">
        <v>718</v>
      </c>
      <c r="Q1278" t="s">
        <v>414</v>
      </c>
      <c r="R1278">
        <v>10</v>
      </c>
      <c r="S1278">
        <v>2.76</v>
      </c>
      <c r="T1278">
        <v>5767.2709999999997</v>
      </c>
      <c r="V1278">
        <v>5767.2709999999997</v>
      </c>
      <c r="W1278" t="s">
        <v>401</v>
      </c>
      <c r="X1278">
        <v>108.1</v>
      </c>
      <c r="Y1278">
        <v>980.6</v>
      </c>
    </row>
    <row r="1279" spans="1:25" x14ac:dyDescent="0.45">
      <c r="A1279">
        <v>31</v>
      </c>
      <c r="B1279">
        <v>31</v>
      </c>
      <c r="C1279" t="s">
        <v>612</v>
      </c>
      <c r="D1279" t="s">
        <v>414</v>
      </c>
      <c r="E1279">
        <v>10</v>
      </c>
      <c r="F1279">
        <v>2.76</v>
      </c>
      <c r="G1279">
        <v>2550.893</v>
      </c>
      <c r="I1279">
        <v>2550.893</v>
      </c>
      <c r="J1279" t="s">
        <v>403</v>
      </c>
      <c r="K1279">
        <v>62.7</v>
      </c>
      <c r="L1279">
        <v>526.5</v>
      </c>
      <c r="N1279">
        <v>65</v>
      </c>
      <c r="O1279">
        <v>65</v>
      </c>
      <c r="P1279" t="s">
        <v>719</v>
      </c>
      <c r="Q1279" t="s">
        <v>414</v>
      </c>
      <c r="R1279">
        <v>10</v>
      </c>
      <c r="S1279">
        <v>2.76</v>
      </c>
      <c r="T1279">
        <v>3060.846</v>
      </c>
      <c r="V1279">
        <v>3060.846</v>
      </c>
      <c r="W1279" t="s">
        <v>403</v>
      </c>
      <c r="X1279">
        <v>57.3</v>
      </c>
      <c r="Y1279">
        <v>473.5</v>
      </c>
    </row>
    <row r="1280" spans="1:25" x14ac:dyDescent="0.45">
      <c r="A1280">
        <v>32</v>
      </c>
      <c r="B1280">
        <v>32</v>
      </c>
      <c r="C1280" t="s">
        <v>613</v>
      </c>
      <c r="D1280" t="s">
        <v>414</v>
      </c>
      <c r="E1280">
        <v>10</v>
      </c>
      <c r="F1280">
        <v>2.76</v>
      </c>
      <c r="G1280">
        <v>3105.2849999999999</v>
      </c>
      <c r="I1280">
        <v>3105.2849999999999</v>
      </c>
      <c r="J1280" t="s">
        <v>415</v>
      </c>
      <c r="K1280">
        <v>76.3</v>
      </c>
      <c r="L1280">
        <v>662.7</v>
      </c>
      <c r="N1280">
        <v>66</v>
      </c>
      <c r="O1280">
        <v>66</v>
      </c>
      <c r="P1280" t="s">
        <v>720</v>
      </c>
      <c r="Q1280" t="s">
        <v>414</v>
      </c>
      <c r="R1280">
        <v>10</v>
      </c>
      <c r="S1280">
        <v>2.76</v>
      </c>
      <c r="T1280">
        <v>5622.7560000000003</v>
      </c>
      <c r="V1280">
        <v>5622.7560000000003</v>
      </c>
      <c r="W1280" t="s">
        <v>412</v>
      </c>
      <c r="X1280">
        <v>105.3</v>
      </c>
      <c r="Y1280">
        <v>953.5</v>
      </c>
    </row>
    <row r="1281" spans="1:25" x14ac:dyDescent="0.45">
      <c r="A1281">
        <v>33</v>
      </c>
      <c r="B1281">
        <v>33</v>
      </c>
      <c r="C1281" t="s">
        <v>614</v>
      </c>
      <c r="D1281" t="s">
        <v>414</v>
      </c>
      <c r="E1281">
        <v>10</v>
      </c>
      <c r="F1281">
        <v>2.76</v>
      </c>
      <c r="G1281">
        <v>4282.8630000000003</v>
      </c>
      <c r="I1281">
        <v>4282.8630000000003</v>
      </c>
      <c r="J1281" t="s">
        <v>403</v>
      </c>
      <c r="K1281">
        <v>105.2</v>
      </c>
      <c r="L1281">
        <v>951.9</v>
      </c>
      <c r="N1281">
        <v>67</v>
      </c>
      <c r="O1281">
        <v>67</v>
      </c>
      <c r="P1281" t="s">
        <v>721</v>
      </c>
      <c r="Q1281" t="s">
        <v>414</v>
      </c>
      <c r="R1281">
        <v>10</v>
      </c>
      <c r="S1281">
        <v>2.76</v>
      </c>
      <c r="T1281">
        <v>5964.8680000000004</v>
      </c>
      <c r="V1281">
        <v>5964.8680000000004</v>
      </c>
      <c r="W1281" t="s">
        <v>401</v>
      </c>
      <c r="X1281">
        <v>111.8</v>
      </c>
      <c r="Y1281">
        <v>1017.6</v>
      </c>
    </row>
    <row r="1282" spans="1:25" x14ac:dyDescent="0.45">
      <c r="A1282">
        <v>34</v>
      </c>
      <c r="B1282">
        <v>34</v>
      </c>
      <c r="C1282" t="s">
        <v>615</v>
      </c>
      <c r="D1282" t="s">
        <v>414</v>
      </c>
      <c r="E1282">
        <v>10</v>
      </c>
      <c r="F1282">
        <v>2.76</v>
      </c>
      <c r="G1282">
        <v>2287.1770000000001</v>
      </c>
      <c r="I1282">
        <v>2287.1770000000001</v>
      </c>
      <c r="J1282" t="s">
        <v>403</v>
      </c>
      <c r="K1282">
        <v>56.2</v>
      </c>
      <c r="L1282">
        <v>461.7</v>
      </c>
    </row>
    <row r="1283" spans="1:25" x14ac:dyDescent="0.45">
      <c r="A1283">
        <v>35</v>
      </c>
      <c r="B1283">
        <v>35</v>
      </c>
      <c r="C1283" t="s">
        <v>616</v>
      </c>
      <c r="D1283" t="s">
        <v>414</v>
      </c>
      <c r="E1283">
        <v>10</v>
      </c>
      <c r="F1283">
        <v>2.76</v>
      </c>
      <c r="G1283">
        <v>2325.58</v>
      </c>
      <c r="I1283">
        <v>2325.58</v>
      </c>
      <c r="J1283" t="s">
        <v>401</v>
      </c>
      <c r="K1283">
        <v>57.1</v>
      </c>
      <c r="L1283">
        <v>471.2</v>
      </c>
      <c r="N1283" t="s">
        <v>504</v>
      </c>
    </row>
    <row r="1284" spans="1:25" x14ac:dyDescent="0.45">
      <c r="A1284">
        <v>36</v>
      </c>
      <c r="B1284">
        <v>36</v>
      </c>
      <c r="C1284" t="s">
        <v>617</v>
      </c>
      <c r="D1284" t="s">
        <v>414</v>
      </c>
      <c r="E1284">
        <v>10</v>
      </c>
      <c r="F1284">
        <v>2.75</v>
      </c>
      <c r="G1284">
        <v>3024.9789999999998</v>
      </c>
      <c r="I1284">
        <v>3024.9789999999998</v>
      </c>
      <c r="J1284" t="s">
        <v>403</v>
      </c>
      <c r="K1284">
        <v>74.3</v>
      </c>
      <c r="L1284">
        <v>642.9</v>
      </c>
    </row>
    <row r="1285" spans="1:25" x14ac:dyDescent="0.45">
      <c r="A1285">
        <v>37</v>
      </c>
      <c r="B1285">
        <v>37</v>
      </c>
      <c r="C1285" t="s">
        <v>618</v>
      </c>
      <c r="D1285" t="s">
        <v>414</v>
      </c>
      <c r="E1285">
        <v>10</v>
      </c>
      <c r="F1285">
        <v>2.76</v>
      </c>
      <c r="G1285">
        <v>3401.3220000000001</v>
      </c>
      <c r="I1285">
        <v>3401.3220000000001</v>
      </c>
      <c r="J1285" t="s">
        <v>403</v>
      </c>
      <c r="K1285">
        <v>83.5</v>
      </c>
      <c r="L1285">
        <v>735.4</v>
      </c>
      <c r="O1285" t="s">
        <v>389</v>
      </c>
      <c r="P1285" t="s">
        <v>123</v>
      </c>
      <c r="Q1285" t="s">
        <v>390</v>
      </c>
      <c r="R1285" t="s">
        <v>391</v>
      </c>
      <c r="S1285" t="s">
        <v>392</v>
      </c>
      <c r="T1285" t="s">
        <v>393</v>
      </c>
      <c r="U1285" t="s">
        <v>394</v>
      </c>
      <c r="V1285" t="s">
        <v>395</v>
      </c>
      <c r="W1285" t="s">
        <v>396</v>
      </c>
      <c r="X1285" t="s">
        <v>397</v>
      </c>
      <c r="Y1285" t="s">
        <v>398</v>
      </c>
    </row>
    <row r="1286" spans="1:25" x14ac:dyDescent="0.45">
      <c r="A1286">
        <v>38</v>
      </c>
      <c r="B1286">
        <v>38</v>
      </c>
      <c r="C1286" t="s">
        <v>619</v>
      </c>
      <c r="D1286" t="s">
        <v>414</v>
      </c>
      <c r="E1286">
        <v>10</v>
      </c>
      <c r="F1286">
        <v>2.77</v>
      </c>
      <c r="G1286">
        <v>1386.2380000000001</v>
      </c>
      <c r="I1286">
        <v>1386.2380000000001</v>
      </c>
      <c r="J1286" t="s">
        <v>401</v>
      </c>
      <c r="K1286">
        <v>34</v>
      </c>
      <c r="L1286">
        <v>240.5</v>
      </c>
      <c r="N1286">
        <v>1</v>
      </c>
      <c r="O1286">
        <v>1</v>
      </c>
      <c r="P1286" t="s">
        <v>655</v>
      </c>
      <c r="Q1286" t="s">
        <v>400</v>
      </c>
      <c r="R1286">
        <v>10</v>
      </c>
      <c r="S1286">
        <v>2.81</v>
      </c>
      <c r="T1286">
        <v>157820.46900000001</v>
      </c>
      <c r="V1286">
        <v>157820.46900000001</v>
      </c>
      <c r="W1286" t="s">
        <v>403</v>
      </c>
      <c r="X1286">
        <v>11.4</v>
      </c>
      <c r="Y1286">
        <v>13.7</v>
      </c>
    </row>
    <row r="1287" spans="1:25" x14ac:dyDescent="0.45">
      <c r="A1287">
        <v>39</v>
      </c>
      <c r="B1287">
        <v>39</v>
      </c>
      <c r="C1287" t="s">
        <v>620</v>
      </c>
      <c r="D1287" t="s">
        <v>414</v>
      </c>
      <c r="E1287">
        <v>10</v>
      </c>
      <c r="F1287">
        <v>2.76</v>
      </c>
      <c r="G1287">
        <v>2764.1109999999999</v>
      </c>
      <c r="I1287">
        <v>2764.1109999999999</v>
      </c>
      <c r="J1287" t="s">
        <v>401</v>
      </c>
      <c r="K1287">
        <v>67.900000000000006</v>
      </c>
      <c r="L1287">
        <v>578.9</v>
      </c>
      <c r="N1287">
        <v>2</v>
      </c>
      <c r="O1287">
        <v>2</v>
      </c>
      <c r="P1287" t="s">
        <v>656</v>
      </c>
      <c r="Q1287" t="s">
        <v>400</v>
      </c>
      <c r="R1287">
        <v>10</v>
      </c>
      <c r="S1287">
        <v>2.81</v>
      </c>
      <c r="T1287">
        <v>149271.09400000001</v>
      </c>
      <c r="V1287">
        <v>149271.09400000001</v>
      </c>
      <c r="W1287" t="s">
        <v>401</v>
      </c>
      <c r="X1287">
        <v>10.8</v>
      </c>
      <c r="Y1287">
        <v>7.6</v>
      </c>
    </row>
    <row r="1288" spans="1:25" x14ac:dyDescent="0.45">
      <c r="A1288">
        <v>40</v>
      </c>
      <c r="B1288">
        <v>40</v>
      </c>
      <c r="C1288" t="s">
        <v>621</v>
      </c>
      <c r="D1288" t="s">
        <v>414</v>
      </c>
      <c r="E1288">
        <v>10</v>
      </c>
      <c r="F1288">
        <v>2.76</v>
      </c>
      <c r="G1288">
        <v>4274.0020000000004</v>
      </c>
      <c r="I1288">
        <v>4274.0020000000004</v>
      </c>
      <c r="J1288" t="s">
        <v>401</v>
      </c>
      <c r="K1288">
        <v>105</v>
      </c>
      <c r="L1288">
        <v>949.7</v>
      </c>
      <c r="N1288">
        <v>3</v>
      </c>
      <c r="O1288">
        <v>3</v>
      </c>
      <c r="P1288" t="s">
        <v>657</v>
      </c>
      <c r="Q1288" t="s">
        <v>400</v>
      </c>
      <c r="R1288">
        <v>10</v>
      </c>
      <c r="S1288">
        <v>2.81</v>
      </c>
      <c r="T1288">
        <v>140143.20300000001</v>
      </c>
      <c r="V1288">
        <v>140143.20300000001</v>
      </c>
      <c r="W1288" t="s">
        <v>401</v>
      </c>
      <c r="X1288">
        <v>10.1</v>
      </c>
      <c r="Y1288">
        <v>1</v>
      </c>
    </row>
    <row r="1289" spans="1:25" x14ac:dyDescent="0.45">
      <c r="A1289">
        <v>41</v>
      </c>
      <c r="B1289">
        <v>41</v>
      </c>
      <c r="C1289" t="s">
        <v>622</v>
      </c>
      <c r="D1289" t="s">
        <v>414</v>
      </c>
      <c r="E1289">
        <v>10</v>
      </c>
      <c r="F1289">
        <v>2.76</v>
      </c>
      <c r="G1289">
        <v>3044.741</v>
      </c>
      <c r="I1289">
        <v>3044.741</v>
      </c>
      <c r="J1289" t="s">
        <v>401</v>
      </c>
      <c r="K1289">
        <v>74.8</v>
      </c>
      <c r="L1289">
        <v>647.79999999999995</v>
      </c>
      <c r="N1289">
        <v>4</v>
      </c>
      <c r="O1289">
        <v>4</v>
      </c>
      <c r="P1289" t="s">
        <v>658</v>
      </c>
      <c r="Q1289" t="s">
        <v>400</v>
      </c>
      <c r="R1289">
        <v>10</v>
      </c>
      <c r="S1289">
        <v>2.81</v>
      </c>
      <c r="T1289">
        <v>136556.125</v>
      </c>
      <c r="V1289">
        <v>136556.125</v>
      </c>
      <c r="W1289" t="s">
        <v>401</v>
      </c>
      <c r="X1289">
        <v>9.8000000000000007</v>
      </c>
      <c r="Y1289">
        <v>-1.6</v>
      </c>
    </row>
    <row r="1290" spans="1:25" x14ac:dyDescent="0.45">
      <c r="A1290">
        <v>42</v>
      </c>
      <c r="B1290">
        <v>42</v>
      </c>
      <c r="C1290" t="s">
        <v>623</v>
      </c>
      <c r="D1290" t="s">
        <v>414</v>
      </c>
      <c r="E1290">
        <v>10</v>
      </c>
      <c r="F1290">
        <v>2.76</v>
      </c>
      <c r="G1290">
        <v>5161.0600000000004</v>
      </c>
      <c r="I1290">
        <v>5161.0600000000004</v>
      </c>
      <c r="J1290" t="s">
        <v>403</v>
      </c>
      <c r="K1290">
        <v>126.8</v>
      </c>
      <c r="L1290">
        <v>1167.5999999999999</v>
      </c>
      <c r="N1290">
        <v>5</v>
      </c>
      <c r="O1290">
        <v>5</v>
      </c>
      <c r="P1290" t="s">
        <v>659</v>
      </c>
      <c r="Q1290" t="s">
        <v>400</v>
      </c>
      <c r="R1290">
        <v>10</v>
      </c>
      <c r="S1290">
        <v>2.81</v>
      </c>
      <c r="T1290">
        <v>135322.93799999999</v>
      </c>
      <c r="V1290">
        <v>135322.93799999999</v>
      </c>
      <c r="W1290" t="s">
        <v>401</v>
      </c>
      <c r="X1290">
        <v>9.8000000000000007</v>
      </c>
      <c r="Y1290">
        <v>-2.5</v>
      </c>
    </row>
    <row r="1291" spans="1:25" x14ac:dyDescent="0.45">
      <c r="A1291">
        <v>43</v>
      </c>
      <c r="B1291">
        <v>43</v>
      </c>
      <c r="C1291" t="s">
        <v>624</v>
      </c>
      <c r="D1291" t="s">
        <v>414</v>
      </c>
      <c r="E1291">
        <v>10</v>
      </c>
      <c r="F1291">
        <v>2.76</v>
      </c>
      <c r="G1291">
        <v>6932.7139999999999</v>
      </c>
      <c r="I1291">
        <v>6932.7139999999999</v>
      </c>
      <c r="J1291" t="s">
        <v>403</v>
      </c>
      <c r="K1291">
        <v>170.3</v>
      </c>
      <c r="L1291">
        <v>1602.7</v>
      </c>
      <c r="N1291">
        <v>6</v>
      </c>
      <c r="O1291">
        <v>6</v>
      </c>
      <c r="P1291" t="s">
        <v>660</v>
      </c>
      <c r="Q1291" t="s">
        <v>400</v>
      </c>
      <c r="R1291">
        <v>10</v>
      </c>
      <c r="S1291">
        <v>2.81</v>
      </c>
      <c r="T1291">
        <v>127885.906</v>
      </c>
      <c r="V1291">
        <v>127885.906</v>
      </c>
      <c r="W1291" t="s">
        <v>401</v>
      </c>
      <c r="X1291">
        <v>9.1999999999999993</v>
      </c>
      <c r="Y1291">
        <v>-7.8</v>
      </c>
    </row>
    <row r="1292" spans="1:25" x14ac:dyDescent="0.45">
      <c r="A1292">
        <v>44</v>
      </c>
      <c r="B1292">
        <v>44</v>
      </c>
      <c r="C1292" t="s">
        <v>625</v>
      </c>
      <c r="D1292" t="s">
        <v>414</v>
      </c>
      <c r="E1292">
        <v>10</v>
      </c>
      <c r="F1292">
        <v>2.76</v>
      </c>
      <c r="G1292">
        <v>3403.01</v>
      </c>
      <c r="I1292">
        <v>3403.01</v>
      </c>
      <c r="J1292" t="s">
        <v>403</v>
      </c>
      <c r="K1292">
        <v>83.6</v>
      </c>
      <c r="L1292">
        <v>735.8</v>
      </c>
      <c r="N1292">
        <v>7</v>
      </c>
      <c r="O1292">
        <v>7</v>
      </c>
      <c r="P1292" t="s">
        <v>661</v>
      </c>
      <c r="Q1292" t="s">
        <v>400</v>
      </c>
      <c r="R1292">
        <v>10</v>
      </c>
      <c r="S1292">
        <v>2.81</v>
      </c>
      <c r="T1292">
        <v>124263.06299999999</v>
      </c>
      <c r="V1292">
        <v>124263.06299999999</v>
      </c>
      <c r="W1292" t="s">
        <v>401</v>
      </c>
      <c r="X1292">
        <v>9</v>
      </c>
      <c r="Y1292">
        <v>-10.4</v>
      </c>
    </row>
    <row r="1293" spans="1:25" x14ac:dyDescent="0.45">
      <c r="A1293">
        <v>45</v>
      </c>
      <c r="B1293">
        <v>45</v>
      </c>
      <c r="C1293" t="s">
        <v>626</v>
      </c>
      <c r="D1293" t="s">
        <v>414</v>
      </c>
      <c r="E1293">
        <v>10</v>
      </c>
      <c r="F1293">
        <v>2.76</v>
      </c>
      <c r="G1293">
        <v>3233.2379999999998</v>
      </c>
      <c r="I1293">
        <v>3233.2379999999998</v>
      </c>
      <c r="J1293" t="s">
        <v>401</v>
      </c>
      <c r="K1293">
        <v>79.400000000000006</v>
      </c>
      <c r="L1293">
        <v>694.1</v>
      </c>
      <c r="N1293">
        <v>8</v>
      </c>
      <c r="O1293">
        <v>8</v>
      </c>
      <c r="P1293" t="s">
        <v>662</v>
      </c>
      <c r="Q1293" t="s">
        <v>414</v>
      </c>
      <c r="R1293">
        <v>10</v>
      </c>
      <c r="S1293">
        <v>2.81</v>
      </c>
      <c r="T1293">
        <v>51073.741999999998</v>
      </c>
      <c r="V1293">
        <v>51073.741999999998</v>
      </c>
      <c r="W1293" t="s">
        <v>403</v>
      </c>
      <c r="X1293">
        <v>3.7</v>
      </c>
      <c r="Y1293">
        <v>-63.2</v>
      </c>
    </row>
    <row r="1294" spans="1:25" x14ac:dyDescent="0.45">
      <c r="A1294">
        <v>46</v>
      </c>
      <c r="B1294">
        <v>46</v>
      </c>
      <c r="C1294" t="s">
        <v>627</v>
      </c>
      <c r="D1294" t="s">
        <v>414</v>
      </c>
      <c r="E1294">
        <v>10</v>
      </c>
      <c r="F1294">
        <v>2.76</v>
      </c>
      <c r="G1294">
        <v>2725.703</v>
      </c>
      <c r="I1294">
        <v>2725.703</v>
      </c>
      <c r="J1294" t="s">
        <v>403</v>
      </c>
      <c r="K1294">
        <v>66.900000000000006</v>
      </c>
      <c r="L1294">
        <v>569.4</v>
      </c>
      <c r="N1294">
        <v>9</v>
      </c>
      <c r="O1294">
        <v>9</v>
      </c>
      <c r="P1294" t="s">
        <v>663</v>
      </c>
      <c r="Q1294" t="s">
        <v>414</v>
      </c>
      <c r="R1294">
        <v>10</v>
      </c>
      <c r="S1294">
        <v>2.82</v>
      </c>
      <c r="T1294">
        <v>41879.68</v>
      </c>
      <c r="V1294">
        <v>41879.68</v>
      </c>
      <c r="W1294" t="s">
        <v>401</v>
      </c>
      <c r="X1294">
        <v>3</v>
      </c>
      <c r="Y1294">
        <v>-69.8</v>
      </c>
    </row>
    <row r="1295" spans="1:25" x14ac:dyDescent="0.45">
      <c r="A1295">
        <v>47</v>
      </c>
      <c r="B1295">
        <v>47</v>
      </c>
      <c r="C1295" t="s">
        <v>628</v>
      </c>
      <c r="D1295" t="s">
        <v>414</v>
      </c>
      <c r="E1295">
        <v>10</v>
      </c>
      <c r="F1295">
        <v>2.76</v>
      </c>
      <c r="G1295">
        <v>3431.549</v>
      </c>
      <c r="I1295">
        <v>3431.549</v>
      </c>
      <c r="J1295" t="s">
        <v>403</v>
      </c>
      <c r="K1295">
        <v>84.3</v>
      </c>
      <c r="L1295">
        <v>742.8</v>
      </c>
      <c r="N1295">
        <v>10</v>
      </c>
      <c r="O1295">
        <v>10</v>
      </c>
      <c r="P1295" t="s">
        <v>664</v>
      </c>
      <c r="Q1295" t="s">
        <v>414</v>
      </c>
      <c r="R1295">
        <v>10</v>
      </c>
      <c r="S1295">
        <v>2.82</v>
      </c>
      <c r="T1295">
        <v>40047.410000000003</v>
      </c>
      <c r="V1295">
        <v>40047.410000000003</v>
      </c>
      <c r="W1295" t="s">
        <v>415</v>
      </c>
      <c r="X1295">
        <v>2.9</v>
      </c>
      <c r="Y1295">
        <v>-71.099999999999994</v>
      </c>
    </row>
    <row r="1296" spans="1:25" x14ac:dyDescent="0.45">
      <c r="A1296">
        <v>48</v>
      </c>
      <c r="B1296">
        <v>48</v>
      </c>
      <c r="C1296" t="s">
        <v>629</v>
      </c>
      <c r="D1296" t="s">
        <v>414</v>
      </c>
      <c r="E1296">
        <v>10</v>
      </c>
      <c r="F1296">
        <v>2.76</v>
      </c>
      <c r="G1296">
        <v>3919.9749999999999</v>
      </c>
      <c r="I1296">
        <v>3919.9749999999999</v>
      </c>
      <c r="J1296" t="s">
        <v>403</v>
      </c>
      <c r="K1296">
        <v>96.3</v>
      </c>
      <c r="L1296">
        <v>862.8</v>
      </c>
      <c r="N1296">
        <v>11</v>
      </c>
      <c r="O1296">
        <v>11</v>
      </c>
      <c r="P1296" t="s">
        <v>665</v>
      </c>
      <c r="Q1296" t="s">
        <v>414</v>
      </c>
      <c r="R1296">
        <v>10</v>
      </c>
      <c r="S1296">
        <v>2.82</v>
      </c>
      <c r="T1296">
        <v>37171.656000000003</v>
      </c>
      <c r="V1296">
        <v>37171.656000000003</v>
      </c>
      <c r="W1296" t="s">
        <v>401</v>
      </c>
      <c r="X1296">
        <v>2.7</v>
      </c>
      <c r="Y1296">
        <v>-73.2</v>
      </c>
    </row>
    <row r="1297" spans="1:25" x14ac:dyDescent="0.45">
      <c r="A1297">
        <v>49</v>
      </c>
      <c r="B1297">
        <v>49</v>
      </c>
      <c r="C1297" t="s">
        <v>630</v>
      </c>
      <c r="D1297" t="s">
        <v>414</v>
      </c>
      <c r="E1297">
        <v>10</v>
      </c>
      <c r="F1297">
        <v>2.76</v>
      </c>
      <c r="G1297">
        <v>7946.5789999999997</v>
      </c>
      <c r="I1297">
        <v>7946.5789999999997</v>
      </c>
      <c r="J1297" t="s">
        <v>403</v>
      </c>
      <c r="K1297">
        <v>195.2</v>
      </c>
      <c r="L1297">
        <v>1851.7</v>
      </c>
      <c r="N1297">
        <v>12</v>
      </c>
      <c r="O1297">
        <v>12</v>
      </c>
      <c r="P1297" t="s">
        <v>666</v>
      </c>
      <c r="Q1297" t="s">
        <v>414</v>
      </c>
      <c r="R1297">
        <v>10</v>
      </c>
      <c r="S1297">
        <v>2.82</v>
      </c>
      <c r="T1297">
        <v>50504.671999999999</v>
      </c>
      <c r="V1297">
        <v>50504.671999999999</v>
      </c>
      <c r="W1297" t="s">
        <v>403</v>
      </c>
      <c r="X1297">
        <v>3.6</v>
      </c>
      <c r="Y1297">
        <v>-63.6</v>
      </c>
    </row>
    <row r="1298" spans="1:25" x14ac:dyDescent="0.45">
      <c r="A1298">
        <v>50</v>
      </c>
      <c r="B1298">
        <v>50</v>
      </c>
      <c r="C1298" t="s">
        <v>631</v>
      </c>
      <c r="D1298" t="s">
        <v>414</v>
      </c>
      <c r="E1298">
        <v>10</v>
      </c>
      <c r="F1298">
        <v>2.76</v>
      </c>
      <c r="G1298">
        <v>2545.52</v>
      </c>
      <c r="I1298">
        <v>2545.52</v>
      </c>
      <c r="J1298" t="s">
        <v>401</v>
      </c>
      <c r="K1298">
        <v>62.5</v>
      </c>
      <c r="L1298">
        <v>525.20000000000005</v>
      </c>
      <c r="N1298">
        <v>13</v>
      </c>
      <c r="O1298">
        <v>13</v>
      </c>
      <c r="P1298" t="s">
        <v>667</v>
      </c>
      <c r="Q1298" t="s">
        <v>414</v>
      </c>
      <c r="R1298">
        <v>10</v>
      </c>
      <c r="S1298">
        <v>2.81</v>
      </c>
      <c r="T1298">
        <v>32754.655999999999</v>
      </c>
      <c r="V1298">
        <v>32754.655999999999</v>
      </c>
      <c r="W1298" t="s">
        <v>401</v>
      </c>
      <c r="X1298">
        <v>2.4</v>
      </c>
      <c r="Y1298">
        <v>-76.400000000000006</v>
      </c>
    </row>
    <row r="1299" spans="1:25" x14ac:dyDescent="0.45">
      <c r="A1299">
        <v>51</v>
      </c>
      <c r="B1299">
        <v>51</v>
      </c>
      <c r="C1299" t="s">
        <v>632</v>
      </c>
      <c r="D1299" t="s">
        <v>414</v>
      </c>
      <c r="E1299">
        <v>10</v>
      </c>
      <c r="F1299">
        <v>2.76</v>
      </c>
      <c r="G1299">
        <v>2152.1460000000002</v>
      </c>
      <c r="I1299">
        <v>2152.1460000000002</v>
      </c>
      <c r="J1299" t="s">
        <v>403</v>
      </c>
      <c r="K1299">
        <v>52.9</v>
      </c>
      <c r="L1299">
        <v>428.6</v>
      </c>
      <c r="N1299">
        <v>14</v>
      </c>
      <c r="O1299">
        <v>14</v>
      </c>
      <c r="P1299" t="s">
        <v>668</v>
      </c>
      <c r="Q1299" t="s">
        <v>414</v>
      </c>
      <c r="R1299">
        <v>10</v>
      </c>
      <c r="S1299">
        <v>2.81</v>
      </c>
      <c r="T1299">
        <v>48809.023000000001</v>
      </c>
      <c r="V1299">
        <v>48809.023000000001</v>
      </c>
      <c r="W1299" t="s">
        <v>401</v>
      </c>
      <c r="X1299">
        <v>3.5</v>
      </c>
      <c r="Y1299">
        <v>-64.8</v>
      </c>
    </row>
    <row r="1300" spans="1:25" x14ac:dyDescent="0.45">
      <c r="A1300">
        <v>52</v>
      </c>
      <c r="B1300">
        <v>52</v>
      </c>
      <c r="C1300" t="s">
        <v>633</v>
      </c>
      <c r="D1300" t="s">
        <v>414</v>
      </c>
      <c r="E1300">
        <v>10</v>
      </c>
      <c r="F1300">
        <v>2.76</v>
      </c>
      <c r="G1300">
        <v>4894.3860000000004</v>
      </c>
      <c r="I1300">
        <v>4894.3860000000004</v>
      </c>
      <c r="J1300" t="s">
        <v>401</v>
      </c>
      <c r="K1300">
        <v>120.2</v>
      </c>
      <c r="L1300">
        <v>1102.0999999999999</v>
      </c>
      <c r="N1300">
        <v>15</v>
      </c>
      <c r="O1300">
        <v>15</v>
      </c>
      <c r="P1300" t="s">
        <v>669</v>
      </c>
      <c r="Q1300" t="s">
        <v>414</v>
      </c>
      <c r="R1300">
        <v>10</v>
      </c>
      <c r="S1300">
        <v>2.81</v>
      </c>
      <c r="T1300">
        <v>33390.375</v>
      </c>
      <c r="V1300">
        <v>33390.375</v>
      </c>
      <c r="W1300" t="s">
        <v>401</v>
      </c>
      <c r="X1300">
        <v>2.4</v>
      </c>
      <c r="Y1300">
        <v>-75.900000000000006</v>
      </c>
    </row>
    <row r="1301" spans="1:25" x14ac:dyDescent="0.45">
      <c r="A1301">
        <v>53</v>
      </c>
      <c r="B1301">
        <v>53</v>
      </c>
      <c r="C1301" t="s">
        <v>634</v>
      </c>
      <c r="D1301" t="s">
        <v>414</v>
      </c>
      <c r="E1301">
        <v>10</v>
      </c>
      <c r="F1301">
        <v>2.76</v>
      </c>
      <c r="G1301">
        <v>4693.0630000000001</v>
      </c>
      <c r="I1301">
        <v>4693.0630000000001</v>
      </c>
      <c r="J1301" t="s">
        <v>401</v>
      </c>
      <c r="K1301">
        <v>115.3</v>
      </c>
      <c r="L1301">
        <v>1052.5999999999999</v>
      </c>
      <c r="N1301">
        <v>16</v>
      </c>
      <c r="O1301">
        <v>16</v>
      </c>
      <c r="P1301" t="s">
        <v>670</v>
      </c>
      <c r="Q1301" t="s">
        <v>414</v>
      </c>
      <c r="R1301">
        <v>10</v>
      </c>
      <c r="S1301">
        <v>2.82</v>
      </c>
      <c r="T1301">
        <v>21181.046999999999</v>
      </c>
      <c r="V1301">
        <v>21181.046999999999</v>
      </c>
      <c r="W1301" t="s">
        <v>401</v>
      </c>
      <c r="X1301">
        <v>1.5</v>
      </c>
      <c r="Y1301">
        <v>-84.7</v>
      </c>
    </row>
    <row r="1302" spans="1:25" x14ac:dyDescent="0.45">
      <c r="A1302">
        <v>54</v>
      </c>
      <c r="B1302">
        <v>54</v>
      </c>
      <c r="C1302" t="s">
        <v>635</v>
      </c>
      <c r="D1302" t="s">
        <v>414</v>
      </c>
      <c r="E1302">
        <v>10</v>
      </c>
      <c r="F1302">
        <v>2.76</v>
      </c>
      <c r="G1302">
        <v>2984.8789999999999</v>
      </c>
      <c r="I1302">
        <v>2984.8789999999999</v>
      </c>
      <c r="J1302" t="s">
        <v>403</v>
      </c>
      <c r="K1302">
        <v>73.3</v>
      </c>
      <c r="L1302">
        <v>633.1</v>
      </c>
      <c r="N1302">
        <v>17</v>
      </c>
      <c r="O1302">
        <v>17</v>
      </c>
      <c r="P1302" t="s">
        <v>671</v>
      </c>
      <c r="Q1302" t="s">
        <v>414</v>
      </c>
      <c r="R1302">
        <v>10</v>
      </c>
      <c r="S1302">
        <v>2.81</v>
      </c>
      <c r="T1302">
        <v>24707.303</v>
      </c>
      <c r="V1302">
        <v>24707.303</v>
      </c>
      <c r="W1302" t="s">
        <v>415</v>
      </c>
      <c r="X1302">
        <v>1.8</v>
      </c>
      <c r="Y1302">
        <v>-82.2</v>
      </c>
    </row>
    <row r="1303" spans="1:25" x14ac:dyDescent="0.45">
      <c r="A1303">
        <v>55</v>
      </c>
      <c r="B1303">
        <v>55</v>
      </c>
      <c r="C1303" t="s">
        <v>636</v>
      </c>
      <c r="D1303" t="s">
        <v>414</v>
      </c>
      <c r="E1303">
        <v>10</v>
      </c>
      <c r="F1303">
        <v>2.76</v>
      </c>
      <c r="G1303">
        <v>3896.8989999999999</v>
      </c>
      <c r="I1303">
        <v>3896.8989999999999</v>
      </c>
      <c r="J1303" t="s">
        <v>401</v>
      </c>
      <c r="K1303">
        <v>95.7</v>
      </c>
      <c r="L1303">
        <v>857.1</v>
      </c>
      <c r="N1303">
        <v>18</v>
      </c>
      <c r="O1303">
        <v>18</v>
      </c>
      <c r="P1303" t="s">
        <v>672</v>
      </c>
      <c r="Q1303" t="s">
        <v>414</v>
      </c>
      <c r="R1303">
        <v>10</v>
      </c>
      <c r="S1303">
        <v>2.82</v>
      </c>
      <c r="T1303">
        <v>31987.254000000001</v>
      </c>
      <c r="V1303">
        <v>31987.254000000001</v>
      </c>
      <c r="W1303" t="s">
        <v>401</v>
      </c>
      <c r="X1303">
        <v>2.2999999999999998</v>
      </c>
      <c r="Y1303">
        <v>-76.900000000000006</v>
      </c>
    </row>
    <row r="1304" spans="1:25" x14ac:dyDescent="0.45">
      <c r="A1304">
        <v>56</v>
      </c>
      <c r="B1304">
        <v>56</v>
      </c>
      <c r="C1304" t="s">
        <v>637</v>
      </c>
      <c r="D1304" t="s">
        <v>414</v>
      </c>
      <c r="E1304">
        <v>10</v>
      </c>
      <c r="F1304">
        <v>2.76</v>
      </c>
      <c r="G1304">
        <v>5898.3019999999997</v>
      </c>
      <c r="I1304">
        <v>5898.3019999999997</v>
      </c>
      <c r="J1304" t="s">
        <v>403</v>
      </c>
      <c r="K1304">
        <v>144.9</v>
      </c>
      <c r="L1304">
        <v>1348.6</v>
      </c>
      <c r="N1304">
        <v>19</v>
      </c>
      <c r="O1304">
        <v>19</v>
      </c>
      <c r="P1304" t="s">
        <v>673</v>
      </c>
      <c r="Q1304" t="s">
        <v>414</v>
      </c>
      <c r="R1304">
        <v>10</v>
      </c>
      <c r="S1304">
        <v>2.81</v>
      </c>
      <c r="T1304">
        <v>32429.245999999999</v>
      </c>
      <c r="V1304">
        <v>32429.245999999999</v>
      </c>
      <c r="W1304" t="s">
        <v>401</v>
      </c>
      <c r="X1304">
        <v>2.2999999999999998</v>
      </c>
      <c r="Y1304">
        <v>-76.599999999999994</v>
      </c>
    </row>
    <row r="1305" spans="1:25" x14ac:dyDescent="0.45">
      <c r="A1305">
        <v>57</v>
      </c>
      <c r="B1305">
        <v>57</v>
      </c>
      <c r="C1305" t="s">
        <v>638</v>
      </c>
      <c r="D1305" t="s">
        <v>414</v>
      </c>
      <c r="E1305">
        <v>10</v>
      </c>
      <c r="F1305">
        <v>2.76</v>
      </c>
      <c r="G1305">
        <v>3698.4110000000001</v>
      </c>
      <c r="I1305">
        <v>3698.4110000000001</v>
      </c>
      <c r="J1305" t="s">
        <v>401</v>
      </c>
      <c r="K1305">
        <v>90.8</v>
      </c>
      <c r="L1305">
        <v>808.3</v>
      </c>
      <c r="N1305">
        <v>20</v>
      </c>
      <c r="O1305">
        <v>20</v>
      </c>
      <c r="P1305" t="s">
        <v>674</v>
      </c>
      <c r="Q1305" t="s">
        <v>414</v>
      </c>
      <c r="R1305">
        <v>10</v>
      </c>
      <c r="S1305">
        <v>2.82</v>
      </c>
      <c r="T1305">
        <v>28551.215</v>
      </c>
      <c r="V1305">
        <v>28551.215</v>
      </c>
      <c r="W1305" t="s">
        <v>415</v>
      </c>
      <c r="X1305">
        <v>2.1</v>
      </c>
      <c r="Y1305">
        <v>-79.400000000000006</v>
      </c>
    </row>
    <row r="1306" spans="1:25" x14ac:dyDescent="0.45">
      <c r="A1306">
        <v>58</v>
      </c>
      <c r="B1306">
        <v>58</v>
      </c>
      <c r="C1306" t="s">
        <v>639</v>
      </c>
      <c r="D1306" t="s">
        <v>414</v>
      </c>
      <c r="E1306">
        <v>10</v>
      </c>
      <c r="F1306">
        <v>2.77</v>
      </c>
      <c r="G1306">
        <v>1777.5170000000001</v>
      </c>
      <c r="I1306">
        <v>1777.5170000000001</v>
      </c>
      <c r="J1306" t="s">
        <v>403</v>
      </c>
      <c r="K1306">
        <v>43.7</v>
      </c>
      <c r="L1306">
        <v>336.6</v>
      </c>
      <c r="N1306">
        <v>21</v>
      </c>
      <c r="O1306">
        <v>21</v>
      </c>
      <c r="P1306" t="s">
        <v>675</v>
      </c>
      <c r="Q1306" t="s">
        <v>414</v>
      </c>
      <c r="R1306">
        <v>10</v>
      </c>
      <c r="S1306">
        <v>2.81</v>
      </c>
      <c r="T1306">
        <v>33726.175999999999</v>
      </c>
      <c r="V1306">
        <v>33726.175999999999</v>
      </c>
      <c r="W1306" t="s">
        <v>401</v>
      </c>
      <c r="X1306">
        <v>2.4</v>
      </c>
      <c r="Y1306">
        <v>-75.7</v>
      </c>
    </row>
    <row r="1307" spans="1:25" x14ac:dyDescent="0.45">
      <c r="A1307">
        <v>59</v>
      </c>
      <c r="B1307">
        <v>59</v>
      </c>
      <c r="C1307" t="s">
        <v>640</v>
      </c>
      <c r="D1307" t="s">
        <v>414</v>
      </c>
      <c r="E1307">
        <v>10</v>
      </c>
      <c r="F1307">
        <v>2.76</v>
      </c>
      <c r="G1307">
        <v>3510.886</v>
      </c>
      <c r="I1307">
        <v>3510.886</v>
      </c>
      <c r="J1307" t="s">
        <v>403</v>
      </c>
      <c r="K1307">
        <v>86.2</v>
      </c>
      <c r="L1307">
        <v>762.3</v>
      </c>
      <c r="N1307">
        <v>22</v>
      </c>
      <c r="O1307">
        <v>22</v>
      </c>
      <c r="P1307" t="s">
        <v>676</v>
      </c>
      <c r="Q1307" t="s">
        <v>414</v>
      </c>
      <c r="R1307">
        <v>10</v>
      </c>
      <c r="S1307">
        <v>2.82</v>
      </c>
      <c r="T1307">
        <v>28869.703000000001</v>
      </c>
      <c r="V1307">
        <v>28869.703000000001</v>
      </c>
      <c r="W1307" t="s">
        <v>401</v>
      </c>
      <c r="X1307">
        <v>2.1</v>
      </c>
      <c r="Y1307">
        <v>-79.2</v>
      </c>
    </row>
    <row r="1308" spans="1:25" x14ac:dyDescent="0.45">
      <c r="A1308">
        <v>60</v>
      </c>
      <c r="B1308">
        <v>60</v>
      </c>
      <c r="C1308" t="s">
        <v>641</v>
      </c>
      <c r="D1308" t="s">
        <v>414</v>
      </c>
      <c r="E1308">
        <v>10</v>
      </c>
      <c r="F1308">
        <v>2.76</v>
      </c>
      <c r="G1308">
        <v>2524.15</v>
      </c>
      <c r="I1308">
        <v>2524.15</v>
      </c>
      <c r="J1308" t="s">
        <v>403</v>
      </c>
      <c r="K1308">
        <v>62</v>
      </c>
      <c r="L1308">
        <v>519.9</v>
      </c>
      <c r="N1308">
        <v>23</v>
      </c>
      <c r="O1308">
        <v>23</v>
      </c>
      <c r="P1308" t="s">
        <v>677</v>
      </c>
      <c r="Q1308" t="s">
        <v>414</v>
      </c>
      <c r="R1308">
        <v>10</v>
      </c>
      <c r="S1308">
        <v>2.81</v>
      </c>
      <c r="T1308">
        <v>28047.248</v>
      </c>
      <c r="V1308">
        <v>28047.248</v>
      </c>
      <c r="W1308" t="s">
        <v>415</v>
      </c>
      <c r="X1308">
        <v>2</v>
      </c>
      <c r="Y1308">
        <v>-79.8</v>
      </c>
    </row>
    <row r="1309" spans="1:25" x14ac:dyDescent="0.45">
      <c r="A1309">
        <v>61</v>
      </c>
      <c r="B1309">
        <v>61</v>
      </c>
      <c r="C1309" t="s">
        <v>642</v>
      </c>
      <c r="D1309" t="s">
        <v>414</v>
      </c>
      <c r="E1309">
        <v>10</v>
      </c>
      <c r="F1309">
        <v>2.76</v>
      </c>
      <c r="G1309">
        <v>2003.1120000000001</v>
      </c>
      <c r="I1309">
        <v>2003.1120000000001</v>
      </c>
      <c r="J1309" t="s">
        <v>401</v>
      </c>
      <c r="K1309">
        <v>49.2</v>
      </c>
      <c r="L1309">
        <v>392</v>
      </c>
      <c r="N1309">
        <v>24</v>
      </c>
      <c r="O1309">
        <v>24</v>
      </c>
      <c r="P1309" t="s">
        <v>678</v>
      </c>
      <c r="Q1309" t="s">
        <v>414</v>
      </c>
      <c r="R1309">
        <v>10</v>
      </c>
      <c r="S1309">
        <v>2.82</v>
      </c>
      <c r="T1309">
        <v>22555.134999999998</v>
      </c>
      <c r="V1309">
        <v>22555.134999999998</v>
      </c>
      <c r="W1309" t="s">
        <v>401</v>
      </c>
      <c r="X1309">
        <v>1.6</v>
      </c>
      <c r="Y1309">
        <v>-83.7</v>
      </c>
    </row>
    <row r="1310" spans="1:25" x14ac:dyDescent="0.45">
      <c r="A1310">
        <v>62</v>
      </c>
      <c r="B1310">
        <v>62</v>
      </c>
      <c r="C1310" t="s">
        <v>643</v>
      </c>
      <c r="D1310" t="s">
        <v>414</v>
      </c>
      <c r="E1310">
        <v>10</v>
      </c>
      <c r="F1310">
        <v>2.76</v>
      </c>
      <c r="G1310">
        <v>2535.6379999999999</v>
      </c>
      <c r="I1310">
        <v>2535.6379999999999</v>
      </c>
      <c r="J1310" t="s">
        <v>403</v>
      </c>
      <c r="K1310">
        <v>62.3</v>
      </c>
      <c r="L1310">
        <v>522.79999999999995</v>
      </c>
      <c r="N1310">
        <v>25</v>
      </c>
      <c r="O1310">
        <v>25</v>
      </c>
      <c r="P1310" t="s">
        <v>679</v>
      </c>
      <c r="Q1310" t="s">
        <v>414</v>
      </c>
      <c r="R1310">
        <v>10</v>
      </c>
      <c r="S1310">
        <v>2.81</v>
      </c>
      <c r="T1310">
        <v>20327.953000000001</v>
      </c>
      <c r="V1310">
        <v>20327.953000000001</v>
      </c>
      <c r="W1310" t="s">
        <v>415</v>
      </c>
      <c r="X1310">
        <v>1.5</v>
      </c>
      <c r="Y1310">
        <v>-85.3</v>
      </c>
    </row>
    <row r="1311" spans="1:25" x14ac:dyDescent="0.45">
      <c r="A1311">
        <v>63</v>
      </c>
      <c r="B1311">
        <v>63</v>
      </c>
      <c r="C1311" t="s">
        <v>644</v>
      </c>
      <c r="D1311" t="s">
        <v>414</v>
      </c>
      <c r="E1311">
        <v>10</v>
      </c>
      <c r="F1311">
        <v>2.76</v>
      </c>
      <c r="G1311">
        <v>1866.739</v>
      </c>
      <c r="I1311">
        <v>1866.739</v>
      </c>
      <c r="J1311" t="s">
        <v>403</v>
      </c>
      <c r="K1311">
        <v>45.8</v>
      </c>
      <c r="L1311">
        <v>358.5</v>
      </c>
      <c r="N1311">
        <v>26</v>
      </c>
      <c r="O1311">
        <v>26</v>
      </c>
      <c r="P1311" t="s">
        <v>680</v>
      </c>
      <c r="Q1311" t="s">
        <v>414</v>
      </c>
      <c r="R1311">
        <v>10</v>
      </c>
      <c r="S1311">
        <v>2.81</v>
      </c>
      <c r="T1311">
        <v>21581.572</v>
      </c>
      <c r="V1311">
        <v>21581.572</v>
      </c>
      <c r="W1311" t="s">
        <v>401</v>
      </c>
      <c r="X1311">
        <v>1.6</v>
      </c>
      <c r="Y1311">
        <v>-84.4</v>
      </c>
    </row>
    <row r="1312" spans="1:25" x14ac:dyDescent="0.45">
      <c r="A1312">
        <v>64</v>
      </c>
      <c r="B1312">
        <v>64</v>
      </c>
      <c r="C1312" t="s">
        <v>645</v>
      </c>
      <c r="D1312" t="s">
        <v>414</v>
      </c>
      <c r="E1312">
        <v>10</v>
      </c>
      <c r="F1312">
        <v>2.76</v>
      </c>
      <c r="G1312">
        <v>2723.7260000000001</v>
      </c>
      <c r="I1312">
        <v>2723.7260000000001</v>
      </c>
      <c r="J1312" t="s">
        <v>403</v>
      </c>
      <c r="K1312">
        <v>66.900000000000006</v>
      </c>
      <c r="L1312">
        <v>569</v>
      </c>
      <c r="N1312">
        <v>27</v>
      </c>
      <c r="O1312">
        <v>27</v>
      </c>
      <c r="P1312" t="s">
        <v>681</v>
      </c>
      <c r="Q1312" t="s">
        <v>414</v>
      </c>
      <c r="R1312">
        <v>10</v>
      </c>
      <c r="S1312">
        <v>2.82</v>
      </c>
      <c r="T1312">
        <v>22295.338</v>
      </c>
      <c r="V1312">
        <v>22295.338</v>
      </c>
      <c r="W1312" t="s">
        <v>401</v>
      </c>
      <c r="X1312">
        <v>1.6</v>
      </c>
      <c r="Y1312">
        <v>-83.9</v>
      </c>
    </row>
    <row r="1313" spans="1:25" x14ac:dyDescent="0.45">
      <c r="A1313">
        <v>65</v>
      </c>
      <c r="B1313">
        <v>65</v>
      </c>
      <c r="C1313" t="s">
        <v>646</v>
      </c>
      <c r="D1313" t="s">
        <v>414</v>
      </c>
      <c r="E1313">
        <v>10</v>
      </c>
      <c r="F1313">
        <v>2.76</v>
      </c>
      <c r="G1313">
        <v>1855.13</v>
      </c>
      <c r="I1313">
        <v>1855.13</v>
      </c>
      <c r="J1313" t="s">
        <v>403</v>
      </c>
      <c r="K1313">
        <v>45.6</v>
      </c>
      <c r="L1313">
        <v>355.6</v>
      </c>
      <c r="N1313">
        <v>28</v>
      </c>
      <c r="O1313">
        <v>28</v>
      </c>
      <c r="P1313" t="s">
        <v>682</v>
      </c>
      <c r="Q1313" t="s">
        <v>414</v>
      </c>
      <c r="R1313">
        <v>10</v>
      </c>
      <c r="S1313">
        <v>2.81</v>
      </c>
      <c r="T1313">
        <v>25773.692999999999</v>
      </c>
      <c r="V1313">
        <v>25773.692999999999</v>
      </c>
      <c r="W1313" t="s">
        <v>401</v>
      </c>
      <c r="X1313">
        <v>1.9</v>
      </c>
      <c r="Y1313">
        <v>-81.400000000000006</v>
      </c>
    </row>
    <row r="1314" spans="1:25" x14ac:dyDescent="0.45">
      <c r="A1314">
        <v>66</v>
      </c>
      <c r="B1314">
        <v>66</v>
      </c>
      <c r="C1314" t="s">
        <v>647</v>
      </c>
      <c r="D1314" t="s">
        <v>414</v>
      </c>
      <c r="E1314">
        <v>10</v>
      </c>
      <c r="F1314">
        <v>2.76</v>
      </c>
      <c r="G1314">
        <v>3066.3739999999998</v>
      </c>
      <c r="I1314">
        <v>3066.3739999999998</v>
      </c>
      <c r="J1314" t="s">
        <v>401</v>
      </c>
      <c r="K1314">
        <v>75.3</v>
      </c>
      <c r="L1314">
        <v>653.1</v>
      </c>
      <c r="N1314">
        <v>29</v>
      </c>
      <c r="O1314">
        <v>29</v>
      </c>
      <c r="P1314" t="s">
        <v>683</v>
      </c>
      <c r="Q1314" t="s">
        <v>414</v>
      </c>
      <c r="R1314">
        <v>10</v>
      </c>
      <c r="S1314">
        <v>2.81</v>
      </c>
      <c r="T1314">
        <v>30564.956999999999</v>
      </c>
      <c r="V1314">
        <v>30564.956999999999</v>
      </c>
      <c r="W1314" t="s">
        <v>403</v>
      </c>
      <c r="X1314">
        <v>2.2000000000000002</v>
      </c>
      <c r="Y1314">
        <v>-78</v>
      </c>
    </row>
    <row r="1315" spans="1:25" x14ac:dyDescent="0.45">
      <c r="A1315">
        <v>67</v>
      </c>
      <c r="B1315">
        <v>67</v>
      </c>
      <c r="C1315" t="s">
        <v>648</v>
      </c>
      <c r="D1315" t="s">
        <v>414</v>
      </c>
      <c r="E1315">
        <v>10</v>
      </c>
      <c r="F1315">
        <v>2.76</v>
      </c>
      <c r="G1315">
        <v>1782.3679999999999</v>
      </c>
      <c r="I1315">
        <v>1782.3679999999999</v>
      </c>
      <c r="J1315" t="s">
        <v>401</v>
      </c>
      <c r="K1315">
        <v>43.8</v>
      </c>
      <c r="L1315">
        <v>337.8</v>
      </c>
      <c r="N1315">
        <v>30</v>
      </c>
      <c r="O1315">
        <v>30</v>
      </c>
      <c r="P1315" t="s">
        <v>684</v>
      </c>
      <c r="Q1315" t="s">
        <v>414</v>
      </c>
      <c r="R1315">
        <v>10</v>
      </c>
      <c r="S1315">
        <v>2.81</v>
      </c>
      <c r="T1315">
        <v>23776.713</v>
      </c>
      <c r="V1315">
        <v>23776.713</v>
      </c>
      <c r="W1315" t="s">
        <v>401</v>
      </c>
      <c r="X1315">
        <v>1.7</v>
      </c>
      <c r="Y1315">
        <v>-82.9</v>
      </c>
    </row>
    <row r="1316" spans="1:25" x14ac:dyDescent="0.45">
      <c r="A1316">
        <v>68</v>
      </c>
      <c r="B1316">
        <v>68</v>
      </c>
      <c r="C1316" t="s">
        <v>649</v>
      </c>
      <c r="D1316" t="s">
        <v>414</v>
      </c>
      <c r="E1316">
        <v>10</v>
      </c>
      <c r="F1316">
        <v>2.76</v>
      </c>
      <c r="G1316">
        <v>2184.6170000000002</v>
      </c>
      <c r="I1316">
        <v>2184.6170000000002</v>
      </c>
      <c r="J1316" t="s">
        <v>403</v>
      </c>
      <c r="K1316">
        <v>53.7</v>
      </c>
      <c r="L1316">
        <v>436.5</v>
      </c>
      <c r="N1316">
        <v>31</v>
      </c>
      <c r="O1316">
        <v>31</v>
      </c>
      <c r="P1316" t="s">
        <v>685</v>
      </c>
      <c r="Q1316" t="s">
        <v>414</v>
      </c>
      <c r="R1316">
        <v>10</v>
      </c>
      <c r="S1316">
        <v>2.81</v>
      </c>
      <c r="T1316">
        <v>33512.824000000001</v>
      </c>
      <c r="V1316">
        <v>33512.824000000001</v>
      </c>
      <c r="W1316" t="s">
        <v>403</v>
      </c>
      <c r="X1316">
        <v>2.4</v>
      </c>
      <c r="Y1316">
        <v>-75.8</v>
      </c>
    </row>
    <row r="1317" spans="1:25" x14ac:dyDescent="0.45">
      <c r="A1317">
        <v>69</v>
      </c>
      <c r="B1317">
        <v>69</v>
      </c>
      <c r="C1317" t="s">
        <v>650</v>
      </c>
      <c r="D1317" t="s">
        <v>414</v>
      </c>
      <c r="E1317">
        <v>10</v>
      </c>
      <c r="F1317">
        <v>2.76</v>
      </c>
      <c r="G1317">
        <v>6028.5510000000004</v>
      </c>
      <c r="I1317">
        <v>6028.5510000000004</v>
      </c>
      <c r="J1317" t="s">
        <v>401</v>
      </c>
      <c r="K1317">
        <v>148.1</v>
      </c>
      <c r="L1317">
        <v>1380.6</v>
      </c>
      <c r="N1317">
        <v>32</v>
      </c>
      <c r="O1317">
        <v>32</v>
      </c>
      <c r="P1317" t="s">
        <v>686</v>
      </c>
      <c r="Q1317" t="s">
        <v>414</v>
      </c>
      <c r="R1317">
        <v>10</v>
      </c>
      <c r="S1317">
        <v>2.81</v>
      </c>
      <c r="T1317">
        <v>44923.574000000001</v>
      </c>
      <c r="V1317">
        <v>44923.574000000001</v>
      </c>
      <c r="W1317" t="s">
        <v>401</v>
      </c>
      <c r="X1317">
        <v>3.2</v>
      </c>
      <c r="Y1317">
        <v>-67.599999999999994</v>
      </c>
    </row>
    <row r="1318" spans="1:25" x14ac:dyDescent="0.45">
      <c r="N1318">
        <v>33</v>
      </c>
      <c r="O1318">
        <v>33</v>
      </c>
      <c r="P1318" t="s">
        <v>687</v>
      </c>
      <c r="Q1318" t="s">
        <v>414</v>
      </c>
      <c r="R1318">
        <v>10</v>
      </c>
      <c r="S1318">
        <v>2.81</v>
      </c>
      <c r="T1318">
        <v>43166.093999999997</v>
      </c>
      <c r="V1318">
        <v>43166.093999999997</v>
      </c>
      <c r="W1318" t="s">
        <v>401</v>
      </c>
      <c r="X1318">
        <v>3.1</v>
      </c>
      <c r="Y1318">
        <v>-68.900000000000006</v>
      </c>
    </row>
    <row r="1319" spans="1:25" x14ac:dyDescent="0.45">
      <c r="A1319" t="s">
        <v>504</v>
      </c>
      <c r="N1319">
        <v>34</v>
      </c>
      <c r="O1319">
        <v>34</v>
      </c>
      <c r="P1319" t="s">
        <v>688</v>
      </c>
      <c r="Q1319" t="s">
        <v>414</v>
      </c>
      <c r="R1319">
        <v>10</v>
      </c>
      <c r="S1319">
        <v>2.82</v>
      </c>
      <c r="T1319">
        <v>40017.68</v>
      </c>
      <c r="V1319">
        <v>40017.68</v>
      </c>
      <c r="W1319" t="s">
        <v>403</v>
      </c>
      <c r="X1319">
        <v>2.9</v>
      </c>
      <c r="Y1319">
        <v>-71.2</v>
      </c>
    </row>
    <row r="1320" spans="1:25" x14ac:dyDescent="0.45">
      <c r="N1320">
        <v>35</v>
      </c>
      <c r="O1320">
        <v>35</v>
      </c>
      <c r="P1320" t="s">
        <v>689</v>
      </c>
      <c r="Q1320" t="s">
        <v>414</v>
      </c>
      <c r="R1320">
        <v>10</v>
      </c>
      <c r="S1320">
        <v>2.81</v>
      </c>
      <c r="T1320">
        <v>49998.508000000002</v>
      </c>
      <c r="V1320">
        <v>49998.508000000002</v>
      </c>
      <c r="W1320" t="s">
        <v>401</v>
      </c>
      <c r="X1320">
        <v>3.6</v>
      </c>
      <c r="Y1320">
        <v>-64</v>
      </c>
    </row>
    <row r="1321" spans="1:25" x14ac:dyDescent="0.45">
      <c r="B1321" t="s">
        <v>389</v>
      </c>
      <c r="C1321" t="s">
        <v>123</v>
      </c>
      <c r="D1321" t="s">
        <v>390</v>
      </c>
      <c r="E1321" t="s">
        <v>391</v>
      </c>
      <c r="F1321" t="s">
        <v>392</v>
      </c>
      <c r="G1321" t="s">
        <v>393</v>
      </c>
      <c r="H1321" t="s">
        <v>394</v>
      </c>
      <c r="I1321" t="s">
        <v>395</v>
      </c>
      <c r="J1321" t="s">
        <v>396</v>
      </c>
      <c r="K1321" t="s">
        <v>397</v>
      </c>
      <c r="L1321" t="s">
        <v>398</v>
      </c>
      <c r="N1321">
        <v>36</v>
      </c>
      <c r="O1321">
        <v>36</v>
      </c>
      <c r="P1321" t="s">
        <v>690</v>
      </c>
      <c r="Q1321" t="s">
        <v>414</v>
      </c>
      <c r="R1321">
        <v>10</v>
      </c>
      <c r="S1321">
        <v>2.82</v>
      </c>
      <c r="T1321">
        <v>27517.188999999998</v>
      </c>
      <c r="V1321">
        <v>27517.188999999998</v>
      </c>
      <c r="W1321" t="s">
        <v>415</v>
      </c>
      <c r="X1321">
        <v>2</v>
      </c>
      <c r="Y1321">
        <v>-80.2</v>
      </c>
    </row>
    <row r="1322" spans="1:25" x14ac:dyDescent="0.45">
      <c r="A1322">
        <v>1</v>
      </c>
      <c r="B1322">
        <v>1</v>
      </c>
      <c r="C1322" t="s">
        <v>582</v>
      </c>
      <c r="D1322" t="s">
        <v>400</v>
      </c>
      <c r="E1322">
        <v>10</v>
      </c>
      <c r="F1322">
        <v>2.82</v>
      </c>
      <c r="G1322">
        <v>117411.164</v>
      </c>
      <c r="I1322">
        <v>117411.164</v>
      </c>
      <c r="J1322" t="s">
        <v>401</v>
      </c>
      <c r="K1322">
        <v>9.4</v>
      </c>
      <c r="L1322">
        <v>-6.2</v>
      </c>
      <c r="N1322">
        <v>37</v>
      </c>
      <c r="O1322">
        <v>37</v>
      </c>
      <c r="P1322" t="s">
        <v>691</v>
      </c>
      <c r="Q1322" t="s">
        <v>414</v>
      </c>
      <c r="R1322">
        <v>10</v>
      </c>
      <c r="S1322">
        <v>2.82</v>
      </c>
      <c r="T1322">
        <v>22755.203000000001</v>
      </c>
      <c r="V1322">
        <v>22755.203000000001</v>
      </c>
      <c r="W1322" t="s">
        <v>403</v>
      </c>
      <c r="X1322">
        <v>1.6</v>
      </c>
      <c r="Y1322">
        <v>-83.6</v>
      </c>
    </row>
    <row r="1323" spans="1:25" x14ac:dyDescent="0.45">
      <c r="A1323">
        <v>2</v>
      </c>
      <c r="B1323">
        <v>2</v>
      </c>
      <c r="C1323" t="s">
        <v>583</v>
      </c>
      <c r="D1323" t="s">
        <v>400</v>
      </c>
      <c r="E1323">
        <v>10</v>
      </c>
      <c r="F1323">
        <v>2.81</v>
      </c>
      <c r="G1323">
        <v>138628.109</v>
      </c>
      <c r="I1323">
        <v>138628.109</v>
      </c>
      <c r="J1323" t="s">
        <v>403</v>
      </c>
      <c r="K1323">
        <v>11.1</v>
      </c>
      <c r="L1323">
        <v>10.8</v>
      </c>
      <c r="N1323">
        <v>38</v>
      </c>
      <c r="O1323">
        <v>38</v>
      </c>
      <c r="P1323" t="s">
        <v>692</v>
      </c>
      <c r="Q1323" t="s">
        <v>414</v>
      </c>
      <c r="R1323">
        <v>10</v>
      </c>
      <c r="S1323">
        <v>2.81</v>
      </c>
      <c r="T1323">
        <v>30332.245999999999</v>
      </c>
      <c r="V1323">
        <v>30332.245999999999</v>
      </c>
      <c r="W1323" t="s">
        <v>401</v>
      </c>
      <c r="X1323">
        <v>2.2000000000000002</v>
      </c>
      <c r="Y1323">
        <v>-78.099999999999994</v>
      </c>
    </row>
    <row r="1324" spans="1:25" x14ac:dyDescent="0.45">
      <c r="A1324">
        <v>3</v>
      </c>
      <c r="B1324">
        <v>3</v>
      </c>
      <c r="C1324" t="s">
        <v>584</v>
      </c>
      <c r="D1324" t="s">
        <v>400</v>
      </c>
      <c r="E1324">
        <v>10</v>
      </c>
      <c r="F1324">
        <v>2.81</v>
      </c>
      <c r="G1324">
        <v>113435.594</v>
      </c>
      <c r="I1324">
        <v>113435.594</v>
      </c>
      <c r="J1324" t="s">
        <v>401</v>
      </c>
      <c r="K1324">
        <v>9.1</v>
      </c>
      <c r="L1324">
        <v>-9.4</v>
      </c>
      <c r="N1324">
        <v>39</v>
      </c>
      <c r="O1324">
        <v>39</v>
      </c>
      <c r="P1324" t="s">
        <v>693</v>
      </c>
      <c r="Q1324" t="s">
        <v>414</v>
      </c>
      <c r="R1324">
        <v>10</v>
      </c>
      <c r="S1324">
        <v>2.82</v>
      </c>
      <c r="T1324">
        <v>31883.062999999998</v>
      </c>
      <c r="V1324">
        <v>31883.062999999998</v>
      </c>
      <c r="W1324" t="s">
        <v>401</v>
      </c>
      <c r="X1324">
        <v>2.2999999999999998</v>
      </c>
      <c r="Y1324">
        <v>-77</v>
      </c>
    </row>
    <row r="1325" spans="1:25" x14ac:dyDescent="0.45">
      <c r="A1325">
        <v>4</v>
      </c>
      <c r="B1325">
        <v>4</v>
      </c>
      <c r="C1325" t="s">
        <v>585</v>
      </c>
      <c r="D1325" t="s">
        <v>400</v>
      </c>
      <c r="E1325">
        <v>10</v>
      </c>
      <c r="F1325">
        <v>2.81</v>
      </c>
      <c r="G1325">
        <v>119644.523</v>
      </c>
      <c r="I1325">
        <v>119644.523</v>
      </c>
      <c r="J1325" t="s">
        <v>401</v>
      </c>
      <c r="K1325">
        <v>9.6</v>
      </c>
      <c r="L1325">
        <v>-4.4000000000000004</v>
      </c>
      <c r="N1325">
        <v>40</v>
      </c>
      <c r="O1325">
        <v>40</v>
      </c>
      <c r="P1325" t="s">
        <v>694</v>
      </c>
      <c r="Q1325" t="s">
        <v>414</v>
      </c>
      <c r="R1325">
        <v>10</v>
      </c>
      <c r="S1325">
        <v>2.81</v>
      </c>
      <c r="T1325">
        <v>62225.445</v>
      </c>
      <c r="V1325">
        <v>62225.445</v>
      </c>
      <c r="W1325" t="s">
        <v>415</v>
      </c>
      <c r="X1325">
        <v>4.5</v>
      </c>
      <c r="Y1325">
        <v>-55.2</v>
      </c>
    </row>
    <row r="1326" spans="1:25" x14ac:dyDescent="0.45">
      <c r="A1326">
        <v>5</v>
      </c>
      <c r="B1326">
        <v>5</v>
      </c>
      <c r="C1326" t="s">
        <v>586</v>
      </c>
      <c r="D1326" t="s">
        <v>400</v>
      </c>
      <c r="E1326">
        <v>10</v>
      </c>
      <c r="F1326">
        <v>2.81</v>
      </c>
      <c r="G1326">
        <v>134062.71900000001</v>
      </c>
      <c r="I1326">
        <v>134062.71900000001</v>
      </c>
      <c r="J1326" t="s">
        <v>401</v>
      </c>
      <c r="K1326">
        <v>10.7</v>
      </c>
      <c r="L1326">
        <v>7.1</v>
      </c>
      <c r="N1326">
        <v>41</v>
      </c>
      <c r="O1326">
        <v>41</v>
      </c>
      <c r="P1326" t="s">
        <v>695</v>
      </c>
      <c r="Q1326" t="s">
        <v>414</v>
      </c>
      <c r="R1326">
        <v>10</v>
      </c>
      <c r="S1326">
        <v>2.81</v>
      </c>
      <c r="T1326">
        <v>65159.101999999999</v>
      </c>
      <c r="V1326">
        <v>65159.101999999999</v>
      </c>
      <c r="W1326" t="s">
        <v>401</v>
      </c>
      <c r="X1326">
        <v>4.7</v>
      </c>
      <c r="Y1326">
        <v>-53</v>
      </c>
    </row>
    <row r="1327" spans="1:25" x14ac:dyDescent="0.45">
      <c r="A1327">
        <v>6</v>
      </c>
      <c r="B1327">
        <v>6</v>
      </c>
      <c r="C1327" t="s">
        <v>587</v>
      </c>
      <c r="D1327" t="s">
        <v>400</v>
      </c>
      <c r="E1327">
        <v>10</v>
      </c>
      <c r="F1327">
        <v>2.82</v>
      </c>
      <c r="G1327">
        <v>136304.92199999999</v>
      </c>
      <c r="I1327">
        <v>136304.92199999999</v>
      </c>
      <c r="J1327" t="s">
        <v>401</v>
      </c>
      <c r="K1327">
        <v>10.9</v>
      </c>
      <c r="L1327">
        <v>8.9</v>
      </c>
      <c r="N1327">
        <v>42</v>
      </c>
      <c r="O1327">
        <v>42</v>
      </c>
      <c r="P1327" t="s">
        <v>696</v>
      </c>
      <c r="Q1327" t="s">
        <v>414</v>
      </c>
      <c r="R1327">
        <v>10</v>
      </c>
      <c r="S1327">
        <v>2.82</v>
      </c>
      <c r="T1327">
        <v>62551.48</v>
      </c>
      <c r="V1327">
        <v>62551.48</v>
      </c>
      <c r="W1327" t="s">
        <v>415</v>
      </c>
      <c r="X1327">
        <v>4.5</v>
      </c>
      <c r="Y1327">
        <v>-54.9</v>
      </c>
    </row>
    <row r="1328" spans="1:25" x14ac:dyDescent="0.45">
      <c r="A1328">
        <v>7</v>
      </c>
      <c r="B1328">
        <v>7</v>
      </c>
      <c r="C1328" t="s">
        <v>588</v>
      </c>
      <c r="D1328" t="s">
        <v>400</v>
      </c>
      <c r="E1328">
        <v>10</v>
      </c>
      <c r="F1328">
        <v>2.81</v>
      </c>
      <c r="G1328">
        <v>116567.164</v>
      </c>
      <c r="I1328">
        <v>116567.164</v>
      </c>
      <c r="J1328" t="s">
        <v>401</v>
      </c>
      <c r="K1328">
        <v>9.3000000000000007</v>
      </c>
      <c r="L1328">
        <v>-6.9</v>
      </c>
      <c r="N1328">
        <v>43</v>
      </c>
      <c r="O1328">
        <v>43</v>
      </c>
      <c r="P1328" t="s">
        <v>697</v>
      </c>
      <c r="Q1328" t="s">
        <v>414</v>
      </c>
      <c r="R1328">
        <v>10</v>
      </c>
      <c r="S1328">
        <v>2.82</v>
      </c>
      <c r="T1328">
        <v>69802.491999999998</v>
      </c>
      <c r="V1328">
        <v>69802.491999999998</v>
      </c>
      <c r="W1328" t="s">
        <v>401</v>
      </c>
      <c r="X1328">
        <v>5</v>
      </c>
      <c r="Y1328">
        <v>-49.7</v>
      </c>
    </row>
    <row r="1329" spans="1:25" x14ac:dyDescent="0.45">
      <c r="A1329">
        <v>8</v>
      </c>
      <c r="B1329">
        <v>8</v>
      </c>
      <c r="C1329" t="s">
        <v>589</v>
      </c>
      <c r="D1329" t="s">
        <v>410</v>
      </c>
      <c r="E1329">
        <v>10</v>
      </c>
      <c r="F1329">
        <v>2.27</v>
      </c>
      <c r="G1329">
        <v>7470.3019999999997</v>
      </c>
      <c r="I1329">
        <v>7470.3019999999997</v>
      </c>
      <c r="J1329" t="s">
        <v>403</v>
      </c>
      <c r="K1329">
        <v>0.6</v>
      </c>
      <c r="L1329">
        <v>-94</v>
      </c>
      <c r="N1329">
        <v>44</v>
      </c>
      <c r="O1329">
        <v>44</v>
      </c>
      <c r="P1329" t="s">
        <v>698</v>
      </c>
      <c r="Q1329" t="s">
        <v>414</v>
      </c>
      <c r="R1329">
        <v>10</v>
      </c>
      <c r="S1329">
        <v>2.82</v>
      </c>
      <c r="T1329">
        <v>62200.565999999999</v>
      </c>
      <c r="V1329">
        <v>62200.565999999999</v>
      </c>
      <c r="W1329" t="s">
        <v>403</v>
      </c>
      <c r="X1329">
        <v>4.5</v>
      </c>
      <c r="Y1329">
        <v>-55.2</v>
      </c>
    </row>
    <row r="1330" spans="1:25" x14ac:dyDescent="0.45">
      <c r="A1330">
        <v>9</v>
      </c>
      <c r="B1330">
        <v>9</v>
      </c>
      <c r="C1330" t="s">
        <v>590</v>
      </c>
      <c r="D1330" t="s">
        <v>410</v>
      </c>
      <c r="E1330">
        <v>10</v>
      </c>
      <c r="F1330">
        <v>2.4</v>
      </c>
      <c r="G1330">
        <v>2630.6849999999999</v>
      </c>
      <c r="I1330">
        <v>2630.6849999999999</v>
      </c>
      <c r="J1330" t="s">
        <v>403</v>
      </c>
      <c r="K1330">
        <v>0.2</v>
      </c>
      <c r="L1330">
        <v>-97.9</v>
      </c>
      <c r="N1330">
        <v>45</v>
      </c>
      <c r="O1330">
        <v>45</v>
      </c>
      <c r="P1330" t="s">
        <v>699</v>
      </c>
      <c r="Q1330" t="s">
        <v>414</v>
      </c>
      <c r="R1330">
        <v>10</v>
      </c>
      <c r="S1330">
        <v>2.82</v>
      </c>
      <c r="T1330">
        <v>38354.843999999997</v>
      </c>
      <c r="V1330">
        <v>38354.843999999997</v>
      </c>
      <c r="W1330" t="s">
        <v>401</v>
      </c>
      <c r="X1330">
        <v>2.8</v>
      </c>
      <c r="Y1330">
        <v>-72.400000000000006</v>
      </c>
    </row>
    <row r="1331" spans="1:25" x14ac:dyDescent="0.45">
      <c r="A1331">
        <v>10</v>
      </c>
      <c r="B1331">
        <v>10</v>
      </c>
      <c r="C1331" t="s">
        <v>591</v>
      </c>
      <c r="D1331" t="s">
        <v>414</v>
      </c>
      <c r="E1331">
        <v>10</v>
      </c>
      <c r="F1331">
        <v>2.81</v>
      </c>
      <c r="G1331">
        <v>60054.163999999997</v>
      </c>
      <c r="I1331">
        <v>60054.163999999997</v>
      </c>
      <c r="J1331" t="s">
        <v>415</v>
      </c>
      <c r="K1331">
        <v>4.8</v>
      </c>
      <c r="L1331">
        <v>-52</v>
      </c>
      <c r="N1331">
        <v>46</v>
      </c>
      <c r="O1331">
        <v>46</v>
      </c>
      <c r="P1331" t="s">
        <v>700</v>
      </c>
      <c r="Q1331" t="s">
        <v>414</v>
      </c>
      <c r="R1331">
        <v>10</v>
      </c>
      <c r="S1331">
        <v>2.82</v>
      </c>
      <c r="T1331">
        <v>64870.605000000003</v>
      </c>
      <c r="V1331">
        <v>64870.605000000003</v>
      </c>
      <c r="W1331" t="s">
        <v>401</v>
      </c>
      <c r="X1331">
        <v>4.7</v>
      </c>
      <c r="Y1331">
        <v>-53.2</v>
      </c>
    </row>
    <row r="1332" spans="1:25" x14ac:dyDescent="0.45">
      <c r="A1332">
        <v>11</v>
      </c>
      <c r="B1332">
        <v>11</v>
      </c>
      <c r="C1332" t="s">
        <v>592</v>
      </c>
      <c r="D1332" t="s">
        <v>414</v>
      </c>
      <c r="E1332">
        <v>10</v>
      </c>
      <c r="F1332">
        <v>2.81</v>
      </c>
      <c r="G1332">
        <v>20785.078000000001</v>
      </c>
      <c r="I1332">
        <v>20785.078000000001</v>
      </c>
      <c r="J1332" t="s">
        <v>415</v>
      </c>
      <c r="K1332">
        <v>1.7</v>
      </c>
      <c r="L1332">
        <v>-83.4</v>
      </c>
      <c r="N1332">
        <v>47</v>
      </c>
      <c r="O1332">
        <v>47</v>
      </c>
      <c r="P1332" t="s">
        <v>701</v>
      </c>
      <c r="Q1332" t="s">
        <v>414</v>
      </c>
      <c r="R1332">
        <v>10</v>
      </c>
      <c r="S1332">
        <v>2.82</v>
      </c>
      <c r="T1332">
        <v>63617.777000000002</v>
      </c>
      <c r="V1332">
        <v>63617.777000000002</v>
      </c>
      <c r="W1332" t="s">
        <v>415</v>
      </c>
      <c r="X1332">
        <v>4.5999999999999996</v>
      </c>
      <c r="Y1332">
        <v>-54.1</v>
      </c>
    </row>
    <row r="1333" spans="1:25" x14ac:dyDescent="0.45">
      <c r="A1333">
        <v>12</v>
      </c>
      <c r="B1333">
        <v>12</v>
      </c>
      <c r="C1333" t="s">
        <v>593</v>
      </c>
      <c r="D1333" t="s">
        <v>414</v>
      </c>
      <c r="E1333">
        <v>10</v>
      </c>
      <c r="F1333">
        <v>2.82</v>
      </c>
      <c r="G1333">
        <v>35113.836000000003</v>
      </c>
      <c r="I1333">
        <v>35113.836000000003</v>
      </c>
      <c r="J1333" t="s">
        <v>401</v>
      </c>
      <c r="K1333">
        <v>2.8</v>
      </c>
      <c r="L1333">
        <v>-71.900000000000006</v>
      </c>
      <c r="N1333">
        <v>48</v>
      </c>
      <c r="O1333">
        <v>48</v>
      </c>
      <c r="P1333" t="s">
        <v>702</v>
      </c>
      <c r="Q1333" t="s">
        <v>414</v>
      </c>
      <c r="R1333">
        <v>10</v>
      </c>
      <c r="S1333">
        <v>2.82</v>
      </c>
      <c r="T1333">
        <v>69169.375</v>
      </c>
      <c r="V1333">
        <v>69169.375</v>
      </c>
      <c r="W1333" t="s">
        <v>415</v>
      </c>
      <c r="X1333">
        <v>5</v>
      </c>
      <c r="Y1333">
        <v>-50.1</v>
      </c>
    </row>
    <row r="1334" spans="1:25" x14ac:dyDescent="0.45">
      <c r="A1334">
        <v>13</v>
      </c>
      <c r="B1334">
        <v>13</v>
      </c>
      <c r="C1334" t="s">
        <v>594</v>
      </c>
      <c r="D1334" t="s">
        <v>414</v>
      </c>
      <c r="E1334">
        <v>10</v>
      </c>
      <c r="F1334">
        <v>2.81</v>
      </c>
      <c r="G1334">
        <v>63296.608999999997</v>
      </c>
      <c r="I1334">
        <v>63296.608999999997</v>
      </c>
      <c r="J1334" t="s">
        <v>401</v>
      </c>
      <c r="K1334">
        <v>5.0999999999999996</v>
      </c>
      <c r="L1334">
        <v>-49.4</v>
      </c>
      <c r="N1334">
        <v>49</v>
      </c>
      <c r="O1334">
        <v>49</v>
      </c>
      <c r="P1334" t="s">
        <v>703</v>
      </c>
      <c r="Q1334" t="s">
        <v>414</v>
      </c>
      <c r="R1334">
        <v>10</v>
      </c>
      <c r="S1334">
        <v>2.82</v>
      </c>
      <c r="T1334">
        <v>67523.733999999997</v>
      </c>
      <c r="V1334">
        <v>67523.733999999997</v>
      </c>
      <c r="W1334" t="s">
        <v>401</v>
      </c>
      <c r="X1334">
        <v>4.9000000000000004</v>
      </c>
      <c r="Y1334">
        <v>-51.3</v>
      </c>
    </row>
    <row r="1335" spans="1:25" x14ac:dyDescent="0.45">
      <c r="A1335">
        <v>14</v>
      </c>
      <c r="B1335">
        <v>14</v>
      </c>
      <c r="C1335" t="s">
        <v>595</v>
      </c>
      <c r="D1335" t="s">
        <v>414</v>
      </c>
      <c r="E1335">
        <v>10</v>
      </c>
      <c r="F1335">
        <v>2.82</v>
      </c>
      <c r="G1335">
        <v>58263.476999999999</v>
      </c>
      <c r="I1335">
        <v>58263.476999999999</v>
      </c>
      <c r="J1335" t="s">
        <v>415</v>
      </c>
      <c r="K1335">
        <v>4.7</v>
      </c>
      <c r="L1335">
        <v>-53.4</v>
      </c>
      <c r="N1335">
        <v>50</v>
      </c>
      <c r="O1335">
        <v>50</v>
      </c>
      <c r="P1335" t="s">
        <v>704</v>
      </c>
      <c r="Q1335" t="s">
        <v>414</v>
      </c>
      <c r="R1335">
        <v>10</v>
      </c>
      <c r="S1335">
        <v>2.82</v>
      </c>
      <c r="T1335">
        <v>61063.315999999999</v>
      </c>
      <c r="V1335">
        <v>61063.315999999999</v>
      </c>
      <c r="W1335" t="s">
        <v>415</v>
      </c>
      <c r="X1335">
        <v>4.4000000000000004</v>
      </c>
      <c r="Y1335">
        <v>-56</v>
      </c>
    </row>
    <row r="1336" spans="1:25" x14ac:dyDescent="0.45">
      <c r="A1336">
        <v>15</v>
      </c>
      <c r="B1336">
        <v>15</v>
      </c>
      <c r="C1336" t="s">
        <v>596</v>
      </c>
      <c r="D1336" t="s">
        <v>414</v>
      </c>
      <c r="E1336">
        <v>10</v>
      </c>
      <c r="F1336">
        <v>2.82</v>
      </c>
      <c r="G1336">
        <v>81676.679999999993</v>
      </c>
      <c r="I1336">
        <v>81676.679999999993</v>
      </c>
      <c r="J1336" t="s">
        <v>401</v>
      </c>
      <c r="K1336">
        <v>6.5</v>
      </c>
      <c r="L1336">
        <v>-34.700000000000003</v>
      </c>
      <c r="N1336">
        <v>51</v>
      </c>
      <c r="O1336">
        <v>51</v>
      </c>
      <c r="P1336" t="s">
        <v>705</v>
      </c>
      <c r="Q1336" t="s">
        <v>414</v>
      </c>
      <c r="R1336">
        <v>10</v>
      </c>
      <c r="S1336">
        <v>2.82</v>
      </c>
      <c r="T1336">
        <v>19284.455000000002</v>
      </c>
      <c r="V1336">
        <v>19284.455000000002</v>
      </c>
      <c r="W1336" t="s">
        <v>401</v>
      </c>
      <c r="X1336">
        <v>1.4</v>
      </c>
      <c r="Y1336">
        <v>-86.1</v>
      </c>
    </row>
    <row r="1337" spans="1:25" x14ac:dyDescent="0.45">
      <c r="A1337">
        <v>16</v>
      </c>
      <c r="B1337">
        <v>16</v>
      </c>
      <c r="C1337" t="s">
        <v>597</v>
      </c>
      <c r="D1337" t="s">
        <v>414</v>
      </c>
      <c r="E1337">
        <v>10</v>
      </c>
      <c r="F1337">
        <v>2.82</v>
      </c>
      <c r="G1337">
        <v>92352.101999999999</v>
      </c>
      <c r="I1337">
        <v>92352.101999999999</v>
      </c>
      <c r="J1337" t="s">
        <v>403</v>
      </c>
      <c r="K1337">
        <v>7.4</v>
      </c>
      <c r="L1337">
        <v>-26.2</v>
      </c>
      <c r="N1337">
        <v>52</v>
      </c>
      <c r="O1337">
        <v>52</v>
      </c>
      <c r="P1337" t="s">
        <v>706</v>
      </c>
      <c r="Q1337" t="s">
        <v>414</v>
      </c>
      <c r="R1337">
        <v>10</v>
      </c>
      <c r="S1337">
        <v>2.82</v>
      </c>
      <c r="T1337">
        <v>58839.02</v>
      </c>
      <c r="V1337">
        <v>58839.02</v>
      </c>
      <c r="W1337" t="s">
        <v>401</v>
      </c>
      <c r="X1337">
        <v>4.2</v>
      </c>
      <c r="Y1337">
        <v>-57.6</v>
      </c>
    </row>
    <row r="1338" spans="1:25" x14ac:dyDescent="0.45">
      <c r="A1338">
        <v>17</v>
      </c>
      <c r="B1338">
        <v>17</v>
      </c>
      <c r="C1338" t="s">
        <v>598</v>
      </c>
      <c r="D1338" t="s">
        <v>414</v>
      </c>
      <c r="E1338">
        <v>10</v>
      </c>
      <c r="F1338">
        <v>2.82</v>
      </c>
      <c r="G1338">
        <v>88977.804999999993</v>
      </c>
      <c r="I1338">
        <v>88977.804999999993</v>
      </c>
      <c r="J1338" t="s">
        <v>401</v>
      </c>
      <c r="K1338">
        <v>7.1</v>
      </c>
      <c r="L1338">
        <v>-28.9</v>
      </c>
      <c r="N1338">
        <v>53</v>
      </c>
      <c r="O1338">
        <v>53</v>
      </c>
      <c r="P1338" t="s">
        <v>707</v>
      </c>
      <c r="Q1338" t="s">
        <v>414</v>
      </c>
      <c r="R1338">
        <v>10</v>
      </c>
      <c r="S1338">
        <v>2.82</v>
      </c>
      <c r="T1338">
        <v>63788.012000000002</v>
      </c>
      <c r="V1338">
        <v>63788.012000000002</v>
      </c>
      <c r="W1338" t="s">
        <v>401</v>
      </c>
      <c r="X1338">
        <v>4.5999999999999996</v>
      </c>
      <c r="Y1338">
        <v>-54</v>
      </c>
    </row>
    <row r="1339" spans="1:25" x14ac:dyDescent="0.45">
      <c r="A1339">
        <v>18</v>
      </c>
      <c r="B1339">
        <v>18</v>
      </c>
      <c r="C1339" t="s">
        <v>599</v>
      </c>
      <c r="D1339" t="s">
        <v>414</v>
      </c>
      <c r="E1339">
        <v>10</v>
      </c>
      <c r="F1339">
        <v>2.82</v>
      </c>
      <c r="G1339">
        <v>26907.398000000001</v>
      </c>
      <c r="I1339">
        <v>26907.398000000001</v>
      </c>
      <c r="J1339" t="s">
        <v>401</v>
      </c>
      <c r="K1339">
        <v>2.2000000000000002</v>
      </c>
      <c r="L1339">
        <v>-78.5</v>
      </c>
      <c r="N1339">
        <v>54</v>
      </c>
      <c r="O1339">
        <v>54</v>
      </c>
      <c r="P1339" t="s">
        <v>708</v>
      </c>
      <c r="Q1339" t="s">
        <v>414</v>
      </c>
      <c r="R1339">
        <v>10</v>
      </c>
      <c r="S1339">
        <v>2.82</v>
      </c>
      <c r="T1339">
        <v>59934.800999999999</v>
      </c>
      <c r="V1339">
        <v>59934.800999999999</v>
      </c>
      <c r="W1339" t="s">
        <v>401</v>
      </c>
      <c r="X1339">
        <v>4.3</v>
      </c>
      <c r="Y1339">
        <v>-56.8</v>
      </c>
    </row>
    <row r="1340" spans="1:25" x14ac:dyDescent="0.45">
      <c r="A1340">
        <v>19</v>
      </c>
      <c r="B1340">
        <v>19</v>
      </c>
      <c r="C1340" t="s">
        <v>600</v>
      </c>
      <c r="D1340" t="s">
        <v>414</v>
      </c>
      <c r="E1340">
        <v>10</v>
      </c>
      <c r="F1340">
        <v>2.82</v>
      </c>
      <c r="G1340">
        <v>33219.324000000001</v>
      </c>
      <c r="I1340">
        <v>33219.324000000001</v>
      </c>
      <c r="J1340" t="s">
        <v>401</v>
      </c>
      <c r="K1340">
        <v>2.7</v>
      </c>
      <c r="L1340">
        <v>-73.5</v>
      </c>
      <c r="N1340">
        <v>55</v>
      </c>
      <c r="O1340">
        <v>55</v>
      </c>
      <c r="P1340" t="s">
        <v>709</v>
      </c>
      <c r="Q1340" t="s">
        <v>414</v>
      </c>
      <c r="R1340">
        <v>10</v>
      </c>
      <c r="S1340">
        <v>2.82</v>
      </c>
      <c r="T1340">
        <v>61284.472999999998</v>
      </c>
      <c r="V1340">
        <v>61284.472999999998</v>
      </c>
      <c r="W1340" t="s">
        <v>415</v>
      </c>
      <c r="X1340">
        <v>4.4000000000000004</v>
      </c>
      <c r="Y1340">
        <v>-55.8</v>
      </c>
    </row>
    <row r="1341" spans="1:25" x14ac:dyDescent="0.45">
      <c r="A1341">
        <v>20</v>
      </c>
      <c r="B1341">
        <v>20</v>
      </c>
      <c r="C1341" t="s">
        <v>601</v>
      </c>
      <c r="D1341" t="s">
        <v>414</v>
      </c>
      <c r="E1341">
        <v>10</v>
      </c>
      <c r="F1341">
        <v>2.82</v>
      </c>
      <c r="G1341">
        <v>21503.061000000002</v>
      </c>
      <c r="I1341">
        <v>21503.061000000002</v>
      </c>
      <c r="J1341" t="s">
        <v>401</v>
      </c>
      <c r="K1341">
        <v>1.7</v>
      </c>
      <c r="L1341">
        <v>-82.8</v>
      </c>
      <c r="N1341">
        <v>56</v>
      </c>
      <c r="O1341">
        <v>56</v>
      </c>
      <c r="P1341" t="s">
        <v>710</v>
      </c>
      <c r="Q1341" t="s">
        <v>414</v>
      </c>
      <c r="R1341">
        <v>10</v>
      </c>
      <c r="S1341">
        <v>2.82</v>
      </c>
      <c r="T1341">
        <v>71664.577999999994</v>
      </c>
      <c r="V1341">
        <v>71664.577999999994</v>
      </c>
      <c r="W1341" t="s">
        <v>401</v>
      </c>
      <c r="X1341">
        <v>5.2</v>
      </c>
      <c r="Y1341">
        <v>-48.4</v>
      </c>
    </row>
    <row r="1342" spans="1:25" x14ac:dyDescent="0.45">
      <c r="A1342">
        <v>21</v>
      </c>
      <c r="B1342">
        <v>21</v>
      </c>
      <c r="C1342" t="s">
        <v>602</v>
      </c>
      <c r="D1342" t="s">
        <v>414</v>
      </c>
      <c r="E1342">
        <v>10</v>
      </c>
      <c r="F1342">
        <v>2.82</v>
      </c>
      <c r="G1342">
        <v>36740.586000000003</v>
      </c>
      <c r="I1342">
        <v>36740.586000000003</v>
      </c>
      <c r="J1342" t="s">
        <v>401</v>
      </c>
      <c r="K1342">
        <v>2.9</v>
      </c>
      <c r="L1342">
        <v>-70.599999999999994</v>
      </c>
      <c r="N1342">
        <v>57</v>
      </c>
      <c r="O1342">
        <v>57</v>
      </c>
      <c r="P1342" t="s">
        <v>711</v>
      </c>
      <c r="Q1342" t="s">
        <v>414</v>
      </c>
      <c r="R1342">
        <v>10</v>
      </c>
      <c r="S1342">
        <v>2.82</v>
      </c>
      <c r="T1342">
        <v>77849.312999999995</v>
      </c>
      <c r="V1342">
        <v>77849.312999999995</v>
      </c>
      <c r="W1342" t="s">
        <v>415</v>
      </c>
      <c r="X1342">
        <v>5.6</v>
      </c>
      <c r="Y1342">
        <v>-43.9</v>
      </c>
    </row>
    <row r="1343" spans="1:25" x14ac:dyDescent="0.45">
      <c r="A1343">
        <v>22</v>
      </c>
      <c r="B1343">
        <v>22</v>
      </c>
      <c r="C1343" t="s">
        <v>603</v>
      </c>
      <c r="D1343" t="s">
        <v>414</v>
      </c>
      <c r="E1343">
        <v>10</v>
      </c>
      <c r="F1343">
        <v>2.81</v>
      </c>
      <c r="G1343">
        <v>81595.695000000007</v>
      </c>
      <c r="I1343">
        <v>81595.695000000007</v>
      </c>
      <c r="J1343" t="s">
        <v>401</v>
      </c>
      <c r="K1343">
        <v>6.5</v>
      </c>
      <c r="L1343">
        <v>-34.799999999999997</v>
      </c>
      <c r="N1343">
        <v>58</v>
      </c>
      <c r="O1343">
        <v>58</v>
      </c>
      <c r="P1343" t="s">
        <v>712</v>
      </c>
      <c r="Q1343" t="s">
        <v>414</v>
      </c>
      <c r="R1343">
        <v>10</v>
      </c>
      <c r="S1343">
        <v>2.82</v>
      </c>
      <c r="T1343">
        <v>78922.476999999999</v>
      </c>
      <c r="V1343">
        <v>78922.476999999999</v>
      </c>
      <c r="W1343" t="s">
        <v>415</v>
      </c>
      <c r="X1343">
        <v>5.7</v>
      </c>
      <c r="Y1343">
        <v>-43.1</v>
      </c>
    </row>
    <row r="1344" spans="1:25" x14ac:dyDescent="0.45">
      <c r="A1344">
        <v>23</v>
      </c>
      <c r="B1344">
        <v>23</v>
      </c>
      <c r="C1344" t="s">
        <v>604</v>
      </c>
      <c r="D1344" t="s">
        <v>414</v>
      </c>
      <c r="E1344">
        <v>10</v>
      </c>
      <c r="F1344">
        <v>2.82</v>
      </c>
      <c r="G1344">
        <v>80605.625</v>
      </c>
      <c r="I1344">
        <v>80605.625</v>
      </c>
      <c r="J1344" t="s">
        <v>415</v>
      </c>
      <c r="K1344">
        <v>6.4</v>
      </c>
      <c r="L1344">
        <v>-35.6</v>
      </c>
      <c r="N1344">
        <v>59</v>
      </c>
      <c r="O1344">
        <v>59</v>
      </c>
      <c r="P1344" t="s">
        <v>713</v>
      </c>
      <c r="Q1344" t="s">
        <v>414</v>
      </c>
      <c r="R1344">
        <v>10</v>
      </c>
      <c r="S1344">
        <v>2.82</v>
      </c>
      <c r="T1344">
        <v>37659.269999999997</v>
      </c>
      <c r="V1344">
        <v>37659.269999999997</v>
      </c>
      <c r="W1344" t="s">
        <v>403</v>
      </c>
      <c r="X1344">
        <v>2.7</v>
      </c>
      <c r="Y1344">
        <v>-72.900000000000006</v>
      </c>
    </row>
    <row r="1345" spans="1:25" x14ac:dyDescent="0.45">
      <c r="A1345">
        <v>24</v>
      </c>
      <c r="B1345">
        <v>24</v>
      </c>
      <c r="C1345" t="s">
        <v>605</v>
      </c>
      <c r="D1345" t="s">
        <v>414</v>
      </c>
      <c r="E1345">
        <v>10</v>
      </c>
      <c r="F1345">
        <v>2.82</v>
      </c>
      <c r="G1345">
        <v>50490.616999999998</v>
      </c>
      <c r="I1345">
        <v>50490.616999999998</v>
      </c>
      <c r="J1345" t="s">
        <v>401</v>
      </c>
      <c r="K1345">
        <v>4</v>
      </c>
      <c r="L1345">
        <v>-59.7</v>
      </c>
      <c r="N1345">
        <v>60</v>
      </c>
      <c r="O1345">
        <v>60</v>
      </c>
      <c r="P1345" t="s">
        <v>714</v>
      </c>
      <c r="Q1345" t="s">
        <v>414</v>
      </c>
      <c r="R1345">
        <v>10</v>
      </c>
      <c r="S1345">
        <v>2.82</v>
      </c>
      <c r="T1345">
        <v>45342.987999999998</v>
      </c>
      <c r="V1345">
        <v>45342.987999999998</v>
      </c>
      <c r="W1345" t="s">
        <v>415</v>
      </c>
      <c r="X1345">
        <v>3.3</v>
      </c>
      <c r="Y1345">
        <v>-67.3</v>
      </c>
    </row>
    <row r="1346" spans="1:25" x14ac:dyDescent="0.45">
      <c r="A1346">
        <v>25</v>
      </c>
      <c r="B1346">
        <v>25</v>
      </c>
      <c r="C1346" t="s">
        <v>606</v>
      </c>
      <c r="D1346" t="s">
        <v>414</v>
      </c>
      <c r="E1346">
        <v>10</v>
      </c>
      <c r="F1346">
        <v>2.82</v>
      </c>
      <c r="G1346">
        <v>56918.065999999999</v>
      </c>
      <c r="I1346">
        <v>56918.065999999999</v>
      </c>
      <c r="J1346" t="s">
        <v>401</v>
      </c>
      <c r="K1346">
        <v>4.5</v>
      </c>
      <c r="L1346">
        <v>-54.5</v>
      </c>
      <c r="N1346">
        <v>61</v>
      </c>
      <c r="O1346">
        <v>61</v>
      </c>
      <c r="P1346" t="s">
        <v>715</v>
      </c>
      <c r="Q1346" t="s">
        <v>414</v>
      </c>
      <c r="R1346">
        <v>10</v>
      </c>
      <c r="S1346">
        <v>2.82</v>
      </c>
      <c r="T1346">
        <v>62978.968999999997</v>
      </c>
      <c r="V1346">
        <v>62978.968999999997</v>
      </c>
      <c r="W1346" t="s">
        <v>415</v>
      </c>
      <c r="X1346">
        <v>4.5</v>
      </c>
      <c r="Y1346">
        <v>-54.6</v>
      </c>
    </row>
    <row r="1347" spans="1:25" x14ac:dyDescent="0.45">
      <c r="A1347">
        <v>26</v>
      </c>
      <c r="B1347">
        <v>26</v>
      </c>
      <c r="C1347" t="s">
        <v>607</v>
      </c>
      <c r="D1347" t="s">
        <v>414</v>
      </c>
      <c r="E1347">
        <v>10</v>
      </c>
      <c r="F1347">
        <v>2.82</v>
      </c>
      <c r="G1347">
        <v>41859.836000000003</v>
      </c>
      <c r="I1347">
        <v>41859.836000000003</v>
      </c>
      <c r="J1347" t="s">
        <v>401</v>
      </c>
      <c r="K1347">
        <v>3.3</v>
      </c>
      <c r="L1347">
        <v>-66.599999999999994</v>
      </c>
      <c r="N1347">
        <v>62</v>
      </c>
      <c r="O1347">
        <v>62</v>
      </c>
      <c r="P1347" t="s">
        <v>716</v>
      </c>
      <c r="Q1347" t="s">
        <v>414</v>
      </c>
      <c r="R1347">
        <v>10</v>
      </c>
      <c r="S1347">
        <v>2.82</v>
      </c>
      <c r="T1347">
        <v>36817.730000000003</v>
      </c>
      <c r="V1347">
        <v>36817.730000000003</v>
      </c>
      <c r="W1347" t="s">
        <v>401</v>
      </c>
      <c r="X1347">
        <v>2.7</v>
      </c>
      <c r="Y1347">
        <v>-73.5</v>
      </c>
    </row>
    <row r="1348" spans="1:25" x14ac:dyDescent="0.45">
      <c r="A1348">
        <v>27</v>
      </c>
      <c r="B1348">
        <v>27</v>
      </c>
      <c r="C1348" t="s">
        <v>608</v>
      </c>
      <c r="D1348" t="s">
        <v>414</v>
      </c>
      <c r="E1348">
        <v>10</v>
      </c>
      <c r="F1348">
        <v>2.82</v>
      </c>
      <c r="G1348">
        <v>81430.202999999994</v>
      </c>
      <c r="I1348">
        <v>81430.202999999994</v>
      </c>
      <c r="J1348" t="s">
        <v>415</v>
      </c>
      <c r="K1348">
        <v>6.5</v>
      </c>
      <c r="L1348">
        <v>-34.9</v>
      </c>
      <c r="N1348">
        <v>63</v>
      </c>
      <c r="O1348">
        <v>63</v>
      </c>
      <c r="P1348" t="s">
        <v>717</v>
      </c>
      <c r="Q1348" t="s">
        <v>414</v>
      </c>
      <c r="R1348">
        <v>10</v>
      </c>
      <c r="S1348">
        <v>2.82</v>
      </c>
      <c r="T1348">
        <v>78003.202999999994</v>
      </c>
      <c r="V1348">
        <v>78003.202999999994</v>
      </c>
      <c r="W1348" t="s">
        <v>401</v>
      </c>
      <c r="X1348">
        <v>5.6</v>
      </c>
      <c r="Y1348">
        <v>-43.8</v>
      </c>
    </row>
    <row r="1349" spans="1:25" x14ac:dyDescent="0.45">
      <c r="A1349">
        <v>28</v>
      </c>
      <c r="B1349">
        <v>28</v>
      </c>
      <c r="C1349" t="s">
        <v>609</v>
      </c>
      <c r="D1349" t="s">
        <v>414</v>
      </c>
      <c r="E1349">
        <v>10</v>
      </c>
      <c r="F1349">
        <v>2.82</v>
      </c>
      <c r="G1349">
        <v>56940.358999999997</v>
      </c>
      <c r="I1349">
        <v>56940.358999999997</v>
      </c>
      <c r="J1349" t="s">
        <v>401</v>
      </c>
      <c r="K1349">
        <v>4.5</v>
      </c>
      <c r="L1349">
        <v>-54.5</v>
      </c>
      <c r="N1349">
        <v>64</v>
      </c>
      <c r="O1349">
        <v>64</v>
      </c>
      <c r="P1349" t="s">
        <v>718</v>
      </c>
      <c r="Q1349" t="s">
        <v>414</v>
      </c>
      <c r="R1349">
        <v>10</v>
      </c>
      <c r="S1349">
        <v>2.82</v>
      </c>
      <c r="T1349">
        <v>65362.445</v>
      </c>
      <c r="V1349">
        <v>65362.445</v>
      </c>
      <c r="W1349" t="s">
        <v>401</v>
      </c>
      <c r="X1349">
        <v>4.7</v>
      </c>
      <c r="Y1349">
        <v>-52.9</v>
      </c>
    </row>
    <row r="1350" spans="1:25" x14ac:dyDescent="0.45">
      <c r="A1350">
        <v>29</v>
      </c>
      <c r="B1350">
        <v>29</v>
      </c>
      <c r="C1350" t="s">
        <v>610</v>
      </c>
      <c r="D1350" t="s">
        <v>414</v>
      </c>
      <c r="E1350">
        <v>10</v>
      </c>
      <c r="F1350">
        <v>2.82</v>
      </c>
      <c r="G1350">
        <v>41702.207000000002</v>
      </c>
      <c r="I1350">
        <v>41702.207000000002</v>
      </c>
      <c r="J1350" t="s">
        <v>415</v>
      </c>
      <c r="K1350">
        <v>3.3</v>
      </c>
      <c r="L1350">
        <v>-66.7</v>
      </c>
      <c r="N1350">
        <v>65</v>
      </c>
      <c r="O1350">
        <v>65</v>
      </c>
      <c r="P1350" t="s">
        <v>719</v>
      </c>
      <c r="Q1350" t="s">
        <v>414</v>
      </c>
      <c r="R1350">
        <v>10</v>
      </c>
      <c r="S1350">
        <v>2.82</v>
      </c>
      <c r="T1350">
        <v>30552.447</v>
      </c>
      <c r="V1350">
        <v>30552.447</v>
      </c>
      <c r="W1350" t="s">
        <v>401</v>
      </c>
      <c r="X1350">
        <v>2.2000000000000002</v>
      </c>
      <c r="Y1350">
        <v>-78</v>
      </c>
    </row>
    <row r="1351" spans="1:25" x14ac:dyDescent="0.45">
      <c r="A1351">
        <v>30</v>
      </c>
      <c r="B1351">
        <v>30</v>
      </c>
      <c r="C1351" t="s">
        <v>611</v>
      </c>
      <c r="D1351" t="s">
        <v>414</v>
      </c>
      <c r="E1351">
        <v>10</v>
      </c>
      <c r="F1351">
        <v>2.82</v>
      </c>
      <c r="G1351">
        <v>42583.41</v>
      </c>
      <c r="I1351">
        <v>42583.41</v>
      </c>
      <c r="J1351" t="s">
        <v>415</v>
      </c>
      <c r="K1351">
        <v>3.4</v>
      </c>
      <c r="L1351">
        <v>-66</v>
      </c>
      <c r="N1351">
        <v>66</v>
      </c>
      <c r="O1351">
        <v>66</v>
      </c>
      <c r="P1351" t="s">
        <v>720</v>
      </c>
      <c r="Q1351" t="s">
        <v>414</v>
      </c>
      <c r="R1351">
        <v>10</v>
      </c>
      <c r="S1351">
        <v>2.82</v>
      </c>
      <c r="T1351">
        <v>78069.945000000007</v>
      </c>
      <c r="V1351">
        <v>78069.945000000007</v>
      </c>
      <c r="W1351" t="s">
        <v>415</v>
      </c>
      <c r="X1351">
        <v>5.6</v>
      </c>
      <c r="Y1351">
        <v>-43.7</v>
      </c>
    </row>
    <row r="1352" spans="1:25" x14ac:dyDescent="0.45">
      <c r="A1352">
        <v>31</v>
      </c>
      <c r="B1352">
        <v>31</v>
      </c>
      <c r="C1352" t="s">
        <v>612</v>
      </c>
      <c r="D1352" t="s">
        <v>414</v>
      </c>
      <c r="E1352">
        <v>10</v>
      </c>
      <c r="F1352">
        <v>2.82</v>
      </c>
      <c r="G1352">
        <v>45260.141000000003</v>
      </c>
      <c r="I1352">
        <v>45260.141000000003</v>
      </c>
      <c r="J1352" t="s">
        <v>403</v>
      </c>
      <c r="K1352">
        <v>3.6</v>
      </c>
      <c r="L1352">
        <v>-63.8</v>
      </c>
      <c r="N1352">
        <v>67</v>
      </c>
      <c r="O1352">
        <v>67</v>
      </c>
      <c r="P1352" t="s">
        <v>721</v>
      </c>
      <c r="Q1352" t="s">
        <v>414</v>
      </c>
      <c r="R1352">
        <v>10</v>
      </c>
      <c r="S1352">
        <v>2.81</v>
      </c>
      <c r="T1352">
        <v>67948.164000000004</v>
      </c>
      <c r="V1352">
        <v>67948.164000000004</v>
      </c>
      <c r="W1352" t="s">
        <v>415</v>
      </c>
      <c r="X1352">
        <v>4.9000000000000004</v>
      </c>
      <c r="Y1352">
        <v>-51</v>
      </c>
    </row>
    <row r="1353" spans="1:25" x14ac:dyDescent="0.45">
      <c r="A1353">
        <v>32</v>
      </c>
      <c r="B1353">
        <v>32</v>
      </c>
      <c r="C1353" t="s">
        <v>613</v>
      </c>
      <c r="D1353" t="s">
        <v>414</v>
      </c>
      <c r="E1353">
        <v>10</v>
      </c>
      <c r="F1353">
        <v>2.82</v>
      </c>
      <c r="G1353">
        <v>39332.086000000003</v>
      </c>
      <c r="I1353">
        <v>39332.086000000003</v>
      </c>
      <c r="J1353" t="s">
        <v>401</v>
      </c>
      <c r="K1353">
        <v>3.1</v>
      </c>
      <c r="L1353">
        <v>-68.599999999999994</v>
      </c>
    </row>
    <row r="1354" spans="1:25" x14ac:dyDescent="0.45">
      <c r="A1354">
        <v>33</v>
      </c>
      <c r="B1354">
        <v>33</v>
      </c>
      <c r="C1354" t="s">
        <v>614</v>
      </c>
      <c r="D1354" t="s">
        <v>414</v>
      </c>
      <c r="E1354">
        <v>10</v>
      </c>
      <c r="F1354">
        <v>2.82</v>
      </c>
      <c r="G1354">
        <v>32713.895</v>
      </c>
      <c r="I1354">
        <v>32713.895</v>
      </c>
      <c r="J1354" t="s">
        <v>401</v>
      </c>
      <c r="K1354">
        <v>2.6</v>
      </c>
      <c r="L1354">
        <v>-73.900000000000006</v>
      </c>
      <c r="N1354" t="s">
        <v>505</v>
      </c>
    </row>
    <row r="1355" spans="1:25" x14ac:dyDescent="0.45">
      <c r="A1355">
        <v>34</v>
      </c>
      <c r="B1355">
        <v>34</v>
      </c>
      <c r="C1355" t="s">
        <v>615</v>
      </c>
      <c r="D1355" t="s">
        <v>414</v>
      </c>
      <c r="E1355">
        <v>10</v>
      </c>
      <c r="F1355">
        <v>2.82</v>
      </c>
      <c r="G1355">
        <v>37961.241999999998</v>
      </c>
      <c r="I1355">
        <v>37961.241999999998</v>
      </c>
      <c r="J1355" t="s">
        <v>401</v>
      </c>
      <c r="K1355">
        <v>3</v>
      </c>
      <c r="L1355">
        <v>-69.7</v>
      </c>
    </row>
    <row r="1356" spans="1:25" x14ac:dyDescent="0.45">
      <c r="A1356">
        <v>35</v>
      </c>
      <c r="B1356">
        <v>35</v>
      </c>
      <c r="C1356" t="s">
        <v>616</v>
      </c>
      <c r="D1356" t="s">
        <v>414</v>
      </c>
      <c r="E1356">
        <v>10</v>
      </c>
      <c r="F1356">
        <v>2.82</v>
      </c>
      <c r="G1356">
        <v>27034.145</v>
      </c>
      <c r="I1356">
        <v>27034.145</v>
      </c>
      <c r="J1356" t="s">
        <v>415</v>
      </c>
      <c r="K1356">
        <v>2.2000000000000002</v>
      </c>
      <c r="L1356">
        <v>-78.400000000000006</v>
      </c>
      <c r="O1356" t="s">
        <v>389</v>
      </c>
      <c r="P1356" t="s">
        <v>123</v>
      </c>
      <c r="Q1356" t="s">
        <v>390</v>
      </c>
      <c r="R1356" t="s">
        <v>391</v>
      </c>
      <c r="S1356" t="s">
        <v>392</v>
      </c>
      <c r="T1356" t="s">
        <v>393</v>
      </c>
      <c r="U1356" t="s">
        <v>394</v>
      </c>
      <c r="V1356" t="s">
        <v>395</v>
      </c>
      <c r="W1356" t="s">
        <v>396</v>
      </c>
      <c r="X1356" t="s">
        <v>397</v>
      </c>
      <c r="Y1356" t="s">
        <v>398</v>
      </c>
    </row>
    <row r="1357" spans="1:25" x14ac:dyDescent="0.45">
      <c r="A1357">
        <v>36</v>
      </c>
      <c r="B1357">
        <v>36</v>
      </c>
      <c r="C1357" t="s">
        <v>617</v>
      </c>
      <c r="D1357" t="s">
        <v>414</v>
      </c>
      <c r="E1357">
        <v>10</v>
      </c>
      <c r="F1357">
        <v>2.82</v>
      </c>
      <c r="G1357">
        <v>43597.648000000001</v>
      </c>
      <c r="I1357">
        <v>43597.648000000001</v>
      </c>
      <c r="J1357" t="s">
        <v>403</v>
      </c>
      <c r="K1357">
        <v>3.5</v>
      </c>
      <c r="L1357">
        <v>-65.2</v>
      </c>
      <c r="N1357">
        <v>1</v>
      </c>
      <c r="O1357">
        <v>1</v>
      </c>
      <c r="P1357" t="s">
        <v>655</v>
      </c>
      <c r="Q1357" t="s">
        <v>400</v>
      </c>
      <c r="R1357">
        <v>10</v>
      </c>
      <c r="S1357">
        <v>2.5099999999999998</v>
      </c>
      <c r="T1357">
        <v>947270.5</v>
      </c>
      <c r="V1357">
        <v>947270.5</v>
      </c>
      <c r="W1357" t="s">
        <v>403</v>
      </c>
      <c r="X1357">
        <v>10.6</v>
      </c>
      <c r="Y1357">
        <v>5.8</v>
      </c>
    </row>
    <row r="1358" spans="1:25" x14ac:dyDescent="0.45">
      <c r="A1358">
        <v>37</v>
      </c>
      <c r="B1358">
        <v>37</v>
      </c>
      <c r="C1358" t="s">
        <v>618</v>
      </c>
      <c r="D1358" t="s">
        <v>414</v>
      </c>
      <c r="E1358">
        <v>10</v>
      </c>
      <c r="F1358">
        <v>2.82</v>
      </c>
      <c r="G1358">
        <v>91917.156000000003</v>
      </c>
      <c r="I1358">
        <v>91917.156000000003</v>
      </c>
      <c r="J1358" t="s">
        <v>403</v>
      </c>
      <c r="K1358">
        <v>7.3</v>
      </c>
      <c r="L1358">
        <v>-26.6</v>
      </c>
      <c r="N1358">
        <v>2</v>
      </c>
      <c r="O1358">
        <v>2</v>
      </c>
      <c r="P1358" t="s">
        <v>656</v>
      </c>
      <c r="Q1358" t="s">
        <v>400</v>
      </c>
      <c r="R1358">
        <v>10</v>
      </c>
      <c r="S1358">
        <v>2.5099999999999998</v>
      </c>
      <c r="T1358">
        <v>925133.43799999997</v>
      </c>
      <c r="V1358">
        <v>925133.43799999997</v>
      </c>
      <c r="W1358" t="s">
        <v>403</v>
      </c>
      <c r="X1358">
        <v>10.3</v>
      </c>
      <c r="Y1358">
        <v>3.3</v>
      </c>
    </row>
    <row r="1359" spans="1:25" x14ac:dyDescent="0.45">
      <c r="A1359">
        <v>38</v>
      </c>
      <c r="B1359">
        <v>38</v>
      </c>
      <c r="C1359" t="s">
        <v>619</v>
      </c>
      <c r="D1359" t="s">
        <v>414</v>
      </c>
      <c r="E1359">
        <v>10</v>
      </c>
      <c r="F1359">
        <v>2.82</v>
      </c>
      <c r="G1359">
        <v>29262.738000000001</v>
      </c>
      <c r="I1359">
        <v>29262.738000000001</v>
      </c>
      <c r="J1359" t="s">
        <v>401</v>
      </c>
      <c r="K1359">
        <v>2.2999999999999998</v>
      </c>
      <c r="L1359">
        <v>-76.599999999999994</v>
      </c>
      <c r="N1359">
        <v>3</v>
      </c>
      <c r="O1359">
        <v>3</v>
      </c>
      <c r="P1359" t="s">
        <v>657</v>
      </c>
      <c r="Q1359" t="s">
        <v>400</v>
      </c>
      <c r="R1359">
        <v>10</v>
      </c>
      <c r="S1359">
        <v>2.5099999999999998</v>
      </c>
      <c r="T1359">
        <v>913020.31299999997</v>
      </c>
      <c r="V1359">
        <v>913020.31299999997</v>
      </c>
      <c r="W1359" t="s">
        <v>403</v>
      </c>
      <c r="X1359">
        <v>10.199999999999999</v>
      </c>
      <c r="Y1359">
        <v>2</v>
      </c>
    </row>
    <row r="1360" spans="1:25" x14ac:dyDescent="0.45">
      <c r="A1360">
        <v>39</v>
      </c>
      <c r="B1360">
        <v>39</v>
      </c>
      <c r="C1360" t="s">
        <v>620</v>
      </c>
      <c r="D1360" t="s">
        <v>414</v>
      </c>
      <c r="E1360">
        <v>10</v>
      </c>
      <c r="F1360">
        <v>2.82</v>
      </c>
      <c r="G1360">
        <v>32543.794999999998</v>
      </c>
      <c r="I1360">
        <v>32543.794999999998</v>
      </c>
      <c r="J1360" t="s">
        <v>401</v>
      </c>
      <c r="K1360">
        <v>2.6</v>
      </c>
      <c r="L1360">
        <v>-74</v>
      </c>
      <c r="N1360">
        <v>4</v>
      </c>
      <c r="O1360">
        <v>4</v>
      </c>
      <c r="P1360" t="s">
        <v>658</v>
      </c>
      <c r="Q1360" t="s">
        <v>400</v>
      </c>
      <c r="R1360">
        <v>10</v>
      </c>
      <c r="S1360">
        <v>2.5099999999999998</v>
      </c>
      <c r="T1360">
        <v>919749.25</v>
      </c>
      <c r="V1360">
        <v>919749.25</v>
      </c>
      <c r="W1360" t="s">
        <v>401</v>
      </c>
      <c r="X1360">
        <v>10.3</v>
      </c>
      <c r="Y1360">
        <v>2.7</v>
      </c>
    </row>
    <row r="1361" spans="1:25" x14ac:dyDescent="0.45">
      <c r="A1361">
        <v>40</v>
      </c>
      <c r="B1361">
        <v>40</v>
      </c>
      <c r="C1361" t="s">
        <v>621</v>
      </c>
      <c r="D1361" t="s">
        <v>414</v>
      </c>
      <c r="E1361">
        <v>10</v>
      </c>
      <c r="F1361">
        <v>2.82</v>
      </c>
      <c r="G1361">
        <v>52531.663999999997</v>
      </c>
      <c r="I1361">
        <v>52531.663999999997</v>
      </c>
      <c r="J1361" t="s">
        <v>401</v>
      </c>
      <c r="K1361">
        <v>4.2</v>
      </c>
      <c r="L1361">
        <v>-58</v>
      </c>
      <c r="N1361">
        <v>5</v>
      </c>
      <c r="O1361">
        <v>5</v>
      </c>
      <c r="P1361" t="s">
        <v>659</v>
      </c>
      <c r="Q1361" t="s">
        <v>400</v>
      </c>
      <c r="R1361">
        <v>10</v>
      </c>
      <c r="S1361">
        <v>2.5099999999999998</v>
      </c>
      <c r="T1361">
        <v>803947.625</v>
      </c>
      <c r="V1361">
        <v>803947.625</v>
      </c>
      <c r="W1361" t="s">
        <v>401</v>
      </c>
      <c r="X1361">
        <v>9</v>
      </c>
      <c r="Y1361">
        <v>-10.199999999999999</v>
      </c>
    </row>
    <row r="1362" spans="1:25" x14ac:dyDescent="0.45">
      <c r="A1362">
        <v>41</v>
      </c>
      <c r="B1362">
        <v>41</v>
      </c>
      <c r="C1362" t="s">
        <v>622</v>
      </c>
      <c r="D1362" t="s">
        <v>414</v>
      </c>
      <c r="E1362">
        <v>10</v>
      </c>
      <c r="F1362">
        <v>2.82</v>
      </c>
      <c r="G1362">
        <v>47078.351999999999</v>
      </c>
      <c r="I1362">
        <v>47078.351999999999</v>
      </c>
      <c r="J1362" t="s">
        <v>403</v>
      </c>
      <c r="K1362">
        <v>3.8</v>
      </c>
      <c r="L1362">
        <v>-62.4</v>
      </c>
      <c r="N1362">
        <v>6</v>
      </c>
      <c r="O1362">
        <v>6</v>
      </c>
      <c r="P1362" t="s">
        <v>660</v>
      </c>
      <c r="Q1362" t="s">
        <v>400</v>
      </c>
      <c r="R1362">
        <v>10</v>
      </c>
      <c r="S1362">
        <v>2.5099999999999998</v>
      </c>
      <c r="T1362">
        <v>883738.56299999997</v>
      </c>
      <c r="V1362">
        <v>883738.56299999997</v>
      </c>
      <c r="W1362" t="s">
        <v>401</v>
      </c>
      <c r="X1362">
        <v>9.9</v>
      </c>
      <c r="Y1362">
        <v>-1.3</v>
      </c>
    </row>
    <row r="1363" spans="1:25" x14ac:dyDescent="0.45">
      <c r="A1363">
        <v>42</v>
      </c>
      <c r="B1363">
        <v>42</v>
      </c>
      <c r="C1363" t="s">
        <v>623</v>
      </c>
      <c r="D1363" t="s">
        <v>414</v>
      </c>
      <c r="E1363">
        <v>10</v>
      </c>
      <c r="F1363">
        <v>2.82</v>
      </c>
      <c r="G1363">
        <v>84166.258000000002</v>
      </c>
      <c r="I1363">
        <v>84166.258000000002</v>
      </c>
      <c r="J1363" t="s">
        <v>415</v>
      </c>
      <c r="K1363">
        <v>6.7</v>
      </c>
      <c r="L1363">
        <v>-32.700000000000003</v>
      </c>
      <c r="N1363">
        <v>7</v>
      </c>
      <c r="O1363">
        <v>7</v>
      </c>
      <c r="P1363" t="s">
        <v>661</v>
      </c>
      <c r="Q1363" t="s">
        <v>400</v>
      </c>
      <c r="R1363">
        <v>10</v>
      </c>
      <c r="S1363">
        <v>2.5099999999999998</v>
      </c>
      <c r="T1363">
        <v>875832.5</v>
      </c>
      <c r="V1363">
        <v>875832.5</v>
      </c>
      <c r="W1363" t="s">
        <v>403</v>
      </c>
      <c r="X1363">
        <v>9.8000000000000007</v>
      </c>
      <c r="Y1363">
        <v>-2.2000000000000002</v>
      </c>
    </row>
    <row r="1364" spans="1:25" x14ac:dyDescent="0.45">
      <c r="A1364">
        <v>43</v>
      </c>
      <c r="B1364">
        <v>43</v>
      </c>
      <c r="C1364" t="s">
        <v>624</v>
      </c>
      <c r="D1364" t="s">
        <v>414</v>
      </c>
      <c r="E1364">
        <v>10</v>
      </c>
      <c r="F1364">
        <v>2.82</v>
      </c>
      <c r="G1364">
        <v>84072</v>
      </c>
      <c r="I1364">
        <v>84072</v>
      </c>
      <c r="J1364" t="s">
        <v>401</v>
      </c>
      <c r="K1364">
        <v>6.7</v>
      </c>
      <c r="L1364">
        <v>-32.799999999999997</v>
      </c>
      <c r="N1364">
        <v>8</v>
      </c>
      <c r="O1364">
        <v>8</v>
      </c>
      <c r="P1364" t="s">
        <v>662</v>
      </c>
      <c r="Q1364" t="s">
        <v>414</v>
      </c>
      <c r="R1364">
        <v>10</v>
      </c>
      <c r="S1364">
        <v>2.5099999999999998</v>
      </c>
      <c r="T1364">
        <v>165317.32800000001</v>
      </c>
      <c r="V1364">
        <v>165317.32800000001</v>
      </c>
      <c r="W1364" t="s">
        <v>415</v>
      </c>
      <c r="X1364">
        <v>1.8</v>
      </c>
      <c r="Y1364">
        <v>-81.5</v>
      </c>
    </row>
    <row r="1365" spans="1:25" x14ac:dyDescent="0.45">
      <c r="A1365">
        <v>44</v>
      </c>
      <c r="B1365">
        <v>44</v>
      </c>
      <c r="C1365" t="s">
        <v>625</v>
      </c>
      <c r="D1365" t="s">
        <v>414</v>
      </c>
      <c r="E1365">
        <v>10</v>
      </c>
      <c r="F1365">
        <v>2.82</v>
      </c>
      <c r="G1365">
        <v>76599.687999999995</v>
      </c>
      <c r="I1365">
        <v>76599.687999999995</v>
      </c>
      <c r="J1365" t="s">
        <v>403</v>
      </c>
      <c r="K1365">
        <v>6.1</v>
      </c>
      <c r="L1365">
        <v>-38.799999999999997</v>
      </c>
      <c r="N1365">
        <v>9</v>
      </c>
      <c r="O1365">
        <v>9</v>
      </c>
      <c r="P1365" t="s">
        <v>663</v>
      </c>
      <c r="Q1365" t="s">
        <v>414</v>
      </c>
      <c r="R1365">
        <v>10</v>
      </c>
      <c r="S1365">
        <v>2.5099999999999998</v>
      </c>
      <c r="T1365">
        <v>121495.336</v>
      </c>
      <c r="V1365">
        <v>121495.336</v>
      </c>
      <c r="W1365" t="s">
        <v>415</v>
      </c>
      <c r="X1365">
        <v>1.4</v>
      </c>
      <c r="Y1365">
        <v>-86.4</v>
      </c>
    </row>
    <row r="1366" spans="1:25" x14ac:dyDescent="0.45">
      <c r="A1366">
        <v>45</v>
      </c>
      <c r="B1366">
        <v>45</v>
      </c>
      <c r="C1366" t="s">
        <v>626</v>
      </c>
      <c r="D1366" t="s">
        <v>414</v>
      </c>
      <c r="E1366">
        <v>10</v>
      </c>
      <c r="F1366">
        <v>2.82</v>
      </c>
      <c r="G1366">
        <v>59279.472999999998</v>
      </c>
      <c r="I1366">
        <v>59279.472999999998</v>
      </c>
      <c r="J1366" t="s">
        <v>401</v>
      </c>
      <c r="K1366">
        <v>4.7</v>
      </c>
      <c r="L1366">
        <v>-52.6</v>
      </c>
      <c r="N1366">
        <v>10</v>
      </c>
      <c r="O1366">
        <v>10</v>
      </c>
      <c r="P1366" t="s">
        <v>664</v>
      </c>
      <c r="Q1366" t="s">
        <v>414</v>
      </c>
      <c r="R1366">
        <v>10</v>
      </c>
      <c r="S1366">
        <v>2.5099999999999998</v>
      </c>
      <c r="T1366">
        <v>134625.141</v>
      </c>
      <c r="V1366">
        <v>134625.141</v>
      </c>
      <c r="W1366" t="s">
        <v>415</v>
      </c>
      <c r="X1366">
        <v>1.5</v>
      </c>
      <c r="Y1366">
        <v>-85</v>
      </c>
    </row>
    <row r="1367" spans="1:25" x14ac:dyDescent="0.45">
      <c r="A1367">
        <v>46</v>
      </c>
      <c r="B1367">
        <v>46</v>
      </c>
      <c r="C1367" t="s">
        <v>627</v>
      </c>
      <c r="D1367" t="s">
        <v>414</v>
      </c>
      <c r="E1367">
        <v>10</v>
      </c>
      <c r="F1367">
        <v>2.82</v>
      </c>
      <c r="G1367">
        <v>59638.538999999997</v>
      </c>
      <c r="I1367">
        <v>59638.538999999997</v>
      </c>
      <c r="J1367" t="s">
        <v>415</v>
      </c>
      <c r="K1367">
        <v>4.8</v>
      </c>
      <c r="L1367">
        <v>-52.3</v>
      </c>
      <c r="N1367">
        <v>11</v>
      </c>
      <c r="O1367">
        <v>11</v>
      </c>
      <c r="P1367" t="s">
        <v>665</v>
      </c>
      <c r="Q1367" t="s">
        <v>414</v>
      </c>
      <c r="R1367">
        <v>10</v>
      </c>
      <c r="S1367">
        <v>2.5099999999999998</v>
      </c>
      <c r="T1367">
        <v>106082.992</v>
      </c>
      <c r="V1367">
        <v>106082.992</v>
      </c>
      <c r="W1367" t="s">
        <v>415</v>
      </c>
      <c r="X1367">
        <v>1.2</v>
      </c>
      <c r="Y1367">
        <v>-88.2</v>
      </c>
    </row>
    <row r="1368" spans="1:25" x14ac:dyDescent="0.45">
      <c r="A1368">
        <v>47</v>
      </c>
      <c r="B1368">
        <v>47</v>
      </c>
      <c r="C1368" t="s">
        <v>628</v>
      </c>
      <c r="D1368" t="s">
        <v>414</v>
      </c>
      <c r="E1368">
        <v>10</v>
      </c>
      <c r="F1368">
        <v>2.82</v>
      </c>
      <c r="G1368">
        <v>67374.608999999997</v>
      </c>
      <c r="I1368">
        <v>67374.608999999997</v>
      </c>
      <c r="J1368" t="s">
        <v>401</v>
      </c>
      <c r="K1368">
        <v>5.4</v>
      </c>
      <c r="L1368">
        <v>-46.2</v>
      </c>
      <c r="N1368">
        <v>12</v>
      </c>
      <c r="O1368">
        <v>12</v>
      </c>
      <c r="P1368" t="s">
        <v>666</v>
      </c>
      <c r="Q1368" t="s">
        <v>414</v>
      </c>
      <c r="R1368">
        <v>10</v>
      </c>
      <c r="S1368">
        <v>2.5099999999999998</v>
      </c>
      <c r="T1368">
        <v>131751.20300000001</v>
      </c>
      <c r="V1368">
        <v>131751.20300000001</v>
      </c>
      <c r="W1368" t="s">
        <v>415</v>
      </c>
      <c r="X1368">
        <v>1.5</v>
      </c>
      <c r="Y1368">
        <v>-85.3</v>
      </c>
    </row>
    <row r="1369" spans="1:25" x14ac:dyDescent="0.45">
      <c r="A1369">
        <v>48</v>
      </c>
      <c r="B1369">
        <v>48</v>
      </c>
      <c r="C1369" t="s">
        <v>629</v>
      </c>
      <c r="D1369" t="s">
        <v>414</v>
      </c>
      <c r="E1369">
        <v>10</v>
      </c>
      <c r="F1369">
        <v>2.82</v>
      </c>
      <c r="G1369">
        <v>51621.629000000001</v>
      </c>
      <c r="I1369">
        <v>51621.629000000001</v>
      </c>
      <c r="J1369" t="s">
        <v>403</v>
      </c>
      <c r="K1369">
        <v>4.0999999999999996</v>
      </c>
      <c r="L1369">
        <v>-58.8</v>
      </c>
      <c r="N1369">
        <v>13</v>
      </c>
      <c r="O1369">
        <v>13</v>
      </c>
      <c r="P1369" t="s">
        <v>667</v>
      </c>
      <c r="Q1369" t="s">
        <v>414</v>
      </c>
      <c r="R1369">
        <v>10</v>
      </c>
      <c r="S1369">
        <v>2.5099999999999998</v>
      </c>
      <c r="T1369">
        <v>113789.117</v>
      </c>
      <c r="V1369">
        <v>113789.117</v>
      </c>
      <c r="W1369" t="s">
        <v>401</v>
      </c>
      <c r="X1369">
        <v>1.3</v>
      </c>
      <c r="Y1369">
        <v>-87.3</v>
      </c>
    </row>
    <row r="1370" spans="1:25" x14ac:dyDescent="0.45">
      <c r="A1370">
        <v>49</v>
      </c>
      <c r="B1370">
        <v>49</v>
      </c>
      <c r="C1370" t="s">
        <v>630</v>
      </c>
      <c r="D1370" t="s">
        <v>414</v>
      </c>
      <c r="E1370">
        <v>10</v>
      </c>
      <c r="F1370">
        <v>2.82</v>
      </c>
      <c r="G1370">
        <v>58760.160000000003</v>
      </c>
      <c r="I1370">
        <v>58760.160000000003</v>
      </c>
      <c r="J1370" t="s">
        <v>415</v>
      </c>
      <c r="K1370">
        <v>4.7</v>
      </c>
      <c r="L1370">
        <v>-53</v>
      </c>
      <c r="N1370">
        <v>14</v>
      </c>
      <c r="O1370">
        <v>14</v>
      </c>
      <c r="P1370" t="s">
        <v>668</v>
      </c>
      <c r="Q1370" t="s">
        <v>414</v>
      </c>
      <c r="R1370">
        <v>10</v>
      </c>
      <c r="S1370">
        <v>2.5099999999999998</v>
      </c>
      <c r="T1370">
        <v>140234.93799999999</v>
      </c>
      <c r="V1370">
        <v>140234.93799999999</v>
      </c>
      <c r="W1370" t="s">
        <v>401</v>
      </c>
      <c r="X1370">
        <v>1.6</v>
      </c>
      <c r="Y1370">
        <v>-84.3</v>
      </c>
    </row>
    <row r="1371" spans="1:25" x14ac:dyDescent="0.45">
      <c r="A1371">
        <v>50</v>
      </c>
      <c r="B1371">
        <v>50</v>
      </c>
      <c r="C1371" t="s">
        <v>631</v>
      </c>
      <c r="D1371" t="s">
        <v>414</v>
      </c>
      <c r="E1371">
        <v>10</v>
      </c>
      <c r="F1371">
        <v>2.82</v>
      </c>
      <c r="G1371">
        <v>50240.277000000002</v>
      </c>
      <c r="I1371">
        <v>50240.277000000002</v>
      </c>
      <c r="J1371" t="s">
        <v>403</v>
      </c>
      <c r="K1371">
        <v>4</v>
      </c>
      <c r="L1371">
        <v>-59.9</v>
      </c>
      <c r="N1371">
        <v>15</v>
      </c>
      <c r="O1371">
        <v>15</v>
      </c>
      <c r="P1371" t="s">
        <v>669</v>
      </c>
      <c r="Q1371" t="s">
        <v>414</v>
      </c>
      <c r="R1371">
        <v>10</v>
      </c>
      <c r="S1371">
        <v>2.5099999999999998</v>
      </c>
      <c r="T1371">
        <v>101033.43</v>
      </c>
      <c r="V1371">
        <v>101033.43</v>
      </c>
      <c r="W1371" t="s">
        <v>403</v>
      </c>
      <c r="X1371">
        <v>1.1000000000000001</v>
      </c>
      <c r="Y1371">
        <v>-88.7</v>
      </c>
    </row>
    <row r="1372" spans="1:25" x14ac:dyDescent="0.45">
      <c r="A1372">
        <v>51</v>
      </c>
      <c r="B1372">
        <v>51</v>
      </c>
      <c r="C1372" t="s">
        <v>632</v>
      </c>
      <c r="D1372" t="s">
        <v>414</v>
      </c>
      <c r="E1372">
        <v>10</v>
      </c>
      <c r="F1372">
        <v>2.82</v>
      </c>
      <c r="G1372">
        <v>42906.504000000001</v>
      </c>
      <c r="I1372">
        <v>42906.504000000001</v>
      </c>
      <c r="J1372" t="s">
        <v>415</v>
      </c>
      <c r="K1372">
        <v>3.4</v>
      </c>
      <c r="L1372">
        <v>-65.7</v>
      </c>
      <c r="N1372">
        <v>16</v>
      </c>
      <c r="O1372">
        <v>16</v>
      </c>
      <c r="P1372" t="s">
        <v>670</v>
      </c>
      <c r="Q1372" t="s">
        <v>414</v>
      </c>
      <c r="R1372">
        <v>10</v>
      </c>
      <c r="S1372">
        <v>2.5099999999999998</v>
      </c>
      <c r="T1372">
        <v>54434</v>
      </c>
      <c r="V1372">
        <v>54434</v>
      </c>
      <c r="W1372" t="s">
        <v>401</v>
      </c>
      <c r="X1372">
        <v>0.6</v>
      </c>
      <c r="Y1372">
        <v>-93.9</v>
      </c>
    </row>
    <row r="1373" spans="1:25" x14ac:dyDescent="0.45">
      <c r="A1373">
        <v>52</v>
      </c>
      <c r="B1373">
        <v>52</v>
      </c>
      <c r="C1373" t="s">
        <v>633</v>
      </c>
      <c r="D1373" t="s">
        <v>414</v>
      </c>
      <c r="E1373">
        <v>10</v>
      </c>
      <c r="F1373">
        <v>2.82</v>
      </c>
      <c r="G1373">
        <v>53219.542999999998</v>
      </c>
      <c r="I1373">
        <v>53219.542999999998</v>
      </c>
      <c r="J1373" t="s">
        <v>401</v>
      </c>
      <c r="K1373">
        <v>4.3</v>
      </c>
      <c r="L1373">
        <v>-57.5</v>
      </c>
      <c r="N1373">
        <v>17</v>
      </c>
      <c r="O1373">
        <v>17</v>
      </c>
      <c r="P1373" t="s">
        <v>671</v>
      </c>
      <c r="Q1373" t="s">
        <v>414</v>
      </c>
      <c r="R1373">
        <v>10</v>
      </c>
      <c r="S1373">
        <v>2.5099999999999998</v>
      </c>
      <c r="T1373">
        <v>70742.625</v>
      </c>
      <c r="V1373">
        <v>70742.625</v>
      </c>
      <c r="W1373" t="s">
        <v>401</v>
      </c>
      <c r="X1373">
        <v>0.8</v>
      </c>
      <c r="Y1373">
        <v>-92.1</v>
      </c>
    </row>
    <row r="1374" spans="1:25" x14ac:dyDescent="0.45">
      <c r="A1374">
        <v>53</v>
      </c>
      <c r="B1374">
        <v>53</v>
      </c>
      <c r="C1374" t="s">
        <v>634</v>
      </c>
      <c r="D1374" t="s">
        <v>414</v>
      </c>
      <c r="E1374">
        <v>10</v>
      </c>
      <c r="F1374">
        <v>2.82</v>
      </c>
      <c r="G1374">
        <v>74245.062999999995</v>
      </c>
      <c r="I1374">
        <v>74245.062999999995</v>
      </c>
      <c r="J1374" t="s">
        <v>403</v>
      </c>
      <c r="K1374">
        <v>5.9</v>
      </c>
      <c r="L1374">
        <v>-40.700000000000003</v>
      </c>
      <c r="N1374">
        <v>18</v>
      </c>
      <c r="O1374">
        <v>18</v>
      </c>
      <c r="P1374" t="s">
        <v>672</v>
      </c>
      <c r="Q1374" t="s">
        <v>414</v>
      </c>
      <c r="R1374">
        <v>10</v>
      </c>
      <c r="S1374">
        <v>2.5099999999999998</v>
      </c>
      <c r="T1374">
        <v>88029.054999999993</v>
      </c>
      <c r="V1374">
        <v>88029.054999999993</v>
      </c>
      <c r="W1374" t="s">
        <v>403</v>
      </c>
      <c r="X1374">
        <v>1</v>
      </c>
      <c r="Y1374">
        <v>-90.2</v>
      </c>
    </row>
    <row r="1375" spans="1:25" x14ac:dyDescent="0.45">
      <c r="A1375">
        <v>54</v>
      </c>
      <c r="B1375">
        <v>54</v>
      </c>
      <c r="C1375" t="s">
        <v>635</v>
      </c>
      <c r="D1375" t="s">
        <v>414</v>
      </c>
      <c r="E1375">
        <v>10</v>
      </c>
      <c r="F1375">
        <v>2.82</v>
      </c>
      <c r="G1375">
        <v>35886.945</v>
      </c>
      <c r="I1375">
        <v>35886.945</v>
      </c>
      <c r="J1375" t="s">
        <v>403</v>
      </c>
      <c r="K1375">
        <v>2.9</v>
      </c>
      <c r="L1375">
        <v>-71.3</v>
      </c>
      <c r="N1375">
        <v>19</v>
      </c>
      <c r="O1375">
        <v>19</v>
      </c>
      <c r="P1375" t="s">
        <v>673</v>
      </c>
      <c r="Q1375" t="s">
        <v>414</v>
      </c>
      <c r="R1375">
        <v>10</v>
      </c>
      <c r="S1375">
        <v>2.5099999999999998</v>
      </c>
      <c r="T1375">
        <v>99223.358999999997</v>
      </c>
      <c r="V1375">
        <v>99223.358999999997</v>
      </c>
      <c r="W1375" t="s">
        <v>401</v>
      </c>
      <c r="X1375">
        <v>1.1000000000000001</v>
      </c>
      <c r="Y1375">
        <v>-88.9</v>
      </c>
    </row>
    <row r="1376" spans="1:25" x14ac:dyDescent="0.45">
      <c r="A1376">
        <v>55</v>
      </c>
      <c r="B1376">
        <v>55</v>
      </c>
      <c r="C1376" t="s">
        <v>636</v>
      </c>
      <c r="D1376" t="s">
        <v>414</v>
      </c>
      <c r="E1376">
        <v>10</v>
      </c>
      <c r="F1376">
        <v>2.82</v>
      </c>
      <c r="G1376">
        <v>42267.434000000001</v>
      </c>
      <c r="I1376">
        <v>42267.434000000001</v>
      </c>
      <c r="J1376" t="s">
        <v>415</v>
      </c>
      <c r="K1376">
        <v>3.4</v>
      </c>
      <c r="L1376">
        <v>-66.2</v>
      </c>
      <c r="N1376">
        <v>20</v>
      </c>
      <c r="O1376">
        <v>20</v>
      </c>
      <c r="P1376" t="s">
        <v>674</v>
      </c>
      <c r="Q1376" t="s">
        <v>414</v>
      </c>
      <c r="R1376">
        <v>10</v>
      </c>
      <c r="S1376">
        <v>2.5099999999999998</v>
      </c>
      <c r="T1376">
        <v>83066.539000000004</v>
      </c>
      <c r="V1376">
        <v>83066.539000000004</v>
      </c>
      <c r="W1376" t="s">
        <v>403</v>
      </c>
      <c r="X1376">
        <v>0.9</v>
      </c>
      <c r="Y1376">
        <v>-90.7</v>
      </c>
    </row>
    <row r="1377" spans="1:25" x14ac:dyDescent="0.45">
      <c r="A1377">
        <v>56</v>
      </c>
      <c r="B1377">
        <v>56</v>
      </c>
      <c r="C1377" t="s">
        <v>637</v>
      </c>
      <c r="D1377" t="s">
        <v>414</v>
      </c>
      <c r="E1377">
        <v>10</v>
      </c>
      <c r="F1377">
        <v>2.82</v>
      </c>
      <c r="G1377">
        <v>71298.570000000007</v>
      </c>
      <c r="I1377">
        <v>71298.570000000007</v>
      </c>
      <c r="J1377" t="s">
        <v>415</v>
      </c>
      <c r="K1377">
        <v>5.7</v>
      </c>
      <c r="L1377">
        <v>-43</v>
      </c>
      <c r="N1377">
        <v>21</v>
      </c>
      <c r="O1377">
        <v>21</v>
      </c>
      <c r="P1377" t="s">
        <v>675</v>
      </c>
      <c r="Q1377" t="s">
        <v>414</v>
      </c>
      <c r="R1377">
        <v>10</v>
      </c>
      <c r="S1377">
        <v>2.5099999999999998</v>
      </c>
      <c r="T1377">
        <v>93013.414000000004</v>
      </c>
      <c r="V1377">
        <v>93013.414000000004</v>
      </c>
      <c r="W1377" t="s">
        <v>401</v>
      </c>
      <c r="X1377">
        <v>1</v>
      </c>
      <c r="Y1377">
        <v>-89.6</v>
      </c>
    </row>
    <row r="1378" spans="1:25" x14ac:dyDescent="0.45">
      <c r="A1378">
        <v>57</v>
      </c>
      <c r="B1378">
        <v>57</v>
      </c>
      <c r="C1378" t="s">
        <v>638</v>
      </c>
      <c r="D1378" t="s">
        <v>414</v>
      </c>
      <c r="E1378">
        <v>10</v>
      </c>
      <c r="F1378">
        <v>2.82</v>
      </c>
      <c r="G1378">
        <v>36711.555</v>
      </c>
      <c r="I1378">
        <v>36711.555</v>
      </c>
      <c r="J1378" t="s">
        <v>403</v>
      </c>
      <c r="K1378">
        <v>2.9</v>
      </c>
      <c r="L1378">
        <v>-70.7</v>
      </c>
      <c r="N1378">
        <v>22</v>
      </c>
      <c r="O1378">
        <v>22</v>
      </c>
      <c r="P1378" t="s">
        <v>676</v>
      </c>
      <c r="Q1378" t="s">
        <v>414</v>
      </c>
      <c r="R1378">
        <v>10</v>
      </c>
      <c r="S1378">
        <v>2.5099999999999998</v>
      </c>
      <c r="T1378">
        <v>72365.960999999996</v>
      </c>
      <c r="V1378">
        <v>72365.960999999996</v>
      </c>
      <c r="W1378" t="s">
        <v>401</v>
      </c>
      <c r="X1378">
        <v>0.8</v>
      </c>
      <c r="Y1378">
        <v>-91.9</v>
      </c>
    </row>
    <row r="1379" spans="1:25" x14ac:dyDescent="0.45">
      <c r="A1379">
        <v>58</v>
      </c>
      <c r="B1379">
        <v>58</v>
      </c>
      <c r="C1379" t="s">
        <v>639</v>
      </c>
      <c r="D1379" t="s">
        <v>414</v>
      </c>
      <c r="E1379">
        <v>10</v>
      </c>
      <c r="F1379">
        <v>2.82</v>
      </c>
      <c r="G1379">
        <v>36887.887000000002</v>
      </c>
      <c r="I1379">
        <v>36887.887000000002</v>
      </c>
      <c r="J1379" t="s">
        <v>415</v>
      </c>
      <c r="K1379">
        <v>2.9</v>
      </c>
      <c r="L1379">
        <v>-70.5</v>
      </c>
      <c r="N1379">
        <v>23</v>
      </c>
      <c r="O1379">
        <v>23</v>
      </c>
      <c r="P1379" t="s">
        <v>677</v>
      </c>
      <c r="Q1379" t="s">
        <v>414</v>
      </c>
      <c r="R1379">
        <v>10</v>
      </c>
      <c r="S1379">
        <v>2.5099999999999998</v>
      </c>
      <c r="T1379">
        <v>76706.031000000003</v>
      </c>
      <c r="V1379">
        <v>76706.031000000003</v>
      </c>
      <c r="W1379" t="s">
        <v>401</v>
      </c>
      <c r="X1379">
        <v>0.9</v>
      </c>
      <c r="Y1379">
        <v>-91.4</v>
      </c>
    </row>
    <row r="1380" spans="1:25" x14ac:dyDescent="0.45">
      <c r="A1380">
        <v>59</v>
      </c>
      <c r="B1380">
        <v>59</v>
      </c>
      <c r="C1380" t="s">
        <v>640</v>
      </c>
      <c r="D1380" t="s">
        <v>414</v>
      </c>
      <c r="E1380">
        <v>10</v>
      </c>
      <c r="F1380">
        <v>2.82</v>
      </c>
      <c r="G1380">
        <v>48775.555</v>
      </c>
      <c r="I1380">
        <v>48775.555</v>
      </c>
      <c r="J1380" t="s">
        <v>401</v>
      </c>
      <c r="K1380">
        <v>3.9</v>
      </c>
      <c r="L1380">
        <v>-61</v>
      </c>
      <c r="N1380">
        <v>24</v>
      </c>
      <c r="O1380">
        <v>24</v>
      </c>
      <c r="P1380" t="s">
        <v>678</v>
      </c>
      <c r="Q1380" t="s">
        <v>414</v>
      </c>
      <c r="R1380">
        <v>10</v>
      </c>
      <c r="S1380">
        <v>2.5099999999999998</v>
      </c>
      <c r="T1380">
        <v>60343.887000000002</v>
      </c>
      <c r="V1380">
        <v>60343.887000000002</v>
      </c>
      <c r="W1380" t="s">
        <v>401</v>
      </c>
      <c r="X1380">
        <v>0.7</v>
      </c>
      <c r="Y1380">
        <v>-93.3</v>
      </c>
    </row>
    <row r="1381" spans="1:25" x14ac:dyDescent="0.45">
      <c r="A1381">
        <v>60</v>
      </c>
      <c r="B1381">
        <v>60</v>
      </c>
      <c r="C1381" t="s">
        <v>641</v>
      </c>
      <c r="D1381" t="s">
        <v>414</v>
      </c>
      <c r="E1381">
        <v>10</v>
      </c>
      <c r="F1381">
        <v>2.81</v>
      </c>
      <c r="G1381">
        <v>39225.733999999997</v>
      </c>
      <c r="I1381">
        <v>39225.733999999997</v>
      </c>
      <c r="J1381" t="s">
        <v>415</v>
      </c>
      <c r="K1381">
        <v>3.1</v>
      </c>
      <c r="L1381">
        <v>-68.7</v>
      </c>
      <c r="N1381">
        <v>25</v>
      </c>
      <c r="O1381">
        <v>25</v>
      </c>
      <c r="P1381" t="s">
        <v>679</v>
      </c>
      <c r="Q1381" t="s">
        <v>414</v>
      </c>
      <c r="R1381">
        <v>10</v>
      </c>
      <c r="S1381">
        <v>2.5099999999999998</v>
      </c>
      <c r="T1381">
        <v>51912.07</v>
      </c>
      <c r="V1381">
        <v>51912.07</v>
      </c>
      <c r="W1381" t="s">
        <v>401</v>
      </c>
      <c r="X1381">
        <v>0.6</v>
      </c>
      <c r="Y1381">
        <v>-94.2</v>
      </c>
    </row>
    <row r="1382" spans="1:25" x14ac:dyDescent="0.45">
      <c r="A1382">
        <v>61</v>
      </c>
      <c r="B1382">
        <v>61</v>
      </c>
      <c r="C1382" t="s">
        <v>642</v>
      </c>
      <c r="D1382" t="s">
        <v>414</v>
      </c>
      <c r="E1382">
        <v>10</v>
      </c>
      <c r="F1382">
        <v>2.82</v>
      </c>
      <c r="G1382">
        <v>61308.578000000001</v>
      </c>
      <c r="I1382">
        <v>61308.578000000001</v>
      </c>
      <c r="J1382" t="s">
        <v>415</v>
      </c>
      <c r="K1382">
        <v>4.9000000000000004</v>
      </c>
      <c r="L1382">
        <v>-51</v>
      </c>
      <c r="N1382">
        <v>26</v>
      </c>
      <c r="O1382">
        <v>26</v>
      </c>
      <c r="P1382" t="s">
        <v>680</v>
      </c>
      <c r="Q1382" t="s">
        <v>414</v>
      </c>
      <c r="R1382">
        <v>10</v>
      </c>
      <c r="S1382">
        <v>2.5099999999999998</v>
      </c>
      <c r="T1382">
        <v>67912.422000000006</v>
      </c>
      <c r="V1382">
        <v>67912.422000000006</v>
      </c>
      <c r="W1382" t="s">
        <v>401</v>
      </c>
      <c r="X1382">
        <v>0.8</v>
      </c>
      <c r="Y1382">
        <v>-92.4</v>
      </c>
    </row>
    <row r="1383" spans="1:25" x14ac:dyDescent="0.45">
      <c r="A1383">
        <v>62</v>
      </c>
      <c r="B1383">
        <v>62</v>
      </c>
      <c r="C1383" t="s">
        <v>643</v>
      </c>
      <c r="D1383" t="s">
        <v>414</v>
      </c>
      <c r="E1383">
        <v>10</v>
      </c>
      <c r="F1383">
        <v>2.82</v>
      </c>
      <c r="G1383">
        <v>76461.062999999995</v>
      </c>
      <c r="I1383">
        <v>76461.062999999995</v>
      </c>
      <c r="J1383" t="s">
        <v>401</v>
      </c>
      <c r="K1383">
        <v>6.1</v>
      </c>
      <c r="L1383">
        <v>-38.9</v>
      </c>
      <c r="N1383">
        <v>27</v>
      </c>
      <c r="O1383">
        <v>27</v>
      </c>
      <c r="P1383" t="s">
        <v>681</v>
      </c>
      <c r="Q1383" t="s">
        <v>414</v>
      </c>
      <c r="R1383">
        <v>10</v>
      </c>
      <c r="S1383">
        <v>2.5099999999999998</v>
      </c>
      <c r="T1383">
        <v>69128.937999999995</v>
      </c>
      <c r="V1383">
        <v>69128.937999999995</v>
      </c>
      <c r="W1383" t="s">
        <v>401</v>
      </c>
      <c r="X1383">
        <v>0.8</v>
      </c>
      <c r="Y1383">
        <v>-92.3</v>
      </c>
    </row>
    <row r="1384" spans="1:25" x14ac:dyDescent="0.45">
      <c r="A1384">
        <v>63</v>
      </c>
      <c r="B1384">
        <v>63</v>
      </c>
      <c r="C1384" t="s">
        <v>644</v>
      </c>
      <c r="D1384" t="s">
        <v>414</v>
      </c>
      <c r="E1384">
        <v>10</v>
      </c>
      <c r="F1384">
        <v>2.82</v>
      </c>
      <c r="G1384">
        <v>46493.773000000001</v>
      </c>
      <c r="I1384">
        <v>46493.773000000001</v>
      </c>
      <c r="J1384" t="s">
        <v>403</v>
      </c>
      <c r="K1384">
        <v>3.7</v>
      </c>
      <c r="L1384">
        <v>-62.8</v>
      </c>
      <c r="N1384">
        <v>28</v>
      </c>
      <c r="O1384">
        <v>28</v>
      </c>
      <c r="P1384" t="s">
        <v>682</v>
      </c>
      <c r="Q1384" t="s">
        <v>414</v>
      </c>
      <c r="R1384">
        <v>10</v>
      </c>
      <c r="S1384">
        <v>2.5099999999999998</v>
      </c>
      <c r="T1384">
        <v>49797.601999999999</v>
      </c>
      <c r="V1384">
        <v>49797.601999999999</v>
      </c>
      <c r="W1384" t="s">
        <v>403</v>
      </c>
      <c r="X1384">
        <v>0.6</v>
      </c>
      <c r="Y1384">
        <v>-94.4</v>
      </c>
    </row>
    <row r="1385" spans="1:25" x14ac:dyDescent="0.45">
      <c r="A1385">
        <v>64</v>
      </c>
      <c r="B1385">
        <v>64</v>
      </c>
      <c r="C1385" t="s">
        <v>645</v>
      </c>
      <c r="D1385" t="s">
        <v>414</v>
      </c>
      <c r="E1385">
        <v>10</v>
      </c>
      <c r="F1385">
        <v>2.82</v>
      </c>
      <c r="G1385">
        <v>36215.358999999997</v>
      </c>
      <c r="I1385">
        <v>36215.358999999997</v>
      </c>
      <c r="J1385" t="s">
        <v>401</v>
      </c>
      <c r="K1385">
        <v>2.9</v>
      </c>
      <c r="L1385">
        <v>-71.099999999999994</v>
      </c>
      <c r="N1385">
        <v>29</v>
      </c>
      <c r="O1385">
        <v>29</v>
      </c>
      <c r="P1385" t="s">
        <v>683</v>
      </c>
      <c r="Q1385" t="s">
        <v>414</v>
      </c>
      <c r="R1385">
        <v>10</v>
      </c>
      <c r="S1385">
        <v>2.5099999999999998</v>
      </c>
      <c r="T1385">
        <v>81522.241999999998</v>
      </c>
      <c r="V1385">
        <v>81522.241999999998</v>
      </c>
      <c r="W1385" t="s">
        <v>401</v>
      </c>
      <c r="X1385">
        <v>0.9</v>
      </c>
      <c r="Y1385">
        <v>-90.9</v>
      </c>
    </row>
    <row r="1386" spans="1:25" x14ac:dyDescent="0.45">
      <c r="A1386">
        <v>65</v>
      </c>
      <c r="B1386">
        <v>65</v>
      </c>
      <c r="C1386" t="s">
        <v>646</v>
      </c>
      <c r="D1386" t="s">
        <v>414</v>
      </c>
      <c r="E1386">
        <v>10</v>
      </c>
      <c r="F1386">
        <v>2.82</v>
      </c>
      <c r="G1386">
        <v>39970.559000000001</v>
      </c>
      <c r="I1386">
        <v>39970.559000000001</v>
      </c>
      <c r="J1386" t="s">
        <v>415</v>
      </c>
      <c r="K1386">
        <v>3.2</v>
      </c>
      <c r="L1386">
        <v>-68.099999999999994</v>
      </c>
      <c r="N1386">
        <v>30</v>
      </c>
      <c r="O1386">
        <v>30</v>
      </c>
      <c r="P1386" t="s">
        <v>684</v>
      </c>
      <c r="Q1386" t="s">
        <v>414</v>
      </c>
      <c r="R1386">
        <v>10</v>
      </c>
      <c r="S1386">
        <v>2.5099999999999998</v>
      </c>
      <c r="T1386">
        <v>73221.922000000006</v>
      </c>
      <c r="V1386">
        <v>73221.922000000006</v>
      </c>
      <c r="W1386" t="s">
        <v>401</v>
      </c>
      <c r="X1386">
        <v>0.8</v>
      </c>
      <c r="Y1386">
        <v>-91.8</v>
      </c>
    </row>
    <row r="1387" spans="1:25" x14ac:dyDescent="0.45">
      <c r="A1387">
        <v>66</v>
      </c>
      <c r="B1387">
        <v>66</v>
      </c>
      <c r="C1387" t="s">
        <v>647</v>
      </c>
      <c r="D1387" t="s">
        <v>414</v>
      </c>
      <c r="E1387">
        <v>10</v>
      </c>
      <c r="F1387">
        <v>2.81</v>
      </c>
      <c r="G1387">
        <v>50769.237999999998</v>
      </c>
      <c r="I1387">
        <v>50769.237999999998</v>
      </c>
      <c r="J1387" t="s">
        <v>415</v>
      </c>
      <c r="K1387">
        <v>4.0999999999999996</v>
      </c>
      <c r="L1387">
        <v>-59.4</v>
      </c>
      <c r="N1387">
        <v>31</v>
      </c>
      <c r="O1387">
        <v>31</v>
      </c>
      <c r="P1387" t="s">
        <v>685</v>
      </c>
      <c r="Q1387" t="s">
        <v>414</v>
      </c>
      <c r="R1387">
        <v>10</v>
      </c>
      <c r="S1387">
        <v>2.5099999999999998</v>
      </c>
      <c r="T1387">
        <v>105198.758</v>
      </c>
      <c r="V1387">
        <v>105198.758</v>
      </c>
      <c r="W1387" t="s">
        <v>403</v>
      </c>
      <c r="X1387">
        <v>1.2</v>
      </c>
      <c r="Y1387">
        <v>-88.3</v>
      </c>
    </row>
    <row r="1388" spans="1:25" x14ac:dyDescent="0.45">
      <c r="A1388">
        <v>67</v>
      </c>
      <c r="B1388">
        <v>67</v>
      </c>
      <c r="C1388" t="s">
        <v>648</v>
      </c>
      <c r="D1388" t="s">
        <v>414</v>
      </c>
      <c r="E1388">
        <v>10</v>
      </c>
      <c r="F1388">
        <v>2.81</v>
      </c>
      <c r="G1388">
        <v>43750.964999999997</v>
      </c>
      <c r="I1388">
        <v>43750.964999999997</v>
      </c>
      <c r="J1388" t="s">
        <v>403</v>
      </c>
      <c r="K1388">
        <v>3.5</v>
      </c>
      <c r="L1388">
        <v>-65</v>
      </c>
      <c r="N1388">
        <v>32</v>
      </c>
      <c r="O1388">
        <v>32</v>
      </c>
      <c r="P1388" t="s">
        <v>686</v>
      </c>
      <c r="Q1388" t="s">
        <v>414</v>
      </c>
      <c r="R1388">
        <v>10</v>
      </c>
      <c r="S1388">
        <v>2.5099999999999998</v>
      </c>
      <c r="T1388">
        <v>170441.32800000001</v>
      </c>
      <c r="V1388">
        <v>170441.32800000001</v>
      </c>
      <c r="W1388" t="s">
        <v>401</v>
      </c>
      <c r="X1388">
        <v>1.9</v>
      </c>
      <c r="Y1388">
        <v>-81</v>
      </c>
    </row>
    <row r="1389" spans="1:25" x14ac:dyDescent="0.45">
      <c r="A1389">
        <v>68</v>
      </c>
      <c r="B1389">
        <v>68</v>
      </c>
      <c r="C1389" t="s">
        <v>649</v>
      </c>
      <c r="D1389" t="s">
        <v>414</v>
      </c>
      <c r="E1389">
        <v>10</v>
      </c>
      <c r="F1389">
        <v>2.82</v>
      </c>
      <c r="G1389">
        <v>38240.472999999998</v>
      </c>
      <c r="I1389">
        <v>38240.472999999998</v>
      </c>
      <c r="J1389" t="s">
        <v>401</v>
      </c>
      <c r="K1389">
        <v>3.1</v>
      </c>
      <c r="L1389">
        <v>-69.400000000000006</v>
      </c>
      <c r="N1389">
        <v>33</v>
      </c>
      <c r="O1389">
        <v>33</v>
      </c>
      <c r="P1389" t="s">
        <v>687</v>
      </c>
      <c r="Q1389" t="s">
        <v>414</v>
      </c>
      <c r="R1389">
        <v>10</v>
      </c>
      <c r="S1389">
        <v>2.5099999999999998</v>
      </c>
      <c r="T1389">
        <v>141090.234</v>
      </c>
      <c r="V1389">
        <v>141090.234</v>
      </c>
      <c r="W1389" t="s">
        <v>415</v>
      </c>
      <c r="X1389">
        <v>1.6</v>
      </c>
      <c r="Y1389">
        <v>-84.2</v>
      </c>
    </row>
    <row r="1390" spans="1:25" x14ac:dyDescent="0.45">
      <c r="A1390">
        <v>69</v>
      </c>
      <c r="B1390">
        <v>69</v>
      </c>
      <c r="C1390" t="s">
        <v>650</v>
      </c>
      <c r="D1390" t="s">
        <v>414</v>
      </c>
      <c r="E1390">
        <v>10</v>
      </c>
      <c r="F1390">
        <v>2.82</v>
      </c>
      <c r="G1390">
        <v>51155.995999999999</v>
      </c>
      <c r="I1390">
        <v>51155.995999999999</v>
      </c>
      <c r="J1390" t="s">
        <v>401</v>
      </c>
      <c r="K1390">
        <v>4.0999999999999996</v>
      </c>
      <c r="L1390">
        <v>-59.1</v>
      </c>
      <c r="N1390">
        <v>34</v>
      </c>
      <c r="O1390">
        <v>34</v>
      </c>
      <c r="P1390" t="s">
        <v>688</v>
      </c>
      <c r="Q1390" t="s">
        <v>414</v>
      </c>
      <c r="R1390">
        <v>10</v>
      </c>
      <c r="S1390">
        <v>2.5099999999999998</v>
      </c>
      <c r="T1390">
        <v>120750.42200000001</v>
      </c>
      <c r="V1390">
        <v>120750.42200000001</v>
      </c>
      <c r="W1390" t="s">
        <v>401</v>
      </c>
      <c r="X1390">
        <v>1.3</v>
      </c>
      <c r="Y1390">
        <v>-86.5</v>
      </c>
    </row>
    <row r="1391" spans="1:25" x14ac:dyDescent="0.45">
      <c r="N1391">
        <v>35</v>
      </c>
      <c r="O1391">
        <v>35</v>
      </c>
      <c r="P1391" t="s">
        <v>689</v>
      </c>
      <c r="Q1391" t="s">
        <v>414</v>
      </c>
      <c r="R1391">
        <v>10</v>
      </c>
      <c r="S1391">
        <v>2.5099999999999998</v>
      </c>
      <c r="T1391">
        <v>165348.31299999999</v>
      </c>
      <c r="V1391">
        <v>165348.31299999999</v>
      </c>
      <c r="W1391" t="s">
        <v>403</v>
      </c>
      <c r="X1391">
        <v>1.8</v>
      </c>
      <c r="Y1391">
        <v>-81.5</v>
      </c>
    </row>
    <row r="1392" spans="1:25" x14ac:dyDescent="0.45">
      <c r="A1392" t="s">
        <v>505</v>
      </c>
      <c r="N1392">
        <v>36</v>
      </c>
      <c r="O1392">
        <v>36</v>
      </c>
      <c r="P1392" t="s">
        <v>690</v>
      </c>
      <c r="Q1392" t="s">
        <v>414</v>
      </c>
      <c r="R1392">
        <v>10</v>
      </c>
      <c r="S1392">
        <v>2.5099999999999998</v>
      </c>
      <c r="T1392">
        <v>81145.843999999997</v>
      </c>
      <c r="V1392">
        <v>81145.843999999997</v>
      </c>
      <c r="W1392" t="s">
        <v>403</v>
      </c>
      <c r="X1392">
        <v>0.9</v>
      </c>
      <c r="Y1392">
        <v>-90.9</v>
      </c>
    </row>
    <row r="1393" spans="1:25" x14ac:dyDescent="0.45">
      <c r="N1393">
        <v>37</v>
      </c>
      <c r="O1393">
        <v>37</v>
      </c>
      <c r="P1393" t="s">
        <v>691</v>
      </c>
      <c r="Q1393" t="s">
        <v>414</v>
      </c>
      <c r="R1393">
        <v>10</v>
      </c>
      <c r="S1393">
        <v>2.5099999999999998</v>
      </c>
      <c r="T1393">
        <v>74676.327999999994</v>
      </c>
      <c r="V1393">
        <v>74676.327999999994</v>
      </c>
      <c r="W1393" t="s">
        <v>401</v>
      </c>
      <c r="X1393">
        <v>0.8</v>
      </c>
      <c r="Y1393">
        <v>-91.7</v>
      </c>
    </row>
    <row r="1394" spans="1:25" x14ac:dyDescent="0.45">
      <c r="B1394" t="s">
        <v>389</v>
      </c>
      <c r="C1394" t="s">
        <v>123</v>
      </c>
      <c r="D1394" t="s">
        <v>390</v>
      </c>
      <c r="E1394" t="s">
        <v>391</v>
      </c>
      <c r="F1394" t="s">
        <v>392</v>
      </c>
      <c r="G1394" t="s">
        <v>393</v>
      </c>
      <c r="H1394" t="s">
        <v>394</v>
      </c>
      <c r="I1394" t="s">
        <v>395</v>
      </c>
      <c r="J1394" t="s">
        <v>396</v>
      </c>
      <c r="K1394" t="s">
        <v>397</v>
      </c>
      <c r="L1394" t="s">
        <v>398</v>
      </c>
      <c r="N1394">
        <v>38</v>
      </c>
      <c r="O1394">
        <v>38</v>
      </c>
      <c r="P1394" t="s">
        <v>692</v>
      </c>
      <c r="Q1394" t="s">
        <v>414</v>
      </c>
      <c r="R1394">
        <v>10</v>
      </c>
      <c r="S1394">
        <v>2.5099999999999998</v>
      </c>
      <c r="T1394">
        <v>107673.125</v>
      </c>
      <c r="V1394">
        <v>107673.125</v>
      </c>
      <c r="W1394" t="s">
        <v>415</v>
      </c>
      <c r="X1394">
        <v>1.2</v>
      </c>
      <c r="Y1394">
        <v>-88</v>
      </c>
    </row>
    <row r="1395" spans="1:25" x14ac:dyDescent="0.45">
      <c r="A1395">
        <v>1</v>
      </c>
      <c r="B1395">
        <v>1</v>
      </c>
      <c r="C1395" t="s">
        <v>582</v>
      </c>
      <c r="D1395" t="s">
        <v>400</v>
      </c>
      <c r="E1395">
        <v>10</v>
      </c>
      <c r="F1395">
        <v>2.5099999999999998</v>
      </c>
      <c r="G1395">
        <v>745922.43799999997</v>
      </c>
      <c r="I1395">
        <v>745922.43799999997</v>
      </c>
      <c r="J1395" t="s">
        <v>401</v>
      </c>
      <c r="K1395">
        <v>9.6999999999999993</v>
      </c>
      <c r="L1395">
        <v>-3.4</v>
      </c>
      <c r="N1395">
        <v>39</v>
      </c>
      <c r="O1395">
        <v>39</v>
      </c>
      <c r="P1395" t="s">
        <v>693</v>
      </c>
      <c r="Q1395" t="s">
        <v>414</v>
      </c>
      <c r="R1395">
        <v>10</v>
      </c>
      <c r="S1395">
        <v>2.5099999999999998</v>
      </c>
      <c r="T1395">
        <v>113180.82799999999</v>
      </c>
      <c r="V1395">
        <v>113180.82799999999</v>
      </c>
      <c r="W1395" t="s">
        <v>401</v>
      </c>
      <c r="X1395">
        <v>1.3</v>
      </c>
      <c r="Y1395">
        <v>-87.4</v>
      </c>
    </row>
    <row r="1396" spans="1:25" x14ac:dyDescent="0.45">
      <c r="A1396">
        <v>2</v>
      </c>
      <c r="B1396">
        <v>2</v>
      </c>
      <c r="C1396" t="s">
        <v>583</v>
      </c>
      <c r="D1396" t="s">
        <v>400</v>
      </c>
      <c r="E1396">
        <v>10</v>
      </c>
      <c r="F1396">
        <v>2.5099999999999998</v>
      </c>
      <c r="G1396">
        <v>786337.25</v>
      </c>
      <c r="I1396">
        <v>786337.25</v>
      </c>
      <c r="J1396" t="s">
        <v>403</v>
      </c>
      <c r="K1396">
        <v>10.199999999999999</v>
      </c>
      <c r="L1396">
        <v>1.8</v>
      </c>
      <c r="N1396">
        <v>40</v>
      </c>
      <c r="O1396">
        <v>40</v>
      </c>
      <c r="P1396" t="s">
        <v>694</v>
      </c>
      <c r="Q1396" t="s">
        <v>414</v>
      </c>
      <c r="R1396">
        <v>10</v>
      </c>
      <c r="S1396">
        <v>2.5099999999999998</v>
      </c>
      <c r="T1396">
        <v>256138.57800000001</v>
      </c>
      <c r="V1396">
        <v>256138.57800000001</v>
      </c>
      <c r="W1396" t="s">
        <v>415</v>
      </c>
      <c r="X1396">
        <v>2.9</v>
      </c>
      <c r="Y1396">
        <v>-71.400000000000006</v>
      </c>
    </row>
    <row r="1397" spans="1:25" x14ac:dyDescent="0.45">
      <c r="A1397">
        <v>3</v>
      </c>
      <c r="B1397">
        <v>3</v>
      </c>
      <c r="C1397" t="s">
        <v>584</v>
      </c>
      <c r="D1397" t="s">
        <v>400</v>
      </c>
      <c r="E1397">
        <v>10</v>
      </c>
      <c r="F1397">
        <v>2.5099999999999998</v>
      </c>
      <c r="G1397">
        <v>680492.93799999997</v>
      </c>
      <c r="I1397">
        <v>680492.93799999997</v>
      </c>
      <c r="J1397" t="s">
        <v>401</v>
      </c>
      <c r="K1397">
        <v>8.8000000000000007</v>
      </c>
      <c r="L1397">
        <v>-11.9</v>
      </c>
      <c r="N1397">
        <v>41</v>
      </c>
      <c r="O1397">
        <v>41</v>
      </c>
      <c r="P1397" t="s">
        <v>695</v>
      </c>
      <c r="Q1397" t="s">
        <v>414</v>
      </c>
      <c r="R1397">
        <v>10</v>
      </c>
      <c r="S1397">
        <v>2.5099999999999998</v>
      </c>
      <c r="T1397">
        <v>261484.21900000001</v>
      </c>
      <c r="V1397">
        <v>261484.21900000001</v>
      </c>
      <c r="W1397" t="s">
        <v>401</v>
      </c>
      <c r="X1397">
        <v>2.9</v>
      </c>
      <c r="Y1397">
        <v>-70.8</v>
      </c>
    </row>
    <row r="1398" spans="1:25" x14ac:dyDescent="0.45">
      <c r="A1398">
        <v>4</v>
      </c>
      <c r="B1398">
        <v>4</v>
      </c>
      <c r="C1398" t="s">
        <v>585</v>
      </c>
      <c r="D1398" t="s">
        <v>400</v>
      </c>
      <c r="E1398">
        <v>10</v>
      </c>
      <c r="F1398">
        <v>2.5099999999999998</v>
      </c>
      <c r="G1398">
        <v>780483.56299999997</v>
      </c>
      <c r="I1398">
        <v>780483.56299999997</v>
      </c>
      <c r="J1398" t="s">
        <v>401</v>
      </c>
      <c r="K1398">
        <v>10.1</v>
      </c>
      <c r="L1398">
        <v>1.1000000000000001</v>
      </c>
      <c r="N1398">
        <v>42</v>
      </c>
      <c r="O1398">
        <v>42</v>
      </c>
      <c r="P1398" t="s">
        <v>696</v>
      </c>
      <c r="Q1398" t="s">
        <v>414</v>
      </c>
      <c r="R1398">
        <v>10</v>
      </c>
      <c r="S1398">
        <v>2.5099999999999998</v>
      </c>
      <c r="T1398">
        <v>191980.32800000001</v>
      </c>
      <c r="V1398">
        <v>191980.32800000001</v>
      </c>
      <c r="W1398" t="s">
        <v>415</v>
      </c>
      <c r="X1398">
        <v>2.1</v>
      </c>
      <c r="Y1398">
        <v>-78.599999999999994</v>
      </c>
    </row>
    <row r="1399" spans="1:25" x14ac:dyDescent="0.45">
      <c r="A1399">
        <v>5</v>
      </c>
      <c r="B1399">
        <v>5</v>
      </c>
      <c r="C1399" t="s">
        <v>586</v>
      </c>
      <c r="D1399" t="s">
        <v>400</v>
      </c>
      <c r="E1399">
        <v>10</v>
      </c>
      <c r="F1399">
        <v>2.5099999999999998</v>
      </c>
      <c r="G1399">
        <v>822963.06299999997</v>
      </c>
      <c r="I1399">
        <v>822963.06299999997</v>
      </c>
      <c r="J1399" t="s">
        <v>401</v>
      </c>
      <c r="K1399">
        <v>10.7</v>
      </c>
      <c r="L1399">
        <v>6.6</v>
      </c>
      <c r="N1399">
        <v>43</v>
      </c>
      <c r="O1399">
        <v>43</v>
      </c>
      <c r="P1399" t="s">
        <v>697</v>
      </c>
      <c r="Q1399" t="s">
        <v>414</v>
      </c>
      <c r="R1399">
        <v>10</v>
      </c>
      <c r="S1399">
        <v>2.5099999999999998</v>
      </c>
      <c r="T1399">
        <v>233719.92199999999</v>
      </c>
      <c r="V1399">
        <v>233719.92199999999</v>
      </c>
      <c r="W1399" t="s">
        <v>401</v>
      </c>
      <c r="X1399">
        <v>2.6</v>
      </c>
      <c r="Y1399">
        <v>-73.900000000000006</v>
      </c>
    </row>
    <row r="1400" spans="1:25" x14ac:dyDescent="0.45">
      <c r="A1400">
        <v>6</v>
      </c>
      <c r="B1400">
        <v>6</v>
      </c>
      <c r="C1400" t="s">
        <v>587</v>
      </c>
      <c r="D1400" t="s">
        <v>400</v>
      </c>
      <c r="E1400">
        <v>10</v>
      </c>
      <c r="F1400">
        <v>2.5</v>
      </c>
      <c r="G1400">
        <v>857220.25</v>
      </c>
      <c r="I1400">
        <v>857220.25</v>
      </c>
      <c r="J1400" t="s">
        <v>401</v>
      </c>
      <c r="K1400">
        <v>11.1</v>
      </c>
      <c r="L1400">
        <v>11</v>
      </c>
      <c r="N1400">
        <v>44</v>
      </c>
      <c r="O1400">
        <v>44</v>
      </c>
      <c r="P1400" t="s">
        <v>698</v>
      </c>
      <c r="Q1400" t="s">
        <v>414</v>
      </c>
      <c r="R1400">
        <v>10</v>
      </c>
      <c r="S1400">
        <v>2.5099999999999998</v>
      </c>
      <c r="T1400">
        <v>204380.18799999999</v>
      </c>
      <c r="V1400">
        <v>204380.18799999999</v>
      </c>
      <c r="W1400" t="s">
        <v>415</v>
      </c>
      <c r="X1400">
        <v>2.2999999999999998</v>
      </c>
      <c r="Y1400">
        <v>-77.2</v>
      </c>
    </row>
    <row r="1401" spans="1:25" x14ac:dyDescent="0.45">
      <c r="A1401">
        <v>7</v>
      </c>
      <c r="B1401">
        <v>7</v>
      </c>
      <c r="C1401" t="s">
        <v>588</v>
      </c>
      <c r="D1401" t="s">
        <v>400</v>
      </c>
      <c r="E1401">
        <v>10</v>
      </c>
      <c r="F1401">
        <v>2.5</v>
      </c>
      <c r="G1401">
        <v>732716.81299999997</v>
      </c>
      <c r="I1401">
        <v>732716.81299999997</v>
      </c>
      <c r="J1401" t="s">
        <v>401</v>
      </c>
      <c r="K1401">
        <v>9.5</v>
      </c>
      <c r="L1401">
        <v>-5.0999999999999996</v>
      </c>
      <c r="N1401">
        <v>45</v>
      </c>
      <c r="O1401">
        <v>45</v>
      </c>
      <c r="P1401" t="s">
        <v>699</v>
      </c>
      <c r="Q1401" t="s">
        <v>414</v>
      </c>
      <c r="R1401">
        <v>10</v>
      </c>
      <c r="S1401">
        <v>2.5099999999999998</v>
      </c>
      <c r="T1401">
        <v>97802.57</v>
      </c>
      <c r="V1401">
        <v>97802.57</v>
      </c>
      <c r="W1401" t="s">
        <v>401</v>
      </c>
      <c r="X1401">
        <v>1.1000000000000001</v>
      </c>
      <c r="Y1401">
        <v>-89.1</v>
      </c>
    </row>
    <row r="1402" spans="1:25" x14ac:dyDescent="0.45">
      <c r="A1402">
        <v>8</v>
      </c>
      <c r="B1402">
        <v>8</v>
      </c>
      <c r="C1402" t="s">
        <v>589</v>
      </c>
      <c r="D1402" t="s">
        <v>410</v>
      </c>
      <c r="E1402">
        <v>10</v>
      </c>
      <c r="F1402">
        <v>4.08</v>
      </c>
      <c r="G1402">
        <v>2363.7040000000002</v>
      </c>
      <c r="I1402">
        <v>2363.7040000000002</v>
      </c>
      <c r="J1402" t="s">
        <v>403</v>
      </c>
      <c r="K1402">
        <v>0</v>
      </c>
      <c r="L1402">
        <v>-99.7</v>
      </c>
      <c r="N1402">
        <v>46</v>
      </c>
      <c r="O1402">
        <v>46</v>
      </c>
      <c r="P1402" t="s">
        <v>700</v>
      </c>
      <c r="Q1402" t="s">
        <v>414</v>
      </c>
      <c r="R1402">
        <v>10</v>
      </c>
      <c r="S1402">
        <v>2.5099999999999998</v>
      </c>
      <c r="T1402">
        <v>243621.016</v>
      </c>
      <c r="V1402">
        <v>243621.016</v>
      </c>
      <c r="W1402" t="s">
        <v>401</v>
      </c>
      <c r="X1402">
        <v>2.7</v>
      </c>
      <c r="Y1402">
        <v>-72.8</v>
      </c>
    </row>
    <row r="1403" spans="1:25" x14ac:dyDescent="0.45">
      <c r="A1403">
        <v>9</v>
      </c>
      <c r="B1403">
        <v>9</v>
      </c>
      <c r="C1403" t="s">
        <v>590</v>
      </c>
      <c r="D1403" t="s">
        <v>410</v>
      </c>
      <c r="E1403">
        <v>10</v>
      </c>
      <c r="F1403">
        <v>3.53</v>
      </c>
      <c r="G1403">
        <v>2135.2620000000002</v>
      </c>
      <c r="I1403">
        <v>2135.2620000000002</v>
      </c>
      <c r="J1403" t="s">
        <v>403</v>
      </c>
      <c r="K1403">
        <v>0</v>
      </c>
      <c r="L1403">
        <v>-99.7</v>
      </c>
      <c r="N1403">
        <v>47</v>
      </c>
      <c r="O1403">
        <v>47</v>
      </c>
      <c r="P1403" t="s">
        <v>701</v>
      </c>
      <c r="Q1403" t="s">
        <v>414</v>
      </c>
      <c r="R1403">
        <v>10</v>
      </c>
      <c r="S1403">
        <v>2.5099999999999998</v>
      </c>
      <c r="T1403">
        <v>243034.09400000001</v>
      </c>
      <c r="V1403">
        <v>243034.09400000001</v>
      </c>
      <c r="W1403" t="s">
        <v>415</v>
      </c>
      <c r="X1403">
        <v>2.7</v>
      </c>
      <c r="Y1403">
        <v>-72.900000000000006</v>
      </c>
    </row>
    <row r="1404" spans="1:25" x14ac:dyDescent="0.45">
      <c r="A1404">
        <v>10</v>
      </c>
      <c r="B1404">
        <v>10</v>
      </c>
      <c r="C1404" t="s">
        <v>591</v>
      </c>
      <c r="D1404" t="s">
        <v>414</v>
      </c>
      <c r="E1404">
        <v>10</v>
      </c>
      <c r="F1404">
        <v>2.5</v>
      </c>
      <c r="G1404">
        <v>197415.93799999999</v>
      </c>
      <c r="I1404">
        <v>197415.93799999999</v>
      </c>
      <c r="J1404" t="s">
        <v>415</v>
      </c>
      <c r="K1404">
        <v>2.6</v>
      </c>
      <c r="L1404">
        <v>-74.400000000000006</v>
      </c>
      <c r="N1404">
        <v>48</v>
      </c>
      <c r="O1404">
        <v>48</v>
      </c>
      <c r="P1404" t="s">
        <v>702</v>
      </c>
      <c r="Q1404" t="s">
        <v>414</v>
      </c>
      <c r="R1404">
        <v>10</v>
      </c>
      <c r="S1404">
        <v>2.5099999999999998</v>
      </c>
      <c r="T1404">
        <v>257549.93799999999</v>
      </c>
      <c r="V1404">
        <v>257549.93799999999</v>
      </c>
      <c r="W1404" t="s">
        <v>415</v>
      </c>
      <c r="X1404">
        <v>2.9</v>
      </c>
      <c r="Y1404">
        <v>-71.2</v>
      </c>
    </row>
    <row r="1405" spans="1:25" x14ac:dyDescent="0.45">
      <c r="A1405">
        <v>11</v>
      </c>
      <c r="B1405">
        <v>11</v>
      </c>
      <c r="C1405" t="s">
        <v>592</v>
      </c>
      <c r="D1405" t="s">
        <v>414</v>
      </c>
      <c r="E1405">
        <v>10</v>
      </c>
      <c r="F1405">
        <v>2.5</v>
      </c>
      <c r="G1405">
        <v>59486.663999999997</v>
      </c>
      <c r="I1405">
        <v>59486.663999999997</v>
      </c>
      <c r="J1405" t="s">
        <v>403</v>
      </c>
      <c r="K1405">
        <v>0.8</v>
      </c>
      <c r="L1405">
        <v>-92.3</v>
      </c>
      <c r="N1405">
        <v>49</v>
      </c>
      <c r="O1405">
        <v>49</v>
      </c>
      <c r="P1405" t="s">
        <v>703</v>
      </c>
      <c r="Q1405" t="s">
        <v>414</v>
      </c>
      <c r="R1405">
        <v>10</v>
      </c>
      <c r="S1405">
        <v>2.5099999999999998</v>
      </c>
      <c r="T1405">
        <v>255800.359</v>
      </c>
      <c r="V1405">
        <v>255800.359</v>
      </c>
      <c r="W1405" t="s">
        <v>401</v>
      </c>
      <c r="X1405">
        <v>2.9</v>
      </c>
      <c r="Y1405">
        <v>-71.400000000000006</v>
      </c>
    </row>
    <row r="1406" spans="1:25" x14ac:dyDescent="0.45">
      <c r="A1406">
        <v>12</v>
      </c>
      <c r="B1406">
        <v>12</v>
      </c>
      <c r="C1406" t="s">
        <v>593</v>
      </c>
      <c r="D1406" t="s">
        <v>414</v>
      </c>
      <c r="E1406">
        <v>10</v>
      </c>
      <c r="F1406">
        <v>2.5</v>
      </c>
      <c r="G1406">
        <v>111737.609</v>
      </c>
      <c r="I1406">
        <v>111737.609</v>
      </c>
      <c r="J1406" t="s">
        <v>401</v>
      </c>
      <c r="K1406">
        <v>1.4</v>
      </c>
      <c r="L1406">
        <v>-85.5</v>
      </c>
      <c r="N1406">
        <v>50</v>
      </c>
      <c r="O1406">
        <v>50</v>
      </c>
      <c r="P1406" t="s">
        <v>704</v>
      </c>
      <c r="Q1406" t="s">
        <v>414</v>
      </c>
      <c r="R1406">
        <v>10</v>
      </c>
      <c r="S1406">
        <v>2.5099999999999998</v>
      </c>
      <c r="T1406">
        <v>255114.95300000001</v>
      </c>
      <c r="V1406">
        <v>255114.95300000001</v>
      </c>
      <c r="W1406" t="s">
        <v>401</v>
      </c>
      <c r="X1406">
        <v>2.8</v>
      </c>
      <c r="Y1406">
        <v>-71.5</v>
      </c>
    </row>
    <row r="1407" spans="1:25" x14ac:dyDescent="0.45">
      <c r="A1407">
        <v>13</v>
      </c>
      <c r="B1407">
        <v>13</v>
      </c>
      <c r="C1407" t="s">
        <v>594</v>
      </c>
      <c r="D1407" t="s">
        <v>414</v>
      </c>
      <c r="E1407">
        <v>10</v>
      </c>
      <c r="F1407">
        <v>2.5</v>
      </c>
      <c r="G1407">
        <v>214303.59400000001</v>
      </c>
      <c r="I1407">
        <v>214303.59400000001</v>
      </c>
      <c r="J1407" t="s">
        <v>401</v>
      </c>
      <c r="K1407">
        <v>2.8</v>
      </c>
      <c r="L1407">
        <v>-72.3</v>
      </c>
      <c r="N1407">
        <v>51</v>
      </c>
      <c r="O1407">
        <v>51</v>
      </c>
      <c r="P1407" t="s">
        <v>705</v>
      </c>
      <c r="Q1407" t="s">
        <v>414</v>
      </c>
      <c r="R1407">
        <v>10</v>
      </c>
      <c r="S1407">
        <v>2.5099999999999998</v>
      </c>
      <c r="T1407">
        <v>51728.362999999998</v>
      </c>
      <c r="V1407">
        <v>51728.362999999998</v>
      </c>
      <c r="W1407" t="s">
        <v>401</v>
      </c>
      <c r="X1407">
        <v>0.6</v>
      </c>
      <c r="Y1407">
        <v>-94.2</v>
      </c>
    </row>
    <row r="1408" spans="1:25" x14ac:dyDescent="0.45">
      <c r="A1408">
        <v>14</v>
      </c>
      <c r="B1408">
        <v>14</v>
      </c>
      <c r="C1408" t="s">
        <v>595</v>
      </c>
      <c r="D1408" t="s">
        <v>414</v>
      </c>
      <c r="E1408">
        <v>10</v>
      </c>
      <c r="F1408">
        <v>2.5</v>
      </c>
      <c r="G1408">
        <v>233076.734</v>
      </c>
      <c r="I1408">
        <v>233076.734</v>
      </c>
      <c r="J1408" t="s">
        <v>401</v>
      </c>
      <c r="K1408">
        <v>3</v>
      </c>
      <c r="L1408">
        <v>-69.8</v>
      </c>
      <c r="N1408">
        <v>52</v>
      </c>
      <c r="O1408">
        <v>52</v>
      </c>
      <c r="P1408" t="s">
        <v>706</v>
      </c>
      <c r="Q1408" t="s">
        <v>414</v>
      </c>
      <c r="R1408">
        <v>10</v>
      </c>
      <c r="S1408">
        <v>2.5099999999999998</v>
      </c>
      <c r="T1408">
        <v>215760.859</v>
      </c>
      <c r="V1408">
        <v>215760.859</v>
      </c>
      <c r="W1408" t="s">
        <v>401</v>
      </c>
      <c r="X1408">
        <v>2.4</v>
      </c>
      <c r="Y1408">
        <v>-75.900000000000006</v>
      </c>
    </row>
    <row r="1409" spans="1:25" x14ac:dyDescent="0.45">
      <c r="A1409">
        <v>15</v>
      </c>
      <c r="B1409">
        <v>15</v>
      </c>
      <c r="C1409" t="s">
        <v>596</v>
      </c>
      <c r="D1409" t="s">
        <v>414</v>
      </c>
      <c r="E1409">
        <v>10</v>
      </c>
      <c r="F1409">
        <v>2.5</v>
      </c>
      <c r="G1409">
        <v>329938.68800000002</v>
      </c>
      <c r="I1409">
        <v>329938.68800000002</v>
      </c>
      <c r="J1409" t="s">
        <v>401</v>
      </c>
      <c r="K1409">
        <v>4.3</v>
      </c>
      <c r="L1409">
        <v>-57.3</v>
      </c>
      <c r="N1409">
        <v>53</v>
      </c>
      <c r="O1409">
        <v>53</v>
      </c>
      <c r="P1409" t="s">
        <v>707</v>
      </c>
      <c r="Q1409" t="s">
        <v>414</v>
      </c>
      <c r="R1409">
        <v>10</v>
      </c>
      <c r="S1409">
        <v>2.5099999999999998</v>
      </c>
      <c r="T1409">
        <v>230600.5</v>
      </c>
      <c r="V1409">
        <v>230600.5</v>
      </c>
      <c r="W1409" t="s">
        <v>415</v>
      </c>
      <c r="X1409">
        <v>2.6</v>
      </c>
      <c r="Y1409">
        <v>-74.2</v>
      </c>
    </row>
    <row r="1410" spans="1:25" x14ac:dyDescent="0.45">
      <c r="A1410">
        <v>16</v>
      </c>
      <c r="B1410">
        <v>16</v>
      </c>
      <c r="C1410" t="s">
        <v>597</v>
      </c>
      <c r="D1410" t="s">
        <v>414</v>
      </c>
      <c r="E1410">
        <v>10</v>
      </c>
      <c r="F1410">
        <v>2.5</v>
      </c>
      <c r="G1410">
        <v>280192.03100000002</v>
      </c>
      <c r="I1410">
        <v>280192.03100000002</v>
      </c>
      <c r="J1410" t="s">
        <v>401</v>
      </c>
      <c r="K1410">
        <v>3.6</v>
      </c>
      <c r="L1410">
        <v>-63.7</v>
      </c>
      <c r="N1410">
        <v>54</v>
      </c>
      <c r="O1410">
        <v>54</v>
      </c>
      <c r="P1410" t="s">
        <v>708</v>
      </c>
      <c r="Q1410" t="s">
        <v>414</v>
      </c>
      <c r="R1410">
        <v>10</v>
      </c>
      <c r="S1410">
        <v>2.5099999999999998</v>
      </c>
      <c r="T1410">
        <v>227942.234</v>
      </c>
      <c r="V1410">
        <v>227942.234</v>
      </c>
      <c r="W1410" t="s">
        <v>401</v>
      </c>
      <c r="X1410">
        <v>2.5</v>
      </c>
      <c r="Y1410">
        <v>-74.5</v>
      </c>
    </row>
    <row r="1411" spans="1:25" x14ac:dyDescent="0.45">
      <c r="A1411">
        <v>17</v>
      </c>
      <c r="B1411">
        <v>17</v>
      </c>
      <c r="C1411" t="s">
        <v>598</v>
      </c>
      <c r="D1411" t="s">
        <v>414</v>
      </c>
      <c r="E1411">
        <v>10</v>
      </c>
      <c r="F1411">
        <v>2.5</v>
      </c>
      <c r="G1411">
        <v>256256.17199999999</v>
      </c>
      <c r="I1411">
        <v>256256.17199999999</v>
      </c>
      <c r="J1411" t="s">
        <v>401</v>
      </c>
      <c r="K1411">
        <v>3.3</v>
      </c>
      <c r="L1411">
        <v>-66.8</v>
      </c>
      <c r="N1411">
        <v>55</v>
      </c>
      <c r="O1411">
        <v>55</v>
      </c>
      <c r="P1411" t="s">
        <v>709</v>
      </c>
      <c r="Q1411" t="s">
        <v>414</v>
      </c>
      <c r="R1411">
        <v>10</v>
      </c>
      <c r="S1411">
        <v>2.5099999999999998</v>
      </c>
      <c r="T1411">
        <v>241530.40599999999</v>
      </c>
      <c r="V1411">
        <v>241530.40599999999</v>
      </c>
      <c r="W1411" t="s">
        <v>415</v>
      </c>
      <c r="X1411">
        <v>2.7</v>
      </c>
      <c r="Y1411">
        <v>-73</v>
      </c>
    </row>
    <row r="1412" spans="1:25" x14ac:dyDescent="0.45">
      <c r="A1412">
        <v>18</v>
      </c>
      <c r="B1412">
        <v>18</v>
      </c>
      <c r="C1412" t="s">
        <v>599</v>
      </c>
      <c r="D1412" t="s">
        <v>414</v>
      </c>
      <c r="E1412">
        <v>10</v>
      </c>
      <c r="F1412">
        <v>2.5</v>
      </c>
      <c r="G1412">
        <v>68991.937999999995</v>
      </c>
      <c r="I1412">
        <v>68991.937999999995</v>
      </c>
      <c r="J1412" t="s">
        <v>415</v>
      </c>
      <c r="K1412">
        <v>0.9</v>
      </c>
      <c r="L1412">
        <v>-91.1</v>
      </c>
      <c r="N1412">
        <v>56</v>
      </c>
      <c r="O1412">
        <v>56</v>
      </c>
      <c r="P1412" t="s">
        <v>710</v>
      </c>
      <c r="Q1412" t="s">
        <v>414</v>
      </c>
      <c r="R1412">
        <v>10</v>
      </c>
      <c r="S1412">
        <v>2.5099999999999998</v>
      </c>
      <c r="T1412">
        <v>269094.09399999998</v>
      </c>
      <c r="V1412">
        <v>269094.09399999998</v>
      </c>
      <c r="W1412" t="s">
        <v>403</v>
      </c>
      <c r="X1412">
        <v>3</v>
      </c>
      <c r="Y1412">
        <v>-70</v>
      </c>
    </row>
    <row r="1413" spans="1:25" x14ac:dyDescent="0.45">
      <c r="A1413">
        <v>19</v>
      </c>
      <c r="B1413">
        <v>19</v>
      </c>
      <c r="C1413" t="s">
        <v>600</v>
      </c>
      <c r="D1413" t="s">
        <v>414</v>
      </c>
      <c r="E1413">
        <v>10</v>
      </c>
      <c r="F1413">
        <v>2.5</v>
      </c>
      <c r="G1413">
        <v>62433.671999999999</v>
      </c>
      <c r="I1413">
        <v>62433.671999999999</v>
      </c>
      <c r="J1413" t="s">
        <v>401</v>
      </c>
      <c r="K1413">
        <v>0.8</v>
      </c>
      <c r="L1413">
        <v>-91.9</v>
      </c>
      <c r="N1413">
        <v>57</v>
      </c>
      <c r="O1413">
        <v>57</v>
      </c>
      <c r="P1413" t="s">
        <v>711</v>
      </c>
      <c r="Q1413" t="s">
        <v>414</v>
      </c>
      <c r="R1413">
        <v>10</v>
      </c>
      <c r="S1413">
        <v>2.5099999999999998</v>
      </c>
      <c r="T1413">
        <v>282941.53100000002</v>
      </c>
      <c r="V1413">
        <v>282941.53100000002</v>
      </c>
      <c r="W1413" t="s">
        <v>401</v>
      </c>
      <c r="X1413">
        <v>3.2</v>
      </c>
      <c r="Y1413">
        <v>-68.400000000000006</v>
      </c>
    </row>
    <row r="1414" spans="1:25" x14ac:dyDescent="0.45">
      <c r="A1414">
        <v>20</v>
      </c>
      <c r="B1414">
        <v>20</v>
      </c>
      <c r="C1414" t="s">
        <v>601</v>
      </c>
      <c r="D1414" t="s">
        <v>414</v>
      </c>
      <c r="E1414">
        <v>10</v>
      </c>
      <c r="F1414">
        <v>2.5</v>
      </c>
      <c r="G1414">
        <v>43018.218999999997</v>
      </c>
      <c r="I1414">
        <v>43018.218999999997</v>
      </c>
      <c r="J1414" t="s">
        <v>403</v>
      </c>
      <c r="K1414">
        <v>0.6</v>
      </c>
      <c r="L1414">
        <v>-94.4</v>
      </c>
      <c r="N1414">
        <v>58</v>
      </c>
      <c r="O1414">
        <v>58</v>
      </c>
      <c r="P1414" t="s">
        <v>712</v>
      </c>
      <c r="Q1414" t="s">
        <v>414</v>
      </c>
      <c r="R1414">
        <v>10</v>
      </c>
      <c r="S1414">
        <v>2.5099999999999998</v>
      </c>
      <c r="T1414">
        <v>278767.25</v>
      </c>
      <c r="V1414">
        <v>278767.25</v>
      </c>
      <c r="W1414" t="s">
        <v>401</v>
      </c>
      <c r="X1414">
        <v>3.1</v>
      </c>
      <c r="Y1414">
        <v>-68.900000000000006</v>
      </c>
    </row>
    <row r="1415" spans="1:25" x14ac:dyDescent="0.45">
      <c r="A1415">
        <v>21</v>
      </c>
      <c r="B1415">
        <v>21</v>
      </c>
      <c r="C1415" t="s">
        <v>602</v>
      </c>
      <c r="D1415" t="s">
        <v>414</v>
      </c>
      <c r="E1415">
        <v>10</v>
      </c>
      <c r="F1415">
        <v>2.5</v>
      </c>
      <c r="G1415">
        <v>77879.281000000003</v>
      </c>
      <c r="I1415">
        <v>77879.281000000003</v>
      </c>
      <c r="J1415" t="s">
        <v>401</v>
      </c>
      <c r="K1415">
        <v>1</v>
      </c>
      <c r="L1415">
        <v>-89.9</v>
      </c>
      <c r="N1415">
        <v>59</v>
      </c>
      <c r="O1415">
        <v>59</v>
      </c>
      <c r="P1415" t="s">
        <v>713</v>
      </c>
      <c r="Q1415" t="s">
        <v>414</v>
      </c>
      <c r="R1415">
        <v>10</v>
      </c>
      <c r="S1415">
        <v>2.5099999999999998</v>
      </c>
      <c r="T1415">
        <v>89591.57</v>
      </c>
      <c r="V1415">
        <v>89591.57</v>
      </c>
      <c r="W1415" t="s">
        <v>401</v>
      </c>
      <c r="X1415">
        <v>1</v>
      </c>
      <c r="Y1415">
        <v>-90</v>
      </c>
    </row>
    <row r="1416" spans="1:25" x14ac:dyDescent="0.45">
      <c r="A1416">
        <v>22</v>
      </c>
      <c r="B1416">
        <v>22</v>
      </c>
      <c r="C1416" t="s">
        <v>603</v>
      </c>
      <c r="D1416" t="s">
        <v>414</v>
      </c>
      <c r="E1416">
        <v>10</v>
      </c>
      <c r="F1416">
        <v>2.5</v>
      </c>
      <c r="G1416">
        <v>291120.28100000002</v>
      </c>
      <c r="I1416">
        <v>291120.28100000002</v>
      </c>
      <c r="J1416" t="s">
        <v>401</v>
      </c>
      <c r="K1416">
        <v>3.8</v>
      </c>
      <c r="L1416">
        <v>-62.3</v>
      </c>
      <c r="N1416">
        <v>60</v>
      </c>
      <c r="O1416">
        <v>60</v>
      </c>
      <c r="P1416" t="s">
        <v>714</v>
      </c>
      <c r="Q1416" t="s">
        <v>414</v>
      </c>
      <c r="R1416">
        <v>10</v>
      </c>
      <c r="S1416">
        <v>2.5099999999999998</v>
      </c>
      <c r="T1416">
        <v>114858.469</v>
      </c>
      <c r="V1416">
        <v>114858.469</v>
      </c>
      <c r="W1416" t="s">
        <v>401</v>
      </c>
      <c r="X1416">
        <v>1.3</v>
      </c>
      <c r="Y1416">
        <v>-87.2</v>
      </c>
    </row>
    <row r="1417" spans="1:25" x14ac:dyDescent="0.45">
      <c r="A1417">
        <v>23</v>
      </c>
      <c r="B1417">
        <v>23</v>
      </c>
      <c r="C1417" t="s">
        <v>604</v>
      </c>
      <c r="D1417" t="s">
        <v>414</v>
      </c>
      <c r="E1417">
        <v>10</v>
      </c>
      <c r="F1417">
        <v>2.5</v>
      </c>
      <c r="G1417">
        <v>289736.31300000002</v>
      </c>
      <c r="I1417">
        <v>289736.31300000002</v>
      </c>
      <c r="J1417" t="s">
        <v>415</v>
      </c>
      <c r="K1417">
        <v>3.8</v>
      </c>
      <c r="L1417">
        <v>-62.5</v>
      </c>
      <c r="N1417">
        <v>61</v>
      </c>
      <c r="O1417">
        <v>61</v>
      </c>
      <c r="P1417" t="s">
        <v>715</v>
      </c>
      <c r="Q1417" t="s">
        <v>414</v>
      </c>
      <c r="R1417">
        <v>10</v>
      </c>
      <c r="S1417">
        <v>2.5099999999999998</v>
      </c>
      <c r="T1417">
        <v>209872.125</v>
      </c>
      <c r="V1417">
        <v>209872.125</v>
      </c>
      <c r="W1417" t="s">
        <v>415</v>
      </c>
      <c r="X1417">
        <v>2.2999999999999998</v>
      </c>
      <c r="Y1417">
        <v>-76.599999999999994</v>
      </c>
    </row>
    <row r="1418" spans="1:25" x14ac:dyDescent="0.45">
      <c r="A1418">
        <v>24</v>
      </c>
      <c r="B1418">
        <v>24</v>
      </c>
      <c r="C1418" t="s">
        <v>605</v>
      </c>
      <c r="D1418" t="s">
        <v>414</v>
      </c>
      <c r="E1418">
        <v>10</v>
      </c>
      <c r="F1418">
        <v>2.5</v>
      </c>
      <c r="G1418">
        <v>159360.266</v>
      </c>
      <c r="I1418">
        <v>159360.266</v>
      </c>
      <c r="J1418" t="s">
        <v>403</v>
      </c>
      <c r="K1418">
        <v>2.1</v>
      </c>
      <c r="L1418">
        <v>-79.400000000000006</v>
      </c>
      <c r="N1418">
        <v>62</v>
      </c>
      <c r="O1418">
        <v>62</v>
      </c>
      <c r="P1418" t="s">
        <v>716</v>
      </c>
      <c r="Q1418" t="s">
        <v>414</v>
      </c>
      <c r="R1418">
        <v>10</v>
      </c>
      <c r="S1418">
        <v>2.5099999999999998</v>
      </c>
      <c r="T1418">
        <v>103812.05499999999</v>
      </c>
      <c r="V1418">
        <v>103812.05499999999</v>
      </c>
      <c r="W1418" t="s">
        <v>403</v>
      </c>
      <c r="X1418">
        <v>1.2</v>
      </c>
      <c r="Y1418">
        <v>-88.4</v>
      </c>
    </row>
    <row r="1419" spans="1:25" x14ac:dyDescent="0.45">
      <c r="A1419">
        <v>25</v>
      </c>
      <c r="B1419">
        <v>25</v>
      </c>
      <c r="C1419" t="s">
        <v>606</v>
      </c>
      <c r="D1419" t="s">
        <v>414</v>
      </c>
      <c r="E1419">
        <v>10</v>
      </c>
      <c r="F1419">
        <v>2.5</v>
      </c>
      <c r="G1419">
        <v>202963.79699999999</v>
      </c>
      <c r="I1419">
        <v>202963.79699999999</v>
      </c>
      <c r="J1419" t="s">
        <v>401</v>
      </c>
      <c r="K1419">
        <v>2.6</v>
      </c>
      <c r="L1419">
        <v>-73.7</v>
      </c>
      <c r="N1419">
        <v>63</v>
      </c>
      <c r="O1419">
        <v>63</v>
      </c>
      <c r="P1419" t="s">
        <v>717</v>
      </c>
      <c r="Q1419" t="s">
        <v>414</v>
      </c>
      <c r="R1419">
        <v>10</v>
      </c>
      <c r="S1419">
        <v>2.5099999999999998</v>
      </c>
      <c r="T1419">
        <v>287584.625</v>
      </c>
      <c r="V1419">
        <v>287584.625</v>
      </c>
      <c r="W1419" t="s">
        <v>401</v>
      </c>
      <c r="X1419">
        <v>3.2</v>
      </c>
      <c r="Y1419">
        <v>-67.900000000000006</v>
      </c>
    </row>
    <row r="1420" spans="1:25" x14ac:dyDescent="0.45">
      <c r="A1420">
        <v>26</v>
      </c>
      <c r="B1420">
        <v>26</v>
      </c>
      <c r="C1420" t="s">
        <v>607</v>
      </c>
      <c r="D1420" t="s">
        <v>414</v>
      </c>
      <c r="E1420">
        <v>10</v>
      </c>
      <c r="F1420">
        <v>2.5</v>
      </c>
      <c r="G1420">
        <v>153698.78099999999</v>
      </c>
      <c r="I1420">
        <v>153698.78099999999</v>
      </c>
      <c r="J1420" t="s">
        <v>403</v>
      </c>
      <c r="K1420">
        <v>2</v>
      </c>
      <c r="L1420">
        <v>-80.099999999999994</v>
      </c>
      <c r="N1420">
        <v>64</v>
      </c>
      <c r="O1420">
        <v>64</v>
      </c>
      <c r="P1420" t="s">
        <v>718</v>
      </c>
      <c r="Q1420" t="s">
        <v>414</v>
      </c>
      <c r="R1420">
        <v>10</v>
      </c>
      <c r="S1420">
        <v>2.5099999999999998</v>
      </c>
      <c r="T1420">
        <v>243892.875</v>
      </c>
      <c r="V1420">
        <v>243892.875</v>
      </c>
      <c r="W1420" t="s">
        <v>401</v>
      </c>
      <c r="X1420">
        <v>2.7</v>
      </c>
      <c r="Y1420">
        <v>-72.8</v>
      </c>
    </row>
    <row r="1421" spans="1:25" x14ac:dyDescent="0.45">
      <c r="A1421">
        <v>27</v>
      </c>
      <c r="B1421">
        <v>27</v>
      </c>
      <c r="C1421" t="s">
        <v>608</v>
      </c>
      <c r="D1421" t="s">
        <v>414</v>
      </c>
      <c r="E1421">
        <v>10</v>
      </c>
      <c r="F1421">
        <v>2.5</v>
      </c>
      <c r="G1421">
        <v>299073.09399999998</v>
      </c>
      <c r="I1421">
        <v>299073.09399999998</v>
      </c>
      <c r="J1421" t="s">
        <v>401</v>
      </c>
      <c r="K1421">
        <v>3.9</v>
      </c>
      <c r="L1421">
        <v>-61.3</v>
      </c>
      <c r="N1421">
        <v>65</v>
      </c>
      <c r="O1421">
        <v>65</v>
      </c>
      <c r="P1421" t="s">
        <v>719</v>
      </c>
      <c r="Q1421" t="s">
        <v>414</v>
      </c>
      <c r="R1421">
        <v>10</v>
      </c>
      <c r="S1421">
        <v>2.5099999999999998</v>
      </c>
      <c r="T1421">
        <v>86806.858999999997</v>
      </c>
      <c r="V1421">
        <v>86806.858999999997</v>
      </c>
      <c r="W1421" t="s">
        <v>401</v>
      </c>
      <c r="X1421">
        <v>1</v>
      </c>
      <c r="Y1421">
        <v>-90.3</v>
      </c>
    </row>
    <row r="1422" spans="1:25" x14ac:dyDescent="0.45">
      <c r="A1422">
        <v>28</v>
      </c>
      <c r="B1422">
        <v>28</v>
      </c>
      <c r="C1422" t="s">
        <v>609</v>
      </c>
      <c r="D1422" t="s">
        <v>414</v>
      </c>
      <c r="E1422">
        <v>10</v>
      </c>
      <c r="F1422">
        <v>2.5</v>
      </c>
      <c r="G1422">
        <v>183368.42199999999</v>
      </c>
      <c r="I1422">
        <v>183368.42199999999</v>
      </c>
      <c r="J1422" t="s">
        <v>403</v>
      </c>
      <c r="K1422">
        <v>2.4</v>
      </c>
      <c r="L1422">
        <v>-76.3</v>
      </c>
      <c r="N1422">
        <v>66</v>
      </c>
      <c r="O1422">
        <v>66</v>
      </c>
      <c r="P1422" t="s">
        <v>720</v>
      </c>
      <c r="Q1422" t="s">
        <v>414</v>
      </c>
      <c r="R1422">
        <v>10</v>
      </c>
      <c r="S1422">
        <v>2.5099999999999998</v>
      </c>
      <c r="T1422">
        <v>281521.90600000002</v>
      </c>
      <c r="V1422">
        <v>281521.90600000002</v>
      </c>
      <c r="W1422" t="s">
        <v>401</v>
      </c>
      <c r="X1422">
        <v>3.1</v>
      </c>
      <c r="Y1422">
        <v>-68.599999999999994</v>
      </c>
    </row>
    <row r="1423" spans="1:25" x14ac:dyDescent="0.45">
      <c r="A1423">
        <v>29</v>
      </c>
      <c r="B1423">
        <v>29</v>
      </c>
      <c r="C1423" t="s">
        <v>610</v>
      </c>
      <c r="D1423" t="s">
        <v>414</v>
      </c>
      <c r="E1423">
        <v>10</v>
      </c>
      <c r="F1423">
        <v>2.5</v>
      </c>
      <c r="G1423">
        <v>122197.844</v>
      </c>
      <c r="I1423">
        <v>122197.844</v>
      </c>
      <c r="J1423" t="s">
        <v>403</v>
      </c>
      <c r="K1423">
        <v>1.6</v>
      </c>
      <c r="L1423">
        <v>-84.2</v>
      </c>
      <c r="N1423">
        <v>67</v>
      </c>
      <c r="O1423">
        <v>67</v>
      </c>
      <c r="P1423" t="s">
        <v>721</v>
      </c>
      <c r="Q1423" t="s">
        <v>414</v>
      </c>
      <c r="R1423">
        <v>10</v>
      </c>
      <c r="S1423">
        <v>2.5099999999999998</v>
      </c>
      <c r="T1423">
        <v>277881.03100000002</v>
      </c>
      <c r="V1423">
        <v>277881.03100000002</v>
      </c>
      <c r="W1423" t="s">
        <v>401</v>
      </c>
      <c r="X1423">
        <v>3.1</v>
      </c>
      <c r="Y1423">
        <v>-69</v>
      </c>
    </row>
    <row r="1424" spans="1:25" x14ac:dyDescent="0.45">
      <c r="A1424">
        <v>30</v>
      </c>
      <c r="B1424">
        <v>30</v>
      </c>
      <c r="C1424" t="s">
        <v>611</v>
      </c>
      <c r="D1424" t="s">
        <v>414</v>
      </c>
      <c r="E1424">
        <v>10</v>
      </c>
      <c r="F1424">
        <v>2.5</v>
      </c>
      <c r="G1424">
        <v>132342.375</v>
      </c>
      <c r="I1424">
        <v>132342.375</v>
      </c>
      <c r="J1424" t="s">
        <v>415</v>
      </c>
      <c r="K1424">
        <v>1.7</v>
      </c>
      <c r="L1424">
        <v>-82.9</v>
      </c>
    </row>
    <row r="1425" spans="1:25" x14ac:dyDescent="0.45">
      <c r="A1425">
        <v>31</v>
      </c>
      <c r="B1425">
        <v>31</v>
      </c>
      <c r="C1425" t="s">
        <v>612</v>
      </c>
      <c r="D1425" t="s">
        <v>414</v>
      </c>
      <c r="E1425">
        <v>10</v>
      </c>
      <c r="F1425">
        <v>2.5</v>
      </c>
      <c r="G1425">
        <v>133992.734</v>
      </c>
      <c r="I1425">
        <v>133992.734</v>
      </c>
      <c r="J1425" t="s">
        <v>401</v>
      </c>
      <c r="K1425">
        <v>1.7</v>
      </c>
      <c r="L1425">
        <v>-82.7</v>
      </c>
      <c r="N1425" t="s">
        <v>506</v>
      </c>
    </row>
    <row r="1426" spans="1:25" x14ac:dyDescent="0.45">
      <c r="A1426">
        <v>32</v>
      </c>
      <c r="B1426">
        <v>32</v>
      </c>
      <c r="C1426" t="s">
        <v>613</v>
      </c>
      <c r="D1426" t="s">
        <v>414</v>
      </c>
      <c r="E1426">
        <v>10</v>
      </c>
      <c r="F1426">
        <v>2.5</v>
      </c>
      <c r="G1426">
        <v>90639.616999999998</v>
      </c>
      <c r="I1426">
        <v>90639.616999999998</v>
      </c>
      <c r="J1426" t="s">
        <v>403</v>
      </c>
      <c r="K1426">
        <v>1.2</v>
      </c>
      <c r="L1426">
        <v>-88.3</v>
      </c>
    </row>
    <row r="1427" spans="1:25" x14ac:dyDescent="0.45">
      <c r="A1427">
        <v>33</v>
      </c>
      <c r="B1427">
        <v>33</v>
      </c>
      <c r="C1427" t="s">
        <v>614</v>
      </c>
      <c r="D1427" t="s">
        <v>414</v>
      </c>
      <c r="E1427">
        <v>10</v>
      </c>
      <c r="F1427">
        <v>2.5099999999999998</v>
      </c>
      <c r="G1427">
        <v>95772.241999999998</v>
      </c>
      <c r="I1427">
        <v>95772.241999999998</v>
      </c>
      <c r="J1427" t="s">
        <v>415</v>
      </c>
      <c r="K1427">
        <v>1.2</v>
      </c>
      <c r="L1427">
        <v>-87.6</v>
      </c>
      <c r="O1427" t="s">
        <v>389</v>
      </c>
      <c r="P1427" t="s">
        <v>123</v>
      </c>
      <c r="Q1427" t="s">
        <v>390</v>
      </c>
      <c r="R1427" t="s">
        <v>391</v>
      </c>
      <c r="S1427" t="s">
        <v>392</v>
      </c>
      <c r="T1427" t="s">
        <v>393</v>
      </c>
      <c r="U1427" t="s">
        <v>394</v>
      </c>
      <c r="V1427" t="s">
        <v>395</v>
      </c>
      <c r="W1427" t="s">
        <v>396</v>
      </c>
      <c r="X1427" t="s">
        <v>397</v>
      </c>
      <c r="Y1427" t="s">
        <v>398</v>
      </c>
    </row>
    <row r="1428" spans="1:25" x14ac:dyDescent="0.45">
      <c r="A1428">
        <v>34</v>
      </c>
      <c r="B1428">
        <v>34</v>
      </c>
      <c r="C1428" t="s">
        <v>615</v>
      </c>
      <c r="D1428" t="s">
        <v>414</v>
      </c>
      <c r="E1428">
        <v>10</v>
      </c>
      <c r="F1428">
        <v>2.5</v>
      </c>
      <c r="G1428">
        <v>115081.117</v>
      </c>
      <c r="I1428">
        <v>115081.117</v>
      </c>
      <c r="J1428" t="s">
        <v>401</v>
      </c>
      <c r="K1428">
        <v>1.5</v>
      </c>
      <c r="L1428">
        <v>-85.1</v>
      </c>
      <c r="N1428">
        <v>1</v>
      </c>
      <c r="O1428">
        <v>1</v>
      </c>
      <c r="P1428" t="s">
        <v>655</v>
      </c>
      <c r="Q1428" t="s">
        <v>400</v>
      </c>
      <c r="R1428">
        <v>10</v>
      </c>
    </row>
    <row r="1429" spans="1:25" x14ac:dyDescent="0.45">
      <c r="A1429">
        <v>35</v>
      </c>
      <c r="B1429">
        <v>35</v>
      </c>
      <c r="C1429" t="s">
        <v>616</v>
      </c>
      <c r="D1429" t="s">
        <v>414</v>
      </c>
      <c r="E1429">
        <v>10</v>
      </c>
      <c r="F1429">
        <v>2.5</v>
      </c>
      <c r="G1429">
        <v>96153.108999999997</v>
      </c>
      <c r="I1429">
        <v>96153.108999999997</v>
      </c>
      <c r="J1429" t="s">
        <v>401</v>
      </c>
      <c r="K1429">
        <v>1.2</v>
      </c>
      <c r="L1429">
        <v>-87.5</v>
      </c>
      <c r="N1429">
        <v>2</v>
      </c>
      <c r="O1429">
        <v>2</v>
      </c>
      <c r="P1429" t="s">
        <v>656</v>
      </c>
      <c r="Q1429" t="s">
        <v>400</v>
      </c>
      <c r="R1429">
        <v>10</v>
      </c>
    </row>
    <row r="1430" spans="1:25" x14ac:dyDescent="0.45">
      <c r="A1430">
        <v>36</v>
      </c>
      <c r="B1430">
        <v>36</v>
      </c>
      <c r="C1430" t="s">
        <v>617</v>
      </c>
      <c r="D1430" t="s">
        <v>414</v>
      </c>
      <c r="E1430">
        <v>10</v>
      </c>
      <c r="F1430">
        <v>2.5</v>
      </c>
      <c r="G1430">
        <v>129553.92200000001</v>
      </c>
      <c r="I1430">
        <v>129553.92200000001</v>
      </c>
      <c r="J1430" t="s">
        <v>401</v>
      </c>
      <c r="K1430">
        <v>1.7</v>
      </c>
      <c r="L1430">
        <v>-83.2</v>
      </c>
      <c r="N1430">
        <v>3</v>
      </c>
      <c r="O1430">
        <v>3</v>
      </c>
      <c r="P1430" t="s">
        <v>657</v>
      </c>
      <c r="Q1430" t="s">
        <v>400</v>
      </c>
      <c r="R1430">
        <v>10</v>
      </c>
    </row>
    <row r="1431" spans="1:25" x14ac:dyDescent="0.45">
      <c r="A1431">
        <v>37</v>
      </c>
      <c r="B1431">
        <v>37</v>
      </c>
      <c r="C1431" t="s">
        <v>618</v>
      </c>
      <c r="D1431" t="s">
        <v>414</v>
      </c>
      <c r="E1431">
        <v>10</v>
      </c>
      <c r="F1431">
        <v>2.5</v>
      </c>
      <c r="G1431">
        <v>339179</v>
      </c>
      <c r="I1431">
        <v>339179</v>
      </c>
      <c r="J1431" t="s">
        <v>401</v>
      </c>
      <c r="K1431">
        <v>4.4000000000000004</v>
      </c>
      <c r="L1431">
        <v>-56.1</v>
      </c>
      <c r="N1431">
        <v>4</v>
      </c>
      <c r="O1431">
        <v>4</v>
      </c>
      <c r="P1431" t="s">
        <v>658</v>
      </c>
      <c r="Q1431" t="s">
        <v>400</v>
      </c>
      <c r="R1431">
        <v>10</v>
      </c>
    </row>
    <row r="1432" spans="1:25" x14ac:dyDescent="0.45">
      <c r="A1432">
        <v>38</v>
      </c>
      <c r="B1432">
        <v>38</v>
      </c>
      <c r="C1432" t="s">
        <v>619</v>
      </c>
      <c r="D1432" t="s">
        <v>414</v>
      </c>
      <c r="E1432">
        <v>10</v>
      </c>
      <c r="F1432">
        <v>2.5</v>
      </c>
      <c r="G1432">
        <v>78601.187999999995</v>
      </c>
      <c r="I1432">
        <v>78601.187999999995</v>
      </c>
      <c r="J1432" t="s">
        <v>401</v>
      </c>
      <c r="K1432">
        <v>1</v>
      </c>
      <c r="L1432">
        <v>-89.8</v>
      </c>
      <c r="N1432">
        <v>5</v>
      </c>
      <c r="O1432">
        <v>5</v>
      </c>
      <c r="P1432" t="s">
        <v>659</v>
      </c>
      <c r="Q1432" t="s">
        <v>400</v>
      </c>
      <c r="R1432">
        <v>10</v>
      </c>
    </row>
    <row r="1433" spans="1:25" x14ac:dyDescent="0.45">
      <c r="A1433">
        <v>39</v>
      </c>
      <c r="B1433">
        <v>39</v>
      </c>
      <c r="C1433" t="s">
        <v>620</v>
      </c>
      <c r="D1433" t="s">
        <v>414</v>
      </c>
      <c r="E1433">
        <v>10</v>
      </c>
      <c r="F1433">
        <v>2.5</v>
      </c>
      <c r="G1433">
        <v>88865.172000000006</v>
      </c>
      <c r="I1433">
        <v>88865.172000000006</v>
      </c>
      <c r="J1433" t="s">
        <v>403</v>
      </c>
      <c r="K1433">
        <v>1.2</v>
      </c>
      <c r="L1433">
        <v>-88.5</v>
      </c>
      <c r="N1433">
        <v>6</v>
      </c>
      <c r="O1433">
        <v>6</v>
      </c>
      <c r="P1433" t="s">
        <v>660</v>
      </c>
      <c r="Q1433" t="s">
        <v>400</v>
      </c>
      <c r="R1433">
        <v>10</v>
      </c>
    </row>
    <row r="1434" spans="1:25" x14ac:dyDescent="0.45">
      <c r="A1434">
        <v>40</v>
      </c>
      <c r="B1434">
        <v>40</v>
      </c>
      <c r="C1434" t="s">
        <v>621</v>
      </c>
      <c r="D1434" t="s">
        <v>414</v>
      </c>
      <c r="E1434">
        <v>10</v>
      </c>
      <c r="F1434">
        <v>2.5</v>
      </c>
      <c r="G1434">
        <v>192924.109</v>
      </c>
      <c r="I1434">
        <v>192924.109</v>
      </c>
      <c r="J1434" t="s">
        <v>401</v>
      </c>
      <c r="K1434">
        <v>2.5</v>
      </c>
      <c r="L1434">
        <v>-75</v>
      </c>
      <c r="N1434">
        <v>7</v>
      </c>
      <c r="O1434">
        <v>7</v>
      </c>
      <c r="P1434" t="s">
        <v>661</v>
      </c>
      <c r="Q1434" t="s">
        <v>400</v>
      </c>
      <c r="R1434">
        <v>10</v>
      </c>
    </row>
    <row r="1435" spans="1:25" x14ac:dyDescent="0.45">
      <c r="A1435">
        <v>41</v>
      </c>
      <c r="B1435">
        <v>41</v>
      </c>
      <c r="C1435" t="s">
        <v>622</v>
      </c>
      <c r="D1435" t="s">
        <v>414</v>
      </c>
      <c r="E1435">
        <v>10</v>
      </c>
      <c r="F1435">
        <v>2.5</v>
      </c>
      <c r="G1435">
        <v>151524.20300000001</v>
      </c>
      <c r="I1435">
        <v>151524.20300000001</v>
      </c>
      <c r="J1435" t="s">
        <v>401</v>
      </c>
      <c r="K1435">
        <v>2</v>
      </c>
      <c r="L1435">
        <v>-80.400000000000006</v>
      </c>
      <c r="N1435">
        <v>8</v>
      </c>
      <c r="O1435">
        <v>8</v>
      </c>
      <c r="P1435" t="s">
        <v>662</v>
      </c>
      <c r="Q1435" t="s">
        <v>414</v>
      </c>
      <c r="R1435">
        <v>10</v>
      </c>
    </row>
    <row r="1436" spans="1:25" x14ac:dyDescent="0.45">
      <c r="A1436">
        <v>42</v>
      </c>
      <c r="B1436">
        <v>42</v>
      </c>
      <c r="C1436" t="s">
        <v>623</v>
      </c>
      <c r="D1436" t="s">
        <v>414</v>
      </c>
      <c r="E1436">
        <v>10</v>
      </c>
      <c r="F1436">
        <v>2.5</v>
      </c>
      <c r="G1436">
        <v>333811.18800000002</v>
      </c>
      <c r="I1436">
        <v>333811.18800000002</v>
      </c>
      <c r="J1436" t="s">
        <v>401</v>
      </c>
      <c r="K1436">
        <v>4.3</v>
      </c>
      <c r="L1436">
        <v>-56.8</v>
      </c>
      <c r="N1436">
        <v>9</v>
      </c>
      <c r="O1436">
        <v>9</v>
      </c>
      <c r="P1436" t="s">
        <v>663</v>
      </c>
      <c r="Q1436" t="s">
        <v>414</v>
      </c>
      <c r="R1436">
        <v>10</v>
      </c>
    </row>
    <row r="1437" spans="1:25" x14ac:dyDescent="0.45">
      <c r="A1437">
        <v>43</v>
      </c>
      <c r="B1437">
        <v>43</v>
      </c>
      <c r="C1437" t="s">
        <v>624</v>
      </c>
      <c r="D1437" t="s">
        <v>414</v>
      </c>
      <c r="E1437">
        <v>10</v>
      </c>
      <c r="F1437">
        <v>2.5</v>
      </c>
      <c r="G1437">
        <v>314568.59399999998</v>
      </c>
      <c r="I1437">
        <v>314568.59399999998</v>
      </c>
      <c r="J1437" t="s">
        <v>403</v>
      </c>
      <c r="K1437">
        <v>4.0999999999999996</v>
      </c>
      <c r="L1437">
        <v>-59.3</v>
      </c>
      <c r="N1437">
        <v>10</v>
      </c>
      <c r="O1437">
        <v>10</v>
      </c>
      <c r="P1437" t="s">
        <v>664</v>
      </c>
      <c r="Q1437" t="s">
        <v>414</v>
      </c>
      <c r="R1437">
        <v>10</v>
      </c>
    </row>
    <row r="1438" spans="1:25" x14ac:dyDescent="0.45">
      <c r="A1438">
        <v>44</v>
      </c>
      <c r="B1438">
        <v>44</v>
      </c>
      <c r="C1438" t="s">
        <v>625</v>
      </c>
      <c r="D1438" t="s">
        <v>414</v>
      </c>
      <c r="E1438">
        <v>10</v>
      </c>
      <c r="F1438">
        <v>2.5</v>
      </c>
      <c r="G1438">
        <v>262444.18800000002</v>
      </c>
      <c r="I1438">
        <v>262444.18800000002</v>
      </c>
      <c r="J1438" t="s">
        <v>403</v>
      </c>
      <c r="K1438">
        <v>3.4</v>
      </c>
      <c r="L1438">
        <v>-66</v>
      </c>
      <c r="N1438">
        <v>11</v>
      </c>
      <c r="O1438">
        <v>11</v>
      </c>
      <c r="P1438" t="s">
        <v>665</v>
      </c>
      <c r="Q1438" t="s">
        <v>414</v>
      </c>
      <c r="R1438">
        <v>10</v>
      </c>
    </row>
    <row r="1439" spans="1:25" x14ac:dyDescent="0.45">
      <c r="A1439">
        <v>45</v>
      </c>
      <c r="B1439">
        <v>45</v>
      </c>
      <c r="C1439" t="s">
        <v>626</v>
      </c>
      <c r="D1439" t="s">
        <v>414</v>
      </c>
      <c r="E1439">
        <v>10</v>
      </c>
      <c r="F1439">
        <v>2.5</v>
      </c>
      <c r="G1439">
        <v>177094.25</v>
      </c>
      <c r="I1439">
        <v>177094.25</v>
      </c>
      <c r="J1439" t="s">
        <v>401</v>
      </c>
      <c r="K1439">
        <v>2.2999999999999998</v>
      </c>
      <c r="L1439">
        <v>-77.099999999999994</v>
      </c>
      <c r="N1439">
        <v>12</v>
      </c>
      <c r="O1439">
        <v>12</v>
      </c>
      <c r="P1439" t="s">
        <v>666</v>
      </c>
      <c r="Q1439" t="s">
        <v>414</v>
      </c>
      <c r="R1439">
        <v>10</v>
      </c>
    </row>
    <row r="1440" spans="1:25" x14ac:dyDescent="0.45">
      <c r="A1440">
        <v>46</v>
      </c>
      <c r="B1440">
        <v>46</v>
      </c>
      <c r="C1440" t="s">
        <v>627</v>
      </c>
      <c r="D1440" t="s">
        <v>414</v>
      </c>
      <c r="E1440">
        <v>10</v>
      </c>
      <c r="F1440">
        <v>2.5</v>
      </c>
      <c r="G1440">
        <v>186642.54699999999</v>
      </c>
      <c r="I1440">
        <v>186642.54699999999</v>
      </c>
      <c r="J1440" t="s">
        <v>415</v>
      </c>
      <c r="K1440">
        <v>2.4</v>
      </c>
      <c r="L1440">
        <v>-75.8</v>
      </c>
      <c r="N1440">
        <v>13</v>
      </c>
      <c r="O1440">
        <v>13</v>
      </c>
      <c r="P1440" t="s">
        <v>667</v>
      </c>
      <c r="Q1440" t="s">
        <v>414</v>
      </c>
      <c r="R1440">
        <v>10</v>
      </c>
    </row>
    <row r="1441" spans="1:18" x14ac:dyDescent="0.45">
      <c r="A1441">
        <v>47</v>
      </c>
      <c r="B1441">
        <v>47</v>
      </c>
      <c r="C1441" t="s">
        <v>628</v>
      </c>
      <c r="D1441" t="s">
        <v>414</v>
      </c>
      <c r="E1441">
        <v>10</v>
      </c>
      <c r="F1441">
        <v>2.5</v>
      </c>
      <c r="G1441">
        <v>265696.875</v>
      </c>
      <c r="I1441">
        <v>265696.875</v>
      </c>
      <c r="J1441" t="s">
        <v>401</v>
      </c>
      <c r="K1441">
        <v>3.4</v>
      </c>
      <c r="L1441">
        <v>-65.599999999999994</v>
      </c>
      <c r="N1441">
        <v>14</v>
      </c>
      <c r="O1441">
        <v>14</v>
      </c>
      <c r="P1441" t="s">
        <v>668</v>
      </c>
      <c r="Q1441" t="s">
        <v>414</v>
      </c>
      <c r="R1441">
        <v>10</v>
      </c>
    </row>
    <row r="1442" spans="1:18" x14ac:dyDescent="0.45">
      <c r="A1442">
        <v>48</v>
      </c>
      <c r="B1442">
        <v>48</v>
      </c>
      <c r="C1442" t="s">
        <v>629</v>
      </c>
      <c r="D1442" t="s">
        <v>414</v>
      </c>
      <c r="E1442">
        <v>10</v>
      </c>
      <c r="F1442">
        <v>2.5</v>
      </c>
      <c r="G1442">
        <v>154410.25</v>
      </c>
      <c r="I1442">
        <v>154410.25</v>
      </c>
      <c r="J1442" t="s">
        <v>403</v>
      </c>
      <c r="K1442">
        <v>2</v>
      </c>
      <c r="L1442">
        <v>-80</v>
      </c>
      <c r="N1442">
        <v>15</v>
      </c>
      <c r="O1442">
        <v>15</v>
      </c>
      <c r="P1442" t="s">
        <v>669</v>
      </c>
      <c r="Q1442" t="s">
        <v>414</v>
      </c>
      <c r="R1442">
        <v>10</v>
      </c>
    </row>
    <row r="1443" spans="1:18" x14ac:dyDescent="0.45">
      <c r="A1443">
        <v>49</v>
      </c>
      <c r="B1443">
        <v>49</v>
      </c>
      <c r="C1443" t="s">
        <v>630</v>
      </c>
      <c r="D1443" t="s">
        <v>414</v>
      </c>
      <c r="E1443">
        <v>10</v>
      </c>
      <c r="F1443">
        <v>2.5</v>
      </c>
      <c r="G1443">
        <v>238431</v>
      </c>
      <c r="I1443">
        <v>238431</v>
      </c>
      <c r="J1443" t="s">
        <v>403</v>
      </c>
      <c r="K1443">
        <v>3.1</v>
      </c>
      <c r="L1443">
        <v>-69.099999999999994</v>
      </c>
      <c r="N1443">
        <v>16</v>
      </c>
      <c r="O1443">
        <v>16</v>
      </c>
      <c r="P1443" t="s">
        <v>670</v>
      </c>
      <c r="Q1443" t="s">
        <v>414</v>
      </c>
      <c r="R1443">
        <v>10</v>
      </c>
    </row>
    <row r="1444" spans="1:18" x14ac:dyDescent="0.45">
      <c r="A1444">
        <v>50</v>
      </c>
      <c r="B1444">
        <v>50</v>
      </c>
      <c r="C1444" t="s">
        <v>631</v>
      </c>
      <c r="D1444" t="s">
        <v>414</v>
      </c>
      <c r="E1444">
        <v>10</v>
      </c>
      <c r="F1444">
        <v>2.5099999999999998</v>
      </c>
      <c r="G1444">
        <v>174570.359</v>
      </c>
      <c r="I1444">
        <v>174570.359</v>
      </c>
      <c r="J1444" t="s">
        <v>401</v>
      </c>
      <c r="K1444">
        <v>2.2999999999999998</v>
      </c>
      <c r="L1444">
        <v>-77.400000000000006</v>
      </c>
      <c r="N1444">
        <v>17</v>
      </c>
      <c r="O1444">
        <v>17</v>
      </c>
      <c r="P1444" t="s">
        <v>671</v>
      </c>
      <c r="Q1444" t="s">
        <v>414</v>
      </c>
      <c r="R1444">
        <v>10</v>
      </c>
    </row>
    <row r="1445" spans="1:18" x14ac:dyDescent="0.45">
      <c r="A1445">
        <v>51</v>
      </c>
      <c r="B1445">
        <v>51</v>
      </c>
      <c r="C1445" t="s">
        <v>632</v>
      </c>
      <c r="D1445" t="s">
        <v>414</v>
      </c>
      <c r="E1445">
        <v>10</v>
      </c>
      <c r="F1445">
        <v>2.5</v>
      </c>
      <c r="G1445">
        <v>155974.359</v>
      </c>
      <c r="I1445">
        <v>155974.359</v>
      </c>
      <c r="J1445" t="s">
        <v>401</v>
      </c>
      <c r="K1445">
        <v>2</v>
      </c>
      <c r="L1445">
        <v>-79.8</v>
      </c>
      <c r="N1445">
        <v>18</v>
      </c>
      <c r="O1445">
        <v>18</v>
      </c>
      <c r="P1445" t="s">
        <v>672</v>
      </c>
      <c r="Q1445" t="s">
        <v>414</v>
      </c>
      <c r="R1445">
        <v>10</v>
      </c>
    </row>
    <row r="1446" spans="1:18" x14ac:dyDescent="0.45">
      <c r="A1446">
        <v>52</v>
      </c>
      <c r="B1446">
        <v>52</v>
      </c>
      <c r="C1446" t="s">
        <v>633</v>
      </c>
      <c r="D1446" t="s">
        <v>414</v>
      </c>
      <c r="E1446">
        <v>10</v>
      </c>
      <c r="F1446">
        <v>2.5</v>
      </c>
      <c r="G1446">
        <v>209429.17199999999</v>
      </c>
      <c r="I1446">
        <v>209429.17199999999</v>
      </c>
      <c r="J1446" t="s">
        <v>401</v>
      </c>
      <c r="K1446">
        <v>2.7</v>
      </c>
      <c r="L1446">
        <v>-72.900000000000006</v>
      </c>
      <c r="N1446">
        <v>19</v>
      </c>
      <c r="O1446">
        <v>19</v>
      </c>
      <c r="P1446" t="s">
        <v>673</v>
      </c>
      <c r="Q1446" t="s">
        <v>414</v>
      </c>
      <c r="R1446">
        <v>10</v>
      </c>
    </row>
    <row r="1447" spans="1:18" x14ac:dyDescent="0.45">
      <c r="A1447">
        <v>53</v>
      </c>
      <c r="B1447">
        <v>53</v>
      </c>
      <c r="C1447" t="s">
        <v>634</v>
      </c>
      <c r="D1447" t="s">
        <v>414</v>
      </c>
      <c r="E1447">
        <v>10</v>
      </c>
      <c r="F1447">
        <v>2.5</v>
      </c>
      <c r="G1447">
        <v>278564.34399999998</v>
      </c>
      <c r="I1447">
        <v>278564.34399999998</v>
      </c>
      <c r="J1447" t="s">
        <v>415</v>
      </c>
      <c r="K1447">
        <v>3.6</v>
      </c>
      <c r="L1447">
        <v>-63.9</v>
      </c>
      <c r="N1447">
        <v>20</v>
      </c>
      <c r="O1447">
        <v>20</v>
      </c>
      <c r="P1447" t="s">
        <v>674</v>
      </c>
      <c r="Q1447" t="s">
        <v>414</v>
      </c>
      <c r="R1447">
        <v>10</v>
      </c>
    </row>
    <row r="1448" spans="1:18" x14ac:dyDescent="0.45">
      <c r="A1448">
        <v>54</v>
      </c>
      <c r="B1448">
        <v>54</v>
      </c>
      <c r="C1448" t="s">
        <v>635</v>
      </c>
      <c r="D1448" t="s">
        <v>414</v>
      </c>
      <c r="E1448">
        <v>10</v>
      </c>
      <c r="F1448">
        <v>2.5</v>
      </c>
      <c r="G1448">
        <v>91666.82</v>
      </c>
      <c r="I1448">
        <v>91666.82</v>
      </c>
      <c r="J1448" t="s">
        <v>401</v>
      </c>
      <c r="K1448">
        <v>1.2</v>
      </c>
      <c r="L1448">
        <v>-88.1</v>
      </c>
      <c r="N1448">
        <v>21</v>
      </c>
      <c r="O1448">
        <v>21</v>
      </c>
      <c r="P1448" t="s">
        <v>675</v>
      </c>
      <c r="Q1448" t="s">
        <v>414</v>
      </c>
      <c r="R1448">
        <v>10</v>
      </c>
    </row>
    <row r="1449" spans="1:18" x14ac:dyDescent="0.45">
      <c r="A1449">
        <v>55</v>
      </c>
      <c r="B1449">
        <v>55</v>
      </c>
      <c r="C1449" t="s">
        <v>636</v>
      </c>
      <c r="D1449" t="s">
        <v>414</v>
      </c>
      <c r="E1449">
        <v>10</v>
      </c>
      <c r="F1449">
        <v>2.5</v>
      </c>
      <c r="G1449">
        <v>142742.21900000001</v>
      </c>
      <c r="I1449">
        <v>142742.21900000001</v>
      </c>
      <c r="J1449" t="s">
        <v>401</v>
      </c>
      <c r="K1449">
        <v>1.8</v>
      </c>
      <c r="L1449">
        <v>-81.5</v>
      </c>
      <c r="N1449">
        <v>22</v>
      </c>
      <c r="O1449">
        <v>22</v>
      </c>
      <c r="P1449" t="s">
        <v>676</v>
      </c>
      <c r="Q1449" t="s">
        <v>414</v>
      </c>
      <c r="R1449">
        <v>10</v>
      </c>
    </row>
    <row r="1450" spans="1:18" x14ac:dyDescent="0.45">
      <c r="A1450">
        <v>56</v>
      </c>
      <c r="B1450">
        <v>56</v>
      </c>
      <c r="C1450" t="s">
        <v>637</v>
      </c>
      <c r="D1450" t="s">
        <v>414</v>
      </c>
      <c r="E1450">
        <v>10</v>
      </c>
      <c r="F1450">
        <v>2.5</v>
      </c>
      <c r="G1450">
        <v>310511.96899999998</v>
      </c>
      <c r="I1450">
        <v>310511.96899999998</v>
      </c>
      <c r="J1450" t="s">
        <v>401</v>
      </c>
      <c r="K1450">
        <v>4</v>
      </c>
      <c r="L1450">
        <v>-59.8</v>
      </c>
      <c r="N1450">
        <v>23</v>
      </c>
      <c r="O1450">
        <v>23</v>
      </c>
      <c r="P1450" t="s">
        <v>677</v>
      </c>
      <c r="Q1450" t="s">
        <v>414</v>
      </c>
      <c r="R1450">
        <v>10</v>
      </c>
    </row>
    <row r="1451" spans="1:18" x14ac:dyDescent="0.45">
      <c r="A1451">
        <v>57</v>
      </c>
      <c r="B1451">
        <v>57</v>
      </c>
      <c r="C1451" t="s">
        <v>638</v>
      </c>
      <c r="D1451" t="s">
        <v>414</v>
      </c>
      <c r="E1451">
        <v>10</v>
      </c>
      <c r="F1451">
        <v>2.5</v>
      </c>
      <c r="G1451">
        <v>74903.898000000001</v>
      </c>
      <c r="I1451">
        <v>74903.898000000001</v>
      </c>
      <c r="J1451" t="s">
        <v>403</v>
      </c>
      <c r="K1451">
        <v>1</v>
      </c>
      <c r="L1451">
        <v>-90.3</v>
      </c>
      <c r="N1451">
        <v>24</v>
      </c>
      <c r="O1451">
        <v>24</v>
      </c>
      <c r="P1451" t="s">
        <v>678</v>
      </c>
      <c r="Q1451" t="s">
        <v>414</v>
      </c>
      <c r="R1451">
        <v>10</v>
      </c>
    </row>
    <row r="1452" spans="1:18" x14ac:dyDescent="0.45">
      <c r="A1452">
        <v>58</v>
      </c>
      <c r="B1452">
        <v>58</v>
      </c>
      <c r="C1452" t="s">
        <v>639</v>
      </c>
      <c r="D1452" t="s">
        <v>414</v>
      </c>
      <c r="E1452">
        <v>10</v>
      </c>
      <c r="F1452">
        <v>2.5</v>
      </c>
      <c r="G1452">
        <v>82190.008000000002</v>
      </c>
      <c r="I1452">
        <v>82190.008000000002</v>
      </c>
      <c r="J1452" t="s">
        <v>401</v>
      </c>
      <c r="K1452">
        <v>1.1000000000000001</v>
      </c>
      <c r="L1452">
        <v>-89.4</v>
      </c>
      <c r="N1452">
        <v>25</v>
      </c>
      <c r="O1452">
        <v>25</v>
      </c>
      <c r="P1452" t="s">
        <v>679</v>
      </c>
      <c r="Q1452" t="s">
        <v>414</v>
      </c>
      <c r="R1452">
        <v>10</v>
      </c>
    </row>
    <row r="1453" spans="1:18" x14ac:dyDescent="0.45">
      <c r="A1453">
        <v>59</v>
      </c>
      <c r="B1453">
        <v>59</v>
      </c>
      <c r="C1453" t="s">
        <v>640</v>
      </c>
      <c r="D1453" t="s">
        <v>414</v>
      </c>
      <c r="E1453">
        <v>10</v>
      </c>
      <c r="F1453">
        <v>2.5</v>
      </c>
      <c r="G1453">
        <v>109774.883</v>
      </c>
      <c r="I1453">
        <v>109774.883</v>
      </c>
      <c r="J1453" t="s">
        <v>401</v>
      </c>
      <c r="K1453">
        <v>1.4</v>
      </c>
      <c r="L1453">
        <v>-85.8</v>
      </c>
      <c r="N1453">
        <v>26</v>
      </c>
      <c r="O1453">
        <v>26</v>
      </c>
      <c r="P1453" t="s">
        <v>680</v>
      </c>
      <c r="Q1453" t="s">
        <v>414</v>
      </c>
      <c r="R1453">
        <v>10</v>
      </c>
    </row>
    <row r="1454" spans="1:18" x14ac:dyDescent="0.45">
      <c r="A1454">
        <v>60</v>
      </c>
      <c r="B1454">
        <v>60</v>
      </c>
      <c r="C1454" t="s">
        <v>641</v>
      </c>
      <c r="D1454" t="s">
        <v>414</v>
      </c>
      <c r="E1454">
        <v>10</v>
      </c>
      <c r="F1454">
        <v>2.5</v>
      </c>
      <c r="G1454">
        <v>58670.586000000003</v>
      </c>
      <c r="I1454">
        <v>58670.586000000003</v>
      </c>
      <c r="J1454" t="s">
        <v>401</v>
      </c>
      <c r="K1454">
        <v>0.8</v>
      </c>
      <c r="L1454">
        <v>-92.4</v>
      </c>
      <c r="N1454">
        <v>27</v>
      </c>
      <c r="O1454">
        <v>27</v>
      </c>
      <c r="P1454" t="s">
        <v>681</v>
      </c>
      <c r="Q1454" t="s">
        <v>414</v>
      </c>
      <c r="R1454">
        <v>10</v>
      </c>
    </row>
    <row r="1455" spans="1:18" x14ac:dyDescent="0.45">
      <c r="A1455">
        <v>61</v>
      </c>
      <c r="B1455">
        <v>61</v>
      </c>
      <c r="C1455" t="s">
        <v>642</v>
      </c>
      <c r="D1455" t="s">
        <v>414</v>
      </c>
      <c r="E1455">
        <v>10</v>
      </c>
      <c r="F1455">
        <v>2.5</v>
      </c>
      <c r="G1455">
        <v>208591.234</v>
      </c>
      <c r="I1455">
        <v>208591.234</v>
      </c>
      <c r="J1455" t="s">
        <v>403</v>
      </c>
      <c r="K1455">
        <v>2.7</v>
      </c>
      <c r="L1455">
        <v>-73</v>
      </c>
      <c r="N1455">
        <v>28</v>
      </c>
      <c r="O1455">
        <v>28</v>
      </c>
      <c r="P1455" t="s">
        <v>682</v>
      </c>
      <c r="Q1455" t="s">
        <v>414</v>
      </c>
      <c r="R1455">
        <v>10</v>
      </c>
    </row>
    <row r="1456" spans="1:18" x14ac:dyDescent="0.45">
      <c r="A1456">
        <v>62</v>
      </c>
      <c r="B1456">
        <v>62</v>
      </c>
      <c r="C1456" t="s">
        <v>643</v>
      </c>
      <c r="D1456" t="s">
        <v>414</v>
      </c>
      <c r="E1456">
        <v>10</v>
      </c>
      <c r="F1456">
        <v>2.5</v>
      </c>
      <c r="G1456">
        <v>272448.21899999998</v>
      </c>
      <c r="I1456">
        <v>272448.21899999998</v>
      </c>
      <c r="J1456" t="s">
        <v>401</v>
      </c>
      <c r="K1456">
        <v>3.5</v>
      </c>
      <c r="L1456">
        <v>-64.7</v>
      </c>
      <c r="N1456">
        <v>29</v>
      </c>
      <c r="O1456">
        <v>29</v>
      </c>
      <c r="P1456" t="s">
        <v>683</v>
      </c>
      <c r="Q1456" t="s">
        <v>414</v>
      </c>
      <c r="R1456">
        <v>10</v>
      </c>
    </row>
    <row r="1457" spans="1:18" x14ac:dyDescent="0.45">
      <c r="A1457">
        <v>63</v>
      </c>
      <c r="B1457">
        <v>63</v>
      </c>
      <c r="C1457" t="s">
        <v>644</v>
      </c>
      <c r="D1457" t="s">
        <v>414</v>
      </c>
      <c r="E1457">
        <v>10</v>
      </c>
      <c r="F1457">
        <v>2.5</v>
      </c>
      <c r="G1457">
        <v>120664.359</v>
      </c>
      <c r="I1457">
        <v>120664.359</v>
      </c>
      <c r="J1457" t="s">
        <v>401</v>
      </c>
      <c r="K1457">
        <v>1.6</v>
      </c>
      <c r="L1457">
        <v>-84.4</v>
      </c>
      <c r="N1457">
        <v>30</v>
      </c>
      <c r="O1457">
        <v>30</v>
      </c>
      <c r="P1457" t="s">
        <v>684</v>
      </c>
      <c r="Q1457" t="s">
        <v>414</v>
      </c>
      <c r="R1457">
        <v>10</v>
      </c>
    </row>
    <row r="1458" spans="1:18" x14ac:dyDescent="0.45">
      <c r="A1458">
        <v>64</v>
      </c>
      <c r="B1458">
        <v>64</v>
      </c>
      <c r="C1458" t="s">
        <v>645</v>
      </c>
      <c r="D1458" t="s">
        <v>414</v>
      </c>
      <c r="E1458">
        <v>10</v>
      </c>
      <c r="F1458">
        <v>2.5</v>
      </c>
      <c r="G1458">
        <v>94721.82</v>
      </c>
      <c r="I1458">
        <v>94721.82</v>
      </c>
      <c r="J1458" t="s">
        <v>401</v>
      </c>
      <c r="K1458">
        <v>1.2</v>
      </c>
      <c r="L1458">
        <v>-87.7</v>
      </c>
      <c r="N1458">
        <v>31</v>
      </c>
      <c r="O1458">
        <v>31</v>
      </c>
      <c r="P1458" t="s">
        <v>685</v>
      </c>
      <c r="Q1458" t="s">
        <v>414</v>
      </c>
      <c r="R1458">
        <v>10</v>
      </c>
    </row>
    <row r="1459" spans="1:18" x14ac:dyDescent="0.45">
      <c r="A1459">
        <v>65</v>
      </c>
      <c r="B1459">
        <v>65</v>
      </c>
      <c r="C1459" t="s">
        <v>646</v>
      </c>
      <c r="D1459" t="s">
        <v>414</v>
      </c>
      <c r="E1459">
        <v>10</v>
      </c>
      <c r="F1459">
        <v>2.5</v>
      </c>
      <c r="G1459">
        <v>121985.82799999999</v>
      </c>
      <c r="I1459">
        <v>121985.82799999999</v>
      </c>
      <c r="J1459" t="s">
        <v>401</v>
      </c>
      <c r="K1459">
        <v>1.6</v>
      </c>
      <c r="L1459">
        <v>-84.2</v>
      </c>
      <c r="N1459">
        <v>32</v>
      </c>
      <c r="O1459">
        <v>32</v>
      </c>
      <c r="P1459" t="s">
        <v>686</v>
      </c>
      <c r="Q1459" t="s">
        <v>414</v>
      </c>
      <c r="R1459">
        <v>10</v>
      </c>
    </row>
    <row r="1460" spans="1:18" x14ac:dyDescent="0.45">
      <c r="A1460">
        <v>66</v>
      </c>
      <c r="B1460">
        <v>66</v>
      </c>
      <c r="C1460" t="s">
        <v>647</v>
      </c>
      <c r="D1460" t="s">
        <v>414</v>
      </c>
      <c r="E1460">
        <v>10</v>
      </c>
      <c r="F1460">
        <v>2.5</v>
      </c>
      <c r="G1460">
        <v>80596.687999999995</v>
      </c>
      <c r="I1460">
        <v>80596.687999999995</v>
      </c>
      <c r="J1460" t="s">
        <v>401</v>
      </c>
      <c r="K1460">
        <v>1</v>
      </c>
      <c r="L1460">
        <v>-89.6</v>
      </c>
      <c r="N1460">
        <v>33</v>
      </c>
      <c r="O1460">
        <v>33</v>
      </c>
      <c r="P1460" t="s">
        <v>687</v>
      </c>
      <c r="Q1460" t="s">
        <v>414</v>
      </c>
      <c r="R1460">
        <v>10</v>
      </c>
    </row>
    <row r="1461" spans="1:18" x14ac:dyDescent="0.45">
      <c r="A1461">
        <v>67</v>
      </c>
      <c r="B1461">
        <v>67</v>
      </c>
      <c r="C1461" t="s">
        <v>648</v>
      </c>
      <c r="D1461" t="s">
        <v>414</v>
      </c>
      <c r="E1461">
        <v>10</v>
      </c>
      <c r="F1461">
        <v>2.5</v>
      </c>
      <c r="G1461">
        <v>94637.991999999998</v>
      </c>
      <c r="I1461">
        <v>94637.991999999998</v>
      </c>
      <c r="J1461" t="s">
        <v>415</v>
      </c>
      <c r="K1461">
        <v>1.2</v>
      </c>
      <c r="L1461">
        <v>-87.7</v>
      </c>
      <c r="N1461">
        <v>34</v>
      </c>
      <c r="O1461">
        <v>34</v>
      </c>
      <c r="P1461" t="s">
        <v>688</v>
      </c>
      <c r="Q1461" t="s">
        <v>414</v>
      </c>
      <c r="R1461">
        <v>10</v>
      </c>
    </row>
    <row r="1462" spans="1:18" x14ac:dyDescent="0.45">
      <c r="A1462">
        <v>68</v>
      </c>
      <c r="B1462">
        <v>68</v>
      </c>
      <c r="C1462" t="s">
        <v>649</v>
      </c>
      <c r="D1462" t="s">
        <v>414</v>
      </c>
      <c r="E1462">
        <v>10</v>
      </c>
      <c r="F1462">
        <v>2.5</v>
      </c>
      <c r="G1462">
        <v>95020.758000000002</v>
      </c>
      <c r="I1462">
        <v>95020.758000000002</v>
      </c>
      <c r="J1462" t="s">
        <v>401</v>
      </c>
      <c r="K1462">
        <v>1.2</v>
      </c>
      <c r="L1462">
        <v>-87.7</v>
      </c>
      <c r="N1462">
        <v>35</v>
      </c>
      <c r="O1462">
        <v>35</v>
      </c>
      <c r="P1462" t="s">
        <v>689</v>
      </c>
      <c r="Q1462" t="s">
        <v>414</v>
      </c>
      <c r="R1462">
        <v>10</v>
      </c>
    </row>
    <row r="1463" spans="1:18" x14ac:dyDescent="0.45">
      <c r="A1463">
        <v>69</v>
      </c>
      <c r="B1463">
        <v>69</v>
      </c>
      <c r="C1463" t="s">
        <v>650</v>
      </c>
      <c r="D1463" t="s">
        <v>414</v>
      </c>
      <c r="E1463">
        <v>10</v>
      </c>
      <c r="F1463">
        <v>2.5</v>
      </c>
      <c r="G1463">
        <v>117946.094</v>
      </c>
      <c r="I1463">
        <v>117946.094</v>
      </c>
      <c r="J1463" t="s">
        <v>401</v>
      </c>
      <c r="K1463">
        <v>1.5</v>
      </c>
      <c r="L1463">
        <v>-84.7</v>
      </c>
      <c r="N1463">
        <v>36</v>
      </c>
      <c r="O1463">
        <v>36</v>
      </c>
      <c r="P1463" t="s">
        <v>690</v>
      </c>
      <c r="Q1463" t="s">
        <v>414</v>
      </c>
      <c r="R1463">
        <v>10</v>
      </c>
    </row>
    <row r="1464" spans="1:18" x14ac:dyDescent="0.45">
      <c r="N1464">
        <v>37</v>
      </c>
      <c r="O1464">
        <v>37</v>
      </c>
      <c r="P1464" t="s">
        <v>691</v>
      </c>
      <c r="Q1464" t="s">
        <v>414</v>
      </c>
      <c r="R1464">
        <v>10</v>
      </c>
    </row>
    <row r="1465" spans="1:18" x14ac:dyDescent="0.45">
      <c r="A1465" t="s">
        <v>506</v>
      </c>
      <c r="N1465">
        <v>38</v>
      </c>
      <c r="O1465">
        <v>38</v>
      </c>
      <c r="P1465" t="s">
        <v>692</v>
      </c>
      <c r="Q1465" t="s">
        <v>414</v>
      </c>
      <c r="R1465">
        <v>10</v>
      </c>
    </row>
    <row r="1466" spans="1:18" x14ac:dyDescent="0.45">
      <c r="N1466">
        <v>39</v>
      </c>
      <c r="O1466">
        <v>39</v>
      </c>
      <c r="P1466" t="s">
        <v>693</v>
      </c>
      <c r="Q1466" t="s">
        <v>414</v>
      </c>
      <c r="R1466">
        <v>10</v>
      </c>
    </row>
    <row r="1467" spans="1:18" x14ac:dyDescent="0.45">
      <c r="B1467" t="s">
        <v>389</v>
      </c>
      <c r="C1467" t="s">
        <v>123</v>
      </c>
      <c r="D1467" t="s">
        <v>390</v>
      </c>
      <c r="E1467" t="s">
        <v>391</v>
      </c>
      <c r="F1467" t="s">
        <v>392</v>
      </c>
      <c r="G1467" t="s">
        <v>393</v>
      </c>
      <c r="H1467" t="s">
        <v>394</v>
      </c>
      <c r="I1467" t="s">
        <v>395</v>
      </c>
      <c r="J1467" t="s">
        <v>396</v>
      </c>
      <c r="K1467" t="s">
        <v>397</v>
      </c>
      <c r="L1467" t="s">
        <v>398</v>
      </c>
      <c r="N1467">
        <v>40</v>
      </c>
      <c r="O1467">
        <v>40</v>
      </c>
      <c r="P1467" t="s">
        <v>694</v>
      </c>
      <c r="Q1467" t="s">
        <v>414</v>
      </c>
      <c r="R1467">
        <v>10</v>
      </c>
    </row>
    <row r="1468" spans="1:18" x14ac:dyDescent="0.45">
      <c r="A1468">
        <v>1</v>
      </c>
      <c r="B1468">
        <v>1</v>
      </c>
      <c r="C1468" t="s">
        <v>582</v>
      </c>
      <c r="D1468" t="s">
        <v>400</v>
      </c>
      <c r="E1468">
        <v>10</v>
      </c>
      <c r="N1468">
        <v>41</v>
      </c>
      <c r="O1468">
        <v>41</v>
      </c>
      <c r="P1468" t="s">
        <v>695</v>
      </c>
      <c r="Q1468" t="s">
        <v>414</v>
      </c>
      <c r="R1468">
        <v>10</v>
      </c>
    </row>
    <row r="1469" spans="1:18" x14ac:dyDescent="0.45">
      <c r="A1469">
        <v>2</v>
      </c>
      <c r="B1469">
        <v>2</v>
      </c>
      <c r="C1469" t="s">
        <v>583</v>
      </c>
      <c r="D1469" t="s">
        <v>400</v>
      </c>
      <c r="E1469">
        <v>10</v>
      </c>
      <c r="N1469">
        <v>42</v>
      </c>
      <c r="O1469">
        <v>42</v>
      </c>
      <c r="P1469" t="s">
        <v>696</v>
      </c>
      <c r="Q1469" t="s">
        <v>414</v>
      </c>
      <c r="R1469">
        <v>10</v>
      </c>
    </row>
    <row r="1470" spans="1:18" x14ac:dyDescent="0.45">
      <c r="A1470">
        <v>3</v>
      </c>
      <c r="B1470">
        <v>3</v>
      </c>
      <c r="C1470" t="s">
        <v>584</v>
      </c>
      <c r="D1470" t="s">
        <v>400</v>
      </c>
      <c r="E1470">
        <v>10</v>
      </c>
      <c r="N1470">
        <v>43</v>
      </c>
      <c r="O1470">
        <v>43</v>
      </c>
      <c r="P1470" t="s">
        <v>697</v>
      </c>
      <c r="Q1470" t="s">
        <v>414</v>
      </c>
      <c r="R1470">
        <v>10</v>
      </c>
    </row>
    <row r="1471" spans="1:18" x14ac:dyDescent="0.45">
      <c r="A1471">
        <v>4</v>
      </c>
      <c r="B1471">
        <v>4</v>
      </c>
      <c r="C1471" t="s">
        <v>585</v>
      </c>
      <c r="D1471" t="s">
        <v>400</v>
      </c>
      <c r="E1471">
        <v>10</v>
      </c>
      <c r="N1471">
        <v>44</v>
      </c>
      <c r="O1471">
        <v>44</v>
      </c>
      <c r="P1471" t="s">
        <v>698</v>
      </c>
      <c r="Q1471" t="s">
        <v>414</v>
      </c>
      <c r="R1471">
        <v>10</v>
      </c>
    </row>
    <row r="1472" spans="1:18" x14ac:dyDescent="0.45">
      <c r="A1472">
        <v>5</v>
      </c>
      <c r="B1472">
        <v>5</v>
      </c>
      <c r="C1472" t="s">
        <v>586</v>
      </c>
      <c r="D1472" t="s">
        <v>400</v>
      </c>
      <c r="E1472">
        <v>10</v>
      </c>
      <c r="N1472">
        <v>45</v>
      </c>
      <c r="O1472">
        <v>45</v>
      </c>
      <c r="P1472" t="s">
        <v>699</v>
      </c>
      <c r="Q1472" t="s">
        <v>414</v>
      </c>
      <c r="R1472">
        <v>10</v>
      </c>
    </row>
    <row r="1473" spans="1:18" x14ac:dyDescent="0.45">
      <c r="A1473">
        <v>6</v>
      </c>
      <c r="B1473">
        <v>6</v>
      </c>
      <c r="C1473" t="s">
        <v>587</v>
      </c>
      <c r="D1473" t="s">
        <v>400</v>
      </c>
      <c r="E1473">
        <v>10</v>
      </c>
      <c r="N1473">
        <v>46</v>
      </c>
      <c r="O1473">
        <v>46</v>
      </c>
      <c r="P1473" t="s">
        <v>700</v>
      </c>
      <c r="Q1473" t="s">
        <v>414</v>
      </c>
      <c r="R1473">
        <v>10</v>
      </c>
    </row>
    <row r="1474" spans="1:18" x14ac:dyDescent="0.45">
      <c r="A1474">
        <v>7</v>
      </c>
      <c r="B1474">
        <v>7</v>
      </c>
      <c r="C1474" t="s">
        <v>588</v>
      </c>
      <c r="D1474" t="s">
        <v>400</v>
      </c>
      <c r="E1474">
        <v>10</v>
      </c>
      <c r="N1474">
        <v>47</v>
      </c>
      <c r="O1474">
        <v>47</v>
      </c>
      <c r="P1474" t="s">
        <v>701</v>
      </c>
      <c r="Q1474" t="s">
        <v>414</v>
      </c>
      <c r="R1474">
        <v>10</v>
      </c>
    </row>
    <row r="1475" spans="1:18" x14ac:dyDescent="0.45">
      <c r="A1475">
        <v>8</v>
      </c>
      <c r="B1475">
        <v>8</v>
      </c>
      <c r="C1475" t="s">
        <v>589</v>
      </c>
      <c r="D1475" t="s">
        <v>410</v>
      </c>
      <c r="E1475">
        <v>10</v>
      </c>
      <c r="N1475">
        <v>48</v>
      </c>
      <c r="O1475">
        <v>48</v>
      </c>
      <c r="P1475" t="s">
        <v>702</v>
      </c>
      <c r="Q1475" t="s">
        <v>414</v>
      </c>
      <c r="R1475">
        <v>10</v>
      </c>
    </row>
    <row r="1476" spans="1:18" x14ac:dyDescent="0.45">
      <c r="A1476">
        <v>9</v>
      </c>
      <c r="B1476">
        <v>9</v>
      </c>
      <c r="C1476" t="s">
        <v>590</v>
      </c>
      <c r="D1476" t="s">
        <v>410</v>
      </c>
      <c r="E1476">
        <v>10</v>
      </c>
      <c r="N1476">
        <v>49</v>
      </c>
      <c r="O1476">
        <v>49</v>
      </c>
      <c r="P1476" t="s">
        <v>703</v>
      </c>
      <c r="Q1476" t="s">
        <v>414</v>
      </c>
      <c r="R1476">
        <v>10</v>
      </c>
    </row>
    <row r="1477" spans="1:18" x14ac:dyDescent="0.45">
      <c r="A1477">
        <v>10</v>
      </c>
      <c r="B1477">
        <v>10</v>
      </c>
      <c r="C1477" t="s">
        <v>591</v>
      </c>
      <c r="D1477" t="s">
        <v>414</v>
      </c>
      <c r="E1477">
        <v>10</v>
      </c>
      <c r="N1477">
        <v>50</v>
      </c>
      <c r="O1477">
        <v>50</v>
      </c>
      <c r="P1477" t="s">
        <v>704</v>
      </c>
      <c r="Q1477" t="s">
        <v>414</v>
      </c>
      <c r="R1477">
        <v>10</v>
      </c>
    </row>
    <row r="1478" spans="1:18" x14ac:dyDescent="0.45">
      <c r="A1478">
        <v>11</v>
      </c>
      <c r="B1478">
        <v>11</v>
      </c>
      <c r="C1478" t="s">
        <v>592</v>
      </c>
      <c r="D1478" t="s">
        <v>414</v>
      </c>
      <c r="E1478">
        <v>10</v>
      </c>
      <c r="N1478">
        <v>51</v>
      </c>
      <c r="O1478">
        <v>51</v>
      </c>
      <c r="P1478" t="s">
        <v>705</v>
      </c>
      <c r="Q1478" t="s">
        <v>414</v>
      </c>
      <c r="R1478">
        <v>10</v>
      </c>
    </row>
    <row r="1479" spans="1:18" x14ac:dyDescent="0.45">
      <c r="A1479">
        <v>12</v>
      </c>
      <c r="B1479">
        <v>12</v>
      </c>
      <c r="C1479" t="s">
        <v>593</v>
      </c>
      <c r="D1479" t="s">
        <v>414</v>
      </c>
      <c r="E1479">
        <v>10</v>
      </c>
      <c r="N1479">
        <v>52</v>
      </c>
      <c r="O1479">
        <v>52</v>
      </c>
      <c r="P1479" t="s">
        <v>706</v>
      </c>
      <c r="Q1479" t="s">
        <v>414</v>
      </c>
      <c r="R1479">
        <v>10</v>
      </c>
    </row>
    <row r="1480" spans="1:18" x14ac:dyDescent="0.45">
      <c r="A1480">
        <v>13</v>
      </c>
      <c r="B1480">
        <v>13</v>
      </c>
      <c r="C1480" t="s">
        <v>594</v>
      </c>
      <c r="D1480" t="s">
        <v>414</v>
      </c>
      <c r="E1480">
        <v>10</v>
      </c>
      <c r="N1480">
        <v>53</v>
      </c>
      <c r="O1480">
        <v>53</v>
      </c>
      <c r="P1480" t="s">
        <v>707</v>
      </c>
      <c r="Q1480" t="s">
        <v>414</v>
      </c>
      <c r="R1480">
        <v>10</v>
      </c>
    </row>
    <row r="1481" spans="1:18" x14ac:dyDescent="0.45">
      <c r="A1481">
        <v>14</v>
      </c>
      <c r="B1481">
        <v>14</v>
      </c>
      <c r="C1481" t="s">
        <v>595</v>
      </c>
      <c r="D1481" t="s">
        <v>414</v>
      </c>
      <c r="E1481">
        <v>10</v>
      </c>
      <c r="N1481">
        <v>54</v>
      </c>
      <c r="O1481">
        <v>54</v>
      </c>
      <c r="P1481" t="s">
        <v>708</v>
      </c>
      <c r="Q1481" t="s">
        <v>414</v>
      </c>
      <c r="R1481">
        <v>10</v>
      </c>
    </row>
    <row r="1482" spans="1:18" x14ac:dyDescent="0.45">
      <c r="A1482">
        <v>15</v>
      </c>
      <c r="B1482">
        <v>15</v>
      </c>
      <c r="C1482" t="s">
        <v>596</v>
      </c>
      <c r="D1482" t="s">
        <v>414</v>
      </c>
      <c r="E1482">
        <v>10</v>
      </c>
      <c r="N1482">
        <v>55</v>
      </c>
      <c r="O1482">
        <v>55</v>
      </c>
      <c r="P1482" t="s">
        <v>709</v>
      </c>
      <c r="Q1482" t="s">
        <v>414</v>
      </c>
      <c r="R1482">
        <v>10</v>
      </c>
    </row>
    <row r="1483" spans="1:18" x14ac:dyDescent="0.45">
      <c r="A1483">
        <v>16</v>
      </c>
      <c r="B1483">
        <v>16</v>
      </c>
      <c r="C1483" t="s">
        <v>597</v>
      </c>
      <c r="D1483" t="s">
        <v>414</v>
      </c>
      <c r="E1483">
        <v>10</v>
      </c>
      <c r="N1483">
        <v>56</v>
      </c>
      <c r="O1483">
        <v>56</v>
      </c>
      <c r="P1483" t="s">
        <v>710</v>
      </c>
      <c r="Q1483" t="s">
        <v>414</v>
      </c>
      <c r="R1483">
        <v>10</v>
      </c>
    </row>
    <row r="1484" spans="1:18" x14ac:dyDescent="0.45">
      <c r="A1484">
        <v>17</v>
      </c>
      <c r="B1484">
        <v>17</v>
      </c>
      <c r="C1484" t="s">
        <v>598</v>
      </c>
      <c r="D1484" t="s">
        <v>414</v>
      </c>
      <c r="E1484">
        <v>10</v>
      </c>
      <c r="N1484">
        <v>57</v>
      </c>
      <c r="O1484">
        <v>57</v>
      </c>
      <c r="P1484" t="s">
        <v>711</v>
      </c>
      <c r="Q1484" t="s">
        <v>414</v>
      </c>
      <c r="R1484">
        <v>10</v>
      </c>
    </row>
    <row r="1485" spans="1:18" x14ac:dyDescent="0.45">
      <c r="A1485">
        <v>18</v>
      </c>
      <c r="B1485">
        <v>18</v>
      </c>
      <c r="C1485" t="s">
        <v>599</v>
      </c>
      <c r="D1485" t="s">
        <v>414</v>
      </c>
      <c r="E1485">
        <v>10</v>
      </c>
      <c r="N1485">
        <v>58</v>
      </c>
      <c r="O1485">
        <v>58</v>
      </c>
      <c r="P1485" t="s">
        <v>712</v>
      </c>
      <c r="Q1485" t="s">
        <v>414</v>
      </c>
      <c r="R1485">
        <v>10</v>
      </c>
    </row>
    <row r="1486" spans="1:18" x14ac:dyDescent="0.45">
      <c r="A1486">
        <v>19</v>
      </c>
      <c r="B1486">
        <v>19</v>
      </c>
      <c r="C1486" t="s">
        <v>600</v>
      </c>
      <c r="D1486" t="s">
        <v>414</v>
      </c>
      <c r="E1486">
        <v>10</v>
      </c>
      <c r="N1486">
        <v>59</v>
      </c>
      <c r="O1486">
        <v>59</v>
      </c>
      <c r="P1486" t="s">
        <v>713</v>
      </c>
      <c r="Q1486" t="s">
        <v>414</v>
      </c>
      <c r="R1486">
        <v>10</v>
      </c>
    </row>
    <row r="1487" spans="1:18" x14ac:dyDescent="0.45">
      <c r="A1487">
        <v>20</v>
      </c>
      <c r="B1487">
        <v>20</v>
      </c>
      <c r="C1487" t="s">
        <v>601</v>
      </c>
      <c r="D1487" t="s">
        <v>414</v>
      </c>
      <c r="E1487">
        <v>10</v>
      </c>
      <c r="N1487">
        <v>60</v>
      </c>
      <c r="O1487">
        <v>60</v>
      </c>
      <c r="P1487" t="s">
        <v>714</v>
      </c>
      <c r="Q1487" t="s">
        <v>414</v>
      </c>
      <c r="R1487">
        <v>10</v>
      </c>
    </row>
    <row r="1488" spans="1:18" x14ac:dyDescent="0.45">
      <c r="A1488">
        <v>21</v>
      </c>
      <c r="B1488">
        <v>21</v>
      </c>
      <c r="C1488" t="s">
        <v>602</v>
      </c>
      <c r="D1488" t="s">
        <v>414</v>
      </c>
      <c r="E1488">
        <v>10</v>
      </c>
      <c r="N1488">
        <v>61</v>
      </c>
      <c r="O1488">
        <v>61</v>
      </c>
      <c r="P1488" t="s">
        <v>715</v>
      </c>
      <c r="Q1488" t="s">
        <v>414</v>
      </c>
      <c r="R1488">
        <v>10</v>
      </c>
    </row>
    <row r="1489" spans="1:25" x14ac:dyDescent="0.45">
      <c r="A1489">
        <v>22</v>
      </c>
      <c r="B1489">
        <v>22</v>
      </c>
      <c r="C1489" t="s">
        <v>603</v>
      </c>
      <c r="D1489" t="s">
        <v>414</v>
      </c>
      <c r="E1489">
        <v>10</v>
      </c>
      <c r="N1489">
        <v>62</v>
      </c>
      <c r="O1489">
        <v>62</v>
      </c>
      <c r="P1489" t="s">
        <v>716</v>
      </c>
      <c r="Q1489" t="s">
        <v>414</v>
      </c>
      <c r="R1489">
        <v>10</v>
      </c>
    </row>
    <row r="1490" spans="1:25" x14ac:dyDescent="0.45">
      <c r="A1490">
        <v>23</v>
      </c>
      <c r="B1490">
        <v>23</v>
      </c>
      <c r="C1490" t="s">
        <v>604</v>
      </c>
      <c r="D1490" t="s">
        <v>414</v>
      </c>
      <c r="E1490">
        <v>10</v>
      </c>
      <c r="N1490">
        <v>63</v>
      </c>
      <c r="O1490">
        <v>63</v>
      </c>
      <c r="P1490" t="s">
        <v>717</v>
      </c>
      <c r="Q1490" t="s">
        <v>414</v>
      </c>
      <c r="R1490">
        <v>10</v>
      </c>
    </row>
    <row r="1491" spans="1:25" x14ac:dyDescent="0.45">
      <c r="A1491">
        <v>24</v>
      </c>
      <c r="B1491">
        <v>24</v>
      </c>
      <c r="C1491" t="s">
        <v>605</v>
      </c>
      <c r="D1491" t="s">
        <v>414</v>
      </c>
      <c r="E1491">
        <v>10</v>
      </c>
      <c r="N1491">
        <v>64</v>
      </c>
      <c r="O1491">
        <v>64</v>
      </c>
      <c r="P1491" t="s">
        <v>718</v>
      </c>
      <c r="Q1491" t="s">
        <v>414</v>
      </c>
      <c r="R1491">
        <v>10</v>
      </c>
    </row>
    <row r="1492" spans="1:25" x14ac:dyDescent="0.45">
      <c r="A1492">
        <v>25</v>
      </c>
      <c r="B1492">
        <v>25</v>
      </c>
      <c r="C1492" t="s">
        <v>606</v>
      </c>
      <c r="D1492" t="s">
        <v>414</v>
      </c>
      <c r="E1492">
        <v>10</v>
      </c>
      <c r="N1492">
        <v>65</v>
      </c>
      <c r="O1492">
        <v>65</v>
      </c>
      <c r="P1492" t="s">
        <v>719</v>
      </c>
      <c r="Q1492" t="s">
        <v>414</v>
      </c>
      <c r="R1492">
        <v>10</v>
      </c>
    </row>
    <row r="1493" spans="1:25" x14ac:dyDescent="0.45">
      <c r="A1493">
        <v>26</v>
      </c>
      <c r="B1493">
        <v>26</v>
      </c>
      <c r="C1493" t="s">
        <v>607</v>
      </c>
      <c r="D1493" t="s">
        <v>414</v>
      </c>
      <c r="E1493">
        <v>10</v>
      </c>
      <c r="N1493">
        <v>66</v>
      </c>
      <c r="O1493">
        <v>66</v>
      </c>
      <c r="P1493" t="s">
        <v>720</v>
      </c>
      <c r="Q1493" t="s">
        <v>414</v>
      </c>
      <c r="R1493">
        <v>10</v>
      </c>
    </row>
    <row r="1494" spans="1:25" x14ac:dyDescent="0.45">
      <c r="A1494">
        <v>27</v>
      </c>
      <c r="B1494">
        <v>27</v>
      </c>
      <c r="C1494" t="s">
        <v>608</v>
      </c>
      <c r="D1494" t="s">
        <v>414</v>
      </c>
      <c r="E1494">
        <v>10</v>
      </c>
      <c r="N1494">
        <v>67</v>
      </c>
      <c r="O1494">
        <v>67</v>
      </c>
      <c r="P1494" t="s">
        <v>721</v>
      </c>
      <c r="Q1494" t="s">
        <v>414</v>
      </c>
      <c r="R1494">
        <v>10</v>
      </c>
    </row>
    <row r="1495" spans="1:25" x14ac:dyDescent="0.45">
      <c r="A1495">
        <v>28</v>
      </c>
      <c r="B1495">
        <v>28</v>
      </c>
      <c r="C1495" t="s">
        <v>609</v>
      </c>
      <c r="D1495" t="s">
        <v>414</v>
      </c>
      <c r="E1495">
        <v>10</v>
      </c>
    </row>
    <row r="1496" spans="1:25" x14ac:dyDescent="0.45">
      <c r="A1496">
        <v>29</v>
      </c>
      <c r="B1496">
        <v>29</v>
      </c>
      <c r="C1496" t="s">
        <v>610</v>
      </c>
      <c r="D1496" t="s">
        <v>414</v>
      </c>
      <c r="E1496">
        <v>10</v>
      </c>
      <c r="N1496" t="s">
        <v>507</v>
      </c>
    </row>
    <row r="1497" spans="1:25" x14ac:dyDescent="0.45">
      <c r="A1497">
        <v>30</v>
      </c>
      <c r="B1497">
        <v>30</v>
      </c>
      <c r="C1497" t="s">
        <v>611</v>
      </c>
      <c r="D1497" t="s">
        <v>414</v>
      </c>
      <c r="E1497">
        <v>10</v>
      </c>
    </row>
    <row r="1498" spans="1:25" x14ac:dyDescent="0.45">
      <c r="A1498">
        <v>31</v>
      </c>
      <c r="B1498">
        <v>31</v>
      </c>
      <c r="C1498" t="s">
        <v>612</v>
      </c>
      <c r="D1498" t="s">
        <v>414</v>
      </c>
      <c r="E1498">
        <v>10</v>
      </c>
      <c r="O1498" t="s">
        <v>389</v>
      </c>
      <c r="P1498" t="s">
        <v>123</v>
      </c>
      <c r="Q1498" t="s">
        <v>390</v>
      </c>
      <c r="R1498" t="s">
        <v>391</v>
      </c>
      <c r="S1498" t="s">
        <v>392</v>
      </c>
      <c r="T1498" t="s">
        <v>393</v>
      </c>
      <c r="U1498" t="s">
        <v>394</v>
      </c>
      <c r="V1498" t="s">
        <v>395</v>
      </c>
      <c r="W1498" t="s">
        <v>396</v>
      </c>
      <c r="X1498" t="s">
        <v>397</v>
      </c>
      <c r="Y1498" t="s">
        <v>398</v>
      </c>
    </row>
    <row r="1499" spans="1:25" x14ac:dyDescent="0.45">
      <c r="A1499">
        <v>32</v>
      </c>
      <c r="B1499">
        <v>32</v>
      </c>
      <c r="C1499" t="s">
        <v>613</v>
      </c>
      <c r="D1499" t="s">
        <v>414</v>
      </c>
      <c r="E1499">
        <v>10</v>
      </c>
      <c r="N1499">
        <v>1</v>
      </c>
      <c r="O1499">
        <v>1</v>
      </c>
      <c r="P1499" t="s">
        <v>655</v>
      </c>
      <c r="Q1499" t="s">
        <v>400</v>
      </c>
      <c r="R1499">
        <v>10</v>
      </c>
      <c r="S1499">
        <v>3.48</v>
      </c>
      <c r="T1499">
        <v>11553.064</v>
      </c>
      <c r="V1499">
        <v>11553.064</v>
      </c>
      <c r="W1499" t="s">
        <v>401</v>
      </c>
      <c r="X1499">
        <v>10</v>
      </c>
      <c r="Y1499">
        <v>0.4</v>
      </c>
    </row>
    <row r="1500" spans="1:25" x14ac:dyDescent="0.45">
      <c r="A1500">
        <v>33</v>
      </c>
      <c r="B1500">
        <v>33</v>
      </c>
      <c r="C1500" t="s">
        <v>614</v>
      </c>
      <c r="D1500" t="s">
        <v>414</v>
      </c>
      <c r="E1500">
        <v>10</v>
      </c>
      <c r="N1500">
        <v>2</v>
      </c>
      <c r="O1500">
        <v>2</v>
      </c>
      <c r="P1500" t="s">
        <v>656</v>
      </c>
      <c r="Q1500" t="s">
        <v>400</v>
      </c>
      <c r="R1500">
        <v>10</v>
      </c>
      <c r="S1500">
        <v>3.47</v>
      </c>
      <c r="T1500">
        <v>10187.148999999999</v>
      </c>
      <c r="V1500">
        <v>10187.148999999999</v>
      </c>
      <c r="W1500" t="s">
        <v>401</v>
      </c>
      <c r="X1500">
        <v>8.9</v>
      </c>
      <c r="Y1500">
        <v>-11.5</v>
      </c>
    </row>
    <row r="1501" spans="1:25" x14ac:dyDescent="0.45">
      <c r="A1501">
        <v>34</v>
      </c>
      <c r="B1501">
        <v>34</v>
      </c>
      <c r="C1501" t="s">
        <v>615</v>
      </c>
      <c r="D1501" t="s">
        <v>414</v>
      </c>
      <c r="E1501">
        <v>10</v>
      </c>
      <c r="N1501">
        <v>3</v>
      </c>
      <c r="O1501">
        <v>3</v>
      </c>
      <c r="P1501" t="s">
        <v>657</v>
      </c>
      <c r="Q1501" t="s">
        <v>400</v>
      </c>
      <c r="R1501">
        <v>10</v>
      </c>
      <c r="S1501">
        <v>3.48</v>
      </c>
      <c r="T1501">
        <v>11795.861000000001</v>
      </c>
      <c r="V1501">
        <v>11795.861000000001</v>
      </c>
      <c r="W1501" t="s">
        <v>415</v>
      </c>
      <c r="X1501">
        <v>10.3</v>
      </c>
      <c r="Y1501">
        <v>2.5</v>
      </c>
    </row>
    <row r="1502" spans="1:25" x14ac:dyDescent="0.45">
      <c r="A1502">
        <v>35</v>
      </c>
      <c r="B1502">
        <v>35</v>
      </c>
      <c r="C1502" t="s">
        <v>616</v>
      </c>
      <c r="D1502" t="s">
        <v>414</v>
      </c>
      <c r="E1502">
        <v>10</v>
      </c>
      <c r="N1502">
        <v>4</v>
      </c>
      <c r="O1502">
        <v>4</v>
      </c>
      <c r="P1502" t="s">
        <v>658</v>
      </c>
      <c r="Q1502" t="s">
        <v>400</v>
      </c>
      <c r="R1502">
        <v>10</v>
      </c>
      <c r="S1502">
        <v>3.48</v>
      </c>
      <c r="T1502">
        <v>11753.134</v>
      </c>
      <c r="V1502">
        <v>11753.134</v>
      </c>
      <c r="W1502" t="s">
        <v>415</v>
      </c>
      <c r="X1502">
        <v>10.199999999999999</v>
      </c>
      <c r="Y1502">
        <v>2.2000000000000002</v>
      </c>
    </row>
    <row r="1503" spans="1:25" x14ac:dyDescent="0.45">
      <c r="A1503">
        <v>36</v>
      </c>
      <c r="B1503">
        <v>36</v>
      </c>
      <c r="C1503" t="s">
        <v>617</v>
      </c>
      <c r="D1503" t="s">
        <v>414</v>
      </c>
      <c r="E1503">
        <v>10</v>
      </c>
      <c r="N1503">
        <v>5</v>
      </c>
      <c r="O1503">
        <v>5</v>
      </c>
      <c r="P1503" t="s">
        <v>659</v>
      </c>
      <c r="Q1503" t="s">
        <v>400</v>
      </c>
      <c r="R1503">
        <v>10</v>
      </c>
      <c r="S1503">
        <v>3.48</v>
      </c>
      <c r="T1503">
        <v>11781.368</v>
      </c>
      <c r="V1503">
        <v>11781.368</v>
      </c>
      <c r="W1503" t="s">
        <v>415</v>
      </c>
      <c r="X1503">
        <v>10.199999999999999</v>
      </c>
      <c r="Y1503">
        <v>2.4</v>
      </c>
    </row>
    <row r="1504" spans="1:25" x14ac:dyDescent="0.45">
      <c r="A1504">
        <v>37</v>
      </c>
      <c r="B1504">
        <v>37</v>
      </c>
      <c r="C1504" t="s">
        <v>618</v>
      </c>
      <c r="D1504" t="s">
        <v>414</v>
      </c>
      <c r="E1504">
        <v>10</v>
      </c>
      <c r="N1504">
        <v>6</v>
      </c>
      <c r="O1504">
        <v>6</v>
      </c>
      <c r="P1504" t="s">
        <v>660</v>
      </c>
      <c r="Q1504" t="s">
        <v>400</v>
      </c>
      <c r="R1504">
        <v>10</v>
      </c>
      <c r="S1504">
        <v>3.48</v>
      </c>
      <c r="T1504">
        <v>11861.207</v>
      </c>
      <c r="V1504">
        <v>11861.207</v>
      </c>
      <c r="W1504" t="s">
        <v>401</v>
      </c>
      <c r="X1504">
        <v>10.3</v>
      </c>
      <c r="Y1504">
        <v>3.1</v>
      </c>
    </row>
    <row r="1505" spans="1:25" x14ac:dyDescent="0.45">
      <c r="A1505">
        <v>38</v>
      </c>
      <c r="B1505">
        <v>38</v>
      </c>
      <c r="C1505" t="s">
        <v>619</v>
      </c>
      <c r="D1505" t="s">
        <v>414</v>
      </c>
      <c r="E1505">
        <v>10</v>
      </c>
      <c r="N1505">
        <v>7</v>
      </c>
      <c r="O1505">
        <v>7</v>
      </c>
      <c r="P1505" t="s">
        <v>661</v>
      </c>
      <c r="Q1505" t="s">
        <v>400</v>
      </c>
      <c r="R1505">
        <v>10</v>
      </c>
      <c r="S1505">
        <v>3.48</v>
      </c>
      <c r="T1505">
        <v>11599.053</v>
      </c>
      <c r="V1505">
        <v>11599.053</v>
      </c>
      <c r="W1505" t="s">
        <v>403</v>
      </c>
      <c r="X1505">
        <v>10.1</v>
      </c>
      <c r="Y1505">
        <v>0.8</v>
      </c>
    </row>
    <row r="1506" spans="1:25" x14ac:dyDescent="0.45">
      <c r="A1506">
        <v>39</v>
      </c>
      <c r="B1506">
        <v>39</v>
      </c>
      <c r="C1506" t="s">
        <v>620</v>
      </c>
      <c r="D1506" t="s">
        <v>414</v>
      </c>
      <c r="E1506">
        <v>10</v>
      </c>
      <c r="N1506">
        <v>8</v>
      </c>
      <c r="O1506">
        <v>8</v>
      </c>
      <c r="P1506" t="s">
        <v>662</v>
      </c>
      <c r="Q1506" t="s">
        <v>414</v>
      </c>
      <c r="R1506">
        <v>10</v>
      </c>
      <c r="S1506">
        <v>3.47</v>
      </c>
      <c r="T1506">
        <v>8341.4240000000009</v>
      </c>
      <c r="V1506">
        <v>8341.4240000000009</v>
      </c>
      <c r="W1506" t="s">
        <v>415</v>
      </c>
      <c r="X1506">
        <v>7.3</v>
      </c>
      <c r="Y1506">
        <v>-27.5</v>
      </c>
    </row>
    <row r="1507" spans="1:25" x14ac:dyDescent="0.45">
      <c r="A1507">
        <v>40</v>
      </c>
      <c r="B1507">
        <v>40</v>
      </c>
      <c r="C1507" t="s">
        <v>621</v>
      </c>
      <c r="D1507" t="s">
        <v>414</v>
      </c>
      <c r="E1507">
        <v>10</v>
      </c>
      <c r="N1507">
        <v>9</v>
      </c>
      <c r="O1507">
        <v>9</v>
      </c>
      <c r="P1507" t="s">
        <v>663</v>
      </c>
      <c r="Q1507" t="s">
        <v>414</v>
      </c>
      <c r="R1507">
        <v>10</v>
      </c>
      <c r="S1507">
        <v>3.47</v>
      </c>
      <c r="T1507">
        <v>5656.6459999999997</v>
      </c>
      <c r="V1507">
        <v>5656.6459999999997</v>
      </c>
      <c r="W1507" t="s">
        <v>412</v>
      </c>
      <c r="X1507">
        <v>4.9000000000000004</v>
      </c>
      <c r="Y1507">
        <v>-50.8</v>
      </c>
    </row>
    <row r="1508" spans="1:25" x14ac:dyDescent="0.45">
      <c r="A1508">
        <v>41</v>
      </c>
      <c r="B1508">
        <v>41</v>
      </c>
      <c r="C1508" t="s">
        <v>622</v>
      </c>
      <c r="D1508" t="s">
        <v>414</v>
      </c>
      <c r="E1508">
        <v>10</v>
      </c>
      <c r="N1508">
        <v>10</v>
      </c>
      <c r="O1508">
        <v>10</v>
      </c>
      <c r="P1508" t="s">
        <v>664</v>
      </c>
      <c r="Q1508" t="s">
        <v>414</v>
      </c>
      <c r="R1508">
        <v>10</v>
      </c>
      <c r="S1508">
        <v>3.48</v>
      </c>
      <c r="T1508">
        <v>8456.6039999999994</v>
      </c>
      <c r="V1508">
        <v>8456.6039999999994</v>
      </c>
      <c r="W1508" t="s">
        <v>401</v>
      </c>
      <c r="X1508">
        <v>7.4</v>
      </c>
      <c r="Y1508">
        <v>-26.5</v>
      </c>
    </row>
    <row r="1509" spans="1:25" x14ac:dyDescent="0.45">
      <c r="A1509">
        <v>42</v>
      </c>
      <c r="B1509">
        <v>42</v>
      </c>
      <c r="C1509" t="s">
        <v>623</v>
      </c>
      <c r="D1509" t="s">
        <v>414</v>
      </c>
      <c r="E1509">
        <v>10</v>
      </c>
      <c r="N1509">
        <v>11</v>
      </c>
      <c r="O1509">
        <v>11</v>
      </c>
      <c r="P1509" t="s">
        <v>665</v>
      </c>
      <c r="Q1509" t="s">
        <v>414</v>
      </c>
      <c r="R1509">
        <v>10</v>
      </c>
      <c r="S1509">
        <v>3.48</v>
      </c>
      <c r="T1509">
        <v>5162.0889999999999</v>
      </c>
      <c r="V1509">
        <v>5162.0889999999999</v>
      </c>
      <c r="W1509" t="s">
        <v>401</v>
      </c>
      <c r="X1509">
        <v>4.5</v>
      </c>
      <c r="Y1509">
        <v>-55.1</v>
      </c>
    </row>
    <row r="1510" spans="1:25" x14ac:dyDescent="0.45">
      <c r="A1510">
        <v>43</v>
      </c>
      <c r="B1510">
        <v>43</v>
      </c>
      <c r="C1510" t="s">
        <v>624</v>
      </c>
      <c r="D1510" t="s">
        <v>414</v>
      </c>
      <c r="E1510">
        <v>10</v>
      </c>
      <c r="N1510">
        <v>12</v>
      </c>
      <c r="O1510">
        <v>12</v>
      </c>
      <c r="P1510" t="s">
        <v>666</v>
      </c>
      <c r="Q1510" t="s">
        <v>414</v>
      </c>
      <c r="R1510">
        <v>10</v>
      </c>
      <c r="S1510">
        <v>3.48</v>
      </c>
      <c r="T1510">
        <v>6865.97</v>
      </c>
      <c r="V1510">
        <v>6865.97</v>
      </c>
      <c r="W1510" t="s">
        <v>401</v>
      </c>
      <c r="X1510">
        <v>6</v>
      </c>
      <c r="Y1510">
        <v>-40.299999999999997</v>
      </c>
    </row>
    <row r="1511" spans="1:25" x14ac:dyDescent="0.45">
      <c r="A1511">
        <v>44</v>
      </c>
      <c r="B1511">
        <v>44</v>
      </c>
      <c r="C1511" t="s">
        <v>625</v>
      </c>
      <c r="D1511" t="s">
        <v>414</v>
      </c>
      <c r="E1511">
        <v>10</v>
      </c>
      <c r="N1511">
        <v>13</v>
      </c>
      <c r="O1511">
        <v>13</v>
      </c>
      <c r="P1511" t="s">
        <v>667</v>
      </c>
      <c r="Q1511" t="s">
        <v>414</v>
      </c>
      <c r="R1511">
        <v>10</v>
      </c>
      <c r="S1511">
        <v>3.48</v>
      </c>
      <c r="T1511">
        <v>5067.165</v>
      </c>
      <c r="V1511">
        <v>5067.165</v>
      </c>
      <c r="W1511" t="s">
        <v>403</v>
      </c>
      <c r="X1511">
        <v>4.4000000000000004</v>
      </c>
      <c r="Y1511">
        <v>-56</v>
      </c>
    </row>
    <row r="1512" spans="1:25" x14ac:dyDescent="0.45">
      <c r="A1512">
        <v>45</v>
      </c>
      <c r="B1512">
        <v>45</v>
      </c>
      <c r="C1512" t="s">
        <v>626</v>
      </c>
      <c r="D1512" t="s">
        <v>414</v>
      </c>
      <c r="E1512">
        <v>10</v>
      </c>
      <c r="N1512">
        <v>14</v>
      </c>
      <c r="O1512">
        <v>14</v>
      </c>
      <c r="P1512" t="s">
        <v>668</v>
      </c>
      <c r="Q1512" t="s">
        <v>414</v>
      </c>
      <c r="R1512">
        <v>10</v>
      </c>
      <c r="S1512">
        <v>3.48</v>
      </c>
      <c r="T1512">
        <v>6499.38</v>
      </c>
      <c r="V1512">
        <v>6499.38</v>
      </c>
      <c r="W1512" t="s">
        <v>403</v>
      </c>
      <c r="X1512">
        <v>5.6</v>
      </c>
      <c r="Y1512">
        <v>-43.5</v>
      </c>
    </row>
    <row r="1513" spans="1:25" x14ac:dyDescent="0.45">
      <c r="A1513">
        <v>46</v>
      </c>
      <c r="B1513">
        <v>46</v>
      </c>
      <c r="C1513" t="s">
        <v>627</v>
      </c>
      <c r="D1513" t="s">
        <v>414</v>
      </c>
      <c r="E1513">
        <v>10</v>
      </c>
      <c r="N1513">
        <v>15</v>
      </c>
      <c r="O1513">
        <v>15</v>
      </c>
      <c r="P1513" t="s">
        <v>669</v>
      </c>
      <c r="Q1513" t="s">
        <v>414</v>
      </c>
      <c r="R1513">
        <v>10</v>
      </c>
      <c r="S1513">
        <v>3.48</v>
      </c>
      <c r="T1513">
        <v>4470.9110000000001</v>
      </c>
      <c r="V1513">
        <v>4470.9110000000001</v>
      </c>
      <c r="W1513" t="s">
        <v>412</v>
      </c>
      <c r="X1513">
        <v>3.9</v>
      </c>
      <c r="Y1513">
        <v>-61.1</v>
      </c>
    </row>
    <row r="1514" spans="1:25" x14ac:dyDescent="0.45">
      <c r="A1514">
        <v>47</v>
      </c>
      <c r="B1514">
        <v>47</v>
      </c>
      <c r="C1514" t="s">
        <v>628</v>
      </c>
      <c r="D1514" t="s">
        <v>414</v>
      </c>
      <c r="E1514">
        <v>10</v>
      </c>
      <c r="N1514">
        <v>16</v>
      </c>
      <c r="O1514">
        <v>16</v>
      </c>
      <c r="P1514" t="s">
        <v>670</v>
      </c>
      <c r="Q1514" t="s">
        <v>414</v>
      </c>
      <c r="R1514">
        <v>10</v>
      </c>
      <c r="S1514">
        <v>3.48</v>
      </c>
      <c r="T1514">
        <v>3046.873</v>
      </c>
      <c r="V1514">
        <v>3046.873</v>
      </c>
      <c r="W1514" t="s">
        <v>415</v>
      </c>
      <c r="X1514">
        <v>2.6</v>
      </c>
      <c r="Y1514">
        <v>-73.5</v>
      </c>
    </row>
    <row r="1515" spans="1:25" x14ac:dyDescent="0.45">
      <c r="A1515">
        <v>48</v>
      </c>
      <c r="B1515">
        <v>48</v>
      </c>
      <c r="C1515" t="s">
        <v>629</v>
      </c>
      <c r="D1515" t="s">
        <v>414</v>
      </c>
      <c r="E1515">
        <v>10</v>
      </c>
      <c r="N1515">
        <v>17</v>
      </c>
      <c r="O1515">
        <v>17</v>
      </c>
      <c r="P1515" t="s">
        <v>671</v>
      </c>
      <c r="Q1515" t="s">
        <v>414</v>
      </c>
      <c r="R1515">
        <v>10</v>
      </c>
      <c r="S1515">
        <v>3.48</v>
      </c>
      <c r="T1515">
        <v>3175.837</v>
      </c>
      <c r="V1515">
        <v>3175.837</v>
      </c>
      <c r="W1515" t="s">
        <v>415</v>
      </c>
      <c r="X1515">
        <v>2.8</v>
      </c>
      <c r="Y1515">
        <v>-72.400000000000006</v>
      </c>
    </row>
    <row r="1516" spans="1:25" x14ac:dyDescent="0.45">
      <c r="A1516">
        <v>49</v>
      </c>
      <c r="B1516">
        <v>49</v>
      </c>
      <c r="C1516" t="s">
        <v>630</v>
      </c>
      <c r="D1516" t="s">
        <v>414</v>
      </c>
      <c r="E1516">
        <v>10</v>
      </c>
      <c r="N1516">
        <v>18</v>
      </c>
      <c r="O1516">
        <v>18</v>
      </c>
      <c r="P1516" t="s">
        <v>672</v>
      </c>
      <c r="Q1516" t="s">
        <v>414</v>
      </c>
      <c r="R1516">
        <v>10</v>
      </c>
      <c r="S1516">
        <v>3.48</v>
      </c>
      <c r="T1516">
        <v>4243.2380000000003</v>
      </c>
      <c r="V1516">
        <v>4243.2380000000003</v>
      </c>
      <c r="W1516" t="s">
        <v>415</v>
      </c>
      <c r="X1516">
        <v>3.7</v>
      </c>
      <c r="Y1516">
        <v>-63.1</v>
      </c>
    </row>
    <row r="1517" spans="1:25" x14ac:dyDescent="0.45">
      <c r="A1517">
        <v>50</v>
      </c>
      <c r="B1517">
        <v>50</v>
      </c>
      <c r="C1517" t="s">
        <v>631</v>
      </c>
      <c r="D1517" t="s">
        <v>414</v>
      </c>
      <c r="E1517">
        <v>10</v>
      </c>
      <c r="N1517">
        <v>19</v>
      </c>
      <c r="O1517">
        <v>19</v>
      </c>
      <c r="P1517" t="s">
        <v>673</v>
      </c>
      <c r="Q1517" t="s">
        <v>414</v>
      </c>
      <c r="R1517">
        <v>10</v>
      </c>
      <c r="S1517">
        <v>3.48</v>
      </c>
      <c r="T1517">
        <v>4036.8119999999999</v>
      </c>
      <c r="V1517">
        <v>4036.8119999999999</v>
      </c>
      <c r="W1517" t="s">
        <v>415</v>
      </c>
      <c r="X1517">
        <v>3.5</v>
      </c>
      <c r="Y1517">
        <v>-64.900000000000006</v>
      </c>
    </row>
    <row r="1518" spans="1:25" x14ac:dyDescent="0.45">
      <c r="A1518">
        <v>51</v>
      </c>
      <c r="B1518">
        <v>51</v>
      </c>
      <c r="C1518" t="s">
        <v>632</v>
      </c>
      <c r="D1518" t="s">
        <v>414</v>
      </c>
      <c r="E1518">
        <v>10</v>
      </c>
      <c r="N1518">
        <v>20</v>
      </c>
      <c r="O1518">
        <v>20</v>
      </c>
      <c r="P1518" t="s">
        <v>674</v>
      </c>
      <c r="Q1518" t="s">
        <v>414</v>
      </c>
      <c r="R1518">
        <v>10</v>
      </c>
      <c r="S1518">
        <v>3.47</v>
      </c>
      <c r="T1518">
        <v>2889.0529999999999</v>
      </c>
      <c r="V1518">
        <v>2889.0529999999999</v>
      </c>
      <c r="W1518" t="s">
        <v>415</v>
      </c>
      <c r="X1518">
        <v>2.5</v>
      </c>
      <c r="Y1518">
        <v>-74.900000000000006</v>
      </c>
    </row>
    <row r="1519" spans="1:25" x14ac:dyDescent="0.45">
      <c r="A1519">
        <v>52</v>
      </c>
      <c r="B1519">
        <v>52</v>
      </c>
      <c r="C1519" t="s">
        <v>633</v>
      </c>
      <c r="D1519" t="s">
        <v>414</v>
      </c>
      <c r="E1519">
        <v>10</v>
      </c>
      <c r="N1519">
        <v>21</v>
      </c>
      <c r="O1519">
        <v>21</v>
      </c>
      <c r="P1519" t="s">
        <v>675</v>
      </c>
      <c r="Q1519" t="s">
        <v>414</v>
      </c>
      <c r="R1519">
        <v>10</v>
      </c>
      <c r="S1519">
        <v>3.47</v>
      </c>
      <c r="T1519">
        <v>3086.41</v>
      </c>
      <c r="V1519">
        <v>3086.41</v>
      </c>
      <c r="W1519" t="s">
        <v>415</v>
      </c>
      <c r="X1519">
        <v>2.7</v>
      </c>
      <c r="Y1519">
        <v>-73.2</v>
      </c>
    </row>
    <row r="1520" spans="1:25" x14ac:dyDescent="0.45">
      <c r="A1520">
        <v>53</v>
      </c>
      <c r="B1520">
        <v>53</v>
      </c>
      <c r="C1520" t="s">
        <v>634</v>
      </c>
      <c r="D1520" t="s">
        <v>414</v>
      </c>
      <c r="E1520">
        <v>10</v>
      </c>
      <c r="N1520">
        <v>22</v>
      </c>
      <c r="O1520">
        <v>22</v>
      </c>
      <c r="P1520" t="s">
        <v>676</v>
      </c>
      <c r="Q1520" t="s">
        <v>414</v>
      </c>
      <c r="R1520">
        <v>10</v>
      </c>
      <c r="S1520">
        <v>3.48</v>
      </c>
      <c r="T1520">
        <v>3201.692</v>
      </c>
      <c r="V1520">
        <v>3201.692</v>
      </c>
      <c r="W1520" t="s">
        <v>415</v>
      </c>
      <c r="X1520">
        <v>2.8</v>
      </c>
      <c r="Y1520">
        <v>-72.2</v>
      </c>
    </row>
    <row r="1521" spans="1:25" x14ac:dyDescent="0.45">
      <c r="A1521">
        <v>54</v>
      </c>
      <c r="B1521">
        <v>54</v>
      </c>
      <c r="C1521" t="s">
        <v>635</v>
      </c>
      <c r="D1521" t="s">
        <v>414</v>
      </c>
      <c r="E1521">
        <v>10</v>
      </c>
      <c r="N1521">
        <v>23</v>
      </c>
      <c r="O1521">
        <v>23</v>
      </c>
      <c r="P1521" t="s">
        <v>677</v>
      </c>
      <c r="Q1521" t="s">
        <v>414</v>
      </c>
      <c r="R1521">
        <v>10</v>
      </c>
      <c r="S1521">
        <v>3.48</v>
      </c>
      <c r="T1521">
        <v>3293.5569999999998</v>
      </c>
      <c r="V1521">
        <v>3293.5569999999998</v>
      </c>
      <c r="W1521" t="s">
        <v>415</v>
      </c>
      <c r="X1521">
        <v>2.9</v>
      </c>
      <c r="Y1521">
        <v>-71.400000000000006</v>
      </c>
    </row>
    <row r="1522" spans="1:25" x14ac:dyDescent="0.45">
      <c r="A1522">
        <v>55</v>
      </c>
      <c r="B1522">
        <v>55</v>
      </c>
      <c r="C1522" t="s">
        <v>636</v>
      </c>
      <c r="D1522" t="s">
        <v>414</v>
      </c>
      <c r="E1522">
        <v>10</v>
      </c>
      <c r="N1522">
        <v>24</v>
      </c>
      <c r="O1522">
        <v>24</v>
      </c>
      <c r="P1522" t="s">
        <v>678</v>
      </c>
      <c r="Q1522" t="s">
        <v>414</v>
      </c>
      <c r="R1522">
        <v>10</v>
      </c>
      <c r="S1522">
        <v>3.49</v>
      </c>
      <c r="T1522">
        <v>2430.5909999999999</v>
      </c>
      <c r="V1522">
        <v>2430.5909999999999</v>
      </c>
      <c r="W1522" t="s">
        <v>415</v>
      </c>
      <c r="X1522">
        <v>2.1</v>
      </c>
      <c r="Y1522">
        <v>-78.900000000000006</v>
      </c>
    </row>
    <row r="1523" spans="1:25" x14ac:dyDescent="0.45">
      <c r="A1523">
        <v>56</v>
      </c>
      <c r="B1523">
        <v>56</v>
      </c>
      <c r="C1523" t="s">
        <v>637</v>
      </c>
      <c r="D1523" t="s">
        <v>414</v>
      </c>
      <c r="E1523">
        <v>10</v>
      </c>
      <c r="N1523">
        <v>25</v>
      </c>
      <c r="O1523">
        <v>25</v>
      </c>
      <c r="P1523" t="s">
        <v>679</v>
      </c>
      <c r="Q1523" t="s">
        <v>414</v>
      </c>
      <c r="R1523">
        <v>10</v>
      </c>
      <c r="S1523">
        <v>3.47</v>
      </c>
      <c r="T1523">
        <v>2225.4639999999999</v>
      </c>
      <c r="V1523">
        <v>2225.4639999999999</v>
      </c>
      <c r="W1523" t="s">
        <v>415</v>
      </c>
      <c r="X1523">
        <v>1.9</v>
      </c>
      <c r="Y1523">
        <v>-80.7</v>
      </c>
    </row>
    <row r="1524" spans="1:25" x14ac:dyDescent="0.45">
      <c r="A1524">
        <v>57</v>
      </c>
      <c r="B1524">
        <v>57</v>
      </c>
      <c r="C1524" t="s">
        <v>638</v>
      </c>
      <c r="D1524" t="s">
        <v>414</v>
      </c>
      <c r="E1524">
        <v>10</v>
      </c>
      <c r="N1524">
        <v>26</v>
      </c>
      <c r="O1524">
        <v>26</v>
      </c>
      <c r="P1524" t="s">
        <v>680</v>
      </c>
      <c r="Q1524" t="s">
        <v>414</v>
      </c>
      <c r="R1524">
        <v>10</v>
      </c>
      <c r="S1524">
        <v>3.49</v>
      </c>
      <c r="T1524">
        <v>3216.1849999999999</v>
      </c>
      <c r="V1524">
        <v>3216.1849999999999</v>
      </c>
      <c r="W1524" t="s">
        <v>415</v>
      </c>
      <c r="X1524">
        <v>2.8</v>
      </c>
      <c r="Y1524">
        <v>-72</v>
      </c>
    </row>
    <row r="1525" spans="1:25" x14ac:dyDescent="0.45">
      <c r="A1525">
        <v>58</v>
      </c>
      <c r="B1525">
        <v>58</v>
      </c>
      <c r="C1525" t="s">
        <v>639</v>
      </c>
      <c r="D1525" t="s">
        <v>414</v>
      </c>
      <c r="E1525">
        <v>10</v>
      </c>
      <c r="N1525">
        <v>27</v>
      </c>
      <c r="O1525">
        <v>27</v>
      </c>
      <c r="P1525" t="s">
        <v>681</v>
      </c>
      <c r="Q1525" t="s">
        <v>414</v>
      </c>
      <c r="R1525">
        <v>10</v>
      </c>
      <c r="S1525">
        <v>3.48</v>
      </c>
      <c r="T1525">
        <v>3004.7040000000002</v>
      </c>
      <c r="V1525">
        <v>3004.7040000000002</v>
      </c>
      <c r="W1525" t="s">
        <v>415</v>
      </c>
      <c r="X1525">
        <v>2.6</v>
      </c>
      <c r="Y1525">
        <v>-73.900000000000006</v>
      </c>
    </row>
    <row r="1526" spans="1:25" x14ac:dyDescent="0.45">
      <c r="A1526">
        <v>59</v>
      </c>
      <c r="B1526">
        <v>59</v>
      </c>
      <c r="C1526" t="s">
        <v>640</v>
      </c>
      <c r="D1526" t="s">
        <v>414</v>
      </c>
      <c r="E1526">
        <v>10</v>
      </c>
      <c r="N1526">
        <v>28</v>
      </c>
      <c r="O1526">
        <v>28</v>
      </c>
      <c r="P1526" t="s">
        <v>682</v>
      </c>
      <c r="Q1526" t="s">
        <v>414</v>
      </c>
      <c r="R1526">
        <v>10</v>
      </c>
      <c r="S1526">
        <v>3.48</v>
      </c>
      <c r="T1526">
        <v>3570.0540000000001</v>
      </c>
      <c r="V1526">
        <v>3570.0540000000001</v>
      </c>
      <c r="W1526" t="s">
        <v>415</v>
      </c>
      <c r="X1526">
        <v>3.1</v>
      </c>
      <c r="Y1526">
        <v>-69</v>
      </c>
    </row>
    <row r="1527" spans="1:25" x14ac:dyDescent="0.45">
      <c r="A1527">
        <v>60</v>
      </c>
      <c r="B1527">
        <v>60</v>
      </c>
      <c r="C1527" t="s">
        <v>641</v>
      </c>
      <c r="D1527" t="s">
        <v>414</v>
      </c>
      <c r="E1527">
        <v>10</v>
      </c>
      <c r="N1527">
        <v>29</v>
      </c>
      <c r="O1527">
        <v>29</v>
      </c>
      <c r="P1527" t="s">
        <v>683</v>
      </c>
      <c r="Q1527" t="s">
        <v>414</v>
      </c>
      <c r="R1527">
        <v>10</v>
      </c>
      <c r="S1527">
        <v>3.48</v>
      </c>
      <c r="T1527">
        <v>3580.1469999999999</v>
      </c>
      <c r="V1527">
        <v>3580.1469999999999</v>
      </c>
      <c r="W1527" t="s">
        <v>415</v>
      </c>
      <c r="X1527">
        <v>3.1</v>
      </c>
      <c r="Y1527">
        <v>-68.900000000000006</v>
      </c>
    </row>
    <row r="1528" spans="1:25" x14ac:dyDescent="0.45">
      <c r="A1528">
        <v>61</v>
      </c>
      <c r="B1528">
        <v>61</v>
      </c>
      <c r="C1528" t="s">
        <v>642</v>
      </c>
      <c r="D1528" t="s">
        <v>414</v>
      </c>
      <c r="E1528">
        <v>10</v>
      </c>
      <c r="N1528">
        <v>30</v>
      </c>
      <c r="O1528">
        <v>30</v>
      </c>
      <c r="P1528" t="s">
        <v>684</v>
      </c>
      <c r="Q1528" t="s">
        <v>414</v>
      </c>
      <c r="R1528">
        <v>10</v>
      </c>
      <c r="S1528">
        <v>3.48</v>
      </c>
      <c r="T1528">
        <v>2634.0210000000002</v>
      </c>
      <c r="V1528">
        <v>2634.0210000000002</v>
      </c>
      <c r="W1528" t="s">
        <v>415</v>
      </c>
      <c r="X1528">
        <v>2.2999999999999998</v>
      </c>
      <c r="Y1528">
        <v>-77.099999999999994</v>
      </c>
    </row>
    <row r="1529" spans="1:25" x14ac:dyDescent="0.45">
      <c r="A1529">
        <v>62</v>
      </c>
      <c r="B1529">
        <v>62</v>
      </c>
      <c r="C1529" t="s">
        <v>643</v>
      </c>
      <c r="D1529" t="s">
        <v>414</v>
      </c>
      <c r="E1529">
        <v>10</v>
      </c>
      <c r="N1529">
        <v>31</v>
      </c>
      <c r="O1529">
        <v>31</v>
      </c>
      <c r="P1529" t="s">
        <v>685</v>
      </c>
      <c r="Q1529" t="s">
        <v>414</v>
      </c>
      <c r="R1529">
        <v>10</v>
      </c>
      <c r="S1529">
        <v>3.48</v>
      </c>
      <c r="T1529">
        <v>4186.3410000000003</v>
      </c>
      <c r="V1529">
        <v>4186.3410000000003</v>
      </c>
      <c r="W1529" t="s">
        <v>401</v>
      </c>
      <c r="X1529">
        <v>3.6</v>
      </c>
      <c r="Y1529">
        <v>-63.6</v>
      </c>
    </row>
    <row r="1530" spans="1:25" x14ac:dyDescent="0.45">
      <c r="A1530">
        <v>63</v>
      </c>
      <c r="B1530">
        <v>63</v>
      </c>
      <c r="C1530" t="s">
        <v>644</v>
      </c>
      <c r="D1530" t="s">
        <v>414</v>
      </c>
      <c r="E1530">
        <v>10</v>
      </c>
      <c r="N1530">
        <v>32</v>
      </c>
      <c r="O1530">
        <v>32</v>
      </c>
      <c r="P1530" t="s">
        <v>686</v>
      </c>
      <c r="Q1530" t="s">
        <v>414</v>
      </c>
      <c r="R1530">
        <v>10</v>
      </c>
      <c r="S1530">
        <v>3.47</v>
      </c>
      <c r="T1530">
        <v>9079.2929999999997</v>
      </c>
      <c r="V1530">
        <v>9079.2929999999997</v>
      </c>
      <c r="W1530" t="s">
        <v>415</v>
      </c>
      <c r="X1530">
        <v>7.9</v>
      </c>
      <c r="Y1530">
        <v>-21.1</v>
      </c>
    </row>
    <row r="1531" spans="1:25" x14ac:dyDescent="0.45">
      <c r="A1531">
        <v>64</v>
      </c>
      <c r="B1531">
        <v>64</v>
      </c>
      <c r="C1531" t="s">
        <v>645</v>
      </c>
      <c r="D1531" t="s">
        <v>414</v>
      </c>
      <c r="E1531">
        <v>10</v>
      </c>
      <c r="N1531">
        <v>33</v>
      </c>
      <c r="O1531">
        <v>33</v>
      </c>
      <c r="P1531" t="s">
        <v>687</v>
      </c>
      <c r="Q1531" t="s">
        <v>414</v>
      </c>
      <c r="R1531">
        <v>10</v>
      </c>
      <c r="S1531">
        <v>3.48</v>
      </c>
      <c r="T1531">
        <v>6578.1409999999996</v>
      </c>
      <c r="V1531">
        <v>6578.1409999999996</v>
      </c>
      <c r="W1531" t="s">
        <v>415</v>
      </c>
      <c r="X1531">
        <v>5.7</v>
      </c>
      <c r="Y1531">
        <v>-42.8</v>
      </c>
    </row>
    <row r="1532" spans="1:25" x14ac:dyDescent="0.45">
      <c r="A1532">
        <v>65</v>
      </c>
      <c r="B1532">
        <v>65</v>
      </c>
      <c r="C1532" t="s">
        <v>646</v>
      </c>
      <c r="D1532" t="s">
        <v>414</v>
      </c>
      <c r="E1532">
        <v>10</v>
      </c>
      <c r="N1532">
        <v>34</v>
      </c>
      <c r="O1532">
        <v>34</v>
      </c>
      <c r="P1532" t="s">
        <v>688</v>
      </c>
      <c r="Q1532" t="s">
        <v>414</v>
      </c>
      <c r="R1532">
        <v>10</v>
      </c>
      <c r="S1532">
        <v>3.48</v>
      </c>
      <c r="T1532">
        <v>5696.5</v>
      </c>
      <c r="V1532">
        <v>5696.5</v>
      </c>
      <c r="W1532" t="s">
        <v>401</v>
      </c>
      <c r="X1532">
        <v>5</v>
      </c>
      <c r="Y1532">
        <v>-50.5</v>
      </c>
    </row>
    <row r="1533" spans="1:25" x14ac:dyDescent="0.45">
      <c r="A1533">
        <v>66</v>
      </c>
      <c r="B1533">
        <v>66</v>
      </c>
      <c r="C1533" t="s">
        <v>647</v>
      </c>
      <c r="D1533" t="s">
        <v>414</v>
      </c>
      <c r="E1533">
        <v>10</v>
      </c>
      <c r="N1533">
        <v>35</v>
      </c>
      <c r="O1533">
        <v>35</v>
      </c>
      <c r="P1533" t="s">
        <v>689</v>
      </c>
      <c r="Q1533" t="s">
        <v>414</v>
      </c>
      <c r="R1533">
        <v>10</v>
      </c>
      <c r="S1533">
        <v>3.48</v>
      </c>
      <c r="T1533">
        <v>7395.2550000000001</v>
      </c>
      <c r="V1533">
        <v>7395.2550000000001</v>
      </c>
      <c r="W1533" t="s">
        <v>401</v>
      </c>
      <c r="X1533">
        <v>6.4</v>
      </c>
      <c r="Y1533">
        <v>-35.700000000000003</v>
      </c>
    </row>
    <row r="1534" spans="1:25" x14ac:dyDescent="0.45">
      <c r="A1534">
        <v>67</v>
      </c>
      <c r="B1534">
        <v>67</v>
      </c>
      <c r="C1534" t="s">
        <v>648</v>
      </c>
      <c r="D1534" t="s">
        <v>414</v>
      </c>
      <c r="E1534">
        <v>10</v>
      </c>
      <c r="N1534">
        <v>36</v>
      </c>
      <c r="O1534">
        <v>36</v>
      </c>
      <c r="P1534" t="s">
        <v>690</v>
      </c>
      <c r="Q1534" t="s">
        <v>414</v>
      </c>
      <c r="R1534">
        <v>10</v>
      </c>
      <c r="S1534">
        <v>3.49</v>
      </c>
      <c r="T1534">
        <v>3945.2249999999999</v>
      </c>
      <c r="V1534">
        <v>3945.2249999999999</v>
      </c>
      <c r="W1534" t="s">
        <v>415</v>
      </c>
      <c r="X1534">
        <v>3.4</v>
      </c>
      <c r="Y1534">
        <v>-65.7</v>
      </c>
    </row>
    <row r="1535" spans="1:25" x14ac:dyDescent="0.45">
      <c r="A1535">
        <v>68</v>
      </c>
      <c r="B1535">
        <v>68</v>
      </c>
      <c r="C1535" t="s">
        <v>649</v>
      </c>
      <c r="D1535" t="s">
        <v>414</v>
      </c>
      <c r="E1535">
        <v>10</v>
      </c>
      <c r="N1535">
        <v>37</v>
      </c>
      <c r="O1535">
        <v>37</v>
      </c>
      <c r="P1535" t="s">
        <v>691</v>
      </c>
      <c r="Q1535" t="s">
        <v>414</v>
      </c>
      <c r="R1535">
        <v>10</v>
      </c>
      <c r="S1535">
        <v>3.48</v>
      </c>
      <c r="T1535">
        <v>3536.634</v>
      </c>
      <c r="V1535">
        <v>3536.634</v>
      </c>
      <c r="W1535" t="s">
        <v>415</v>
      </c>
      <c r="X1535">
        <v>3.1</v>
      </c>
      <c r="Y1535">
        <v>-69.3</v>
      </c>
    </row>
    <row r="1536" spans="1:25" x14ac:dyDescent="0.45">
      <c r="A1536">
        <v>69</v>
      </c>
      <c r="B1536">
        <v>69</v>
      </c>
      <c r="C1536" t="s">
        <v>650</v>
      </c>
      <c r="D1536" t="s">
        <v>414</v>
      </c>
      <c r="E1536">
        <v>10</v>
      </c>
      <c r="N1536">
        <v>38</v>
      </c>
      <c r="O1536">
        <v>38</v>
      </c>
      <c r="P1536" t="s">
        <v>692</v>
      </c>
      <c r="Q1536" t="s">
        <v>414</v>
      </c>
      <c r="R1536">
        <v>10</v>
      </c>
      <c r="S1536">
        <v>3.48</v>
      </c>
      <c r="T1536">
        <v>5198.7290000000003</v>
      </c>
      <c r="V1536">
        <v>5198.7290000000003</v>
      </c>
      <c r="W1536" t="s">
        <v>415</v>
      </c>
      <c r="X1536">
        <v>4.5</v>
      </c>
      <c r="Y1536">
        <v>-54.8</v>
      </c>
    </row>
    <row r="1537" spans="1:25" x14ac:dyDescent="0.45">
      <c r="N1537">
        <v>39</v>
      </c>
      <c r="O1537">
        <v>39</v>
      </c>
      <c r="P1537" t="s">
        <v>693</v>
      </c>
      <c r="Q1537" t="s">
        <v>414</v>
      </c>
      <c r="R1537">
        <v>10</v>
      </c>
      <c r="S1537">
        <v>3.48</v>
      </c>
      <c r="T1537">
        <v>5767.0119999999997</v>
      </c>
      <c r="V1537">
        <v>5767.0119999999997</v>
      </c>
      <c r="W1537" t="s">
        <v>415</v>
      </c>
      <c r="X1537">
        <v>5</v>
      </c>
      <c r="Y1537">
        <v>-49.9</v>
      </c>
    </row>
    <row r="1538" spans="1:25" x14ac:dyDescent="0.45">
      <c r="A1538" t="s">
        <v>507</v>
      </c>
      <c r="N1538">
        <v>40</v>
      </c>
      <c r="O1538">
        <v>40</v>
      </c>
      <c r="P1538" t="s">
        <v>694</v>
      </c>
      <c r="Q1538" t="s">
        <v>414</v>
      </c>
      <c r="R1538">
        <v>10</v>
      </c>
      <c r="S1538">
        <v>3.48</v>
      </c>
      <c r="T1538">
        <v>10982.455</v>
      </c>
      <c r="V1538">
        <v>10982.455</v>
      </c>
      <c r="W1538" t="s">
        <v>401</v>
      </c>
      <c r="X1538">
        <v>9.5</v>
      </c>
      <c r="Y1538">
        <v>-4.5</v>
      </c>
    </row>
    <row r="1539" spans="1:25" x14ac:dyDescent="0.45">
      <c r="N1539">
        <v>41</v>
      </c>
      <c r="O1539">
        <v>41</v>
      </c>
      <c r="P1539" t="s">
        <v>695</v>
      </c>
      <c r="Q1539" t="s">
        <v>414</v>
      </c>
      <c r="R1539">
        <v>10</v>
      </c>
      <c r="S1539">
        <v>3.48</v>
      </c>
      <c r="T1539">
        <v>11107.325000000001</v>
      </c>
      <c r="V1539">
        <v>11107.325000000001</v>
      </c>
      <c r="W1539" t="s">
        <v>415</v>
      </c>
      <c r="X1539">
        <v>9.6999999999999993</v>
      </c>
      <c r="Y1539">
        <v>-3.5</v>
      </c>
    </row>
    <row r="1540" spans="1:25" x14ac:dyDescent="0.45">
      <c r="B1540" t="s">
        <v>389</v>
      </c>
      <c r="C1540" t="s">
        <v>123</v>
      </c>
      <c r="D1540" t="s">
        <v>390</v>
      </c>
      <c r="E1540" t="s">
        <v>391</v>
      </c>
      <c r="F1540" t="s">
        <v>392</v>
      </c>
      <c r="G1540" t="s">
        <v>393</v>
      </c>
      <c r="H1540" t="s">
        <v>394</v>
      </c>
      <c r="I1540" t="s">
        <v>395</v>
      </c>
      <c r="J1540" t="s">
        <v>396</v>
      </c>
      <c r="K1540" t="s">
        <v>397</v>
      </c>
      <c r="L1540" t="s">
        <v>398</v>
      </c>
      <c r="N1540">
        <v>42</v>
      </c>
      <c r="O1540">
        <v>42</v>
      </c>
      <c r="P1540" t="s">
        <v>696</v>
      </c>
      <c r="Q1540" t="s">
        <v>414</v>
      </c>
      <c r="R1540">
        <v>10</v>
      </c>
      <c r="S1540">
        <v>3.48</v>
      </c>
      <c r="T1540">
        <v>9648.3119999999999</v>
      </c>
      <c r="V1540">
        <v>9648.3119999999999</v>
      </c>
      <c r="W1540" t="s">
        <v>415</v>
      </c>
      <c r="X1540">
        <v>8.4</v>
      </c>
      <c r="Y1540">
        <v>-16.100000000000001</v>
      </c>
    </row>
    <row r="1541" spans="1:25" x14ac:dyDescent="0.45">
      <c r="A1541">
        <v>1</v>
      </c>
      <c r="B1541">
        <v>1</v>
      </c>
      <c r="C1541" t="s">
        <v>582</v>
      </c>
      <c r="D1541" t="s">
        <v>400</v>
      </c>
      <c r="E1541">
        <v>10</v>
      </c>
      <c r="F1541">
        <v>3.49</v>
      </c>
      <c r="G1541">
        <v>9382.6479999999992</v>
      </c>
      <c r="I1541">
        <v>9382.6479999999992</v>
      </c>
      <c r="J1541" t="s">
        <v>415</v>
      </c>
      <c r="K1541">
        <v>9.1999999999999993</v>
      </c>
      <c r="L1541">
        <v>-7.6</v>
      </c>
      <c r="N1541">
        <v>43</v>
      </c>
      <c r="O1541">
        <v>43</v>
      </c>
      <c r="P1541" t="s">
        <v>697</v>
      </c>
      <c r="Q1541" t="s">
        <v>414</v>
      </c>
      <c r="R1541">
        <v>10</v>
      </c>
      <c r="S1541">
        <v>3.48</v>
      </c>
      <c r="T1541">
        <v>11549.992</v>
      </c>
      <c r="V1541">
        <v>11549.992</v>
      </c>
      <c r="W1541" t="s">
        <v>401</v>
      </c>
      <c r="X1541">
        <v>10</v>
      </c>
      <c r="Y1541">
        <v>0.4</v>
      </c>
    </row>
    <row r="1542" spans="1:25" x14ac:dyDescent="0.45">
      <c r="A1542">
        <v>2</v>
      </c>
      <c r="B1542">
        <v>2</v>
      </c>
      <c r="C1542" t="s">
        <v>583</v>
      </c>
      <c r="D1542" t="s">
        <v>400</v>
      </c>
      <c r="E1542">
        <v>10</v>
      </c>
      <c r="F1542">
        <v>3.48</v>
      </c>
      <c r="G1542">
        <v>8663.0910000000003</v>
      </c>
      <c r="I1542">
        <v>8663.0910000000003</v>
      </c>
      <c r="J1542" t="s">
        <v>415</v>
      </c>
      <c r="K1542">
        <v>8.5</v>
      </c>
      <c r="L1542">
        <v>-14.7</v>
      </c>
      <c r="N1542">
        <v>44</v>
      </c>
      <c r="O1542">
        <v>44</v>
      </c>
      <c r="P1542" t="s">
        <v>698</v>
      </c>
      <c r="Q1542" t="s">
        <v>414</v>
      </c>
      <c r="R1542">
        <v>10</v>
      </c>
      <c r="S1542">
        <v>3.48</v>
      </c>
      <c r="T1542">
        <v>9205.86</v>
      </c>
      <c r="V1542">
        <v>9205.86</v>
      </c>
      <c r="W1542" t="s">
        <v>403</v>
      </c>
      <c r="X1542">
        <v>8</v>
      </c>
      <c r="Y1542">
        <v>-20</v>
      </c>
    </row>
    <row r="1543" spans="1:25" x14ac:dyDescent="0.45">
      <c r="A1543">
        <v>3</v>
      </c>
      <c r="B1543">
        <v>3</v>
      </c>
      <c r="C1543" t="s">
        <v>584</v>
      </c>
      <c r="D1543" t="s">
        <v>400</v>
      </c>
      <c r="E1543">
        <v>10</v>
      </c>
      <c r="F1543">
        <v>3.48</v>
      </c>
      <c r="G1543">
        <v>8345.8330000000005</v>
      </c>
      <c r="I1543">
        <v>8345.8330000000005</v>
      </c>
      <c r="J1543" t="s">
        <v>401</v>
      </c>
      <c r="K1543">
        <v>8.1999999999999993</v>
      </c>
      <c r="L1543">
        <v>-17.8</v>
      </c>
      <c r="N1543">
        <v>45</v>
      </c>
      <c r="O1543">
        <v>45</v>
      </c>
      <c r="P1543" t="s">
        <v>699</v>
      </c>
      <c r="Q1543" t="s">
        <v>414</v>
      </c>
      <c r="R1543">
        <v>10</v>
      </c>
      <c r="S1543">
        <v>3.49</v>
      </c>
      <c r="T1543">
        <v>4207.2049999999999</v>
      </c>
      <c r="V1543">
        <v>4207.2049999999999</v>
      </c>
      <c r="W1543" t="s">
        <v>401</v>
      </c>
      <c r="X1543">
        <v>3.7</v>
      </c>
      <c r="Y1543">
        <v>-63.4</v>
      </c>
    </row>
    <row r="1544" spans="1:25" x14ac:dyDescent="0.45">
      <c r="A1544">
        <v>4</v>
      </c>
      <c r="B1544">
        <v>4</v>
      </c>
      <c r="C1544" t="s">
        <v>585</v>
      </c>
      <c r="D1544" t="s">
        <v>400</v>
      </c>
      <c r="E1544">
        <v>10</v>
      </c>
      <c r="F1544">
        <v>3.48</v>
      </c>
      <c r="G1544">
        <v>9967.1630000000005</v>
      </c>
      <c r="I1544">
        <v>9967.1630000000005</v>
      </c>
      <c r="J1544" t="s">
        <v>401</v>
      </c>
      <c r="K1544">
        <v>9.8000000000000007</v>
      </c>
      <c r="L1544">
        <v>-1.8</v>
      </c>
      <c r="N1544">
        <v>46</v>
      </c>
      <c r="O1544">
        <v>46</v>
      </c>
      <c r="P1544" t="s">
        <v>700</v>
      </c>
      <c r="Q1544" t="s">
        <v>414</v>
      </c>
      <c r="R1544">
        <v>10</v>
      </c>
      <c r="S1544">
        <v>3.48</v>
      </c>
      <c r="T1544">
        <v>9440.5130000000008</v>
      </c>
      <c r="V1544">
        <v>9440.5130000000008</v>
      </c>
      <c r="W1544" t="s">
        <v>415</v>
      </c>
      <c r="X1544">
        <v>8.1999999999999993</v>
      </c>
      <c r="Y1544">
        <v>-17.899999999999999</v>
      </c>
    </row>
    <row r="1545" spans="1:25" x14ac:dyDescent="0.45">
      <c r="A1545">
        <v>5</v>
      </c>
      <c r="B1545">
        <v>5</v>
      </c>
      <c r="C1545" t="s">
        <v>586</v>
      </c>
      <c r="D1545" t="s">
        <v>400</v>
      </c>
      <c r="E1545">
        <v>10</v>
      </c>
      <c r="F1545">
        <v>3.48</v>
      </c>
      <c r="G1545">
        <v>11235.645</v>
      </c>
      <c r="I1545">
        <v>11235.645</v>
      </c>
      <c r="J1545" t="s">
        <v>401</v>
      </c>
      <c r="K1545">
        <v>11.1</v>
      </c>
      <c r="L1545">
        <v>10.7</v>
      </c>
      <c r="N1545">
        <v>47</v>
      </c>
      <c r="O1545">
        <v>47</v>
      </c>
      <c r="P1545" t="s">
        <v>701</v>
      </c>
      <c r="Q1545" t="s">
        <v>414</v>
      </c>
      <c r="R1545">
        <v>10</v>
      </c>
      <c r="S1545">
        <v>3.49</v>
      </c>
      <c r="T1545">
        <v>10426.909</v>
      </c>
      <c r="V1545">
        <v>10426.909</v>
      </c>
      <c r="W1545" t="s">
        <v>415</v>
      </c>
      <c r="X1545">
        <v>9.1</v>
      </c>
      <c r="Y1545">
        <v>-9.4</v>
      </c>
    </row>
    <row r="1546" spans="1:25" x14ac:dyDescent="0.45">
      <c r="A1546">
        <v>6</v>
      </c>
      <c r="B1546">
        <v>6</v>
      </c>
      <c r="C1546" t="s">
        <v>587</v>
      </c>
      <c r="D1546" t="s">
        <v>400</v>
      </c>
      <c r="E1546">
        <v>10</v>
      </c>
      <c r="F1546">
        <v>3.48</v>
      </c>
      <c r="G1546">
        <v>12235.328</v>
      </c>
      <c r="I1546">
        <v>12235.328</v>
      </c>
      <c r="J1546" t="s">
        <v>415</v>
      </c>
      <c r="K1546">
        <v>12.1</v>
      </c>
      <c r="L1546">
        <v>20.5</v>
      </c>
      <c r="N1546">
        <v>48</v>
      </c>
      <c r="O1546">
        <v>48</v>
      </c>
      <c r="P1546" t="s">
        <v>702</v>
      </c>
      <c r="Q1546" t="s">
        <v>414</v>
      </c>
      <c r="R1546">
        <v>10</v>
      </c>
      <c r="S1546">
        <v>3.48</v>
      </c>
      <c r="T1546">
        <v>10940.744000000001</v>
      </c>
      <c r="V1546">
        <v>10940.744000000001</v>
      </c>
      <c r="W1546" t="s">
        <v>401</v>
      </c>
      <c r="X1546">
        <v>9.5</v>
      </c>
      <c r="Y1546">
        <v>-4.9000000000000004</v>
      </c>
    </row>
    <row r="1547" spans="1:25" x14ac:dyDescent="0.45">
      <c r="A1547">
        <v>7</v>
      </c>
      <c r="B1547">
        <v>7</v>
      </c>
      <c r="C1547" t="s">
        <v>588</v>
      </c>
      <c r="D1547" t="s">
        <v>400</v>
      </c>
      <c r="E1547">
        <v>10</v>
      </c>
      <c r="F1547">
        <v>3.48</v>
      </c>
      <c r="G1547">
        <v>11222.994000000001</v>
      </c>
      <c r="I1547">
        <v>11222.994000000001</v>
      </c>
      <c r="J1547" t="s">
        <v>401</v>
      </c>
      <c r="K1547">
        <v>11.1</v>
      </c>
      <c r="L1547">
        <v>10.6</v>
      </c>
      <c r="N1547">
        <v>49</v>
      </c>
      <c r="O1547">
        <v>49</v>
      </c>
      <c r="P1547" t="s">
        <v>703</v>
      </c>
      <c r="Q1547" t="s">
        <v>414</v>
      </c>
      <c r="R1547">
        <v>10</v>
      </c>
      <c r="S1547">
        <v>3.48</v>
      </c>
      <c r="T1547">
        <v>10541.558999999999</v>
      </c>
      <c r="V1547">
        <v>10541.558999999999</v>
      </c>
      <c r="W1547" t="s">
        <v>401</v>
      </c>
      <c r="X1547">
        <v>9.1999999999999993</v>
      </c>
      <c r="Y1547">
        <v>-8.4</v>
      </c>
    </row>
    <row r="1548" spans="1:25" x14ac:dyDescent="0.45">
      <c r="A1548">
        <v>8</v>
      </c>
      <c r="B1548">
        <v>8</v>
      </c>
      <c r="C1548" t="s">
        <v>589</v>
      </c>
      <c r="D1548" t="s">
        <v>410</v>
      </c>
      <c r="E1548">
        <v>10</v>
      </c>
      <c r="F1548">
        <v>3.47</v>
      </c>
      <c r="G1548">
        <v>174.69800000000001</v>
      </c>
      <c r="I1548">
        <v>174.69800000000001</v>
      </c>
      <c r="J1548" t="s">
        <v>415</v>
      </c>
      <c r="K1548">
        <v>0.2</v>
      </c>
      <c r="L1548">
        <v>-98.3</v>
      </c>
      <c r="N1548">
        <v>50</v>
      </c>
      <c r="O1548">
        <v>50</v>
      </c>
      <c r="P1548" t="s">
        <v>704</v>
      </c>
      <c r="Q1548" t="s">
        <v>414</v>
      </c>
      <c r="R1548">
        <v>10</v>
      </c>
      <c r="S1548">
        <v>3.49</v>
      </c>
      <c r="T1548">
        <v>9900.4660000000003</v>
      </c>
      <c r="V1548">
        <v>9900.4660000000003</v>
      </c>
      <c r="W1548" t="s">
        <v>412</v>
      </c>
      <c r="X1548">
        <v>8.6</v>
      </c>
      <c r="Y1548">
        <v>-13.9</v>
      </c>
    </row>
    <row r="1549" spans="1:25" x14ac:dyDescent="0.45">
      <c r="A1549">
        <v>9</v>
      </c>
      <c r="B1549">
        <v>9</v>
      </c>
      <c r="C1549" t="s">
        <v>590</v>
      </c>
      <c r="D1549" t="s">
        <v>410</v>
      </c>
      <c r="E1549">
        <v>10</v>
      </c>
      <c r="F1549">
        <v>3.47</v>
      </c>
      <c r="G1549">
        <v>192.124</v>
      </c>
      <c r="I1549">
        <v>192.124</v>
      </c>
      <c r="J1549" t="s">
        <v>415</v>
      </c>
      <c r="K1549">
        <v>0.2</v>
      </c>
      <c r="L1549">
        <v>-98.1</v>
      </c>
      <c r="N1549">
        <v>51</v>
      </c>
      <c r="O1549">
        <v>51</v>
      </c>
      <c r="P1549" t="s">
        <v>705</v>
      </c>
      <c r="Q1549" t="s">
        <v>414</v>
      </c>
      <c r="R1549">
        <v>10</v>
      </c>
      <c r="S1549">
        <v>3.48</v>
      </c>
      <c r="T1549">
        <v>2005.154</v>
      </c>
      <c r="V1549">
        <v>2005.154</v>
      </c>
      <c r="W1549" t="s">
        <v>415</v>
      </c>
      <c r="X1549">
        <v>1.7</v>
      </c>
      <c r="Y1549">
        <v>-82.6</v>
      </c>
    </row>
    <row r="1550" spans="1:25" x14ac:dyDescent="0.45">
      <c r="A1550">
        <v>10</v>
      </c>
      <c r="B1550">
        <v>10</v>
      </c>
      <c r="C1550" t="s">
        <v>591</v>
      </c>
      <c r="D1550" t="s">
        <v>414</v>
      </c>
      <c r="E1550">
        <v>10</v>
      </c>
      <c r="F1550">
        <v>3.48</v>
      </c>
      <c r="G1550">
        <v>8541.1839999999993</v>
      </c>
      <c r="I1550">
        <v>8541.1839999999993</v>
      </c>
      <c r="J1550" t="s">
        <v>415</v>
      </c>
      <c r="K1550">
        <v>8.4</v>
      </c>
      <c r="L1550">
        <v>-15.9</v>
      </c>
      <c r="N1550">
        <v>52</v>
      </c>
      <c r="O1550">
        <v>52</v>
      </c>
      <c r="P1550" t="s">
        <v>706</v>
      </c>
      <c r="Q1550" t="s">
        <v>414</v>
      </c>
      <c r="R1550">
        <v>10</v>
      </c>
      <c r="S1550">
        <v>3.48</v>
      </c>
      <c r="T1550">
        <v>8510.8639999999996</v>
      </c>
      <c r="V1550">
        <v>8510.8639999999996</v>
      </c>
      <c r="W1550" t="s">
        <v>415</v>
      </c>
      <c r="X1550">
        <v>7.4</v>
      </c>
      <c r="Y1550">
        <v>-26</v>
      </c>
    </row>
    <row r="1551" spans="1:25" x14ac:dyDescent="0.45">
      <c r="A1551">
        <v>11</v>
      </c>
      <c r="B1551">
        <v>11</v>
      </c>
      <c r="C1551" t="s">
        <v>592</v>
      </c>
      <c r="D1551" t="s">
        <v>414</v>
      </c>
      <c r="E1551">
        <v>10</v>
      </c>
      <c r="F1551">
        <v>3.47</v>
      </c>
      <c r="G1551">
        <v>2492.393</v>
      </c>
      <c r="I1551">
        <v>2492.393</v>
      </c>
      <c r="J1551" t="s">
        <v>415</v>
      </c>
      <c r="K1551">
        <v>2.5</v>
      </c>
      <c r="L1551">
        <v>-75.400000000000006</v>
      </c>
      <c r="N1551">
        <v>53</v>
      </c>
      <c r="O1551">
        <v>53</v>
      </c>
      <c r="P1551" t="s">
        <v>707</v>
      </c>
      <c r="Q1551" t="s">
        <v>414</v>
      </c>
      <c r="R1551">
        <v>10</v>
      </c>
      <c r="S1551">
        <v>3.49</v>
      </c>
      <c r="T1551">
        <v>9686.3819999999996</v>
      </c>
      <c r="V1551">
        <v>9686.3819999999996</v>
      </c>
      <c r="W1551" t="s">
        <v>401</v>
      </c>
      <c r="X1551">
        <v>8.4</v>
      </c>
      <c r="Y1551">
        <v>-15.8</v>
      </c>
    </row>
    <row r="1552" spans="1:25" x14ac:dyDescent="0.45">
      <c r="A1552">
        <v>12</v>
      </c>
      <c r="B1552">
        <v>12</v>
      </c>
      <c r="C1552" t="s">
        <v>593</v>
      </c>
      <c r="D1552" t="s">
        <v>414</v>
      </c>
      <c r="E1552">
        <v>10</v>
      </c>
      <c r="F1552">
        <v>3.48</v>
      </c>
      <c r="G1552">
        <v>4440.875</v>
      </c>
      <c r="I1552">
        <v>4440.875</v>
      </c>
      <c r="J1552" t="s">
        <v>401</v>
      </c>
      <c r="K1552">
        <v>4.4000000000000004</v>
      </c>
      <c r="L1552">
        <v>-56.2</v>
      </c>
      <c r="N1552">
        <v>54</v>
      </c>
      <c r="O1552">
        <v>54</v>
      </c>
      <c r="P1552" t="s">
        <v>708</v>
      </c>
      <c r="Q1552" t="s">
        <v>414</v>
      </c>
      <c r="R1552">
        <v>10</v>
      </c>
      <c r="S1552">
        <v>3.48</v>
      </c>
      <c r="T1552">
        <v>9723.0720000000001</v>
      </c>
      <c r="V1552">
        <v>9723.0720000000001</v>
      </c>
      <c r="W1552" t="s">
        <v>415</v>
      </c>
      <c r="X1552">
        <v>8.5</v>
      </c>
      <c r="Y1552">
        <v>-15.5</v>
      </c>
    </row>
    <row r="1553" spans="1:25" x14ac:dyDescent="0.45">
      <c r="A1553">
        <v>13</v>
      </c>
      <c r="B1553">
        <v>13</v>
      </c>
      <c r="C1553" t="s">
        <v>594</v>
      </c>
      <c r="D1553" t="s">
        <v>414</v>
      </c>
      <c r="E1553">
        <v>10</v>
      </c>
      <c r="F1553">
        <v>3.48</v>
      </c>
      <c r="G1553">
        <v>8151.4250000000002</v>
      </c>
      <c r="I1553">
        <v>8151.4250000000002</v>
      </c>
      <c r="J1553" t="s">
        <v>415</v>
      </c>
      <c r="K1553">
        <v>8</v>
      </c>
      <c r="L1553">
        <v>-19.7</v>
      </c>
      <c r="N1553">
        <v>55</v>
      </c>
      <c r="O1553">
        <v>55</v>
      </c>
      <c r="P1553" t="s">
        <v>709</v>
      </c>
      <c r="Q1553" t="s">
        <v>414</v>
      </c>
      <c r="R1553">
        <v>10</v>
      </c>
      <c r="S1553">
        <v>3.49</v>
      </c>
      <c r="T1553">
        <v>9150.8310000000001</v>
      </c>
      <c r="V1553">
        <v>9150.8310000000001</v>
      </c>
      <c r="W1553" t="s">
        <v>415</v>
      </c>
      <c r="X1553">
        <v>8</v>
      </c>
      <c r="Y1553">
        <v>-20.5</v>
      </c>
    </row>
    <row r="1554" spans="1:25" x14ac:dyDescent="0.45">
      <c r="A1554">
        <v>14</v>
      </c>
      <c r="B1554">
        <v>14</v>
      </c>
      <c r="C1554" t="s">
        <v>595</v>
      </c>
      <c r="D1554" t="s">
        <v>414</v>
      </c>
      <c r="E1554">
        <v>10</v>
      </c>
      <c r="F1554">
        <v>3.48</v>
      </c>
      <c r="G1554">
        <v>9208.9979999999996</v>
      </c>
      <c r="I1554">
        <v>9208.9979999999996</v>
      </c>
      <c r="J1554" t="s">
        <v>401</v>
      </c>
      <c r="K1554">
        <v>9.1</v>
      </c>
      <c r="L1554">
        <v>-9.3000000000000007</v>
      </c>
      <c r="N1554">
        <v>56</v>
      </c>
      <c r="O1554">
        <v>56</v>
      </c>
      <c r="P1554" t="s">
        <v>710</v>
      </c>
      <c r="Q1554" t="s">
        <v>414</v>
      </c>
      <c r="R1554">
        <v>10</v>
      </c>
      <c r="S1554">
        <v>3.48</v>
      </c>
      <c r="T1554">
        <v>10849.931</v>
      </c>
      <c r="V1554">
        <v>10849.931</v>
      </c>
      <c r="W1554" t="s">
        <v>401</v>
      </c>
      <c r="X1554">
        <v>9.4</v>
      </c>
      <c r="Y1554">
        <v>-5.7</v>
      </c>
    </row>
    <row r="1555" spans="1:25" x14ac:dyDescent="0.45">
      <c r="A1555">
        <v>15</v>
      </c>
      <c r="B1555">
        <v>15</v>
      </c>
      <c r="C1555" t="s">
        <v>596</v>
      </c>
      <c r="D1555" t="s">
        <v>414</v>
      </c>
      <c r="E1555">
        <v>10</v>
      </c>
      <c r="F1555">
        <v>3.48</v>
      </c>
      <c r="G1555">
        <v>12011.848</v>
      </c>
      <c r="I1555">
        <v>12011.848</v>
      </c>
      <c r="J1555" t="s">
        <v>415</v>
      </c>
      <c r="K1555">
        <v>11.8</v>
      </c>
      <c r="L1555">
        <v>18.3</v>
      </c>
      <c r="N1555">
        <v>57</v>
      </c>
      <c r="O1555">
        <v>57</v>
      </c>
      <c r="P1555" t="s">
        <v>711</v>
      </c>
      <c r="Q1555" t="s">
        <v>414</v>
      </c>
      <c r="R1555">
        <v>10</v>
      </c>
      <c r="S1555">
        <v>3.48</v>
      </c>
      <c r="T1555">
        <v>10835.742</v>
      </c>
      <c r="V1555">
        <v>10835.742</v>
      </c>
      <c r="W1555" t="s">
        <v>415</v>
      </c>
      <c r="X1555">
        <v>9.4</v>
      </c>
      <c r="Y1555">
        <v>-5.8</v>
      </c>
    </row>
    <row r="1556" spans="1:25" x14ac:dyDescent="0.45">
      <c r="A1556">
        <v>16</v>
      </c>
      <c r="B1556">
        <v>16</v>
      </c>
      <c r="C1556" t="s">
        <v>597</v>
      </c>
      <c r="D1556" t="s">
        <v>414</v>
      </c>
      <c r="E1556">
        <v>10</v>
      </c>
      <c r="F1556">
        <v>3.48</v>
      </c>
      <c r="G1556">
        <v>13349.462</v>
      </c>
      <c r="I1556">
        <v>13349.462</v>
      </c>
      <c r="J1556" t="s">
        <v>401</v>
      </c>
      <c r="K1556">
        <v>13.2</v>
      </c>
      <c r="L1556">
        <v>31.5</v>
      </c>
      <c r="N1556">
        <v>58</v>
      </c>
      <c r="O1556">
        <v>58</v>
      </c>
      <c r="P1556" t="s">
        <v>712</v>
      </c>
      <c r="Q1556" t="s">
        <v>414</v>
      </c>
      <c r="R1556">
        <v>10</v>
      </c>
      <c r="S1556">
        <v>3.49</v>
      </c>
      <c r="T1556">
        <v>11440.376</v>
      </c>
      <c r="V1556">
        <v>11440.376</v>
      </c>
      <c r="W1556" t="s">
        <v>415</v>
      </c>
      <c r="X1556">
        <v>9.9</v>
      </c>
      <c r="Y1556">
        <v>-0.6</v>
      </c>
    </row>
    <row r="1557" spans="1:25" x14ac:dyDescent="0.45">
      <c r="A1557">
        <v>17</v>
      </c>
      <c r="B1557">
        <v>17</v>
      </c>
      <c r="C1557" t="s">
        <v>598</v>
      </c>
      <c r="D1557" t="s">
        <v>414</v>
      </c>
      <c r="E1557">
        <v>10</v>
      </c>
      <c r="F1557">
        <v>3.48</v>
      </c>
      <c r="G1557">
        <v>12105.538</v>
      </c>
      <c r="I1557">
        <v>12105.538</v>
      </c>
      <c r="J1557" t="s">
        <v>401</v>
      </c>
      <c r="K1557">
        <v>11.9</v>
      </c>
      <c r="L1557">
        <v>19.3</v>
      </c>
      <c r="N1557">
        <v>59</v>
      </c>
      <c r="O1557">
        <v>59</v>
      </c>
      <c r="P1557" t="s">
        <v>713</v>
      </c>
      <c r="Q1557" t="s">
        <v>414</v>
      </c>
      <c r="R1557">
        <v>10</v>
      </c>
      <c r="S1557">
        <v>3.48</v>
      </c>
      <c r="T1557">
        <v>3335.337</v>
      </c>
      <c r="V1557">
        <v>3335.337</v>
      </c>
      <c r="W1557" t="s">
        <v>415</v>
      </c>
      <c r="X1557">
        <v>2.9</v>
      </c>
      <c r="Y1557">
        <v>-71</v>
      </c>
    </row>
    <row r="1558" spans="1:25" x14ac:dyDescent="0.45">
      <c r="A1558">
        <v>18</v>
      </c>
      <c r="B1558">
        <v>18</v>
      </c>
      <c r="C1558" t="s">
        <v>599</v>
      </c>
      <c r="D1558" t="s">
        <v>414</v>
      </c>
      <c r="E1558">
        <v>10</v>
      </c>
      <c r="F1558">
        <v>3.48</v>
      </c>
      <c r="G1558">
        <v>3068.2919999999999</v>
      </c>
      <c r="I1558">
        <v>3068.2919999999999</v>
      </c>
      <c r="J1558" t="s">
        <v>403</v>
      </c>
      <c r="K1558">
        <v>3</v>
      </c>
      <c r="L1558">
        <v>-69.8</v>
      </c>
      <c r="N1558">
        <v>60</v>
      </c>
      <c r="O1558">
        <v>60</v>
      </c>
      <c r="P1558" t="s">
        <v>714</v>
      </c>
      <c r="Q1558" t="s">
        <v>414</v>
      </c>
      <c r="R1558">
        <v>10</v>
      </c>
      <c r="S1558">
        <v>3.48</v>
      </c>
      <c r="T1558">
        <v>5183.2780000000002</v>
      </c>
      <c r="V1558">
        <v>5183.2780000000002</v>
      </c>
      <c r="W1558" t="s">
        <v>415</v>
      </c>
      <c r="X1558">
        <v>4.5</v>
      </c>
      <c r="Y1558">
        <v>-54.9</v>
      </c>
    </row>
    <row r="1559" spans="1:25" x14ac:dyDescent="0.45">
      <c r="A1559">
        <v>19</v>
      </c>
      <c r="B1559">
        <v>19</v>
      </c>
      <c r="C1559" t="s">
        <v>600</v>
      </c>
      <c r="D1559" t="s">
        <v>414</v>
      </c>
      <c r="E1559">
        <v>10</v>
      </c>
      <c r="F1559">
        <v>3.48</v>
      </c>
      <c r="G1559">
        <v>3881.7719999999999</v>
      </c>
      <c r="I1559">
        <v>3881.7719999999999</v>
      </c>
      <c r="J1559" t="s">
        <v>412</v>
      </c>
      <c r="K1559">
        <v>3.8</v>
      </c>
      <c r="L1559">
        <v>-61.8</v>
      </c>
      <c r="N1559">
        <v>61</v>
      </c>
      <c r="O1559">
        <v>61</v>
      </c>
      <c r="P1559" t="s">
        <v>715</v>
      </c>
      <c r="Q1559" t="s">
        <v>414</v>
      </c>
      <c r="R1559">
        <v>10</v>
      </c>
      <c r="S1559">
        <v>3.49</v>
      </c>
      <c r="T1559">
        <v>8747.8009999999995</v>
      </c>
      <c r="V1559">
        <v>8747.8009999999995</v>
      </c>
      <c r="W1559" t="s">
        <v>412</v>
      </c>
      <c r="X1559">
        <v>7.6</v>
      </c>
      <c r="Y1559">
        <v>-24</v>
      </c>
    </row>
    <row r="1560" spans="1:25" x14ac:dyDescent="0.45">
      <c r="A1560">
        <v>20</v>
      </c>
      <c r="B1560">
        <v>20</v>
      </c>
      <c r="C1560" t="s">
        <v>601</v>
      </c>
      <c r="D1560" t="s">
        <v>414</v>
      </c>
      <c r="E1560">
        <v>10</v>
      </c>
      <c r="F1560">
        <v>3.48</v>
      </c>
      <c r="G1560">
        <v>2069.75</v>
      </c>
      <c r="I1560">
        <v>2069.75</v>
      </c>
      <c r="J1560" t="s">
        <v>401</v>
      </c>
      <c r="K1560">
        <v>2</v>
      </c>
      <c r="L1560">
        <v>-79.599999999999994</v>
      </c>
      <c r="N1560">
        <v>62</v>
      </c>
      <c r="O1560">
        <v>62</v>
      </c>
      <c r="P1560" t="s">
        <v>716</v>
      </c>
      <c r="Q1560" t="s">
        <v>414</v>
      </c>
      <c r="R1560">
        <v>10</v>
      </c>
      <c r="S1560">
        <v>3.49</v>
      </c>
      <c r="T1560">
        <v>3908.605</v>
      </c>
      <c r="V1560">
        <v>3908.605</v>
      </c>
      <c r="W1560" t="s">
        <v>415</v>
      </c>
      <c r="X1560">
        <v>3.4</v>
      </c>
      <c r="Y1560">
        <v>-66</v>
      </c>
    </row>
    <row r="1561" spans="1:25" x14ac:dyDescent="0.45">
      <c r="A1561">
        <v>21</v>
      </c>
      <c r="B1561">
        <v>21</v>
      </c>
      <c r="C1561" t="s">
        <v>602</v>
      </c>
      <c r="D1561" t="s">
        <v>414</v>
      </c>
      <c r="E1561">
        <v>10</v>
      </c>
      <c r="F1561">
        <v>3.48</v>
      </c>
      <c r="G1561">
        <v>3742.56</v>
      </c>
      <c r="I1561">
        <v>3742.56</v>
      </c>
      <c r="J1561" t="s">
        <v>415</v>
      </c>
      <c r="K1561">
        <v>3.7</v>
      </c>
      <c r="L1561">
        <v>-63.1</v>
      </c>
      <c r="N1561">
        <v>63</v>
      </c>
      <c r="O1561">
        <v>63</v>
      </c>
      <c r="P1561" t="s">
        <v>717</v>
      </c>
      <c r="Q1561" t="s">
        <v>414</v>
      </c>
      <c r="R1561">
        <v>10</v>
      </c>
      <c r="S1561">
        <v>3.49</v>
      </c>
      <c r="T1561">
        <v>10888.210999999999</v>
      </c>
      <c r="V1561">
        <v>10888.210999999999</v>
      </c>
      <c r="W1561" t="s">
        <v>401</v>
      </c>
      <c r="X1561">
        <v>9.5</v>
      </c>
      <c r="Y1561">
        <v>-5.4</v>
      </c>
    </row>
    <row r="1562" spans="1:25" x14ac:dyDescent="0.45">
      <c r="A1562">
        <v>22</v>
      </c>
      <c r="B1562">
        <v>22</v>
      </c>
      <c r="C1562" t="s">
        <v>603</v>
      </c>
      <c r="D1562" t="s">
        <v>414</v>
      </c>
      <c r="E1562">
        <v>10</v>
      </c>
      <c r="F1562">
        <v>3.48</v>
      </c>
      <c r="G1562">
        <v>12365.287</v>
      </c>
      <c r="I1562">
        <v>12365.287</v>
      </c>
      <c r="J1562" t="s">
        <v>412</v>
      </c>
      <c r="K1562">
        <v>12.2</v>
      </c>
      <c r="L1562">
        <v>21.8</v>
      </c>
      <c r="N1562">
        <v>64</v>
      </c>
      <c r="O1562">
        <v>64</v>
      </c>
      <c r="P1562" t="s">
        <v>718</v>
      </c>
      <c r="Q1562" t="s">
        <v>414</v>
      </c>
      <c r="R1562">
        <v>10</v>
      </c>
      <c r="S1562">
        <v>3.48</v>
      </c>
      <c r="T1562">
        <v>9698.6329999999998</v>
      </c>
      <c r="V1562">
        <v>9698.6329999999998</v>
      </c>
      <c r="W1562" t="s">
        <v>415</v>
      </c>
      <c r="X1562">
        <v>8.4</v>
      </c>
      <c r="Y1562">
        <v>-15.7</v>
      </c>
    </row>
    <row r="1563" spans="1:25" x14ac:dyDescent="0.45">
      <c r="A1563">
        <v>23</v>
      </c>
      <c r="B1563">
        <v>23</v>
      </c>
      <c r="C1563" t="s">
        <v>604</v>
      </c>
      <c r="D1563" t="s">
        <v>414</v>
      </c>
      <c r="E1563">
        <v>10</v>
      </c>
      <c r="F1563">
        <v>3.48</v>
      </c>
      <c r="G1563">
        <v>13272.189</v>
      </c>
      <c r="I1563">
        <v>13272.189</v>
      </c>
      <c r="J1563" t="s">
        <v>401</v>
      </c>
      <c r="K1563">
        <v>13.1</v>
      </c>
      <c r="L1563">
        <v>30.8</v>
      </c>
      <c r="N1563">
        <v>65</v>
      </c>
      <c r="O1563">
        <v>65</v>
      </c>
      <c r="P1563" t="s">
        <v>719</v>
      </c>
      <c r="Q1563" t="s">
        <v>414</v>
      </c>
      <c r="R1563">
        <v>10</v>
      </c>
      <c r="S1563">
        <v>3.48</v>
      </c>
      <c r="T1563">
        <v>3013.3040000000001</v>
      </c>
      <c r="V1563">
        <v>3013.3040000000001</v>
      </c>
      <c r="W1563" t="s">
        <v>415</v>
      </c>
      <c r="X1563">
        <v>2.6</v>
      </c>
      <c r="Y1563">
        <v>-73.8</v>
      </c>
    </row>
    <row r="1564" spans="1:25" x14ac:dyDescent="0.45">
      <c r="A1564">
        <v>24</v>
      </c>
      <c r="B1564">
        <v>24</v>
      </c>
      <c r="C1564" t="s">
        <v>605</v>
      </c>
      <c r="D1564" t="s">
        <v>414</v>
      </c>
      <c r="E1564">
        <v>10</v>
      </c>
      <c r="F1564">
        <v>3.48</v>
      </c>
      <c r="G1564">
        <v>7070.6809999999996</v>
      </c>
      <c r="I1564">
        <v>7070.6809999999996</v>
      </c>
      <c r="J1564" t="s">
        <v>415</v>
      </c>
      <c r="K1564">
        <v>7</v>
      </c>
      <c r="L1564">
        <v>-30.3</v>
      </c>
      <c r="N1564">
        <v>66</v>
      </c>
      <c r="O1564">
        <v>66</v>
      </c>
      <c r="P1564" t="s">
        <v>720</v>
      </c>
      <c r="Q1564" t="s">
        <v>414</v>
      </c>
      <c r="R1564">
        <v>10</v>
      </c>
      <c r="S1564">
        <v>3.48</v>
      </c>
      <c r="T1564">
        <v>10873.856</v>
      </c>
      <c r="V1564">
        <v>10873.856</v>
      </c>
      <c r="W1564" t="s">
        <v>415</v>
      </c>
      <c r="X1564">
        <v>9.5</v>
      </c>
      <c r="Y1564">
        <v>-5.5</v>
      </c>
    </row>
    <row r="1565" spans="1:25" x14ac:dyDescent="0.45">
      <c r="A1565">
        <v>25</v>
      </c>
      <c r="B1565">
        <v>25</v>
      </c>
      <c r="C1565" t="s">
        <v>606</v>
      </c>
      <c r="D1565" t="s">
        <v>414</v>
      </c>
      <c r="E1565">
        <v>10</v>
      </c>
      <c r="F1565">
        <v>3.48</v>
      </c>
      <c r="G1565">
        <v>8608.7669999999998</v>
      </c>
      <c r="I1565">
        <v>8608.7669999999998</v>
      </c>
      <c r="J1565" t="s">
        <v>415</v>
      </c>
      <c r="K1565">
        <v>8.5</v>
      </c>
      <c r="L1565">
        <v>-15.2</v>
      </c>
      <c r="N1565">
        <v>67</v>
      </c>
      <c r="O1565">
        <v>67</v>
      </c>
      <c r="P1565" t="s">
        <v>721</v>
      </c>
      <c r="Q1565" t="s">
        <v>414</v>
      </c>
      <c r="R1565">
        <v>10</v>
      </c>
      <c r="S1565">
        <v>3.49</v>
      </c>
      <c r="T1565">
        <v>10929.04</v>
      </c>
      <c r="V1565">
        <v>10929.04</v>
      </c>
      <c r="W1565" t="s">
        <v>415</v>
      </c>
      <c r="X1565">
        <v>9.5</v>
      </c>
      <c r="Y1565">
        <v>-5</v>
      </c>
    </row>
    <row r="1566" spans="1:25" x14ac:dyDescent="0.45">
      <c r="A1566">
        <v>26</v>
      </c>
      <c r="B1566">
        <v>26</v>
      </c>
      <c r="C1566" t="s">
        <v>607</v>
      </c>
      <c r="D1566" t="s">
        <v>414</v>
      </c>
      <c r="E1566">
        <v>10</v>
      </c>
      <c r="F1566">
        <v>3.48</v>
      </c>
      <c r="G1566">
        <v>8195.86</v>
      </c>
      <c r="I1566">
        <v>8195.86</v>
      </c>
      <c r="J1566" t="s">
        <v>403</v>
      </c>
      <c r="K1566">
        <v>8.1</v>
      </c>
      <c r="L1566">
        <v>-19.3</v>
      </c>
    </row>
    <row r="1567" spans="1:25" x14ac:dyDescent="0.45">
      <c r="A1567">
        <v>27</v>
      </c>
      <c r="B1567">
        <v>27</v>
      </c>
      <c r="C1567" t="s">
        <v>608</v>
      </c>
      <c r="D1567" t="s">
        <v>414</v>
      </c>
      <c r="E1567">
        <v>10</v>
      </c>
      <c r="F1567">
        <v>3.48</v>
      </c>
      <c r="G1567">
        <v>12659.876</v>
      </c>
      <c r="I1567">
        <v>12659.876</v>
      </c>
      <c r="J1567" t="s">
        <v>403</v>
      </c>
      <c r="K1567">
        <v>12.5</v>
      </c>
      <c r="L1567">
        <v>24.7</v>
      </c>
      <c r="N1567" t="s">
        <v>508</v>
      </c>
    </row>
    <row r="1568" spans="1:25" x14ac:dyDescent="0.45">
      <c r="A1568">
        <v>28</v>
      </c>
      <c r="B1568">
        <v>28</v>
      </c>
      <c r="C1568" t="s">
        <v>609</v>
      </c>
      <c r="D1568" t="s">
        <v>414</v>
      </c>
      <c r="E1568">
        <v>10</v>
      </c>
      <c r="F1568">
        <v>3.48</v>
      </c>
      <c r="G1568">
        <v>8851.3359999999993</v>
      </c>
      <c r="I1568">
        <v>8851.3359999999993</v>
      </c>
      <c r="J1568" t="s">
        <v>401</v>
      </c>
      <c r="K1568">
        <v>8.6999999999999993</v>
      </c>
      <c r="L1568">
        <v>-12.8</v>
      </c>
    </row>
    <row r="1569" spans="1:25" x14ac:dyDescent="0.45">
      <c r="A1569">
        <v>29</v>
      </c>
      <c r="B1569">
        <v>29</v>
      </c>
      <c r="C1569" t="s">
        <v>610</v>
      </c>
      <c r="D1569" t="s">
        <v>414</v>
      </c>
      <c r="E1569">
        <v>10</v>
      </c>
      <c r="F1569">
        <v>3.48</v>
      </c>
      <c r="G1569">
        <v>5864.1940000000004</v>
      </c>
      <c r="I1569">
        <v>5864.1940000000004</v>
      </c>
      <c r="J1569" t="s">
        <v>415</v>
      </c>
      <c r="K1569">
        <v>5.8</v>
      </c>
      <c r="L1569">
        <v>-42.2</v>
      </c>
      <c r="O1569" t="s">
        <v>389</v>
      </c>
      <c r="P1569" t="s">
        <v>123</v>
      </c>
      <c r="Q1569" t="s">
        <v>390</v>
      </c>
      <c r="R1569" t="s">
        <v>391</v>
      </c>
      <c r="S1569" t="s">
        <v>392</v>
      </c>
      <c r="T1569" t="s">
        <v>393</v>
      </c>
      <c r="U1569" t="s">
        <v>394</v>
      </c>
      <c r="V1569" t="s">
        <v>395</v>
      </c>
      <c r="W1569" t="s">
        <v>396</v>
      </c>
      <c r="X1569" t="s">
        <v>397</v>
      </c>
      <c r="Y1569" t="s">
        <v>398</v>
      </c>
    </row>
    <row r="1570" spans="1:25" x14ac:dyDescent="0.45">
      <c r="A1570">
        <v>30</v>
      </c>
      <c r="B1570">
        <v>30</v>
      </c>
      <c r="C1570" t="s">
        <v>611</v>
      </c>
      <c r="D1570" t="s">
        <v>414</v>
      </c>
      <c r="E1570">
        <v>10</v>
      </c>
      <c r="F1570">
        <v>3.48</v>
      </c>
      <c r="G1570">
        <v>6830.0110000000004</v>
      </c>
      <c r="I1570">
        <v>6830.0110000000004</v>
      </c>
      <c r="J1570" t="s">
        <v>401</v>
      </c>
      <c r="K1570">
        <v>6.7</v>
      </c>
      <c r="L1570">
        <v>-32.700000000000003</v>
      </c>
      <c r="N1570">
        <v>1</v>
      </c>
      <c r="O1570">
        <v>1</v>
      </c>
      <c r="P1570" t="s">
        <v>655</v>
      </c>
      <c r="Q1570" t="s">
        <v>400</v>
      </c>
      <c r="R1570">
        <v>10</v>
      </c>
      <c r="S1570">
        <v>3.23</v>
      </c>
      <c r="T1570">
        <v>837.29200000000003</v>
      </c>
      <c r="V1570">
        <v>837.29200000000003</v>
      </c>
      <c r="W1570" t="s">
        <v>415</v>
      </c>
      <c r="X1570">
        <v>9.3000000000000007</v>
      </c>
      <c r="Y1570">
        <v>-7.4</v>
      </c>
    </row>
    <row r="1571" spans="1:25" x14ac:dyDescent="0.45">
      <c r="A1571">
        <v>31</v>
      </c>
      <c r="B1571">
        <v>31</v>
      </c>
      <c r="C1571" t="s">
        <v>612</v>
      </c>
      <c r="D1571" t="s">
        <v>414</v>
      </c>
      <c r="E1571">
        <v>10</v>
      </c>
      <c r="F1571">
        <v>3.49</v>
      </c>
      <c r="G1571">
        <v>6788.37</v>
      </c>
      <c r="I1571">
        <v>6788.37</v>
      </c>
      <c r="J1571" t="s">
        <v>412</v>
      </c>
      <c r="K1571">
        <v>6.7</v>
      </c>
      <c r="L1571">
        <v>-33.1</v>
      </c>
      <c r="N1571">
        <v>2</v>
      </c>
      <c r="O1571">
        <v>2</v>
      </c>
      <c r="P1571" t="s">
        <v>656</v>
      </c>
      <c r="Q1571" t="s">
        <v>400</v>
      </c>
      <c r="R1571">
        <v>10</v>
      </c>
      <c r="S1571">
        <v>3.22</v>
      </c>
      <c r="T1571">
        <v>947.03899999999999</v>
      </c>
      <c r="V1571">
        <v>947.03899999999999</v>
      </c>
      <c r="W1571" t="s">
        <v>415</v>
      </c>
      <c r="X1571">
        <v>10.5</v>
      </c>
      <c r="Y1571">
        <v>4.7</v>
      </c>
    </row>
    <row r="1572" spans="1:25" x14ac:dyDescent="0.45">
      <c r="A1572">
        <v>32</v>
      </c>
      <c r="B1572">
        <v>32</v>
      </c>
      <c r="C1572" t="s">
        <v>613</v>
      </c>
      <c r="D1572" t="s">
        <v>414</v>
      </c>
      <c r="E1572">
        <v>10</v>
      </c>
      <c r="F1572">
        <v>3.48</v>
      </c>
      <c r="G1572">
        <v>5681.4080000000004</v>
      </c>
      <c r="I1572">
        <v>5681.4080000000004</v>
      </c>
      <c r="J1572" t="s">
        <v>415</v>
      </c>
      <c r="K1572">
        <v>5.6</v>
      </c>
      <c r="L1572">
        <v>-44</v>
      </c>
      <c r="N1572">
        <v>3</v>
      </c>
      <c r="O1572">
        <v>3</v>
      </c>
      <c r="P1572" t="s">
        <v>657</v>
      </c>
      <c r="Q1572" t="s">
        <v>400</v>
      </c>
      <c r="R1572">
        <v>10</v>
      </c>
      <c r="S1572">
        <v>3.22</v>
      </c>
      <c r="T1572">
        <v>903.01199999999994</v>
      </c>
      <c r="V1572">
        <v>903.01199999999994</v>
      </c>
      <c r="W1572" t="s">
        <v>415</v>
      </c>
      <c r="X1572">
        <v>10</v>
      </c>
      <c r="Y1572">
        <v>-0.1</v>
      </c>
    </row>
    <row r="1573" spans="1:25" x14ac:dyDescent="0.45">
      <c r="A1573">
        <v>33</v>
      </c>
      <c r="B1573">
        <v>33</v>
      </c>
      <c r="C1573" t="s">
        <v>614</v>
      </c>
      <c r="D1573" t="s">
        <v>414</v>
      </c>
      <c r="E1573">
        <v>10</v>
      </c>
      <c r="F1573">
        <v>3.48</v>
      </c>
      <c r="G1573">
        <v>3900.8090000000002</v>
      </c>
      <c r="I1573">
        <v>3900.8090000000002</v>
      </c>
      <c r="J1573" t="s">
        <v>415</v>
      </c>
      <c r="K1573">
        <v>3.8</v>
      </c>
      <c r="L1573">
        <v>-61.6</v>
      </c>
      <c r="N1573">
        <v>4</v>
      </c>
      <c r="O1573">
        <v>4</v>
      </c>
      <c r="P1573" t="s">
        <v>658</v>
      </c>
      <c r="Q1573" t="s">
        <v>400</v>
      </c>
      <c r="R1573">
        <v>10</v>
      </c>
      <c r="S1573">
        <v>3.22</v>
      </c>
      <c r="T1573">
        <v>1017.884</v>
      </c>
      <c r="V1573">
        <v>1017.884</v>
      </c>
      <c r="W1573" t="s">
        <v>401</v>
      </c>
      <c r="X1573">
        <v>11.3</v>
      </c>
      <c r="Y1573">
        <v>12.6</v>
      </c>
    </row>
    <row r="1574" spans="1:25" x14ac:dyDescent="0.45">
      <c r="A1574">
        <v>34</v>
      </c>
      <c r="B1574">
        <v>34</v>
      </c>
      <c r="C1574" t="s">
        <v>615</v>
      </c>
      <c r="D1574" t="s">
        <v>414</v>
      </c>
      <c r="E1574">
        <v>10</v>
      </c>
      <c r="F1574">
        <v>3.48</v>
      </c>
      <c r="G1574">
        <v>5266.058</v>
      </c>
      <c r="I1574">
        <v>5266.058</v>
      </c>
      <c r="J1574" t="s">
        <v>401</v>
      </c>
      <c r="K1574">
        <v>5.2</v>
      </c>
      <c r="L1574">
        <v>-48.1</v>
      </c>
      <c r="N1574">
        <v>5</v>
      </c>
      <c r="O1574">
        <v>5</v>
      </c>
      <c r="P1574" t="s">
        <v>659</v>
      </c>
      <c r="Q1574" t="s">
        <v>400</v>
      </c>
      <c r="R1574">
        <v>10</v>
      </c>
      <c r="S1574">
        <v>3.22</v>
      </c>
      <c r="T1574">
        <v>838.71799999999996</v>
      </c>
      <c r="V1574">
        <v>838.71799999999996</v>
      </c>
      <c r="W1574" t="s">
        <v>415</v>
      </c>
      <c r="X1574">
        <v>9.3000000000000007</v>
      </c>
      <c r="Y1574">
        <v>-7.3</v>
      </c>
    </row>
    <row r="1575" spans="1:25" x14ac:dyDescent="0.45">
      <c r="A1575">
        <v>35</v>
      </c>
      <c r="B1575">
        <v>35</v>
      </c>
      <c r="C1575" t="s">
        <v>616</v>
      </c>
      <c r="D1575" t="s">
        <v>414</v>
      </c>
      <c r="E1575">
        <v>10</v>
      </c>
      <c r="F1575">
        <v>3.48</v>
      </c>
      <c r="G1575">
        <v>4889.3530000000001</v>
      </c>
      <c r="I1575">
        <v>4889.3530000000001</v>
      </c>
      <c r="J1575" t="s">
        <v>415</v>
      </c>
      <c r="K1575">
        <v>4.8</v>
      </c>
      <c r="L1575">
        <v>-51.8</v>
      </c>
      <c r="N1575">
        <v>6</v>
      </c>
      <c r="O1575">
        <v>6</v>
      </c>
      <c r="P1575" t="s">
        <v>660</v>
      </c>
      <c r="Q1575" t="s">
        <v>400</v>
      </c>
      <c r="R1575">
        <v>10</v>
      </c>
      <c r="S1575">
        <v>3.22</v>
      </c>
      <c r="T1575">
        <v>915.30600000000004</v>
      </c>
      <c r="V1575">
        <v>915.30600000000004</v>
      </c>
      <c r="W1575" t="s">
        <v>415</v>
      </c>
      <c r="X1575">
        <v>10.1</v>
      </c>
      <c r="Y1575">
        <v>1.2</v>
      </c>
    </row>
    <row r="1576" spans="1:25" x14ac:dyDescent="0.45">
      <c r="A1576">
        <v>36</v>
      </c>
      <c r="B1576">
        <v>36</v>
      </c>
      <c r="C1576" t="s">
        <v>617</v>
      </c>
      <c r="D1576" t="s">
        <v>414</v>
      </c>
      <c r="E1576">
        <v>10</v>
      </c>
      <c r="F1576">
        <v>3.48</v>
      </c>
      <c r="G1576">
        <v>5903.3869999999997</v>
      </c>
      <c r="I1576">
        <v>5903.3869999999997</v>
      </c>
      <c r="J1576" t="s">
        <v>415</v>
      </c>
      <c r="K1576">
        <v>5.8</v>
      </c>
      <c r="L1576">
        <v>-41.8</v>
      </c>
      <c r="N1576">
        <v>7</v>
      </c>
      <c r="O1576">
        <v>7</v>
      </c>
      <c r="P1576" t="s">
        <v>661</v>
      </c>
      <c r="Q1576" t="s">
        <v>400</v>
      </c>
      <c r="R1576">
        <v>10</v>
      </c>
      <c r="S1576">
        <v>3.22</v>
      </c>
      <c r="T1576">
        <v>871.08100000000002</v>
      </c>
      <c r="V1576">
        <v>871.08100000000002</v>
      </c>
      <c r="W1576" t="s">
        <v>415</v>
      </c>
      <c r="X1576">
        <v>9.6</v>
      </c>
      <c r="Y1576">
        <v>-3.7</v>
      </c>
    </row>
    <row r="1577" spans="1:25" x14ac:dyDescent="0.45">
      <c r="A1577">
        <v>37</v>
      </c>
      <c r="B1577">
        <v>37</v>
      </c>
      <c r="C1577" t="s">
        <v>618</v>
      </c>
      <c r="D1577" t="s">
        <v>414</v>
      </c>
      <c r="E1577">
        <v>10</v>
      </c>
      <c r="F1577">
        <v>3.49</v>
      </c>
      <c r="G1577">
        <v>14629.484</v>
      </c>
      <c r="I1577">
        <v>14629.484</v>
      </c>
      <c r="J1577" t="s">
        <v>415</v>
      </c>
      <c r="K1577">
        <v>14.4</v>
      </c>
      <c r="L1577">
        <v>44.1</v>
      </c>
      <c r="N1577">
        <v>8</v>
      </c>
      <c r="O1577">
        <v>8</v>
      </c>
      <c r="P1577" t="s">
        <v>662</v>
      </c>
      <c r="Q1577" t="s">
        <v>414</v>
      </c>
      <c r="R1577">
        <v>10</v>
      </c>
      <c r="S1577">
        <v>3.23</v>
      </c>
      <c r="T1577">
        <v>431.01499999999999</v>
      </c>
      <c r="V1577">
        <v>431.01499999999999</v>
      </c>
      <c r="W1577" t="s">
        <v>415</v>
      </c>
      <c r="X1577">
        <v>4.8</v>
      </c>
      <c r="Y1577">
        <v>-52.3</v>
      </c>
    </row>
    <row r="1578" spans="1:25" x14ac:dyDescent="0.45">
      <c r="A1578">
        <v>38</v>
      </c>
      <c r="B1578">
        <v>38</v>
      </c>
      <c r="C1578" t="s">
        <v>619</v>
      </c>
      <c r="D1578" t="s">
        <v>414</v>
      </c>
      <c r="E1578">
        <v>10</v>
      </c>
      <c r="F1578">
        <v>3.49</v>
      </c>
      <c r="G1578">
        <v>3601.1579999999999</v>
      </c>
      <c r="I1578">
        <v>3601.1579999999999</v>
      </c>
      <c r="J1578" t="s">
        <v>415</v>
      </c>
      <c r="K1578">
        <v>3.5</v>
      </c>
      <c r="L1578">
        <v>-64.5</v>
      </c>
      <c r="N1578">
        <v>9</v>
      </c>
      <c r="O1578">
        <v>9</v>
      </c>
      <c r="P1578" t="s">
        <v>663</v>
      </c>
      <c r="Q1578" t="s">
        <v>414</v>
      </c>
      <c r="R1578">
        <v>10</v>
      </c>
      <c r="S1578">
        <v>3.23</v>
      </c>
      <c r="T1578">
        <v>430.59500000000003</v>
      </c>
      <c r="V1578">
        <v>430.59500000000003</v>
      </c>
      <c r="W1578" t="s">
        <v>415</v>
      </c>
      <c r="X1578">
        <v>4.8</v>
      </c>
      <c r="Y1578">
        <v>-52.4</v>
      </c>
    </row>
    <row r="1579" spans="1:25" x14ac:dyDescent="0.45">
      <c r="A1579">
        <v>39</v>
      </c>
      <c r="B1579">
        <v>39</v>
      </c>
      <c r="C1579" t="s">
        <v>620</v>
      </c>
      <c r="D1579" t="s">
        <v>414</v>
      </c>
      <c r="E1579">
        <v>10</v>
      </c>
      <c r="F1579">
        <v>3.49</v>
      </c>
      <c r="G1579">
        <v>4465.8779999999997</v>
      </c>
      <c r="I1579">
        <v>4465.8779999999997</v>
      </c>
      <c r="J1579" t="s">
        <v>415</v>
      </c>
      <c r="K1579">
        <v>4.4000000000000004</v>
      </c>
      <c r="L1579">
        <v>-56</v>
      </c>
      <c r="N1579">
        <v>10</v>
      </c>
      <c r="O1579">
        <v>10</v>
      </c>
      <c r="P1579" t="s">
        <v>664</v>
      </c>
      <c r="Q1579" t="s">
        <v>414</v>
      </c>
      <c r="R1579">
        <v>10</v>
      </c>
      <c r="S1579">
        <v>3.22</v>
      </c>
      <c r="T1579">
        <v>471.29199999999997</v>
      </c>
      <c r="V1579">
        <v>471.29199999999997</v>
      </c>
      <c r="W1579" t="s">
        <v>415</v>
      </c>
      <c r="X1579">
        <v>5.2</v>
      </c>
      <c r="Y1579">
        <v>-47.9</v>
      </c>
    </row>
    <row r="1580" spans="1:25" x14ac:dyDescent="0.45">
      <c r="A1580">
        <v>40</v>
      </c>
      <c r="B1580">
        <v>40</v>
      </c>
      <c r="C1580" t="s">
        <v>621</v>
      </c>
      <c r="D1580" t="s">
        <v>414</v>
      </c>
      <c r="E1580">
        <v>10</v>
      </c>
      <c r="F1580">
        <v>3.49</v>
      </c>
      <c r="G1580">
        <v>9418.1689999999999</v>
      </c>
      <c r="I1580">
        <v>9418.1689999999999</v>
      </c>
      <c r="J1580" t="s">
        <v>415</v>
      </c>
      <c r="K1580">
        <v>9.3000000000000007</v>
      </c>
      <c r="L1580">
        <v>-7.2</v>
      </c>
      <c r="N1580">
        <v>11</v>
      </c>
      <c r="O1580">
        <v>11</v>
      </c>
      <c r="P1580" t="s">
        <v>665</v>
      </c>
      <c r="Q1580" t="s">
        <v>414</v>
      </c>
      <c r="R1580">
        <v>10</v>
      </c>
      <c r="S1580">
        <v>3.23</v>
      </c>
      <c r="T1580">
        <v>247.33699999999999</v>
      </c>
      <c r="V1580">
        <v>247.33699999999999</v>
      </c>
      <c r="W1580" t="s">
        <v>415</v>
      </c>
      <c r="X1580">
        <v>2.7</v>
      </c>
      <c r="Y1580">
        <v>-72.599999999999994</v>
      </c>
    </row>
    <row r="1581" spans="1:25" x14ac:dyDescent="0.45">
      <c r="A1581">
        <v>41</v>
      </c>
      <c r="B1581">
        <v>41</v>
      </c>
      <c r="C1581" t="s">
        <v>622</v>
      </c>
      <c r="D1581" t="s">
        <v>414</v>
      </c>
      <c r="E1581">
        <v>10</v>
      </c>
      <c r="F1581">
        <v>3.49</v>
      </c>
      <c r="G1581">
        <v>7459.9120000000003</v>
      </c>
      <c r="I1581">
        <v>7459.9120000000003</v>
      </c>
      <c r="J1581" t="s">
        <v>415</v>
      </c>
      <c r="K1581">
        <v>7.3</v>
      </c>
      <c r="L1581">
        <v>-26.5</v>
      </c>
      <c r="N1581">
        <v>12</v>
      </c>
      <c r="O1581">
        <v>12</v>
      </c>
      <c r="P1581" t="s">
        <v>666</v>
      </c>
      <c r="Q1581" t="s">
        <v>414</v>
      </c>
      <c r="R1581">
        <v>10</v>
      </c>
      <c r="S1581">
        <v>3.23</v>
      </c>
      <c r="T1581">
        <v>341.72300000000001</v>
      </c>
      <c r="V1581">
        <v>341.72300000000001</v>
      </c>
      <c r="W1581" t="s">
        <v>415</v>
      </c>
      <c r="X1581">
        <v>3.8</v>
      </c>
      <c r="Y1581">
        <v>-62.2</v>
      </c>
    </row>
    <row r="1582" spans="1:25" x14ac:dyDescent="0.45">
      <c r="A1582">
        <v>42</v>
      </c>
      <c r="B1582">
        <v>42</v>
      </c>
      <c r="C1582" t="s">
        <v>623</v>
      </c>
      <c r="D1582" t="s">
        <v>414</v>
      </c>
      <c r="E1582">
        <v>10</v>
      </c>
      <c r="F1582">
        <v>3.48</v>
      </c>
      <c r="G1582">
        <v>14067.552</v>
      </c>
      <c r="I1582">
        <v>14067.552</v>
      </c>
      <c r="J1582" t="s">
        <v>401</v>
      </c>
      <c r="K1582">
        <v>13.9</v>
      </c>
      <c r="L1582">
        <v>38.6</v>
      </c>
      <c r="N1582">
        <v>13</v>
      </c>
      <c r="O1582">
        <v>13</v>
      </c>
      <c r="P1582" t="s">
        <v>667</v>
      </c>
      <c r="Q1582" t="s">
        <v>414</v>
      </c>
      <c r="R1582">
        <v>10</v>
      </c>
      <c r="S1582">
        <v>3.23</v>
      </c>
      <c r="T1582">
        <v>291.31900000000002</v>
      </c>
      <c r="V1582">
        <v>291.31900000000002</v>
      </c>
      <c r="W1582" t="s">
        <v>415</v>
      </c>
      <c r="X1582">
        <v>3.2</v>
      </c>
      <c r="Y1582">
        <v>-67.8</v>
      </c>
    </row>
    <row r="1583" spans="1:25" x14ac:dyDescent="0.45">
      <c r="A1583">
        <v>43</v>
      </c>
      <c r="B1583">
        <v>43</v>
      </c>
      <c r="C1583" t="s">
        <v>624</v>
      </c>
      <c r="D1583" t="s">
        <v>414</v>
      </c>
      <c r="E1583">
        <v>10</v>
      </c>
      <c r="F1583">
        <v>3.49</v>
      </c>
      <c r="G1583">
        <v>13868.416999999999</v>
      </c>
      <c r="I1583">
        <v>13868.416999999999</v>
      </c>
      <c r="J1583" t="s">
        <v>401</v>
      </c>
      <c r="K1583">
        <v>13.7</v>
      </c>
      <c r="L1583">
        <v>36.6</v>
      </c>
      <c r="N1583">
        <v>14</v>
      </c>
      <c r="O1583">
        <v>14</v>
      </c>
      <c r="P1583" t="s">
        <v>668</v>
      </c>
      <c r="Q1583" t="s">
        <v>414</v>
      </c>
      <c r="R1583">
        <v>10</v>
      </c>
      <c r="S1583">
        <v>3.22</v>
      </c>
      <c r="T1583">
        <v>347.24799999999999</v>
      </c>
      <c r="V1583">
        <v>347.24799999999999</v>
      </c>
      <c r="W1583" t="s">
        <v>415</v>
      </c>
      <c r="X1583">
        <v>3.8</v>
      </c>
      <c r="Y1583">
        <v>-61.6</v>
      </c>
    </row>
    <row r="1584" spans="1:25" x14ac:dyDescent="0.45">
      <c r="A1584">
        <v>44</v>
      </c>
      <c r="B1584">
        <v>44</v>
      </c>
      <c r="C1584" t="s">
        <v>625</v>
      </c>
      <c r="D1584" t="s">
        <v>414</v>
      </c>
      <c r="E1584">
        <v>10</v>
      </c>
      <c r="F1584">
        <v>3.49</v>
      </c>
      <c r="G1584">
        <v>13480.205</v>
      </c>
      <c r="I1584">
        <v>13480.205</v>
      </c>
      <c r="J1584" t="s">
        <v>415</v>
      </c>
      <c r="K1584">
        <v>13.3</v>
      </c>
      <c r="L1584">
        <v>32.799999999999997</v>
      </c>
      <c r="N1584">
        <v>15</v>
      </c>
      <c r="O1584">
        <v>15</v>
      </c>
      <c r="P1584" t="s">
        <v>669</v>
      </c>
      <c r="Q1584" t="s">
        <v>414</v>
      </c>
      <c r="R1584">
        <v>10</v>
      </c>
      <c r="S1584">
        <v>3.22</v>
      </c>
      <c r="T1584">
        <v>248.83</v>
      </c>
      <c r="V1584">
        <v>248.83</v>
      </c>
      <c r="W1584" t="s">
        <v>415</v>
      </c>
      <c r="X1584">
        <v>2.8</v>
      </c>
      <c r="Y1584">
        <v>-72.5</v>
      </c>
    </row>
    <row r="1585" spans="1:25" x14ac:dyDescent="0.45">
      <c r="A1585">
        <v>45</v>
      </c>
      <c r="B1585">
        <v>45</v>
      </c>
      <c r="C1585" t="s">
        <v>626</v>
      </c>
      <c r="D1585" t="s">
        <v>414</v>
      </c>
      <c r="E1585">
        <v>10</v>
      </c>
      <c r="F1585">
        <v>3.48</v>
      </c>
      <c r="G1585">
        <v>8316.3529999999992</v>
      </c>
      <c r="I1585">
        <v>8316.3529999999992</v>
      </c>
      <c r="J1585" t="s">
        <v>401</v>
      </c>
      <c r="K1585">
        <v>8.1999999999999993</v>
      </c>
      <c r="L1585">
        <v>-18.100000000000001</v>
      </c>
      <c r="N1585">
        <v>16</v>
      </c>
      <c r="O1585">
        <v>16</v>
      </c>
      <c r="P1585" t="s">
        <v>670</v>
      </c>
      <c r="Q1585" t="s">
        <v>414</v>
      </c>
      <c r="R1585">
        <v>10</v>
      </c>
      <c r="S1585">
        <v>3.23</v>
      </c>
      <c r="T1585">
        <v>106.72</v>
      </c>
      <c r="V1585">
        <v>106.72</v>
      </c>
      <c r="W1585" t="s">
        <v>415</v>
      </c>
      <c r="X1585">
        <v>1.2</v>
      </c>
      <c r="Y1585">
        <v>-88.2</v>
      </c>
    </row>
    <row r="1586" spans="1:25" x14ac:dyDescent="0.45">
      <c r="A1586">
        <v>46</v>
      </c>
      <c r="B1586">
        <v>46</v>
      </c>
      <c r="C1586" t="s">
        <v>627</v>
      </c>
      <c r="D1586" t="s">
        <v>414</v>
      </c>
      <c r="E1586">
        <v>10</v>
      </c>
      <c r="F1586">
        <v>3.49</v>
      </c>
      <c r="G1586">
        <v>10062.927</v>
      </c>
      <c r="I1586">
        <v>10062.927</v>
      </c>
      <c r="J1586" t="s">
        <v>401</v>
      </c>
      <c r="K1586">
        <v>9.9</v>
      </c>
      <c r="L1586">
        <v>-0.9</v>
      </c>
      <c r="N1586">
        <v>17</v>
      </c>
      <c r="O1586">
        <v>17</v>
      </c>
      <c r="P1586" t="s">
        <v>671</v>
      </c>
      <c r="Q1586" t="s">
        <v>414</v>
      </c>
      <c r="R1586">
        <v>10</v>
      </c>
      <c r="S1586">
        <v>3.22</v>
      </c>
      <c r="T1586">
        <v>189.721</v>
      </c>
      <c r="V1586">
        <v>189.721</v>
      </c>
      <c r="W1586" t="s">
        <v>415</v>
      </c>
      <c r="X1586">
        <v>2.1</v>
      </c>
      <c r="Y1586">
        <v>-79</v>
      </c>
    </row>
    <row r="1587" spans="1:25" x14ac:dyDescent="0.45">
      <c r="A1587">
        <v>47</v>
      </c>
      <c r="B1587">
        <v>47</v>
      </c>
      <c r="C1587" t="s">
        <v>628</v>
      </c>
      <c r="D1587" t="s">
        <v>414</v>
      </c>
      <c r="E1587">
        <v>10</v>
      </c>
      <c r="F1587">
        <v>3.49</v>
      </c>
      <c r="G1587">
        <v>13091.875</v>
      </c>
      <c r="I1587">
        <v>13091.875</v>
      </c>
      <c r="J1587" t="s">
        <v>401</v>
      </c>
      <c r="K1587">
        <v>12.9</v>
      </c>
      <c r="L1587">
        <v>29</v>
      </c>
      <c r="N1587">
        <v>18</v>
      </c>
      <c r="O1587">
        <v>18</v>
      </c>
      <c r="P1587" t="s">
        <v>672</v>
      </c>
      <c r="Q1587" t="s">
        <v>414</v>
      </c>
      <c r="R1587">
        <v>10</v>
      </c>
      <c r="S1587">
        <v>3.22</v>
      </c>
      <c r="T1587">
        <v>243.15899999999999</v>
      </c>
      <c r="V1587">
        <v>243.15899999999999</v>
      </c>
      <c r="W1587" t="s">
        <v>415</v>
      </c>
      <c r="X1587">
        <v>2.7</v>
      </c>
      <c r="Y1587">
        <v>-73.099999999999994</v>
      </c>
    </row>
    <row r="1588" spans="1:25" x14ac:dyDescent="0.45">
      <c r="A1588">
        <v>48</v>
      </c>
      <c r="B1588">
        <v>48</v>
      </c>
      <c r="C1588" t="s">
        <v>629</v>
      </c>
      <c r="D1588" t="s">
        <v>414</v>
      </c>
      <c r="E1588">
        <v>10</v>
      </c>
      <c r="F1588">
        <v>3.49</v>
      </c>
      <c r="G1588">
        <v>7908.9690000000001</v>
      </c>
      <c r="I1588">
        <v>7908.9690000000001</v>
      </c>
      <c r="J1588" t="s">
        <v>415</v>
      </c>
      <c r="K1588">
        <v>7.8</v>
      </c>
      <c r="L1588">
        <v>-22.1</v>
      </c>
      <c r="N1588">
        <v>19</v>
      </c>
      <c r="O1588">
        <v>19</v>
      </c>
      <c r="P1588" t="s">
        <v>673</v>
      </c>
      <c r="Q1588" t="s">
        <v>414</v>
      </c>
      <c r="R1588">
        <v>10</v>
      </c>
      <c r="S1588">
        <v>3.22</v>
      </c>
      <c r="T1588">
        <v>254.68600000000001</v>
      </c>
      <c r="V1588">
        <v>254.68600000000001</v>
      </c>
      <c r="W1588" t="s">
        <v>415</v>
      </c>
      <c r="X1588">
        <v>2.8</v>
      </c>
      <c r="Y1588">
        <v>-71.8</v>
      </c>
    </row>
    <row r="1589" spans="1:25" x14ac:dyDescent="0.45">
      <c r="A1589">
        <v>49</v>
      </c>
      <c r="B1589">
        <v>49</v>
      </c>
      <c r="C1589" t="s">
        <v>630</v>
      </c>
      <c r="D1589" t="s">
        <v>414</v>
      </c>
      <c r="E1589">
        <v>10</v>
      </c>
      <c r="F1589">
        <v>3.48</v>
      </c>
      <c r="G1589">
        <v>12317.147000000001</v>
      </c>
      <c r="I1589">
        <v>12317.147000000001</v>
      </c>
      <c r="J1589" t="s">
        <v>415</v>
      </c>
      <c r="K1589">
        <v>12.1</v>
      </c>
      <c r="L1589">
        <v>21.3</v>
      </c>
      <c r="N1589">
        <v>20</v>
      </c>
      <c r="O1589">
        <v>20</v>
      </c>
      <c r="P1589" t="s">
        <v>674</v>
      </c>
      <c r="Q1589" t="s">
        <v>414</v>
      </c>
      <c r="R1589">
        <v>10</v>
      </c>
      <c r="S1589">
        <v>3.22</v>
      </c>
      <c r="T1589">
        <v>289.88600000000002</v>
      </c>
      <c r="V1589">
        <v>289.88600000000002</v>
      </c>
      <c r="W1589" t="s">
        <v>415</v>
      </c>
      <c r="X1589">
        <v>3.2</v>
      </c>
      <c r="Y1589">
        <v>-67.900000000000006</v>
      </c>
    </row>
    <row r="1590" spans="1:25" x14ac:dyDescent="0.45">
      <c r="A1590">
        <v>50</v>
      </c>
      <c r="B1590">
        <v>50</v>
      </c>
      <c r="C1590" t="s">
        <v>631</v>
      </c>
      <c r="D1590" t="s">
        <v>414</v>
      </c>
      <c r="E1590">
        <v>10</v>
      </c>
      <c r="F1590">
        <v>3.48</v>
      </c>
      <c r="G1590">
        <v>7668.3209999999999</v>
      </c>
      <c r="I1590">
        <v>7668.3209999999999</v>
      </c>
      <c r="J1590" t="s">
        <v>415</v>
      </c>
      <c r="K1590">
        <v>7.6</v>
      </c>
      <c r="L1590">
        <v>-24.5</v>
      </c>
      <c r="N1590">
        <v>21</v>
      </c>
      <c r="O1590">
        <v>21</v>
      </c>
      <c r="P1590" t="s">
        <v>675</v>
      </c>
      <c r="Q1590" t="s">
        <v>414</v>
      </c>
      <c r="R1590">
        <v>10</v>
      </c>
      <c r="S1590">
        <v>3.22</v>
      </c>
      <c r="T1590">
        <v>276.721</v>
      </c>
      <c r="V1590">
        <v>276.721</v>
      </c>
      <c r="W1590" t="s">
        <v>415</v>
      </c>
      <c r="X1590">
        <v>3.1</v>
      </c>
      <c r="Y1590">
        <v>-69.400000000000006</v>
      </c>
    </row>
    <row r="1591" spans="1:25" x14ac:dyDescent="0.45">
      <c r="A1591">
        <v>51</v>
      </c>
      <c r="B1591">
        <v>51</v>
      </c>
      <c r="C1591" t="s">
        <v>632</v>
      </c>
      <c r="D1591" t="s">
        <v>414</v>
      </c>
      <c r="E1591">
        <v>10</v>
      </c>
      <c r="F1591">
        <v>3.49</v>
      </c>
      <c r="G1591">
        <v>5886.7709999999997</v>
      </c>
      <c r="I1591">
        <v>5886.7709999999997</v>
      </c>
      <c r="J1591" t="s">
        <v>401</v>
      </c>
      <c r="K1591">
        <v>5.8</v>
      </c>
      <c r="L1591">
        <v>-42</v>
      </c>
      <c r="N1591">
        <v>22</v>
      </c>
      <c r="O1591">
        <v>22</v>
      </c>
      <c r="P1591" t="s">
        <v>676</v>
      </c>
      <c r="Q1591" t="s">
        <v>414</v>
      </c>
      <c r="R1591">
        <v>10</v>
      </c>
      <c r="S1591">
        <v>3.22</v>
      </c>
      <c r="T1591">
        <v>187.16499999999999</v>
      </c>
      <c r="V1591">
        <v>187.16499999999999</v>
      </c>
      <c r="W1591" t="s">
        <v>415</v>
      </c>
      <c r="X1591">
        <v>2.1</v>
      </c>
      <c r="Y1591">
        <v>-79.3</v>
      </c>
    </row>
    <row r="1592" spans="1:25" x14ac:dyDescent="0.45">
      <c r="A1592">
        <v>52</v>
      </c>
      <c r="B1592">
        <v>52</v>
      </c>
      <c r="C1592" t="s">
        <v>633</v>
      </c>
      <c r="D1592" t="s">
        <v>414</v>
      </c>
      <c r="E1592">
        <v>10</v>
      </c>
      <c r="F1592">
        <v>3.49</v>
      </c>
      <c r="G1592">
        <v>8466.7829999999994</v>
      </c>
      <c r="I1592">
        <v>8466.7829999999994</v>
      </c>
      <c r="J1592" t="s">
        <v>415</v>
      </c>
      <c r="K1592">
        <v>8.3000000000000007</v>
      </c>
      <c r="L1592">
        <v>-16.600000000000001</v>
      </c>
      <c r="N1592">
        <v>23</v>
      </c>
      <c r="O1592">
        <v>23</v>
      </c>
      <c r="P1592" t="s">
        <v>677</v>
      </c>
      <c r="Q1592" t="s">
        <v>414</v>
      </c>
      <c r="R1592">
        <v>10</v>
      </c>
      <c r="S1592">
        <v>3.23</v>
      </c>
      <c r="T1592">
        <v>292.31599999999997</v>
      </c>
      <c r="V1592">
        <v>292.31599999999997</v>
      </c>
      <c r="W1592" t="s">
        <v>415</v>
      </c>
      <c r="X1592">
        <v>3.2</v>
      </c>
      <c r="Y1592">
        <v>-67.7</v>
      </c>
    </row>
    <row r="1593" spans="1:25" x14ac:dyDescent="0.45">
      <c r="A1593">
        <v>53</v>
      </c>
      <c r="B1593">
        <v>53</v>
      </c>
      <c r="C1593" t="s">
        <v>634</v>
      </c>
      <c r="D1593" t="s">
        <v>414</v>
      </c>
      <c r="E1593">
        <v>10</v>
      </c>
      <c r="F1593">
        <v>3.49</v>
      </c>
      <c r="G1593">
        <v>12801.722</v>
      </c>
      <c r="I1593">
        <v>12801.722</v>
      </c>
      <c r="J1593" t="s">
        <v>401</v>
      </c>
      <c r="K1593">
        <v>12.6</v>
      </c>
      <c r="L1593">
        <v>26.1</v>
      </c>
      <c r="N1593">
        <v>24</v>
      </c>
      <c r="O1593">
        <v>24</v>
      </c>
      <c r="P1593" t="s">
        <v>678</v>
      </c>
      <c r="Q1593" t="s">
        <v>414</v>
      </c>
      <c r="R1593">
        <v>10</v>
      </c>
      <c r="S1593">
        <v>3.22</v>
      </c>
      <c r="T1593">
        <v>170.67699999999999</v>
      </c>
      <c r="V1593">
        <v>170.67699999999999</v>
      </c>
      <c r="W1593" t="s">
        <v>415</v>
      </c>
      <c r="X1593">
        <v>1.9</v>
      </c>
      <c r="Y1593">
        <v>-81.099999999999994</v>
      </c>
    </row>
    <row r="1594" spans="1:25" x14ac:dyDescent="0.45">
      <c r="A1594">
        <v>54</v>
      </c>
      <c r="B1594">
        <v>54</v>
      </c>
      <c r="C1594" t="s">
        <v>635</v>
      </c>
      <c r="D1594" t="s">
        <v>414</v>
      </c>
      <c r="E1594">
        <v>10</v>
      </c>
      <c r="F1594">
        <v>3.48</v>
      </c>
      <c r="G1594">
        <v>4562.2160000000003</v>
      </c>
      <c r="I1594">
        <v>4562.2160000000003</v>
      </c>
      <c r="J1594" t="s">
        <v>415</v>
      </c>
      <c r="K1594">
        <v>4.5</v>
      </c>
      <c r="L1594">
        <v>-55.1</v>
      </c>
      <c r="N1594">
        <v>25</v>
      </c>
      <c r="O1594">
        <v>25</v>
      </c>
      <c r="P1594" t="s">
        <v>679</v>
      </c>
      <c r="Q1594" t="s">
        <v>414</v>
      </c>
      <c r="R1594">
        <v>10</v>
      </c>
      <c r="S1594">
        <v>3.23</v>
      </c>
      <c r="T1594">
        <v>98.522999999999996</v>
      </c>
      <c r="V1594">
        <v>98.522999999999996</v>
      </c>
      <c r="W1594" t="s">
        <v>415</v>
      </c>
      <c r="X1594">
        <v>1.1000000000000001</v>
      </c>
      <c r="Y1594">
        <v>-89.1</v>
      </c>
    </row>
    <row r="1595" spans="1:25" x14ac:dyDescent="0.45">
      <c r="A1595">
        <v>55</v>
      </c>
      <c r="B1595">
        <v>55</v>
      </c>
      <c r="C1595" t="s">
        <v>636</v>
      </c>
      <c r="D1595" t="s">
        <v>414</v>
      </c>
      <c r="E1595">
        <v>10</v>
      </c>
      <c r="F1595">
        <v>3.48</v>
      </c>
      <c r="G1595">
        <v>6804.223</v>
      </c>
      <c r="I1595">
        <v>6804.223</v>
      </c>
      <c r="J1595" t="s">
        <v>415</v>
      </c>
      <c r="K1595">
        <v>6.7</v>
      </c>
      <c r="L1595">
        <v>-33</v>
      </c>
      <c r="N1595">
        <v>26</v>
      </c>
      <c r="O1595">
        <v>26</v>
      </c>
      <c r="P1595" t="s">
        <v>680</v>
      </c>
      <c r="Q1595" t="s">
        <v>414</v>
      </c>
      <c r="R1595">
        <v>10</v>
      </c>
      <c r="S1595">
        <v>3.23</v>
      </c>
      <c r="T1595">
        <v>149.94</v>
      </c>
      <c r="V1595">
        <v>149.94</v>
      </c>
      <c r="W1595" t="s">
        <v>415</v>
      </c>
      <c r="X1595">
        <v>1.7</v>
      </c>
      <c r="Y1595">
        <v>-83.4</v>
      </c>
    </row>
    <row r="1596" spans="1:25" x14ac:dyDescent="0.45">
      <c r="A1596">
        <v>56</v>
      </c>
      <c r="B1596">
        <v>56</v>
      </c>
      <c r="C1596" t="s">
        <v>637</v>
      </c>
      <c r="D1596" t="s">
        <v>414</v>
      </c>
      <c r="E1596">
        <v>10</v>
      </c>
      <c r="F1596">
        <v>3.49</v>
      </c>
      <c r="G1596">
        <v>12596.437</v>
      </c>
      <c r="I1596">
        <v>12596.437</v>
      </c>
      <c r="J1596" t="s">
        <v>403</v>
      </c>
      <c r="K1596">
        <v>12.4</v>
      </c>
      <c r="L1596">
        <v>24.1</v>
      </c>
      <c r="N1596">
        <v>27</v>
      </c>
      <c r="O1596">
        <v>27</v>
      </c>
      <c r="P1596" t="s">
        <v>681</v>
      </c>
      <c r="Q1596" t="s">
        <v>414</v>
      </c>
      <c r="R1596">
        <v>10</v>
      </c>
      <c r="S1596">
        <v>3.22</v>
      </c>
      <c r="T1596">
        <v>159.465</v>
      </c>
      <c r="V1596">
        <v>159.465</v>
      </c>
      <c r="W1596" t="s">
        <v>415</v>
      </c>
      <c r="X1596">
        <v>1.8</v>
      </c>
      <c r="Y1596">
        <v>-82.4</v>
      </c>
    </row>
    <row r="1597" spans="1:25" x14ac:dyDescent="0.45">
      <c r="A1597">
        <v>57</v>
      </c>
      <c r="B1597">
        <v>57</v>
      </c>
      <c r="C1597" t="s">
        <v>638</v>
      </c>
      <c r="D1597" t="s">
        <v>414</v>
      </c>
      <c r="E1597">
        <v>10</v>
      </c>
      <c r="F1597">
        <v>3.49</v>
      </c>
      <c r="G1597">
        <v>4367.3019999999997</v>
      </c>
      <c r="I1597">
        <v>4367.3019999999997</v>
      </c>
      <c r="J1597" t="s">
        <v>415</v>
      </c>
      <c r="K1597">
        <v>4.3</v>
      </c>
      <c r="L1597">
        <v>-57</v>
      </c>
      <c r="N1597">
        <v>28</v>
      </c>
      <c r="O1597">
        <v>28</v>
      </c>
      <c r="P1597" t="s">
        <v>682</v>
      </c>
      <c r="Q1597" t="s">
        <v>414</v>
      </c>
      <c r="R1597">
        <v>10</v>
      </c>
      <c r="S1597">
        <v>3.22</v>
      </c>
      <c r="T1597">
        <v>187.577</v>
      </c>
      <c r="V1597">
        <v>187.577</v>
      </c>
      <c r="W1597" t="s">
        <v>415</v>
      </c>
      <c r="X1597">
        <v>2.1</v>
      </c>
      <c r="Y1597">
        <v>-79.3</v>
      </c>
    </row>
    <row r="1598" spans="1:25" x14ac:dyDescent="0.45">
      <c r="A1598">
        <v>58</v>
      </c>
      <c r="B1598">
        <v>58</v>
      </c>
      <c r="C1598" t="s">
        <v>639</v>
      </c>
      <c r="D1598" t="s">
        <v>414</v>
      </c>
      <c r="E1598">
        <v>10</v>
      </c>
      <c r="F1598">
        <v>3.48</v>
      </c>
      <c r="G1598">
        <v>4598.2560000000003</v>
      </c>
      <c r="I1598">
        <v>4598.2560000000003</v>
      </c>
      <c r="J1598" t="s">
        <v>415</v>
      </c>
      <c r="K1598">
        <v>4.5</v>
      </c>
      <c r="L1598">
        <v>-54.7</v>
      </c>
      <c r="N1598">
        <v>29</v>
      </c>
      <c r="O1598">
        <v>29</v>
      </c>
      <c r="P1598" t="s">
        <v>683</v>
      </c>
      <c r="Q1598" t="s">
        <v>414</v>
      </c>
      <c r="R1598">
        <v>10</v>
      </c>
      <c r="S1598">
        <v>3.23</v>
      </c>
      <c r="T1598">
        <v>188.78700000000001</v>
      </c>
      <c r="V1598">
        <v>188.78700000000001</v>
      </c>
      <c r="W1598" t="s">
        <v>415</v>
      </c>
      <c r="X1598">
        <v>2.1</v>
      </c>
      <c r="Y1598">
        <v>-79.099999999999994</v>
      </c>
    </row>
    <row r="1599" spans="1:25" x14ac:dyDescent="0.45">
      <c r="A1599">
        <v>59</v>
      </c>
      <c r="B1599">
        <v>59</v>
      </c>
      <c r="C1599" t="s">
        <v>640</v>
      </c>
      <c r="D1599" t="s">
        <v>414</v>
      </c>
      <c r="E1599">
        <v>10</v>
      </c>
      <c r="F1599">
        <v>3.48</v>
      </c>
      <c r="G1599">
        <v>7389.79</v>
      </c>
      <c r="I1599">
        <v>7389.79</v>
      </c>
      <c r="J1599" t="s">
        <v>415</v>
      </c>
      <c r="K1599">
        <v>7.3</v>
      </c>
      <c r="L1599">
        <v>-27.2</v>
      </c>
      <c r="N1599">
        <v>30</v>
      </c>
      <c r="O1599">
        <v>30</v>
      </c>
      <c r="P1599" t="s">
        <v>684</v>
      </c>
      <c r="Q1599" t="s">
        <v>414</v>
      </c>
      <c r="R1599">
        <v>10</v>
      </c>
      <c r="S1599">
        <v>3.23</v>
      </c>
      <c r="T1599">
        <v>182.20099999999999</v>
      </c>
      <c r="V1599">
        <v>182.20099999999999</v>
      </c>
      <c r="W1599" t="s">
        <v>415</v>
      </c>
      <c r="X1599">
        <v>2</v>
      </c>
      <c r="Y1599">
        <v>-79.900000000000006</v>
      </c>
    </row>
    <row r="1600" spans="1:25" x14ac:dyDescent="0.45">
      <c r="A1600">
        <v>60</v>
      </c>
      <c r="B1600">
        <v>60</v>
      </c>
      <c r="C1600" t="s">
        <v>641</v>
      </c>
      <c r="D1600" t="s">
        <v>414</v>
      </c>
      <c r="E1600">
        <v>10</v>
      </c>
      <c r="F1600">
        <v>3.49</v>
      </c>
      <c r="G1600">
        <v>6736.4989999999998</v>
      </c>
      <c r="I1600">
        <v>6736.4989999999998</v>
      </c>
      <c r="J1600" t="s">
        <v>415</v>
      </c>
      <c r="K1600">
        <v>6.6</v>
      </c>
      <c r="L1600">
        <v>-33.6</v>
      </c>
      <c r="N1600">
        <v>31</v>
      </c>
      <c r="O1600">
        <v>31</v>
      </c>
      <c r="P1600" t="s">
        <v>685</v>
      </c>
      <c r="Q1600" t="s">
        <v>414</v>
      </c>
      <c r="R1600">
        <v>10</v>
      </c>
      <c r="S1600">
        <v>3.23</v>
      </c>
      <c r="T1600">
        <v>291.57499999999999</v>
      </c>
      <c r="V1600">
        <v>291.57499999999999</v>
      </c>
      <c r="W1600" t="s">
        <v>415</v>
      </c>
      <c r="X1600">
        <v>3.2</v>
      </c>
      <c r="Y1600">
        <v>-67.8</v>
      </c>
    </row>
    <row r="1601" spans="1:25" x14ac:dyDescent="0.45">
      <c r="A1601">
        <v>61</v>
      </c>
      <c r="B1601">
        <v>61</v>
      </c>
      <c r="C1601" t="s">
        <v>642</v>
      </c>
      <c r="D1601" t="s">
        <v>414</v>
      </c>
      <c r="E1601">
        <v>10</v>
      </c>
      <c r="F1601">
        <v>3.48</v>
      </c>
      <c r="G1601">
        <v>9136.7260000000006</v>
      </c>
      <c r="I1601">
        <v>9136.7260000000006</v>
      </c>
      <c r="J1601" t="s">
        <v>403</v>
      </c>
      <c r="K1601">
        <v>9</v>
      </c>
      <c r="L1601">
        <v>-10</v>
      </c>
      <c r="N1601">
        <v>32</v>
      </c>
      <c r="O1601">
        <v>32</v>
      </c>
      <c r="P1601" t="s">
        <v>686</v>
      </c>
      <c r="Q1601" t="s">
        <v>414</v>
      </c>
      <c r="R1601">
        <v>10</v>
      </c>
      <c r="S1601">
        <v>3.22</v>
      </c>
      <c r="T1601">
        <v>486.84800000000001</v>
      </c>
      <c r="V1601">
        <v>486.84800000000001</v>
      </c>
      <c r="W1601" t="s">
        <v>415</v>
      </c>
      <c r="X1601">
        <v>5.4</v>
      </c>
      <c r="Y1601">
        <v>-46.2</v>
      </c>
    </row>
    <row r="1602" spans="1:25" x14ac:dyDescent="0.45">
      <c r="A1602">
        <v>62</v>
      </c>
      <c r="B1602">
        <v>62</v>
      </c>
      <c r="C1602" t="s">
        <v>643</v>
      </c>
      <c r="D1602" t="s">
        <v>414</v>
      </c>
      <c r="E1602">
        <v>10</v>
      </c>
      <c r="F1602">
        <v>3.49</v>
      </c>
      <c r="G1602">
        <v>11028.638000000001</v>
      </c>
      <c r="I1602">
        <v>11028.638000000001</v>
      </c>
      <c r="J1602" t="s">
        <v>415</v>
      </c>
      <c r="K1602">
        <v>10.9</v>
      </c>
      <c r="L1602">
        <v>8.6999999999999993</v>
      </c>
      <c r="N1602">
        <v>33</v>
      </c>
      <c r="O1602">
        <v>33</v>
      </c>
      <c r="P1602" t="s">
        <v>687</v>
      </c>
      <c r="Q1602" t="s">
        <v>414</v>
      </c>
      <c r="R1602">
        <v>10</v>
      </c>
      <c r="S1602">
        <v>3.22</v>
      </c>
      <c r="T1602">
        <v>284.76100000000002</v>
      </c>
      <c r="V1602">
        <v>284.76100000000002</v>
      </c>
      <c r="W1602" t="s">
        <v>415</v>
      </c>
      <c r="X1602">
        <v>3.1</v>
      </c>
      <c r="Y1602">
        <v>-68.5</v>
      </c>
    </row>
    <row r="1603" spans="1:25" x14ac:dyDescent="0.45">
      <c r="A1603">
        <v>63</v>
      </c>
      <c r="B1603">
        <v>63</v>
      </c>
      <c r="C1603" t="s">
        <v>644</v>
      </c>
      <c r="D1603" t="s">
        <v>414</v>
      </c>
      <c r="E1603">
        <v>10</v>
      </c>
      <c r="F1603">
        <v>3.49</v>
      </c>
      <c r="G1603">
        <v>6764.48</v>
      </c>
      <c r="I1603">
        <v>6764.48</v>
      </c>
      <c r="J1603" t="s">
        <v>401</v>
      </c>
      <c r="K1603">
        <v>6.7</v>
      </c>
      <c r="L1603">
        <v>-33.4</v>
      </c>
      <c r="N1603">
        <v>34</v>
      </c>
      <c r="O1603">
        <v>34</v>
      </c>
      <c r="P1603" t="s">
        <v>688</v>
      </c>
      <c r="Q1603" t="s">
        <v>414</v>
      </c>
      <c r="R1603">
        <v>10</v>
      </c>
      <c r="S1603">
        <v>3.23</v>
      </c>
      <c r="T1603">
        <v>395.99799999999999</v>
      </c>
      <c r="V1603">
        <v>395.99799999999999</v>
      </c>
      <c r="W1603" t="s">
        <v>415</v>
      </c>
      <c r="X1603">
        <v>4.4000000000000004</v>
      </c>
      <c r="Y1603">
        <v>-56.2</v>
      </c>
    </row>
    <row r="1604" spans="1:25" x14ac:dyDescent="0.45">
      <c r="A1604">
        <v>64</v>
      </c>
      <c r="B1604">
        <v>64</v>
      </c>
      <c r="C1604" t="s">
        <v>645</v>
      </c>
      <c r="D1604" t="s">
        <v>414</v>
      </c>
      <c r="E1604">
        <v>10</v>
      </c>
      <c r="F1604">
        <v>3.49</v>
      </c>
      <c r="G1604">
        <v>4890.97</v>
      </c>
      <c r="I1604">
        <v>4890.97</v>
      </c>
      <c r="J1604" t="s">
        <v>415</v>
      </c>
      <c r="K1604">
        <v>4.8</v>
      </c>
      <c r="L1604">
        <v>-51.8</v>
      </c>
      <c r="N1604">
        <v>35</v>
      </c>
      <c r="O1604">
        <v>35</v>
      </c>
      <c r="P1604" t="s">
        <v>689</v>
      </c>
      <c r="Q1604" t="s">
        <v>414</v>
      </c>
      <c r="R1604">
        <v>10</v>
      </c>
      <c r="S1604">
        <v>3.23</v>
      </c>
      <c r="T1604">
        <v>318.411</v>
      </c>
      <c r="V1604">
        <v>318.411</v>
      </c>
      <c r="W1604" t="s">
        <v>415</v>
      </c>
      <c r="X1604">
        <v>3.5</v>
      </c>
      <c r="Y1604">
        <v>-64.8</v>
      </c>
    </row>
    <row r="1605" spans="1:25" x14ac:dyDescent="0.45">
      <c r="A1605">
        <v>65</v>
      </c>
      <c r="B1605">
        <v>65</v>
      </c>
      <c r="C1605" t="s">
        <v>646</v>
      </c>
      <c r="D1605" t="s">
        <v>414</v>
      </c>
      <c r="E1605">
        <v>10</v>
      </c>
      <c r="F1605">
        <v>3.49</v>
      </c>
      <c r="G1605">
        <v>5323.9110000000001</v>
      </c>
      <c r="I1605">
        <v>5323.9110000000001</v>
      </c>
      <c r="J1605" t="s">
        <v>415</v>
      </c>
      <c r="K1605">
        <v>5.2</v>
      </c>
      <c r="L1605">
        <v>-47.5</v>
      </c>
      <c r="N1605">
        <v>36</v>
      </c>
      <c r="O1605">
        <v>36</v>
      </c>
      <c r="P1605" t="s">
        <v>690</v>
      </c>
      <c r="Q1605" t="s">
        <v>414</v>
      </c>
      <c r="R1605">
        <v>10</v>
      </c>
      <c r="S1605">
        <v>3.23</v>
      </c>
      <c r="T1605">
        <v>264.93900000000002</v>
      </c>
      <c r="V1605">
        <v>264.93900000000002</v>
      </c>
      <c r="W1605" t="s">
        <v>415</v>
      </c>
      <c r="X1605">
        <v>2.9</v>
      </c>
      <c r="Y1605">
        <v>-70.7</v>
      </c>
    </row>
    <row r="1606" spans="1:25" x14ac:dyDescent="0.45">
      <c r="A1606">
        <v>66</v>
      </c>
      <c r="B1606">
        <v>66</v>
      </c>
      <c r="C1606" t="s">
        <v>647</v>
      </c>
      <c r="D1606" t="s">
        <v>414</v>
      </c>
      <c r="E1606">
        <v>10</v>
      </c>
      <c r="F1606">
        <v>3.49</v>
      </c>
      <c r="G1606">
        <v>9245.6080000000002</v>
      </c>
      <c r="I1606">
        <v>9245.6080000000002</v>
      </c>
      <c r="J1606" t="s">
        <v>403</v>
      </c>
      <c r="K1606">
        <v>9.1</v>
      </c>
      <c r="L1606">
        <v>-8.9</v>
      </c>
      <c r="N1606">
        <v>37</v>
      </c>
      <c r="O1606">
        <v>37</v>
      </c>
      <c r="P1606" t="s">
        <v>691</v>
      </c>
      <c r="Q1606" t="s">
        <v>414</v>
      </c>
      <c r="R1606">
        <v>10</v>
      </c>
      <c r="S1606">
        <v>3.23</v>
      </c>
      <c r="T1606">
        <v>237.584</v>
      </c>
      <c r="V1606">
        <v>237.584</v>
      </c>
      <c r="W1606" t="s">
        <v>415</v>
      </c>
      <c r="X1606">
        <v>2.6</v>
      </c>
      <c r="Y1606">
        <v>-73.7</v>
      </c>
    </row>
    <row r="1607" spans="1:25" x14ac:dyDescent="0.45">
      <c r="A1607">
        <v>67</v>
      </c>
      <c r="B1607">
        <v>67</v>
      </c>
      <c r="C1607" t="s">
        <v>648</v>
      </c>
      <c r="D1607" t="s">
        <v>414</v>
      </c>
      <c r="E1607">
        <v>10</v>
      </c>
      <c r="F1607">
        <v>3.48</v>
      </c>
      <c r="G1607">
        <v>5212.9709999999995</v>
      </c>
      <c r="I1607">
        <v>5212.9709999999995</v>
      </c>
      <c r="J1607" t="s">
        <v>415</v>
      </c>
      <c r="K1607">
        <v>5.0999999999999996</v>
      </c>
      <c r="L1607">
        <v>-48.6</v>
      </c>
      <c r="N1607">
        <v>38</v>
      </c>
      <c r="O1607">
        <v>38</v>
      </c>
      <c r="P1607" t="s">
        <v>692</v>
      </c>
      <c r="Q1607" t="s">
        <v>414</v>
      </c>
      <c r="R1607">
        <v>10</v>
      </c>
      <c r="S1607">
        <v>3.22</v>
      </c>
      <c r="T1607">
        <v>296.11200000000002</v>
      </c>
      <c r="V1607">
        <v>296.11200000000002</v>
      </c>
      <c r="W1607" t="s">
        <v>415</v>
      </c>
      <c r="X1607">
        <v>3.3</v>
      </c>
      <c r="Y1607">
        <v>-67.3</v>
      </c>
    </row>
    <row r="1608" spans="1:25" x14ac:dyDescent="0.45">
      <c r="A1608">
        <v>68</v>
      </c>
      <c r="B1608">
        <v>68</v>
      </c>
      <c r="C1608" t="s">
        <v>649</v>
      </c>
      <c r="D1608" t="s">
        <v>414</v>
      </c>
      <c r="E1608">
        <v>10</v>
      </c>
      <c r="F1608">
        <v>3.49</v>
      </c>
      <c r="G1608">
        <v>5724.7479999999996</v>
      </c>
      <c r="I1608">
        <v>5724.7479999999996</v>
      </c>
      <c r="J1608" t="s">
        <v>415</v>
      </c>
      <c r="K1608">
        <v>5.6</v>
      </c>
      <c r="L1608">
        <v>-43.6</v>
      </c>
      <c r="N1608">
        <v>39</v>
      </c>
      <c r="O1608">
        <v>39</v>
      </c>
      <c r="P1608" t="s">
        <v>693</v>
      </c>
      <c r="Q1608" t="s">
        <v>414</v>
      </c>
      <c r="R1608">
        <v>10</v>
      </c>
      <c r="S1608">
        <v>3.23</v>
      </c>
      <c r="T1608">
        <v>365.27699999999999</v>
      </c>
      <c r="V1608">
        <v>365.27699999999999</v>
      </c>
      <c r="W1608" t="s">
        <v>415</v>
      </c>
      <c r="X1608">
        <v>4</v>
      </c>
      <c r="Y1608">
        <v>-59.6</v>
      </c>
    </row>
    <row r="1609" spans="1:25" x14ac:dyDescent="0.45">
      <c r="A1609">
        <v>69</v>
      </c>
      <c r="B1609">
        <v>69</v>
      </c>
      <c r="C1609" t="s">
        <v>650</v>
      </c>
      <c r="D1609" t="s">
        <v>414</v>
      </c>
      <c r="E1609">
        <v>10</v>
      </c>
      <c r="F1609">
        <v>3.48</v>
      </c>
      <c r="G1609">
        <v>9387.3009999999995</v>
      </c>
      <c r="I1609">
        <v>9387.3009999999995</v>
      </c>
      <c r="J1609" t="s">
        <v>415</v>
      </c>
      <c r="K1609">
        <v>9.1999999999999993</v>
      </c>
      <c r="L1609">
        <v>-7.5</v>
      </c>
      <c r="N1609">
        <v>40</v>
      </c>
      <c r="O1609">
        <v>40</v>
      </c>
      <c r="P1609" t="s">
        <v>694</v>
      </c>
      <c r="Q1609" t="s">
        <v>414</v>
      </c>
      <c r="R1609">
        <v>10</v>
      </c>
      <c r="S1609">
        <v>3.22</v>
      </c>
      <c r="T1609">
        <v>618.79499999999996</v>
      </c>
      <c r="V1609">
        <v>618.79499999999996</v>
      </c>
      <c r="W1609" t="s">
        <v>415</v>
      </c>
      <c r="X1609">
        <v>6.8</v>
      </c>
      <c r="Y1609">
        <v>-31.6</v>
      </c>
    </row>
    <row r="1610" spans="1:25" x14ac:dyDescent="0.45">
      <c r="N1610">
        <v>41</v>
      </c>
      <c r="O1610">
        <v>41</v>
      </c>
      <c r="P1610" t="s">
        <v>695</v>
      </c>
      <c r="Q1610" t="s">
        <v>414</v>
      </c>
      <c r="R1610">
        <v>10</v>
      </c>
      <c r="S1610">
        <v>3.23</v>
      </c>
      <c r="T1610">
        <v>583.34299999999996</v>
      </c>
      <c r="V1610">
        <v>583.34299999999996</v>
      </c>
      <c r="W1610" t="s">
        <v>415</v>
      </c>
      <c r="X1610">
        <v>6.5</v>
      </c>
      <c r="Y1610">
        <v>-35.5</v>
      </c>
    </row>
    <row r="1611" spans="1:25" x14ac:dyDescent="0.45">
      <c r="A1611" t="s">
        <v>508</v>
      </c>
      <c r="N1611">
        <v>42</v>
      </c>
      <c r="O1611">
        <v>42</v>
      </c>
      <c r="P1611" t="s">
        <v>696</v>
      </c>
      <c r="Q1611" t="s">
        <v>414</v>
      </c>
      <c r="R1611">
        <v>10</v>
      </c>
      <c r="S1611">
        <v>3.23</v>
      </c>
      <c r="T1611">
        <v>418.34</v>
      </c>
      <c r="V1611">
        <v>418.34</v>
      </c>
      <c r="W1611" t="s">
        <v>415</v>
      </c>
      <c r="X1611">
        <v>4.5999999999999996</v>
      </c>
      <c r="Y1611">
        <v>-53.7</v>
      </c>
    </row>
    <row r="1612" spans="1:25" x14ac:dyDescent="0.45">
      <c r="N1612">
        <v>43</v>
      </c>
      <c r="O1612">
        <v>43</v>
      </c>
      <c r="P1612" t="s">
        <v>697</v>
      </c>
      <c r="Q1612" t="s">
        <v>414</v>
      </c>
      <c r="R1612">
        <v>10</v>
      </c>
      <c r="S1612">
        <v>3.23</v>
      </c>
      <c r="T1612">
        <v>590.21699999999998</v>
      </c>
      <c r="V1612">
        <v>590.21699999999998</v>
      </c>
      <c r="W1612" t="s">
        <v>415</v>
      </c>
      <c r="X1612">
        <v>6.5</v>
      </c>
      <c r="Y1612">
        <v>-34.700000000000003</v>
      </c>
    </row>
    <row r="1613" spans="1:25" x14ac:dyDescent="0.45">
      <c r="B1613" t="s">
        <v>389</v>
      </c>
      <c r="C1613" t="s">
        <v>123</v>
      </c>
      <c r="D1613" t="s">
        <v>390</v>
      </c>
      <c r="E1613" t="s">
        <v>391</v>
      </c>
      <c r="F1613" t="s">
        <v>392</v>
      </c>
      <c r="G1613" t="s">
        <v>393</v>
      </c>
      <c r="H1613" t="s">
        <v>394</v>
      </c>
      <c r="I1613" t="s">
        <v>395</v>
      </c>
      <c r="J1613" t="s">
        <v>396</v>
      </c>
      <c r="K1613" t="s">
        <v>397</v>
      </c>
      <c r="L1613" t="s">
        <v>398</v>
      </c>
      <c r="N1613">
        <v>44</v>
      </c>
      <c r="O1613">
        <v>44</v>
      </c>
      <c r="P1613" t="s">
        <v>698</v>
      </c>
      <c r="Q1613" t="s">
        <v>414</v>
      </c>
      <c r="R1613">
        <v>10</v>
      </c>
      <c r="S1613">
        <v>3.22</v>
      </c>
      <c r="T1613">
        <v>436.15100000000001</v>
      </c>
      <c r="V1613">
        <v>436.15100000000001</v>
      </c>
      <c r="W1613" t="s">
        <v>415</v>
      </c>
      <c r="X1613">
        <v>4.8</v>
      </c>
      <c r="Y1613">
        <v>-51.8</v>
      </c>
    </row>
    <row r="1614" spans="1:25" x14ac:dyDescent="0.45">
      <c r="A1614">
        <v>1</v>
      </c>
      <c r="B1614">
        <v>1</v>
      </c>
      <c r="C1614" t="s">
        <v>582</v>
      </c>
      <c r="D1614" t="s">
        <v>400</v>
      </c>
      <c r="E1614">
        <v>10</v>
      </c>
      <c r="F1614">
        <v>3.23</v>
      </c>
      <c r="G1614">
        <v>597.56899999999996</v>
      </c>
      <c r="I1614">
        <v>597.56899999999996</v>
      </c>
      <c r="J1614" t="s">
        <v>415</v>
      </c>
      <c r="K1614">
        <v>8.3000000000000007</v>
      </c>
      <c r="L1614">
        <v>-16.5</v>
      </c>
      <c r="N1614">
        <v>45</v>
      </c>
      <c r="O1614">
        <v>45</v>
      </c>
      <c r="P1614" t="s">
        <v>699</v>
      </c>
      <c r="Q1614" t="s">
        <v>414</v>
      </c>
      <c r="R1614">
        <v>10</v>
      </c>
      <c r="S1614">
        <v>3.22</v>
      </c>
      <c r="T1614">
        <v>279.17599999999999</v>
      </c>
      <c r="V1614">
        <v>279.17599999999999</v>
      </c>
      <c r="W1614" t="s">
        <v>415</v>
      </c>
      <c r="X1614">
        <v>3.1</v>
      </c>
      <c r="Y1614">
        <v>-69.099999999999994</v>
      </c>
    </row>
    <row r="1615" spans="1:25" x14ac:dyDescent="0.45">
      <c r="A1615">
        <v>2</v>
      </c>
      <c r="B1615">
        <v>2</v>
      </c>
      <c r="C1615" t="s">
        <v>583</v>
      </c>
      <c r="D1615" t="s">
        <v>400</v>
      </c>
      <c r="E1615">
        <v>10</v>
      </c>
      <c r="F1615">
        <v>3.23</v>
      </c>
      <c r="G1615">
        <v>748.26800000000003</v>
      </c>
      <c r="I1615">
        <v>748.26800000000003</v>
      </c>
      <c r="J1615" t="s">
        <v>401</v>
      </c>
      <c r="K1615">
        <v>10.5</v>
      </c>
      <c r="L1615">
        <v>4.5</v>
      </c>
      <c r="N1615">
        <v>46</v>
      </c>
      <c r="O1615">
        <v>46</v>
      </c>
      <c r="P1615" t="s">
        <v>700</v>
      </c>
      <c r="Q1615" t="s">
        <v>414</v>
      </c>
      <c r="R1615">
        <v>10</v>
      </c>
      <c r="S1615">
        <v>3.23</v>
      </c>
      <c r="T1615">
        <v>603.79100000000005</v>
      </c>
      <c r="V1615">
        <v>603.79100000000005</v>
      </c>
      <c r="W1615" t="s">
        <v>415</v>
      </c>
      <c r="X1615">
        <v>6.7</v>
      </c>
      <c r="Y1615">
        <v>-33.200000000000003</v>
      </c>
    </row>
    <row r="1616" spans="1:25" x14ac:dyDescent="0.45">
      <c r="A1616">
        <v>3</v>
      </c>
      <c r="B1616">
        <v>3</v>
      </c>
      <c r="C1616" t="s">
        <v>584</v>
      </c>
      <c r="D1616" t="s">
        <v>400</v>
      </c>
      <c r="E1616">
        <v>10</v>
      </c>
      <c r="F1616">
        <v>3.23</v>
      </c>
      <c r="G1616">
        <v>797.54700000000003</v>
      </c>
      <c r="I1616">
        <v>797.54700000000003</v>
      </c>
      <c r="J1616" t="s">
        <v>415</v>
      </c>
      <c r="K1616">
        <v>11.1</v>
      </c>
      <c r="L1616">
        <v>11.4</v>
      </c>
      <c r="N1616">
        <v>47</v>
      </c>
      <c r="O1616">
        <v>47</v>
      </c>
      <c r="P1616" t="s">
        <v>701</v>
      </c>
      <c r="Q1616" t="s">
        <v>414</v>
      </c>
      <c r="R1616">
        <v>10</v>
      </c>
      <c r="S1616">
        <v>3.22</v>
      </c>
      <c r="T1616">
        <v>461.60199999999998</v>
      </c>
      <c r="V1616">
        <v>461.60199999999998</v>
      </c>
      <c r="W1616" t="s">
        <v>415</v>
      </c>
      <c r="X1616">
        <v>5.0999999999999996</v>
      </c>
      <c r="Y1616">
        <v>-49</v>
      </c>
    </row>
    <row r="1617" spans="1:25" x14ac:dyDescent="0.45">
      <c r="A1617">
        <v>4</v>
      </c>
      <c r="B1617">
        <v>4</v>
      </c>
      <c r="C1617" t="s">
        <v>585</v>
      </c>
      <c r="D1617" t="s">
        <v>400</v>
      </c>
      <c r="E1617">
        <v>10</v>
      </c>
      <c r="F1617">
        <v>3.23</v>
      </c>
      <c r="G1617">
        <v>624.39800000000002</v>
      </c>
      <c r="I1617">
        <v>624.39800000000002</v>
      </c>
      <c r="J1617" t="s">
        <v>415</v>
      </c>
      <c r="K1617">
        <v>8.6999999999999993</v>
      </c>
      <c r="L1617">
        <v>-12.8</v>
      </c>
      <c r="N1617">
        <v>48</v>
      </c>
      <c r="O1617">
        <v>48</v>
      </c>
      <c r="P1617" t="s">
        <v>702</v>
      </c>
      <c r="Q1617" t="s">
        <v>414</v>
      </c>
      <c r="R1617">
        <v>10</v>
      </c>
      <c r="S1617">
        <v>3.22</v>
      </c>
      <c r="T1617">
        <v>646.904</v>
      </c>
      <c r="V1617">
        <v>646.904</v>
      </c>
      <c r="W1617" t="s">
        <v>415</v>
      </c>
      <c r="X1617">
        <v>7.2</v>
      </c>
      <c r="Y1617">
        <v>-28.5</v>
      </c>
    </row>
    <row r="1618" spans="1:25" x14ac:dyDescent="0.45">
      <c r="A1618">
        <v>5</v>
      </c>
      <c r="B1618">
        <v>5</v>
      </c>
      <c r="C1618" t="s">
        <v>586</v>
      </c>
      <c r="D1618" t="s">
        <v>400</v>
      </c>
      <c r="E1618">
        <v>10</v>
      </c>
      <c r="F1618">
        <v>3.23</v>
      </c>
      <c r="G1618">
        <v>713.80600000000004</v>
      </c>
      <c r="I1618">
        <v>713.80600000000004</v>
      </c>
      <c r="J1618" t="s">
        <v>401</v>
      </c>
      <c r="K1618">
        <v>10</v>
      </c>
      <c r="L1618">
        <v>-0.3</v>
      </c>
      <c r="N1618">
        <v>49</v>
      </c>
      <c r="O1618">
        <v>49</v>
      </c>
      <c r="P1618" t="s">
        <v>703</v>
      </c>
      <c r="Q1618" t="s">
        <v>414</v>
      </c>
      <c r="R1618">
        <v>10</v>
      </c>
      <c r="S1618">
        <v>3.23</v>
      </c>
      <c r="T1618">
        <v>571.06299999999999</v>
      </c>
      <c r="V1618">
        <v>571.06299999999999</v>
      </c>
      <c r="W1618" t="s">
        <v>415</v>
      </c>
      <c r="X1618">
        <v>6.3</v>
      </c>
      <c r="Y1618">
        <v>-36.9</v>
      </c>
    </row>
    <row r="1619" spans="1:25" x14ac:dyDescent="0.45">
      <c r="A1619">
        <v>6</v>
      </c>
      <c r="B1619">
        <v>6</v>
      </c>
      <c r="C1619" t="s">
        <v>587</v>
      </c>
      <c r="D1619" t="s">
        <v>400</v>
      </c>
      <c r="E1619">
        <v>10</v>
      </c>
      <c r="F1619">
        <v>3.23</v>
      </c>
      <c r="G1619">
        <v>930.55899999999997</v>
      </c>
      <c r="I1619">
        <v>930.55899999999997</v>
      </c>
      <c r="J1619" t="s">
        <v>415</v>
      </c>
      <c r="K1619">
        <v>13</v>
      </c>
      <c r="L1619">
        <v>30</v>
      </c>
      <c r="N1619">
        <v>50</v>
      </c>
      <c r="O1619">
        <v>50</v>
      </c>
      <c r="P1619" t="s">
        <v>704</v>
      </c>
      <c r="Q1619" t="s">
        <v>414</v>
      </c>
      <c r="R1619">
        <v>10</v>
      </c>
      <c r="S1619">
        <v>3.22</v>
      </c>
      <c r="T1619">
        <v>704.62699999999995</v>
      </c>
      <c r="V1619">
        <v>704.62699999999995</v>
      </c>
      <c r="W1619" t="s">
        <v>415</v>
      </c>
      <c r="X1619">
        <v>7.8</v>
      </c>
      <c r="Y1619">
        <v>-22.1</v>
      </c>
    </row>
    <row r="1620" spans="1:25" x14ac:dyDescent="0.45">
      <c r="A1620">
        <v>7</v>
      </c>
      <c r="B1620">
        <v>7</v>
      </c>
      <c r="C1620" t="s">
        <v>588</v>
      </c>
      <c r="D1620" t="s">
        <v>400</v>
      </c>
      <c r="E1620">
        <v>10</v>
      </c>
      <c r="F1620">
        <v>3.23</v>
      </c>
      <c r="G1620">
        <v>598.04300000000001</v>
      </c>
      <c r="I1620">
        <v>598.04300000000001</v>
      </c>
      <c r="J1620" t="s">
        <v>415</v>
      </c>
      <c r="K1620">
        <v>8.4</v>
      </c>
      <c r="L1620">
        <v>-16.399999999999999</v>
      </c>
      <c r="N1620">
        <v>51</v>
      </c>
      <c r="O1620">
        <v>51</v>
      </c>
      <c r="P1620" t="s">
        <v>705</v>
      </c>
      <c r="Q1620" t="s">
        <v>414</v>
      </c>
      <c r="R1620">
        <v>10</v>
      </c>
      <c r="S1620">
        <v>3.22</v>
      </c>
      <c r="T1620">
        <v>119.18</v>
      </c>
      <c r="V1620">
        <v>119.18</v>
      </c>
      <c r="W1620" t="s">
        <v>415</v>
      </c>
      <c r="X1620">
        <v>1.3</v>
      </c>
      <c r="Y1620">
        <v>-86.8</v>
      </c>
    </row>
    <row r="1621" spans="1:25" x14ac:dyDescent="0.45">
      <c r="A1621">
        <v>8</v>
      </c>
      <c r="B1621">
        <v>8</v>
      </c>
      <c r="C1621" t="s">
        <v>589</v>
      </c>
      <c r="D1621" t="s">
        <v>410</v>
      </c>
      <c r="E1621">
        <v>10</v>
      </c>
      <c r="F1621">
        <v>3.47</v>
      </c>
      <c r="G1621">
        <v>237.99299999999999</v>
      </c>
      <c r="I1621">
        <v>237.99299999999999</v>
      </c>
      <c r="J1621" t="s">
        <v>415</v>
      </c>
      <c r="K1621">
        <v>3.3</v>
      </c>
      <c r="L1621">
        <v>-66.7</v>
      </c>
      <c r="N1621">
        <v>52</v>
      </c>
      <c r="O1621">
        <v>52</v>
      </c>
      <c r="P1621" t="s">
        <v>706</v>
      </c>
      <c r="Q1621" t="s">
        <v>414</v>
      </c>
      <c r="R1621">
        <v>10</v>
      </c>
      <c r="S1621">
        <v>3.22</v>
      </c>
      <c r="T1621">
        <v>557.38400000000001</v>
      </c>
      <c r="V1621">
        <v>557.38400000000001</v>
      </c>
      <c r="W1621" t="s">
        <v>415</v>
      </c>
      <c r="X1621">
        <v>6.2</v>
      </c>
      <c r="Y1621">
        <v>-38.4</v>
      </c>
    </row>
    <row r="1622" spans="1:25" x14ac:dyDescent="0.45">
      <c r="A1622">
        <v>9</v>
      </c>
      <c r="B1622">
        <v>9</v>
      </c>
      <c r="C1622" t="s">
        <v>590</v>
      </c>
      <c r="D1622" t="s">
        <v>410</v>
      </c>
      <c r="E1622">
        <v>10</v>
      </c>
      <c r="F1622">
        <v>3.47</v>
      </c>
      <c r="G1622">
        <v>262.73599999999999</v>
      </c>
      <c r="I1622">
        <v>262.73599999999999</v>
      </c>
      <c r="J1622" t="s">
        <v>415</v>
      </c>
      <c r="K1622">
        <v>3.7</v>
      </c>
      <c r="L1622">
        <v>-63.3</v>
      </c>
      <c r="N1622">
        <v>53</v>
      </c>
      <c r="O1622">
        <v>53</v>
      </c>
      <c r="P1622" t="s">
        <v>707</v>
      </c>
      <c r="Q1622" t="s">
        <v>414</v>
      </c>
      <c r="R1622">
        <v>10</v>
      </c>
      <c r="S1622">
        <v>3.23</v>
      </c>
      <c r="T1622">
        <v>600.09199999999998</v>
      </c>
      <c r="V1622">
        <v>600.09199999999998</v>
      </c>
      <c r="W1622" t="s">
        <v>415</v>
      </c>
      <c r="X1622">
        <v>6.6</v>
      </c>
      <c r="Y1622">
        <v>-33.6</v>
      </c>
    </row>
    <row r="1623" spans="1:25" x14ac:dyDescent="0.45">
      <c r="A1623">
        <v>10</v>
      </c>
      <c r="B1623">
        <v>10</v>
      </c>
      <c r="C1623" t="s">
        <v>591</v>
      </c>
      <c r="D1623" t="s">
        <v>414</v>
      </c>
      <c r="E1623">
        <v>10</v>
      </c>
      <c r="F1623">
        <v>3.23</v>
      </c>
      <c r="G1623">
        <v>476.40600000000001</v>
      </c>
      <c r="I1623">
        <v>476.40600000000001</v>
      </c>
      <c r="J1623" t="s">
        <v>415</v>
      </c>
      <c r="K1623">
        <v>6.7</v>
      </c>
      <c r="L1623">
        <v>-33.4</v>
      </c>
      <c r="N1623">
        <v>54</v>
      </c>
      <c r="O1623">
        <v>54</v>
      </c>
      <c r="P1623" t="s">
        <v>708</v>
      </c>
      <c r="Q1623" t="s">
        <v>414</v>
      </c>
      <c r="R1623">
        <v>10</v>
      </c>
      <c r="S1623">
        <v>3.22</v>
      </c>
      <c r="T1623">
        <v>493.702</v>
      </c>
      <c r="V1623">
        <v>493.702</v>
      </c>
      <c r="W1623" t="s">
        <v>415</v>
      </c>
      <c r="X1623">
        <v>5.5</v>
      </c>
      <c r="Y1623">
        <v>-45.4</v>
      </c>
    </row>
    <row r="1624" spans="1:25" x14ac:dyDescent="0.45">
      <c r="A1624">
        <v>11</v>
      </c>
      <c r="B1624">
        <v>11</v>
      </c>
      <c r="C1624" t="s">
        <v>592</v>
      </c>
      <c r="D1624" t="s">
        <v>414</v>
      </c>
      <c r="E1624">
        <v>10</v>
      </c>
      <c r="F1624">
        <v>3.23</v>
      </c>
      <c r="G1624">
        <v>132.905</v>
      </c>
      <c r="I1624">
        <v>132.905</v>
      </c>
      <c r="J1624" t="s">
        <v>488</v>
      </c>
      <c r="K1624">
        <v>1.9</v>
      </c>
      <c r="L1624">
        <v>-81.400000000000006</v>
      </c>
      <c r="N1624">
        <v>55</v>
      </c>
      <c r="O1624">
        <v>55</v>
      </c>
      <c r="P1624" t="s">
        <v>709</v>
      </c>
      <c r="Q1624" t="s">
        <v>414</v>
      </c>
      <c r="R1624">
        <v>10</v>
      </c>
      <c r="S1624">
        <v>3.23</v>
      </c>
      <c r="T1624">
        <v>519.45899999999995</v>
      </c>
      <c r="V1624">
        <v>519.45899999999995</v>
      </c>
      <c r="W1624" t="s">
        <v>415</v>
      </c>
      <c r="X1624">
        <v>5.7</v>
      </c>
      <c r="Y1624">
        <v>-42.6</v>
      </c>
    </row>
    <row r="1625" spans="1:25" x14ac:dyDescent="0.45">
      <c r="A1625">
        <v>12</v>
      </c>
      <c r="B1625">
        <v>12</v>
      </c>
      <c r="C1625" t="s">
        <v>593</v>
      </c>
      <c r="D1625" t="s">
        <v>414</v>
      </c>
      <c r="E1625">
        <v>10</v>
      </c>
      <c r="F1625">
        <v>3.23</v>
      </c>
      <c r="G1625">
        <v>236.65899999999999</v>
      </c>
      <c r="I1625">
        <v>236.65899999999999</v>
      </c>
      <c r="J1625" t="s">
        <v>488</v>
      </c>
      <c r="K1625">
        <v>3.3</v>
      </c>
      <c r="L1625">
        <v>-66.900000000000006</v>
      </c>
      <c r="N1625">
        <v>56</v>
      </c>
      <c r="O1625">
        <v>56</v>
      </c>
      <c r="P1625" t="s">
        <v>710</v>
      </c>
      <c r="Q1625" t="s">
        <v>414</v>
      </c>
      <c r="R1625">
        <v>10</v>
      </c>
      <c r="S1625">
        <v>3.23</v>
      </c>
      <c r="T1625">
        <v>812.58600000000001</v>
      </c>
      <c r="V1625">
        <v>812.58600000000001</v>
      </c>
      <c r="W1625" t="s">
        <v>415</v>
      </c>
      <c r="X1625">
        <v>9</v>
      </c>
      <c r="Y1625">
        <v>-10.1</v>
      </c>
    </row>
    <row r="1626" spans="1:25" x14ac:dyDescent="0.45">
      <c r="A1626">
        <v>13</v>
      </c>
      <c r="B1626">
        <v>13</v>
      </c>
      <c r="C1626" t="s">
        <v>594</v>
      </c>
      <c r="D1626" t="s">
        <v>414</v>
      </c>
      <c r="E1626">
        <v>10</v>
      </c>
      <c r="F1626">
        <v>3.22</v>
      </c>
      <c r="G1626">
        <v>441.90699999999998</v>
      </c>
      <c r="I1626">
        <v>441.90699999999998</v>
      </c>
      <c r="J1626" t="s">
        <v>415</v>
      </c>
      <c r="K1626">
        <v>6.2</v>
      </c>
      <c r="L1626">
        <v>-38.299999999999997</v>
      </c>
      <c r="N1626">
        <v>57</v>
      </c>
      <c r="O1626">
        <v>57</v>
      </c>
      <c r="P1626" t="s">
        <v>711</v>
      </c>
      <c r="Q1626" t="s">
        <v>414</v>
      </c>
      <c r="R1626">
        <v>10</v>
      </c>
      <c r="S1626">
        <v>3.22</v>
      </c>
      <c r="T1626">
        <v>667.22199999999998</v>
      </c>
      <c r="V1626">
        <v>667.22199999999998</v>
      </c>
      <c r="W1626" t="s">
        <v>415</v>
      </c>
      <c r="X1626">
        <v>7.4</v>
      </c>
      <c r="Y1626">
        <v>-26.2</v>
      </c>
    </row>
    <row r="1627" spans="1:25" x14ac:dyDescent="0.45">
      <c r="A1627">
        <v>14</v>
      </c>
      <c r="B1627">
        <v>14</v>
      </c>
      <c r="C1627" t="s">
        <v>595</v>
      </c>
      <c r="D1627" t="s">
        <v>414</v>
      </c>
      <c r="E1627">
        <v>10</v>
      </c>
      <c r="F1627">
        <v>3.23</v>
      </c>
      <c r="G1627">
        <v>316.89699999999999</v>
      </c>
      <c r="I1627">
        <v>316.89699999999999</v>
      </c>
      <c r="J1627" t="s">
        <v>415</v>
      </c>
      <c r="K1627">
        <v>4.4000000000000004</v>
      </c>
      <c r="L1627">
        <v>-55.7</v>
      </c>
      <c r="N1627">
        <v>58</v>
      </c>
      <c r="O1627">
        <v>58</v>
      </c>
      <c r="P1627" t="s">
        <v>712</v>
      </c>
      <c r="Q1627" t="s">
        <v>414</v>
      </c>
      <c r="R1627">
        <v>10</v>
      </c>
      <c r="S1627">
        <v>3.22</v>
      </c>
      <c r="T1627">
        <v>660.93</v>
      </c>
      <c r="V1627">
        <v>660.93</v>
      </c>
      <c r="W1627" t="s">
        <v>401</v>
      </c>
      <c r="X1627">
        <v>7.3</v>
      </c>
      <c r="Y1627">
        <v>-26.9</v>
      </c>
    </row>
    <row r="1628" spans="1:25" x14ac:dyDescent="0.45">
      <c r="A1628">
        <v>15</v>
      </c>
      <c r="B1628">
        <v>15</v>
      </c>
      <c r="C1628" t="s">
        <v>596</v>
      </c>
      <c r="D1628" t="s">
        <v>414</v>
      </c>
      <c r="E1628">
        <v>10</v>
      </c>
      <c r="F1628">
        <v>3.22</v>
      </c>
      <c r="G1628">
        <v>466.47800000000001</v>
      </c>
      <c r="I1628">
        <v>466.47800000000001</v>
      </c>
      <c r="J1628" t="s">
        <v>415</v>
      </c>
      <c r="K1628">
        <v>6.5</v>
      </c>
      <c r="L1628">
        <v>-34.799999999999997</v>
      </c>
      <c r="N1628">
        <v>59</v>
      </c>
      <c r="O1628">
        <v>59</v>
      </c>
      <c r="P1628" t="s">
        <v>713</v>
      </c>
      <c r="Q1628" t="s">
        <v>414</v>
      </c>
      <c r="R1628">
        <v>10</v>
      </c>
      <c r="S1628">
        <v>3.23</v>
      </c>
      <c r="T1628">
        <v>214.55699999999999</v>
      </c>
      <c r="V1628">
        <v>214.55699999999999</v>
      </c>
      <c r="W1628" t="s">
        <v>415</v>
      </c>
      <c r="X1628">
        <v>2.4</v>
      </c>
      <c r="Y1628">
        <v>-76.3</v>
      </c>
    </row>
    <row r="1629" spans="1:25" x14ac:dyDescent="0.45">
      <c r="A1629">
        <v>16</v>
      </c>
      <c r="B1629">
        <v>16</v>
      </c>
      <c r="C1629" t="s">
        <v>597</v>
      </c>
      <c r="D1629" t="s">
        <v>414</v>
      </c>
      <c r="E1629">
        <v>10</v>
      </c>
      <c r="F1629">
        <v>3.23</v>
      </c>
      <c r="G1629">
        <v>687.76800000000003</v>
      </c>
      <c r="I1629">
        <v>687.76800000000003</v>
      </c>
      <c r="J1629" t="s">
        <v>415</v>
      </c>
      <c r="K1629">
        <v>9.6</v>
      </c>
      <c r="L1629">
        <v>-3.9</v>
      </c>
      <c r="N1629">
        <v>60</v>
      </c>
      <c r="O1629">
        <v>60</v>
      </c>
      <c r="P1629" t="s">
        <v>714</v>
      </c>
      <c r="Q1629" t="s">
        <v>414</v>
      </c>
      <c r="R1629">
        <v>10</v>
      </c>
      <c r="S1629">
        <v>3.23</v>
      </c>
      <c r="T1629">
        <v>305.678</v>
      </c>
      <c r="V1629">
        <v>305.678</v>
      </c>
      <c r="W1629" t="s">
        <v>401</v>
      </c>
      <c r="X1629">
        <v>3.4</v>
      </c>
      <c r="Y1629">
        <v>-66.2</v>
      </c>
    </row>
    <row r="1630" spans="1:25" x14ac:dyDescent="0.45">
      <c r="A1630">
        <v>17</v>
      </c>
      <c r="B1630">
        <v>17</v>
      </c>
      <c r="C1630" t="s">
        <v>598</v>
      </c>
      <c r="D1630" t="s">
        <v>414</v>
      </c>
      <c r="E1630">
        <v>10</v>
      </c>
      <c r="F1630">
        <v>3.23</v>
      </c>
      <c r="G1630">
        <v>622.06299999999999</v>
      </c>
      <c r="I1630">
        <v>622.06299999999999</v>
      </c>
      <c r="J1630" t="s">
        <v>415</v>
      </c>
      <c r="K1630">
        <v>8.6999999999999993</v>
      </c>
      <c r="L1630">
        <v>-13.1</v>
      </c>
      <c r="N1630">
        <v>61</v>
      </c>
      <c r="O1630">
        <v>61</v>
      </c>
      <c r="P1630" t="s">
        <v>715</v>
      </c>
      <c r="Q1630" t="s">
        <v>414</v>
      </c>
      <c r="R1630">
        <v>10</v>
      </c>
      <c r="S1630">
        <v>3.22</v>
      </c>
      <c r="T1630">
        <v>522.17899999999997</v>
      </c>
      <c r="V1630">
        <v>522.17899999999997</v>
      </c>
      <c r="W1630" t="s">
        <v>415</v>
      </c>
      <c r="X1630">
        <v>5.8</v>
      </c>
      <c r="Y1630">
        <v>-42.3</v>
      </c>
    </row>
    <row r="1631" spans="1:25" x14ac:dyDescent="0.45">
      <c r="A1631">
        <v>18</v>
      </c>
      <c r="B1631">
        <v>18</v>
      </c>
      <c r="C1631" t="s">
        <v>599</v>
      </c>
      <c r="D1631" t="s">
        <v>414</v>
      </c>
      <c r="E1631">
        <v>10</v>
      </c>
      <c r="F1631">
        <v>3.23</v>
      </c>
      <c r="G1631">
        <v>135.68100000000001</v>
      </c>
      <c r="I1631">
        <v>135.68100000000001</v>
      </c>
      <c r="J1631" t="s">
        <v>488</v>
      </c>
      <c r="K1631">
        <v>1.9</v>
      </c>
      <c r="L1631">
        <v>-81</v>
      </c>
      <c r="N1631">
        <v>62</v>
      </c>
      <c r="O1631">
        <v>62</v>
      </c>
      <c r="P1631" t="s">
        <v>716</v>
      </c>
      <c r="Q1631" t="s">
        <v>414</v>
      </c>
      <c r="R1631">
        <v>10</v>
      </c>
      <c r="S1631">
        <v>3.23</v>
      </c>
      <c r="T1631">
        <v>331.78899999999999</v>
      </c>
      <c r="V1631">
        <v>331.78899999999999</v>
      </c>
      <c r="W1631" t="s">
        <v>415</v>
      </c>
      <c r="X1631">
        <v>3.7</v>
      </c>
      <c r="Y1631">
        <v>-63.3</v>
      </c>
    </row>
    <row r="1632" spans="1:25" x14ac:dyDescent="0.45">
      <c r="A1632">
        <v>19</v>
      </c>
      <c r="B1632">
        <v>19</v>
      </c>
      <c r="C1632" t="s">
        <v>600</v>
      </c>
      <c r="D1632" t="s">
        <v>414</v>
      </c>
      <c r="E1632">
        <v>10</v>
      </c>
      <c r="F1632">
        <v>3.23</v>
      </c>
      <c r="G1632">
        <v>213.30500000000001</v>
      </c>
      <c r="I1632">
        <v>213.30500000000001</v>
      </c>
      <c r="J1632" t="s">
        <v>488</v>
      </c>
      <c r="K1632">
        <v>3</v>
      </c>
      <c r="L1632">
        <v>-70.2</v>
      </c>
      <c r="N1632">
        <v>63</v>
      </c>
      <c r="O1632">
        <v>63</v>
      </c>
      <c r="P1632" t="s">
        <v>717</v>
      </c>
      <c r="Q1632" t="s">
        <v>414</v>
      </c>
      <c r="R1632">
        <v>10</v>
      </c>
      <c r="S1632">
        <v>3.23</v>
      </c>
      <c r="T1632">
        <v>764.67399999999998</v>
      </c>
      <c r="V1632">
        <v>764.67399999999998</v>
      </c>
      <c r="W1632" t="s">
        <v>415</v>
      </c>
      <c r="X1632">
        <v>8.5</v>
      </c>
      <c r="Y1632">
        <v>-15.4</v>
      </c>
    </row>
    <row r="1633" spans="1:25" x14ac:dyDescent="0.45">
      <c r="A1633">
        <v>20</v>
      </c>
      <c r="B1633">
        <v>20</v>
      </c>
      <c r="C1633" t="s">
        <v>601</v>
      </c>
      <c r="D1633" t="s">
        <v>414</v>
      </c>
      <c r="E1633">
        <v>10</v>
      </c>
      <c r="F1633">
        <v>3.23</v>
      </c>
      <c r="G1633">
        <v>137.61500000000001</v>
      </c>
      <c r="I1633">
        <v>137.61500000000001</v>
      </c>
      <c r="J1633" t="s">
        <v>488</v>
      </c>
      <c r="K1633">
        <v>1.9</v>
      </c>
      <c r="L1633">
        <v>-80.8</v>
      </c>
      <c r="N1633">
        <v>64</v>
      </c>
      <c r="O1633">
        <v>64</v>
      </c>
      <c r="P1633" t="s">
        <v>718</v>
      </c>
      <c r="Q1633" t="s">
        <v>414</v>
      </c>
      <c r="R1633">
        <v>10</v>
      </c>
      <c r="S1633">
        <v>3.22</v>
      </c>
      <c r="T1633">
        <v>491.983</v>
      </c>
      <c r="V1633">
        <v>491.983</v>
      </c>
      <c r="W1633" t="s">
        <v>415</v>
      </c>
      <c r="X1633">
        <v>5.4</v>
      </c>
      <c r="Y1633">
        <v>-45.6</v>
      </c>
    </row>
    <row r="1634" spans="1:25" x14ac:dyDescent="0.45">
      <c r="A1634">
        <v>21</v>
      </c>
      <c r="B1634">
        <v>21</v>
      </c>
      <c r="C1634" t="s">
        <v>602</v>
      </c>
      <c r="D1634" t="s">
        <v>414</v>
      </c>
      <c r="E1634">
        <v>10</v>
      </c>
      <c r="F1634">
        <v>3.23</v>
      </c>
      <c r="G1634">
        <v>210.37100000000001</v>
      </c>
      <c r="I1634">
        <v>210.37100000000001</v>
      </c>
      <c r="J1634" t="s">
        <v>488</v>
      </c>
      <c r="K1634">
        <v>2.9</v>
      </c>
      <c r="L1634">
        <v>-70.599999999999994</v>
      </c>
      <c r="N1634">
        <v>65</v>
      </c>
      <c r="O1634">
        <v>65</v>
      </c>
      <c r="P1634" t="s">
        <v>719</v>
      </c>
      <c r="Q1634" t="s">
        <v>414</v>
      </c>
      <c r="R1634">
        <v>10</v>
      </c>
      <c r="S1634">
        <v>3.22</v>
      </c>
      <c r="T1634">
        <v>186.99100000000001</v>
      </c>
      <c r="V1634">
        <v>186.99100000000001</v>
      </c>
      <c r="W1634" t="s">
        <v>415</v>
      </c>
      <c r="X1634">
        <v>2.1</v>
      </c>
      <c r="Y1634">
        <v>-79.3</v>
      </c>
    </row>
    <row r="1635" spans="1:25" x14ac:dyDescent="0.45">
      <c r="A1635">
        <v>22</v>
      </c>
      <c r="B1635">
        <v>22</v>
      </c>
      <c r="C1635" t="s">
        <v>603</v>
      </c>
      <c r="D1635" t="s">
        <v>414</v>
      </c>
      <c r="E1635">
        <v>10</v>
      </c>
      <c r="F1635">
        <v>3.23</v>
      </c>
      <c r="G1635">
        <v>705.774</v>
      </c>
      <c r="I1635">
        <v>705.774</v>
      </c>
      <c r="J1635" t="s">
        <v>415</v>
      </c>
      <c r="K1635">
        <v>9.9</v>
      </c>
      <c r="L1635">
        <v>-1.4</v>
      </c>
      <c r="N1635">
        <v>66</v>
      </c>
      <c r="O1635">
        <v>66</v>
      </c>
      <c r="P1635" t="s">
        <v>720</v>
      </c>
      <c r="Q1635" t="s">
        <v>414</v>
      </c>
      <c r="R1635">
        <v>10</v>
      </c>
      <c r="S1635">
        <v>3.23</v>
      </c>
      <c r="T1635">
        <v>717.26199999999994</v>
      </c>
      <c r="V1635">
        <v>717.26199999999994</v>
      </c>
      <c r="W1635" t="s">
        <v>415</v>
      </c>
      <c r="X1635">
        <v>7.9</v>
      </c>
      <c r="Y1635">
        <v>-20.7</v>
      </c>
    </row>
    <row r="1636" spans="1:25" x14ac:dyDescent="0.45">
      <c r="A1636">
        <v>23</v>
      </c>
      <c r="B1636">
        <v>23</v>
      </c>
      <c r="C1636" t="s">
        <v>604</v>
      </c>
      <c r="D1636" t="s">
        <v>414</v>
      </c>
      <c r="E1636">
        <v>10</v>
      </c>
      <c r="F1636">
        <v>3.23</v>
      </c>
      <c r="G1636">
        <v>864.65499999999997</v>
      </c>
      <c r="I1636">
        <v>864.65499999999997</v>
      </c>
      <c r="J1636" t="s">
        <v>415</v>
      </c>
      <c r="K1636">
        <v>12.1</v>
      </c>
      <c r="L1636">
        <v>20.8</v>
      </c>
      <c r="N1636">
        <v>67</v>
      </c>
      <c r="O1636">
        <v>67</v>
      </c>
      <c r="P1636" t="s">
        <v>721</v>
      </c>
      <c r="Q1636" t="s">
        <v>414</v>
      </c>
      <c r="R1636">
        <v>10</v>
      </c>
      <c r="S1636">
        <v>3.23</v>
      </c>
      <c r="T1636">
        <v>816.5</v>
      </c>
      <c r="V1636">
        <v>816.5</v>
      </c>
      <c r="W1636" t="s">
        <v>415</v>
      </c>
      <c r="X1636">
        <v>9</v>
      </c>
      <c r="Y1636">
        <v>-9.6999999999999993</v>
      </c>
    </row>
    <row r="1637" spans="1:25" x14ac:dyDescent="0.45">
      <c r="A1637">
        <v>24</v>
      </c>
      <c r="B1637">
        <v>24</v>
      </c>
      <c r="C1637" t="s">
        <v>605</v>
      </c>
      <c r="D1637" t="s">
        <v>414</v>
      </c>
      <c r="E1637">
        <v>10</v>
      </c>
      <c r="F1637">
        <v>3.23</v>
      </c>
      <c r="G1637">
        <v>382.97199999999998</v>
      </c>
      <c r="I1637">
        <v>382.97199999999998</v>
      </c>
      <c r="J1637" t="s">
        <v>415</v>
      </c>
      <c r="K1637">
        <v>5.4</v>
      </c>
      <c r="L1637">
        <v>-46.5</v>
      </c>
    </row>
    <row r="1638" spans="1:25" x14ac:dyDescent="0.45">
      <c r="A1638">
        <v>25</v>
      </c>
      <c r="B1638">
        <v>25</v>
      </c>
      <c r="C1638" t="s">
        <v>606</v>
      </c>
      <c r="D1638" t="s">
        <v>414</v>
      </c>
      <c r="E1638">
        <v>10</v>
      </c>
      <c r="F1638">
        <v>3.23</v>
      </c>
      <c r="G1638">
        <v>429.68599999999998</v>
      </c>
      <c r="I1638">
        <v>429.68599999999998</v>
      </c>
      <c r="J1638" t="s">
        <v>415</v>
      </c>
      <c r="K1638">
        <v>6</v>
      </c>
      <c r="L1638">
        <v>-40</v>
      </c>
      <c r="N1638" t="s">
        <v>509</v>
      </c>
    </row>
    <row r="1639" spans="1:25" x14ac:dyDescent="0.45">
      <c r="A1639">
        <v>26</v>
      </c>
      <c r="B1639">
        <v>26</v>
      </c>
      <c r="C1639" t="s">
        <v>607</v>
      </c>
      <c r="D1639" t="s">
        <v>414</v>
      </c>
      <c r="E1639">
        <v>10</v>
      </c>
      <c r="F1639">
        <v>3.23</v>
      </c>
      <c r="G1639">
        <v>368.62700000000001</v>
      </c>
      <c r="I1639">
        <v>368.62700000000001</v>
      </c>
      <c r="J1639" t="s">
        <v>415</v>
      </c>
      <c r="K1639">
        <v>5.2</v>
      </c>
      <c r="L1639">
        <v>-48.5</v>
      </c>
    </row>
    <row r="1640" spans="1:25" x14ac:dyDescent="0.45">
      <c r="A1640">
        <v>27</v>
      </c>
      <c r="B1640">
        <v>27</v>
      </c>
      <c r="C1640" t="s">
        <v>608</v>
      </c>
      <c r="D1640" t="s">
        <v>414</v>
      </c>
      <c r="E1640">
        <v>10</v>
      </c>
      <c r="F1640">
        <v>3.23</v>
      </c>
      <c r="G1640">
        <v>809.98299999999995</v>
      </c>
      <c r="I1640">
        <v>809.98299999999995</v>
      </c>
      <c r="J1640" t="s">
        <v>415</v>
      </c>
      <c r="K1640">
        <v>11.3</v>
      </c>
      <c r="L1640">
        <v>13.2</v>
      </c>
      <c r="O1640" t="s">
        <v>389</v>
      </c>
      <c r="P1640" t="s">
        <v>123</v>
      </c>
      <c r="Q1640" t="s">
        <v>390</v>
      </c>
      <c r="R1640" t="s">
        <v>391</v>
      </c>
      <c r="S1640" t="s">
        <v>392</v>
      </c>
      <c r="T1640" t="s">
        <v>393</v>
      </c>
      <c r="U1640" t="s">
        <v>394</v>
      </c>
      <c r="V1640" t="s">
        <v>395</v>
      </c>
      <c r="W1640" t="s">
        <v>396</v>
      </c>
      <c r="X1640" t="s">
        <v>397</v>
      </c>
      <c r="Y1640" t="s">
        <v>398</v>
      </c>
    </row>
    <row r="1641" spans="1:25" x14ac:dyDescent="0.45">
      <c r="A1641">
        <v>28</v>
      </c>
      <c r="B1641">
        <v>28</v>
      </c>
      <c r="C1641" t="s">
        <v>609</v>
      </c>
      <c r="D1641" t="s">
        <v>414</v>
      </c>
      <c r="E1641">
        <v>10</v>
      </c>
      <c r="F1641">
        <v>3.23</v>
      </c>
      <c r="G1641">
        <v>429.94600000000003</v>
      </c>
      <c r="I1641">
        <v>429.94600000000003</v>
      </c>
      <c r="J1641" t="s">
        <v>415</v>
      </c>
      <c r="K1641">
        <v>6</v>
      </c>
      <c r="L1641">
        <v>-39.9</v>
      </c>
      <c r="N1641">
        <v>1</v>
      </c>
      <c r="O1641">
        <v>1</v>
      </c>
      <c r="P1641" t="s">
        <v>655</v>
      </c>
      <c r="Q1641" t="s">
        <v>400</v>
      </c>
      <c r="R1641">
        <v>0.05</v>
      </c>
      <c r="S1641">
        <v>2.76</v>
      </c>
      <c r="T1641">
        <v>488619.71899999998</v>
      </c>
      <c r="V1641">
        <v>488619.71899999998</v>
      </c>
      <c r="W1641" t="s">
        <v>476</v>
      </c>
    </row>
    <row r="1642" spans="1:25" x14ac:dyDescent="0.45">
      <c r="A1642">
        <v>29</v>
      </c>
      <c r="B1642">
        <v>29</v>
      </c>
      <c r="C1642" t="s">
        <v>610</v>
      </c>
      <c r="D1642" t="s">
        <v>414</v>
      </c>
      <c r="E1642">
        <v>10</v>
      </c>
      <c r="F1642">
        <v>3.23</v>
      </c>
      <c r="G1642">
        <v>318.18099999999998</v>
      </c>
      <c r="I1642">
        <v>318.18099999999998</v>
      </c>
      <c r="J1642" t="s">
        <v>415</v>
      </c>
      <c r="K1642">
        <v>4.4000000000000004</v>
      </c>
      <c r="L1642">
        <v>-55.5</v>
      </c>
      <c r="N1642">
        <v>2</v>
      </c>
      <c r="O1642">
        <v>2</v>
      </c>
      <c r="P1642" t="s">
        <v>656</v>
      </c>
      <c r="Q1642" t="s">
        <v>400</v>
      </c>
      <c r="R1642">
        <v>0.5</v>
      </c>
      <c r="S1642">
        <v>2.76</v>
      </c>
      <c r="T1642">
        <v>3033952.5</v>
      </c>
      <c r="V1642">
        <v>3033952.5</v>
      </c>
      <c r="W1642" t="s">
        <v>401</v>
      </c>
      <c r="X1642">
        <v>0.3</v>
      </c>
      <c r="Y1642">
        <v>-37.700000000000003</v>
      </c>
    </row>
    <row r="1643" spans="1:25" x14ac:dyDescent="0.45">
      <c r="A1643">
        <v>30</v>
      </c>
      <c r="B1643">
        <v>30</v>
      </c>
      <c r="C1643" t="s">
        <v>611</v>
      </c>
      <c r="D1643" t="s">
        <v>414</v>
      </c>
      <c r="E1643">
        <v>10</v>
      </c>
      <c r="F1643">
        <v>3.23</v>
      </c>
      <c r="G1643">
        <v>327.74</v>
      </c>
      <c r="I1643">
        <v>327.74</v>
      </c>
      <c r="J1643" t="s">
        <v>415</v>
      </c>
      <c r="K1643">
        <v>4.5999999999999996</v>
      </c>
      <c r="L1643">
        <v>-54.2</v>
      </c>
      <c r="N1643">
        <v>3</v>
      </c>
      <c r="O1643">
        <v>3</v>
      </c>
      <c r="P1643" t="s">
        <v>657</v>
      </c>
      <c r="Q1643" t="s">
        <v>400</v>
      </c>
      <c r="R1643">
        <v>1.25</v>
      </c>
      <c r="S1643">
        <v>2.76</v>
      </c>
      <c r="T1643">
        <v>5151260.5</v>
      </c>
      <c r="V1643">
        <v>5151260.5</v>
      </c>
      <c r="W1643" t="s">
        <v>401</v>
      </c>
      <c r="X1643">
        <v>2.2999999999999998</v>
      </c>
      <c r="Y1643">
        <v>81.2</v>
      </c>
    </row>
    <row r="1644" spans="1:25" x14ac:dyDescent="0.45">
      <c r="A1644">
        <v>31</v>
      </c>
      <c r="B1644">
        <v>31</v>
      </c>
      <c r="C1644" t="s">
        <v>612</v>
      </c>
      <c r="D1644" t="s">
        <v>414</v>
      </c>
      <c r="E1644">
        <v>10</v>
      </c>
      <c r="F1644">
        <v>3.23</v>
      </c>
      <c r="G1644">
        <v>275.327</v>
      </c>
      <c r="I1644">
        <v>275.327</v>
      </c>
      <c r="J1644" t="s">
        <v>415</v>
      </c>
      <c r="K1644">
        <v>3.8</v>
      </c>
      <c r="L1644">
        <v>-61.5</v>
      </c>
      <c r="N1644">
        <v>4</v>
      </c>
      <c r="O1644">
        <v>4</v>
      </c>
      <c r="P1644" t="s">
        <v>658</v>
      </c>
      <c r="Q1644" t="s">
        <v>400</v>
      </c>
      <c r="R1644">
        <v>2.5</v>
      </c>
      <c r="S1644">
        <v>2.76</v>
      </c>
      <c r="T1644">
        <v>6935368</v>
      </c>
      <c r="V1644">
        <v>6935368</v>
      </c>
      <c r="W1644" t="s">
        <v>401</v>
      </c>
      <c r="X1644">
        <v>3.9</v>
      </c>
      <c r="Y1644">
        <v>56.4</v>
      </c>
    </row>
    <row r="1645" spans="1:25" x14ac:dyDescent="0.45">
      <c r="A1645">
        <v>32</v>
      </c>
      <c r="B1645">
        <v>32</v>
      </c>
      <c r="C1645" t="s">
        <v>613</v>
      </c>
      <c r="D1645" t="s">
        <v>414</v>
      </c>
      <c r="E1645">
        <v>10</v>
      </c>
      <c r="F1645">
        <v>3.23</v>
      </c>
      <c r="G1645">
        <v>313.45699999999999</v>
      </c>
      <c r="I1645">
        <v>313.45699999999999</v>
      </c>
      <c r="J1645" t="s">
        <v>415</v>
      </c>
      <c r="K1645">
        <v>4.4000000000000004</v>
      </c>
      <c r="L1645">
        <v>-56.2</v>
      </c>
      <c r="N1645">
        <v>5</v>
      </c>
      <c r="O1645">
        <v>5</v>
      </c>
      <c r="P1645" t="s">
        <v>659</v>
      </c>
      <c r="Q1645" t="s">
        <v>400</v>
      </c>
      <c r="R1645">
        <v>3.5</v>
      </c>
      <c r="S1645">
        <v>2.77</v>
      </c>
      <c r="T1645">
        <v>7484221</v>
      </c>
      <c r="V1645">
        <v>7484221</v>
      </c>
      <c r="W1645" t="s">
        <v>415</v>
      </c>
      <c r="X1645">
        <v>4.4000000000000004</v>
      </c>
      <c r="Y1645">
        <v>26.2</v>
      </c>
    </row>
    <row r="1646" spans="1:25" x14ac:dyDescent="0.45">
      <c r="A1646">
        <v>33</v>
      </c>
      <c r="B1646">
        <v>33</v>
      </c>
      <c r="C1646" t="s">
        <v>614</v>
      </c>
      <c r="D1646" t="s">
        <v>414</v>
      </c>
      <c r="E1646">
        <v>10</v>
      </c>
      <c r="F1646">
        <v>3.23</v>
      </c>
      <c r="G1646">
        <v>262.38400000000001</v>
      </c>
      <c r="I1646">
        <v>262.38400000000001</v>
      </c>
      <c r="J1646" t="s">
        <v>488</v>
      </c>
      <c r="K1646">
        <v>3.7</v>
      </c>
      <c r="L1646">
        <v>-63.3</v>
      </c>
      <c r="N1646">
        <v>6</v>
      </c>
      <c r="O1646">
        <v>6</v>
      </c>
      <c r="P1646" t="s">
        <v>660</v>
      </c>
      <c r="Q1646" t="s">
        <v>400</v>
      </c>
      <c r="R1646">
        <v>5</v>
      </c>
      <c r="S1646">
        <v>2.77</v>
      </c>
      <c r="T1646">
        <v>8297514</v>
      </c>
      <c r="V1646">
        <v>8297514</v>
      </c>
      <c r="W1646" t="s">
        <v>401</v>
      </c>
      <c r="X1646">
        <v>5.2</v>
      </c>
      <c r="Y1646">
        <v>3.3</v>
      </c>
    </row>
    <row r="1647" spans="1:25" x14ac:dyDescent="0.45">
      <c r="A1647">
        <v>34</v>
      </c>
      <c r="B1647">
        <v>34</v>
      </c>
      <c r="C1647" t="s">
        <v>615</v>
      </c>
      <c r="D1647" t="s">
        <v>414</v>
      </c>
      <c r="E1647">
        <v>10</v>
      </c>
      <c r="F1647">
        <v>3.22</v>
      </c>
      <c r="G1647">
        <v>283.28399999999999</v>
      </c>
      <c r="I1647">
        <v>283.28399999999999</v>
      </c>
      <c r="J1647" t="s">
        <v>415</v>
      </c>
      <c r="K1647">
        <v>4</v>
      </c>
      <c r="L1647">
        <v>-60.4</v>
      </c>
      <c r="N1647">
        <v>7</v>
      </c>
      <c r="O1647">
        <v>7</v>
      </c>
      <c r="P1647" t="s">
        <v>661</v>
      </c>
      <c r="Q1647" t="s">
        <v>400</v>
      </c>
      <c r="R1647">
        <v>7</v>
      </c>
      <c r="S1647">
        <v>2.77</v>
      </c>
      <c r="T1647">
        <v>8945956</v>
      </c>
      <c r="V1647">
        <v>8945956</v>
      </c>
      <c r="W1647" t="s">
        <v>401</v>
      </c>
      <c r="X1647">
        <v>5.8</v>
      </c>
      <c r="Y1647">
        <v>-17.600000000000001</v>
      </c>
    </row>
    <row r="1648" spans="1:25" x14ac:dyDescent="0.45">
      <c r="A1648">
        <v>35</v>
      </c>
      <c r="B1648">
        <v>35</v>
      </c>
      <c r="C1648" t="s">
        <v>616</v>
      </c>
      <c r="D1648" t="s">
        <v>414</v>
      </c>
      <c r="E1648">
        <v>10</v>
      </c>
      <c r="F1648">
        <v>3.23</v>
      </c>
      <c r="G1648">
        <v>307.99</v>
      </c>
      <c r="I1648">
        <v>307.99</v>
      </c>
      <c r="J1648" t="s">
        <v>415</v>
      </c>
      <c r="K1648">
        <v>4.3</v>
      </c>
      <c r="L1648">
        <v>-57</v>
      </c>
      <c r="N1648">
        <v>8</v>
      </c>
      <c r="O1648">
        <v>8</v>
      </c>
      <c r="P1648" t="s">
        <v>662</v>
      </c>
      <c r="Q1648" t="s">
        <v>414</v>
      </c>
      <c r="S1648">
        <v>2.76</v>
      </c>
      <c r="T1648">
        <v>3080.17</v>
      </c>
      <c r="V1648">
        <v>3080.17</v>
      </c>
      <c r="W1648" t="s">
        <v>476</v>
      </c>
    </row>
    <row r="1649" spans="1:23" x14ac:dyDescent="0.45">
      <c r="A1649">
        <v>36</v>
      </c>
      <c r="B1649">
        <v>36</v>
      </c>
      <c r="C1649" t="s">
        <v>617</v>
      </c>
      <c r="D1649" t="s">
        <v>414</v>
      </c>
      <c r="E1649">
        <v>10</v>
      </c>
      <c r="F1649">
        <v>3.23</v>
      </c>
      <c r="G1649">
        <v>209.75399999999999</v>
      </c>
      <c r="I1649">
        <v>209.75399999999999</v>
      </c>
      <c r="J1649" t="s">
        <v>488</v>
      </c>
      <c r="K1649">
        <v>2.9</v>
      </c>
      <c r="L1649">
        <v>-70.7</v>
      </c>
      <c r="N1649">
        <v>9</v>
      </c>
      <c r="O1649">
        <v>9</v>
      </c>
      <c r="P1649" t="s">
        <v>663</v>
      </c>
      <c r="Q1649" t="s">
        <v>414</v>
      </c>
      <c r="S1649">
        <v>2.77</v>
      </c>
      <c r="T1649">
        <v>1830.693</v>
      </c>
      <c r="V1649">
        <v>1830.693</v>
      </c>
      <c r="W1649" t="s">
        <v>477</v>
      </c>
    </row>
    <row r="1650" spans="1:23" x14ac:dyDescent="0.45">
      <c r="A1650">
        <v>37</v>
      </c>
      <c r="B1650">
        <v>37</v>
      </c>
      <c r="C1650" t="s">
        <v>618</v>
      </c>
      <c r="D1650" t="s">
        <v>414</v>
      </c>
      <c r="E1650">
        <v>10</v>
      </c>
      <c r="F1650">
        <v>3.23</v>
      </c>
      <c r="G1650">
        <v>633.64200000000005</v>
      </c>
      <c r="I1650">
        <v>633.64200000000005</v>
      </c>
      <c r="J1650" t="s">
        <v>415</v>
      </c>
      <c r="K1650">
        <v>8.9</v>
      </c>
      <c r="L1650">
        <v>-11.5</v>
      </c>
      <c r="N1650">
        <v>10</v>
      </c>
      <c r="O1650">
        <v>10</v>
      </c>
      <c r="P1650" t="s">
        <v>664</v>
      </c>
      <c r="Q1650" t="s">
        <v>414</v>
      </c>
      <c r="S1650">
        <v>3.24</v>
      </c>
      <c r="T1650">
        <v>1701.107</v>
      </c>
      <c r="V1650">
        <v>1701.107</v>
      </c>
      <c r="W1650" t="s">
        <v>478</v>
      </c>
    </row>
    <row r="1651" spans="1:23" x14ac:dyDescent="0.45">
      <c r="A1651">
        <v>38</v>
      </c>
      <c r="B1651">
        <v>38</v>
      </c>
      <c r="C1651" t="s">
        <v>619</v>
      </c>
      <c r="D1651" t="s">
        <v>414</v>
      </c>
      <c r="E1651">
        <v>10</v>
      </c>
      <c r="F1651">
        <v>3.23</v>
      </c>
      <c r="G1651">
        <v>212.58699999999999</v>
      </c>
      <c r="I1651">
        <v>212.58699999999999</v>
      </c>
      <c r="J1651" t="s">
        <v>488</v>
      </c>
      <c r="K1651">
        <v>3</v>
      </c>
      <c r="L1651">
        <v>-70.3</v>
      </c>
      <c r="N1651">
        <v>11</v>
      </c>
      <c r="O1651">
        <v>11</v>
      </c>
      <c r="P1651" t="s">
        <v>665</v>
      </c>
      <c r="Q1651" t="s">
        <v>414</v>
      </c>
      <c r="S1651">
        <v>3.24</v>
      </c>
      <c r="T1651">
        <v>1354.64</v>
      </c>
      <c r="V1651">
        <v>1354.64</v>
      </c>
      <c r="W1651" t="s">
        <v>477</v>
      </c>
    </row>
    <row r="1652" spans="1:23" x14ac:dyDescent="0.45">
      <c r="A1652">
        <v>39</v>
      </c>
      <c r="B1652">
        <v>39</v>
      </c>
      <c r="C1652" t="s">
        <v>620</v>
      </c>
      <c r="D1652" t="s">
        <v>414</v>
      </c>
      <c r="E1652">
        <v>10</v>
      </c>
      <c r="F1652">
        <v>3.23</v>
      </c>
      <c r="G1652">
        <v>225.77699999999999</v>
      </c>
      <c r="I1652">
        <v>225.77699999999999</v>
      </c>
      <c r="J1652" t="s">
        <v>488</v>
      </c>
      <c r="K1652">
        <v>3.2</v>
      </c>
      <c r="L1652">
        <v>-68.5</v>
      </c>
      <c r="N1652">
        <v>12</v>
      </c>
      <c r="O1652">
        <v>12</v>
      </c>
      <c r="P1652" t="s">
        <v>666</v>
      </c>
      <c r="Q1652" t="s">
        <v>414</v>
      </c>
      <c r="S1652">
        <v>3.24</v>
      </c>
      <c r="T1652">
        <v>1383.5260000000001</v>
      </c>
      <c r="V1652">
        <v>1383.5260000000001</v>
      </c>
      <c r="W1652" t="s">
        <v>478</v>
      </c>
    </row>
    <row r="1653" spans="1:23" x14ac:dyDescent="0.45">
      <c r="A1653">
        <v>40</v>
      </c>
      <c r="B1653">
        <v>40</v>
      </c>
      <c r="C1653" t="s">
        <v>621</v>
      </c>
      <c r="D1653" t="s">
        <v>414</v>
      </c>
      <c r="E1653">
        <v>10</v>
      </c>
      <c r="F1653">
        <v>3.23</v>
      </c>
      <c r="G1653">
        <v>501.20299999999997</v>
      </c>
      <c r="I1653">
        <v>501.20299999999997</v>
      </c>
      <c r="J1653" t="s">
        <v>415</v>
      </c>
      <c r="K1653">
        <v>7</v>
      </c>
      <c r="L1653">
        <v>-30</v>
      </c>
      <c r="N1653">
        <v>13</v>
      </c>
      <c r="O1653">
        <v>13</v>
      </c>
      <c r="P1653" t="s">
        <v>667</v>
      </c>
      <c r="Q1653" t="s">
        <v>414</v>
      </c>
      <c r="S1653">
        <v>3.24</v>
      </c>
      <c r="T1653">
        <v>1155.134</v>
      </c>
      <c r="V1653">
        <v>1155.134</v>
      </c>
      <c r="W1653" t="s">
        <v>477</v>
      </c>
    </row>
    <row r="1654" spans="1:23" x14ac:dyDescent="0.45">
      <c r="A1654">
        <v>41</v>
      </c>
      <c r="B1654">
        <v>41</v>
      </c>
      <c r="C1654" t="s">
        <v>622</v>
      </c>
      <c r="D1654" t="s">
        <v>414</v>
      </c>
      <c r="E1654">
        <v>10</v>
      </c>
      <c r="F1654">
        <v>3.23</v>
      </c>
      <c r="G1654">
        <v>306.83499999999998</v>
      </c>
      <c r="I1654">
        <v>306.83499999999998</v>
      </c>
      <c r="J1654" t="s">
        <v>415</v>
      </c>
      <c r="K1654">
        <v>4.3</v>
      </c>
      <c r="L1654">
        <v>-57.1</v>
      </c>
      <c r="N1654">
        <v>14</v>
      </c>
      <c r="O1654">
        <v>14</v>
      </c>
      <c r="P1654" t="s">
        <v>668</v>
      </c>
      <c r="Q1654" t="s">
        <v>414</v>
      </c>
      <c r="S1654">
        <v>3.24</v>
      </c>
      <c r="T1654">
        <v>1615.1479999999999</v>
      </c>
      <c r="V1654">
        <v>1615.1479999999999</v>
      </c>
      <c r="W1654" t="s">
        <v>478</v>
      </c>
    </row>
    <row r="1655" spans="1:23" x14ac:dyDescent="0.45">
      <c r="A1655">
        <v>42</v>
      </c>
      <c r="B1655">
        <v>42</v>
      </c>
      <c r="C1655" t="s">
        <v>623</v>
      </c>
      <c r="D1655" t="s">
        <v>414</v>
      </c>
      <c r="E1655">
        <v>10</v>
      </c>
      <c r="F1655">
        <v>3.23</v>
      </c>
      <c r="G1655">
        <v>481.10599999999999</v>
      </c>
      <c r="I1655">
        <v>481.10599999999999</v>
      </c>
      <c r="J1655" t="s">
        <v>415</v>
      </c>
      <c r="K1655">
        <v>6.7</v>
      </c>
      <c r="L1655">
        <v>-32.799999999999997</v>
      </c>
      <c r="N1655">
        <v>15</v>
      </c>
      <c r="O1655">
        <v>15</v>
      </c>
      <c r="P1655" t="s">
        <v>669</v>
      </c>
      <c r="Q1655" t="s">
        <v>414</v>
      </c>
      <c r="S1655">
        <v>3.24</v>
      </c>
      <c r="T1655">
        <v>651.21400000000006</v>
      </c>
      <c r="V1655">
        <v>651.21400000000006</v>
      </c>
      <c r="W1655" t="s">
        <v>479</v>
      </c>
    </row>
    <row r="1656" spans="1:23" x14ac:dyDescent="0.45">
      <c r="A1656">
        <v>43</v>
      </c>
      <c r="B1656">
        <v>43</v>
      </c>
      <c r="C1656" t="s">
        <v>624</v>
      </c>
      <c r="D1656" t="s">
        <v>414</v>
      </c>
      <c r="E1656">
        <v>10</v>
      </c>
      <c r="F1656">
        <v>3.22</v>
      </c>
      <c r="G1656">
        <v>735.45899999999995</v>
      </c>
      <c r="I1656">
        <v>735.45899999999995</v>
      </c>
      <c r="J1656" t="s">
        <v>415</v>
      </c>
      <c r="K1656">
        <v>10.3</v>
      </c>
      <c r="L1656">
        <v>2.8</v>
      </c>
      <c r="N1656">
        <v>16</v>
      </c>
      <c r="O1656">
        <v>16</v>
      </c>
      <c r="P1656" t="s">
        <v>670</v>
      </c>
      <c r="Q1656" t="s">
        <v>414</v>
      </c>
      <c r="S1656">
        <v>2.77</v>
      </c>
      <c r="T1656">
        <v>634.178</v>
      </c>
      <c r="V1656">
        <v>634.178</v>
      </c>
      <c r="W1656" t="s">
        <v>478</v>
      </c>
    </row>
    <row r="1657" spans="1:23" x14ac:dyDescent="0.45">
      <c r="A1657">
        <v>44</v>
      </c>
      <c r="B1657">
        <v>44</v>
      </c>
      <c r="C1657" t="s">
        <v>625</v>
      </c>
      <c r="D1657" t="s">
        <v>414</v>
      </c>
      <c r="E1657">
        <v>10</v>
      </c>
      <c r="F1657">
        <v>3.23</v>
      </c>
      <c r="G1657">
        <v>652.15899999999999</v>
      </c>
      <c r="I1657">
        <v>652.15899999999999</v>
      </c>
      <c r="J1657" t="s">
        <v>415</v>
      </c>
      <c r="K1657">
        <v>9.1</v>
      </c>
      <c r="L1657">
        <v>-8.9</v>
      </c>
      <c r="N1657">
        <v>17</v>
      </c>
      <c r="O1657">
        <v>17</v>
      </c>
      <c r="P1657" t="s">
        <v>671</v>
      </c>
      <c r="Q1657" t="s">
        <v>414</v>
      </c>
      <c r="S1657">
        <v>3.25</v>
      </c>
      <c r="T1657">
        <v>694.13400000000001</v>
      </c>
      <c r="V1657">
        <v>694.13400000000001</v>
      </c>
      <c r="W1657" t="s">
        <v>478</v>
      </c>
    </row>
    <row r="1658" spans="1:23" x14ac:dyDescent="0.45">
      <c r="A1658">
        <v>45</v>
      </c>
      <c r="B1658">
        <v>45</v>
      </c>
      <c r="C1658" t="s">
        <v>626</v>
      </c>
      <c r="D1658" t="s">
        <v>414</v>
      </c>
      <c r="E1658">
        <v>10</v>
      </c>
      <c r="F1658">
        <v>3.23</v>
      </c>
      <c r="G1658">
        <v>304.887</v>
      </c>
      <c r="I1658">
        <v>304.887</v>
      </c>
      <c r="J1658" t="s">
        <v>415</v>
      </c>
      <c r="K1658">
        <v>4.3</v>
      </c>
      <c r="L1658">
        <v>-57.4</v>
      </c>
      <c r="N1658">
        <v>18</v>
      </c>
      <c r="O1658">
        <v>18</v>
      </c>
      <c r="P1658" t="s">
        <v>672</v>
      </c>
      <c r="Q1658" t="s">
        <v>414</v>
      </c>
      <c r="S1658">
        <v>2.76</v>
      </c>
      <c r="T1658">
        <v>574.346</v>
      </c>
      <c r="V1658">
        <v>574.346</v>
      </c>
      <c r="W1658" t="s">
        <v>477</v>
      </c>
    </row>
    <row r="1659" spans="1:23" x14ac:dyDescent="0.45">
      <c r="A1659">
        <v>46</v>
      </c>
      <c r="B1659">
        <v>46</v>
      </c>
      <c r="C1659" t="s">
        <v>627</v>
      </c>
      <c r="D1659" t="s">
        <v>414</v>
      </c>
      <c r="E1659">
        <v>10</v>
      </c>
      <c r="F1659">
        <v>3.23</v>
      </c>
      <c r="G1659">
        <v>519.28599999999994</v>
      </c>
      <c r="I1659">
        <v>519.28599999999994</v>
      </c>
      <c r="J1659" t="s">
        <v>415</v>
      </c>
      <c r="K1659">
        <v>7.3</v>
      </c>
      <c r="L1659">
        <v>-27.4</v>
      </c>
      <c r="N1659">
        <v>19</v>
      </c>
      <c r="O1659">
        <v>19</v>
      </c>
      <c r="P1659" t="s">
        <v>673</v>
      </c>
      <c r="Q1659" t="s">
        <v>414</v>
      </c>
      <c r="S1659">
        <v>3.24</v>
      </c>
      <c r="T1659">
        <v>857.88099999999997</v>
      </c>
      <c r="V1659">
        <v>857.88099999999997</v>
      </c>
      <c r="W1659" t="s">
        <v>478</v>
      </c>
    </row>
    <row r="1660" spans="1:23" x14ac:dyDescent="0.45">
      <c r="A1660">
        <v>47</v>
      </c>
      <c r="B1660">
        <v>47</v>
      </c>
      <c r="C1660" t="s">
        <v>628</v>
      </c>
      <c r="D1660" t="s">
        <v>414</v>
      </c>
      <c r="E1660">
        <v>10</v>
      </c>
      <c r="F1660">
        <v>3.23</v>
      </c>
      <c r="G1660">
        <v>718.22500000000002</v>
      </c>
      <c r="I1660">
        <v>718.22500000000002</v>
      </c>
      <c r="J1660" t="s">
        <v>415</v>
      </c>
      <c r="K1660">
        <v>10</v>
      </c>
      <c r="L1660">
        <v>0.3</v>
      </c>
      <c r="N1660">
        <v>20</v>
      </c>
      <c r="O1660">
        <v>20</v>
      </c>
      <c r="P1660" t="s">
        <v>674</v>
      </c>
      <c r="Q1660" t="s">
        <v>414</v>
      </c>
      <c r="S1660">
        <v>3.24</v>
      </c>
      <c r="T1660">
        <v>511.33499999999998</v>
      </c>
      <c r="V1660">
        <v>511.33499999999998</v>
      </c>
      <c r="W1660" t="s">
        <v>477</v>
      </c>
    </row>
    <row r="1661" spans="1:23" x14ac:dyDescent="0.45">
      <c r="A1661">
        <v>48</v>
      </c>
      <c r="B1661">
        <v>48</v>
      </c>
      <c r="C1661" t="s">
        <v>629</v>
      </c>
      <c r="D1661" t="s">
        <v>414</v>
      </c>
      <c r="E1661">
        <v>10</v>
      </c>
      <c r="F1661">
        <v>3.23</v>
      </c>
      <c r="G1661">
        <v>492.16899999999998</v>
      </c>
      <c r="I1661">
        <v>492.16899999999998</v>
      </c>
      <c r="J1661" t="s">
        <v>415</v>
      </c>
      <c r="K1661">
        <v>6.9</v>
      </c>
      <c r="L1661">
        <v>-31.2</v>
      </c>
      <c r="N1661">
        <v>21</v>
      </c>
      <c r="O1661">
        <v>21</v>
      </c>
      <c r="P1661" t="s">
        <v>675</v>
      </c>
      <c r="Q1661" t="s">
        <v>414</v>
      </c>
      <c r="S1661">
        <v>3.23</v>
      </c>
      <c r="T1661">
        <v>829.20899999999995</v>
      </c>
      <c r="V1661">
        <v>829.20899999999995</v>
      </c>
      <c r="W1661" t="s">
        <v>478</v>
      </c>
    </row>
    <row r="1662" spans="1:23" x14ac:dyDescent="0.45">
      <c r="A1662">
        <v>49</v>
      </c>
      <c r="B1662">
        <v>49</v>
      </c>
      <c r="C1662" t="s">
        <v>630</v>
      </c>
      <c r="D1662" t="s">
        <v>414</v>
      </c>
      <c r="E1662">
        <v>10</v>
      </c>
      <c r="F1662">
        <v>3.23</v>
      </c>
      <c r="G1662">
        <v>531.19899999999996</v>
      </c>
      <c r="I1662">
        <v>531.19899999999996</v>
      </c>
      <c r="J1662" t="s">
        <v>415</v>
      </c>
      <c r="K1662">
        <v>7.4</v>
      </c>
      <c r="L1662">
        <v>-25.8</v>
      </c>
      <c r="N1662">
        <v>22</v>
      </c>
      <c r="O1662">
        <v>22</v>
      </c>
      <c r="P1662" t="s">
        <v>676</v>
      </c>
      <c r="Q1662" t="s">
        <v>414</v>
      </c>
      <c r="S1662">
        <v>3.25</v>
      </c>
      <c r="T1662">
        <v>656.59299999999996</v>
      </c>
      <c r="V1662">
        <v>656.59299999999996</v>
      </c>
      <c r="W1662" t="s">
        <v>478</v>
      </c>
    </row>
    <row r="1663" spans="1:23" x14ac:dyDescent="0.45">
      <c r="A1663">
        <v>50</v>
      </c>
      <c r="B1663">
        <v>50</v>
      </c>
      <c r="C1663" t="s">
        <v>631</v>
      </c>
      <c r="D1663" t="s">
        <v>414</v>
      </c>
      <c r="E1663">
        <v>10</v>
      </c>
      <c r="F1663">
        <v>3.23</v>
      </c>
      <c r="G1663">
        <v>422.55</v>
      </c>
      <c r="I1663">
        <v>422.55</v>
      </c>
      <c r="J1663" t="s">
        <v>415</v>
      </c>
      <c r="K1663">
        <v>5.9</v>
      </c>
      <c r="L1663">
        <v>-41</v>
      </c>
      <c r="N1663">
        <v>23</v>
      </c>
      <c r="O1663">
        <v>23</v>
      </c>
      <c r="P1663" t="s">
        <v>677</v>
      </c>
      <c r="Q1663" t="s">
        <v>414</v>
      </c>
      <c r="S1663">
        <v>3.24</v>
      </c>
      <c r="T1663">
        <v>612.77700000000004</v>
      </c>
      <c r="V1663">
        <v>612.77700000000004</v>
      </c>
      <c r="W1663" t="s">
        <v>478</v>
      </c>
    </row>
    <row r="1664" spans="1:23" x14ac:dyDescent="0.45">
      <c r="A1664">
        <v>51</v>
      </c>
      <c r="B1664">
        <v>51</v>
      </c>
      <c r="C1664" t="s">
        <v>632</v>
      </c>
      <c r="D1664" t="s">
        <v>414</v>
      </c>
      <c r="E1664">
        <v>10</v>
      </c>
      <c r="F1664">
        <v>3.23</v>
      </c>
      <c r="G1664">
        <v>312.108</v>
      </c>
      <c r="I1664">
        <v>312.108</v>
      </c>
      <c r="J1664" t="s">
        <v>415</v>
      </c>
      <c r="K1664">
        <v>4.4000000000000004</v>
      </c>
      <c r="L1664">
        <v>-56.4</v>
      </c>
      <c r="N1664">
        <v>24</v>
      </c>
      <c r="O1664">
        <v>24</v>
      </c>
      <c r="P1664" t="s">
        <v>678</v>
      </c>
      <c r="Q1664" t="s">
        <v>414</v>
      </c>
      <c r="S1664">
        <v>3.23</v>
      </c>
      <c r="T1664">
        <v>627.13900000000001</v>
      </c>
      <c r="V1664">
        <v>627.13900000000001</v>
      </c>
      <c r="W1664" t="s">
        <v>478</v>
      </c>
    </row>
    <row r="1665" spans="1:23" x14ac:dyDescent="0.45">
      <c r="A1665">
        <v>52</v>
      </c>
      <c r="B1665">
        <v>52</v>
      </c>
      <c r="C1665" t="s">
        <v>633</v>
      </c>
      <c r="D1665" t="s">
        <v>414</v>
      </c>
      <c r="E1665">
        <v>10</v>
      </c>
      <c r="F1665">
        <v>3.23</v>
      </c>
      <c r="G1665">
        <v>634.79700000000003</v>
      </c>
      <c r="I1665">
        <v>634.79700000000003</v>
      </c>
      <c r="J1665" t="s">
        <v>415</v>
      </c>
      <c r="K1665">
        <v>8.9</v>
      </c>
      <c r="L1665">
        <v>-11.3</v>
      </c>
      <c r="N1665">
        <v>25</v>
      </c>
      <c r="O1665">
        <v>25</v>
      </c>
      <c r="P1665" t="s">
        <v>679</v>
      </c>
      <c r="Q1665" t="s">
        <v>414</v>
      </c>
      <c r="S1665">
        <v>3.25</v>
      </c>
      <c r="T1665">
        <v>558.92100000000005</v>
      </c>
      <c r="V1665">
        <v>558.92100000000005</v>
      </c>
      <c r="W1665" t="s">
        <v>478</v>
      </c>
    </row>
    <row r="1666" spans="1:23" x14ac:dyDescent="0.45">
      <c r="A1666">
        <v>53</v>
      </c>
      <c r="B1666">
        <v>53</v>
      </c>
      <c r="C1666" t="s">
        <v>634</v>
      </c>
      <c r="D1666" t="s">
        <v>414</v>
      </c>
      <c r="E1666">
        <v>10</v>
      </c>
      <c r="F1666">
        <v>3.23</v>
      </c>
      <c r="G1666">
        <v>499.18400000000003</v>
      </c>
      <c r="I1666">
        <v>499.18400000000003</v>
      </c>
      <c r="J1666" t="s">
        <v>415</v>
      </c>
      <c r="K1666">
        <v>7</v>
      </c>
      <c r="L1666">
        <v>-30.3</v>
      </c>
      <c r="N1666">
        <v>26</v>
      </c>
      <c r="O1666">
        <v>26</v>
      </c>
      <c r="P1666" t="s">
        <v>680</v>
      </c>
      <c r="Q1666" t="s">
        <v>414</v>
      </c>
      <c r="S1666">
        <v>3.25</v>
      </c>
      <c r="T1666">
        <v>765.99199999999996</v>
      </c>
      <c r="V1666">
        <v>765.99199999999996</v>
      </c>
      <c r="W1666" t="s">
        <v>478</v>
      </c>
    </row>
    <row r="1667" spans="1:23" x14ac:dyDescent="0.45">
      <c r="A1667">
        <v>54</v>
      </c>
      <c r="B1667">
        <v>54</v>
      </c>
      <c r="C1667" t="s">
        <v>635</v>
      </c>
      <c r="D1667" t="s">
        <v>414</v>
      </c>
      <c r="E1667">
        <v>10</v>
      </c>
      <c r="F1667">
        <v>3.23</v>
      </c>
      <c r="G1667">
        <v>256.32100000000003</v>
      </c>
      <c r="I1667">
        <v>256.32100000000003</v>
      </c>
      <c r="J1667" t="s">
        <v>415</v>
      </c>
      <c r="K1667">
        <v>3.6</v>
      </c>
      <c r="L1667">
        <v>-64.2</v>
      </c>
      <c r="N1667">
        <v>27</v>
      </c>
      <c r="O1667">
        <v>27</v>
      </c>
      <c r="P1667" t="s">
        <v>681</v>
      </c>
      <c r="Q1667" t="s">
        <v>414</v>
      </c>
      <c r="S1667">
        <v>3.23</v>
      </c>
      <c r="T1667">
        <v>689.81200000000001</v>
      </c>
      <c r="V1667">
        <v>689.81200000000001</v>
      </c>
      <c r="W1667" t="s">
        <v>478</v>
      </c>
    </row>
    <row r="1668" spans="1:23" x14ac:dyDescent="0.45">
      <c r="A1668">
        <v>55</v>
      </c>
      <c r="B1668">
        <v>55</v>
      </c>
      <c r="C1668" t="s">
        <v>636</v>
      </c>
      <c r="D1668" t="s">
        <v>414</v>
      </c>
      <c r="E1668">
        <v>10</v>
      </c>
      <c r="F1668">
        <v>3.22</v>
      </c>
      <c r="G1668">
        <v>526.49699999999996</v>
      </c>
      <c r="I1668">
        <v>526.49699999999996</v>
      </c>
      <c r="J1668" t="s">
        <v>415</v>
      </c>
      <c r="K1668">
        <v>7.4</v>
      </c>
      <c r="L1668">
        <v>-26.4</v>
      </c>
      <c r="N1668">
        <v>28</v>
      </c>
      <c r="O1668">
        <v>28</v>
      </c>
      <c r="P1668" t="s">
        <v>682</v>
      </c>
      <c r="Q1668" t="s">
        <v>414</v>
      </c>
      <c r="S1668">
        <v>3.25</v>
      </c>
      <c r="T1668">
        <v>622.67499999999995</v>
      </c>
      <c r="V1668">
        <v>622.67499999999995</v>
      </c>
      <c r="W1668" t="s">
        <v>478</v>
      </c>
    </row>
    <row r="1669" spans="1:23" x14ac:dyDescent="0.45">
      <c r="A1669">
        <v>56</v>
      </c>
      <c r="B1669">
        <v>56</v>
      </c>
      <c r="C1669" t="s">
        <v>637</v>
      </c>
      <c r="D1669" t="s">
        <v>414</v>
      </c>
      <c r="E1669">
        <v>10</v>
      </c>
      <c r="F1669">
        <v>3.23</v>
      </c>
      <c r="G1669">
        <v>618.45799999999997</v>
      </c>
      <c r="I1669">
        <v>618.45799999999997</v>
      </c>
      <c r="J1669" t="s">
        <v>415</v>
      </c>
      <c r="K1669">
        <v>8.6</v>
      </c>
      <c r="L1669">
        <v>-13.6</v>
      </c>
      <c r="N1669">
        <v>29</v>
      </c>
      <c r="O1669">
        <v>29</v>
      </c>
      <c r="P1669" t="s">
        <v>683</v>
      </c>
      <c r="Q1669" t="s">
        <v>414</v>
      </c>
      <c r="S1669">
        <v>3.23</v>
      </c>
      <c r="T1669">
        <v>772.9</v>
      </c>
      <c r="V1669">
        <v>772.9</v>
      </c>
      <c r="W1669" t="s">
        <v>477</v>
      </c>
    </row>
    <row r="1670" spans="1:23" x14ac:dyDescent="0.45">
      <c r="A1670">
        <v>57</v>
      </c>
      <c r="B1670">
        <v>57</v>
      </c>
      <c r="C1670" t="s">
        <v>638</v>
      </c>
      <c r="D1670" t="s">
        <v>414</v>
      </c>
      <c r="E1670">
        <v>10</v>
      </c>
      <c r="F1670">
        <v>3.23</v>
      </c>
      <c r="G1670">
        <v>280.62799999999999</v>
      </c>
      <c r="I1670">
        <v>280.62799999999999</v>
      </c>
      <c r="J1670" t="s">
        <v>415</v>
      </c>
      <c r="K1670">
        <v>3.9</v>
      </c>
      <c r="L1670">
        <v>-60.8</v>
      </c>
      <c r="N1670">
        <v>30</v>
      </c>
      <c r="O1670">
        <v>30</v>
      </c>
      <c r="P1670" t="s">
        <v>684</v>
      </c>
      <c r="Q1670" t="s">
        <v>414</v>
      </c>
      <c r="S1670">
        <v>3.24</v>
      </c>
      <c r="T1670">
        <v>584.41700000000003</v>
      </c>
      <c r="V1670">
        <v>584.41700000000003</v>
      </c>
      <c r="W1670" t="s">
        <v>478</v>
      </c>
    </row>
    <row r="1671" spans="1:23" x14ac:dyDescent="0.45">
      <c r="A1671">
        <v>58</v>
      </c>
      <c r="B1671">
        <v>58</v>
      </c>
      <c r="C1671" t="s">
        <v>639</v>
      </c>
      <c r="D1671" t="s">
        <v>414</v>
      </c>
      <c r="E1671">
        <v>10</v>
      </c>
      <c r="F1671">
        <v>3.22</v>
      </c>
      <c r="G1671">
        <v>222.76300000000001</v>
      </c>
      <c r="I1671">
        <v>222.76300000000001</v>
      </c>
      <c r="J1671" t="s">
        <v>488</v>
      </c>
      <c r="K1671">
        <v>3.1</v>
      </c>
      <c r="L1671">
        <v>-68.900000000000006</v>
      </c>
      <c r="N1671">
        <v>31</v>
      </c>
      <c r="O1671">
        <v>31</v>
      </c>
      <c r="P1671" t="s">
        <v>685</v>
      </c>
      <c r="Q1671" t="s">
        <v>414</v>
      </c>
      <c r="S1671">
        <v>3.24</v>
      </c>
      <c r="T1671">
        <v>777.58500000000004</v>
      </c>
      <c r="V1671">
        <v>777.58500000000004</v>
      </c>
      <c r="W1671" t="s">
        <v>477</v>
      </c>
    </row>
    <row r="1672" spans="1:23" x14ac:dyDescent="0.45">
      <c r="A1672">
        <v>59</v>
      </c>
      <c r="B1672">
        <v>59</v>
      </c>
      <c r="C1672" t="s">
        <v>640</v>
      </c>
      <c r="D1672" t="s">
        <v>414</v>
      </c>
      <c r="E1672">
        <v>10</v>
      </c>
      <c r="F1672">
        <v>3.23</v>
      </c>
      <c r="G1672">
        <v>353.70400000000001</v>
      </c>
      <c r="I1672">
        <v>353.70400000000001</v>
      </c>
      <c r="J1672" t="s">
        <v>415</v>
      </c>
      <c r="K1672">
        <v>4.9000000000000004</v>
      </c>
      <c r="L1672">
        <v>-50.6</v>
      </c>
      <c r="N1672">
        <v>32</v>
      </c>
      <c r="O1672">
        <v>32</v>
      </c>
      <c r="P1672" t="s">
        <v>686</v>
      </c>
      <c r="Q1672" t="s">
        <v>414</v>
      </c>
      <c r="S1672">
        <v>3.24</v>
      </c>
      <c r="T1672">
        <v>1510.3340000000001</v>
      </c>
      <c r="V1672">
        <v>1510.3340000000001</v>
      </c>
      <c r="W1672" t="s">
        <v>478</v>
      </c>
    </row>
    <row r="1673" spans="1:23" x14ac:dyDescent="0.45">
      <c r="A1673">
        <v>60</v>
      </c>
      <c r="B1673">
        <v>60</v>
      </c>
      <c r="C1673" t="s">
        <v>641</v>
      </c>
      <c r="D1673" t="s">
        <v>414</v>
      </c>
      <c r="E1673">
        <v>10</v>
      </c>
      <c r="F1673">
        <v>3.23</v>
      </c>
      <c r="G1673">
        <v>335.43</v>
      </c>
      <c r="I1673">
        <v>335.43</v>
      </c>
      <c r="J1673" t="s">
        <v>415</v>
      </c>
      <c r="K1673">
        <v>4.7</v>
      </c>
      <c r="L1673">
        <v>-53.1</v>
      </c>
      <c r="N1673">
        <v>33</v>
      </c>
      <c r="O1673">
        <v>33</v>
      </c>
      <c r="P1673" t="s">
        <v>687</v>
      </c>
      <c r="Q1673" t="s">
        <v>414</v>
      </c>
      <c r="S1673">
        <v>3.24</v>
      </c>
      <c r="T1673">
        <v>1172.684</v>
      </c>
      <c r="V1673">
        <v>1172.684</v>
      </c>
      <c r="W1673" t="s">
        <v>478</v>
      </c>
    </row>
    <row r="1674" spans="1:23" x14ac:dyDescent="0.45">
      <c r="A1674">
        <v>61</v>
      </c>
      <c r="B1674">
        <v>61</v>
      </c>
      <c r="C1674" t="s">
        <v>642</v>
      </c>
      <c r="D1674" t="s">
        <v>414</v>
      </c>
      <c r="E1674">
        <v>10</v>
      </c>
      <c r="F1674">
        <v>3.23</v>
      </c>
      <c r="G1674">
        <v>461.29399999999998</v>
      </c>
      <c r="I1674">
        <v>461.29399999999998</v>
      </c>
      <c r="J1674" t="s">
        <v>415</v>
      </c>
      <c r="K1674">
        <v>6.4</v>
      </c>
      <c r="L1674">
        <v>-35.6</v>
      </c>
      <c r="N1674">
        <v>34</v>
      </c>
      <c r="O1674">
        <v>34</v>
      </c>
      <c r="P1674" t="s">
        <v>688</v>
      </c>
      <c r="Q1674" t="s">
        <v>414</v>
      </c>
      <c r="S1674">
        <v>3.23</v>
      </c>
      <c r="T1674">
        <v>1646.895</v>
      </c>
      <c r="V1674">
        <v>1646.895</v>
      </c>
      <c r="W1674" t="s">
        <v>478</v>
      </c>
    </row>
    <row r="1675" spans="1:23" x14ac:dyDescent="0.45">
      <c r="A1675">
        <v>62</v>
      </c>
      <c r="B1675">
        <v>62</v>
      </c>
      <c r="C1675" t="s">
        <v>643</v>
      </c>
      <c r="D1675" t="s">
        <v>414</v>
      </c>
      <c r="E1675">
        <v>10</v>
      </c>
      <c r="F1675">
        <v>3.23</v>
      </c>
      <c r="G1675">
        <v>740.23599999999999</v>
      </c>
      <c r="I1675">
        <v>740.23599999999999</v>
      </c>
      <c r="J1675" t="s">
        <v>415</v>
      </c>
      <c r="K1675">
        <v>10.3</v>
      </c>
      <c r="L1675">
        <v>3.4</v>
      </c>
      <c r="N1675">
        <v>35</v>
      </c>
      <c r="O1675">
        <v>35</v>
      </c>
      <c r="P1675" t="s">
        <v>689</v>
      </c>
      <c r="Q1675" t="s">
        <v>414</v>
      </c>
      <c r="S1675">
        <v>3.23</v>
      </c>
      <c r="T1675">
        <v>1092.98</v>
      </c>
      <c r="V1675">
        <v>1092.98</v>
      </c>
      <c r="W1675" t="s">
        <v>478</v>
      </c>
    </row>
    <row r="1676" spans="1:23" x14ac:dyDescent="0.45">
      <c r="A1676">
        <v>63</v>
      </c>
      <c r="B1676">
        <v>63</v>
      </c>
      <c r="C1676" t="s">
        <v>644</v>
      </c>
      <c r="D1676" t="s">
        <v>414</v>
      </c>
      <c r="E1676">
        <v>10</v>
      </c>
      <c r="F1676">
        <v>3.23</v>
      </c>
      <c r="G1676">
        <v>304.80200000000002</v>
      </c>
      <c r="I1676">
        <v>304.80200000000002</v>
      </c>
      <c r="J1676" t="s">
        <v>415</v>
      </c>
      <c r="K1676">
        <v>4.3</v>
      </c>
      <c r="L1676">
        <v>-57.4</v>
      </c>
      <c r="N1676">
        <v>36</v>
      </c>
      <c r="O1676">
        <v>36</v>
      </c>
      <c r="P1676" t="s">
        <v>690</v>
      </c>
      <c r="Q1676" t="s">
        <v>414</v>
      </c>
      <c r="S1676">
        <v>3.23</v>
      </c>
      <c r="T1676">
        <v>1422.915</v>
      </c>
      <c r="V1676">
        <v>1422.915</v>
      </c>
      <c r="W1676" t="s">
        <v>477</v>
      </c>
    </row>
    <row r="1677" spans="1:23" x14ac:dyDescent="0.45">
      <c r="A1677">
        <v>64</v>
      </c>
      <c r="B1677">
        <v>64</v>
      </c>
      <c r="C1677" t="s">
        <v>645</v>
      </c>
      <c r="D1677" t="s">
        <v>414</v>
      </c>
      <c r="E1677">
        <v>10</v>
      </c>
      <c r="F1677">
        <v>3.23</v>
      </c>
      <c r="G1677">
        <v>297.88499999999999</v>
      </c>
      <c r="I1677">
        <v>297.88499999999999</v>
      </c>
      <c r="J1677" t="s">
        <v>415</v>
      </c>
      <c r="K1677">
        <v>4.2</v>
      </c>
      <c r="L1677">
        <v>-58.4</v>
      </c>
      <c r="N1677">
        <v>37</v>
      </c>
      <c r="O1677">
        <v>37</v>
      </c>
      <c r="P1677" t="s">
        <v>691</v>
      </c>
      <c r="Q1677" t="s">
        <v>414</v>
      </c>
      <c r="S1677">
        <v>3.23</v>
      </c>
      <c r="T1677">
        <v>1398.8969999999999</v>
      </c>
      <c r="V1677">
        <v>1398.8969999999999</v>
      </c>
      <c r="W1677" t="s">
        <v>478</v>
      </c>
    </row>
    <row r="1678" spans="1:23" x14ac:dyDescent="0.45">
      <c r="A1678">
        <v>65</v>
      </c>
      <c r="B1678">
        <v>65</v>
      </c>
      <c r="C1678" t="s">
        <v>646</v>
      </c>
      <c r="D1678" t="s">
        <v>414</v>
      </c>
      <c r="E1678">
        <v>10</v>
      </c>
      <c r="F1678">
        <v>3.22</v>
      </c>
      <c r="G1678">
        <v>343.589</v>
      </c>
      <c r="I1678">
        <v>343.589</v>
      </c>
      <c r="J1678" t="s">
        <v>415</v>
      </c>
      <c r="K1678">
        <v>4.8</v>
      </c>
      <c r="L1678">
        <v>-52</v>
      </c>
      <c r="N1678">
        <v>38</v>
      </c>
      <c r="O1678">
        <v>38</v>
      </c>
      <c r="P1678" t="s">
        <v>692</v>
      </c>
      <c r="Q1678" t="s">
        <v>414</v>
      </c>
      <c r="S1678">
        <v>3.24</v>
      </c>
      <c r="T1678">
        <v>1296.787</v>
      </c>
      <c r="V1678">
        <v>1296.787</v>
      </c>
      <c r="W1678" t="s">
        <v>478</v>
      </c>
    </row>
    <row r="1679" spans="1:23" x14ac:dyDescent="0.45">
      <c r="A1679">
        <v>66</v>
      </c>
      <c r="B1679">
        <v>66</v>
      </c>
      <c r="C1679" t="s">
        <v>647</v>
      </c>
      <c r="D1679" t="s">
        <v>414</v>
      </c>
      <c r="E1679">
        <v>10</v>
      </c>
      <c r="F1679">
        <v>3.22</v>
      </c>
      <c r="G1679">
        <v>489.92200000000003</v>
      </c>
      <c r="I1679">
        <v>489.92200000000003</v>
      </c>
      <c r="J1679" t="s">
        <v>415</v>
      </c>
      <c r="K1679">
        <v>6.8</v>
      </c>
      <c r="L1679">
        <v>-31.6</v>
      </c>
      <c r="N1679">
        <v>39</v>
      </c>
      <c r="O1679">
        <v>39</v>
      </c>
      <c r="P1679" t="s">
        <v>693</v>
      </c>
      <c r="Q1679" t="s">
        <v>414</v>
      </c>
      <c r="S1679">
        <v>3.25</v>
      </c>
      <c r="T1679">
        <v>1229.3209999999999</v>
      </c>
      <c r="V1679">
        <v>1229.3209999999999</v>
      </c>
      <c r="W1679" t="s">
        <v>478</v>
      </c>
    </row>
    <row r="1680" spans="1:23" x14ac:dyDescent="0.45">
      <c r="A1680">
        <v>67</v>
      </c>
      <c r="B1680">
        <v>67</v>
      </c>
      <c r="C1680" t="s">
        <v>648</v>
      </c>
      <c r="D1680" t="s">
        <v>414</v>
      </c>
      <c r="E1680">
        <v>10</v>
      </c>
      <c r="F1680">
        <v>3.22</v>
      </c>
      <c r="G1680">
        <v>263.76499999999999</v>
      </c>
      <c r="I1680">
        <v>263.76499999999999</v>
      </c>
      <c r="J1680" t="s">
        <v>415</v>
      </c>
      <c r="K1680">
        <v>3.7</v>
      </c>
      <c r="L1680">
        <v>-63.1</v>
      </c>
      <c r="N1680">
        <v>40</v>
      </c>
      <c r="O1680">
        <v>40</v>
      </c>
      <c r="P1680" t="s">
        <v>694</v>
      </c>
      <c r="Q1680" t="s">
        <v>414</v>
      </c>
      <c r="S1680">
        <v>3.24</v>
      </c>
      <c r="T1680">
        <v>1667.3320000000001</v>
      </c>
      <c r="V1680">
        <v>1667.3320000000001</v>
      </c>
      <c r="W1680" t="s">
        <v>478</v>
      </c>
    </row>
    <row r="1681" spans="1:23" x14ac:dyDescent="0.45">
      <c r="A1681">
        <v>68</v>
      </c>
      <c r="B1681">
        <v>68</v>
      </c>
      <c r="C1681" t="s">
        <v>649</v>
      </c>
      <c r="D1681" t="s">
        <v>414</v>
      </c>
      <c r="E1681">
        <v>10</v>
      </c>
      <c r="F1681">
        <v>3.23</v>
      </c>
      <c r="G1681">
        <v>316.54700000000003</v>
      </c>
      <c r="I1681">
        <v>316.54700000000003</v>
      </c>
      <c r="J1681" t="s">
        <v>415</v>
      </c>
      <c r="K1681">
        <v>4.4000000000000004</v>
      </c>
      <c r="L1681">
        <v>-55.8</v>
      </c>
      <c r="N1681">
        <v>41</v>
      </c>
      <c r="O1681">
        <v>41</v>
      </c>
      <c r="P1681" t="s">
        <v>695</v>
      </c>
      <c r="Q1681" t="s">
        <v>414</v>
      </c>
      <c r="S1681">
        <v>3.24</v>
      </c>
      <c r="T1681">
        <v>1975.627</v>
      </c>
      <c r="V1681">
        <v>1975.627</v>
      </c>
      <c r="W1681" t="s">
        <v>478</v>
      </c>
    </row>
    <row r="1682" spans="1:23" x14ac:dyDescent="0.45">
      <c r="A1682">
        <v>69</v>
      </c>
      <c r="B1682">
        <v>69</v>
      </c>
      <c r="C1682" t="s">
        <v>650</v>
      </c>
      <c r="D1682" t="s">
        <v>414</v>
      </c>
      <c r="E1682">
        <v>10</v>
      </c>
      <c r="F1682">
        <v>3.23</v>
      </c>
      <c r="G1682">
        <v>567.75800000000004</v>
      </c>
      <c r="I1682">
        <v>567.75800000000004</v>
      </c>
      <c r="J1682" t="s">
        <v>415</v>
      </c>
      <c r="K1682">
        <v>7.9</v>
      </c>
      <c r="L1682">
        <v>-20.7</v>
      </c>
      <c r="N1682">
        <v>42</v>
      </c>
      <c r="O1682">
        <v>42</v>
      </c>
      <c r="P1682" t="s">
        <v>696</v>
      </c>
      <c r="Q1682" t="s">
        <v>414</v>
      </c>
      <c r="S1682">
        <v>3.24</v>
      </c>
      <c r="T1682">
        <v>2059.5369999999998</v>
      </c>
      <c r="V1682">
        <v>2059.5369999999998</v>
      </c>
      <c r="W1682" t="s">
        <v>478</v>
      </c>
    </row>
    <row r="1683" spans="1:23" x14ac:dyDescent="0.45">
      <c r="N1683">
        <v>43</v>
      </c>
      <c r="O1683">
        <v>43</v>
      </c>
      <c r="P1683" t="s">
        <v>697</v>
      </c>
      <c r="Q1683" t="s">
        <v>414</v>
      </c>
      <c r="S1683">
        <v>3.24</v>
      </c>
      <c r="T1683">
        <v>2807.471</v>
      </c>
      <c r="V1683">
        <v>2807.471</v>
      </c>
      <c r="W1683" t="s">
        <v>478</v>
      </c>
    </row>
    <row r="1684" spans="1:23" x14ac:dyDescent="0.45">
      <c r="A1684" t="s">
        <v>509</v>
      </c>
      <c r="N1684">
        <v>44</v>
      </c>
      <c r="O1684">
        <v>44</v>
      </c>
      <c r="P1684" t="s">
        <v>698</v>
      </c>
      <c r="Q1684" t="s">
        <v>414</v>
      </c>
      <c r="S1684">
        <v>3.23</v>
      </c>
      <c r="T1684">
        <v>1339.806</v>
      </c>
      <c r="V1684">
        <v>1339.806</v>
      </c>
      <c r="W1684" t="s">
        <v>478</v>
      </c>
    </row>
    <row r="1685" spans="1:23" x14ac:dyDescent="0.45">
      <c r="N1685">
        <v>45</v>
      </c>
      <c r="O1685">
        <v>45</v>
      </c>
      <c r="P1685" t="s">
        <v>699</v>
      </c>
      <c r="Q1685" t="s">
        <v>414</v>
      </c>
      <c r="S1685">
        <v>3.24</v>
      </c>
      <c r="T1685">
        <v>960.34699999999998</v>
      </c>
      <c r="V1685">
        <v>960.34699999999998</v>
      </c>
      <c r="W1685" t="s">
        <v>478</v>
      </c>
    </row>
    <row r="1686" spans="1:23" x14ac:dyDescent="0.45">
      <c r="B1686" t="s">
        <v>389</v>
      </c>
      <c r="C1686" t="s">
        <v>123</v>
      </c>
      <c r="D1686" t="s">
        <v>390</v>
      </c>
      <c r="E1686" t="s">
        <v>391</v>
      </c>
      <c r="F1686" t="s">
        <v>392</v>
      </c>
      <c r="G1686" t="s">
        <v>393</v>
      </c>
      <c r="H1686" t="s">
        <v>394</v>
      </c>
      <c r="I1686" t="s">
        <v>395</v>
      </c>
      <c r="J1686" t="s">
        <v>396</v>
      </c>
      <c r="K1686" t="s">
        <v>397</v>
      </c>
      <c r="L1686" t="s">
        <v>398</v>
      </c>
      <c r="N1686">
        <v>46</v>
      </c>
      <c r="O1686">
        <v>46</v>
      </c>
      <c r="P1686" t="s">
        <v>700</v>
      </c>
      <c r="Q1686" t="s">
        <v>414</v>
      </c>
      <c r="S1686">
        <v>3.24</v>
      </c>
      <c r="T1686">
        <v>890.71600000000001</v>
      </c>
      <c r="V1686">
        <v>890.71600000000001</v>
      </c>
      <c r="W1686" t="s">
        <v>477</v>
      </c>
    </row>
    <row r="1687" spans="1:23" x14ac:dyDescent="0.45">
      <c r="A1687">
        <v>1</v>
      </c>
      <c r="B1687">
        <v>1</v>
      </c>
      <c r="C1687" t="s">
        <v>582</v>
      </c>
      <c r="D1687" t="s">
        <v>400</v>
      </c>
      <c r="E1687">
        <v>0.05</v>
      </c>
      <c r="F1687">
        <v>2.76</v>
      </c>
      <c r="G1687">
        <v>405123.90600000002</v>
      </c>
      <c r="I1687">
        <v>405123.90600000002</v>
      </c>
      <c r="J1687" t="s">
        <v>476</v>
      </c>
      <c r="N1687">
        <v>47</v>
      </c>
      <c r="O1687">
        <v>47</v>
      </c>
      <c r="P1687" t="s">
        <v>701</v>
      </c>
      <c r="Q1687" t="s">
        <v>414</v>
      </c>
      <c r="S1687">
        <v>3.23</v>
      </c>
      <c r="T1687">
        <v>1347.3789999999999</v>
      </c>
      <c r="V1687">
        <v>1347.3789999999999</v>
      </c>
      <c r="W1687" t="s">
        <v>478</v>
      </c>
    </row>
    <row r="1688" spans="1:23" x14ac:dyDescent="0.45">
      <c r="A1688">
        <v>2</v>
      </c>
      <c r="B1688">
        <v>2</v>
      </c>
      <c r="C1688" t="s">
        <v>583</v>
      </c>
      <c r="D1688" t="s">
        <v>400</v>
      </c>
      <c r="E1688">
        <v>0.5</v>
      </c>
      <c r="F1688">
        <v>2.76</v>
      </c>
      <c r="G1688">
        <v>2678589.75</v>
      </c>
      <c r="I1688">
        <v>2678589.75</v>
      </c>
      <c r="J1688" t="s">
        <v>401</v>
      </c>
      <c r="K1688">
        <v>0.3</v>
      </c>
      <c r="L1688">
        <v>-48.2</v>
      </c>
      <c r="N1688">
        <v>48</v>
      </c>
      <c r="O1688">
        <v>48</v>
      </c>
      <c r="P1688" t="s">
        <v>702</v>
      </c>
      <c r="Q1688" t="s">
        <v>414</v>
      </c>
      <c r="S1688">
        <v>3.24</v>
      </c>
      <c r="T1688">
        <v>1020.6849999999999</v>
      </c>
      <c r="V1688">
        <v>1020.6849999999999</v>
      </c>
      <c r="W1688" t="s">
        <v>478</v>
      </c>
    </row>
    <row r="1689" spans="1:23" x14ac:dyDescent="0.45">
      <c r="A1689">
        <v>3</v>
      </c>
      <c r="B1689">
        <v>3</v>
      </c>
      <c r="C1689" t="s">
        <v>584</v>
      </c>
      <c r="D1689" t="s">
        <v>400</v>
      </c>
      <c r="E1689">
        <v>1.25</v>
      </c>
      <c r="F1689">
        <v>2.76</v>
      </c>
      <c r="G1689">
        <v>4476615.5</v>
      </c>
      <c r="I1689">
        <v>4476615.5</v>
      </c>
      <c r="J1689" t="s">
        <v>401</v>
      </c>
      <c r="K1689">
        <v>2</v>
      </c>
      <c r="L1689">
        <v>58.2</v>
      </c>
      <c r="N1689">
        <v>49</v>
      </c>
      <c r="O1689">
        <v>49</v>
      </c>
      <c r="P1689" t="s">
        <v>703</v>
      </c>
      <c r="Q1689" t="s">
        <v>414</v>
      </c>
      <c r="S1689">
        <v>3.24</v>
      </c>
      <c r="T1689">
        <v>1005.364</v>
      </c>
      <c r="V1689">
        <v>1005.364</v>
      </c>
      <c r="W1689" t="s">
        <v>477</v>
      </c>
    </row>
    <row r="1690" spans="1:23" x14ac:dyDescent="0.45">
      <c r="A1690">
        <v>4</v>
      </c>
      <c r="B1690">
        <v>4</v>
      </c>
      <c r="C1690" t="s">
        <v>585</v>
      </c>
      <c r="D1690" t="s">
        <v>400</v>
      </c>
      <c r="E1690">
        <v>2.5</v>
      </c>
      <c r="F1690">
        <v>2.77</v>
      </c>
      <c r="G1690">
        <v>6447341.5</v>
      </c>
      <c r="I1690">
        <v>6447341.5</v>
      </c>
      <c r="J1690" t="s">
        <v>415</v>
      </c>
      <c r="K1690">
        <v>3.9</v>
      </c>
      <c r="L1690">
        <v>54.4</v>
      </c>
      <c r="N1690">
        <v>50</v>
      </c>
      <c r="O1690">
        <v>50</v>
      </c>
      <c r="P1690" t="s">
        <v>704</v>
      </c>
      <c r="Q1690" t="s">
        <v>414</v>
      </c>
      <c r="S1690">
        <v>3.23</v>
      </c>
      <c r="T1690">
        <v>1874.2570000000001</v>
      </c>
      <c r="V1690">
        <v>1874.2570000000001</v>
      </c>
      <c r="W1690" t="s">
        <v>476</v>
      </c>
    </row>
    <row r="1691" spans="1:23" x14ac:dyDescent="0.45">
      <c r="A1691">
        <v>5</v>
      </c>
      <c r="B1691">
        <v>5</v>
      </c>
      <c r="C1691" t="s">
        <v>586</v>
      </c>
      <c r="D1691" t="s">
        <v>400</v>
      </c>
      <c r="E1691">
        <v>3.5</v>
      </c>
      <c r="F1691">
        <v>2.76</v>
      </c>
      <c r="G1691">
        <v>7341847.5</v>
      </c>
      <c r="I1691">
        <v>7341847.5</v>
      </c>
      <c r="J1691" t="s">
        <v>401</v>
      </c>
      <c r="K1691">
        <v>4.7</v>
      </c>
      <c r="L1691">
        <v>34.700000000000003</v>
      </c>
      <c r="N1691">
        <v>51</v>
      </c>
      <c r="O1691">
        <v>51</v>
      </c>
      <c r="P1691" t="s">
        <v>705</v>
      </c>
      <c r="Q1691" t="s">
        <v>414</v>
      </c>
      <c r="S1691">
        <v>3.25</v>
      </c>
      <c r="T1691">
        <v>799.74400000000003</v>
      </c>
      <c r="V1691">
        <v>799.74400000000003</v>
      </c>
      <c r="W1691" t="s">
        <v>478</v>
      </c>
    </row>
    <row r="1692" spans="1:23" x14ac:dyDescent="0.45">
      <c r="A1692">
        <v>6</v>
      </c>
      <c r="B1692">
        <v>6</v>
      </c>
      <c r="C1692" t="s">
        <v>587</v>
      </c>
      <c r="D1692" t="s">
        <v>400</v>
      </c>
      <c r="E1692">
        <v>5</v>
      </c>
      <c r="F1692">
        <v>2.77</v>
      </c>
      <c r="G1692">
        <v>7981536</v>
      </c>
      <c r="I1692">
        <v>7981536</v>
      </c>
      <c r="J1692" t="s">
        <v>415</v>
      </c>
      <c r="K1692">
        <v>5.3</v>
      </c>
      <c r="L1692">
        <v>6.5</v>
      </c>
      <c r="N1692">
        <v>52</v>
      </c>
      <c r="O1692">
        <v>52</v>
      </c>
      <c r="P1692" t="s">
        <v>706</v>
      </c>
      <c r="Q1692" t="s">
        <v>414</v>
      </c>
      <c r="S1692">
        <v>3.24</v>
      </c>
      <c r="T1692">
        <v>784.69899999999996</v>
      </c>
      <c r="V1692">
        <v>784.69899999999996</v>
      </c>
      <c r="W1692" t="s">
        <v>477</v>
      </c>
    </row>
    <row r="1693" spans="1:23" x14ac:dyDescent="0.45">
      <c r="A1693">
        <v>7</v>
      </c>
      <c r="B1693">
        <v>7</v>
      </c>
      <c r="C1693" t="s">
        <v>588</v>
      </c>
      <c r="D1693" t="s">
        <v>400</v>
      </c>
      <c r="E1693">
        <v>7</v>
      </c>
      <c r="F1693">
        <v>2.76</v>
      </c>
      <c r="G1693">
        <v>8239595</v>
      </c>
      <c r="I1693">
        <v>8239595</v>
      </c>
      <c r="J1693" t="s">
        <v>415</v>
      </c>
      <c r="K1693">
        <v>5.6</v>
      </c>
      <c r="L1693">
        <v>-20.399999999999999</v>
      </c>
      <c r="N1693">
        <v>53</v>
      </c>
      <c r="O1693">
        <v>53</v>
      </c>
      <c r="P1693" t="s">
        <v>707</v>
      </c>
      <c r="Q1693" t="s">
        <v>414</v>
      </c>
      <c r="S1693">
        <v>3.23</v>
      </c>
      <c r="T1693">
        <v>1387.4649999999999</v>
      </c>
      <c r="V1693">
        <v>1387.4649999999999</v>
      </c>
      <c r="W1693" t="s">
        <v>478</v>
      </c>
    </row>
    <row r="1694" spans="1:23" x14ac:dyDescent="0.45">
      <c r="A1694">
        <v>8</v>
      </c>
      <c r="B1694">
        <v>8</v>
      </c>
      <c r="C1694" t="s">
        <v>589</v>
      </c>
      <c r="D1694" t="s">
        <v>410</v>
      </c>
      <c r="F1694">
        <v>2.77</v>
      </c>
      <c r="G1694">
        <v>64409.745999999999</v>
      </c>
      <c r="I1694">
        <v>64409.745999999999</v>
      </c>
      <c r="J1694" t="s">
        <v>478</v>
      </c>
      <c r="N1694">
        <v>54</v>
      </c>
      <c r="O1694">
        <v>54</v>
      </c>
      <c r="P1694" t="s">
        <v>708</v>
      </c>
      <c r="Q1694" t="s">
        <v>414</v>
      </c>
      <c r="S1694">
        <v>3.24</v>
      </c>
      <c r="T1694">
        <v>1059.8399999999999</v>
      </c>
      <c r="V1694">
        <v>1059.8399999999999</v>
      </c>
      <c r="W1694" t="s">
        <v>477</v>
      </c>
    </row>
    <row r="1695" spans="1:23" x14ac:dyDescent="0.45">
      <c r="A1695">
        <v>9</v>
      </c>
      <c r="B1695">
        <v>9</v>
      </c>
      <c r="C1695" t="s">
        <v>590</v>
      </c>
      <c r="D1695" t="s">
        <v>410</v>
      </c>
      <c r="F1695">
        <v>2.76</v>
      </c>
      <c r="G1695">
        <v>7561.85</v>
      </c>
      <c r="I1695">
        <v>7561.85</v>
      </c>
      <c r="J1695" t="s">
        <v>478</v>
      </c>
      <c r="N1695">
        <v>55</v>
      </c>
      <c r="O1695">
        <v>55</v>
      </c>
      <c r="P1695" t="s">
        <v>709</v>
      </c>
      <c r="Q1695" t="s">
        <v>414</v>
      </c>
      <c r="S1695">
        <v>3.23</v>
      </c>
      <c r="T1695">
        <v>1483.9110000000001</v>
      </c>
      <c r="V1695">
        <v>1483.9110000000001</v>
      </c>
      <c r="W1695" t="s">
        <v>478</v>
      </c>
    </row>
    <row r="1696" spans="1:23" x14ac:dyDescent="0.45">
      <c r="A1696">
        <v>10</v>
      </c>
      <c r="B1696">
        <v>10</v>
      </c>
      <c r="C1696" t="s">
        <v>591</v>
      </c>
      <c r="D1696" t="s">
        <v>414</v>
      </c>
      <c r="F1696">
        <v>2.76</v>
      </c>
      <c r="G1696">
        <v>4349.0219999999999</v>
      </c>
      <c r="I1696">
        <v>4349.0219999999999</v>
      </c>
      <c r="J1696" t="s">
        <v>478</v>
      </c>
      <c r="N1696">
        <v>56</v>
      </c>
      <c r="O1696">
        <v>56</v>
      </c>
      <c r="P1696" t="s">
        <v>710</v>
      </c>
      <c r="Q1696" t="s">
        <v>414</v>
      </c>
      <c r="S1696">
        <v>3.24</v>
      </c>
      <c r="T1696">
        <v>815.37400000000002</v>
      </c>
      <c r="V1696">
        <v>815.37400000000002</v>
      </c>
      <c r="W1696" t="s">
        <v>477</v>
      </c>
    </row>
    <row r="1697" spans="1:23" x14ac:dyDescent="0.45">
      <c r="A1697">
        <v>11</v>
      </c>
      <c r="B1697">
        <v>11</v>
      </c>
      <c r="C1697" t="s">
        <v>592</v>
      </c>
      <c r="D1697" t="s">
        <v>414</v>
      </c>
      <c r="F1697">
        <v>2.77</v>
      </c>
      <c r="G1697">
        <v>2141.9760000000001</v>
      </c>
      <c r="I1697">
        <v>2141.9760000000001</v>
      </c>
      <c r="J1697" t="s">
        <v>478</v>
      </c>
      <c r="N1697">
        <v>57</v>
      </c>
      <c r="O1697">
        <v>57</v>
      </c>
      <c r="P1697" t="s">
        <v>711</v>
      </c>
      <c r="Q1697" t="s">
        <v>414</v>
      </c>
      <c r="S1697">
        <v>3.24</v>
      </c>
      <c r="T1697">
        <v>1201.8499999999999</v>
      </c>
      <c r="V1697">
        <v>1201.8499999999999</v>
      </c>
      <c r="W1697" t="s">
        <v>477</v>
      </c>
    </row>
    <row r="1698" spans="1:23" x14ac:dyDescent="0.45">
      <c r="A1698">
        <v>12</v>
      </c>
      <c r="B1698">
        <v>12</v>
      </c>
      <c r="C1698" t="s">
        <v>593</v>
      </c>
      <c r="D1698" t="s">
        <v>414</v>
      </c>
      <c r="F1698">
        <v>2.77</v>
      </c>
      <c r="G1698">
        <v>1477.5170000000001</v>
      </c>
      <c r="I1698">
        <v>1477.5170000000001</v>
      </c>
      <c r="J1698" t="s">
        <v>477</v>
      </c>
      <c r="N1698">
        <v>58</v>
      </c>
      <c r="O1698">
        <v>58</v>
      </c>
      <c r="P1698" t="s">
        <v>712</v>
      </c>
      <c r="Q1698" t="s">
        <v>414</v>
      </c>
      <c r="S1698">
        <v>3.25</v>
      </c>
      <c r="T1698">
        <v>1500.1559999999999</v>
      </c>
      <c r="V1698">
        <v>1500.1559999999999</v>
      </c>
      <c r="W1698" t="s">
        <v>476</v>
      </c>
    </row>
    <row r="1699" spans="1:23" x14ac:dyDescent="0.45">
      <c r="A1699">
        <v>13</v>
      </c>
      <c r="B1699">
        <v>13</v>
      </c>
      <c r="C1699" t="s">
        <v>594</v>
      </c>
      <c r="D1699" t="s">
        <v>414</v>
      </c>
      <c r="F1699">
        <v>2.76</v>
      </c>
      <c r="G1699">
        <v>1204.3969999999999</v>
      </c>
      <c r="I1699">
        <v>1204.3969999999999</v>
      </c>
      <c r="J1699" t="s">
        <v>478</v>
      </c>
      <c r="N1699">
        <v>59</v>
      </c>
      <c r="O1699">
        <v>59</v>
      </c>
      <c r="P1699" t="s">
        <v>713</v>
      </c>
      <c r="Q1699" t="s">
        <v>414</v>
      </c>
      <c r="S1699">
        <v>3.24</v>
      </c>
      <c r="T1699">
        <v>777.35299999999995</v>
      </c>
      <c r="V1699">
        <v>777.35299999999995</v>
      </c>
      <c r="W1699" t="s">
        <v>478</v>
      </c>
    </row>
    <row r="1700" spans="1:23" x14ac:dyDescent="0.45">
      <c r="A1700">
        <v>14</v>
      </c>
      <c r="B1700">
        <v>14</v>
      </c>
      <c r="C1700" t="s">
        <v>595</v>
      </c>
      <c r="D1700" t="s">
        <v>414</v>
      </c>
      <c r="F1700">
        <v>2.77</v>
      </c>
      <c r="G1700">
        <v>931.84900000000005</v>
      </c>
      <c r="I1700">
        <v>931.84900000000005</v>
      </c>
      <c r="J1700" t="s">
        <v>477</v>
      </c>
      <c r="N1700">
        <v>60</v>
      </c>
      <c r="O1700">
        <v>60</v>
      </c>
      <c r="P1700" t="s">
        <v>714</v>
      </c>
      <c r="Q1700" t="s">
        <v>414</v>
      </c>
      <c r="S1700">
        <v>3.24</v>
      </c>
      <c r="T1700">
        <v>1342.856</v>
      </c>
      <c r="V1700">
        <v>1342.856</v>
      </c>
      <c r="W1700" t="s">
        <v>477</v>
      </c>
    </row>
    <row r="1701" spans="1:23" x14ac:dyDescent="0.45">
      <c r="A1701">
        <v>15</v>
      </c>
      <c r="B1701">
        <v>15</v>
      </c>
      <c r="C1701" t="s">
        <v>596</v>
      </c>
      <c r="D1701" t="s">
        <v>414</v>
      </c>
      <c r="F1701">
        <v>3.24</v>
      </c>
      <c r="G1701">
        <v>668.60299999999995</v>
      </c>
      <c r="I1701">
        <v>668.60299999999995</v>
      </c>
      <c r="J1701" t="s">
        <v>477</v>
      </c>
      <c r="N1701">
        <v>61</v>
      </c>
      <c r="O1701">
        <v>61</v>
      </c>
      <c r="P1701" t="s">
        <v>715</v>
      </c>
      <c r="Q1701" t="s">
        <v>414</v>
      </c>
      <c r="S1701">
        <v>3.23</v>
      </c>
      <c r="T1701">
        <v>2485.3910000000001</v>
      </c>
      <c r="V1701">
        <v>2485.3910000000001</v>
      </c>
      <c r="W1701" t="s">
        <v>478</v>
      </c>
    </row>
    <row r="1702" spans="1:23" x14ac:dyDescent="0.45">
      <c r="A1702">
        <v>16</v>
      </c>
      <c r="B1702">
        <v>16</v>
      </c>
      <c r="C1702" t="s">
        <v>597</v>
      </c>
      <c r="D1702" t="s">
        <v>414</v>
      </c>
      <c r="F1702">
        <v>3.24</v>
      </c>
      <c r="G1702">
        <v>1199.278</v>
      </c>
      <c r="I1702">
        <v>1199.278</v>
      </c>
      <c r="J1702" t="s">
        <v>478</v>
      </c>
      <c r="N1702">
        <v>62</v>
      </c>
      <c r="O1702">
        <v>62</v>
      </c>
      <c r="P1702" t="s">
        <v>716</v>
      </c>
      <c r="Q1702" t="s">
        <v>414</v>
      </c>
      <c r="S1702">
        <v>3.25</v>
      </c>
      <c r="T1702">
        <v>851.68499999999995</v>
      </c>
      <c r="V1702">
        <v>851.68499999999995</v>
      </c>
      <c r="W1702" t="s">
        <v>478</v>
      </c>
    </row>
    <row r="1703" spans="1:23" x14ac:dyDescent="0.45">
      <c r="A1703">
        <v>17</v>
      </c>
      <c r="B1703">
        <v>17</v>
      </c>
      <c r="C1703" t="s">
        <v>598</v>
      </c>
      <c r="D1703" t="s">
        <v>414</v>
      </c>
      <c r="F1703">
        <v>3.25</v>
      </c>
      <c r="G1703">
        <v>757.59400000000005</v>
      </c>
      <c r="I1703">
        <v>757.59400000000005</v>
      </c>
      <c r="J1703" t="s">
        <v>479</v>
      </c>
      <c r="N1703">
        <v>63</v>
      </c>
      <c r="O1703">
        <v>63</v>
      </c>
      <c r="P1703" t="s">
        <v>717</v>
      </c>
      <c r="Q1703" t="s">
        <v>414</v>
      </c>
      <c r="S1703">
        <v>3.25</v>
      </c>
      <c r="T1703">
        <v>1268.0050000000001</v>
      </c>
      <c r="V1703">
        <v>1268.0050000000001</v>
      </c>
      <c r="W1703" t="s">
        <v>478</v>
      </c>
    </row>
    <row r="1704" spans="1:23" x14ac:dyDescent="0.45">
      <c r="A1704">
        <v>18</v>
      </c>
      <c r="B1704">
        <v>18</v>
      </c>
      <c r="C1704" t="s">
        <v>599</v>
      </c>
      <c r="D1704" t="s">
        <v>414</v>
      </c>
      <c r="F1704">
        <v>2.77</v>
      </c>
      <c r="G1704">
        <v>569.02</v>
      </c>
      <c r="I1704">
        <v>569.02</v>
      </c>
      <c r="J1704" t="s">
        <v>478</v>
      </c>
      <c r="N1704">
        <v>64</v>
      </c>
      <c r="O1704">
        <v>64</v>
      </c>
      <c r="P1704" t="s">
        <v>718</v>
      </c>
      <c r="Q1704" t="s">
        <v>414</v>
      </c>
      <c r="S1704">
        <v>3.25</v>
      </c>
      <c r="T1704">
        <v>1647.6959999999999</v>
      </c>
      <c r="V1704">
        <v>1647.6959999999999</v>
      </c>
      <c r="W1704" t="s">
        <v>478</v>
      </c>
    </row>
    <row r="1705" spans="1:23" x14ac:dyDescent="0.45">
      <c r="A1705">
        <v>19</v>
      </c>
      <c r="B1705">
        <v>19</v>
      </c>
      <c r="C1705" t="s">
        <v>600</v>
      </c>
      <c r="D1705" t="s">
        <v>414</v>
      </c>
      <c r="F1705">
        <v>3.25</v>
      </c>
      <c r="G1705">
        <v>574.423</v>
      </c>
      <c r="I1705">
        <v>574.423</v>
      </c>
      <c r="J1705" t="s">
        <v>477</v>
      </c>
      <c r="N1705">
        <v>65</v>
      </c>
      <c r="O1705">
        <v>65</v>
      </c>
      <c r="P1705" t="s">
        <v>719</v>
      </c>
      <c r="Q1705" t="s">
        <v>414</v>
      </c>
      <c r="S1705">
        <v>3.24</v>
      </c>
      <c r="T1705">
        <v>1056.3789999999999</v>
      </c>
      <c r="V1705">
        <v>1056.3789999999999</v>
      </c>
      <c r="W1705" t="s">
        <v>478</v>
      </c>
    </row>
    <row r="1706" spans="1:23" x14ac:dyDescent="0.45">
      <c r="A1706">
        <v>20</v>
      </c>
      <c r="B1706">
        <v>20</v>
      </c>
      <c r="C1706" t="s">
        <v>601</v>
      </c>
      <c r="D1706" t="s">
        <v>414</v>
      </c>
      <c r="F1706">
        <v>2.77</v>
      </c>
      <c r="G1706">
        <v>434.36799999999999</v>
      </c>
      <c r="I1706">
        <v>434.36799999999999</v>
      </c>
      <c r="J1706" t="s">
        <v>478</v>
      </c>
      <c r="N1706">
        <v>66</v>
      </c>
      <c r="O1706">
        <v>66</v>
      </c>
      <c r="P1706" t="s">
        <v>720</v>
      </c>
      <c r="Q1706" t="s">
        <v>414</v>
      </c>
      <c r="S1706">
        <v>3.23</v>
      </c>
      <c r="T1706">
        <v>2156.2759999999998</v>
      </c>
      <c r="V1706">
        <v>2156.2759999999998</v>
      </c>
      <c r="W1706" t="s">
        <v>478</v>
      </c>
    </row>
    <row r="1707" spans="1:23" x14ac:dyDescent="0.45">
      <c r="A1707">
        <v>21</v>
      </c>
      <c r="B1707">
        <v>21</v>
      </c>
      <c r="C1707" t="s">
        <v>602</v>
      </c>
      <c r="D1707" t="s">
        <v>414</v>
      </c>
      <c r="F1707">
        <v>3.25</v>
      </c>
      <c r="G1707">
        <v>346.53699999999998</v>
      </c>
      <c r="I1707">
        <v>346.53699999999998</v>
      </c>
      <c r="J1707" t="s">
        <v>478</v>
      </c>
      <c r="N1707">
        <v>67</v>
      </c>
      <c r="O1707">
        <v>67</v>
      </c>
      <c r="P1707" t="s">
        <v>721</v>
      </c>
      <c r="Q1707" t="s">
        <v>414</v>
      </c>
      <c r="S1707">
        <v>3.23</v>
      </c>
      <c r="T1707">
        <v>2525.643</v>
      </c>
      <c r="V1707">
        <v>2525.643</v>
      </c>
      <c r="W1707" t="s">
        <v>478</v>
      </c>
    </row>
    <row r="1708" spans="1:23" x14ac:dyDescent="0.45">
      <c r="A1708">
        <v>22</v>
      </c>
      <c r="B1708">
        <v>22</v>
      </c>
      <c r="C1708" t="s">
        <v>603</v>
      </c>
      <c r="D1708" t="s">
        <v>414</v>
      </c>
      <c r="F1708">
        <v>3.24</v>
      </c>
      <c r="G1708">
        <v>1241.769</v>
      </c>
      <c r="I1708">
        <v>1241.769</v>
      </c>
      <c r="J1708" t="s">
        <v>478</v>
      </c>
    </row>
    <row r="1709" spans="1:23" x14ac:dyDescent="0.45">
      <c r="A1709">
        <v>23</v>
      </c>
      <c r="B1709">
        <v>23</v>
      </c>
      <c r="C1709" t="s">
        <v>604</v>
      </c>
      <c r="D1709" t="s">
        <v>414</v>
      </c>
      <c r="F1709">
        <v>3.25</v>
      </c>
      <c r="G1709">
        <v>1105.8779999999999</v>
      </c>
      <c r="I1709">
        <v>1105.8779999999999</v>
      </c>
      <c r="J1709" t="s">
        <v>478</v>
      </c>
    </row>
    <row r="1710" spans="1:23" x14ac:dyDescent="0.45">
      <c r="A1710">
        <v>24</v>
      </c>
      <c r="B1710">
        <v>24</v>
      </c>
      <c r="C1710" t="s">
        <v>605</v>
      </c>
      <c r="D1710" t="s">
        <v>414</v>
      </c>
      <c r="F1710">
        <v>3.24</v>
      </c>
      <c r="G1710">
        <v>781.15800000000002</v>
      </c>
      <c r="I1710">
        <v>781.15800000000002</v>
      </c>
      <c r="J1710" t="s">
        <v>477</v>
      </c>
    </row>
    <row r="1711" spans="1:23" x14ac:dyDescent="0.45">
      <c r="A1711">
        <v>25</v>
      </c>
      <c r="B1711">
        <v>25</v>
      </c>
      <c r="C1711" t="s">
        <v>606</v>
      </c>
      <c r="D1711" t="s">
        <v>414</v>
      </c>
      <c r="F1711">
        <v>3.24</v>
      </c>
      <c r="G1711">
        <v>688.10299999999995</v>
      </c>
      <c r="I1711">
        <v>688.10299999999995</v>
      </c>
      <c r="J1711" t="s">
        <v>478</v>
      </c>
    </row>
    <row r="1712" spans="1:23" x14ac:dyDescent="0.45">
      <c r="A1712">
        <v>26</v>
      </c>
      <c r="B1712">
        <v>26</v>
      </c>
      <c r="C1712" t="s">
        <v>607</v>
      </c>
      <c r="D1712" t="s">
        <v>414</v>
      </c>
      <c r="F1712">
        <v>3.24</v>
      </c>
      <c r="G1712">
        <v>1090.7149999999999</v>
      </c>
      <c r="I1712">
        <v>1090.7149999999999</v>
      </c>
      <c r="J1712" t="s">
        <v>478</v>
      </c>
    </row>
    <row r="1713" spans="1:10" x14ac:dyDescent="0.45">
      <c r="A1713">
        <v>27</v>
      </c>
      <c r="B1713">
        <v>27</v>
      </c>
      <c r="C1713" t="s">
        <v>608</v>
      </c>
      <c r="D1713" t="s">
        <v>414</v>
      </c>
      <c r="F1713">
        <v>3.24</v>
      </c>
      <c r="G1713">
        <v>1138.172</v>
      </c>
      <c r="I1713">
        <v>1138.172</v>
      </c>
      <c r="J1713" t="s">
        <v>478</v>
      </c>
    </row>
    <row r="1714" spans="1:10" x14ac:dyDescent="0.45">
      <c r="A1714">
        <v>28</v>
      </c>
      <c r="B1714">
        <v>28</v>
      </c>
      <c r="C1714" t="s">
        <v>609</v>
      </c>
      <c r="D1714" t="s">
        <v>414</v>
      </c>
      <c r="F1714">
        <v>3.23</v>
      </c>
      <c r="G1714">
        <v>1133.0509999999999</v>
      </c>
      <c r="I1714">
        <v>1133.0509999999999</v>
      </c>
      <c r="J1714" t="s">
        <v>478</v>
      </c>
    </row>
    <row r="1715" spans="1:10" x14ac:dyDescent="0.45">
      <c r="A1715">
        <v>29</v>
      </c>
      <c r="B1715">
        <v>29</v>
      </c>
      <c r="C1715" t="s">
        <v>610</v>
      </c>
      <c r="D1715" t="s">
        <v>414</v>
      </c>
      <c r="F1715">
        <v>3.23</v>
      </c>
      <c r="G1715">
        <v>605.99300000000005</v>
      </c>
      <c r="I1715">
        <v>605.99300000000005</v>
      </c>
      <c r="J1715" t="s">
        <v>476</v>
      </c>
    </row>
    <row r="1716" spans="1:10" x14ac:dyDescent="0.45">
      <c r="A1716">
        <v>30</v>
      </c>
      <c r="B1716">
        <v>30</v>
      </c>
      <c r="C1716" t="s">
        <v>611</v>
      </c>
      <c r="D1716" t="s">
        <v>414</v>
      </c>
      <c r="F1716">
        <v>3.25</v>
      </c>
      <c r="G1716">
        <v>671.26499999999999</v>
      </c>
      <c r="I1716">
        <v>671.26499999999999</v>
      </c>
      <c r="J1716" t="s">
        <v>478</v>
      </c>
    </row>
    <row r="1717" spans="1:10" x14ac:dyDescent="0.45">
      <c r="A1717">
        <v>31</v>
      </c>
      <c r="B1717">
        <v>31</v>
      </c>
      <c r="C1717" t="s">
        <v>612</v>
      </c>
      <c r="D1717" t="s">
        <v>414</v>
      </c>
      <c r="F1717">
        <v>3.24</v>
      </c>
      <c r="G1717">
        <v>842.26800000000003</v>
      </c>
      <c r="I1717">
        <v>842.26800000000003</v>
      </c>
      <c r="J1717" t="s">
        <v>478</v>
      </c>
    </row>
    <row r="1718" spans="1:10" x14ac:dyDescent="0.45">
      <c r="A1718">
        <v>32</v>
      </c>
      <c r="B1718">
        <v>32</v>
      </c>
      <c r="C1718" t="s">
        <v>613</v>
      </c>
      <c r="D1718" t="s">
        <v>414</v>
      </c>
      <c r="F1718">
        <v>3.24</v>
      </c>
      <c r="G1718">
        <v>657.94299999999998</v>
      </c>
      <c r="I1718">
        <v>657.94299999999998</v>
      </c>
      <c r="J1718" t="s">
        <v>478</v>
      </c>
    </row>
    <row r="1719" spans="1:10" x14ac:dyDescent="0.45">
      <c r="A1719">
        <v>33</v>
      </c>
      <c r="B1719">
        <v>33</v>
      </c>
      <c r="C1719" t="s">
        <v>614</v>
      </c>
      <c r="D1719" t="s">
        <v>414</v>
      </c>
      <c r="F1719">
        <v>3.24</v>
      </c>
      <c r="G1719">
        <v>399.91199999999998</v>
      </c>
      <c r="I1719">
        <v>399.91199999999998</v>
      </c>
      <c r="J1719" t="s">
        <v>478</v>
      </c>
    </row>
    <row r="1720" spans="1:10" x14ac:dyDescent="0.45">
      <c r="A1720">
        <v>34</v>
      </c>
      <c r="B1720">
        <v>34</v>
      </c>
      <c r="C1720" t="s">
        <v>615</v>
      </c>
      <c r="D1720" t="s">
        <v>414</v>
      </c>
      <c r="F1720">
        <v>3.26</v>
      </c>
      <c r="G1720">
        <v>910.221</v>
      </c>
      <c r="I1720">
        <v>910.221</v>
      </c>
      <c r="J1720" t="s">
        <v>478</v>
      </c>
    </row>
    <row r="1721" spans="1:10" x14ac:dyDescent="0.45">
      <c r="A1721">
        <v>35</v>
      </c>
      <c r="B1721">
        <v>35</v>
      </c>
      <c r="C1721" t="s">
        <v>616</v>
      </c>
      <c r="D1721" t="s">
        <v>414</v>
      </c>
      <c r="F1721">
        <v>3.24</v>
      </c>
      <c r="G1721">
        <v>1049.75</v>
      </c>
      <c r="I1721">
        <v>1049.75</v>
      </c>
      <c r="J1721" t="s">
        <v>476</v>
      </c>
    </row>
    <row r="1722" spans="1:10" x14ac:dyDescent="0.45">
      <c r="A1722">
        <v>36</v>
      </c>
      <c r="B1722">
        <v>36</v>
      </c>
      <c r="C1722" t="s">
        <v>617</v>
      </c>
      <c r="D1722" t="s">
        <v>414</v>
      </c>
      <c r="F1722">
        <v>3.25</v>
      </c>
      <c r="G1722">
        <v>642.41600000000005</v>
      </c>
      <c r="I1722">
        <v>642.41600000000005</v>
      </c>
      <c r="J1722" t="s">
        <v>476</v>
      </c>
    </row>
    <row r="1723" spans="1:10" x14ac:dyDescent="0.45">
      <c r="A1723">
        <v>37</v>
      </c>
      <c r="B1723">
        <v>37</v>
      </c>
      <c r="C1723" t="s">
        <v>618</v>
      </c>
      <c r="D1723" t="s">
        <v>414</v>
      </c>
      <c r="F1723">
        <v>3.24</v>
      </c>
      <c r="G1723">
        <v>663.12699999999995</v>
      </c>
      <c r="I1723">
        <v>663.12699999999995</v>
      </c>
      <c r="J1723" t="s">
        <v>477</v>
      </c>
    </row>
    <row r="1724" spans="1:10" x14ac:dyDescent="0.45">
      <c r="A1724">
        <v>38</v>
      </c>
      <c r="B1724">
        <v>38</v>
      </c>
      <c r="C1724" t="s">
        <v>619</v>
      </c>
      <c r="D1724" t="s">
        <v>414</v>
      </c>
      <c r="F1724">
        <v>3.24</v>
      </c>
      <c r="G1724">
        <v>1769.271</v>
      </c>
      <c r="I1724">
        <v>1769.271</v>
      </c>
      <c r="J1724" t="s">
        <v>478</v>
      </c>
    </row>
    <row r="1725" spans="1:10" x14ac:dyDescent="0.45">
      <c r="A1725">
        <v>39</v>
      </c>
      <c r="B1725">
        <v>39</v>
      </c>
      <c r="C1725" t="s">
        <v>620</v>
      </c>
      <c r="D1725" t="s">
        <v>414</v>
      </c>
      <c r="F1725">
        <v>3.24</v>
      </c>
      <c r="G1725">
        <v>1560.8779999999999</v>
      </c>
      <c r="I1725">
        <v>1560.8779999999999</v>
      </c>
      <c r="J1725" t="s">
        <v>478</v>
      </c>
    </row>
    <row r="1726" spans="1:10" x14ac:dyDescent="0.45">
      <c r="A1726">
        <v>40</v>
      </c>
      <c r="B1726">
        <v>40</v>
      </c>
      <c r="C1726" t="s">
        <v>621</v>
      </c>
      <c r="D1726" t="s">
        <v>414</v>
      </c>
      <c r="F1726">
        <v>3.24</v>
      </c>
      <c r="G1726">
        <v>1308.56</v>
      </c>
      <c r="I1726">
        <v>1308.56</v>
      </c>
      <c r="J1726" t="s">
        <v>478</v>
      </c>
    </row>
    <row r="1727" spans="1:10" x14ac:dyDescent="0.45">
      <c r="A1727">
        <v>41</v>
      </c>
      <c r="B1727">
        <v>41</v>
      </c>
      <c r="C1727" t="s">
        <v>622</v>
      </c>
      <c r="D1727" t="s">
        <v>414</v>
      </c>
      <c r="F1727">
        <v>3.25</v>
      </c>
      <c r="G1727">
        <v>709.48900000000003</v>
      </c>
      <c r="I1727">
        <v>709.48900000000003</v>
      </c>
      <c r="J1727" t="s">
        <v>477</v>
      </c>
    </row>
    <row r="1728" spans="1:10" x14ac:dyDescent="0.45">
      <c r="A1728">
        <v>42</v>
      </c>
      <c r="B1728">
        <v>42</v>
      </c>
      <c r="C1728" t="s">
        <v>623</v>
      </c>
      <c r="D1728" t="s">
        <v>414</v>
      </c>
      <c r="F1728">
        <v>3.25</v>
      </c>
      <c r="G1728">
        <v>1460.9680000000001</v>
      </c>
      <c r="I1728">
        <v>1460.9680000000001</v>
      </c>
      <c r="J1728" t="s">
        <v>478</v>
      </c>
    </row>
    <row r="1729" spans="1:10" x14ac:dyDescent="0.45">
      <c r="A1729">
        <v>43</v>
      </c>
      <c r="B1729">
        <v>43</v>
      </c>
      <c r="C1729" t="s">
        <v>624</v>
      </c>
      <c r="D1729" t="s">
        <v>414</v>
      </c>
      <c r="F1729">
        <v>3.24</v>
      </c>
      <c r="G1729">
        <v>1517.711</v>
      </c>
      <c r="I1729">
        <v>1517.711</v>
      </c>
      <c r="J1729" t="s">
        <v>476</v>
      </c>
    </row>
    <row r="1730" spans="1:10" x14ac:dyDescent="0.45">
      <c r="A1730">
        <v>44</v>
      </c>
      <c r="B1730">
        <v>44</v>
      </c>
      <c r="C1730" t="s">
        <v>625</v>
      </c>
      <c r="D1730" t="s">
        <v>414</v>
      </c>
      <c r="F1730">
        <v>3.24</v>
      </c>
      <c r="G1730">
        <v>1354.029</v>
      </c>
      <c r="I1730">
        <v>1354.029</v>
      </c>
      <c r="J1730" t="s">
        <v>477</v>
      </c>
    </row>
    <row r="1731" spans="1:10" x14ac:dyDescent="0.45">
      <c r="A1731">
        <v>45</v>
      </c>
      <c r="B1731">
        <v>45</v>
      </c>
      <c r="C1731" t="s">
        <v>626</v>
      </c>
      <c r="D1731" t="s">
        <v>414</v>
      </c>
      <c r="F1731">
        <v>3.24</v>
      </c>
      <c r="G1731">
        <v>1720.8869999999999</v>
      </c>
      <c r="I1731">
        <v>1720.8869999999999</v>
      </c>
      <c r="J1731" t="s">
        <v>478</v>
      </c>
    </row>
    <row r="1732" spans="1:10" x14ac:dyDescent="0.45">
      <c r="A1732">
        <v>46</v>
      </c>
      <c r="B1732">
        <v>46</v>
      </c>
      <c r="C1732" t="s">
        <v>627</v>
      </c>
      <c r="D1732" t="s">
        <v>414</v>
      </c>
      <c r="F1732">
        <v>3.23</v>
      </c>
      <c r="G1732">
        <v>1805.0229999999999</v>
      </c>
      <c r="I1732">
        <v>1805.0229999999999</v>
      </c>
      <c r="J1732" t="s">
        <v>478</v>
      </c>
    </row>
    <row r="1733" spans="1:10" x14ac:dyDescent="0.45">
      <c r="A1733">
        <v>47</v>
      </c>
      <c r="B1733">
        <v>47</v>
      </c>
      <c r="C1733" t="s">
        <v>628</v>
      </c>
      <c r="D1733" t="s">
        <v>414</v>
      </c>
      <c r="F1733">
        <v>3.25</v>
      </c>
      <c r="G1733">
        <v>2121.136</v>
      </c>
      <c r="I1733">
        <v>2121.136</v>
      </c>
      <c r="J1733" t="s">
        <v>478</v>
      </c>
    </row>
    <row r="1734" spans="1:10" x14ac:dyDescent="0.45">
      <c r="A1734">
        <v>48</v>
      </c>
      <c r="B1734">
        <v>48</v>
      </c>
      <c r="C1734" t="s">
        <v>629</v>
      </c>
      <c r="D1734" t="s">
        <v>414</v>
      </c>
      <c r="F1734">
        <v>3.24</v>
      </c>
      <c r="G1734">
        <v>1534.1279999999999</v>
      </c>
      <c r="I1734">
        <v>1534.1279999999999</v>
      </c>
      <c r="J1734" t="s">
        <v>478</v>
      </c>
    </row>
    <row r="1735" spans="1:10" x14ac:dyDescent="0.45">
      <c r="A1735">
        <v>49</v>
      </c>
      <c r="B1735">
        <v>49</v>
      </c>
      <c r="C1735" t="s">
        <v>630</v>
      </c>
      <c r="D1735" t="s">
        <v>414</v>
      </c>
      <c r="F1735">
        <v>3.24</v>
      </c>
      <c r="G1735">
        <v>2401.7910000000002</v>
      </c>
      <c r="I1735">
        <v>2401.7910000000002</v>
      </c>
      <c r="J1735" t="s">
        <v>478</v>
      </c>
    </row>
    <row r="1736" spans="1:10" x14ac:dyDescent="0.45">
      <c r="A1736">
        <v>50</v>
      </c>
      <c r="B1736">
        <v>50</v>
      </c>
      <c r="C1736" t="s">
        <v>631</v>
      </c>
      <c r="D1736" t="s">
        <v>414</v>
      </c>
      <c r="F1736">
        <v>3.24</v>
      </c>
      <c r="G1736">
        <v>1483.855</v>
      </c>
      <c r="I1736">
        <v>1483.855</v>
      </c>
      <c r="J1736" t="s">
        <v>476</v>
      </c>
    </row>
    <row r="1737" spans="1:10" x14ac:dyDescent="0.45">
      <c r="A1737">
        <v>51</v>
      </c>
      <c r="B1737">
        <v>51</v>
      </c>
      <c r="C1737" t="s">
        <v>632</v>
      </c>
      <c r="D1737" t="s">
        <v>414</v>
      </c>
      <c r="F1737">
        <v>3.24</v>
      </c>
      <c r="G1737">
        <v>968.27</v>
      </c>
      <c r="I1737">
        <v>968.27</v>
      </c>
      <c r="J1737" t="s">
        <v>477</v>
      </c>
    </row>
    <row r="1738" spans="1:10" x14ac:dyDescent="0.45">
      <c r="A1738">
        <v>52</v>
      </c>
      <c r="B1738">
        <v>52</v>
      </c>
      <c r="C1738" t="s">
        <v>633</v>
      </c>
      <c r="D1738" t="s">
        <v>414</v>
      </c>
      <c r="F1738">
        <v>3.24</v>
      </c>
      <c r="G1738">
        <v>1589.4090000000001</v>
      </c>
      <c r="I1738">
        <v>1589.4090000000001</v>
      </c>
      <c r="J1738" t="s">
        <v>477</v>
      </c>
    </row>
    <row r="1739" spans="1:10" x14ac:dyDescent="0.45">
      <c r="A1739">
        <v>53</v>
      </c>
      <c r="B1739">
        <v>53</v>
      </c>
      <c r="C1739" t="s">
        <v>634</v>
      </c>
      <c r="D1739" t="s">
        <v>414</v>
      </c>
      <c r="F1739">
        <v>3.24</v>
      </c>
      <c r="G1739">
        <v>2613.931</v>
      </c>
      <c r="I1739">
        <v>2613.931</v>
      </c>
      <c r="J1739" t="s">
        <v>478</v>
      </c>
    </row>
    <row r="1740" spans="1:10" x14ac:dyDescent="0.45">
      <c r="A1740">
        <v>54</v>
      </c>
      <c r="B1740">
        <v>54</v>
      </c>
      <c r="C1740" t="s">
        <v>635</v>
      </c>
      <c r="D1740" t="s">
        <v>414</v>
      </c>
      <c r="F1740">
        <v>3.24</v>
      </c>
      <c r="G1740">
        <v>1212.259</v>
      </c>
      <c r="I1740">
        <v>1212.259</v>
      </c>
      <c r="J1740" t="s">
        <v>476</v>
      </c>
    </row>
    <row r="1741" spans="1:10" x14ac:dyDescent="0.45">
      <c r="A1741">
        <v>55</v>
      </c>
      <c r="B1741">
        <v>55</v>
      </c>
      <c r="C1741" t="s">
        <v>636</v>
      </c>
      <c r="D1741" t="s">
        <v>414</v>
      </c>
      <c r="F1741">
        <v>3.24</v>
      </c>
      <c r="G1741">
        <v>909.43299999999999</v>
      </c>
      <c r="I1741">
        <v>909.43299999999999</v>
      </c>
      <c r="J1741" t="s">
        <v>477</v>
      </c>
    </row>
    <row r="1742" spans="1:10" x14ac:dyDescent="0.45">
      <c r="A1742">
        <v>56</v>
      </c>
      <c r="B1742">
        <v>56</v>
      </c>
      <c r="C1742" t="s">
        <v>637</v>
      </c>
      <c r="D1742" t="s">
        <v>414</v>
      </c>
      <c r="F1742">
        <v>3.25</v>
      </c>
      <c r="G1742">
        <v>2372.7600000000002</v>
      </c>
      <c r="I1742">
        <v>2372.7600000000002</v>
      </c>
      <c r="J1742" t="s">
        <v>478</v>
      </c>
    </row>
    <row r="1743" spans="1:10" x14ac:dyDescent="0.45">
      <c r="A1743">
        <v>57</v>
      </c>
      <c r="B1743">
        <v>57</v>
      </c>
      <c r="C1743" t="s">
        <v>638</v>
      </c>
      <c r="D1743" t="s">
        <v>414</v>
      </c>
      <c r="F1743">
        <v>3.23</v>
      </c>
      <c r="G1743">
        <v>830.99400000000003</v>
      </c>
      <c r="I1743">
        <v>830.99400000000003</v>
      </c>
      <c r="J1743" t="s">
        <v>478</v>
      </c>
    </row>
    <row r="1744" spans="1:10" x14ac:dyDescent="0.45">
      <c r="A1744">
        <v>58</v>
      </c>
      <c r="B1744">
        <v>58</v>
      </c>
      <c r="C1744" t="s">
        <v>639</v>
      </c>
      <c r="D1744" t="s">
        <v>414</v>
      </c>
      <c r="F1744">
        <v>3.23</v>
      </c>
      <c r="G1744">
        <v>818.87</v>
      </c>
      <c r="I1744">
        <v>818.87</v>
      </c>
      <c r="J1744" t="s">
        <v>478</v>
      </c>
    </row>
    <row r="1745" spans="1:10" x14ac:dyDescent="0.45">
      <c r="A1745">
        <v>59</v>
      </c>
      <c r="B1745">
        <v>59</v>
      </c>
      <c r="C1745" t="s">
        <v>640</v>
      </c>
      <c r="D1745" t="s">
        <v>414</v>
      </c>
      <c r="F1745">
        <v>3.24</v>
      </c>
      <c r="G1745">
        <v>954.47900000000004</v>
      </c>
      <c r="I1745">
        <v>954.47900000000004</v>
      </c>
      <c r="J1745" t="s">
        <v>479</v>
      </c>
    </row>
    <row r="1746" spans="1:10" x14ac:dyDescent="0.45">
      <c r="A1746">
        <v>60</v>
      </c>
      <c r="B1746">
        <v>60</v>
      </c>
      <c r="C1746" t="s">
        <v>641</v>
      </c>
      <c r="D1746" t="s">
        <v>414</v>
      </c>
      <c r="F1746">
        <v>3.23</v>
      </c>
      <c r="G1746">
        <v>1691.691</v>
      </c>
      <c r="I1746">
        <v>1691.691</v>
      </c>
      <c r="J1746" t="s">
        <v>477</v>
      </c>
    </row>
    <row r="1747" spans="1:10" x14ac:dyDescent="0.45">
      <c r="A1747">
        <v>61</v>
      </c>
      <c r="B1747">
        <v>61</v>
      </c>
      <c r="C1747" t="s">
        <v>642</v>
      </c>
      <c r="D1747" t="s">
        <v>414</v>
      </c>
      <c r="F1747">
        <v>3.24</v>
      </c>
      <c r="G1747">
        <v>1502.5139999999999</v>
      </c>
      <c r="I1747">
        <v>1502.5139999999999</v>
      </c>
      <c r="J1747" t="s">
        <v>478</v>
      </c>
    </row>
    <row r="1748" spans="1:10" x14ac:dyDescent="0.45">
      <c r="A1748">
        <v>62</v>
      </c>
      <c r="B1748">
        <v>62</v>
      </c>
      <c r="C1748" t="s">
        <v>643</v>
      </c>
      <c r="D1748" t="s">
        <v>414</v>
      </c>
      <c r="F1748">
        <v>3.24</v>
      </c>
      <c r="G1748">
        <v>1599.0450000000001</v>
      </c>
      <c r="I1748">
        <v>1599.0450000000001</v>
      </c>
      <c r="J1748" t="s">
        <v>477</v>
      </c>
    </row>
    <row r="1749" spans="1:10" x14ac:dyDescent="0.45">
      <c r="A1749">
        <v>63</v>
      </c>
      <c r="B1749">
        <v>63</v>
      </c>
      <c r="C1749" t="s">
        <v>644</v>
      </c>
      <c r="D1749" t="s">
        <v>414</v>
      </c>
      <c r="F1749">
        <v>3.24</v>
      </c>
      <c r="G1749">
        <v>1576.1510000000001</v>
      </c>
      <c r="I1749">
        <v>1576.1510000000001</v>
      </c>
      <c r="J1749" t="s">
        <v>478</v>
      </c>
    </row>
    <row r="1750" spans="1:10" x14ac:dyDescent="0.45">
      <c r="A1750">
        <v>64</v>
      </c>
      <c r="B1750">
        <v>64</v>
      </c>
      <c r="C1750" t="s">
        <v>645</v>
      </c>
      <c r="D1750" t="s">
        <v>414</v>
      </c>
      <c r="F1750">
        <v>3.24</v>
      </c>
      <c r="G1750">
        <v>762.32100000000003</v>
      </c>
      <c r="I1750">
        <v>762.32100000000003</v>
      </c>
      <c r="J1750" t="s">
        <v>478</v>
      </c>
    </row>
    <row r="1751" spans="1:10" x14ac:dyDescent="0.45">
      <c r="A1751">
        <v>65</v>
      </c>
      <c r="B1751">
        <v>65</v>
      </c>
      <c r="C1751" t="s">
        <v>646</v>
      </c>
      <c r="D1751" t="s">
        <v>414</v>
      </c>
      <c r="F1751">
        <v>3.24</v>
      </c>
      <c r="G1751">
        <v>905.04499999999996</v>
      </c>
      <c r="I1751">
        <v>905.04499999999996</v>
      </c>
      <c r="J1751" t="s">
        <v>478</v>
      </c>
    </row>
    <row r="1752" spans="1:10" x14ac:dyDescent="0.45">
      <c r="A1752">
        <v>66</v>
      </c>
      <c r="B1752">
        <v>66</v>
      </c>
      <c r="C1752" t="s">
        <v>647</v>
      </c>
      <c r="D1752" t="s">
        <v>414</v>
      </c>
      <c r="F1752">
        <v>3.24</v>
      </c>
      <c r="G1752">
        <v>1438.796</v>
      </c>
      <c r="I1752">
        <v>1438.796</v>
      </c>
      <c r="J1752" t="s">
        <v>478</v>
      </c>
    </row>
    <row r="1753" spans="1:10" x14ac:dyDescent="0.45">
      <c r="A1753">
        <v>67</v>
      </c>
      <c r="B1753">
        <v>67</v>
      </c>
      <c r="C1753" t="s">
        <v>648</v>
      </c>
      <c r="D1753" t="s">
        <v>414</v>
      </c>
      <c r="F1753">
        <v>3.25</v>
      </c>
      <c r="G1753">
        <v>782.78300000000002</v>
      </c>
      <c r="I1753">
        <v>782.78300000000002</v>
      </c>
      <c r="J1753" t="s">
        <v>478</v>
      </c>
    </row>
    <row r="1754" spans="1:10" x14ac:dyDescent="0.45">
      <c r="A1754">
        <v>68</v>
      </c>
      <c r="B1754">
        <v>68</v>
      </c>
      <c r="C1754" t="s">
        <v>649</v>
      </c>
      <c r="D1754" t="s">
        <v>414</v>
      </c>
      <c r="F1754">
        <v>3.23</v>
      </c>
      <c r="G1754">
        <v>988.88699999999994</v>
      </c>
      <c r="I1754">
        <v>988.88699999999994</v>
      </c>
      <c r="J1754" t="s">
        <v>478</v>
      </c>
    </row>
    <row r="1755" spans="1:10" x14ac:dyDescent="0.45">
      <c r="A1755">
        <v>69</v>
      </c>
      <c r="B1755">
        <v>69</v>
      </c>
      <c r="C1755" t="s">
        <v>650</v>
      </c>
      <c r="D1755" t="s">
        <v>414</v>
      </c>
      <c r="F1755">
        <v>3.24</v>
      </c>
      <c r="G1755">
        <v>1518.65</v>
      </c>
      <c r="I1755">
        <v>1518.65</v>
      </c>
      <c r="J1755" t="s">
        <v>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B5FF-839A-4F77-AA31-79713D0CEAEA}">
  <dimension ref="A1:AE248"/>
  <sheetViews>
    <sheetView topLeftCell="I10" zoomScale="120" zoomScaleNormal="120" workbookViewId="0">
      <selection activeCell="V19" sqref="V19"/>
    </sheetView>
  </sheetViews>
  <sheetFormatPr baseColWidth="10" defaultRowHeight="14.25" x14ac:dyDescent="0.45"/>
  <cols>
    <col min="3" max="3" width="11.86328125" customWidth="1"/>
    <col min="5" max="5" width="8.19921875" customWidth="1"/>
    <col min="6" max="6" width="13" bestFit="1" customWidth="1"/>
    <col min="7" max="7" width="14.46484375" bestFit="1" customWidth="1"/>
    <col min="12" max="12" width="12.1328125" customWidth="1"/>
  </cols>
  <sheetData>
    <row r="1" spans="1:31" x14ac:dyDescent="0.45">
      <c r="A1" t="s">
        <v>132</v>
      </c>
    </row>
    <row r="2" spans="1:31" ht="14.65" thickBot="1" x14ac:dyDescent="0.5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</row>
    <row r="3" spans="1:31" x14ac:dyDescent="0.45">
      <c r="A3" s="4" t="s">
        <v>2</v>
      </c>
      <c r="B3">
        <v>1</v>
      </c>
      <c r="C3">
        <v>21.4</v>
      </c>
      <c r="D3">
        <v>2.0400000000000001E-2</v>
      </c>
      <c r="E3">
        <v>1</v>
      </c>
      <c r="F3">
        <v>3</v>
      </c>
      <c r="G3">
        <f>(C3*(E3/D3)*F3)</f>
        <v>3147.0588235294108</v>
      </c>
      <c r="M3" t="s">
        <v>132</v>
      </c>
    </row>
    <row r="4" spans="1:31" x14ac:dyDescent="0.45">
      <c r="A4" s="5" t="s">
        <v>3</v>
      </c>
      <c r="B4">
        <v>2</v>
      </c>
      <c r="C4">
        <v>16.100000000000001</v>
      </c>
      <c r="D4">
        <v>1.54E-2</v>
      </c>
      <c r="E4">
        <v>1</v>
      </c>
      <c r="F4">
        <v>3</v>
      </c>
      <c r="G4">
        <f t="shared" ref="G4:G67" si="0">(C4*(E4/D4)*F4)</f>
        <v>3136.3636363636365</v>
      </c>
      <c r="N4" t="s">
        <v>374</v>
      </c>
      <c r="O4" t="s">
        <v>375</v>
      </c>
      <c r="P4" t="s">
        <v>376</v>
      </c>
      <c r="Q4" t="s">
        <v>377</v>
      </c>
      <c r="R4" t="s">
        <v>378</v>
      </c>
      <c r="S4" t="s">
        <v>379</v>
      </c>
      <c r="T4" t="s">
        <v>380</v>
      </c>
      <c r="U4" t="s">
        <v>381</v>
      </c>
      <c r="V4" t="s">
        <v>384</v>
      </c>
      <c r="W4" t="s">
        <v>385</v>
      </c>
    </row>
    <row r="5" spans="1:31" x14ac:dyDescent="0.45">
      <c r="A5" s="5" t="s">
        <v>4</v>
      </c>
      <c r="B5">
        <v>3</v>
      </c>
      <c r="C5">
        <v>20.3</v>
      </c>
      <c r="D5">
        <v>2.1100000000000001E-2</v>
      </c>
      <c r="E5">
        <v>1</v>
      </c>
      <c r="F5">
        <v>3</v>
      </c>
      <c r="G5">
        <f t="shared" si="0"/>
        <v>2886.2559241706163</v>
      </c>
      <c r="M5" t="s">
        <v>382</v>
      </c>
      <c r="N5">
        <f>H8</f>
        <v>3015.3493277468747</v>
      </c>
      <c r="O5">
        <f>H20</f>
        <v>2560.7817423366832</v>
      </c>
      <c r="P5">
        <f>H32</f>
        <v>2972.9939354312614</v>
      </c>
      <c r="Q5">
        <f>H44</f>
        <v>3326.293500146845</v>
      </c>
      <c r="R5">
        <f>H56</f>
        <v>2329.4944551596222</v>
      </c>
      <c r="S5">
        <f>H68</f>
        <v>2387.1071116507374</v>
      </c>
      <c r="T5">
        <f>H80</f>
        <v>2889.8050436042072</v>
      </c>
      <c r="U5">
        <f>H92</f>
        <v>3647.5711962044752</v>
      </c>
      <c r="V5">
        <f>H104</f>
        <v>4386.0647899137884</v>
      </c>
      <c r="W5">
        <f>H116</f>
        <v>4142.4607276180968</v>
      </c>
    </row>
    <row r="6" spans="1:31" x14ac:dyDescent="0.45">
      <c r="A6" s="5" t="s">
        <v>7</v>
      </c>
      <c r="B6">
        <v>4</v>
      </c>
      <c r="C6">
        <v>15.2</v>
      </c>
      <c r="D6">
        <v>1.4999999999999999E-2</v>
      </c>
      <c r="E6">
        <v>1</v>
      </c>
      <c r="F6">
        <v>3</v>
      </c>
      <c r="G6">
        <f t="shared" si="0"/>
        <v>3040</v>
      </c>
      <c r="M6" t="s">
        <v>131</v>
      </c>
      <c r="N6">
        <f>I8</f>
        <v>44.936125349909233</v>
      </c>
      <c r="O6">
        <f>I20</f>
        <v>24.212157944540614</v>
      </c>
      <c r="P6">
        <f>I32</f>
        <v>112.53548001233993</v>
      </c>
      <c r="Q6">
        <f>I44</f>
        <v>90.846561691171345</v>
      </c>
      <c r="R6">
        <f>I56</f>
        <v>84.380071391251477</v>
      </c>
      <c r="S6">
        <f>I68</f>
        <v>83.816045689605389</v>
      </c>
      <c r="T6">
        <f>I80</f>
        <v>261.31431391811338</v>
      </c>
      <c r="U6">
        <f>I92</f>
        <v>144.58028012047782</v>
      </c>
      <c r="V6">
        <f>I104</f>
        <v>41.818249177840244</v>
      </c>
      <c r="W6">
        <f>I116</f>
        <v>164.17065420149734</v>
      </c>
    </row>
    <row r="7" spans="1:31" x14ac:dyDescent="0.45">
      <c r="A7" s="5" t="s">
        <v>5</v>
      </c>
      <c r="B7">
        <v>5</v>
      </c>
      <c r="C7">
        <v>12.3</v>
      </c>
      <c r="D7">
        <v>1.26E-2</v>
      </c>
      <c r="E7">
        <v>1</v>
      </c>
      <c r="F7">
        <v>3</v>
      </c>
      <c r="G7">
        <f t="shared" si="0"/>
        <v>2928.5714285714289</v>
      </c>
      <c r="M7" t="s">
        <v>383</v>
      </c>
      <c r="N7">
        <f>H20</f>
        <v>2560.7817423366832</v>
      </c>
      <c r="O7">
        <f>H26</f>
        <v>2405.4292991555799</v>
      </c>
      <c r="P7">
        <f>H38</f>
        <v>2320.313352864805</v>
      </c>
      <c r="Q7">
        <f>H50</f>
        <v>3080.1691251514644</v>
      </c>
      <c r="R7">
        <f>H62</f>
        <v>2840.458189349778</v>
      </c>
      <c r="S7">
        <f>H74</f>
        <v>2353.0946179307107</v>
      </c>
      <c r="T7">
        <f>H86</f>
        <v>3143.1599427366104</v>
      </c>
      <c r="U7">
        <f>H98</f>
        <v>3690.1291097073604</v>
      </c>
      <c r="V7">
        <f>H110</f>
        <v>4048.9344134716139</v>
      </c>
      <c r="W7">
        <f>H122</f>
        <v>4358.6488199050082</v>
      </c>
    </row>
    <row r="8" spans="1:31" x14ac:dyDescent="0.45">
      <c r="A8" s="5" t="s">
        <v>6</v>
      </c>
      <c r="B8">
        <v>6</v>
      </c>
      <c r="C8">
        <v>19.2</v>
      </c>
      <c r="D8">
        <v>1.95E-2</v>
      </c>
      <c r="E8">
        <v>1</v>
      </c>
      <c r="F8">
        <v>3</v>
      </c>
      <c r="G8">
        <f t="shared" si="0"/>
        <v>2953.8461538461538</v>
      </c>
      <c r="H8">
        <f>AVERAGE(G3:G8)</f>
        <v>3015.3493277468747</v>
      </c>
      <c r="I8">
        <f>STDEV(G3:G8)/SQRT(6)</f>
        <v>44.936125349909233</v>
      </c>
      <c r="M8" t="s">
        <v>131</v>
      </c>
      <c r="N8">
        <f>I14</f>
        <v>120.46791331186084</v>
      </c>
      <c r="O8">
        <f>I26</f>
        <v>325.03007208947008</v>
      </c>
      <c r="P8">
        <f>I38</f>
        <v>168.39676840719386</v>
      </c>
      <c r="Q8">
        <f>I50</f>
        <v>83.768352345083969</v>
      </c>
      <c r="R8">
        <f>I62</f>
        <v>106.75502556730115</v>
      </c>
      <c r="S8">
        <f>I74</f>
        <v>75.745251414005594</v>
      </c>
      <c r="T8">
        <f>I86</f>
        <v>108.47081334344732</v>
      </c>
      <c r="U8">
        <f>I98</f>
        <v>117.16084368945231</v>
      </c>
      <c r="V8">
        <f>I110</f>
        <v>142.6527560129141</v>
      </c>
      <c r="W8">
        <f>I122</f>
        <v>150.16816914759369</v>
      </c>
    </row>
    <row r="9" spans="1:31" x14ac:dyDescent="0.45">
      <c r="A9" s="5" t="s">
        <v>13</v>
      </c>
      <c r="B9">
        <v>7</v>
      </c>
      <c r="C9">
        <v>13.7</v>
      </c>
      <c r="D9">
        <v>1.4800000000000001E-2</v>
      </c>
      <c r="E9">
        <v>1</v>
      </c>
      <c r="F9">
        <v>3</v>
      </c>
      <c r="G9">
        <f t="shared" si="0"/>
        <v>2777.0270270270266</v>
      </c>
    </row>
    <row r="10" spans="1:31" x14ac:dyDescent="0.45">
      <c r="A10" s="5" t="s">
        <v>8</v>
      </c>
      <c r="B10">
        <v>8</v>
      </c>
      <c r="C10">
        <v>13</v>
      </c>
      <c r="D10">
        <v>1.4500000000000001E-2</v>
      </c>
      <c r="E10">
        <v>1</v>
      </c>
      <c r="F10">
        <v>3</v>
      </c>
      <c r="G10">
        <f t="shared" si="0"/>
        <v>2689.6551724137926</v>
      </c>
    </row>
    <row r="11" spans="1:31" x14ac:dyDescent="0.45">
      <c r="A11" s="5" t="s">
        <v>9</v>
      </c>
      <c r="B11">
        <v>9</v>
      </c>
      <c r="C11">
        <v>14.3</v>
      </c>
      <c r="D11">
        <v>1.8599999999999998E-2</v>
      </c>
      <c r="E11">
        <v>1</v>
      </c>
      <c r="F11">
        <v>3</v>
      </c>
      <c r="G11">
        <f t="shared" si="0"/>
        <v>2306.4516129032259</v>
      </c>
    </row>
    <row r="12" spans="1:31" x14ac:dyDescent="0.45">
      <c r="A12" s="5" t="s">
        <v>10</v>
      </c>
      <c r="B12">
        <v>10</v>
      </c>
      <c r="C12">
        <v>17.399999999999999</v>
      </c>
      <c r="D12">
        <v>1.7100000000000001E-2</v>
      </c>
      <c r="E12">
        <v>1</v>
      </c>
      <c r="F12">
        <v>3</v>
      </c>
      <c r="G12">
        <f t="shared" si="0"/>
        <v>3052.6315789473683</v>
      </c>
    </row>
    <row r="13" spans="1:31" x14ac:dyDescent="0.45">
      <c r="A13" s="5" t="s">
        <v>11</v>
      </c>
      <c r="B13">
        <v>11</v>
      </c>
      <c r="C13">
        <v>12.6</v>
      </c>
      <c r="D13">
        <v>1.66E-2</v>
      </c>
      <c r="E13">
        <v>1</v>
      </c>
      <c r="F13">
        <v>3</v>
      </c>
      <c r="G13">
        <f t="shared" si="0"/>
        <v>2277.1084337349394</v>
      </c>
      <c r="X13" t="s">
        <v>740</v>
      </c>
      <c r="Y13" t="s">
        <v>726</v>
      </c>
      <c r="Z13" t="s">
        <v>727</v>
      </c>
      <c r="AA13" t="s">
        <v>741</v>
      </c>
      <c r="AB13" t="s">
        <v>742</v>
      </c>
      <c r="AC13" t="s">
        <v>723</v>
      </c>
      <c r="AD13" t="s">
        <v>728</v>
      </c>
      <c r="AE13" t="s">
        <v>743</v>
      </c>
    </row>
    <row r="14" spans="1:31" ht="14.65" thickBot="1" x14ac:dyDescent="0.5">
      <c r="A14" s="6" t="s">
        <v>12</v>
      </c>
      <c r="B14" s="3">
        <v>12</v>
      </c>
      <c r="C14">
        <v>12.3</v>
      </c>
      <c r="D14" s="9">
        <v>1.44E-2</v>
      </c>
      <c r="E14" s="9">
        <v>1</v>
      </c>
      <c r="F14" s="9">
        <v>3</v>
      </c>
      <c r="G14" s="9">
        <f t="shared" si="0"/>
        <v>2562.5</v>
      </c>
      <c r="H14" s="9">
        <f>AVERAGE(G9:G14)</f>
        <v>2610.8956375043922</v>
      </c>
      <c r="I14" s="9">
        <f>STDEV(G9:G14)/SQRT(6)</f>
        <v>120.46791331186084</v>
      </c>
      <c r="X14" t="s">
        <v>729</v>
      </c>
      <c r="Y14">
        <v>6</v>
      </c>
      <c r="Z14">
        <v>6</v>
      </c>
      <c r="AA14">
        <v>2996.9230769230799</v>
      </c>
      <c r="AB14">
        <v>2626.0775862068999</v>
      </c>
      <c r="AC14">
        <v>3.06389879377033E-2</v>
      </c>
      <c r="AD14" t="s">
        <v>744</v>
      </c>
      <c r="AE14" t="s">
        <v>725</v>
      </c>
    </row>
    <row r="15" spans="1:31" x14ac:dyDescent="0.45">
      <c r="A15" s="5" t="s">
        <v>14</v>
      </c>
      <c r="B15">
        <v>13</v>
      </c>
      <c r="C15">
        <v>18</v>
      </c>
      <c r="D15">
        <v>2.1299999999999999E-2</v>
      </c>
      <c r="E15">
        <v>1</v>
      </c>
      <c r="F15">
        <v>3</v>
      </c>
      <c r="G15">
        <f t="shared" si="0"/>
        <v>2535.211267605634</v>
      </c>
      <c r="X15" t="s">
        <v>730</v>
      </c>
      <c r="Y15">
        <v>6</v>
      </c>
      <c r="Z15">
        <v>6</v>
      </c>
      <c r="AA15">
        <v>2549.0126689786998</v>
      </c>
      <c r="AB15">
        <v>2612.2617302052799</v>
      </c>
      <c r="AC15">
        <v>0.68892055580446099</v>
      </c>
      <c r="AD15" t="s">
        <v>744</v>
      </c>
      <c r="AE15" t="s">
        <v>724</v>
      </c>
    </row>
    <row r="16" spans="1:31" x14ac:dyDescent="0.45">
      <c r="A16" s="5" t="s">
        <v>15</v>
      </c>
      <c r="B16">
        <v>14</v>
      </c>
      <c r="C16">
        <v>19.2</v>
      </c>
      <c r="D16">
        <v>2.2200000000000001E-2</v>
      </c>
      <c r="E16">
        <v>1</v>
      </c>
      <c r="F16">
        <v>3</v>
      </c>
      <c r="G16">
        <f t="shared" si="0"/>
        <v>2594.5945945945941</v>
      </c>
      <c r="X16" t="s">
        <v>731</v>
      </c>
      <c r="Y16">
        <v>6</v>
      </c>
      <c r="Z16">
        <v>6</v>
      </c>
      <c r="AA16">
        <v>2946.70050761421</v>
      </c>
      <c r="AB16">
        <v>2365.30120481928</v>
      </c>
      <c r="AC16">
        <v>2.02405705770775E-2</v>
      </c>
      <c r="AD16" t="s">
        <v>744</v>
      </c>
      <c r="AE16" t="s">
        <v>725</v>
      </c>
    </row>
    <row r="17" spans="1:31" x14ac:dyDescent="0.45">
      <c r="A17" s="5" t="s">
        <v>16</v>
      </c>
      <c r="B17">
        <v>15</v>
      </c>
      <c r="C17">
        <v>15.6</v>
      </c>
      <c r="D17">
        <v>1.8499999999999999E-2</v>
      </c>
      <c r="E17">
        <v>1</v>
      </c>
      <c r="F17">
        <v>3</v>
      </c>
      <c r="G17">
        <f t="shared" si="0"/>
        <v>2529.7297297297296</v>
      </c>
      <c r="X17" t="s">
        <v>732</v>
      </c>
      <c r="Y17">
        <v>6</v>
      </c>
      <c r="Z17">
        <v>6</v>
      </c>
      <c r="AA17">
        <v>3259.3384462590998</v>
      </c>
      <c r="AB17">
        <v>3046.4028490179899</v>
      </c>
      <c r="AC17">
        <v>4.53275620779722E-2</v>
      </c>
      <c r="AD17" t="s">
        <v>744</v>
      </c>
      <c r="AE17" t="s">
        <v>725</v>
      </c>
    </row>
    <row r="18" spans="1:31" x14ac:dyDescent="0.45">
      <c r="A18" s="5" t="s">
        <v>17</v>
      </c>
      <c r="B18">
        <v>16</v>
      </c>
      <c r="C18">
        <v>17.399999999999999</v>
      </c>
      <c r="D18">
        <v>2.1000000000000001E-2</v>
      </c>
      <c r="E18">
        <v>1</v>
      </c>
      <c r="F18">
        <v>3</v>
      </c>
      <c r="G18">
        <f t="shared" si="0"/>
        <v>2485.7142857142853</v>
      </c>
      <c r="X18" t="s">
        <v>733</v>
      </c>
      <c r="Y18">
        <v>6</v>
      </c>
      <c r="Z18">
        <v>6</v>
      </c>
      <c r="AA18">
        <v>2269.46764405456</v>
      </c>
      <c r="AB18">
        <v>2955.2490852800402</v>
      </c>
      <c r="AC18">
        <v>3.06389879377033E-2</v>
      </c>
      <c r="AD18" t="s">
        <v>744</v>
      </c>
      <c r="AE18" t="s">
        <v>725</v>
      </c>
    </row>
    <row r="19" spans="1:31" x14ac:dyDescent="0.45">
      <c r="A19" s="5" t="s">
        <v>18</v>
      </c>
      <c r="B19">
        <v>17</v>
      </c>
      <c r="C19">
        <v>14.7</v>
      </c>
      <c r="D19">
        <v>1.66E-2</v>
      </c>
      <c r="E19">
        <v>1</v>
      </c>
      <c r="F19">
        <v>3</v>
      </c>
      <c r="G19">
        <f t="shared" si="0"/>
        <v>2656.6265060240962</v>
      </c>
      <c r="X19" t="s">
        <v>734</v>
      </c>
      <c r="Y19">
        <v>6</v>
      </c>
      <c r="Z19">
        <v>6</v>
      </c>
      <c r="AA19">
        <v>2419.9556541020002</v>
      </c>
      <c r="AB19">
        <v>2358.7665050977798</v>
      </c>
      <c r="AC19">
        <v>0.81018123641047401</v>
      </c>
      <c r="AD19" t="s">
        <v>744</v>
      </c>
      <c r="AE19" t="s">
        <v>724</v>
      </c>
    </row>
    <row r="20" spans="1:31" x14ac:dyDescent="0.45">
      <c r="A20" s="5" t="s">
        <v>19</v>
      </c>
      <c r="B20">
        <v>18</v>
      </c>
      <c r="C20">
        <v>17</v>
      </c>
      <c r="D20">
        <v>1.9900000000000001E-2</v>
      </c>
      <c r="E20">
        <v>1</v>
      </c>
      <c r="F20">
        <v>3</v>
      </c>
      <c r="G20">
        <f t="shared" si="0"/>
        <v>2562.8140703517583</v>
      </c>
      <c r="H20">
        <f>AVERAGE(G15:G20)</f>
        <v>2560.7817423366832</v>
      </c>
      <c r="I20">
        <f>STDEV(G15:G20)/SQRT(6)</f>
        <v>24.212157944540614</v>
      </c>
      <c r="X20" t="s">
        <v>735</v>
      </c>
      <c r="Y20">
        <v>6</v>
      </c>
      <c r="Z20">
        <v>6</v>
      </c>
      <c r="AA20">
        <v>3261.66328600406</v>
      </c>
      <c r="AB20">
        <v>3213.7346791636601</v>
      </c>
      <c r="AC20">
        <v>0.68892055580446099</v>
      </c>
      <c r="AD20" t="s">
        <v>744</v>
      </c>
      <c r="AE20" t="s">
        <v>724</v>
      </c>
    </row>
    <row r="21" spans="1:31" x14ac:dyDescent="0.45">
      <c r="A21" s="5" t="s">
        <v>20</v>
      </c>
      <c r="B21">
        <v>19</v>
      </c>
      <c r="C21">
        <v>18</v>
      </c>
      <c r="D21">
        <v>1.8499999999999999E-2</v>
      </c>
      <c r="E21">
        <v>1</v>
      </c>
      <c r="F21">
        <v>3</v>
      </c>
      <c r="G21">
        <f t="shared" si="0"/>
        <v>2918.9189189189192</v>
      </c>
      <c r="X21" t="s">
        <v>736</v>
      </c>
      <c r="Y21">
        <v>6</v>
      </c>
      <c r="Z21">
        <v>6</v>
      </c>
      <c r="AA21">
        <v>3803.0555555555602</v>
      </c>
      <c r="AB21">
        <v>3684.2400734918901</v>
      </c>
      <c r="AC21">
        <v>0.93618629347305904</v>
      </c>
      <c r="AD21" t="s">
        <v>744</v>
      </c>
      <c r="AE21" t="s">
        <v>724</v>
      </c>
    </row>
    <row r="22" spans="1:31" x14ac:dyDescent="0.45">
      <c r="A22" s="5" t="s">
        <v>21</v>
      </c>
      <c r="B22">
        <v>20</v>
      </c>
      <c r="C22">
        <v>16.100000000000001</v>
      </c>
      <c r="D22">
        <v>1.95E-2</v>
      </c>
      <c r="E22">
        <v>1</v>
      </c>
      <c r="F22">
        <v>3</v>
      </c>
      <c r="G22">
        <f t="shared" si="0"/>
        <v>2476.9230769230771</v>
      </c>
      <c r="X22" t="s">
        <v>737</v>
      </c>
      <c r="Y22">
        <v>6</v>
      </c>
      <c r="Z22">
        <v>6</v>
      </c>
      <c r="AA22">
        <v>4347.8215333054004</v>
      </c>
      <c r="AB22">
        <v>4132.7603471295097</v>
      </c>
      <c r="AC22">
        <v>3.06389879377033E-2</v>
      </c>
      <c r="AD22" t="s">
        <v>744</v>
      </c>
      <c r="AE22" t="s">
        <v>725</v>
      </c>
    </row>
    <row r="23" spans="1:31" x14ac:dyDescent="0.45">
      <c r="A23" s="5" t="s">
        <v>22</v>
      </c>
      <c r="B23">
        <v>21</v>
      </c>
      <c r="C23">
        <v>15.8</v>
      </c>
      <c r="D23">
        <v>1.8599999999999998E-2</v>
      </c>
      <c r="E23">
        <v>1</v>
      </c>
      <c r="F23">
        <v>3</v>
      </c>
      <c r="G23">
        <f t="shared" si="0"/>
        <v>2548.3870967741937</v>
      </c>
      <c r="X23" t="s">
        <v>738</v>
      </c>
      <c r="Y23">
        <v>6</v>
      </c>
      <c r="Z23">
        <v>6</v>
      </c>
      <c r="AA23">
        <v>4119.8156682027602</v>
      </c>
      <c r="AB23">
        <v>4247.8266596417297</v>
      </c>
      <c r="AC23">
        <v>0.29795306160816798</v>
      </c>
      <c r="AD23" t="s">
        <v>744</v>
      </c>
      <c r="AE23" t="s">
        <v>724</v>
      </c>
    </row>
    <row r="24" spans="1:31" x14ac:dyDescent="0.45">
      <c r="A24" s="5" t="s">
        <v>23</v>
      </c>
      <c r="B24">
        <v>22</v>
      </c>
      <c r="C24">
        <v>6.1</v>
      </c>
      <c r="D24">
        <v>2.1999999999999999E-2</v>
      </c>
      <c r="E24">
        <v>1</v>
      </c>
      <c r="F24">
        <v>3</v>
      </c>
      <c r="G24">
        <f t="shared" si="0"/>
        <v>831.81818181818198</v>
      </c>
    </row>
    <row r="25" spans="1:31" x14ac:dyDescent="0.45">
      <c r="A25" s="5" t="s">
        <v>24</v>
      </c>
      <c r="B25">
        <v>23</v>
      </c>
      <c r="C25">
        <v>15.7</v>
      </c>
      <c r="D25">
        <v>1.7600000000000001E-2</v>
      </c>
      <c r="E25">
        <v>1</v>
      </c>
      <c r="F25">
        <v>3</v>
      </c>
      <c r="G25">
        <f t="shared" si="0"/>
        <v>2676.1363636363631</v>
      </c>
    </row>
    <row r="26" spans="1:31" ht="14.65" thickBot="1" x14ac:dyDescent="0.5">
      <c r="A26" s="6" t="s">
        <v>25</v>
      </c>
      <c r="B26" s="3">
        <v>24</v>
      </c>
      <c r="C26">
        <v>15.2</v>
      </c>
      <c r="D26" s="9">
        <v>1.5299999999999999E-2</v>
      </c>
      <c r="E26" s="9">
        <v>1</v>
      </c>
      <c r="F26" s="9">
        <v>3</v>
      </c>
      <c r="G26" s="9">
        <f t="shared" si="0"/>
        <v>2980.3921568627457</v>
      </c>
      <c r="H26" s="9">
        <f>AVERAGE(G21:G26)</f>
        <v>2405.4292991555799</v>
      </c>
      <c r="I26" s="9">
        <f>STDEV(G21:G26)/SQRT(6)</f>
        <v>325.03007208947008</v>
      </c>
    </row>
    <row r="27" spans="1:31" x14ac:dyDescent="0.45">
      <c r="A27" s="4" t="s">
        <v>26</v>
      </c>
      <c r="B27">
        <v>25</v>
      </c>
      <c r="C27">
        <v>16.5</v>
      </c>
      <c r="D27">
        <v>1.9199999999999998E-2</v>
      </c>
      <c r="E27">
        <v>1</v>
      </c>
      <c r="F27">
        <v>3</v>
      </c>
      <c r="G27">
        <f t="shared" si="0"/>
        <v>2578.125</v>
      </c>
    </row>
    <row r="28" spans="1:31" x14ac:dyDescent="0.45">
      <c r="A28" s="5" t="s">
        <v>27</v>
      </c>
      <c r="B28">
        <v>26</v>
      </c>
      <c r="C28">
        <v>17.899999999999999</v>
      </c>
      <c r="D28">
        <v>1.9E-2</v>
      </c>
      <c r="E28">
        <v>1</v>
      </c>
      <c r="F28">
        <v>3</v>
      </c>
      <c r="G28">
        <f t="shared" si="0"/>
        <v>2826.3157894736842</v>
      </c>
    </row>
    <row r="29" spans="1:31" x14ac:dyDescent="0.45">
      <c r="A29" s="5" t="s">
        <v>28</v>
      </c>
      <c r="B29">
        <v>27</v>
      </c>
      <c r="C29">
        <v>19</v>
      </c>
      <c r="D29">
        <v>1.9699999999999999E-2</v>
      </c>
      <c r="E29">
        <v>1</v>
      </c>
      <c r="F29">
        <v>3</v>
      </c>
      <c r="G29">
        <f t="shared" si="0"/>
        <v>2893.4010152284263</v>
      </c>
    </row>
    <row r="30" spans="1:31" x14ac:dyDescent="0.45">
      <c r="A30" s="5" t="s">
        <v>29</v>
      </c>
      <c r="B30">
        <v>28</v>
      </c>
      <c r="C30">
        <v>16.5</v>
      </c>
      <c r="D30">
        <v>1.6500000000000001E-2</v>
      </c>
      <c r="E30">
        <v>1</v>
      </c>
      <c r="F30">
        <v>3</v>
      </c>
      <c r="G30">
        <f t="shared" si="0"/>
        <v>2999.9999999999995</v>
      </c>
    </row>
    <row r="31" spans="1:31" x14ac:dyDescent="0.45">
      <c r="A31" s="5" t="s">
        <v>30</v>
      </c>
      <c r="B31">
        <v>29</v>
      </c>
      <c r="C31">
        <v>20.2</v>
      </c>
      <c r="D31">
        <v>1.9099999999999999E-2</v>
      </c>
      <c r="E31">
        <v>1</v>
      </c>
      <c r="F31">
        <v>3</v>
      </c>
      <c r="G31">
        <f t="shared" si="0"/>
        <v>3172.7748691099478</v>
      </c>
    </row>
    <row r="32" spans="1:31" x14ac:dyDescent="0.45">
      <c r="A32" s="5" t="s">
        <v>31</v>
      </c>
      <c r="B32">
        <v>30</v>
      </c>
      <c r="C32">
        <v>22</v>
      </c>
      <c r="D32">
        <v>1.9599999999999999E-2</v>
      </c>
      <c r="E32">
        <v>1</v>
      </c>
      <c r="F32">
        <v>3</v>
      </c>
      <c r="G32">
        <f t="shared" si="0"/>
        <v>3367.3469387755104</v>
      </c>
      <c r="H32">
        <f>AVERAGE(G27:G32)</f>
        <v>2972.9939354312614</v>
      </c>
      <c r="I32">
        <f>STDEV(G27:G32)/SQRT(6)</f>
        <v>112.53548001233993</v>
      </c>
    </row>
    <row r="33" spans="1:9" x14ac:dyDescent="0.45">
      <c r="A33" s="5" t="s">
        <v>32</v>
      </c>
      <c r="B33">
        <v>31</v>
      </c>
      <c r="C33">
        <v>16.600000000000001</v>
      </c>
      <c r="D33">
        <v>1.8499999999999999E-2</v>
      </c>
      <c r="E33">
        <v>1</v>
      </c>
      <c r="F33">
        <v>3</v>
      </c>
      <c r="G33">
        <f t="shared" si="0"/>
        <v>2691.8918918918921</v>
      </c>
    </row>
    <row r="34" spans="1:9" x14ac:dyDescent="0.45">
      <c r="A34" s="5" t="s">
        <v>33</v>
      </c>
      <c r="B34">
        <v>32</v>
      </c>
      <c r="C34">
        <v>17.2</v>
      </c>
      <c r="D34">
        <v>0.02</v>
      </c>
      <c r="E34">
        <v>1</v>
      </c>
      <c r="F34">
        <v>3</v>
      </c>
      <c r="G34">
        <f t="shared" si="0"/>
        <v>2580</v>
      </c>
    </row>
    <row r="35" spans="1:9" x14ac:dyDescent="0.45">
      <c r="A35" s="5" t="s">
        <v>34</v>
      </c>
      <c r="B35">
        <v>33</v>
      </c>
      <c r="C35">
        <v>11.9</v>
      </c>
      <c r="D35">
        <v>1.66E-2</v>
      </c>
      <c r="E35">
        <v>1</v>
      </c>
      <c r="F35">
        <v>3</v>
      </c>
      <c r="G35">
        <f t="shared" si="0"/>
        <v>2150.602409638554</v>
      </c>
    </row>
    <row r="36" spans="1:9" x14ac:dyDescent="0.45">
      <c r="A36" s="5" t="s">
        <v>35</v>
      </c>
      <c r="B36">
        <v>34</v>
      </c>
      <c r="C36">
        <v>12.8</v>
      </c>
      <c r="D36">
        <v>1.8100000000000002E-2</v>
      </c>
      <c r="E36">
        <v>1</v>
      </c>
      <c r="F36">
        <v>3</v>
      </c>
      <c r="G36">
        <f t="shared" si="0"/>
        <v>2121.5469613259665</v>
      </c>
    </row>
    <row r="37" spans="1:9" x14ac:dyDescent="0.45">
      <c r="A37" s="5" t="s">
        <v>36</v>
      </c>
      <c r="B37">
        <v>35</v>
      </c>
      <c r="C37">
        <v>16.8</v>
      </c>
      <c r="D37">
        <v>1.8599999999999998E-2</v>
      </c>
      <c r="E37">
        <v>1</v>
      </c>
      <c r="F37">
        <v>3</v>
      </c>
      <c r="G37">
        <f t="shared" si="0"/>
        <v>2709.677419354839</v>
      </c>
    </row>
    <row r="38" spans="1:9" ht="14.65" thickBot="1" x14ac:dyDescent="0.5">
      <c r="A38" s="6" t="s">
        <v>37</v>
      </c>
      <c r="B38" s="3">
        <v>36</v>
      </c>
      <c r="C38">
        <v>12.4</v>
      </c>
      <c r="D38" s="9">
        <v>2.23E-2</v>
      </c>
      <c r="E38" s="9">
        <v>1</v>
      </c>
      <c r="F38" s="9">
        <v>3</v>
      </c>
      <c r="G38" s="9">
        <f t="shared" si="0"/>
        <v>1668.1614349775782</v>
      </c>
      <c r="H38" s="9">
        <f>AVERAGE(G33:G38)</f>
        <v>2320.313352864805</v>
      </c>
      <c r="I38" s="9">
        <f>STDEV(G33:G38)/SQRT(6)</f>
        <v>168.39676840719386</v>
      </c>
    </row>
    <row r="39" spans="1:9" x14ac:dyDescent="0.45">
      <c r="A39" s="4" t="s">
        <v>38</v>
      </c>
      <c r="B39">
        <v>37</v>
      </c>
      <c r="C39">
        <v>20.100000000000001</v>
      </c>
      <c r="D39">
        <v>1.7100000000000001E-2</v>
      </c>
      <c r="E39">
        <v>1</v>
      </c>
      <c r="F39">
        <v>3</v>
      </c>
      <c r="G39">
        <f t="shared" si="0"/>
        <v>3526.3157894736842</v>
      </c>
    </row>
    <row r="40" spans="1:9" x14ac:dyDescent="0.45">
      <c r="A40" s="5" t="s">
        <v>39</v>
      </c>
      <c r="B40">
        <v>38</v>
      </c>
      <c r="C40">
        <v>19.899999999999999</v>
      </c>
      <c r="D40">
        <v>1.8800000000000001E-2</v>
      </c>
      <c r="E40">
        <v>1</v>
      </c>
      <c r="F40">
        <v>3</v>
      </c>
      <c r="G40">
        <f t="shared" si="0"/>
        <v>3175.5319148936169</v>
      </c>
    </row>
    <row r="41" spans="1:9" x14ac:dyDescent="0.45">
      <c r="A41" s="5" t="s">
        <v>40</v>
      </c>
      <c r="B41">
        <v>39</v>
      </c>
      <c r="C41">
        <v>16.3</v>
      </c>
      <c r="D41">
        <v>1.5900000000000001E-2</v>
      </c>
      <c r="E41">
        <v>1</v>
      </c>
      <c r="F41">
        <v>3</v>
      </c>
      <c r="G41">
        <f t="shared" si="0"/>
        <v>3075.4716981132078</v>
      </c>
    </row>
    <row r="42" spans="1:9" x14ac:dyDescent="0.45">
      <c r="A42" s="5" t="s">
        <v>41</v>
      </c>
      <c r="B42">
        <v>40</v>
      </c>
      <c r="C42">
        <v>21.5</v>
      </c>
      <c r="D42">
        <v>1.9699999999999999E-2</v>
      </c>
      <c r="E42">
        <v>1</v>
      </c>
      <c r="F42">
        <v>3</v>
      </c>
      <c r="G42">
        <f t="shared" si="0"/>
        <v>3274.1116751269037</v>
      </c>
    </row>
    <row r="43" spans="1:9" x14ac:dyDescent="0.45">
      <c r="A43" s="5" t="s">
        <v>42</v>
      </c>
      <c r="B43">
        <v>41</v>
      </c>
      <c r="C43">
        <v>24.9</v>
      </c>
      <c r="D43">
        <v>2.0400000000000001E-2</v>
      </c>
      <c r="E43">
        <v>1</v>
      </c>
      <c r="F43">
        <v>3</v>
      </c>
      <c r="G43">
        <f t="shared" si="0"/>
        <v>3661.7647058823527</v>
      </c>
    </row>
    <row r="44" spans="1:9" x14ac:dyDescent="0.45">
      <c r="A44" s="5" t="s">
        <v>43</v>
      </c>
      <c r="B44">
        <v>42</v>
      </c>
      <c r="C44">
        <v>19.899999999999999</v>
      </c>
      <c r="D44">
        <v>1.84E-2</v>
      </c>
      <c r="E44">
        <v>1</v>
      </c>
      <c r="F44">
        <v>3</v>
      </c>
      <c r="G44">
        <f t="shared" si="0"/>
        <v>3244.565217391304</v>
      </c>
      <c r="H44">
        <f>AVERAGE(G39:G44)</f>
        <v>3326.293500146845</v>
      </c>
      <c r="I44">
        <f>STDEV(G39:G44)/SQRT(6)</f>
        <v>90.846561691171345</v>
      </c>
    </row>
    <row r="45" spans="1:9" x14ac:dyDescent="0.45">
      <c r="A45" s="5" t="s">
        <v>44</v>
      </c>
      <c r="B45">
        <v>43</v>
      </c>
      <c r="C45">
        <v>19.399999999999999</v>
      </c>
      <c r="D45">
        <v>1.9099999999999999E-2</v>
      </c>
      <c r="E45">
        <v>1</v>
      </c>
      <c r="F45">
        <v>3</v>
      </c>
      <c r="G45">
        <f t="shared" si="0"/>
        <v>3047.1204188481674</v>
      </c>
    </row>
    <row r="46" spans="1:9" x14ac:dyDescent="0.45">
      <c r="A46" s="5" t="s">
        <v>45</v>
      </c>
      <c r="B46">
        <v>44</v>
      </c>
      <c r="C46">
        <v>17</v>
      </c>
      <c r="D46">
        <v>1.7899999999999999E-2</v>
      </c>
      <c r="E46">
        <v>1</v>
      </c>
      <c r="F46">
        <v>3</v>
      </c>
      <c r="G46">
        <f t="shared" si="0"/>
        <v>2849.1620111731841</v>
      </c>
    </row>
    <row r="47" spans="1:9" x14ac:dyDescent="0.45">
      <c r="A47" s="5" t="s">
        <v>46</v>
      </c>
      <c r="B47">
        <v>45</v>
      </c>
      <c r="C47">
        <v>19.7</v>
      </c>
      <c r="D47">
        <v>1.9900000000000001E-2</v>
      </c>
      <c r="E47">
        <v>1</v>
      </c>
      <c r="F47">
        <v>3</v>
      </c>
      <c r="G47">
        <f t="shared" si="0"/>
        <v>2969.8492462311556</v>
      </c>
    </row>
    <row r="48" spans="1:9" x14ac:dyDescent="0.45">
      <c r="A48" s="5" t="s">
        <v>47</v>
      </c>
      <c r="B48">
        <v>46</v>
      </c>
      <c r="C48">
        <v>21.2</v>
      </c>
      <c r="D48">
        <v>1.84E-2</v>
      </c>
      <c r="E48">
        <v>1</v>
      </c>
      <c r="F48">
        <v>3</v>
      </c>
      <c r="G48">
        <f t="shared" si="0"/>
        <v>3456.521739130435</v>
      </c>
    </row>
    <row r="49" spans="1:9" x14ac:dyDescent="0.45">
      <c r="A49" s="5" t="s">
        <v>48</v>
      </c>
      <c r="B49">
        <v>47</v>
      </c>
      <c r="C49">
        <v>20</v>
      </c>
      <c r="D49">
        <v>1.9699999999999999E-2</v>
      </c>
      <c r="E49">
        <v>1</v>
      </c>
      <c r="F49">
        <v>3</v>
      </c>
      <c r="G49">
        <f t="shared" si="0"/>
        <v>3045.6852791878177</v>
      </c>
    </row>
    <row r="50" spans="1:9" ht="14.65" thickBot="1" x14ac:dyDescent="0.5">
      <c r="A50" s="6" t="s">
        <v>49</v>
      </c>
      <c r="B50" s="3">
        <v>48</v>
      </c>
      <c r="C50">
        <v>22.1</v>
      </c>
      <c r="D50" s="9">
        <v>2.1299999999999999E-2</v>
      </c>
      <c r="E50" s="9">
        <v>1</v>
      </c>
      <c r="F50" s="9">
        <v>3</v>
      </c>
      <c r="G50" s="9">
        <f t="shared" si="0"/>
        <v>3112.676056338028</v>
      </c>
      <c r="H50" s="9">
        <f>AVERAGE(G45:G50)</f>
        <v>3080.1691251514644</v>
      </c>
      <c r="I50" s="9">
        <f>STDEV(G45:G50)/SQRT(6)</f>
        <v>83.768352345083969</v>
      </c>
    </row>
    <row r="51" spans="1:9" x14ac:dyDescent="0.45">
      <c r="A51" s="4" t="s">
        <v>50</v>
      </c>
      <c r="B51">
        <v>49</v>
      </c>
      <c r="C51">
        <v>12.5</v>
      </c>
      <c r="D51">
        <v>1.7500000000000002E-2</v>
      </c>
      <c r="E51">
        <v>1</v>
      </c>
      <c r="F51">
        <v>3</v>
      </c>
      <c r="G51">
        <f t="shared" si="0"/>
        <v>2142.8571428571427</v>
      </c>
    </row>
    <row r="52" spans="1:9" x14ac:dyDescent="0.45">
      <c r="A52" s="5" t="s">
        <v>51</v>
      </c>
      <c r="B52">
        <v>50</v>
      </c>
      <c r="C52">
        <v>13.7</v>
      </c>
      <c r="D52">
        <v>1.78E-2</v>
      </c>
      <c r="E52">
        <v>1</v>
      </c>
      <c r="F52">
        <v>3</v>
      </c>
      <c r="G52">
        <f t="shared" si="0"/>
        <v>2308.9887640449438</v>
      </c>
    </row>
    <row r="53" spans="1:9" x14ac:dyDescent="0.45">
      <c r="A53" s="5" t="s">
        <v>52</v>
      </c>
      <c r="B53">
        <v>51</v>
      </c>
      <c r="C53">
        <v>13.9</v>
      </c>
      <c r="D53">
        <v>1.8700000000000001E-2</v>
      </c>
      <c r="E53">
        <v>1</v>
      </c>
      <c r="F53">
        <v>3</v>
      </c>
      <c r="G53">
        <f t="shared" si="0"/>
        <v>2229.9465240641712</v>
      </c>
    </row>
    <row r="54" spans="1:9" x14ac:dyDescent="0.45">
      <c r="A54" s="5" t="s">
        <v>53</v>
      </c>
      <c r="B54">
        <v>52</v>
      </c>
      <c r="C54">
        <v>11.8</v>
      </c>
      <c r="D54">
        <v>1.66E-2</v>
      </c>
      <c r="E54">
        <v>1</v>
      </c>
      <c r="F54">
        <v>3</v>
      </c>
      <c r="G54">
        <f t="shared" si="0"/>
        <v>2132.530120481928</v>
      </c>
    </row>
    <row r="55" spans="1:9" x14ac:dyDescent="0.45">
      <c r="A55" s="5" t="s">
        <v>54</v>
      </c>
      <c r="B55">
        <v>53</v>
      </c>
      <c r="C55">
        <v>15.8</v>
      </c>
      <c r="D55">
        <v>1.8100000000000002E-2</v>
      </c>
      <c r="E55">
        <v>1</v>
      </c>
      <c r="F55">
        <v>3</v>
      </c>
      <c r="G55">
        <f t="shared" si="0"/>
        <v>2618.7845303867402</v>
      </c>
    </row>
    <row r="56" spans="1:9" x14ac:dyDescent="0.45">
      <c r="A56" s="5" t="s">
        <v>55</v>
      </c>
      <c r="B56">
        <v>54</v>
      </c>
      <c r="C56">
        <v>14.5</v>
      </c>
      <c r="D56">
        <v>1.7100000000000001E-2</v>
      </c>
      <c r="E56">
        <v>1</v>
      </c>
      <c r="F56">
        <v>3</v>
      </c>
      <c r="G56">
        <f t="shared" si="0"/>
        <v>2543.8596491228072</v>
      </c>
      <c r="H56">
        <f>AVERAGE(G51:G56)</f>
        <v>2329.4944551596222</v>
      </c>
      <c r="I56">
        <f>STDEV(G51:G56)/SQRT(6)</f>
        <v>84.380071391251477</v>
      </c>
    </row>
    <row r="57" spans="1:9" x14ac:dyDescent="0.45">
      <c r="A57" s="5" t="s">
        <v>56</v>
      </c>
      <c r="B57">
        <v>55</v>
      </c>
      <c r="C57">
        <v>18.5</v>
      </c>
      <c r="D57">
        <v>1.8700000000000001E-2</v>
      </c>
      <c r="E57">
        <v>1</v>
      </c>
      <c r="F57">
        <v>3</v>
      </c>
      <c r="G57">
        <f t="shared" si="0"/>
        <v>2967.9144385026734</v>
      </c>
    </row>
    <row r="58" spans="1:9" x14ac:dyDescent="0.45">
      <c r="A58" s="5" t="s">
        <v>57</v>
      </c>
      <c r="B58">
        <v>56</v>
      </c>
      <c r="C58">
        <v>20.5</v>
      </c>
      <c r="D58">
        <v>2.0899999999999998E-2</v>
      </c>
      <c r="E58">
        <v>1</v>
      </c>
      <c r="F58">
        <v>3</v>
      </c>
      <c r="G58">
        <f t="shared" si="0"/>
        <v>2942.5837320574165</v>
      </c>
    </row>
    <row r="59" spans="1:9" x14ac:dyDescent="0.45">
      <c r="A59" s="5" t="s">
        <v>58</v>
      </c>
      <c r="B59">
        <v>57</v>
      </c>
      <c r="C59">
        <v>15.7</v>
      </c>
      <c r="D59">
        <v>1.89E-2</v>
      </c>
      <c r="E59">
        <v>1</v>
      </c>
      <c r="F59">
        <v>3</v>
      </c>
      <c r="G59">
        <f t="shared" si="0"/>
        <v>2492.063492063492</v>
      </c>
    </row>
    <row r="60" spans="1:9" x14ac:dyDescent="0.45">
      <c r="A60" s="5" t="s">
        <v>59</v>
      </c>
      <c r="B60">
        <v>58</v>
      </c>
      <c r="C60">
        <v>16</v>
      </c>
      <c r="D60">
        <v>1.9E-2</v>
      </c>
      <c r="E60">
        <v>1</v>
      </c>
      <c r="F60">
        <v>3</v>
      </c>
      <c r="G60">
        <f t="shared" si="0"/>
        <v>2526.3157894736842</v>
      </c>
    </row>
    <row r="61" spans="1:9" x14ac:dyDescent="0.45">
      <c r="A61" s="5" t="s">
        <v>60</v>
      </c>
      <c r="B61">
        <v>59</v>
      </c>
      <c r="C61">
        <v>22.1</v>
      </c>
      <c r="D61">
        <v>2.1499999999999998E-2</v>
      </c>
      <c r="E61">
        <v>1</v>
      </c>
      <c r="F61">
        <v>3</v>
      </c>
      <c r="G61">
        <f t="shared" si="0"/>
        <v>3083.7209302325591</v>
      </c>
    </row>
    <row r="62" spans="1:9" ht="14.65" thickBot="1" x14ac:dyDescent="0.5">
      <c r="A62" s="6" t="s">
        <v>61</v>
      </c>
      <c r="B62" s="3">
        <v>60</v>
      </c>
      <c r="C62">
        <v>20.100000000000001</v>
      </c>
      <c r="D62" s="9">
        <v>1.9900000000000001E-2</v>
      </c>
      <c r="E62" s="9">
        <v>1</v>
      </c>
      <c r="F62" s="9">
        <v>3</v>
      </c>
      <c r="G62" s="9">
        <f t="shared" si="0"/>
        <v>3030.150753768844</v>
      </c>
      <c r="H62" s="9">
        <f>AVERAGE(G57:G62)</f>
        <v>2840.458189349778</v>
      </c>
      <c r="I62" s="9">
        <f>STDEV(G57:G62)/SQRT(6)</f>
        <v>106.75502556730115</v>
      </c>
    </row>
    <row r="63" spans="1:9" x14ac:dyDescent="0.45">
      <c r="A63" s="4" t="s">
        <v>62</v>
      </c>
      <c r="B63">
        <v>61</v>
      </c>
      <c r="C63">
        <v>16.600000000000001</v>
      </c>
      <c r="D63">
        <v>1.8499999999999999E-2</v>
      </c>
      <c r="E63">
        <v>1</v>
      </c>
      <c r="F63">
        <v>3</v>
      </c>
      <c r="G63">
        <f t="shared" si="0"/>
        <v>2691.8918918918921</v>
      </c>
    </row>
    <row r="64" spans="1:9" x14ac:dyDescent="0.45">
      <c r="A64" s="5" t="s">
        <v>63</v>
      </c>
      <c r="B64">
        <v>62</v>
      </c>
      <c r="C64">
        <v>17.2</v>
      </c>
      <c r="D64">
        <v>2.1000000000000001E-2</v>
      </c>
      <c r="E64">
        <v>1</v>
      </c>
      <c r="F64">
        <v>3</v>
      </c>
      <c r="G64">
        <f t="shared" si="0"/>
        <v>2457.1428571428569</v>
      </c>
    </row>
    <row r="65" spans="1:9" x14ac:dyDescent="0.45">
      <c r="A65" s="5" t="s">
        <v>64</v>
      </c>
      <c r="B65">
        <v>63</v>
      </c>
      <c r="C65">
        <v>14.5</v>
      </c>
      <c r="D65">
        <v>1.9400000000000001E-2</v>
      </c>
      <c r="E65">
        <v>1</v>
      </c>
      <c r="F65">
        <v>3</v>
      </c>
      <c r="G65">
        <f t="shared" si="0"/>
        <v>2242.2680412371137</v>
      </c>
    </row>
    <row r="66" spans="1:9" x14ac:dyDescent="0.45">
      <c r="A66" s="5" t="s">
        <v>65</v>
      </c>
      <c r="B66">
        <v>64</v>
      </c>
      <c r="C66">
        <v>12.2</v>
      </c>
      <c r="D66">
        <v>1.7500000000000002E-2</v>
      </c>
      <c r="E66">
        <v>1</v>
      </c>
      <c r="F66">
        <v>3</v>
      </c>
      <c r="G66">
        <f t="shared" si="0"/>
        <v>2091.4285714285711</v>
      </c>
    </row>
    <row r="67" spans="1:9" x14ac:dyDescent="0.45">
      <c r="A67" s="5" t="s">
        <v>66</v>
      </c>
      <c r="B67">
        <v>65</v>
      </c>
      <c r="C67">
        <v>16.3</v>
      </c>
      <c r="D67">
        <v>2.0500000000000001E-2</v>
      </c>
      <c r="E67">
        <v>1</v>
      </c>
      <c r="F67">
        <v>3</v>
      </c>
      <c r="G67">
        <f t="shared" si="0"/>
        <v>2385.3658536585367</v>
      </c>
    </row>
    <row r="68" spans="1:9" x14ac:dyDescent="0.45">
      <c r="A68" s="5" t="s">
        <v>67</v>
      </c>
      <c r="B68">
        <v>66</v>
      </c>
      <c r="C68">
        <v>16.2</v>
      </c>
      <c r="D68">
        <v>1.9800000000000002E-2</v>
      </c>
      <c r="E68">
        <v>1</v>
      </c>
      <c r="F68">
        <v>3</v>
      </c>
      <c r="G68">
        <f t="shared" ref="G68:G122" si="1">(C68*(E68/D68)*F68)</f>
        <v>2454.545454545454</v>
      </c>
      <c r="H68">
        <f>AVERAGE(G63:G68)</f>
        <v>2387.1071116507374</v>
      </c>
      <c r="I68">
        <f>STDEV(G63:G68)/SQRT(6)</f>
        <v>83.816045689605389</v>
      </c>
    </row>
    <row r="69" spans="1:9" x14ac:dyDescent="0.45">
      <c r="A69" s="5" t="s">
        <v>68</v>
      </c>
      <c r="B69">
        <v>67</v>
      </c>
      <c r="C69">
        <v>12.4</v>
      </c>
      <c r="D69">
        <v>1.7399999999999999E-2</v>
      </c>
      <c r="E69">
        <v>1</v>
      </c>
      <c r="F69">
        <v>3</v>
      </c>
      <c r="G69">
        <f t="shared" si="1"/>
        <v>2137.9310344827591</v>
      </c>
    </row>
    <row r="70" spans="1:9" x14ac:dyDescent="0.45">
      <c r="A70" s="5" t="s">
        <v>69</v>
      </c>
      <c r="B70">
        <v>68</v>
      </c>
      <c r="C70">
        <v>11.6</v>
      </c>
      <c r="D70">
        <v>1.6199999999999999E-2</v>
      </c>
      <c r="E70">
        <v>1</v>
      </c>
      <c r="F70">
        <v>3</v>
      </c>
      <c r="G70">
        <f t="shared" si="1"/>
        <v>2148.1481481481483</v>
      </c>
    </row>
    <row r="71" spans="1:9" x14ac:dyDescent="0.45">
      <c r="A71" s="5" t="s">
        <v>70</v>
      </c>
      <c r="B71">
        <v>69</v>
      </c>
      <c r="C71">
        <v>18.600000000000001</v>
      </c>
      <c r="D71">
        <v>2.1899999999999999E-2</v>
      </c>
      <c r="E71">
        <v>1</v>
      </c>
      <c r="F71">
        <v>3</v>
      </c>
      <c r="G71">
        <f t="shared" si="1"/>
        <v>2547.9452054794524</v>
      </c>
    </row>
    <row r="72" spans="1:9" x14ac:dyDescent="0.45">
      <c r="A72" s="5" t="s">
        <v>71</v>
      </c>
      <c r="B72">
        <v>70</v>
      </c>
      <c r="C72">
        <v>16.600000000000001</v>
      </c>
      <c r="D72">
        <v>1.9400000000000001E-2</v>
      </c>
      <c r="E72">
        <v>1</v>
      </c>
      <c r="F72">
        <v>3</v>
      </c>
      <c r="G72">
        <f t="shared" si="1"/>
        <v>2567.0103092783511</v>
      </c>
    </row>
    <row r="73" spans="1:9" x14ac:dyDescent="0.45">
      <c r="A73" s="5" t="s">
        <v>72</v>
      </c>
      <c r="B73">
        <v>71</v>
      </c>
      <c r="C73">
        <v>15.2</v>
      </c>
      <c r="D73">
        <v>1.9300000000000001E-2</v>
      </c>
      <c r="E73">
        <v>1</v>
      </c>
      <c r="F73">
        <v>3</v>
      </c>
      <c r="G73">
        <f t="shared" si="1"/>
        <v>2362.6943005181347</v>
      </c>
    </row>
    <row r="74" spans="1:9" ht="14.65" thickBot="1" x14ac:dyDescent="0.5">
      <c r="A74" s="6" t="s">
        <v>73</v>
      </c>
      <c r="B74" s="3">
        <v>72</v>
      </c>
      <c r="C74">
        <v>14.6</v>
      </c>
      <c r="D74" s="9">
        <v>1.8599999999999998E-2</v>
      </c>
      <c r="E74" s="9">
        <v>1</v>
      </c>
      <c r="F74" s="9">
        <v>3</v>
      </c>
      <c r="G74" s="9">
        <f t="shared" si="1"/>
        <v>2354.8387096774195</v>
      </c>
      <c r="H74" s="9">
        <f>AVERAGE(G69:G74)</f>
        <v>2353.0946179307107</v>
      </c>
      <c r="I74" s="9">
        <f>STDEV(G69:G74)/SQRT(6)</f>
        <v>75.745251414005594</v>
      </c>
    </row>
    <row r="75" spans="1:9" x14ac:dyDescent="0.45">
      <c r="A75" s="4" t="s">
        <v>74</v>
      </c>
      <c r="B75">
        <v>73</v>
      </c>
      <c r="C75">
        <v>11.6</v>
      </c>
      <c r="D75">
        <v>1.7000000000000001E-2</v>
      </c>
      <c r="E75">
        <v>1</v>
      </c>
      <c r="F75">
        <v>3</v>
      </c>
      <c r="G75">
        <f t="shared" si="1"/>
        <v>2047.0588235294115</v>
      </c>
    </row>
    <row r="76" spans="1:9" x14ac:dyDescent="0.45">
      <c r="A76" s="5" t="s">
        <v>75</v>
      </c>
      <c r="B76">
        <v>74</v>
      </c>
      <c r="C76">
        <v>14.8</v>
      </c>
      <c r="D76">
        <v>2.1299999999999999E-2</v>
      </c>
      <c r="E76">
        <v>1</v>
      </c>
      <c r="F76">
        <v>3</v>
      </c>
      <c r="G76">
        <f t="shared" si="1"/>
        <v>2084.5070422535214</v>
      </c>
    </row>
    <row r="77" spans="1:9" x14ac:dyDescent="0.45">
      <c r="A77" s="5" t="s">
        <v>76</v>
      </c>
      <c r="B77">
        <v>75</v>
      </c>
      <c r="C77">
        <v>21.2</v>
      </c>
      <c r="D77">
        <v>1.9300000000000001E-2</v>
      </c>
      <c r="E77">
        <v>1</v>
      </c>
      <c r="F77">
        <v>3</v>
      </c>
      <c r="G77">
        <f t="shared" si="1"/>
        <v>3295.3367875647664</v>
      </c>
    </row>
    <row r="78" spans="1:9" x14ac:dyDescent="0.45">
      <c r="A78" s="5" t="s">
        <v>77</v>
      </c>
      <c r="B78">
        <v>76</v>
      </c>
      <c r="C78">
        <v>21.8</v>
      </c>
      <c r="D78">
        <v>1.9300000000000001E-2</v>
      </c>
      <c r="E78">
        <v>1</v>
      </c>
      <c r="F78">
        <v>3</v>
      </c>
      <c r="G78">
        <f t="shared" si="1"/>
        <v>3388.6010362694306</v>
      </c>
    </row>
    <row r="79" spans="1:9" x14ac:dyDescent="0.45">
      <c r="A79" s="5" t="s">
        <v>78</v>
      </c>
      <c r="B79">
        <v>77</v>
      </c>
      <c r="C79">
        <v>22.2</v>
      </c>
      <c r="D79">
        <v>2.0400000000000001E-2</v>
      </c>
      <c r="E79">
        <v>1</v>
      </c>
      <c r="F79">
        <v>3</v>
      </c>
      <c r="G79">
        <f t="shared" si="1"/>
        <v>3264.7058823529405</v>
      </c>
    </row>
    <row r="80" spans="1:9" x14ac:dyDescent="0.45">
      <c r="A80" s="5" t="s">
        <v>79</v>
      </c>
      <c r="B80">
        <v>78</v>
      </c>
      <c r="C80">
        <v>18.899999999999999</v>
      </c>
      <c r="D80">
        <v>1.7399999999999999E-2</v>
      </c>
      <c r="E80">
        <v>1</v>
      </c>
      <c r="F80">
        <v>3</v>
      </c>
      <c r="G80">
        <f t="shared" si="1"/>
        <v>3258.6206896551726</v>
      </c>
      <c r="H80">
        <f>AVERAGE(G75:G80)</f>
        <v>2889.8050436042072</v>
      </c>
      <c r="I80">
        <f>STDEV(G75:G80)/SQRT(6)</f>
        <v>261.31431391811338</v>
      </c>
    </row>
    <row r="81" spans="1:9" x14ac:dyDescent="0.45">
      <c r="A81" s="5" t="s">
        <v>80</v>
      </c>
      <c r="B81">
        <v>79</v>
      </c>
      <c r="C81">
        <v>21.1</v>
      </c>
      <c r="D81">
        <v>1.9E-2</v>
      </c>
      <c r="E81">
        <v>1</v>
      </c>
      <c r="F81">
        <v>3</v>
      </c>
      <c r="G81">
        <f t="shared" si="1"/>
        <v>3331.5789473684213</v>
      </c>
    </row>
    <row r="82" spans="1:9" x14ac:dyDescent="0.45">
      <c r="A82" s="5" t="s">
        <v>81</v>
      </c>
      <c r="B82">
        <v>80</v>
      </c>
      <c r="C82">
        <v>22.6</v>
      </c>
      <c r="D82">
        <v>2.1899999999999999E-2</v>
      </c>
      <c r="E82">
        <v>1</v>
      </c>
      <c r="F82">
        <v>3</v>
      </c>
      <c r="G82">
        <f t="shared" si="1"/>
        <v>3095.8904109589043</v>
      </c>
    </row>
    <row r="83" spans="1:9" x14ac:dyDescent="0.45">
      <c r="A83" s="5" t="s">
        <v>82</v>
      </c>
      <c r="B83">
        <v>81</v>
      </c>
      <c r="C83">
        <v>16.399999999999999</v>
      </c>
      <c r="D83">
        <v>1.67E-2</v>
      </c>
      <c r="E83">
        <v>1</v>
      </c>
      <c r="F83">
        <v>3</v>
      </c>
      <c r="G83">
        <f t="shared" si="1"/>
        <v>2946.1077844311376</v>
      </c>
    </row>
    <row r="84" spans="1:9" x14ac:dyDescent="0.45">
      <c r="A84" s="5" t="s">
        <v>83</v>
      </c>
      <c r="B84">
        <v>82</v>
      </c>
      <c r="C84">
        <v>16.399999999999999</v>
      </c>
      <c r="D84">
        <v>1.7999999999999999E-2</v>
      </c>
      <c r="E84">
        <v>1</v>
      </c>
      <c r="F84">
        <v>3</v>
      </c>
      <c r="G84">
        <f t="shared" si="1"/>
        <v>2733.333333333333</v>
      </c>
    </row>
    <row r="85" spans="1:9" x14ac:dyDescent="0.45">
      <c r="A85" s="5" t="s">
        <v>84</v>
      </c>
      <c r="B85">
        <v>83</v>
      </c>
      <c r="C85">
        <v>20.6</v>
      </c>
      <c r="D85">
        <v>1.83E-2</v>
      </c>
      <c r="E85">
        <v>1</v>
      </c>
      <c r="F85">
        <v>3</v>
      </c>
      <c r="G85">
        <f t="shared" si="1"/>
        <v>3377.0491803278692</v>
      </c>
    </row>
    <row r="86" spans="1:9" ht="14.65" thickBot="1" x14ac:dyDescent="0.5">
      <c r="A86" s="6" t="s">
        <v>85</v>
      </c>
      <c r="B86" s="3">
        <v>84</v>
      </c>
      <c r="C86">
        <v>22.5</v>
      </c>
      <c r="D86" s="9">
        <v>0.02</v>
      </c>
      <c r="E86" s="9">
        <v>1</v>
      </c>
      <c r="F86" s="9">
        <v>3</v>
      </c>
      <c r="G86" s="9">
        <f t="shared" si="1"/>
        <v>3375</v>
      </c>
      <c r="H86" s="9">
        <f>AVERAGE(G81:G86)</f>
        <v>3143.1599427366104</v>
      </c>
      <c r="I86" s="9">
        <f>STDEV(G81:G86)/SQRT(6)</f>
        <v>108.47081334344732</v>
      </c>
    </row>
    <row r="87" spans="1:9" x14ac:dyDescent="0.45">
      <c r="A87" s="4" t="s">
        <v>86</v>
      </c>
      <c r="B87">
        <v>85</v>
      </c>
      <c r="C87">
        <v>28.4</v>
      </c>
      <c r="D87">
        <v>2.2499999999999999E-2</v>
      </c>
      <c r="E87">
        <v>1</v>
      </c>
      <c r="F87">
        <v>3</v>
      </c>
      <c r="G87">
        <f t="shared" si="1"/>
        <v>3786.6666666666665</v>
      </c>
    </row>
    <row r="88" spans="1:9" x14ac:dyDescent="0.45">
      <c r="A88" s="5" t="s">
        <v>87</v>
      </c>
      <c r="B88">
        <v>86</v>
      </c>
      <c r="C88">
        <v>26.8</v>
      </c>
      <c r="D88">
        <v>2.0799999999999999E-2</v>
      </c>
      <c r="E88">
        <v>1</v>
      </c>
      <c r="F88">
        <v>3</v>
      </c>
      <c r="G88">
        <f t="shared" si="1"/>
        <v>3865.3846153846157</v>
      </c>
    </row>
    <row r="89" spans="1:9" x14ac:dyDescent="0.45">
      <c r="A89" s="5" t="s">
        <v>88</v>
      </c>
      <c r="B89">
        <v>87</v>
      </c>
      <c r="C89">
        <v>22.8</v>
      </c>
      <c r="D89">
        <v>2.0500000000000001E-2</v>
      </c>
      <c r="E89">
        <v>1</v>
      </c>
      <c r="F89">
        <v>3</v>
      </c>
      <c r="G89">
        <f t="shared" si="1"/>
        <v>3336.5853658536589</v>
      </c>
    </row>
    <row r="90" spans="1:9" x14ac:dyDescent="0.45">
      <c r="A90" s="5" t="s">
        <v>89</v>
      </c>
      <c r="B90">
        <v>88</v>
      </c>
      <c r="C90">
        <v>18</v>
      </c>
      <c r="D90">
        <v>1.7500000000000002E-2</v>
      </c>
      <c r="E90">
        <v>1</v>
      </c>
      <c r="F90">
        <v>3</v>
      </c>
      <c r="G90">
        <f t="shared" si="1"/>
        <v>3085.7142857142853</v>
      </c>
    </row>
    <row r="91" spans="1:9" x14ac:dyDescent="0.45">
      <c r="A91" s="5" t="s">
        <v>90</v>
      </c>
      <c r="B91">
        <v>89</v>
      </c>
      <c r="C91">
        <v>31.8</v>
      </c>
      <c r="D91">
        <v>2.3900000000000001E-2</v>
      </c>
      <c r="E91">
        <v>1</v>
      </c>
      <c r="F91">
        <v>3</v>
      </c>
      <c r="G91">
        <f t="shared" si="1"/>
        <v>3991.6317991631795</v>
      </c>
    </row>
    <row r="92" spans="1:9" x14ac:dyDescent="0.45">
      <c r="A92" s="5" t="s">
        <v>91</v>
      </c>
      <c r="B92">
        <v>90</v>
      </c>
      <c r="C92">
        <v>27.5</v>
      </c>
      <c r="D92">
        <v>2.1600000000000001E-2</v>
      </c>
      <c r="E92">
        <v>1</v>
      </c>
      <c r="F92">
        <v>3</v>
      </c>
      <c r="G92">
        <f t="shared" si="1"/>
        <v>3819.4444444444443</v>
      </c>
      <c r="H92">
        <f>AVERAGE(G87:G92)</f>
        <v>3647.5711962044752</v>
      </c>
      <c r="I92">
        <f>STDEV(G87:G92)/SQRT(6)</f>
        <v>144.58028012047782</v>
      </c>
    </row>
    <row r="93" spans="1:9" x14ac:dyDescent="0.45">
      <c r="A93" s="5" t="s">
        <v>92</v>
      </c>
      <c r="B93">
        <v>91</v>
      </c>
      <c r="C93">
        <v>24</v>
      </c>
      <c r="D93">
        <v>2.0199999999999999E-2</v>
      </c>
      <c r="E93">
        <v>1</v>
      </c>
      <c r="F93">
        <v>3</v>
      </c>
      <c r="G93">
        <f t="shared" si="1"/>
        <v>3564.3564356435645</v>
      </c>
    </row>
    <row r="94" spans="1:9" x14ac:dyDescent="0.45">
      <c r="A94" s="5" t="s">
        <v>93</v>
      </c>
      <c r="B94">
        <v>92</v>
      </c>
      <c r="C94">
        <v>23.3</v>
      </c>
      <c r="D94">
        <v>2.1399999999999999E-2</v>
      </c>
      <c r="E94">
        <v>1</v>
      </c>
      <c r="F94">
        <v>3</v>
      </c>
      <c r="G94">
        <f t="shared" si="1"/>
        <v>3266.3551401869163</v>
      </c>
    </row>
    <row r="95" spans="1:9" x14ac:dyDescent="0.45">
      <c r="A95" s="5" t="s">
        <v>94</v>
      </c>
      <c r="B95">
        <v>93</v>
      </c>
      <c r="C95">
        <v>24.6</v>
      </c>
      <c r="D95">
        <v>1.9400000000000001E-2</v>
      </c>
      <c r="E95">
        <v>1</v>
      </c>
      <c r="F95">
        <v>3</v>
      </c>
      <c r="G95">
        <f t="shared" si="1"/>
        <v>3804.1237113402062</v>
      </c>
    </row>
    <row r="96" spans="1:9" x14ac:dyDescent="0.45">
      <c r="A96" s="5" t="s">
        <v>95</v>
      </c>
      <c r="B96">
        <v>94</v>
      </c>
      <c r="C96">
        <v>26.3</v>
      </c>
      <c r="D96">
        <v>2.23E-2</v>
      </c>
      <c r="E96">
        <v>1</v>
      </c>
      <c r="F96">
        <v>3</v>
      </c>
      <c r="G96">
        <f t="shared" si="1"/>
        <v>3538.1165919282512</v>
      </c>
    </row>
    <row r="97" spans="1:9" x14ac:dyDescent="0.45">
      <c r="A97" s="5" t="s">
        <v>96</v>
      </c>
      <c r="B97">
        <v>95</v>
      </c>
      <c r="C97">
        <v>26.8</v>
      </c>
      <c r="D97">
        <v>2.0500000000000001E-2</v>
      </c>
      <c r="E97">
        <v>1</v>
      </c>
      <c r="F97">
        <v>3</v>
      </c>
      <c r="G97">
        <f t="shared" si="1"/>
        <v>3921.9512195121956</v>
      </c>
    </row>
    <row r="98" spans="1:9" ht="14.65" thickBot="1" x14ac:dyDescent="0.5">
      <c r="A98" s="6" t="s">
        <v>97</v>
      </c>
      <c r="B98" s="3">
        <v>96</v>
      </c>
      <c r="C98">
        <v>29.4</v>
      </c>
      <c r="D98" s="9">
        <v>2.18E-2</v>
      </c>
      <c r="E98" s="9">
        <v>1</v>
      </c>
      <c r="F98" s="9">
        <v>3</v>
      </c>
      <c r="G98" s="9">
        <f t="shared" si="1"/>
        <v>4045.8715596330276</v>
      </c>
      <c r="H98" s="9">
        <f>AVERAGE(G93:G98)</f>
        <v>3690.1291097073604</v>
      </c>
      <c r="I98" s="9">
        <f>STDEV(G93:G98)/SQRT(6)</f>
        <v>117.16084368945231</v>
      </c>
    </row>
    <row r="99" spans="1:9" x14ac:dyDescent="0.45">
      <c r="A99" s="4" t="s">
        <v>98</v>
      </c>
      <c r="B99">
        <v>97</v>
      </c>
      <c r="C99">
        <v>34.299999999999997</v>
      </c>
      <c r="D99">
        <v>2.3E-2</v>
      </c>
      <c r="E99">
        <v>1</v>
      </c>
      <c r="F99">
        <v>3</v>
      </c>
      <c r="G99">
        <f t="shared" si="1"/>
        <v>4473.9130434782601</v>
      </c>
    </row>
    <row r="100" spans="1:9" x14ac:dyDescent="0.45">
      <c r="A100" s="5" t="s">
        <v>99</v>
      </c>
      <c r="B100">
        <v>98</v>
      </c>
      <c r="C100">
        <v>27.1</v>
      </c>
      <c r="D100">
        <v>1.8599999999999998E-2</v>
      </c>
      <c r="E100">
        <v>1</v>
      </c>
      <c r="F100">
        <v>3</v>
      </c>
      <c r="G100">
        <f t="shared" si="1"/>
        <v>4370.9677419354848</v>
      </c>
    </row>
    <row r="101" spans="1:9" x14ac:dyDescent="0.45">
      <c r="A101" s="5" t="s">
        <v>100</v>
      </c>
      <c r="B101">
        <v>99</v>
      </c>
      <c r="C101">
        <v>30.3</v>
      </c>
      <c r="D101">
        <v>0.02</v>
      </c>
      <c r="E101">
        <v>1</v>
      </c>
      <c r="F101">
        <v>3</v>
      </c>
      <c r="G101">
        <f t="shared" si="1"/>
        <v>4545</v>
      </c>
    </row>
    <row r="102" spans="1:9" x14ac:dyDescent="0.45">
      <c r="A102" s="5" t="s">
        <v>101</v>
      </c>
      <c r="B102">
        <v>100</v>
      </c>
      <c r="C102">
        <v>26.1</v>
      </c>
      <c r="D102">
        <v>1.83E-2</v>
      </c>
      <c r="E102">
        <v>1</v>
      </c>
      <c r="F102">
        <v>3</v>
      </c>
      <c r="G102">
        <f t="shared" si="1"/>
        <v>4278.688524590164</v>
      </c>
    </row>
    <row r="103" spans="1:9" x14ac:dyDescent="0.45">
      <c r="A103" s="5" t="s">
        <v>102</v>
      </c>
      <c r="B103">
        <v>101</v>
      </c>
      <c r="C103">
        <v>33.299999999999997</v>
      </c>
      <c r="D103">
        <v>2.3099999999999999E-2</v>
      </c>
      <c r="E103">
        <v>1</v>
      </c>
      <c r="F103">
        <v>3</v>
      </c>
      <c r="G103">
        <f t="shared" si="1"/>
        <v>4324.6753246753242</v>
      </c>
    </row>
    <row r="104" spans="1:9" x14ac:dyDescent="0.45">
      <c r="A104" s="5" t="s">
        <v>103</v>
      </c>
      <c r="B104">
        <v>102</v>
      </c>
      <c r="C104">
        <v>33</v>
      </c>
      <c r="D104">
        <v>2.29E-2</v>
      </c>
      <c r="E104">
        <v>1</v>
      </c>
      <c r="F104">
        <v>3</v>
      </c>
      <c r="G104">
        <f t="shared" si="1"/>
        <v>4323.1441048034931</v>
      </c>
      <c r="H104">
        <f>AVERAGE(G99:G104)</f>
        <v>4386.0647899137884</v>
      </c>
      <c r="I104">
        <f>STDEV(G99:G104)/SQRT(6)</f>
        <v>41.818249177840244</v>
      </c>
    </row>
    <row r="105" spans="1:9" x14ac:dyDescent="0.45">
      <c r="A105" s="5" t="s">
        <v>104</v>
      </c>
      <c r="B105">
        <v>103</v>
      </c>
      <c r="C105">
        <v>30</v>
      </c>
      <c r="D105">
        <v>2.24E-2</v>
      </c>
      <c r="E105">
        <v>1</v>
      </c>
      <c r="F105">
        <v>3</v>
      </c>
      <c r="G105">
        <f t="shared" si="1"/>
        <v>4017.8571428571431</v>
      </c>
    </row>
    <row r="106" spans="1:9" x14ac:dyDescent="0.45">
      <c r="A106" s="5" t="s">
        <v>105</v>
      </c>
      <c r="B106">
        <v>104</v>
      </c>
      <c r="C106">
        <v>30.3</v>
      </c>
      <c r="D106">
        <v>2.1399999999999999E-2</v>
      </c>
      <c r="E106">
        <v>1</v>
      </c>
      <c r="F106">
        <v>3</v>
      </c>
      <c r="G106">
        <f t="shared" si="1"/>
        <v>4247.663551401869</v>
      </c>
    </row>
    <row r="107" spans="1:9" x14ac:dyDescent="0.45">
      <c r="A107" s="5" t="s">
        <v>106</v>
      </c>
      <c r="B107">
        <v>105</v>
      </c>
      <c r="C107">
        <v>27</v>
      </c>
      <c r="D107">
        <v>2.1700000000000001E-2</v>
      </c>
      <c r="E107">
        <v>1</v>
      </c>
      <c r="F107">
        <v>3</v>
      </c>
      <c r="G107">
        <f t="shared" si="1"/>
        <v>3732.7188940092165</v>
      </c>
    </row>
    <row r="108" spans="1:9" x14ac:dyDescent="0.45">
      <c r="A108" s="5" t="s">
        <v>107</v>
      </c>
      <c r="B108">
        <v>106</v>
      </c>
      <c r="C108">
        <v>24.3</v>
      </c>
      <c r="D108">
        <v>2.0500000000000001E-2</v>
      </c>
      <c r="E108">
        <v>1</v>
      </c>
      <c r="F108">
        <v>3</v>
      </c>
      <c r="G108">
        <f t="shared" si="1"/>
        <v>3556.0975609756101</v>
      </c>
    </row>
    <row r="109" spans="1:9" x14ac:dyDescent="0.45">
      <c r="A109" s="5" t="s">
        <v>108</v>
      </c>
      <c r="B109">
        <v>107</v>
      </c>
      <c r="C109">
        <v>33.4</v>
      </c>
      <c r="D109">
        <v>2.24E-2</v>
      </c>
      <c r="E109">
        <v>1</v>
      </c>
      <c r="F109">
        <v>3</v>
      </c>
      <c r="G109">
        <f t="shared" si="1"/>
        <v>4473.2142857142862</v>
      </c>
    </row>
    <row r="110" spans="1:9" ht="14.65" thickBot="1" x14ac:dyDescent="0.5">
      <c r="A110" s="6" t="s">
        <v>109</v>
      </c>
      <c r="B110" s="3">
        <v>108</v>
      </c>
      <c r="C110">
        <v>31</v>
      </c>
      <c r="D110" s="9">
        <v>2.18E-2</v>
      </c>
      <c r="E110" s="9">
        <v>1</v>
      </c>
      <c r="F110" s="9">
        <v>3</v>
      </c>
      <c r="G110" s="9">
        <f t="shared" si="1"/>
        <v>4266.0550458715597</v>
      </c>
      <c r="H110" s="9">
        <f>AVERAGE(G105:G110)</f>
        <v>4048.9344134716139</v>
      </c>
      <c r="I110" s="9">
        <f>STDEV(G105:G110)/SQRT(6)</f>
        <v>142.6527560129141</v>
      </c>
    </row>
    <row r="111" spans="1:9" x14ac:dyDescent="0.45">
      <c r="A111" s="4" t="s">
        <v>110</v>
      </c>
      <c r="B111">
        <v>109</v>
      </c>
      <c r="C111">
        <v>25.6</v>
      </c>
      <c r="D111">
        <v>2.01E-2</v>
      </c>
      <c r="E111">
        <v>1</v>
      </c>
      <c r="F111">
        <v>3</v>
      </c>
      <c r="G111">
        <f t="shared" si="1"/>
        <v>3820.8955223880603</v>
      </c>
    </row>
    <row r="112" spans="1:9" x14ac:dyDescent="0.45">
      <c r="A112" s="5" t="s">
        <v>111</v>
      </c>
      <c r="B112">
        <v>110</v>
      </c>
      <c r="C112">
        <v>31.3</v>
      </c>
      <c r="D112">
        <v>2.1700000000000001E-2</v>
      </c>
      <c r="E112">
        <v>1</v>
      </c>
      <c r="F112">
        <v>3</v>
      </c>
      <c r="G112">
        <f t="shared" si="1"/>
        <v>4327.1889400921655</v>
      </c>
    </row>
    <row r="113" spans="1:9" x14ac:dyDescent="0.45">
      <c r="A113" s="5" t="s">
        <v>112</v>
      </c>
      <c r="B113">
        <v>111</v>
      </c>
      <c r="C113">
        <v>33.700000000000003</v>
      </c>
      <c r="D113">
        <v>2.1999999999999999E-2</v>
      </c>
      <c r="E113">
        <v>1</v>
      </c>
      <c r="F113">
        <v>3</v>
      </c>
      <c r="G113">
        <f t="shared" si="1"/>
        <v>4595.4545454545469</v>
      </c>
    </row>
    <row r="114" spans="1:9" x14ac:dyDescent="0.45">
      <c r="A114" s="5" t="s">
        <v>113</v>
      </c>
      <c r="B114">
        <v>112</v>
      </c>
      <c r="C114">
        <v>35.200000000000003</v>
      </c>
      <c r="D114">
        <v>2.3199999999999998E-2</v>
      </c>
      <c r="E114">
        <v>1</v>
      </c>
      <c r="F114">
        <v>3</v>
      </c>
      <c r="G114">
        <f t="shared" si="1"/>
        <v>4551.7241379310353</v>
      </c>
    </row>
    <row r="115" spans="1:9" x14ac:dyDescent="0.45">
      <c r="A115" s="5" t="s">
        <v>114</v>
      </c>
      <c r="B115">
        <v>113</v>
      </c>
      <c r="C115">
        <v>28.3</v>
      </c>
      <c r="D115">
        <v>2.1700000000000001E-2</v>
      </c>
      <c r="E115">
        <v>1</v>
      </c>
      <c r="F115">
        <v>3</v>
      </c>
      <c r="G115">
        <f t="shared" si="1"/>
        <v>3912.442396313364</v>
      </c>
    </row>
    <row r="116" spans="1:9" x14ac:dyDescent="0.45">
      <c r="A116" s="5" t="s">
        <v>115</v>
      </c>
      <c r="B116">
        <v>114</v>
      </c>
      <c r="C116">
        <v>24.8</v>
      </c>
      <c r="D116">
        <v>2.0400000000000001E-2</v>
      </c>
      <c r="E116">
        <v>1</v>
      </c>
      <c r="F116">
        <v>3</v>
      </c>
      <c r="G116">
        <f t="shared" si="1"/>
        <v>3647.0588235294117</v>
      </c>
      <c r="H116">
        <f>AVERAGE(G111:G116)</f>
        <v>4142.4607276180968</v>
      </c>
      <c r="I116">
        <f>STDEV(G111:G116)/SQRT(6)</f>
        <v>164.17065420149734</v>
      </c>
    </row>
    <row r="117" spans="1:9" x14ac:dyDescent="0.45">
      <c r="A117" s="5" t="s">
        <v>116</v>
      </c>
      <c r="B117">
        <v>115</v>
      </c>
      <c r="C117">
        <v>29.4</v>
      </c>
      <c r="D117">
        <v>2.1700000000000001E-2</v>
      </c>
      <c r="E117">
        <v>1</v>
      </c>
      <c r="F117">
        <v>3</v>
      </c>
      <c r="G117">
        <f t="shared" si="1"/>
        <v>4064.5161290322576</v>
      </c>
    </row>
    <row r="118" spans="1:9" x14ac:dyDescent="0.45">
      <c r="A118" s="5" t="s">
        <v>117</v>
      </c>
      <c r="B118">
        <v>116</v>
      </c>
      <c r="C118">
        <v>30.6</v>
      </c>
      <c r="D118">
        <v>2.0799999999999999E-2</v>
      </c>
      <c r="E118">
        <v>1</v>
      </c>
      <c r="F118">
        <v>3</v>
      </c>
      <c r="G118">
        <f t="shared" si="1"/>
        <v>4413.461538461539</v>
      </c>
    </row>
    <row r="119" spans="1:9" x14ac:dyDescent="0.45">
      <c r="A119" s="5" t="s">
        <v>118</v>
      </c>
      <c r="B119">
        <v>117</v>
      </c>
      <c r="C119">
        <v>34.6</v>
      </c>
      <c r="D119">
        <v>2.2499999999999999E-2</v>
      </c>
      <c r="E119">
        <v>1</v>
      </c>
      <c r="F119">
        <v>3</v>
      </c>
      <c r="G119">
        <f t="shared" si="1"/>
        <v>4613.3333333333339</v>
      </c>
    </row>
    <row r="120" spans="1:9" x14ac:dyDescent="0.45">
      <c r="A120" s="5" t="s">
        <v>119</v>
      </c>
      <c r="B120">
        <v>118</v>
      </c>
      <c r="C120">
        <v>34.6</v>
      </c>
      <c r="D120">
        <v>2.1000000000000001E-2</v>
      </c>
      <c r="E120">
        <v>1</v>
      </c>
      <c r="F120">
        <v>3</v>
      </c>
      <c r="G120">
        <f t="shared" si="1"/>
        <v>4942.8571428571422</v>
      </c>
    </row>
    <row r="121" spans="1:9" x14ac:dyDescent="0.45">
      <c r="A121" s="5" t="s">
        <v>120</v>
      </c>
      <c r="B121">
        <v>119</v>
      </c>
      <c r="C121">
        <v>29.8</v>
      </c>
      <c r="D121">
        <v>2.1899999999999999E-2</v>
      </c>
      <c r="E121">
        <v>1</v>
      </c>
      <c r="F121">
        <v>3</v>
      </c>
      <c r="G121">
        <f t="shared" si="1"/>
        <v>4082.1917808219177</v>
      </c>
    </row>
    <row r="122" spans="1:9" ht="14.65" thickBot="1" x14ac:dyDescent="0.5">
      <c r="A122" s="6" t="s">
        <v>121</v>
      </c>
      <c r="B122" s="3">
        <v>120</v>
      </c>
      <c r="C122">
        <v>26.5</v>
      </c>
      <c r="D122" s="9">
        <v>1.9699999999999999E-2</v>
      </c>
      <c r="E122" s="9">
        <v>1</v>
      </c>
      <c r="F122" s="9">
        <v>3</v>
      </c>
      <c r="G122" s="9">
        <f t="shared" si="1"/>
        <v>4035.532994923858</v>
      </c>
      <c r="H122" s="9">
        <f>AVERAGE(G117:G122)</f>
        <v>4358.6488199050082</v>
      </c>
      <c r="I122" s="9">
        <f>STDEV(G117:G122)/SQRT(6)</f>
        <v>150.16816914759369</v>
      </c>
    </row>
    <row r="127" spans="1:9" x14ac:dyDescent="0.45">
      <c r="A127" t="s">
        <v>133</v>
      </c>
    </row>
    <row r="128" spans="1:9" ht="14.65" thickBot="1" x14ac:dyDescent="0.5">
      <c r="A128" t="s">
        <v>123</v>
      </c>
      <c r="B128" t="s">
        <v>124</v>
      </c>
      <c r="C128" t="s">
        <v>125</v>
      </c>
      <c r="D128" t="s">
        <v>126</v>
      </c>
      <c r="E128" t="s">
        <v>127</v>
      </c>
      <c r="F128" t="s">
        <v>128</v>
      </c>
      <c r="G128" t="s">
        <v>129</v>
      </c>
      <c r="H128" t="s">
        <v>130</v>
      </c>
      <c r="I128" t="s">
        <v>131</v>
      </c>
    </row>
    <row r="129" spans="1:29" x14ac:dyDescent="0.45">
      <c r="A129" s="4" t="s">
        <v>134</v>
      </c>
      <c r="B129" t="s">
        <v>135</v>
      </c>
      <c r="C129">
        <v>1.3</v>
      </c>
      <c r="D129">
        <v>1.18E-2</v>
      </c>
      <c r="E129">
        <v>1</v>
      </c>
      <c r="F129">
        <v>2</v>
      </c>
      <c r="G129">
        <f>(C129*(E129/D129)*F129)</f>
        <v>220.33898305084747</v>
      </c>
      <c r="M129" t="s">
        <v>133</v>
      </c>
    </row>
    <row r="130" spans="1:29" x14ac:dyDescent="0.45">
      <c r="A130" s="5" t="s">
        <v>136</v>
      </c>
      <c r="B130" t="s">
        <v>137</v>
      </c>
      <c r="C130">
        <v>1.1000000000000001</v>
      </c>
      <c r="D130">
        <v>1.2500000000000001E-2</v>
      </c>
      <c r="E130">
        <v>1</v>
      </c>
      <c r="F130">
        <v>2</v>
      </c>
      <c r="G130">
        <f t="shared" ref="G130:G193" si="2">(C130*(E130/D130)*F130)</f>
        <v>176</v>
      </c>
      <c r="N130" t="s">
        <v>374</v>
      </c>
      <c r="O130" t="s">
        <v>375</v>
      </c>
      <c r="P130" t="s">
        <v>376</v>
      </c>
      <c r="Q130" t="s">
        <v>377</v>
      </c>
      <c r="R130" t="s">
        <v>378</v>
      </c>
      <c r="S130" t="s">
        <v>379</v>
      </c>
      <c r="T130" t="s">
        <v>380</v>
      </c>
      <c r="U130" t="s">
        <v>381</v>
      </c>
      <c r="V130" t="s">
        <v>384</v>
      </c>
      <c r="W130" t="s">
        <v>385</v>
      </c>
    </row>
    <row r="131" spans="1:29" x14ac:dyDescent="0.45">
      <c r="A131" s="5" t="s">
        <v>138</v>
      </c>
      <c r="B131" t="s">
        <v>139</v>
      </c>
      <c r="C131">
        <v>1.5</v>
      </c>
      <c r="D131">
        <v>1.7000000000000001E-2</v>
      </c>
      <c r="E131">
        <v>1</v>
      </c>
      <c r="F131">
        <v>2</v>
      </c>
      <c r="G131">
        <f t="shared" si="2"/>
        <v>176.47058823529412</v>
      </c>
      <c r="M131" t="s">
        <v>382</v>
      </c>
      <c r="N131">
        <f>H134</f>
        <v>216.59142227579434</v>
      </c>
      <c r="O131">
        <f>H146</f>
        <v>124.79725198188122</v>
      </c>
      <c r="P131">
        <f>H158</f>
        <v>126.63765944090062</v>
      </c>
      <c r="Q131">
        <f>H170</f>
        <v>166.60288605455926</v>
      </c>
      <c r="R131">
        <f>H182</f>
        <v>121.19493017180145</v>
      </c>
      <c r="S131">
        <f>H194</f>
        <v>93.282935058691635</v>
      </c>
      <c r="T131">
        <f>H206</f>
        <v>102.54124819295065</v>
      </c>
      <c r="U131">
        <f>H218</f>
        <v>131.74311199704275</v>
      </c>
      <c r="V131">
        <f>H230</f>
        <v>222.59518805076559</v>
      </c>
      <c r="W131">
        <f>H242</f>
        <v>82.700632933327583</v>
      </c>
    </row>
    <row r="132" spans="1:29" x14ac:dyDescent="0.45">
      <c r="A132" s="5" t="s">
        <v>140</v>
      </c>
      <c r="B132" t="s">
        <v>141</v>
      </c>
      <c r="C132">
        <v>1.3</v>
      </c>
      <c r="D132">
        <v>2.12E-2</v>
      </c>
      <c r="E132">
        <v>1</v>
      </c>
      <c r="F132">
        <v>2</v>
      </c>
      <c r="G132">
        <f t="shared" si="2"/>
        <v>122.64150943396227</v>
      </c>
      <c r="M132" t="s">
        <v>131</v>
      </c>
      <c r="N132">
        <f>I134</f>
        <v>29.897397118589886</v>
      </c>
      <c r="O132">
        <f>I146</f>
        <v>5.5214273369637752</v>
      </c>
      <c r="P132">
        <f>I158</f>
        <v>8.6477598815401748</v>
      </c>
      <c r="Q132">
        <f>I170</f>
        <v>10.510472313164861</v>
      </c>
      <c r="R132">
        <f>I182</f>
        <v>7.9561490979694911</v>
      </c>
      <c r="S132">
        <f>I194</f>
        <v>8.8395609663410806</v>
      </c>
      <c r="T132">
        <f>I206</f>
        <v>9.1078546265928431</v>
      </c>
      <c r="U132">
        <f>I218</f>
        <v>7.1491011627146674</v>
      </c>
      <c r="V132">
        <f>I230</f>
        <v>14.56168236210725</v>
      </c>
      <c r="W132">
        <f>I242</f>
        <v>14.093975006294466</v>
      </c>
    </row>
    <row r="133" spans="1:29" x14ac:dyDescent="0.45">
      <c r="A133" s="5" t="s">
        <v>142</v>
      </c>
      <c r="B133" t="s">
        <v>143</v>
      </c>
      <c r="C133">
        <v>1.9</v>
      </c>
      <c r="D133">
        <v>1.29E-2</v>
      </c>
      <c r="E133">
        <v>1</v>
      </c>
      <c r="F133">
        <v>2</v>
      </c>
      <c r="G133">
        <f t="shared" si="2"/>
        <v>294.5736434108527</v>
      </c>
      <c r="M133" t="s">
        <v>383</v>
      </c>
      <c r="N133">
        <f>H146</f>
        <v>124.79725198188122</v>
      </c>
      <c r="O133">
        <f>H152</f>
        <v>106.87495865593742</v>
      </c>
      <c r="P133">
        <f>H164</f>
        <v>91.826437909152915</v>
      </c>
      <c r="Q133">
        <f>H176</f>
        <v>205.8683284529279</v>
      </c>
      <c r="R133">
        <f>H188</f>
        <v>97.917648628813268</v>
      </c>
      <c r="S133">
        <f>H200</f>
        <v>95.824457369978234</v>
      </c>
      <c r="T133">
        <f>H212</f>
        <v>94.194089446682355</v>
      </c>
      <c r="U133">
        <f>H224</f>
        <v>139.23171572401353</v>
      </c>
      <c r="V133">
        <f>H236</f>
        <v>155.77190221843216</v>
      </c>
      <c r="W133">
        <f>H248</f>
        <v>67.261992045753814</v>
      </c>
    </row>
    <row r="134" spans="1:29" x14ac:dyDescent="0.45">
      <c r="A134" s="5" t="s">
        <v>144</v>
      </c>
      <c r="B134" t="s">
        <v>145</v>
      </c>
      <c r="C134">
        <v>1.3</v>
      </c>
      <c r="D134">
        <v>8.3999999999999995E-3</v>
      </c>
      <c r="E134">
        <v>1</v>
      </c>
      <c r="F134">
        <v>2</v>
      </c>
      <c r="G134">
        <f t="shared" si="2"/>
        <v>309.52380952380952</v>
      </c>
      <c r="H134">
        <f>AVERAGE(G129:G134)</f>
        <v>216.59142227579434</v>
      </c>
      <c r="I134">
        <f>STDEV(G129:G134)/SQRT(6)</f>
        <v>29.897397118589886</v>
      </c>
      <c r="M134" t="s">
        <v>131</v>
      </c>
      <c r="N134">
        <f>I140</f>
        <v>13.748197934935924</v>
      </c>
      <c r="O134">
        <f>I152</f>
        <v>7.5582482234409243</v>
      </c>
      <c r="P134">
        <f>I164</f>
        <v>7.803537427036467</v>
      </c>
      <c r="Q134">
        <f>I176</f>
        <v>13.168024158338666</v>
      </c>
      <c r="R134">
        <f>I188</f>
        <v>3.9236387727989204</v>
      </c>
      <c r="S134">
        <f>I200</f>
        <v>7.164172118178314</v>
      </c>
      <c r="T134">
        <f>I212</f>
        <v>8.1313848082110756</v>
      </c>
      <c r="U134">
        <f>I224</f>
        <v>8.6017661006926271</v>
      </c>
      <c r="V134">
        <f>I236</f>
        <v>10.841050836915469</v>
      </c>
      <c r="W134">
        <f>I248</f>
        <v>2.5651128646392447</v>
      </c>
    </row>
    <row r="135" spans="1:29" x14ac:dyDescent="0.45">
      <c r="A135" s="5" t="s">
        <v>146</v>
      </c>
      <c r="B135" t="s">
        <v>147</v>
      </c>
      <c r="C135">
        <v>0.5</v>
      </c>
      <c r="D135">
        <v>1.0999999999999999E-2</v>
      </c>
      <c r="E135">
        <v>1</v>
      </c>
      <c r="F135">
        <v>2</v>
      </c>
      <c r="G135">
        <f t="shared" si="2"/>
        <v>90.909090909090921</v>
      </c>
    </row>
    <row r="136" spans="1:29" x14ac:dyDescent="0.45">
      <c r="A136" s="5" t="s">
        <v>148</v>
      </c>
      <c r="B136" t="s">
        <v>149</v>
      </c>
      <c r="C136">
        <v>0.5</v>
      </c>
      <c r="D136">
        <v>6.4000000000000003E-3</v>
      </c>
      <c r="E136">
        <v>1</v>
      </c>
      <c r="F136">
        <v>2</v>
      </c>
      <c r="G136">
        <f t="shared" si="2"/>
        <v>156.25</v>
      </c>
    </row>
    <row r="137" spans="1:29" x14ac:dyDescent="0.45">
      <c r="A137" s="5" t="s">
        <v>150</v>
      </c>
      <c r="B137" t="s">
        <v>151</v>
      </c>
      <c r="C137">
        <v>0.6</v>
      </c>
      <c r="D137">
        <v>1.46E-2</v>
      </c>
      <c r="E137">
        <v>1</v>
      </c>
      <c r="F137">
        <v>2</v>
      </c>
      <c r="G137">
        <f t="shared" si="2"/>
        <v>82.191780821917803</v>
      </c>
    </row>
    <row r="138" spans="1:29" x14ac:dyDescent="0.45">
      <c r="A138" s="5" t="s">
        <v>152</v>
      </c>
      <c r="B138" t="s">
        <v>153</v>
      </c>
      <c r="C138">
        <v>0.6</v>
      </c>
      <c r="D138">
        <v>1.29E-2</v>
      </c>
      <c r="E138">
        <v>1</v>
      </c>
      <c r="F138">
        <v>2</v>
      </c>
      <c r="G138">
        <f t="shared" si="2"/>
        <v>93.023255813953483</v>
      </c>
      <c r="V138" t="s">
        <v>740</v>
      </c>
      <c r="W138" t="s">
        <v>726</v>
      </c>
      <c r="X138" t="s">
        <v>727</v>
      </c>
      <c r="Y138" t="s">
        <v>741</v>
      </c>
      <c r="Z138" t="s">
        <v>742</v>
      </c>
      <c r="AA138" t="s">
        <v>723</v>
      </c>
      <c r="AB138" t="s">
        <v>728</v>
      </c>
      <c r="AC138" t="s">
        <v>743</v>
      </c>
    </row>
    <row r="139" spans="1:29" x14ac:dyDescent="0.45">
      <c r="A139" s="5" t="s">
        <v>154</v>
      </c>
      <c r="B139" t="s">
        <v>155</v>
      </c>
      <c r="C139">
        <v>0.7</v>
      </c>
      <c r="D139">
        <v>9.1999999999999998E-3</v>
      </c>
      <c r="E139">
        <v>1</v>
      </c>
      <c r="F139">
        <v>2</v>
      </c>
      <c r="G139">
        <f t="shared" si="2"/>
        <v>152.17391304347825</v>
      </c>
      <c r="V139" t="s">
        <v>729</v>
      </c>
      <c r="W139">
        <v>6</v>
      </c>
      <c r="X139">
        <v>6</v>
      </c>
      <c r="Y139">
        <v>198.40478564307099</v>
      </c>
      <c r="Z139">
        <v>92.3831875400043</v>
      </c>
      <c r="AA139">
        <v>1.3065226764425999E-2</v>
      </c>
      <c r="AB139" t="s">
        <v>744</v>
      </c>
      <c r="AC139" t="s">
        <v>725</v>
      </c>
    </row>
    <row r="140" spans="1:29" ht="14.65" thickBot="1" x14ac:dyDescent="0.5">
      <c r="A140" s="6" t="s">
        <v>156</v>
      </c>
      <c r="B140" s="3" t="s">
        <v>157</v>
      </c>
      <c r="C140">
        <v>0.5</v>
      </c>
      <c r="D140" s="9">
        <v>1.09E-2</v>
      </c>
      <c r="E140" s="9">
        <v>1</v>
      </c>
      <c r="F140" s="9">
        <v>2</v>
      </c>
      <c r="G140" s="9">
        <f t="shared" si="2"/>
        <v>91.743119266055047</v>
      </c>
      <c r="H140" s="9">
        <f>AVERAGE(G135:G140)</f>
        <v>111.04852664241592</v>
      </c>
      <c r="I140" s="9">
        <f>STDEV(G135:G140)/SQRT(6)</f>
        <v>13.748197934935924</v>
      </c>
      <c r="V140" t="s">
        <v>730</v>
      </c>
      <c r="W140">
        <v>6</v>
      </c>
      <c r="X140">
        <v>6</v>
      </c>
      <c r="Y140">
        <v>121.239954075775</v>
      </c>
      <c r="Z140">
        <v>104.735883424408</v>
      </c>
      <c r="AA140">
        <v>0.128205275030392</v>
      </c>
      <c r="AB140" t="s">
        <v>744</v>
      </c>
      <c r="AC140" t="s">
        <v>724</v>
      </c>
    </row>
    <row r="141" spans="1:29" x14ac:dyDescent="0.45">
      <c r="A141" s="5" t="s">
        <v>158</v>
      </c>
      <c r="B141" t="s">
        <v>159</v>
      </c>
      <c r="C141">
        <v>0.8</v>
      </c>
      <c r="D141">
        <v>1.34E-2</v>
      </c>
      <c r="E141">
        <v>1</v>
      </c>
      <c r="F141">
        <v>2</v>
      </c>
      <c r="G141">
        <f t="shared" si="2"/>
        <v>119.40298507462688</v>
      </c>
      <c r="V141" t="s">
        <v>731</v>
      </c>
      <c r="W141">
        <v>6</v>
      </c>
      <c r="X141">
        <v>6</v>
      </c>
      <c r="Y141">
        <v>126.37470542026701</v>
      </c>
      <c r="Z141">
        <v>81.989247311827995</v>
      </c>
      <c r="AA141">
        <v>3.06389879377033E-2</v>
      </c>
      <c r="AB141" t="s">
        <v>744</v>
      </c>
      <c r="AC141" t="s">
        <v>725</v>
      </c>
    </row>
    <row r="142" spans="1:29" x14ac:dyDescent="0.45">
      <c r="A142" s="5" t="s">
        <v>160</v>
      </c>
      <c r="B142" t="s">
        <v>161</v>
      </c>
      <c r="C142">
        <v>0.8</v>
      </c>
      <c r="D142">
        <v>1.2999999999999999E-2</v>
      </c>
      <c r="E142">
        <v>1</v>
      </c>
      <c r="F142">
        <v>2</v>
      </c>
      <c r="G142">
        <f t="shared" si="2"/>
        <v>123.07692307692308</v>
      </c>
      <c r="V142" t="s">
        <v>732</v>
      </c>
      <c r="W142">
        <v>6</v>
      </c>
      <c r="X142">
        <v>6</v>
      </c>
      <c r="Y142">
        <v>159.79600509987301</v>
      </c>
      <c r="Z142">
        <v>200.67462950674599</v>
      </c>
      <c r="AA142">
        <v>6.5552161165502595E-2</v>
      </c>
      <c r="AB142" t="s">
        <v>744</v>
      </c>
      <c r="AC142" t="s">
        <v>724</v>
      </c>
    </row>
    <row r="143" spans="1:29" x14ac:dyDescent="0.45">
      <c r="A143" s="5" t="s">
        <v>162</v>
      </c>
      <c r="B143" t="s">
        <v>163</v>
      </c>
      <c r="C143">
        <v>0.8</v>
      </c>
      <c r="D143">
        <v>1.21E-2</v>
      </c>
      <c r="E143">
        <v>1</v>
      </c>
      <c r="F143">
        <v>2</v>
      </c>
      <c r="G143">
        <f t="shared" si="2"/>
        <v>132.2314049586777</v>
      </c>
      <c r="V143" t="s">
        <v>733</v>
      </c>
      <c r="W143">
        <v>6</v>
      </c>
      <c r="X143">
        <v>6</v>
      </c>
      <c r="Y143">
        <v>113.023653462525</v>
      </c>
      <c r="Z143">
        <v>102.17470097861499</v>
      </c>
      <c r="AA143">
        <v>2.02405705770775E-2</v>
      </c>
      <c r="AB143" t="s">
        <v>744</v>
      </c>
      <c r="AC143" t="s">
        <v>725</v>
      </c>
    </row>
    <row r="144" spans="1:29" x14ac:dyDescent="0.45">
      <c r="A144" s="5" t="s">
        <v>164</v>
      </c>
      <c r="B144" t="s">
        <v>165</v>
      </c>
      <c r="C144">
        <v>0.8</v>
      </c>
      <c r="D144">
        <v>1.0800000000000001E-2</v>
      </c>
      <c r="E144">
        <v>1</v>
      </c>
      <c r="F144">
        <v>2</v>
      </c>
      <c r="G144">
        <f t="shared" si="2"/>
        <v>148.14814814814812</v>
      </c>
      <c r="V144" t="s">
        <v>734</v>
      </c>
      <c r="W144">
        <v>6</v>
      </c>
      <c r="X144">
        <v>6</v>
      </c>
      <c r="Y144">
        <v>95.814257684761301</v>
      </c>
      <c r="Z144">
        <v>97.611762706102297</v>
      </c>
      <c r="AA144">
        <v>1</v>
      </c>
      <c r="AB144" t="s">
        <v>744</v>
      </c>
      <c r="AC144" t="s">
        <v>724</v>
      </c>
    </row>
    <row r="145" spans="1:29" x14ac:dyDescent="0.45">
      <c r="A145" s="5" t="s">
        <v>166</v>
      </c>
      <c r="B145" t="s">
        <v>167</v>
      </c>
      <c r="C145">
        <v>0.9</v>
      </c>
      <c r="D145">
        <v>1.5800000000000002E-2</v>
      </c>
      <c r="E145">
        <v>1</v>
      </c>
      <c r="F145">
        <v>2</v>
      </c>
      <c r="G145">
        <f t="shared" si="2"/>
        <v>113.92405063291139</v>
      </c>
      <c r="V145" t="s">
        <v>735</v>
      </c>
      <c r="W145">
        <v>6</v>
      </c>
      <c r="X145">
        <v>6</v>
      </c>
      <c r="Y145">
        <v>99.079754601226995</v>
      </c>
      <c r="Z145">
        <v>85.970464135021103</v>
      </c>
      <c r="AA145">
        <v>0.57517353192019705</v>
      </c>
      <c r="AB145" t="s">
        <v>744</v>
      </c>
      <c r="AC145" t="s">
        <v>724</v>
      </c>
    </row>
    <row r="146" spans="1:29" x14ac:dyDescent="0.45">
      <c r="A146" s="5" t="s">
        <v>168</v>
      </c>
      <c r="B146" t="s">
        <v>169</v>
      </c>
      <c r="C146">
        <v>0.7</v>
      </c>
      <c r="D146">
        <v>1.2500000000000001E-2</v>
      </c>
      <c r="E146">
        <v>1</v>
      </c>
      <c r="F146">
        <v>2</v>
      </c>
      <c r="G146">
        <f t="shared" si="2"/>
        <v>112</v>
      </c>
      <c r="H146">
        <f>AVERAGE(G141:G146)</f>
        <v>124.79725198188122</v>
      </c>
      <c r="I146">
        <f>STDEV(G141:G146)/SQRT(6)</f>
        <v>5.5214273369637752</v>
      </c>
      <c r="V146" t="s">
        <v>736</v>
      </c>
      <c r="W146">
        <v>6</v>
      </c>
      <c r="X146">
        <v>6</v>
      </c>
      <c r="Y146">
        <v>133.07954317772001</v>
      </c>
      <c r="Z146">
        <v>142.881241565452</v>
      </c>
      <c r="AA146">
        <v>0.93607467706661995</v>
      </c>
      <c r="AB146" t="s">
        <v>744</v>
      </c>
      <c r="AC146" t="s">
        <v>724</v>
      </c>
    </row>
    <row r="147" spans="1:29" x14ac:dyDescent="0.45">
      <c r="A147" s="5" t="s">
        <v>170</v>
      </c>
      <c r="B147" t="s">
        <v>171</v>
      </c>
      <c r="C147">
        <v>0.6</v>
      </c>
      <c r="D147">
        <v>1.2200000000000001E-2</v>
      </c>
      <c r="E147">
        <v>1</v>
      </c>
      <c r="F147">
        <v>2</v>
      </c>
      <c r="G147">
        <f t="shared" si="2"/>
        <v>98.360655737704903</v>
      </c>
      <c r="V147" t="s">
        <v>737</v>
      </c>
      <c r="W147">
        <v>6</v>
      </c>
      <c r="X147">
        <v>6</v>
      </c>
      <c r="Y147">
        <v>232.34126984126999</v>
      </c>
      <c r="Z147">
        <v>153.87024608501099</v>
      </c>
      <c r="AA147">
        <v>1.3065226764425999E-2</v>
      </c>
      <c r="AB147" t="s">
        <v>744</v>
      </c>
      <c r="AC147" t="s">
        <v>725</v>
      </c>
    </row>
    <row r="148" spans="1:29" x14ac:dyDescent="0.45">
      <c r="A148" s="5" t="s">
        <v>172</v>
      </c>
      <c r="B148" t="s">
        <v>173</v>
      </c>
      <c r="C148">
        <v>0.7</v>
      </c>
      <c r="D148">
        <v>1.26E-2</v>
      </c>
      <c r="E148">
        <v>1</v>
      </c>
      <c r="F148">
        <v>2</v>
      </c>
      <c r="G148">
        <f t="shared" si="2"/>
        <v>111.11111111111111</v>
      </c>
      <c r="V148" t="s">
        <v>738</v>
      </c>
      <c r="W148">
        <v>6</v>
      </c>
      <c r="X148">
        <v>6</v>
      </c>
      <c r="Y148">
        <v>74.534161490683204</v>
      </c>
      <c r="Z148">
        <v>67.540609860359098</v>
      </c>
      <c r="AA148">
        <v>0.37764239138086603</v>
      </c>
      <c r="AB148" t="s">
        <v>744</v>
      </c>
      <c r="AC148" t="s">
        <v>724</v>
      </c>
    </row>
    <row r="149" spans="1:29" x14ac:dyDescent="0.45">
      <c r="A149" s="5" t="s">
        <v>174</v>
      </c>
      <c r="B149" t="s">
        <v>175</v>
      </c>
      <c r="C149">
        <v>0.7</v>
      </c>
      <c r="D149">
        <v>1.17E-2</v>
      </c>
      <c r="E149">
        <v>1</v>
      </c>
      <c r="F149">
        <v>2</v>
      </c>
      <c r="G149">
        <f t="shared" si="2"/>
        <v>119.65811965811965</v>
      </c>
    </row>
    <row r="150" spans="1:29" x14ac:dyDescent="0.45">
      <c r="A150" s="5" t="s">
        <v>176</v>
      </c>
      <c r="B150" t="s">
        <v>177</v>
      </c>
      <c r="C150">
        <v>0.6</v>
      </c>
      <c r="D150">
        <v>1.43E-2</v>
      </c>
      <c r="E150">
        <v>1</v>
      </c>
      <c r="F150">
        <v>2</v>
      </c>
      <c r="G150">
        <f t="shared" si="2"/>
        <v>83.91608391608392</v>
      </c>
    </row>
    <row r="151" spans="1:29" x14ac:dyDescent="0.45">
      <c r="A151" s="5" t="s">
        <v>178</v>
      </c>
      <c r="B151" t="s">
        <v>179</v>
      </c>
      <c r="C151">
        <v>0.8</v>
      </c>
      <c r="D151">
        <v>1.1900000000000001E-2</v>
      </c>
      <c r="E151">
        <v>1</v>
      </c>
      <c r="F151">
        <v>2</v>
      </c>
      <c r="G151">
        <f t="shared" si="2"/>
        <v>134.45378151260505</v>
      </c>
    </row>
    <row r="152" spans="1:29" ht="14.65" thickBot="1" x14ac:dyDescent="0.5">
      <c r="A152" s="6" t="s">
        <v>180</v>
      </c>
      <c r="B152" s="3" t="s">
        <v>181</v>
      </c>
      <c r="C152">
        <v>0.6</v>
      </c>
      <c r="D152" s="9">
        <v>1.2800000000000001E-2</v>
      </c>
      <c r="E152" s="9">
        <v>1</v>
      </c>
      <c r="F152" s="9">
        <v>2</v>
      </c>
      <c r="G152" s="9">
        <f t="shared" si="2"/>
        <v>93.75</v>
      </c>
      <c r="H152" s="9">
        <f>AVERAGE(G147:G152)</f>
        <v>106.87495865593742</v>
      </c>
      <c r="I152" s="9">
        <f>STDEV(G147:G152)/SQRT(6)</f>
        <v>7.5582482234409243</v>
      </c>
    </row>
    <row r="153" spans="1:29" x14ac:dyDescent="0.45">
      <c r="A153" s="4" t="s">
        <v>182</v>
      </c>
      <c r="B153" t="s">
        <v>183</v>
      </c>
      <c r="C153">
        <v>0.8</v>
      </c>
      <c r="D153">
        <v>1.4999999999999999E-2</v>
      </c>
      <c r="E153">
        <v>1</v>
      </c>
      <c r="F153">
        <v>2</v>
      </c>
      <c r="G153">
        <f t="shared" si="2"/>
        <v>106.66666666666669</v>
      </c>
    </row>
    <row r="154" spans="1:29" x14ac:dyDescent="0.45">
      <c r="A154" s="5" t="s">
        <v>184</v>
      </c>
      <c r="B154" t="s">
        <v>185</v>
      </c>
      <c r="C154">
        <v>0.9</v>
      </c>
      <c r="D154">
        <v>1.7299999999999999E-2</v>
      </c>
      <c r="E154">
        <v>1</v>
      </c>
      <c r="F154">
        <v>2</v>
      </c>
      <c r="G154">
        <f t="shared" si="2"/>
        <v>104.04624277456648</v>
      </c>
    </row>
    <row r="155" spans="1:29" x14ac:dyDescent="0.45">
      <c r="A155" s="5" t="s">
        <v>186</v>
      </c>
      <c r="B155" t="s">
        <v>187</v>
      </c>
      <c r="C155">
        <v>0.6</v>
      </c>
      <c r="D155">
        <v>8.8000000000000005E-3</v>
      </c>
      <c r="E155">
        <v>1</v>
      </c>
      <c r="F155">
        <v>2</v>
      </c>
      <c r="G155">
        <f t="shared" si="2"/>
        <v>136.36363636363635</v>
      </c>
    </row>
    <row r="156" spans="1:29" x14ac:dyDescent="0.45">
      <c r="A156" s="5" t="s">
        <v>188</v>
      </c>
      <c r="B156" t="s">
        <v>189</v>
      </c>
      <c r="C156">
        <v>0.6</v>
      </c>
      <c r="D156">
        <v>7.4999999999999997E-3</v>
      </c>
      <c r="E156">
        <v>1</v>
      </c>
      <c r="F156">
        <v>2</v>
      </c>
      <c r="G156">
        <f t="shared" si="2"/>
        <v>160</v>
      </c>
    </row>
    <row r="157" spans="1:29" x14ac:dyDescent="0.45">
      <c r="A157" s="5" t="s">
        <v>190</v>
      </c>
      <c r="B157" t="s">
        <v>191</v>
      </c>
      <c r="C157">
        <v>0.9</v>
      </c>
      <c r="D157">
        <v>1.34E-2</v>
      </c>
      <c r="E157">
        <v>1</v>
      </c>
      <c r="F157">
        <v>2</v>
      </c>
      <c r="G157">
        <f t="shared" si="2"/>
        <v>134.32835820895522</v>
      </c>
    </row>
    <row r="158" spans="1:29" x14ac:dyDescent="0.45">
      <c r="A158" s="5" t="s">
        <v>192</v>
      </c>
      <c r="B158" t="s">
        <v>193</v>
      </c>
      <c r="C158">
        <v>0.9</v>
      </c>
      <c r="D158">
        <v>1.52E-2</v>
      </c>
      <c r="E158">
        <v>1</v>
      </c>
      <c r="F158">
        <v>2</v>
      </c>
      <c r="G158">
        <f t="shared" si="2"/>
        <v>118.42105263157895</v>
      </c>
      <c r="H158">
        <f>AVERAGE(G153:G158)</f>
        <v>126.63765944090062</v>
      </c>
      <c r="I158">
        <f>STDEV(G153:G158)/SQRT(6)</f>
        <v>8.6477598815401748</v>
      </c>
    </row>
    <row r="159" spans="1:29" x14ac:dyDescent="0.45">
      <c r="A159" s="5" t="s">
        <v>194</v>
      </c>
      <c r="B159" t="s">
        <v>195</v>
      </c>
      <c r="C159">
        <v>0.7</v>
      </c>
      <c r="D159">
        <v>1.2E-2</v>
      </c>
      <c r="E159">
        <v>1</v>
      </c>
      <c r="F159">
        <v>2</v>
      </c>
      <c r="G159">
        <f t="shared" si="2"/>
        <v>116.66666666666666</v>
      </c>
    </row>
    <row r="160" spans="1:29" x14ac:dyDescent="0.45">
      <c r="A160" s="5" t="s">
        <v>196</v>
      </c>
      <c r="B160" t="s">
        <v>197</v>
      </c>
      <c r="C160">
        <v>0.7</v>
      </c>
      <c r="D160">
        <v>1.21E-2</v>
      </c>
      <c r="E160">
        <v>1</v>
      </c>
      <c r="F160">
        <v>2</v>
      </c>
      <c r="G160">
        <f t="shared" si="2"/>
        <v>115.70247933884298</v>
      </c>
    </row>
    <row r="161" spans="1:9" x14ac:dyDescent="0.45">
      <c r="A161" s="5" t="s">
        <v>198</v>
      </c>
      <c r="B161" t="s">
        <v>199</v>
      </c>
      <c r="C161">
        <v>0.5</v>
      </c>
      <c r="D161">
        <v>1.24E-2</v>
      </c>
      <c r="E161">
        <v>1</v>
      </c>
      <c r="F161">
        <v>2</v>
      </c>
      <c r="G161">
        <f t="shared" si="2"/>
        <v>80.645161290322577</v>
      </c>
    </row>
    <row r="162" spans="1:9" x14ac:dyDescent="0.45">
      <c r="A162" s="5" t="s">
        <v>200</v>
      </c>
      <c r="B162" t="s">
        <v>201</v>
      </c>
      <c r="C162">
        <v>0.6</v>
      </c>
      <c r="D162">
        <v>1.44E-2</v>
      </c>
      <c r="E162">
        <v>1</v>
      </c>
      <c r="F162">
        <v>2</v>
      </c>
      <c r="G162">
        <f t="shared" si="2"/>
        <v>83.333333333333329</v>
      </c>
    </row>
    <row r="163" spans="1:9" x14ac:dyDescent="0.45">
      <c r="A163" s="5" t="s">
        <v>202</v>
      </c>
      <c r="B163" t="s">
        <v>203</v>
      </c>
      <c r="C163">
        <v>0.5</v>
      </c>
      <c r="D163">
        <v>1.35E-2</v>
      </c>
      <c r="E163">
        <v>1</v>
      </c>
      <c r="F163">
        <v>2</v>
      </c>
      <c r="G163">
        <f t="shared" si="2"/>
        <v>74.074074074074076</v>
      </c>
    </row>
    <row r="164" spans="1:9" ht="14.65" thickBot="1" x14ac:dyDescent="0.5">
      <c r="A164" s="6" t="s">
        <v>204</v>
      </c>
      <c r="B164" s="3" t="s">
        <v>205</v>
      </c>
      <c r="C164">
        <v>0.6</v>
      </c>
      <c r="D164" s="9">
        <v>1.49E-2</v>
      </c>
      <c r="E164" s="9">
        <v>1</v>
      </c>
      <c r="F164" s="9">
        <v>2</v>
      </c>
      <c r="G164" s="9">
        <f t="shared" si="2"/>
        <v>80.53691275167786</v>
      </c>
      <c r="H164" s="9">
        <f>AVERAGE(G159:G164)</f>
        <v>91.826437909152915</v>
      </c>
      <c r="I164" s="9">
        <f>STDEV(G159:G164)/SQRT(6)</f>
        <v>7.803537427036467</v>
      </c>
    </row>
    <row r="165" spans="1:9" x14ac:dyDescent="0.45">
      <c r="A165" s="4" t="s">
        <v>206</v>
      </c>
      <c r="B165" t="s">
        <v>207</v>
      </c>
      <c r="C165">
        <v>1.5</v>
      </c>
      <c r="D165">
        <v>1.66E-2</v>
      </c>
      <c r="E165">
        <v>1</v>
      </c>
      <c r="F165">
        <v>2</v>
      </c>
      <c r="G165">
        <f t="shared" si="2"/>
        <v>180.72289156626505</v>
      </c>
    </row>
    <row r="166" spans="1:9" x14ac:dyDescent="0.45">
      <c r="A166" s="5" t="s">
        <v>208</v>
      </c>
      <c r="B166" t="s">
        <v>209</v>
      </c>
      <c r="C166">
        <v>1.5</v>
      </c>
      <c r="D166">
        <v>1.8100000000000002E-2</v>
      </c>
      <c r="E166">
        <v>1</v>
      </c>
      <c r="F166">
        <v>2</v>
      </c>
      <c r="G166">
        <f t="shared" si="2"/>
        <v>165.74585635359114</v>
      </c>
    </row>
    <row r="167" spans="1:9" x14ac:dyDescent="0.45">
      <c r="A167" s="5" t="s">
        <v>210</v>
      </c>
      <c r="B167" t="s">
        <v>211</v>
      </c>
      <c r="C167">
        <v>1.2</v>
      </c>
      <c r="D167">
        <v>1.5699999999999999E-2</v>
      </c>
      <c r="E167">
        <v>1</v>
      </c>
      <c r="F167">
        <v>2</v>
      </c>
      <c r="G167">
        <f t="shared" si="2"/>
        <v>152.86624203821657</v>
      </c>
    </row>
    <row r="168" spans="1:9" x14ac:dyDescent="0.45">
      <c r="A168" s="5" t="s">
        <v>212</v>
      </c>
      <c r="B168" t="s">
        <v>213</v>
      </c>
      <c r="C168">
        <v>1.4</v>
      </c>
      <c r="D168">
        <v>1.8200000000000001E-2</v>
      </c>
      <c r="E168">
        <v>1</v>
      </c>
      <c r="F168">
        <v>2</v>
      </c>
      <c r="G168">
        <f t="shared" si="2"/>
        <v>153.84615384615384</v>
      </c>
    </row>
    <row r="169" spans="1:9" x14ac:dyDescent="0.45">
      <c r="A169" s="5" t="s">
        <v>214</v>
      </c>
      <c r="B169" t="s">
        <v>215</v>
      </c>
      <c r="C169">
        <v>1.5</v>
      </c>
      <c r="D169">
        <v>1.43E-2</v>
      </c>
      <c r="E169">
        <v>1</v>
      </c>
      <c r="F169">
        <v>2</v>
      </c>
      <c r="G169">
        <f t="shared" si="2"/>
        <v>209.79020979020981</v>
      </c>
    </row>
    <row r="170" spans="1:9" x14ac:dyDescent="0.45">
      <c r="A170" s="5" t="s">
        <v>216</v>
      </c>
      <c r="B170" t="s">
        <v>217</v>
      </c>
      <c r="C170">
        <v>1.1000000000000001</v>
      </c>
      <c r="D170">
        <v>1.61E-2</v>
      </c>
      <c r="E170">
        <v>1</v>
      </c>
      <c r="F170">
        <v>2</v>
      </c>
      <c r="G170">
        <f t="shared" si="2"/>
        <v>136.64596273291926</v>
      </c>
      <c r="H170">
        <f>AVERAGE(G165:G170)</f>
        <v>166.60288605455926</v>
      </c>
      <c r="I170">
        <f>STDEV(G165:G170)/SQRT(6)</f>
        <v>10.510472313164861</v>
      </c>
    </row>
    <row r="171" spans="1:9" x14ac:dyDescent="0.45">
      <c r="A171" s="5" t="s">
        <v>218</v>
      </c>
      <c r="B171" t="s">
        <v>219</v>
      </c>
      <c r="C171">
        <v>1.3</v>
      </c>
      <c r="D171">
        <v>1.32E-2</v>
      </c>
      <c r="E171">
        <v>1</v>
      </c>
      <c r="F171">
        <v>2</v>
      </c>
      <c r="G171">
        <f t="shared" si="2"/>
        <v>196.969696969697</v>
      </c>
    </row>
    <row r="172" spans="1:9" x14ac:dyDescent="0.45">
      <c r="A172" s="5" t="s">
        <v>220</v>
      </c>
      <c r="B172" t="s">
        <v>221</v>
      </c>
      <c r="C172">
        <v>1</v>
      </c>
      <c r="D172">
        <v>1.15E-2</v>
      </c>
      <c r="E172">
        <v>1</v>
      </c>
      <c r="F172">
        <v>2</v>
      </c>
      <c r="G172">
        <f t="shared" si="2"/>
        <v>173.91304347826087</v>
      </c>
    </row>
    <row r="173" spans="1:9" x14ac:dyDescent="0.45">
      <c r="A173" s="5" t="s">
        <v>222</v>
      </c>
      <c r="B173" t="s">
        <v>223</v>
      </c>
      <c r="C173">
        <v>1.4</v>
      </c>
      <c r="D173">
        <v>1.37E-2</v>
      </c>
      <c r="E173">
        <v>1</v>
      </c>
      <c r="F173">
        <v>2</v>
      </c>
      <c r="G173">
        <f t="shared" si="2"/>
        <v>204.3795620437956</v>
      </c>
    </row>
    <row r="174" spans="1:9" x14ac:dyDescent="0.45">
      <c r="A174" s="5" t="s">
        <v>224</v>
      </c>
      <c r="B174" t="s">
        <v>225</v>
      </c>
      <c r="C174">
        <v>1.3</v>
      </c>
      <c r="D174">
        <v>1.5100000000000001E-2</v>
      </c>
      <c r="E174">
        <v>1</v>
      </c>
      <c r="F174">
        <v>2</v>
      </c>
      <c r="G174">
        <f t="shared" si="2"/>
        <v>172.18543046357615</v>
      </c>
    </row>
    <row r="175" spans="1:9" x14ac:dyDescent="0.45">
      <c r="A175" s="5" t="s">
        <v>226</v>
      </c>
      <c r="B175" t="s">
        <v>227</v>
      </c>
      <c r="C175">
        <v>1.9</v>
      </c>
      <c r="D175">
        <v>1.52E-2</v>
      </c>
      <c r="E175">
        <v>1</v>
      </c>
      <c r="F175">
        <v>2</v>
      </c>
      <c r="G175">
        <f t="shared" si="2"/>
        <v>249.99999999999997</v>
      </c>
    </row>
    <row r="176" spans="1:9" ht="14.65" thickBot="1" x14ac:dyDescent="0.5">
      <c r="A176" s="6" t="s">
        <v>228</v>
      </c>
      <c r="B176" s="3" t="s">
        <v>229</v>
      </c>
      <c r="C176">
        <v>1.7</v>
      </c>
      <c r="D176" s="9">
        <v>1.43E-2</v>
      </c>
      <c r="E176" s="9">
        <v>1</v>
      </c>
      <c r="F176" s="9">
        <v>2</v>
      </c>
      <c r="G176" s="9">
        <f t="shared" si="2"/>
        <v>237.76223776223776</v>
      </c>
      <c r="H176" s="9">
        <f>AVERAGE(G171:G176)</f>
        <v>205.8683284529279</v>
      </c>
      <c r="I176" s="9">
        <f>STDEV(G171:G176)/SQRT(6)</f>
        <v>13.168024158338666</v>
      </c>
    </row>
    <row r="177" spans="1:9" x14ac:dyDescent="0.45">
      <c r="A177" s="4" t="s">
        <v>230</v>
      </c>
      <c r="B177" t="s">
        <v>231</v>
      </c>
      <c r="C177">
        <v>0.7</v>
      </c>
      <c r="D177">
        <v>1.38E-2</v>
      </c>
      <c r="E177">
        <v>1</v>
      </c>
      <c r="F177">
        <v>2</v>
      </c>
      <c r="G177">
        <f t="shared" si="2"/>
        <v>101.44927536231884</v>
      </c>
    </row>
    <row r="178" spans="1:9" x14ac:dyDescent="0.45">
      <c r="A178" s="5" t="s">
        <v>232</v>
      </c>
      <c r="B178" t="s">
        <v>233</v>
      </c>
      <c r="C178">
        <v>0.8</v>
      </c>
      <c r="D178">
        <v>1.4500000000000001E-2</v>
      </c>
      <c r="E178">
        <v>1</v>
      </c>
      <c r="F178">
        <v>2</v>
      </c>
      <c r="G178">
        <f t="shared" si="2"/>
        <v>110.34482758620689</v>
      </c>
    </row>
    <row r="179" spans="1:9" x14ac:dyDescent="0.45">
      <c r="A179" s="5" t="s">
        <v>234</v>
      </c>
      <c r="B179" t="s">
        <v>235</v>
      </c>
      <c r="C179">
        <v>1.2</v>
      </c>
      <c r="D179">
        <v>1.6299999999999999E-2</v>
      </c>
      <c r="E179">
        <v>1</v>
      </c>
      <c r="F179">
        <v>2</v>
      </c>
      <c r="G179">
        <f t="shared" si="2"/>
        <v>147.23926380368098</v>
      </c>
    </row>
    <row r="180" spans="1:9" x14ac:dyDescent="0.45">
      <c r="A180" s="5" t="s">
        <v>236</v>
      </c>
      <c r="B180" t="s">
        <v>237</v>
      </c>
      <c r="C180">
        <v>0.9</v>
      </c>
      <c r="D180">
        <v>1.2500000000000001E-2</v>
      </c>
      <c r="E180">
        <v>1</v>
      </c>
      <c r="F180">
        <v>2</v>
      </c>
      <c r="G180">
        <f t="shared" si="2"/>
        <v>144</v>
      </c>
    </row>
    <row r="181" spans="1:9" x14ac:dyDescent="0.45">
      <c r="A181" s="5" t="s">
        <v>238</v>
      </c>
      <c r="B181" t="s">
        <v>239</v>
      </c>
      <c r="C181">
        <v>0.7</v>
      </c>
      <c r="D181">
        <v>1.21E-2</v>
      </c>
      <c r="E181">
        <v>1</v>
      </c>
      <c r="F181">
        <v>2</v>
      </c>
      <c r="G181">
        <f t="shared" si="2"/>
        <v>115.70247933884298</v>
      </c>
    </row>
    <row r="182" spans="1:9" x14ac:dyDescent="0.45">
      <c r="A182" s="5" t="s">
        <v>240</v>
      </c>
      <c r="B182" t="s">
        <v>241</v>
      </c>
      <c r="C182">
        <v>0.9</v>
      </c>
      <c r="D182">
        <v>1.66E-2</v>
      </c>
      <c r="E182">
        <v>1</v>
      </c>
      <c r="F182">
        <v>2</v>
      </c>
      <c r="G182">
        <f t="shared" si="2"/>
        <v>108.43373493975903</v>
      </c>
      <c r="H182">
        <f>AVERAGE(G177:G182)</f>
        <v>121.19493017180145</v>
      </c>
      <c r="I182">
        <f>STDEV(G177:G182)/SQRT(6)</f>
        <v>7.9561490979694911</v>
      </c>
    </row>
    <row r="183" spans="1:9" x14ac:dyDescent="0.45">
      <c r="A183" s="5" t="s">
        <v>242</v>
      </c>
      <c r="B183" t="s">
        <v>243</v>
      </c>
      <c r="C183">
        <v>0.7</v>
      </c>
      <c r="D183">
        <v>1.34E-2</v>
      </c>
      <c r="E183">
        <v>1</v>
      </c>
      <c r="F183">
        <v>2</v>
      </c>
      <c r="G183">
        <f t="shared" si="2"/>
        <v>104.4776119402985</v>
      </c>
    </row>
    <row r="184" spans="1:9" x14ac:dyDescent="0.45">
      <c r="A184" s="5" t="s">
        <v>244</v>
      </c>
      <c r="B184" t="s">
        <v>245</v>
      </c>
      <c r="C184">
        <v>0.8</v>
      </c>
      <c r="D184">
        <v>1.55E-2</v>
      </c>
      <c r="E184">
        <v>1</v>
      </c>
      <c r="F184">
        <v>2</v>
      </c>
      <c r="G184">
        <f t="shared" si="2"/>
        <v>103.22580645161291</v>
      </c>
    </row>
    <row r="185" spans="1:9" x14ac:dyDescent="0.45">
      <c r="A185" s="5" t="s">
        <v>246</v>
      </c>
      <c r="B185" t="s">
        <v>247</v>
      </c>
      <c r="C185">
        <v>0.7</v>
      </c>
      <c r="D185">
        <v>1.5699999999999999E-2</v>
      </c>
      <c r="E185">
        <v>1</v>
      </c>
      <c r="F185">
        <v>2</v>
      </c>
      <c r="G185">
        <f t="shared" si="2"/>
        <v>89.171974522292999</v>
      </c>
    </row>
    <row r="186" spans="1:9" x14ac:dyDescent="0.45">
      <c r="A186" s="5" t="s">
        <v>248</v>
      </c>
      <c r="B186" t="s">
        <v>249</v>
      </c>
      <c r="C186">
        <v>0.7</v>
      </c>
      <c r="D186">
        <v>1.6899999999999998E-2</v>
      </c>
      <c r="E186">
        <v>1</v>
      </c>
      <c r="F186">
        <v>2</v>
      </c>
      <c r="G186">
        <f t="shared" si="2"/>
        <v>82.84023668639054</v>
      </c>
    </row>
    <row r="187" spans="1:9" x14ac:dyDescent="0.45">
      <c r="A187" s="5" t="s">
        <v>250</v>
      </c>
      <c r="B187" t="s">
        <v>251</v>
      </c>
      <c r="C187">
        <v>0.8</v>
      </c>
      <c r="D187">
        <v>1.4999999999999999E-2</v>
      </c>
      <c r="E187">
        <v>1</v>
      </c>
      <c r="F187">
        <v>2</v>
      </c>
      <c r="G187">
        <f t="shared" si="2"/>
        <v>106.66666666666669</v>
      </c>
    </row>
    <row r="188" spans="1:9" ht="14.65" thickBot="1" x14ac:dyDescent="0.5">
      <c r="A188" s="6" t="s">
        <v>252</v>
      </c>
      <c r="B188" s="3" t="s">
        <v>253</v>
      </c>
      <c r="C188">
        <v>0.9</v>
      </c>
      <c r="D188" s="9">
        <v>1.78E-2</v>
      </c>
      <c r="E188" s="9">
        <v>1</v>
      </c>
      <c r="F188" s="9">
        <v>2</v>
      </c>
      <c r="G188" s="9">
        <f t="shared" si="2"/>
        <v>101.12359550561798</v>
      </c>
      <c r="H188" s="9">
        <f>AVERAGE(G183:G188)</f>
        <v>97.917648628813268</v>
      </c>
      <c r="I188" s="9">
        <f>STDEV(G183:G188)/SQRT(6)</f>
        <v>3.9236387727989204</v>
      </c>
    </row>
    <row r="189" spans="1:9" x14ac:dyDescent="0.45">
      <c r="A189" s="4" t="s">
        <v>254</v>
      </c>
      <c r="B189" t="s">
        <v>255</v>
      </c>
      <c r="C189">
        <v>0.7</v>
      </c>
      <c r="D189">
        <v>1.3899999999999999E-2</v>
      </c>
      <c r="E189">
        <v>1</v>
      </c>
      <c r="F189">
        <v>2</v>
      </c>
      <c r="G189">
        <f t="shared" si="2"/>
        <v>100.71942446043165</v>
      </c>
    </row>
    <row r="190" spans="1:9" x14ac:dyDescent="0.45">
      <c r="A190" s="5" t="s">
        <v>256</v>
      </c>
      <c r="B190" t="s">
        <v>257</v>
      </c>
      <c r="C190">
        <v>0.7</v>
      </c>
      <c r="D190">
        <v>1.72E-2</v>
      </c>
      <c r="E190">
        <v>1</v>
      </c>
      <c r="F190">
        <v>2</v>
      </c>
      <c r="G190">
        <f t="shared" si="2"/>
        <v>81.395348837209298</v>
      </c>
    </row>
    <row r="191" spans="1:9" x14ac:dyDescent="0.45">
      <c r="A191" s="5" t="s">
        <v>258</v>
      </c>
      <c r="B191" t="s">
        <v>259</v>
      </c>
      <c r="C191">
        <v>0.9</v>
      </c>
      <c r="D191">
        <v>1.66E-2</v>
      </c>
      <c r="E191">
        <v>1</v>
      </c>
      <c r="F191">
        <v>2</v>
      </c>
      <c r="G191">
        <f t="shared" si="2"/>
        <v>108.43373493975903</v>
      </c>
    </row>
    <row r="192" spans="1:9" x14ac:dyDescent="0.45">
      <c r="A192" s="5" t="s">
        <v>260</v>
      </c>
      <c r="B192" t="s">
        <v>261</v>
      </c>
      <c r="C192">
        <v>0.7</v>
      </c>
      <c r="D192">
        <v>1.54E-2</v>
      </c>
      <c r="E192">
        <v>1</v>
      </c>
      <c r="F192">
        <v>2</v>
      </c>
      <c r="G192">
        <f t="shared" si="2"/>
        <v>90.909090909090892</v>
      </c>
    </row>
    <row r="193" spans="1:9" x14ac:dyDescent="0.45">
      <c r="A193" s="5" t="s">
        <v>262</v>
      </c>
      <c r="B193" t="s">
        <v>263</v>
      </c>
      <c r="C193">
        <v>0.5</v>
      </c>
      <c r="D193">
        <v>1.7100000000000001E-2</v>
      </c>
      <c r="E193">
        <v>1</v>
      </c>
      <c r="F193">
        <v>2</v>
      </c>
      <c r="G193">
        <f t="shared" si="2"/>
        <v>58.479532163742689</v>
      </c>
    </row>
    <row r="194" spans="1:9" x14ac:dyDescent="0.45">
      <c r="A194" s="5" t="s">
        <v>264</v>
      </c>
      <c r="B194" t="s">
        <v>265</v>
      </c>
      <c r="C194">
        <v>1</v>
      </c>
      <c r="D194">
        <v>1.67E-2</v>
      </c>
      <c r="E194">
        <v>1</v>
      </c>
      <c r="F194">
        <v>2</v>
      </c>
      <c r="G194">
        <f t="shared" ref="G194:G248" si="3">(C194*(E194/D194)*F194)</f>
        <v>119.76047904191617</v>
      </c>
      <c r="H194">
        <f>AVERAGE(G189:G194)</f>
        <v>93.282935058691635</v>
      </c>
      <c r="I194">
        <f>STDEV(G189:G194)/SQRT(6)</f>
        <v>8.8395609663410806</v>
      </c>
    </row>
    <row r="195" spans="1:9" x14ac:dyDescent="0.45">
      <c r="A195" s="5" t="s">
        <v>266</v>
      </c>
      <c r="B195" t="s">
        <v>267</v>
      </c>
      <c r="C195">
        <v>0.6</v>
      </c>
      <c r="D195">
        <v>1.54E-2</v>
      </c>
      <c r="E195">
        <v>1</v>
      </c>
      <c r="F195">
        <v>2</v>
      </c>
      <c r="G195">
        <f t="shared" si="3"/>
        <v>77.922077922077918</v>
      </c>
    </row>
    <row r="196" spans="1:9" x14ac:dyDescent="0.45">
      <c r="A196" s="5" t="s">
        <v>268</v>
      </c>
      <c r="B196" t="s">
        <v>269</v>
      </c>
      <c r="C196">
        <v>0.6</v>
      </c>
      <c r="D196">
        <v>1.5800000000000002E-2</v>
      </c>
      <c r="E196">
        <v>1</v>
      </c>
      <c r="F196">
        <v>2</v>
      </c>
      <c r="G196">
        <f t="shared" si="3"/>
        <v>75.949367088607588</v>
      </c>
    </row>
    <row r="197" spans="1:9" x14ac:dyDescent="0.45">
      <c r="A197" s="5" t="s">
        <v>270</v>
      </c>
      <c r="B197" t="s">
        <v>271</v>
      </c>
      <c r="C197">
        <v>0.8</v>
      </c>
      <c r="D197">
        <v>1.5900000000000001E-2</v>
      </c>
      <c r="E197">
        <v>1</v>
      </c>
      <c r="F197">
        <v>2</v>
      </c>
      <c r="G197">
        <f t="shared" si="3"/>
        <v>100.62893081761007</v>
      </c>
    </row>
    <row r="198" spans="1:9" x14ac:dyDescent="0.45">
      <c r="A198" s="5" t="s">
        <v>272</v>
      </c>
      <c r="B198" t="s">
        <v>273</v>
      </c>
      <c r="C198">
        <v>0.7</v>
      </c>
      <c r="D198">
        <v>1.4800000000000001E-2</v>
      </c>
      <c r="E198">
        <v>1</v>
      </c>
      <c r="F198">
        <v>2</v>
      </c>
      <c r="G198">
        <f t="shared" si="3"/>
        <v>94.594594594594582</v>
      </c>
    </row>
    <row r="199" spans="1:9" x14ac:dyDescent="0.45">
      <c r="A199" s="5" t="s">
        <v>274</v>
      </c>
      <c r="B199" t="s">
        <v>275</v>
      </c>
      <c r="C199">
        <v>0.9</v>
      </c>
      <c r="D199">
        <v>1.46E-2</v>
      </c>
      <c r="E199">
        <v>1</v>
      </c>
      <c r="F199">
        <v>2</v>
      </c>
      <c r="G199">
        <f t="shared" si="3"/>
        <v>123.28767123287672</v>
      </c>
    </row>
    <row r="200" spans="1:9" ht="14.65" thickBot="1" x14ac:dyDescent="0.5">
      <c r="A200" s="6" t="s">
        <v>276</v>
      </c>
      <c r="B200" s="3" t="s">
        <v>277</v>
      </c>
      <c r="C200">
        <v>0.8</v>
      </c>
      <c r="D200" s="9">
        <v>1.5599999999999999E-2</v>
      </c>
      <c r="E200" s="9">
        <v>1</v>
      </c>
      <c r="F200" s="9">
        <v>2</v>
      </c>
      <c r="G200" s="9">
        <f t="shared" si="3"/>
        <v>102.56410256410257</v>
      </c>
      <c r="H200" s="9">
        <f>AVERAGE(G195:G200)</f>
        <v>95.824457369978234</v>
      </c>
      <c r="I200" s="9">
        <f>STDEV(G195:G200)/SQRT(6)</f>
        <v>7.164172118178314</v>
      </c>
    </row>
    <row r="201" spans="1:9" x14ac:dyDescent="0.45">
      <c r="A201" s="4" t="s">
        <v>278</v>
      </c>
      <c r="B201" t="s">
        <v>279</v>
      </c>
      <c r="C201">
        <v>0.6</v>
      </c>
      <c r="D201">
        <v>1.43E-2</v>
      </c>
      <c r="E201">
        <v>1</v>
      </c>
      <c r="F201">
        <v>2</v>
      </c>
      <c r="G201">
        <f t="shared" si="3"/>
        <v>83.91608391608392</v>
      </c>
    </row>
    <row r="202" spans="1:9" x14ac:dyDescent="0.45">
      <c r="A202" s="5" t="s">
        <v>280</v>
      </c>
      <c r="B202" t="s">
        <v>281</v>
      </c>
      <c r="C202">
        <v>0.7</v>
      </c>
      <c r="D202">
        <v>1.4E-2</v>
      </c>
      <c r="E202">
        <v>1</v>
      </c>
      <c r="F202">
        <v>2</v>
      </c>
      <c r="G202">
        <f t="shared" si="3"/>
        <v>100</v>
      </c>
    </row>
    <row r="203" spans="1:9" x14ac:dyDescent="0.45">
      <c r="A203" s="5" t="s">
        <v>282</v>
      </c>
      <c r="B203" t="s">
        <v>283</v>
      </c>
      <c r="C203">
        <v>0.8</v>
      </c>
      <c r="D203">
        <v>1.4200000000000001E-2</v>
      </c>
      <c r="E203">
        <v>1</v>
      </c>
      <c r="F203">
        <v>2</v>
      </c>
      <c r="G203">
        <f t="shared" si="3"/>
        <v>112.67605633802816</v>
      </c>
    </row>
    <row r="204" spans="1:9" x14ac:dyDescent="0.45">
      <c r="A204" s="5" t="s">
        <v>284</v>
      </c>
      <c r="B204" t="s">
        <v>285</v>
      </c>
      <c r="C204">
        <v>1.1000000000000001</v>
      </c>
      <c r="D204">
        <v>1.5599999999999999E-2</v>
      </c>
      <c r="E204">
        <v>1</v>
      </c>
      <c r="F204">
        <v>2</v>
      </c>
      <c r="G204">
        <f t="shared" si="3"/>
        <v>141.02564102564105</v>
      </c>
    </row>
    <row r="205" spans="1:9" x14ac:dyDescent="0.45">
      <c r="A205" s="5" t="s">
        <v>286</v>
      </c>
      <c r="B205" t="s">
        <v>287</v>
      </c>
      <c r="C205">
        <v>0.6</v>
      </c>
      <c r="D205">
        <v>1.5100000000000001E-2</v>
      </c>
      <c r="E205">
        <v>1</v>
      </c>
      <c r="F205">
        <v>2</v>
      </c>
      <c r="G205">
        <f t="shared" si="3"/>
        <v>79.470198675496675</v>
      </c>
    </row>
    <row r="206" spans="1:9" x14ac:dyDescent="0.45">
      <c r="A206" s="5" t="s">
        <v>288</v>
      </c>
      <c r="B206" t="s">
        <v>289</v>
      </c>
      <c r="C206">
        <v>0.8</v>
      </c>
      <c r="D206">
        <v>1.6299999999999999E-2</v>
      </c>
      <c r="E206">
        <v>1</v>
      </c>
      <c r="F206">
        <v>2</v>
      </c>
      <c r="G206">
        <f t="shared" si="3"/>
        <v>98.159509202454004</v>
      </c>
      <c r="H206">
        <f>AVERAGE(G201:G206)</f>
        <v>102.54124819295065</v>
      </c>
      <c r="I206">
        <f>STDEV(G201:G206)/SQRT(6)</f>
        <v>9.1078546265928431</v>
      </c>
    </row>
    <row r="207" spans="1:9" x14ac:dyDescent="0.45">
      <c r="A207" s="5" t="s">
        <v>290</v>
      </c>
      <c r="B207" t="s">
        <v>291</v>
      </c>
      <c r="C207">
        <v>1</v>
      </c>
      <c r="D207">
        <v>1.67E-2</v>
      </c>
      <c r="E207">
        <v>1</v>
      </c>
      <c r="F207">
        <v>2</v>
      </c>
      <c r="G207">
        <f t="shared" si="3"/>
        <v>119.76047904191617</v>
      </c>
    </row>
    <row r="208" spans="1:9" x14ac:dyDescent="0.45">
      <c r="A208" s="5" t="s">
        <v>292</v>
      </c>
      <c r="B208" t="s">
        <v>293</v>
      </c>
      <c r="C208">
        <v>0.9</v>
      </c>
      <c r="D208">
        <v>1.52E-2</v>
      </c>
      <c r="E208">
        <v>1</v>
      </c>
      <c r="F208">
        <v>2</v>
      </c>
      <c r="G208">
        <f t="shared" si="3"/>
        <v>118.42105263157895</v>
      </c>
    </row>
    <row r="209" spans="1:9" x14ac:dyDescent="0.45">
      <c r="A209" s="5" t="s">
        <v>294</v>
      </c>
      <c r="B209" t="s">
        <v>295</v>
      </c>
      <c r="C209">
        <v>0.8</v>
      </c>
      <c r="D209">
        <v>1.9199999999999998E-2</v>
      </c>
      <c r="E209">
        <v>1</v>
      </c>
      <c r="F209">
        <v>2</v>
      </c>
      <c r="G209">
        <f t="shared" si="3"/>
        <v>83.333333333333343</v>
      </c>
    </row>
    <row r="210" spans="1:9" x14ac:dyDescent="0.45">
      <c r="A210" s="5" t="s">
        <v>296</v>
      </c>
      <c r="B210" t="s">
        <v>297</v>
      </c>
      <c r="C210">
        <v>0.6</v>
      </c>
      <c r="D210">
        <v>1.6400000000000001E-2</v>
      </c>
      <c r="E210">
        <v>1</v>
      </c>
      <c r="F210">
        <v>2</v>
      </c>
      <c r="G210">
        <f t="shared" si="3"/>
        <v>73.17073170731706</v>
      </c>
    </row>
    <row r="211" spans="1:9" x14ac:dyDescent="0.45">
      <c r="A211" s="5" t="s">
        <v>298</v>
      </c>
      <c r="B211" t="s">
        <v>299</v>
      </c>
      <c r="C211">
        <v>0.7</v>
      </c>
      <c r="D211">
        <v>1.7100000000000001E-2</v>
      </c>
      <c r="E211">
        <v>1</v>
      </c>
      <c r="F211">
        <v>2</v>
      </c>
      <c r="G211">
        <f t="shared" si="3"/>
        <v>81.871345029239762</v>
      </c>
    </row>
    <row r="212" spans="1:9" ht="14.65" thickBot="1" x14ac:dyDescent="0.5">
      <c r="A212" s="6" t="s">
        <v>300</v>
      </c>
      <c r="B212" s="3" t="s">
        <v>301</v>
      </c>
      <c r="C212">
        <v>0.7</v>
      </c>
      <c r="D212" s="9">
        <v>1.5800000000000002E-2</v>
      </c>
      <c r="E212" s="9">
        <v>1</v>
      </c>
      <c r="F212" s="9">
        <v>2</v>
      </c>
      <c r="G212" s="9">
        <f t="shared" si="3"/>
        <v>88.60759493670885</v>
      </c>
      <c r="H212" s="9">
        <f>AVERAGE(G207:G212)</f>
        <v>94.194089446682355</v>
      </c>
      <c r="I212" s="9">
        <f>STDEV(G207:G212)/SQRT(6)</f>
        <v>8.1313848082110756</v>
      </c>
    </row>
    <row r="213" spans="1:9" x14ac:dyDescent="0.45">
      <c r="A213" s="4" t="s">
        <v>302</v>
      </c>
      <c r="B213" t="s">
        <v>303</v>
      </c>
      <c r="C213">
        <v>1.1000000000000001</v>
      </c>
      <c r="D213">
        <v>1.55E-2</v>
      </c>
      <c r="E213">
        <v>1</v>
      </c>
      <c r="F213">
        <v>2</v>
      </c>
      <c r="G213">
        <f t="shared" si="3"/>
        <v>141.93548387096774</v>
      </c>
    </row>
    <row r="214" spans="1:9" x14ac:dyDescent="0.45">
      <c r="A214" s="5" t="s">
        <v>304</v>
      </c>
      <c r="B214" t="s">
        <v>305</v>
      </c>
      <c r="C214">
        <v>1</v>
      </c>
      <c r="D214">
        <v>1.61E-2</v>
      </c>
      <c r="E214">
        <v>1</v>
      </c>
      <c r="F214">
        <v>2</v>
      </c>
      <c r="G214">
        <f t="shared" si="3"/>
        <v>124.22360248447205</v>
      </c>
    </row>
    <row r="215" spans="1:9" x14ac:dyDescent="0.45">
      <c r="A215" s="5" t="s">
        <v>306</v>
      </c>
      <c r="B215" t="s">
        <v>307</v>
      </c>
      <c r="C215">
        <v>0.7</v>
      </c>
      <c r="D215">
        <v>1.15E-2</v>
      </c>
      <c r="E215">
        <v>1</v>
      </c>
      <c r="F215">
        <v>2</v>
      </c>
      <c r="G215">
        <f t="shared" si="3"/>
        <v>121.73913043478261</v>
      </c>
    </row>
    <row r="216" spans="1:9" x14ac:dyDescent="0.45">
      <c r="A216" s="5" t="s">
        <v>308</v>
      </c>
      <c r="B216" t="s">
        <v>309</v>
      </c>
      <c r="C216">
        <v>0.6</v>
      </c>
      <c r="D216">
        <v>1.14E-2</v>
      </c>
      <c r="E216">
        <v>1</v>
      </c>
      <c r="F216">
        <v>2</v>
      </c>
      <c r="G216">
        <f t="shared" si="3"/>
        <v>105.26315789473684</v>
      </c>
    </row>
    <row r="217" spans="1:9" x14ac:dyDescent="0.45">
      <c r="A217" s="5" t="s">
        <v>310</v>
      </c>
      <c r="B217" t="s">
        <v>311</v>
      </c>
      <c r="C217">
        <v>1.1000000000000001</v>
      </c>
      <c r="D217">
        <v>1.4800000000000001E-2</v>
      </c>
      <c r="E217">
        <v>1</v>
      </c>
      <c r="F217">
        <v>2</v>
      </c>
      <c r="G217">
        <f t="shared" si="3"/>
        <v>148.64864864864865</v>
      </c>
    </row>
    <row r="218" spans="1:9" x14ac:dyDescent="0.45">
      <c r="A218" s="5" t="s">
        <v>312</v>
      </c>
      <c r="B218" t="s">
        <v>313</v>
      </c>
      <c r="C218">
        <v>1.1000000000000001</v>
      </c>
      <c r="D218">
        <v>1.4800000000000001E-2</v>
      </c>
      <c r="E218">
        <v>1</v>
      </c>
      <c r="F218">
        <v>2</v>
      </c>
      <c r="G218">
        <f t="shared" si="3"/>
        <v>148.64864864864865</v>
      </c>
      <c r="H218">
        <f>AVERAGE(G213:G218)</f>
        <v>131.74311199704275</v>
      </c>
      <c r="I218">
        <f>STDEV(G213:G218)/SQRT(6)</f>
        <v>7.1491011627146674</v>
      </c>
    </row>
    <row r="219" spans="1:9" x14ac:dyDescent="0.45">
      <c r="A219" s="5" t="s">
        <v>314</v>
      </c>
      <c r="B219" t="s">
        <v>315</v>
      </c>
      <c r="C219">
        <v>1.1000000000000001</v>
      </c>
      <c r="D219">
        <v>1.5599999999999999E-2</v>
      </c>
      <c r="E219">
        <v>1</v>
      </c>
      <c r="F219">
        <v>2</v>
      </c>
      <c r="G219">
        <f t="shared" si="3"/>
        <v>141.02564102564105</v>
      </c>
    </row>
    <row r="220" spans="1:9" x14ac:dyDescent="0.45">
      <c r="A220" s="5" t="s">
        <v>316</v>
      </c>
      <c r="B220" t="s">
        <v>317</v>
      </c>
      <c r="C220">
        <v>1.4</v>
      </c>
      <c r="D220">
        <v>1.6400000000000001E-2</v>
      </c>
      <c r="E220">
        <v>1</v>
      </c>
      <c r="F220">
        <v>2</v>
      </c>
      <c r="G220">
        <f t="shared" si="3"/>
        <v>170.73170731707313</v>
      </c>
    </row>
    <row r="221" spans="1:9" x14ac:dyDescent="0.45">
      <c r="A221" s="5" t="s">
        <v>318</v>
      </c>
      <c r="B221" t="s">
        <v>319</v>
      </c>
      <c r="C221">
        <v>1.3</v>
      </c>
      <c r="D221">
        <v>1.7600000000000001E-2</v>
      </c>
      <c r="E221">
        <v>1</v>
      </c>
      <c r="F221">
        <v>2</v>
      </c>
      <c r="G221">
        <f t="shared" si="3"/>
        <v>147.72727272727272</v>
      </c>
    </row>
    <row r="222" spans="1:9" x14ac:dyDescent="0.45">
      <c r="A222" s="5" t="s">
        <v>320</v>
      </c>
      <c r="B222" t="s">
        <v>321</v>
      </c>
      <c r="C222">
        <v>1.1000000000000001</v>
      </c>
      <c r="D222">
        <v>1.52E-2</v>
      </c>
      <c r="E222">
        <v>1</v>
      </c>
      <c r="F222">
        <v>2</v>
      </c>
      <c r="G222">
        <f t="shared" si="3"/>
        <v>144.73684210526315</v>
      </c>
    </row>
    <row r="223" spans="1:9" x14ac:dyDescent="0.45">
      <c r="A223" s="5" t="s">
        <v>322</v>
      </c>
      <c r="B223" t="s">
        <v>323</v>
      </c>
      <c r="C223">
        <v>0.9</v>
      </c>
      <c r="D223">
        <v>1.54E-2</v>
      </c>
      <c r="E223">
        <v>1</v>
      </c>
      <c r="F223">
        <v>2</v>
      </c>
      <c r="G223">
        <f t="shared" si="3"/>
        <v>116.88311688311687</v>
      </c>
    </row>
    <row r="224" spans="1:9" ht="14.65" thickBot="1" x14ac:dyDescent="0.5">
      <c r="A224" s="6" t="s">
        <v>324</v>
      </c>
      <c r="B224" s="3" t="s">
        <v>325</v>
      </c>
      <c r="C224">
        <v>1</v>
      </c>
      <c r="D224" s="9">
        <v>1.7500000000000002E-2</v>
      </c>
      <c r="E224" s="9">
        <v>1</v>
      </c>
      <c r="F224" s="9">
        <v>2</v>
      </c>
      <c r="G224" s="9">
        <f t="shared" si="3"/>
        <v>114.28571428571428</v>
      </c>
      <c r="H224" s="9">
        <f>AVERAGE(G219:G224)</f>
        <v>139.23171572401353</v>
      </c>
      <c r="I224" s="9">
        <f>STDEV(G219:G224)/SQRT(6)</f>
        <v>8.6017661006926271</v>
      </c>
    </row>
    <row r="225" spans="1:9" x14ac:dyDescent="0.45">
      <c r="A225" s="4" t="s">
        <v>326</v>
      </c>
      <c r="B225" t="s">
        <v>327</v>
      </c>
      <c r="C225">
        <v>1.7</v>
      </c>
      <c r="D225">
        <v>1.44E-2</v>
      </c>
      <c r="E225">
        <v>1</v>
      </c>
      <c r="F225">
        <v>2</v>
      </c>
      <c r="G225">
        <f t="shared" si="3"/>
        <v>236.11111111111109</v>
      </c>
    </row>
    <row r="226" spans="1:9" x14ac:dyDescent="0.45">
      <c r="A226" s="5" t="s">
        <v>328</v>
      </c>
      <c r="B226" t="s">
        <v>329</v>
      </c>
      <c r="C226">
        <v>1.8</v>
      </c>
      <c r="D226">
        <v>1.44E-2</v>
      </c>
      <c r="E226">
        <v>1</v>
      </c>
      <c r="F226">
        <v>2</v>
      </c>
      <c r="G226">
        <f t="shared" si="3"/>
        <v>250</v>
      </c>
    </row>
    <row r="227" spans="1:9" x14ac:dyDescent="0.45">
      <c r="A227" s="5" t="s">
        <v>330</v>
      </c>
      <c r="B227" t="s">
        <v>331</v>
      </c>
      <c r="C227">
        <v>2.1</v>
      </c>
      <c r="D227">
        <v>1.6E-2</v>
      </c>
      <c r="E227">
        <v>1</v>
      </c>
      <c r="F227">
        <v>2</v>
      </c>
      <c r="G227">
        <f t="shared" si="3"/>
        <v>262.5</v>
      </c>
    </row>
    <row r="228" spans="1:9" x14ac:dyDescent="0.45">
      <c r="A228" s="5" t="s">
        <v>332</v>
      </c>
      <c r="B228" t="s">
        <v>333</v>
      </c>
      <c r="C228">
        <v>2</v>
      </c>
      <c r="D228">
        <v>1.7500000000000002E-2</v>
      </c>
      <c r="E228">
        <v>1</v>
      </c>
      <c r="F228">
        <v>2</v>
      </c>
      <c r="G228">
        <f t="shared" si="3"/>
        <v>228.57142857142856</v>
      </c>
    </row>
    <row r="229" spans="1:9" x14ac:dyDescent="0.45">
      <c r="A229" s="5" t="s">
        <v>334</v>
      </c>
      <c r="B229" t="s">
        <v>335</v>
      </c>
      <c r="C229">
        <v>1.2</v>
      </c>
      <c r="D229">
        <v>1.37E-2</v>
      </c>
      <c r="E229">
        <v>1</v>
      </c>
      <c r="F229">
        <v>2</v>
      </c>
      <c r="G229">
        <f t="shared" si="3"/>
        <v>175.18248175182481</v>
      </c>
    </row>
    <row r="230" spans="1:9" x14ac:dyDescent="0.45">
      <c r="A230" s="5" t="s">
        <v>336</v>
      </c>
      <c r="B230" t="s">
        <v>337</v>
      </c>
      <c r="C230">
        <v>1.2</v>
      </c>
      <c r="D230">
        <v>1.3100000000000001E-2</v>
      </c>
      <c r="E230">
        <v>1</v>
      </c>
      <c r="F230">
        <v>2</v>
      </c>
      <c r="G230">
        <f t="shared" si="3"/>
        <v>183.20610687022898</v>
      </c>
      <c r="H230">
        <f>AVERAGE(G225:G230)</f>
        <v>222.59518805076559</v>
      </c>
      <c r="I230">
        <f>STDEV(G225:G230)/SQRT(6)</f>
        <v>14.56168236210725</v>
      </c>
    </row>
    <row r="231" spans="1:9" x14ac:dyDescent="0.45">
      <c r="A231" s="5" t="s">
        <v>338</v>
      </c>
      <c r="B231" t="s">
        <v>339</v>
      </c>
      <c r="C231">
        <v>1.1000000000000001</v>
      </c>
      <c r="D231">
        <v>1.2999999999999999E-2</v>
      </c>
      <c r="E231">
        <v>1</v>
      </c>
      <c r="F231">
        <v>2</v>
      </c>
      <c r="G231">
        <f t="shared" si="3"/>
        <v>169.23076923076923</v>
      </c>
    </row>
    <row r="232" spans="1:9" x14ac:dyDescent="0.45">
      <c r="A232" s="5" t="s">
        <v>340</v>
      </c>
      <c r="B232" t="s">
        <v>341</v>
      </c>
      <c r="C232">
        <v>1.6</v>
      </c>
      <c r="D232">
        <v>1.61E-2</v>
      </c>
      <c r="E232">
        <v>1</v>
      </c>
      <c r="F232">
        <v>2</v>
      </c>
      <c r="G232">
        <f t="shared" si="3"/>
        <v>198.75776397515529</v>
      </c>
    </row>
    <row r="233" spans="1:9" x14ac:dyDescent="0.45">
      <c r="A233" s="5" t="s">
        <v>342</v>
      </c>
      <c r="B233" t="s">
        <v>343</v>
      </c>
      <c r="C233">
        <v>1</v>
      </c>
      <c r="D233">
        <v>1.54E-2</v>
      </c>
      <c r="E233">
        <v>1</v>
      </c>
      <c r="F233">
        <v>2</v>
      </c>
      <c r="G233">
        <f t="shared" si="3"/>
        <v>129.87012987012986</v>
      </c>
    </row>
    <row r="234" spans="1:9" x14ac:dyDescent="0.45">
      <c r="A234" s="5" t="s">
        <v>344</v>
      </c>
      <c r="B234" t="s">
        <v>345</v>
      </c>
      <c r="C234">
        <v>0.8</v>
      </c>
      <c r="D234">
        <v>1.24E-2</v>
      </c>
      <c r="E234">
        <v>1</v>
      </c>
      <c r="F234">
        <v>2</v>
      </c>
      <c r="G234">
        <f t="shared" si="3"/>
        <v>129.03225806451613</v>
      </c>
    </row>
    <row r="235" spans="1:9" x14ac:dyDescent="0.45">
      <c r="A235" s="5" t="s">
        <v>346</v>
      </c>
      <c r="B235" t="s">
        <v>347</v>
      </c>
      <c r="C235">
        <v>1.1000000000000001</v>
      </c>
      <c r="D235">
        <v>1.4999999999999999E-2</v>
      </c>
      <c r="E235">
        <v>1</v>
      </c>
      <c r="F235">
        <v>2</v>
      </c>
      <c r="G235">
        <f t="shared" si="3"/>
        <v>146.66666666666669</v>
      </c>
    </row>
    <row r="236" spans="1:9" ht="14.65" thickBot="1" x14ac:dyDescent="0.5">
      <c r="A236" s="6" t="s">
        <v>348</v>
      </c>
      <c r="B236" s="3" t="s">
        <v>349</v>
      </c>
      <c r="C236">
        <v>1.2</v>
      </c>
      <c r="D236" s="9">
        <v>1.49E-2</v>
      </c>
      <c r="E236" s="9">
        <v>1</v>
      </c>
      <c r="F236" s="9">
        <v>2</v>
      </c>
      <c r="G236" s="9">
        <f t="shared" si="3"/>
        <v>161.07382550335572</v>
      </c>
      <c r="H236" s="9">
        <f>AVERAGE(G231:G236)</f>
        <v>155.77190221843216</v>
      </c>
      <c r="I236" s="9">
        <f>STDEV(G231:G236)/SQRT(6)</f>
        <v>10.841050836915469</v>
      </c>
    </row>
    <row r="237" spans="1:9" x14ac:dyDescent="0.45">
      <c r="A237" s="4" t="s">
        <v>350</v>
      </c>
      <c r="B237" t="s">
        <v>351</v>
      </c>
      <c r="C237">
        <v>0.8</v>
      </c>
      <c r="D237">
        <v>1.2200000000000001E-2</v>
      </c>
      <c r="E237">
        <v>1</v>
      </c>
      <c r="F237">
        <v>2</v>
      </c>
      <c r="G237">
        <f t="shared" si="3"/>
        <v>131.14754098360655</v>
      </c>
    </row>
    <row r="238" spans="1:9" x14ac:dyDescent="0.45">
      <c r="A238" s="5" t="s">
        <v>352</v>
      </c>
      <c r="B238" t="s">
        <v>353</v>
      </c>
      <c r="C238">
        <v>0.7</v>
      </c>
      <c r="D238">
        <v>1.1900000000000001E-2</v>
      </c>
      <c r="E238">
        <v>1</v>
      </c>
      <c r="F238">
        <v>2</v>
      </c>
      <c r="G238">
        <f t="shared" si="3"/>
        <v>117.64705882352941</v>
      </c>
    </row>
    <row r="239" spans="1:9" x14ac:dyDescent="0.45">
      <c r="A239" s="5" t="s">
        <v>354</v>
      </c>
      <c r="B239" t="s">
        <v>355</v>
      </c>
      <c r="C239">
        <v>0.3</v>
      </c>
      <c r="D239">
        <v>1.17E-2</v>
      </c>
      <c r="E239">
        <v>1</v>
      </c>
      <c r="F239">
        <v>2</v>
      </c>
      <c r="G239">
        <f t="shared" si="3"/>
        <v>51.282051282051277</v>
      </c>
    </row>
    <row r="240" spans="1:9" x14ac:dyDescent="0.45">
      <c r="A240" s="5" t="s">
        <v>356</v>
      </c>
      <c r="B240" t="s">
        <v>357</v>
      </c>
      <c r="C240">
        <v>0.4</v>
      </c>
      <c r="D240">
        <v>1.7000000000000001E-2</v>
      </c>
      <c r="E240">
        <v>1</v>
      </c>
      <c r="F240">
        <v>2</v>
      </c>
      <c r="G240">
        <f t="shared" si="3"/>
        <v>47.058823529411768</v>
      </c>
    </row>
    <row r="241" spans="1:9" x14ac:dyDescent="0.45">
      <c r="A241" s="5" t="s">
        <v>358</v>
      </c>
      <c r="B241" t="s">
        <v>359</v>
      </c>
      <c r="C241">
        <v>0.6</v>
      </c>
      <c r="D241">
        <v>1.61E-2</v>
      </c>
      <c r="E241">
        <v>1</v>
      </c>
      <c r="F241">
        <v>2</v>
      </c>
      <c r="G241">
        <f t="shared" si="3"/>
        <v>74.534161490683232</v>
      </c>
    </row>
    <row r="242" spans="1:9" x14ac:dyDescent="0.45">
      <c r="A242" s="5" t="s">
        <v>360</v>
      </c>
      <c r="B242" t="s">
        <v>361</v>
      </c>
      <c r="C242">
        <v>0.6</v>
      </c>
      <c r="D242">
        <v>1.61E-2</v>
      </c>
      <c r="E242">
        <v>1</v>
      </c>
      <c r="F242">
        <v>2</v>
      </c>
      <c r="G242">
        <f t="shared" si="3"/>
        <v>74.534161490683232</v>
      </c>
      <c r="H242">
        <f>AVERAGE(G237:G242)</f>
        <v>82.700632933327583</v>
      </c>
      <c r="I242">
        <f>STDEV(G237:G242)/SQRT(6)</f>
        <v>14.093975006294466</v>
      </c>
    </row>
    <row r="243" spans="1:9" x14ac:dyDescent="0.45">
      <c r="A243" s="5" t="s">
        <v>362</v>
      </c>
      <c r="B243" t="s">
        <v>363</v>
      </c>
      <c r="C243">
        <v>0.4</v>
      </c>
      <c r="D243">
        <v>1.21E-2</v>
      </c>
      <c r="E243">
        <v>1</v>
      </c>
      <c r="F243">
        <v>2</v>
      </c>
      <c r="G243">
        <f t="shared" si="3"/>
        <v>66.11570247933885</v>
      </c>
    </row>
    <row r="244" spans="1:9" x14ac:dyDescent="0.45">
      <c r="A244" s="5" t="s">
        <v>364</v>
      </c>
      <c r="B244" t="s">
        <v>365</v>
      </c>
      <c r="C244">
        <v>0.4</v>
      </c>
      <c r="D244">
        <v>1.0800000000000001E-2</v>
      </c>
      <c r="E244">
        <v>1</v>
      </c>
      <c r="F244">
        <v>2</v>
      </c>
      <c r="G244">
        <f t="shared" si="3"/>
        <v>74.074074074074062</v>
      </c>
    </row>
    <row r="245" spans="1:9" x14ac:dyDescent="0.45">
      <c r="A245" s="5" t="s">
        <v>366</v>
      </c>
      <c r="B245" t="s">
        <v>367</v>
      </c>
      <c r="C245">
        <v>0.6</v>
      </c>
      <c r="D245">
        <v>1.66E-2</v>
      </c>
      <c r="E245">
        <v>1</v>
      </c>
      <c r="F245">
        <v>2</v>
      </c>
      <c r="G245">
        <f t="shared" si="3"/>
        <v>72.289156626506013</v>
      </c>
    </row>
    <row r="246" spans="1:9" x14ac:dyDescent="0.45">
      <c r="A246" s="5" t="s">
        <v>368</v>
      </c>
      <c r="B246" t="s">
        <v>369</v>
      </c>
      <c r="C246">
        <v>0.5</v>
      </c>
      <c r="D246">
        <v>1.52E-2</v>
      </c>
      <c r="E246">
        <v>1</v>
      </c>
      <c r="F246">
        <v>2</v>
      </c>
      <c r="G246">
        <f t="shared" si="3"/>
        <v>65.78947368421052</v>
      </c>
    </row>
    <row r="247" spans="1:9" x14ac:dyDescent="0.45">
      <c r="A247" s="5" t="s">
        <v>370</v>
      </c>
      <c r="B247" t="s">
        <v>371</v>
      </c>
      <c r="C247">
        <v>0.4</v>
      </c>
      <c r="D247">
        <v>1.4200000000000001E-2</v>
      </c>
      <c r="E247">
        <v>1</v>
      </c>
      <c r="F247">
        <v>2</v>
      </c>
      <c r="G247">
        <f t="shared" si="3"/>
        <v>56.338028169014081</v>
      </c>
    </row>
    <row r="248" spans="1:9" ht="14.65" thickBot="1" x14ac:dyDescent="0.5">
      <c r="A248" s="6" t="s">
        <v>372</v>
      </c>
      <c r="B248" s="3" t="s">
        <v>373</v>
      </c>
      <c r="C248">
        <v>0.5</v>
      </c>
      <c r="D248" s="9">
        <v>1.4500000000000001E-2</v>
      </c>
      <c r="E248" s="9">
        <v>1</v>
      </c>
      <c r="F248" s="9">
        <v>2</v>
      </c>
      <c r="G248" s="9">
        <f t="shared" si="3"/>
        <v>68.965517241379303</v>
      </c>
      <c r="H248" s="9">
        <f>AVERAGE(G243:G248)</f>
        <v>67.261992045753814</v>
      </c>
      <c r="I248" s="9">
        <f>STDEV(G243:G248)/SQRT(6)</f>
        <v>2.5651128646392447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0FA0-708C-4F1F-B22A-6A6140736C85}">
  <dimension ref="A1:AC248"/>
  <sheetViews>
    <sheetView topLeftCell="K135" zoomScale="140" zoomScaleNormal="140" workbookViewId="0">
      <selection activeCell="M27" sqref="M27"/>
    </sheetView>
  </sheetViews>
  <sheetFormatPr baseColWidth="10" defaultRowHeight="14.25" x14ac:dyDescent="0.45"/>
  <cols>
    <col min="3" max="3" width="11.86328125" customWidth="1"/>
    <col min="5" max="5" width="8.19921875" customWidth="1"/>
    <col min="6" max="6" width="13" bestFit="1" customWidth="1"/>
    <col min="7" max="7" width="14.46484375" bestFit="1" customWidth="1"/>
    <col min="12" max="12" width="12.1328125" customWidth="1"/>
  </cols>
  <sheetData>
    <row r="1" spans="1:29" x14ac:dyDescent="0.45">
      <c r="A1" t="s">
        <v>132</v>
      </c>
    </row>
    <row r="2" spans="1:29" ht="14.65" thickBot="1" x14ac:dyDescent="0.5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</row>
    <row r="3" spans="1:29" x14ac:dyDescent="0.45">
      <c r="A3" s="4" t="s">
        <v>2</v>
      </c>
      <c r="B3">
        <v>1</v>
      </c>
      <c r="C3">
        <v>14.8</v>
      </c>
      <c r="D3">
        <v>2.0400000000000001E-2</v>
      </c>
      <c r="E3">
        <v>1</v>
      </c>
      <c r="F3">
        <v>3</v>
      </c>
      <c r="G3">
        <f>(C3*(E3/D3)*F3)</f>
        <v>2176.4705882352941</v>
      </c>
      <c r="M3" t="s">
        <v>132</v>
      </c>
    </row>
    <row r="4" spans="1:29" x14ac:dyDescent="0.45">
      <c r="A4" s="5" t="s">
        <v>3</v>
      </c>
      <c r="B4">
        <v>2</v>
      </c>
      <c r="C4">
        <v>9.5</v>
      </c>
      <c r="D4">
        <v>1.54E-2</v>
      </c>
      <c r="E4">
        <v>1</v>
      </c>
      <c r="F4">
        <v>3</v>
      </c>
      <c r="G4">
        <f t="shared" ref="G4:G67" si="0">(C4*(E4/D4)*F4)</f>
        <v>1850.6493506493505</v>
      </c>
      <c r="N4" t="s">
        <v>374</v>
      </c>
      <c r="O4" t="s">
        <v>375</v>
      </c>
      <c r="P4" t="s">
        <v>376</v>
      </c>
      <c r="Q4" t="s">
        <v>377</v>
      </c>
      <c r="R4" t="s">
        <v>378</v>
      </c>
      <c r="S4" t="s">
        <v>379</v>
      </c>
      <c r="T4" t="s">
        <v>380</v>
      </c>
      <c r="U4" t="s">
        <v>381</v>
      </c>
      <c r="V4" t="s">
        <v>384</v>
      </c>
      <c r="W4" t="s">
        <v>385</v>
      </c>
    </row>
    <row r="5" spans="1:29" x14ac:dyDescent="0.45">
      <c r="A5" s="5" t="s">
        <v>4</v>
      </c>
      <c r="B5">
        <v>3</v>
      </c>
      <c r="C5">
        <v>11.6</v>
      </c>
      <c r="D5">
        <v>2.1100000000000001E-2</v>
      </c>
      <c r="E5">
        <v>1</v>
      </c>
      <c r="F5">
        <v>3</v>
      </c>
      <c r="G5">
        <f t="shared" si="0"/>
        <v>1649.2890995260664</v>
      </c>
      <c r="M5" t="s">
        <v>382</v>
      </c>
      <c r="N5">
        <f>H8</f>
        <v>1856.2513232516021</v>
      </c>
      <c r="O5">
        <f>H20</f>
        <v>2003.7192909067126</v>
      </c>
      <c r="P5">
        <f>H32</f>
        <v>2405.1139737797093</v>
      </c>
      <c r="Q5">
        <f>H44</f>
        <v>2955.6240989019147</v>
      </c>
      <c r="R5">
        <f>H56</f>
        <v>1713.3717156807063</v>
      </c>
      <c r="S5">
        <f>H68</f>
        <v>1884.6348383788663</v>
      </c>
      <c r="T5">
        <f>H80</f>
        <v>1899.2313920588203</v>
      </c>
      <c r="U5">
        <f>H92</f>
        <v>1791.5075465991376</v>
      </c>
      <c r="V5">
        <f>H104</f>
        <v>2251.9558312101617</v>
      </c>
      <c r="W5">
        <f>H116</f>
        <v>1695.1277356676585</v>
      </c>
    </row>
    <row r="6" spans="1:29" x14ac:dyDescent="0.45">
      <c r="A6" s="5" t="s">
        <v>7</v>
      </c>
      <c r="B6">
        <v>4</v>
      </c>
      <c r="C6">
        <v>11.3</v>
      </c>
      <c r="D6">
        <v>1.4999999999999999E-2</v>
      </c>
      <c r="E6">
        <v>1</v>
      </c>
      <c r="F6">
        <v>3</v>
      </c>
      <c r="G6">
        <f t="shared" si="0"/>
        <v>2260.0000000000005</v>
      </c>
      <c r="M6" t="s">
        <v>131</v>
      </c>
      <c r="N6">
        <f>I8</f>
        <v>130.09702066268926</v>
      </c>
      <c r="O6">
        <f>I20</f>
        <v>73.565416341715604</v>
      </c>
      <c r="P6">
        <f>I32</f>
        <v>141.25099171075053</v>
      </c>
      <c r="Q6">
        <f>I44</f>
        <v>106.20398591946136</v>
      </c>
      <c r="R6">
        <f>I56</f>
        <v>95.904803335756171</v>
      </c>
      <c r="S6">
        <f>I68</f>
        <v>259.0162731632102</v>
      </c>
      <c r="T6">
        <f>I80</f>
        <v>201.28378898315037</v>
      </c>
      <c r="U6">
        <f>I92</f>
        <v>180.0469097926115</v>
      </c>
      <c r="V6">
        <f>I104</f>
        <v>157.04620009011788</v>
      </c>
      <c r="W6">
        <f>I116</f>
        <v>178.34029442034009</v>
      </c>
    </row>
    <row r="7" spans="1:29" x14ac:dyDescent="0.45">
      <c r="A7" s="5" t="s">
        <v>5</v>
      </c>
      <c r="B7">
        <v>5</v>
      </c>
      <c r="C7">
        <v>7.5</v>
      </c>
      <c r="D7">
        <v>1.26E-2</v>
      </c>
      <c r="E7">
        <v>1</v>
      </c>
      <c r="F7">
        <v>3</v>
      </c>
      <c r="G7">
        <f t="shared" si="0"/>
        <v>1785.7142857142858</v>
      </c>
      <c r="M7" t="s">
        <v>383</v>
      </c>
      <c r="N7">
        <f>H20</f>
        <v>2003.7192909067126</v>
      </c>
      <c r="O7">
        <f>H26</f>
        <v>1911.021455815099</v>
      </c>
      <c r="P7">
        <f>H38</f>
        <v>2003.1254664610531</v>
      </c>
      <c r="Q7">
        <f>H50</f>
        <v>2441.6104276955593</v>
      </c>
      <c r="R7">
        <f>H62</f>
        <v>1650.4799722397538</v>
      </c>
      <c r="S7">
        <f>H74</f>
        <v>2037.3486465935109</v>
      </c>
      <c r="T7">
        <f>H86</f>
        <v>1958.935309260213</v>
      </c>
      <c r="U7">
        <f>H98</f>
        <v>1724.4441281089651</v>
      </c>
      <c r="V7">
        <f>H110</f>
        <v>1694.6094987305103</v>
      </c>
      <c r="W7">
        <f>H122</f>
        <v>1787.8784053990978</v>
      </c>
    </row>
    <row r="8" spans="1:29" x14ac:dyDescent="0.45">
      <c r="A8" s="5" t="s">
        <v>6</v>
      </c>
      <c r="B8">
        <v>6</v>
      </c>
      <c r="C8">
        <v>9.1999999999999993</v>
      </c>
      <c r="D8">
        <v>1.95E-2</v>
      </c>
      <c r="E8">
        <v>1</v>
      </c>
      <c r="F8">
        <v>3</v>
      </c>
      <c r="G8">
        <f t="shared" si="0"/>
        <v>1415.3846153846152</v>
      </c>
      <c r="H8">
        <f>AVERAGE(G3:G8)</f>
        <v>1856.2513232516021</v>
      </c>
      <c r="I8">
        <f>STDEV(G3:G8)/SQRT(6)</f>
        <v>130.09702066268926</v>
      </c>
      <c r="M8" t="s">
        <v>131</v>
      </c>
      <c r="N8">
        <f>I14</f>
        <v>173.02440467509669</v>
      </c>
      <c r="O8">
        <f>I26</f>
        <v>255.05006485838351</v>
      </c>
      <c r="P8">
        <f>I38</f>
        <v>202.67413981835091</v>
      </c>
      <c r="Q8">
        <f>I50</f>
        <v>130.9028608347077</v>
      </c>
      <c r="R8">
        <f>I62</f>
        <v>132.93277126402873</v>
      </c>
      <c r="S8">
        <f>I74</f>
        <v>205.16207446656594</v>
      </c>
      <c r="T8">
        <f>I86</f>
        <v>138.61715950579185</v>
      </c>
      <c r="U8">
        <f>I98</f>
        <v>116.45984470206173</v>
      </c>
      <c r="V8">
        <f>I110</f>
        <v>155.14844215528629</v>
      </c>
      <c r="W8">
        <f>I122</f>
        <v>155.34625884381828</v>
      </c>
    </row>
    <row r="9" spans="1:29" x14ac:dyDescent="0.45">
      <c r="A9" s="5" t="s">
        <v>13</v>
      </c>
      <c r="B9">
        <v>7</v>
      </c>
      <c r="C9">
        <v>10</v>
      </c>
      <c r="D9">
        <v>1.4800000000000001E-2</v>
      </c>
      <c r="E9">
        <v>1</v>
      </c>
      <c r="F9">
        <v>3</v>
      </c>
      <c r="G9">
        <f t="shared" si="0"/>
        <v>2027.0270270270269</v>
      </c>
    </row>
    <row r="10" spans="1:29" x14ac:dyDescent="0.45">
      <c r="A10" s="5" t="s">
        <v>8</v>
      </c>
      <c r="B10">
        <v>8</v>
      </c>
      <c r="C10">
        <v>7.7</v>
      </c>
      <c r="D10">
        <v>1.4500000000000001E-2</v>
      </c>
      <c r="E10">
        <v>1</v>
      </c>
      <c r="F10">
        <v>3</v>
      </c>
      <c r="G10">
        <f t="shared" si="0"/>
        <v>1593.1034482758621</v>
      </c>
    </row>
    <row r="11" spans="1:29" x14ac:dyDescent="0.45">
      <c r="A11" s="5" t="s">
        <v>9</v>
      </c>
      <c r="B11">
        <v>9</v>
      </c>
      <c r="C11">
        <v>7.6</v>
      </c>
      <c r="D11">
        <v>1.8599999999999998E-2</v>
      </c>
      <c r="E11">
        <v>1</v>
      </c>
      <c r="F11">
        <v>3</v>
      </c>
      <c r="G11">
        <f t="shared" si="0"/>
        <v>1225.8064516129034</v>
      </c>
    </row>
    <row r="12" spans="1:29" x14ac:dyDescent="0.45">
      <c r="A12" s="5" t="s">
        <v>10</v>
      </c>
      <c r="B12">
        <v>10</v>
      </c>
      <c r="C12">
        <v>9.1999999999999993</v>
      </c>
      <c r="D12">
        <v>1.7100000000000001E-2</v>
      </c>
      <c r="E12">
        <v>1</v>
      </c>
      <c r="F12">
        <v>3</v>
      </c>
      <c r="G12">
        <f t="shared" si="0"/>
        <v>1614.0350877192982</v>
      </c>
    </row>
    <row r="13" spans="1:29" x14ac:dyDescent="0.45">
      <c r="A13" s="5" t="s">
        <v>11</v>
      </c>
      <c r="B13">
        <v>11</v>
      </c>
      <c r="C13">
        <v>13.5</v>
      </c>
      <c r="D13">
        <v>1.66E-2</v>
      </c>
      <c r="E13">
        <v>1</v>
      </c>
      <c r="F13">
        <v>3</v>
      </c>
      <c r="G13">
        <f t="shared" si="0"/>
        <v>2439.7590361445782</v>
      </c>
      <c r="V13" t="s">
        <v>740</v>
      </c>
      <c r="W13" t="s">
        <v>726</v>
      </c>
      <c r="X13" t="s">
        <v>727</v>
      </c>
      <c r="Y13" t="s">
        <v>741</v>
      </c>
      <c r="Z13" t="s">
        <v>742</v>
      </c>
      <c r="AA13" t="s">
        <v>723</v>
      </c>
      <c r="AB13" t="s">
        <v>728</v>
      </c>
      <c r="AC13" t="s">
        <v>743</v>
      </c>
    </row>
    <row r="14" spans="1:29" ht="14.65" thickBot="1" x14ac:dyDescent="0.5">
      <c r="A14" s="6" t="s">
        <v>12</v>
      </c>
      <c r="B14" s="3">
        <v>12</v>
      </c>
      <c r="C14">
        <v>7.6</v>
      </c>
      <c r="D14" s="9">
        <v>1.44E-2</v>
      </c>
      <c r="E14" s="9">
        <v>1</v>
      </c>
      <c r="F14" s="9">
        <v>3</v>
      </c>
      <c r="G14" s="9">
        <f t="shared" si="0"/>
        <v>1583.333333333333</v>
      </c>
      <c r="H14" s="9">
        <f>AVERAGE(G9:G14)</f>
        <v>1747.1773973521667</v>
      </c>
      <c r="I14" s="9">
        <f>STDEV(G9:G14)/SQRT(6)</f>
        <v>173.02440467509669</v>
      </c>
      <c r="V14" t="s">
        <v>729</v>
      </c>
      <c r="W14">
        <v>6</v>
      </c>
      <c r="X14">
        <v>6</v>
      </c>
      <c r="Y14">
        <v>1818.1818181818201</v>
      </c>
      <c r="Z14">
        <v>1603.56926799758</v>
      </c>
      <c r="AA14">
        <v>0.47116999849005597</v>
      </c>
      <c r="AB14" t="s">
        <v>744</v>
      </c>
      <c r="AC14" t="s">
        <v>724</v>
      </c>
    </row>
    <row r="15" spans="1:29" x14ac:dyDescent="0.45">
      <c r="A15" s="5" t="s">
        <v>14</v>
      </c>
      <c r="B15">
        <v>13</v>
      </c>
      <c r="C15">
        <v>15.1</v>
      </c>
      <c r="D15">
        <v>2.1299999999999999E-2</v>
      </c>
      <c r="E15">
        <v>1</v>
      </c>
      <c r="F15">
        <v>3</v>
      </c>
      <c r="G15">
        <f t="shared" si="0"/>
        <v>2126.7605633802814</v>
      </c>
      <c r="V15" t="s">
        <v>730</v>
      </c>
      <c r="W15">
        <v>6</v>
      </c>
      <c r="X15">
        <v>6</v>
      </c>
      <c r="Y15">
        <v>1966.4034458004301</v>
      </c>
      <c r="Z15">
        <v>1915.59750733138</v>
      </c>
      <c r="AA15">
        <v>0.93618629347305904</v>
      </c>
      <c r="AB15" t="s">
        <v>744</v>
      </c>
      <c r="AC15" t="s">
        <v>724</v>
      </c>
    </row>
    <row r="16" spans="1:29" x14ac:dyDescent="0.45">
      <c r="A16" s="5" t="s">
        <v>15</v>
      </c>
      <c r="B16">
        <v>14</v>
      </c>
      <c r="C16">
        <v>13.7</v>
      </c>
      <c r="D16">
        <v>2.2200000000000001E-2</v>
      </c>
      <c r="E16">
        <v>1</v>
      </c>
      <c r="F16">
        <v>3</v>
      </c>
      <c r="G16">
        <f t="shared" si="0"/>
        <v>1851.351351351351</v>
      </c>
      <c r="V16" t="s">
        <v>731</v>
      </c>
      <c r="W16">
        <v>6</v>
      </c>
      <c r="X16">
        <v>6</v>
      </c>
      <c r="Y16">
        <v>2269.0166975881298</v>
      </c>
      <c r="Z16">
        <v>2102.4910452621298</v>
      </c>
      <c r="AA16">
        <v>0.22976627046113801</v>
      </c>
      <c r="AB16" t="s">
        <v>744</v>
      </c>
      <c r="AC16" t="s">
        <v>724</v>
      </c>
    </row>
    <row r="17" spans="1:29" x14ac:dyDescent="0.45">
      <c r="A17" s="5" t="s">
        <v>16</v>
      </c>
      <c r="B17">
        <v>15</v>
      </c>
      <c r="C17">
        <v>11.2</v>
      </c>
      <c r="D17">
        <v>1.8499999999999999E-2</v>
      </c>
      <c r="E17">
        <v>1</v>
      </c>
      <c r="F17">
        <v>3</v>
      </c>
      <c r="G17">
        <f t="shared" si="0"/>
        <v>1816.2162162162163</v>
      </c>
      <c r="V17" t="s">
        <v>732</v>
      </c>
      <c r="W17">
        <v>6</v>
      </c>
      <c r="X17">
        <v>6</v>
      </c>
      <c r="Y17">
        <v>2827.74867696295</v>
      </c>
      <c r="Z17">
        <v>2425.78623486374</v>
      </c>
      <c r="AA17">
        <v>2.02405705770775E-2</v>
      </c>
      <c r="AB17" t="s">
        <v>744</v>
      </c>
      <c r="AC17" t="s">
        <v>725</v>
      </c>
    </row>
    <row r="18" spans="1:29" x14ac:dyDescent="0.45">
      <c r="A18" s="5" t="s">
        <v>17</v>
      </c>
      <c r="B18">
        <v>16</v>
      </c>
      <c r="C18">
        <v>13.6</v>
      </c>
      <c r="D18">
        <v>2.1000000000000001E-2</v>
      </c>
      <c r="E18">
        <v>1</v>
      </c>
      <c r="F18">
        <v>3</v>
      </c>
      <c r="G18">
        <f t="shared" si="0"/>
        <v>1942.8571428571424</v>
      </c>
      <c r="V18" t="s">
        <v>733</v>
      </c>
      <c r="W18">
        <v>6</v>
      </c>
      <c r="X18">
        <v>6</v>
      </c>
      <c r="Y18">
        <v>1674.6311087044801</v>
      </c>
      <c r="Z18">
        <v>1630.60169804356</v>
      </c>
      <c r="AA18">
        <v>0.81018123641047401</v>
      </c>
      <c r="AB18" t="s">
        <v>744</v>
      </c>
      <c r="AC18" t="s">
        <v>724</v>
      </c>
    </row>
    <row r="19" spans="1:29" x14ac:dyDescent="0.45">
      <c r="A19" s="5" t="s">
        <v>18</v>
      </c>
      <c r="B19">
        <v>17</v>
      </c>
      <c r="C19">
        <v>12.7</v>
      </c>
      <c r="D19">
        <v>1.66E-2</v>
      </c>
      <c r="E19">
        <v>1</v>
      </c>
      <c r="F19">
        <v>3</v>
      </c>
      <c r="G19">
        <f t="shared" si="0"/>
        <v>2295.1807228915659</v>
      </c>
      <c r="V19" t="s">
        <v>734</v>
      </c>
      <c r="W19">
        <v>6</v>
      </c>
      <c r="X19">
        <v>6</v>
      </c>
      <c r="Y19">
        <v>1986.3203463203499</v>
      </c>
      <c r="Z19">
        <v>1993.60400444939</v>
      </c>
      <c r="AA19">
        <v>0.81018123641047401</v>
      </c>
      <c r="AB19" t="s">
        <v>744</v>
      </c>
      <c r="AC19" t="s">
        <v>724</v>
      </c>
    </row>
    <row r="20" spans="1:29" x14ac:dyDescent="0.45">
      <c r="A20" s="5" t="s">
        <v>19</v>
      </c>
      <c r="B20">
        <v>18</v>
      </c>
      <c r="C20">
        <v>13.2</v>
      </c>
      <c r="D20">
        <v>1.9900000000000001E-2</v>
      </c>
      <c r="E20">
        <v>1</v>
      </c>
      <c r="F20">
        <v>3</v>
      </c>
      <c r="G20">
        <f t="shared" si="0"/>
        <v>1989.9497487437184</v>
      </c>
      <c r="H20">
        <f>AVERAGE(G15:G20)</f>
        <v>2003.7192909067126</v>
      </c>
      <c r="I20">
        <f>STDEV(G15:G20)/SQRT(6)</f>
        <v>73.565416341715604</v>
      </c>
      <c r="V20" t="s">
        <v>735</v>
      </c>
      <c r="W20">
        <v>6</v>
      </c>
      <c r="X20">
        <v>6</v>
      </c>
      <c r="Y20">
        <v>1825.09143553795</v>
      </c>
      <c r="Z20">
        <v>2055</v>
      </c>
      <c r="AA20">
        <v>0.68892055580446099</v>
      </c>
      <c r="AB20" t="s">
        <v>744</v>
      </c>
      <c r="AC20" t="s">
        <v>724</v>
      </c>
    </row>
    <row r="21" spans="1:29" x14ac:dyDescent="0.45">
      <c r="A21" s="5" t="s">
        <v>20</v>
      </c>
      <c r="B21">
        <v>19</v>
      </c>
      <c r="C21">
        <v>17.3</v>
      </c>
      <c r="D21">
        <v>1.8499999999999999E-2</v>
      </c>
      <c r="E21">
        <v>1</v>
      </c>
      <c r="F21">
        <v>3</v>
      </c>
      <c r="G21">
        <f t="shared" si="0"/>
        <v>2805.4054054054059</v>
      </c>
      <c r="V21" t="s">
        <v>736</v>
      </c>
      <c r="W21">
        <v>6</v>
      </c>
      <c r="X21">
        <v>6</v>
      </c>
      <c r="Y21">
        <v>1652.16759646676</v>
      </c>
      <c r="Z21">
        <v>1629.46696870233</v>
      </c>
      <c r="AA21">
        <v>0.93618629347305904</v>
      </c>
      <c r="AB21" t="s">
        <v>744</v>
      </c>
      <c r="AC21" t="s">
        <v>724</v>
      </c>
    </row>
    <row r="22" spans="1:29" x14ac:dyDescent="0.45">
      <c r="A22" s="5" t="s">
        <v>21</v>
      </c>
      <c r="B22">
        <v>20</v>
      </c>
      <c r="C22">
        <v>13.7</v>
      </c>
      <c r="D22">
        <v>1.95E-2</v>
      </c>
      <c r="E22">
        <v>1</v>
      </c>
      <c r="F22">
        <v>3</v>
      </c>
      <c r="G22">
        <f t="shared" si="0"/>
        <v>2107.6923076923076</v>
      </c>
      <c r="V22" t="s">
        <v>737</v>
      </c>
      <c r="W22">
        <v>6</v>
      </c>
      <c r="X22">
        <v>6</v>
      </c>
      <c r="Y22">
        <v>2382.1810406272298</v>
      </c>
      <c r="Z22">
        <v>1574.6475721638001</v>
      </c>
      <c r="AA22">
        <v>3.06389879377033E-2</v>
      </c>
      <c r="AB22" t="s">
        <v>744</v>
      </c>
      <c r="AC22" t="s">
        <v>725</v>
      </c>
    </row>
    <row r="23" spans="1:29" x14ac:dyDescent="0.45">
      <c r="A23" s="5" t="s">
        <v>22</v>
      </c>
      <c r="B23">
        <v>21</v>
      </c>
      <c r="C23">
        <v>11.6</v>
      </c>
      <c r="D23">
        <v>1.8599999999999998E-2</v>
      </c>
      <c r="E23">
        <v>1</v>
      </c>
      <c r="F23">
        <v>3</v>
      </c>
      <c r="G23">
        <f t="shared" si="0"/>
        <v>1870.9677419354839</v>
      </c>
      <c r="V23" t="s">
        <v>738</v>
      </c>
      <c r="W23">
        <v>6</v>
      </c>
      <c r="X23">
        <v>6</v>
      </c>
      <c r="Y23">
        <v>1693.1756573597199</v>
      </c>
      <c r="Z23">
        <v>1729.8630136986301</v>
      </c>
      <c r="AA23">
        <v>0.93618629347305904</v>
      </c>
      <c r="AB23" t="s">
        <v>744</v>
      </c>
      <c r="AC23" t="s">
        <v>724</v>
      </c>
    </row>
    <row r="24" spans="1:29" x14ac:dyDescent="0.45">
      <c r="A24" s="5" t="s">
        <v>23</v>
      </c>
      <c r="B24">
        <v>22</v>
      </c>
      <c r="C24">
        <v>6.3</v>
      </c>
      <c r="D24">
        <v>2.1999999999999999E-2</v>
      </c>
      <c r="E24">
        <v>1</v>
      </c>
      <c r="F24">
        <v>3</v>
      </c>
      <c r="G24">
        <f t="shared" si="0"/>
        <v>859.09090909090912</v>
      </c>
    </row>
    <row r="25" spans="1:29" x14ac:dyDescent="0.45">
      <c r="A25" s="5" t="s">
        <v>24</v>
      </c>
      <c r="B25">
        <v>23</v>
      </c>
      <c r="C25">
        <v>11.5</v>
      </c>
      <c r="D25">
        <v>1.7600000000000001E-2</v>
      </c>
      <c r="E25">
        <v>1</v>
      </c>
      <c r="F25">
        <v>3</v>
      </c>
      <c r="G25">
        <f t="shared" si="0"/>
        <v>1960.2272727272725</v>
      </c>
    </row>
    <row r="26" spans="1:29" ht="14.65" thickBot="1" x14ac:dyDescent="0.5">
      <c r="A26" s="6" t="s">
        <v>25</v>
      </c>
      <c r="B26" s="3">
        <v>24</v>
      </c>
      <c r="C26">
        <v>9.5</v>
      </c>
      <c r="D26" s="9">
        <v>1.5299999999999999E-2</v>
      </c>
      <c r="E26" s="9">
        <v>1</v>
      </c>
      <c r="F26" s="9">
        <v>3</v>
      </c>
      <c r="G26" s="9">
        <f t="shared" si="0"/>
        <v>1862.7450980392159</v>
      </c>
      <c r="H26" s="9">
        <f>AVERAGE(G21:G26)</f>
        <v>1911.021455815099</v>
      </c>
      <c r="I26" s="9">
        <f>STDEV(G21:G26)/SQRT(6)</f>
        <v>255.05006485838351</v>
      </c>
    </row>
    <row r="27" spans="1:29" x14ac:dyDescent="0.45">
      <c r="A27" s="4" t="s">
        <v>26</v>
      </c>
      <c r="B27">
        <v>25</v>
      </c>
      <c r="C27">
        <v>16.7</v>
      </c>
      <c r="D27">
        <v>1.9199999999999998E-2</v>
      </c>
      <c r="E27">
        <v>1</v>
      </c>
      <c r="F27">
        <v>3</v>
      </c>
      <c r="G27">
        <f t="shared" si="0"/>
        <v>2609.375</v>
      </c>
    </row>
    <row r="28" spans="1:29" x14ac:dyDescent="0.45">
      <c r="A28" s="5" t="s">
        <v>27</v>
      </c>
      <c r="B28">
        <v>26</v>
      </c>
      <c r="C28">
        <v>14.3</v>
      </c>
      <c r="D28">
        <v>1.9E-2</v>
      </c>
      <c r="E28">
        <v>1</v>
      </c>
      <c r="F28">
        <v>3</v>
      </c>
      <c r="G28">
        <f t="shared" si="0"/>
        <v>2257.8947368421059</v>
      </c>
    </row>
    <row r="29" spans="1:29" x14ac:dyDescent="0.45">
      <c r="A29" s="5" t="s">
        <v>28</v>
      </c>
      <c r="B29">
        <v>27</v>
      </c>
      <c r="C29">
        <v>13.3</v>
      </c>
      <c r="D29">
        <v>1.9699999999999999E-2</v>
      </c>
      <c r="E29">
        <v>1</v>
      </c>
      <c r="F29">
        <v>3</v>
      </c>
      <c r="G29">
        <f t="shared" si="0"/>
        <v>2025.3807106598988</v>
      </c>
    </row>
    <row r="30" spans="1:29" x14ac:dyDescent="0.45">
      <c r="A30" s="5" t="s">
        <v>29</v>
      </c>
      <c r="B30">
        <v>28</v>
      </c>
      <c r="C30">
        <v>12.5</v>
      </c>
      <c r="D30">
        <v>1.6500000000000001E-2</v>
      </c>
      <c r="E30">
        <v>1</v>
      </c>
      <c r="F30">
        <v>3</v>
      </c>
      <c r="G30">
        <f t="shared" si="0"/>
        <v>2272.7272727272725</v>
      </c>
    </row>
    <row r="31" spans="1:29" x14ac:dyDescent="0.45">
      <c r="A31" s="5" t="s">
        <v>30</v>
      </c>
      <c r="B31">
        <v>29</v>
      </c>
      <c r="C31">
        <v>19.100000000000001</v>
      </c>
      <c r="D31">
        <v>1.9099999999999999E-2</v>
      </c>
      <c r="E31">
        <v>1</v>
      </c>
      <c r="F31">
        <v>3</v>
      </c>
      <c r="G31">
        <f t="shared" si="0"/>
        <v>3000.0000000000005</v>
      </c>
    </row>
    <row r="32" spans="1:29" x14ac:dyDescent="0.45">
      <c r="A32" s="5" t="s">
        <v>31</v>
      </c>
      <c r="B32">
        <v>30</v>
      </c>
      <c r="C32">
        <v>14.8</v>
      </c>
      <c r="D32">
        <v>1.9599999999999999E-2</v>
      </c>
      <c r="E32">
        <v>1</v>
      </c>
      <c r="F32">
        <v>3</v>
      </c>
      <c r="G32">
        <f t="shared" si="0"/>
        <v>2265.3061224489797</v>
      </c>
      <c r="H32">
        <f>AVERAGE(G27:G32)</f>
        <v>2405.1139737797093</v>
      </c>
      <c r="I32">
        <f>STDEV(G27:G32)/SQRT(6)</f>
        <v>141.25099171075053</v>
      </c>
    </row>
    <row r="33" spans="1:9" x14ac:dyDescent="0.45">
      <c r="A33" s="5" t="s">
        <v>32</v>
      </c>
      <c r="B33">
        <v>31</v>
      </c>
      <c r="C33">
        <v>12</v>
      </c>
      <c r="D33">
        <v>1.8499999999999999E-2</v>
      </c>
      <c r="E33">
        <v>1</v>
      </c>
      <c r="F33">
        <v>3</v>
      </c>
      <c r="G33">
        <f t="shared" si="0"/>
        <v>1945.9459459459458</v>
      </c>
    </row>
    <row r="34" spans="1:9" x14ac:dyDescent="0.45">
      <c r="A34" s="5" t="s">
        <v>33</v>
      </c>
      <c r="B34">
        <v>32</v>
      </c>
      <c r="C34">
        <v>11.2</v>
      </c>
      <c r="D34">
        <v>0.02</v>
      </c>
      <c r="E34">
        <v>1</v>
      </c>
      <c r="F34">
        <v>3</v>
      </c>
      <c r="G34">
        <f t="shared" si="0"/>
        <v>1680</v>
      </c>
    </row>
    <row r="35" spans="1:9" x14ac:dyDescent="0.45">
      <c r="A35" s="5" t="s">
        <v>34</v>
      </c>
      <c r="B35">
        <v>33</v>
      </c>
      <c r="C35">
        <v>12.5</v>
      </c>
      <c r="D35">
        <v>1.66E-2</v>
      </c>
      <c r="E35">
        <v>1</v>
      </c>
      <c r="F35">
        <v>3</v>
      </c>
      <c r="G35">
        <f t="shared" si="0"/>
        <v>2259.0361445783133</v>
      </c>
    </row>
    <row r="36" spans="1:9" x14ac:dyDescent="0.45">
      <c r="A36" s="5" t="s">
        <v>35</v>
      </c>
      <c r="B36">
        <v>34</v>
      </c>
      <c r="C36">
        <v>15.3</v>
      </c>
      <c r="D36">
        <v>1.8100000000000002E-2</v>
      </c>
      <c r="E36">
        <v>1</v>
      </c>
      <c r="F36">
        <v>3</v>
      </c>
      <c r="G36">
        <f t="shared" si="0"/>
        <v>2535.9116022099442</v>
      </c>
    </row>
    <row r="37" spans="1:9" x14ac:dyDescent="0.45">
      <c r="A37" s="5" t="s">
        <v>36</v>
      </c>
      <c r="B37">
        <v>35</v>
      </c>
      <c r="C37">
        <v>14.8</v>
      </c>
      <c r="D37">
        <v>1.8599999999999998E-2</v>
      </c>
      <c r="E37">
        <v>1</v>
      </c>
      <c r="F37">
        <v>3</v>
      </c>
      <c r="G37">
        <f t="shared" si="0"/>
        <v>2387.0967741935483</v>
      </c>
    </row>
    <row r="38" spans="1:9" ht="14.65" thickBot="1" x14ac:dyDescent="0.5">
      <c r="A38" s="6" t="s">
        <v>37</v>
      </c>
      <c r="B38" s="3">
        <v>36</v>
      </c>
      <c r="C38">
        <v>9</v>
      </c>
      <c r="D38" s="9">
        <v>2.23E-2</v>
      </c>
      <c r="E38" s="9">
        <v>1</v>
      </c>
      <c r="F38" s="9">
        <v>3</v>
      </c>
      <c r="G38" s="9">
        <f t="shared" si="0"/>
        <v>1210.7623318385649</v>
      </c>
      <c r="H38" s="9">
        <f>AVERAGE(G33:G38)</f>
        <v>2003.1254664610531</v>
      </c>
      <c r="I38" s="9">
        <f>STDEV(G33:G38)/SQRT(6)</f>
        <v>202.67413981835091</v>
      </c>
    </row>
    <row r="39" spans="1:9" x14ac:dyDescent="0.45">
      <c r="A39" s="4" t="s">
        <v>38</v>
      </c>
      <c r="B39">
        <v>37</v>
      </c>
      <c r="C39">
        <v>15.5</v>
      </c>
      <c r="D39">
        <v>1.7100000000000001E-2</v>
      </c>
      <c r="E39">
        <v>1</v>
      </c>
      <c r="F39">
        <v>3</v>
      </c>
      <c r="G39">
        <f t="shared" si="0"/>
        <v>2719.2982456140348</v>
      </c>
    </row>
    <row r="40" spans="1:9" x14ac:dyDescent="0.45">
      <c r="A40" s="5" t="s">
        <v>39</v>
      </c>
      <c r="B40">
        <v>38</v>
      </c>
      <c r="C40">
        <v>17.5</v>
      </c>
      <c r="D40">
        <v>1.8800000000000001E-2</v>
      </c>
      <c r="E40">
        <v>1</v>
      </c>
      <c r="F40">
        <v>3</v>
      </c>
      <c r="G40">
        <f t="shared" si="0"/>
        <v>2792.5531914893618</v>
      </c>
    </row>
    <row r="41" spans="1:9" x14ac:dyDescent="0.45">
      <c r="A41" s="5" t="s">
        <v>40</v>
      </c>
      <c r="B41">
        <v>39</v>
      </c>
      <c r="C41">
        <v>14.8</v>
      </c>
      <c r="D41">
        <v>1.5900000000000001E-2</v>
      </c>
      <c r="E41">
        <v>1</v>
      </c>
      <c r="F41">
        <v>3</v>
      </c>
      <c r="G41">
        <f t="shared" si="0"/>
        <v>2792.4528301886794</v>
      </c>
    </row>
    <row r="42" spans="1:9" x14ac:dyDescent="0.45">
      <c r="A42" s="5" t="s">
        <v>41</v>
      </c>
      <c r="B42">
        <v>40</v>
      </c>
      <c r="C42">
        <v>18.8</v>
      </c>
      <c r="D42">
        <v>1.9699999999999999E-2</v>
      </c>
      <c r="E42">
        <v>1</v>
      </c>
      <c r="F42">
        <v>3</v>
      </c>
      <c r="G42">
        <f t="shared" si="0"/>
        <v>2862.9441624365486</v>
      </c>
    </row>
    <row r="43" spans="1:9" x14ac:dyDescent="0.45">
      <c r="A43" s="5" t="s">
        <v>42</v>
      </c>
      <c r="B43">
        <v>41</v>
      </c>
      <c r="C43">
        <v>22.7</v>
      </c>
      <c r="D43">
        <v>2.0400000000000001E-2</v>
      </c>
      <c r="E43">
        <v>1</v>
      </c>
      <c r="F43">
        <v>3</v>
      </c>
      <c r="G43">
        <f t="shared" si="0"/>
        <v>3338.2352941176464</v>
      </c>
    </row>
    <row r="44" spans="1:9" x14ac:dyDescent="0.45">
      <c r="A44" s="5" t="s">
        <v>43</v>
      </c>
      <c r="B44">
        <v>42</v>
      </c>
      <c r="C44">
        <v>19.8</v>
      </c>
      <c r="D44">
        <v>1.84E-2</v>
      </c>
      <c r="E44">
        <v>1</v>
      </c>
      <c r="F44">
        <v>3</v>
      </c>
      <c r="G44">
        <f t="shared" si="0"/>
        <v>3228.2608695652179</v>
      </c>
      <c r="H44">
        <f>AVERAGE(G39:G44)</f>
        <v>2955.6240989019147</v>
      </c>
      <c r="I44">
        <f>STDEV(G39:G44)/SQRT(6)</f>
        <v>106.20398591946136</v>
      </c>
    </row>
    <row r="45" spans="1:9" x14ac:dyDescent="0.45">
      <c r="A45" s="5" t="s">
        <v>44</v>
      </c>
      <c r="B45">
        <v>43</v>
      </c>
      <c r="C45">
        <v>17.2</v>
      </c>
      <c r="D45">
        <v>1.9099999999999999E-2</v>
      </c>
      <c r="E45">
        <v>1</v>
      </c>
      <c r="F45">
        <v>3</v>
      </c>
      <c r="G45">
        <f t="shared" si="0"/>
        <v>2701.5706806282724</v>
      </c>
    </row>
    <row r="46" spans="1:9" x14ac:dyDescent="0.45">
      <c r="A46" s="5" t="s">
        <v>45</v>
      </c>
      <c r="B46">
        <v>44</v>
      </c>
      <c r="C46">
        <v>15.5</v>
      </c>
      <c r="D46">
        <v>1.7899999999999999E-2</v>
      </c>
      <c r="E46">
        <v>1</v>
      </c>
      <c r="F46">
        <v>3</v>
      </c>
      <c r="G46">
        <f t="shared" si="0"/>
        <v>2597.7653631284916</v>
      </c>
    </row>
    <row r="47" spans="1:9" x14ac:dyDescent="0.45">
      <c r="A47" s="5" t="s">
        <v>46</v>
      </c>
      <c r="B47">
        <v>45</v>
      </c>
      <c r="C47">
        <v>14.6</v>
      </c>
      <c r="D47">
        <v>1.9900000000000001E-2</v>
      </c>
      <c r="E47">
        <v>1</v>
      </c>
      <c r="F47">
        <v>3</v>
      </c>
      <c r="G47">
        <f t="shared" si="0"/>
        <v>2201.005025125628</v>
      </c>
    </row>
    <row r="48" spans="1:9" x14ac:dyDescent="0.45">
      <c r="A48" s="5" t="s">
        <v>47</v>
      </c>
      <c r="B48">
        <v>46</v>
      </c>
      <c r="C48">
        <v>17.5</v>
      </c>
      <c r="D48">
        <v>1.84E-2</v>
      </c>
      <c r="E48">
        <v>1</v>
      </c>
      <c r="F48">
        <v>3</v>
      </c>
      <c r="G48">
        <f t="shared" si="0"/>
        <v>2853.2608695652175</v>
      </c>
    </row>
    <row r="49" spans="1:9" x14ac:dyDescent="0.45">
      <c r="A49" s="5" t="s">
        <v>48</v>
      </c>
      <c r="B49">
        <v>47</v>
      </c>
      <c r="C49">
        <v>14.8</v>
      </c>
      <c r="D49">
        <v>1.9699999999999999E-2</v>
      </c>
      <c r="E49">
        <v>1</v>
      </c>
      <c r="F49">
        <v>3</v>
      </c>
      <c r="G49">
        <f t="shared" si="0"/>
        <v>2253.8071065989852</v>
      </c>
    </row>
    <row r="50" spans="1:9" ht="14.65" thickBot="1" x14ac:dyDescent="0.5">
      <c r="A50" s="6" t="s">
        <v>49</v>
      </c>
      <c r="B50" s="3">
        <v>48</v>
      </c>
      <c r="C50">
        <v>14.5</v>
      </c>
      <c r="D50" s="9">
        <v>2.1299999999999999E-2</v>
      </c>
      <c r="E50" s="9">
        <v>1</v>
      </c>
      <c r="F50" s="9">
        <v>3</v>
      </c>
      <c r="G50" s="9">
        <f t="shared" si="0"/>
        <v>2042.2535211267605</v>
      </c>
      <c r="H50" s="9">
        <f>AVERAGE(G45:G50)</f>
        <v>2441.6104276955593</v>
      </c>
      <c r="I50" s="9">
        <f>STDEV(G45:G50)/SQRT(6)</f>
        <v>130.9028608347077</v>
      </c>
    </row>
    <row r="51" spans="1:9" x14ac:dyDescent="0.45">
      <c r="A51" s="4" t="s">
        <v>50</v>
      </c>
      <c r="B51">
        <v>49</v>
      </c>
      <c r="C51">
        <v>11.9</v>
      </c>
      <c r="D51">
        <v>1.7500000000000002E-2</v>
      </c>
      <c r="E51">
        <v>1</v>
      </c>
      <c r="F51">
        <v>3</v>
      </c>
      <c r="G51">
        <f t="shared" si="0"/>
        <v>2040</v>
      </c>
    </row>
    <row r="52" spans="1:9" x14ac:dyDescent="0.45">
      <c r="A52" s="5" t="s">
        <v>51</v>
      </c>
      <c r="B52">
        <v>50</v>
      </c>
      <c r="C52">
        <v>9.9</v>
      </c>
      <c r="D52">
        <v>1.78E-2</v>
      </c>
      <c r="E52">
        <v>1</v>
      </c>
      <c r="F52">
        <v>3</v>
      </c>
      <c r="G52">
        <f t="shared" si="0"/>
        <v>1668.5393258426971</v>
      </c>
    </row>
    <row r="53" spans="1:9" x14ac:dyDescent="0.45">
      <c r="A53" s="5" t="s">
        <v>52</v>
      </c>
      <c r="B53">
        <v>51</v>
      </c>
      <c r="C53">
        <v>12.1</v>
      </c>
      <c r="D53">
        <v>1.8700000000000001E-2</v>
      </c>
      <c r="E53">
        <v>1</v>
      </c>
      <c r="F53">
        <v>3</v>
      </c>
      <c r="G53">
        <f t="shared" si="0"/>
        <v>1941.1764705882351</v>
      </c>
    </row>
    <row r="54" spans="1:9" x14ac:dyDescent="0.45">
      <c r="A54" s="5" t="s">
        <v>53</v>
      </c>
      <c r="B54">
        <v>52</v>
      </c>
      <c r="C54">
        <v>9.3000000000000007</v>
      </c>
      <c r="D54">
        <v>1.66E-2</v>
      </c>
      <c r="E54">
        <v>1</v>
      </c>
      <c r="F54">
        <v>3</v>
      </c>
      <c r="G54">
        <f t="shared" si="0"/>
        <v>1680.7228915662649</v>
      </c>
    </row>
    <row r="55" spans="1:9" x14ac:dyDescent="0.45">
      <c r="A55" s="5" t="s">
        <v>54</v>
      </c>
      <c r="B55">
        <v>53</v>
      </c>
      <c r="C55">
        <v>8.8000000000000007</v>
      </c>
      <c r="D55">
        <v>1.8100000000000002E-2</v>
      </c>
      <c r="E55">
        <v>1</v>
      </c>
      <c r="F55">
        <v>3</v>
      </c>
      <c r="G55">
        <f t="shared" si="0"/>
        <v>1458.5635359116022</v>
      </c>
    </row>
    <row r="56" spans="1:9" x14ac:dyDescent="0.45">
      <c r="A56" s="5" t="s">
        <v>55</v>
      </c>
      <c r="B56">
        <v>54</v>
      </c>
      <c r="C56">
        <v>8.5</v>
      </c>
      <c r="D56">
        <v>1.7100000000000001E-2</v>
      </c>
      <c r="E56">
        <v>1</v>
      </c>
      <c r="F56">
        <v>3</v>
      </c>
      <c r="G56">
        <f t="shared" si="0"/>
        <v>1491.2280701754385</v>
      </c>
      <c r="H56">
        <f>AVERAGE(G51:G56)</f>
        <v>1713.3717156807063</v>
      </c>
      <c r="I56">
        <f>STDEV(G51:G56)/SQRT(6)</f>
        <v>95.904803335756171</v>
      </c>
    </row>
    <row r="57" spans="1:9" x14ac:dyDescent="0.45">
      <c r="A57" s="5" t="s">
        <v>56</v>
      </c>
      <c r="B57">
        <v>55</v>
      </c>
      <c r="C57">
        <v>13.5</v>
      </c>
      <c r="D57">
        <v>1.8700000000000001E-2</v>
      </c>
      <c r="E57">
        <v>1</v>
      </c>
      <c r="F57">
        <v>3</v>
      </c>
      <c r="G57">
        <f t="shared" si="0"/>
        <v>2165.7754010695185</v>
      </c>
    </row>
    <row r="58" spans="1:9" x14ac:dyDescent="0.45">
      <c r="A58" s="5" t="s">
        <v>57</v>
      </c>
      <c r="B58">
        <v>56</v>
      </c>
      <c r="C58">
        <v>9.6</v>
      </c>
      <c r="D58">
        <v>2.0899999999999998E-2</v>
      </c>
      <c r="E58">
        <v>1</v>
      </c>
      <c r="F58">
        <v>3</v>
      </c>
      <c r="G58">
        <f t="shared" si="0"/>
        <v>1377.9904306220096</v>
      </c>
    </row>
    <row r="59" spans="1:9" x14ac:dyDescent="0.45">
      <c r="A59" s="5" t="s">
        <v>58</v>
      </c>
      <c r="B59">
        <v>57</v>
      </c>
      <c r="C59">
        <v>10.7</v>
      </c>
      <c r="D59">
        <v>1.89E-2</v>
      </c>
      <c r="E59">
        <v>1</v>
      </c>
      <c r="F59">
        <v>3</v>
      </c>
      <c r="G59">
        <f t="shared" si="0"/>
        <v>1698.4126984126983</v>
      </c>
    </row>
    <row r="60" spans="1:9" x14ac:dyDescent="0.45">
      <c r="A60" s="5" t="s">
        <v>59</v>
      </c>
      <c r="B60">
        <v>58</v>
      </c>
      <c r="C60">
        <v>11.6</v>
      </c>
      <c r="D60">
        <v>1.9E-2</v>
      </c>
      <c r="E60">
        <v>1</v>
      </c>
      <c r="F60">
        <v>3</v>
      </c>
      <c r="G60">
        <f t="shared" si="0"/>
        <v>1831.5789473684213</v>
      </c>
    </row>
    <row r="61" spans="1:9" x14ac:dyDescent="0.45">
      <c r="A61" s="5" t="s">
        <v>60</v>
      </c>
      <c r="B61">
        <v>59</v>
      </c>
      <c r="C61">
        <v>11.2</v>
      </c>
      <c r="D61">
        <v>2.1499999999999998E-2</v>
      </c>
      <c r="E61">
        <v>1</v>
      </c>
      <c r="F61">
        <v>3</v>
      </c>
      <c r="G61">
        <f t="shared" si="0"/>
        <v>1562.7906976744187</v>
      </c>
    </row>
    <row r="62" spans="1:9" ht="14.65" thickBot="1" x14ac:dyDescent="0.5">
      <c r="A62" s="6" t="s">
        <v>61</v>
      </c>
      <c r="B62" s="3">
        <v>60</v>
      </c>
      <c r="C62">
        <v>8.4</v>
      </c>
      <c r="D62" s="9">
        <v>1.9900000000000001E-2</v>
      </c>
      <c r="E62" s="9">
        <v>1</v>
      </c>
      <c r="F62" s="9">
        <v>3</v>
      </c>
      <c r="G62" s="9">
        <f t="shared" si="0"/>
        <v>1266.3316582914572</v>
      </c>
      <c r="H62" s="9">
        <f>AVERAGE(G57:G62)</f>
        <v>1650.4799722397538</v>
      </c>
      <c r="I62" s="9">
        <f>STDEV(G57:G62)/SQRT(6)</f>
        <v>132.93277126402873</v>
      </c>
    </row>
    <row r="63" spans="1:9" x14ac:dyDescent="0.45">
      <c r="A63" s="4" t="s">
        <v>62</v>
      </c>
      <c r="B63">
        <v>61</v>
      </c>
      <c r="C63">
        <v>5.9</v>
      </c>
      <c r="D63">
        <v>1.8499999999999999E-2</v>
      </c>
      <c r="E63">
        <v>1</v>
      </c>
      <c r="F63">
        <v>3</v>
      </c>
      <c r="G63">
        <f t="shared" si="0"/>
        <v>956.75675675675689</v>
      </c>
    </row>
    <row r="64" spans="1:9" x14ac:dyDescent="0.45">
      <c r="A64" s="5" t="s">
        <v>63</v>
      </c>
      <c r="B64">
        <v>62</v>
      </c>
      <c r="C64">
        <v>10.1</v>
      </c>
      <c r="D64">
        <v>2.1000000000000001E-2</v>
      </c>
      <c r="E64">
        <v>1</v>
      </c>
      <c r="F64">
        <v>3</v>
      </c>
      <c r="G64">
        <f t="shared" si="0"/>
        <v>1442.8571428571427</v>
      </c>
    </row>
    <row r="65" spans="1:9" x14ac:dyDescent="0.45">
      <c r="A65" s="5" t="s">
        <v>64</v>
      </c>
      <c r="B65">
        <v>63</v>
      </c>
      <c r="C65">
        <v>18.100000000000001</v>
      </c>
      <c r="D65">
        <v>1.9400000000000001E-2</v>
      </c>
      <c r="E65">
        <v>1</v>
      </c>
      <c r="F65">
        <v>3</v>
      </c>
      <c r="G65">
        <f t="shared" si="0"/>
        <v>2798.9690721649486</v>
      </c>
    </row>
    <row r="66" spans="1:9" x14ac:dyDescent="0.45">
      <c r="A66" s="5" t="s">
        <v>65</v>
      </c>
      <c r="B66">
        <v>64</v>
      </c>
      <c r="C66">
        <v>10.8</v>
      </c>
      <c r="D66">
        <v>1.7500000000000002E-2</v>
      </c>
      <c r="E66">
        <v>1</v>
      </c>
      <c r="F66">
        <v>3</v>
      </c>
      <c r="G66">
        <f t="shared" si="0"/>
        <v>1851.4285714285713</v>
      </c>
    </row>
    <row r="67" spans="1:9" x14ac:dyDescent="0.45">
      <c r="A67" s="5" t="s">
        <v>66</v>
      </c>
      <c r="B67">
        <v>65</v>
      </c>
      <c r="C67">
        <v>14.6</v>
      </c>
      <c r="D67">
        <v>2.0500000000000001E-2</v>
      </c>
      <c r="E67">
        <v>1</v>
      </c>
      <c r="F67">
        <v>3</v>
      </c>
      <c r="G67">
        <f t="shared" si="0"/>
        <v>2136.5853658536585</v>
      </c>
    </row>
    <row r="68" spans="1:9" x14ac:dyDescent="0.45">
      <c r="A68" s="5" t="s">
        <v>67</v>
      </c>
      <c r="B68">
        <v>66</v>
      </c>
      <c r="C68">
        <v>14</v>
      </c>
      <c r="D68">
        <v>1.9800000000000002E-2</v>
      </c>
      <c r="E68">
        <v>1</v>
      </c>
      <c r="F68">
        <v>3</v>
      </c>
      <c r="G68">
        <f t="shared" ref="G68:G122" si="1">(C68*(E68/D68)*F68)</f>
        <v>2121.212121212121</v>
      </c>
      <c r="H68">
        <f>AVERAGE(G63:G68)</f>
        <v>1884.6348383788663</v>
      </c>
      <c r="I68">
        <f>STDEV(G63:G68)/SQRT(6)</f>
        <v>259.0162731632102</v>
      </c>
    </row>
    <row r="69" spans="1:9" x14ac:dyDescent="0.45">
      <c r="A69" s="5" t="s">
        <v>68</v>
      </c>
      <c r="B69">
        <v>67</v>
      </c>
      <c r="C69">
        <v>11.9</v>
      </c>
      <c r="D69">
        <v>1.7399999999999999E-2</v>
      </c>
      <c r="E69">
        <v>1</v>
      </c>
      <c r="F69">
        <v>3</v>
      </c>
      <c r="G69">
        <f t="shared" si="1"/>
        <v>2051.7241379310349</v>
      </c>
    </row>
    <row r="70" spans="1:9" x14ac:dyDescent="0.45">
      <c r="A70" s="5" t="s">
        <v>69</v>
      </c>
      <c r="B70">
        <v>68</v>
      </c>
      <c r="C70">
        <v>15.2</v>
      </c>
      <c r="D70">
        <v>1.6199999999999999E-2</v>
      </c>
      <c r="E70">
        <v>1</v>
      </c>
      <c r="F70">
        <v>3</v>
      </c>
      <c r="G70">
        <f t="shared" si="1"/>
        <v>2814.8148148148148</v>
      </c>
    </row>
    <row r="71" spans="1:9" x14ac:dyDescent="0.45">
      <c r="A71" s="5" t="s">
        <v>70</v>
      </c>
      <c r="B71">
        <v>69</v>
      </c>
      <c r="C71">
        <v>12.4</v>
      </c>
      <c r="D71">
        <v>2.1899999999999999E-2</v>
      </c>
      <c r="E71">
        <v>1</v>
      </c>
      <c r="F71">
        <v>3</v>
      </c>
      <c r="G71">
        <f t="shared" si="1"/>
        <v>1698.6301369863013</v>
      </c>
    </row>
    <row r="72" spans="1:9" x14ac:dyDescent="0.45">
      <c r="A72" s="5" t="s">
        <v>71</v>
      </c>
      <c r="B72">
        <v>70</v>
      </c>
      <c r="C72">
        <v>8.9</v>
      </c>
      <c r="D72">
        <v>1.9400000000000001E-2</v>
      </c>
      <c r="E72">
        <v>1</v>
      </c>
      <c r="F72">
        <v>3</v>
      </c>
      <c r="G72">
        <f t="shared" si="1"/>
        <v>1376.2886597938145</v>
      </c>
    </row>
    <row r="73" spans="1:9" x14ac:dyDescent="0.45">
      <c r="A73" s="5" t="s">
        <v>72</v>
      </c>
      <c r="B73">
        <v>71</v>
      </c>
      <c r="C73">
        <v>15.1</v>
      </c>
      <c r="D73">
        <v>1.9300000000000001E-2</v>
      </c>
      <c r="E73">
        <v>1</v>
      </c>
      <c r="F73">
        <v>3</v>
      </c>
      <c r="G73">
        <f t="shared" si="1"/>
        <v>2347.1502590673572</v>
      </c>
    </row>
    <row r="74" spans="1:9" ht="14.65" thickBot="1" x14ac:dyDescent="0.5">
      <c r="A74" s="6" t="s">
        <v>73</v>
      </c>
      <c r="B74" s="3">
        <v>72</v>
      </c>
      <c r="C74">
        <v>12</v>
      </c>
      <c r="D74" s="9">
        <v>1.8599999999999998E-2</v>
      </c>
      <c r="E74" s="9">
        <v>1</v>
      </c>
      <c r="F74" s="9">
        <v>3</v>
      </c>
      <c r="G74" s="9">
        <f t="shared" si="1"/>
        <v>1935.4838709677422</v>
      </c>
      <c r="H74" s="9">
        <f>AVERAGE(G69:G74)</f>
        <v>2037.3486465935109</v>
      </c>
      <c r="I74" s="9">
        <f>STDEV(G69:G74)/SQRT(6)</f>
        <v>205.16207446656594</v>
      </c>
    </row>
    <row r="75" spans="1:9" x14ac:dyDescent="0.45">
      <c r="A75" s="4" t="s">
        <v>74</v>
      </c>
      <c r="B75">
        <v>73</v>
      </c>
      <c r="C75">
        <v>12.5</v>
      </c>
      <c r="D75">
        <v>1.7000000000000001E-2</v>
      </c>
      <c r="E75">
        <v>1</v>
      </c>
      <c r="F75">
        <v>3</v>
      </c>
      <c r="G75">
        <f t="shared" si="1"/>
        <v>2205.8823529411766</v>
      </c>
    </row>
    <row r="76" spans="1:9" x14ac:dyDescent="0.45">
      <c r="A76" s="5" t="s">
        <v>75</v>
      </c>
      <c r="B76">
        <v>74</v>
      </c>
      <c r="C76">
        <v>10.3</v>
      </c>
      <c r="D76">
        <v>2.1299999999999999E-2</v>
      </c>
      <c r="E76">
        <v>1</v>
      </c>
      <c r="F76">
        <v>3</v>
      </c>
      <c r="G76">
        <f t="shared" si="1"/>
        <v>1450.7042253521129</v>
      </c>
    </row>
    <row r="77" spans="1:9" x14ac:dyDescent="0.45">
      <c r="A77" s="5" t="s">
        <v>76</v>
      </c>
      <c r="B77">
        <v>75</v>
      </c>
      <c r="C77">
        <v>10.9</v>
      </c>
      <c r="D77">
        <v>1.9300000000000001E-2</v>
      </c>
      <c r="E77">
        <v>1</v>
      </c>
      <c r="F77">
        <v>3</v>
      </c>
      <c r="G77">
        <f t="shared" si="1"/>
        <v>1694.3005181347153</v>
      </c>
    </row>
    <row r="78" spans="1:9" x14ac:dyDescent="0.45">
      <c r="A78" s="5" t="s">
        <v>77</v>
      </c>
      <c r="B78">
        <v>76</v>
      </c>
      <c r="C78">
        <v>9</v>
      </c>
      <c r="D78">
        <v>1.9300000000000001E-2</v>
      </c>
      <c r="E78">
        <v>1</v>
      </c>
      <c r="F78">
        <v>3</v>
      </c>
      <c r="G78">
        <f t="shared" si="1"/>
        <v>1398.9637305699482</v>
      </c>
    </row>
    <row r="79" spans="1:9" x14ac:dyDescent="0.45">
      <c r="A79" s="5" t="s">
        <v>78</v>
      </c>
      <c r="B79">
        <v>77</v>
      </c>
      <c r="C79">
        <v>13.3</v>
      </c>
      <c r="D79">
        <v>2.0400000000000001E-2</v>
      </c>
      <c r="E79">
        <v>1</v>
      </c>
      <c r="F79">
        <v>3</v>
      </c>
      <c r="G79">
        <f t="shared" si="1"/>
        <v>1955.8823529411766</v>
      </c>
    </row>
    <row r="80" spans="1:9" x14ac:dyDescent="0.45">
      <c r="A80" s="5" t="s">
        <v>79</v>
      </c>
      <c r="B80">
        <v>78</v>
      </c>
      <c r="C80">
        <v>15.6</v>
      </c>
      <c r="D80">
        <v>1.7399999999999999E-2</v>
      </c>
      <c r="E80">
        <v>1</v>
      </c>
      <c r="F80">
        <v>3</v>
      </c>
      <c r="G80">
        <f t="shared" si="1"/>
        <v>2689.655172413793</v>
      </c>
      <c r="H80">
        <f>AVERAGE(G75:G80)</f>
        <v>1899.2313920588203</v>
      </c>
      <c r="I80">
        <f>STDEV(G75:G80)/SQRT(6)</f>
        <v>201.28378898315037</v>
      </c>
    </row>
    <row r="81" spans="1:9" x14ac:dyDescent="0.45">
      <c r="A81" s="5" t="s">
        <v>80</v>
      </c>
      <c r="B81">
        <v>79</v>
      </c>
      <c r="C81">
        <v>13.3</v>
      </c>
      <c r="D81">
        <v>1.9E-2</v>
      </c>
      <c r="E81">
        <v>1</v>
      </c>
      <c r="F81">
        <v>3</v>
      </c>
      <c r="G81">
        <f t="shared" si="1"/>
        <v>2100.0000000000005</v>
      </c>
    </row>
    <row r="82" spans="1:9" x14ac:dyDescent="0.45">
      <c r="A82" s="5" t="s">
        <v>81</v>
      </c>
      <c r="B82">
        <v>80</v>
      </c>
      <c r="C82">
        <v>11</v>
      </c>
      <c r="D82">
        <v>2.1899999999999999E-2</v>
      </c>
      <c r="E82">
        <v>1</v>
      </c>
      <c r="F82">
        <v>3</v>
      </c>
      <c r="G82">
        <f t="shared" si="1"/>
        <v>1506.8493150684931</v>
      </c>
    </row>
    <row r="83" spans="1:9" x14ac:dyDescent="0.45">
      <c r="A83" s="5" t="s">
        <v>82</v>
      </c>
      <c r="B83">
        <v>81</v>
      </c>
      <c r="C83">
        <v>13.3</v>
      </c>
      <c r="D83">
        <v>1.67E-2</v>
      </c>
      <c r="E83">
        <v>1</v>
      </c>
      <c r="F83">
        <v>3</v>
      </c>
      <c r="G83">
        <f t="shared" si="1"/>
        <v>2389.2215568862275</v>
      </c>
    </row>
    <row r="84" spans="1:9" x14ac:dyDescent="0.45">
      <c r="A84" s="5" t="s">
        <v>83</v>
      </c>
      <c r="B84">
        <v>82</v>
      </c>
      <c r="C84">
        <v>9.6</v>
      </c>
      <c r="D84">
        <v>1.7999999999999999E-2</v>
      </c>
      <c r="E84">
        <v>1</v>
      </c>
      <c r="F84">
        <v>3</v>
      </c>
      <c r="G84">
        <f t="shared" si="1"/>
        <v>1600</v>
      </c>
    </row>
    <row r="85" spans="1:9" x14ac:dyDescent="0.45">
      <c r="A85" s="5" t="s">
        <v>84</v>
      </c>
      <c r="B85">
        <v>83</v>
      </c>
      <c r="C85">
        <v>13.1</v>
      </c>
      <c r="D85">
        <v>1.83E-2</v>
      </c>
      <c r="E85">
        <v>1</v>
      </c>
      <c r="F85">
        <v>3</v>
      </c>
      <c r="G85">
        <f t="shared" si="1"/>
        <v>2147.5409836065573</v>
      </c>
    </row>
    <row r="86" spans="1:9" ht="14.65" thickBot="1" x14ac:dyDescent="0.5">
      <c r="A86" s="6" t="s">
        <v>85</v>
      </c>
      <c r="B86" s="3">
        <v>84</v>
      </c>
      <c r="C86">
        <v>13.4</v>
      </c>
      <c r="D86" s="9">
        <v>0.02</v>
      </c>
      <c r="E86" s="9">
        <v>1</v>
      </c>
      <c r="F86" s="9">
        <v>3</v>
      </c>
      <c r="G86" s="9">
        <f t="shared" si="1"/>
        <v>2010</v>
      </c>
      <c r="H86" s="9">
        <f>AVERAGE(G81:G86)</f>
        <v>1958.935309260213</v>
      </c>
      <c r="I86" s="9">
        <f>STDEV(G81:G86)/SQRT(6)</f>
        <v>138.61715950579185</v>
      </c>
    </row>
    <row r="87" spans="1:9" x14ac:dyDescent="0.45">
      <c r="A87" s="4" t="s">
        <v>86</v>
      </c>
      <c r="B87">
        <v>85</v>
      </c>
      <c r="C87">
        <v>11.6</v>
      </c>
      <c r="D87">
        <v>2.2499999999999999E-2</v>
      </c>
      <c r="E87">
        <v>1</v>
      </c>
      <c r="F87">
        <v>3</v>
      </c>
      <c r="G87">
        <f t="shared" si="1"/>
        <v>1546.6666666666665</v>
      </c>
    </row>
    <row r="88" spans="1:9" x14ac:dyDescent="0.45">
      <c r="A88" s="5" t="s">
        <v>87</v>
      </c>
      <c r="B88">
        <v>86</v>
      </c>
      <c r="C88">
        <v>17.600000000000001</v>
      </c>
      <c r="D88">
        <v>2.0799999999999999E-2</v>
      </c>
      <c r="E88">
        <v>1</v>
      </c>
      <c r="F88">
        <v>3</v>
      </c>
      <c r="G88">
        <f t="shared" si="1"/>
        <v>2538.461538461539</v>
      </c>
    </row>
    <row r="89" spans="1:9" x14ac:dyDescent="0.45">
      <c r="A89" s="5" t="s">
        <v>88</v>
      </c>
      <c r="B89">
        <v>87</v>
      </c>
      <c r="C89">
        <v>8.9</v>
      </c>
      <c r="D89">
        <v>2.0500000000000001E-2</v>
      </c>
      <c r="E89">
        <v>1</v>
      </c>
      <c r="F89">
        <v>3</v>
      </c>
      <c r="G89">
        <f t="shared" si="1"/>
        <v>1302.439024390244</v>
      </c>
    </row>
    <row r="90" spans="1:9" x14ac:dyDescent="0.45">
      <c r="A90" s="5" t="s">
        <v>89</v>
      </c>
      <c r="B90">
        <v>88</v>
      </c>
      <c r="C90">
        <v>12</v>
      </c>
      <c r="D90">
        <v>1.7500000000000002E-2</v>
      </c>
      <c r="E90">
        <v>1</v>
      </c>
      <c r="F90">
        <v>3</v>
      </c>
      <c r="G90">
        <f t="shared" si="1"/>
        <v>2057.1428571428569</v>
      </c>
    </row>
    <row r="91" spans="1:9" x14ac:dyDescent="0.45">
      <c r="A91" s="5" t="s">
        <v>90</v>
      </c>
      <c r="B91">
        <v>89</v>
      </c>
      <c r="C91">
        <v>13.6</v>
      </c>
      <c r="D91">
        <v>2.3900000000000001E-2</v>
      </c>
      <c r="E91">
        <v>1</v>
      </c>
      <c r="F91">
        <v>3</v>
      </c>
      <c r="G91">
        <f t="shared" si="1"/>
        <v>1707.1129707112968</v>
      </c>
    </row>
    <row r="92" spans="1:9" x14ac:dyDescent="0.45">
      <c r="A92" s="5" t="s">
        <v>91</v>
      </c>
      <c r="B92">
        <v>90</v>
      </c>
      <c r="C92">
        <v>11.5</v>
      </c>
      <c r="D92">
        <v>2.1600000000000001E-2</v>
      </c>
      <c r="E92">
        <v>1</v>
      </c>
      <c r="F92">
        <v>3</v>
      </c>
      <c r="G92">
        <f t="shared" si="1"/>
        <v>1597.2222222222222</v>
      </c>
      <c r="H92">
        <f>AVERAGE(G87:G92)</f>
        <v>1791.5075465991376</v>
      </c>
      <c r="I92">
        <f>STDEV(G87:G92)/SQRT(6)</f>
        <v>180.0469097926115</v>
      </c>
    </row>
    <row r="93" spans="1:9" x14ac:dyDescent="0.45">
      <c r="A93" s="5" t="s">
        <v>92</v>
      </c>
      <c r="B93">
        <v>91</v>
      </c>
      <c r="C93">
        <v>14.4</v>
      </c>
      <c r="D93">
        <v>2.0199999999999999E-2</v>
      </c>
      <c r="E93">
        <v>1</v>
      </c>
      <c r="F93">
        <v>3</v>
      </c>
      <c r="G93">
        <f t="shared" si="1"/>
        <v>2138.6138613861385</v>
      </c>
    </row>
    <row r="94" spans="1:9" x14ac:dyDescent="0.45">
      <c r="A94" s="5" t="s">
        <v>93</v>
      </c>
      <c r="B94">
        <v>92</v>
      </c>
      <c r="C94">
        <v>9.9</v>
      </c>
      <c r="D94">
        <v>2.1399999999999999E-2</v>
      </c>
      <c r="E94">
        <v>1</v>
      </c>
      <c r="F94">
        <v>3</v>
      </c>
      <c r="G94">
        <f t="shared" si="1"/>
        <v>1387.8504672897197</v>
      </c>
    </row>
    <row r="95" spans="1:9" x14ac:dyDescent="0.45">
      <c r="A95" s="5" t="s">
        <v>94</v>
      </c>
      <c r="B95">
        <v>93</v>
      </c>
      <c r="C95">
        <v>10.199999999999999</v>
      </c>
      <c r="D95">
        <v>1.9400000000000001E-2</v>
      </c>
      <c r="E95">
        <v>1</v>
      </c>
      <c r="F95">
        <v>3</v>
      </c>
      <c r="G95">
        <f t="shared" si="1"/>
        <v>1577.319587628866</v>
      </c>
    </row>
    <row r="96" spans="1:9" x14ac:dyDescent="0.45">
      <c r="A96" s="5" t="s">
        <v>95</v>
      </c>
      <c r="B96">
        <v>94</v>
      </c>
      <c r="C96">
        <v>12.5</v>
      </c>
      <c r="D96">
        <v>2.23E-2</v>
      </c>
      <c r="E96">
        <v>1</v>
      </c>
      <c r="F96">
        <v>3</v>
      </c>
      <c r="G96">
        <f t="shared" si="1"/>
        <v>1681.6143497757846</v>
      </c>
    </row>
    <row r="97" spans="1:9" x14ac:dyDescent="0.45">
      <c r="A97" s="5" t="s">
        <v>96</v>
      </c>
      <c r="B97">
        <v>95</v>
      </c>
      <c r="C97">
        <v>10.7</v>
      </c>
      <c r="D97">
        <v>2.0500000000000001E-2</v>
      </c>
      <c r="E97">
        <v>1</v>
      </c>
      <c r="F97">
        <v>3</v>
      </c>
      <c r="G97">
        <f t="shared" si="1"/>
        <v>1565.853658536585</v>
      </c>
    </row>
    <row r="98" spans="1:9" ht="14.65" thickBot="1" x14ac:dyDescent="0.5">
      <c r="A98" s="6" t="s">
        <v>97</v>
      </c>
      <c r="B98" s="3">
        <v>96</v>
      </c>
      <c r="C98">
        <v>14.5</v>
      </c>
      <c r="D98" s="9">
        <v>2.18E-2</v>
      </c>
      <c r="E98" s="9">
        <v>1</v>
      </c>
      <c r="F98" s="9">
        <v>3</v>
      </c>
      <c r="G98" s="9">
        <f t="shared" si="1"/>
        <v>1995.4128440366974</v>
      </c>
      <c r="H98" s="9">
        <f>AVERAGE(G93:G98)</f>
        <v>1724.4441281089651</v>
      </c>
      <c r="I98" s="9">
        <f>STDEV(G93:G98)/SQRT(6)</f>
        <v>116.45984470206173</v>
      </c>
    </row>
    <row r="99" spans="1:9" x14ac:dyDescent="0.45">
      <c r="A99" s="4" t="s">
        <v>98</v>
      </c>
      <c r="B99">
        <v>97</v>
      </c>
      <c r="C99">
        <v>17.8</v>
      </c>
      <c r="D99">
        <v>2.3E-2</v>
      </c>
      <c r="E99">
        <v>1</v>
      </c>
      <c r="F99">
        <v>3</v>
      </c>
      <c r="G99">
        <f t="shared" si="1"/>
        <v>2321.7391304347825</v>
      </c>
    </row>
    <row r="100" spans="1:9" x14ac:dyDescent="0.45">
      <c r="A100" s="5" t="s">
        <v>99</v>
      </c>
      <c r="B100">
        <v>98</v>
      </c>
      <c r="C100">
        <v>15.7</v>
      </c>
      <c r="D100">
        <v>1.8599999999999998E-2</v>
      </c>
      <c r="E100">
        <v>1</v>
      </c>
      <c r="F100">
        <v>3</v>
      </c>
      <c r="G100">
        <f t="shared" si="1"/>
        <v>2532.2580645161293</v>
      </c>
    </row>
    <row r="101" spans="1:9" x14ac:dyDescent="0.45">
      <c r="A101" s="5" t="s">
        <v>100</v>
      </c>
      <c r="B101">
        <v>99</v>
      </c>
      <c r="C101">
        <v>17.600000000000001</v>
      </c>
      <c r="D101">
        <v>0.02</v>
      </c>
      <c r="E101">
        <v>1</v>
      </c>
      <c r="F101">
        <v>3</v>
      </c>
      <c r="G101">
        <f t="shared" si="1"/>
        <v>2640.0000000000005</v>
      </c>
    </row>
    <row r="102" spans="1:9" x14ac:dyDescent="0.45">
      <c r="A102" s="5" t="s">
        <v>101</v>
      </c>
      <c r="B102">
        <v>100</v>
      </c>
      <c r="C102">
        <v>14.9</v>
      </c>
      <c r="D102">
        <v>1.83E-2</v>
      </c>
      <c r="E102">
        <v>1</v>
      </c>
      <c r="F102">
        <v>3</v>
      </c>
      <c r="G102">
        <f t="shared" si="1"/>
        <v>2442.622950819672</v>
      </c>
    </row>
    <row r="103" spans="1:9" x14ac:dyDescent="0.45">
      <c r="A103" s="5" t="s">
        <v>102</v>
      </c>
      <c r="B103">
        <v>101</v>
      </c>
      <c r="C103">
        <v>12.7</v>
      </c>
      <c r="D103">
        <v>2.3099999999999999E-2</v>
      </c>
      <c r="E103">
        <v>1</v>
      </c>
      <c r="F103">
        <v>3</v>
      </c>
      <c r="G103">
        <f t="shared" si="1"/>
        <v>1649.3506493506493</v>
      </c>
    </row>
    <row r="104" spans="1:9" x14ac:dyDescent="0.45">
      <c r="A104" s="5" t="s">
        <v>103</v>
      </c>
      <c r="B104">
        <v>102</v>
      </c>
      <c r="C104">
        <v>14.7</v>
      </c>
      <c r="D104">
        <v>2.29E-2</v>
      </c>
      <c r="E104">
        <v>1</v>
      </c>
      <c r="F104">
        <v>3</v>
      </c>
      <c r="G104">
        <f t="shared" si="1"/>
        <v>1925.7641921397378</v>
      </c>
      <c r="H104">
        <f>AVERAGE(G99:G104)</f>
        <v>2251.9558312101617</v>
      </c>
      <c r="I104">
        <f>STDEV(G99:G104)/SQRT(6)</f>
        <v>157.04620009011788</v>
      </c>
    </row>
    <row r="105" spans="1:9" x14ac:dyDescent="0.45">
      <c r="A105" s="5" t="s">
        <v>104</v>
      </c>
      <c r="B105">
        <v>103</v>
      </c>
      <c r="C105">
        <v>11.5</v>
      </c>
      <c r="D105">
        <v>2.24E-2</v>
      </c>
      <c r="E105">
        <v>1</v>
      </c>
      <c r="F105">
        <v>3</v>
      </c>
      <c r="G105">
        <f t="shared" si="1"/>
        <v>1540.1785714285716</v>
      </c>
    </row>
    <row r="106" spans="1:9" x14ac:dyDescent="0.45">
      <c r="A106" s="5" t="s">
        <v>105</v>
      </c>
      <c r="B106">
        <v>104</v>
      </c>
      <c r="C106">
        <v>9.4</v>
      </c>
      <c r="D106">
        <v>2.1399999999999999E-2</v>
      </c>
      <c r="E106">
        <v>1</v>
      </c>
      <c r="F106">
        <v>3</v>
      </c>
      <c r="G106">
        <f t="shared" si="1"/>
        <v>1317.7570093457944</v>
      </c>
    </row>
    <row r="107" spans="1:9" x14ac:dyDescent="0.45">
      <c r="A107" s="5" t="s">
        <v>106</v>
      </c>
      <c r="B107">
        <v>105</v>
      </c>
      <c r="C107">
        <v>17.5</v>
      </c>
      <c r="D107">
        <v>2.1700000000000001E-2</v>
      </c>
      <c r="E107">
        <v>1</v>
      </c>
      <c r="F107">
        <v>3</v>
      </c>
      <c r="G107">
        <f t="shared" si="1"/>
        <v>2419.3548387096771</v>
      </c>
    </row>
    <row r="108" spans="1:9" x14ac:dyDescent="0.45">
      <c r="A108" s="5" t="s">
        <v>107</v>
      </c>
      <c r="B108">
        <v>106</v>
      </c>
      <c r="C108">
        <v>10.8</v>
      </c>
      <c r="D108">
        <v>2.0500000000000001E-2</v>
      </c>
      <c r="E108">
        <v>1</v>
      </c>
      <c r="F108">
        <v>3</v>
      </c>
      <c r="G108">
        <f t="shared" si="1"/>
        <v>1580.4878048780488</v>
      </c>
    </row>
    <row r="109" spans="1:9" x14ac:dyDescent="0.45">
      <c r="A109" s="5" t="s">
        <v>108</v>
      </c>
      <c r="B109">
        <v>107</v>
      </c>
      <c r="C109">
        <v>13</v>
      </c>
      <c r="D109">
        <v>2.24E-2</v>
      </c>
      <c r="E109">
        <v>1</v>
      </c>
      <c r="F109">
        <v>3</v>
      </c>
      <c r="G109">
        <f t="shared" si="1"/>
        <v>1741.0714285714287</v>
      </c>
    </row>
    <row r="110" spans="1:9" ht="14.65" thickBot="1" x14ac:dyDescent="0.5">
      <c r="A110" s="6" t="s">
        <v>109</v>
      </c>
      <c r="B110" s="3">
        <v>108</v>
      </c>
      <c r="C110">
        <v>11.4</v>
      </c>
      <c r="D110" s="9">
        <v>2.18E-2</v>
      </c>
      <c r="E110" s="9">
        <v>1</v>
      </c>
      <c r="F110" s="9">
        <v>3</v>
      </c>
      <c r="G110" s="9">
        <f t="shared" si="1"/>
        <v>1568.8073394495414</v>
      </c>
      <c r="H110" s="9">
        <f>AVERAGE(G105:G110)</f>
        <v>1694.6094987305103</v>
      </c>
      <c r="I110" s="9">
        <f>STDEV(G105:G110)/SQRT(6)</f>
        <v>155.14844215528629</v>
      </c>
    </row>
    <row r="111" spans="1:9" x14ac:dyDescent="0.45">
      <c r="A111" s="4" t="s">
        <v>110</v>
      </c>
      <c r="B111">
        <v>109</v>
      </c>
      <c r="C111">
        <v>7.1</v>
      </c>
      <c r="D111">
        <v>2.01E-2</v>
      </c>
      <c r="E111">
        <v>1</v>
      </c>
      <c r="F111">
        <v>3</v>
      </c>
      <c r="G111">
        <f t="shared" si="1"/>
        <v>1059.7014925373135</v>
      </c>
    </row>
    <row r="112" spans="1:9" x14ac:dyDescent="0.45">
      <c r="A112" s="5" t="s">
        <v>111</v>
      </c>
      <c r="B112">
        <v>110</v>
      </c>
      <c r="C112">
        <v>12.9</v>
      </c>
      <c r="D112">
        <v>2.1700000000000001E-2</v>
      </c>
      <c r="E112">
        <v>1</v>
      </c>
      <c r="F112">
        <v>3</v>
      </c>
      <c r="G112">
        <f t="shared" si="1"/>
        <v>1783.4101382488477</v>
      </c>
    </row>
    <row r="113" spans="1:9" x14ac:dyDescent="0.45">
      <c r="A113" s="5" t="s">
        <v>112</v>
      </c>
      <c r="B113">
        <v>111</v>
      </c>
      <c r="C113">
        <v>10.8</v>
      </c>
      <c r="D113">
        <v>2.1999999999999999E-2</v>
      </c>
      <c r="E113">
        <v>1</v>
      </c>
      <c r="F113">
        <v>3</v>
      </c>
      <c r="G113">
        <f t="shared" si="1"/>
        <v>1472.727272727273</v>
      </c>
    </row>
    <row r="114" spans="1:9" x14ac:dyDescent="0.45">
      <c r="A114" s="5" t="s">
        <v>113</v>
      </c>
      <c r="B114">
        <v>112</v>
      </c>
      <c r="C114">
        <v>14.6</v>
      </c>
      <c r="D114">
        <v>2.3199999999999998E-2</v>
      </c>
      <c r="E114">
        <v>1</v>
      </c>
      <c r="F114">
        <v>3</v>
      </c>
      <c r="G114">
        <f t="shared" si="1"/>
        <v>1887.9310344827588</v>
      </c>
    </row>
    <row r="115" spans="1:9" x14ac:dyDescent="0.45">
      <c r="A115" s="5" t="s">
        <v>114</v>
      </c>
      <c r="B115">
        <v>113</v>
      </c>
      <c r="C115">
        <v>17.100000000000001</v>
      </c>
      <c r="D115">
        <v>2.1700000000000001E-2</v>
      </c>
      <c r="E115">
        <v>1</v>
      </c>
      <c r="F115">
        <v>3</v>
      </c>
      <c r="G115">
        <f t="shared" si="1"/>
        <v>2364.0552995391704</v>
      </c>
    </row>
    <row r="116" spans="1:9" x14ac:dyDescent="0.45">
      <c r="A116" s="5" t="s">
        <v>115</v>
      </c>
      <c r="B116">
        <v>114</v>
      </c>
      <c r="C116">
        <v>10.9</v>
      </c>
      <c r="D116">
        <v>2.0400000000000001E-2</v>
      </c>
      <c r="E116">
        <v>1</v>
      </c>
      <c r="F116">
        <v>3</v>
      </c>
      <c r="G116">
        <f t="shared" si="1"/>
        <v>1602.9411764705881</v>
      </c>
      <c r="H116">
        <f>AVERAGE(G111:G116)</f>
        <v>1695.1277356676585</v>
      </c>
      <c r="I116">
        <f>STDEV(G111:G116)/SQRT(6)</f>
        <v>178.34029442034009</v>
      </c>
    </row>
    <row r="117" spans="1:9" x14ac:dyDescent="0.45">
      <c r="A117" s="5" t="s">
        <v>116</v>
      </c>
      <c r="B117">
        <v>115</v>
      </c>
      <c r="C117">
        <v>9.8000000000000007</v>
      </c>
      <c r="D117">
        <v>2.1700000000000001E-2</v>
      </c>
      <c r="E117">
        <v>1</v>
      </c>
      <c r="F117">
        <v>3</v>
      </c>
      <c r="G117">
        <f t="shared" si="1"/>
        <v>1354.8387096774195</v>
      </c>
    </row>
    <row r="118" spans="1:9" x14ac:dyDescent="0.45">
      <c r="A118" s="5" t="s">
        <v>117</v>
      </c>
      <c r="B118">
        <v>116</v>
      </c>
      <c r="C118">
        <v>10.199999999999999</v>
      </c>
      <c r="D118">
        <v>2.0799999999999999E-2</v>
      </c>
      <c r="E118">
        <v>1</v>
      </c>
      <c r="F118">
        <v>3</v>
      </c>
      <c r="G118">
        <f t="shared" si="1"/>
        <v>1471.1538461538462</v>
      </c>
    </row>
    <row r="119" spans="1:9" x14ac:dyDescent="0.45">
      <c r="A119" s="5" t="s">
        <v>118</v>
      </c>
      <c r="B119">
        <v>117</v>
      </c>
      <c r="C119">
        <v>12.9</v>
      </c>
      <c r="D119">
        <v>2.2499999999999999E-2</v>
      </c>
      <c r="E119">
        <v>1</v>
      </c>
      <c r="F119">
        <v>3</v>
      </c>
      <c r="G119">
        <f t="shared" si="1"/>
        <v>1720</v>
      </c>
    </row>
    <row r="120" spans="1:9" x14ac:dyDescent="0.45">
      <c r="A120" s="5" t="s">
        <v>119</v>
      </c>
      <c r="B120">
        <v>118</v>
      </c>
      <c r="C120">
        <v>16.7</v>
      </c>
      <c r="D120">
        <v>2.1000000000000001E-2</v>
      </c>
      <c r="E120">
        <v>1</v>
      </c>
      <c r="F120">
        <v>3</v>
      </c>
      <c r="G120">
        <f t="shared" si="1"/>
        <v>2385.7142857142853</v>
      </c>
    </row>
    <row r="121" spans="1:9" x14ac:dyDescent="0.45">
      <c r="A121" s="5" t="s">
        <v>120</v>
      </c>
      <c r="B121">
        <v>119</v>
      </c>
      <c r="C121">
        <v>12.7</v>
      </c>
      <c r="D121">
        <v>2.1899999999999999E-2</v>
      </c>
      <c r="E121">
        <v>1</v>
      </c>
      <c r="F121">
        <v>3</v>
      </c>
      <c r="G121">
        <f t="shared" si="1"/>
        <v>1739.7260273972602</v>
      </c>
    </row>
    <row r="122" spans="1:9" ht="14.65" thickBot="1" x14ac:dyDescent="0.5">
      <c r="A122" s="6" t="s">
        <v>121</v>
      </c>
      <c r="B122" s="3">
        <v>120</v>
      </c>
      <c r="C122">
        <v>13.5</v>
      </c>
      <c r="D122" s="9">
        <v>1.9699999999999999E-2</v>
      </c>
      <c r="E122" s="9">
        <v>1</v>
      </c>
      <c r="F122" s="9">
        <v>3</v>
      </c>
      <c r="G122" s="9">
        <f t="shared" si="1"/>
        <v>2055.837563451777</v>
      </c>
      <c r="H122" s="9">
        <f>AVERAGE(G117:G122)</f>
        <v>1787.8784053990978</v>
      </c>
      <c r="I122" s="9">
        <f>STDEV(G117:G122)/SQRT(6)</f>
        <v>155.34625884381828</v>
      </c>
    </row>
    <row r="127" spans="1:9" x14ac:dyDescent="0.45">
      <c r="A127" t="s">
        <v>133</v>
      </c>
    </row>
    <row r="128" spans="1:9" ht="14.65" thickBot="1" x14ac:dyDescent="0.5">
      <c r="A128" t="s">
        <v>123</v>
      </c>
      <c r="B128" t="s">
        <v>124</v>
      </c>
      <c r="C128" t="s">
        <v>125</v>
      </c>
      <c r="D128" t="s">
        <v>126</v>
      </c>
      <c r="E128" t="s">
        <v>127</v>
      </c>
      <c r="F128" t="s">
        <v>128</v>
      </c>
      <c r="G128" t="s">
        <v>129</v>
      </c>
      <c r="H128" t="s">
        <v>130</v>
      </c>
      <c r="I128" t="s">
        <v>131</v>
      </c>
    </row>
    <row r="129" spans="1:28" x14ac:dyDescent="0.45">
      <c r="A129" s="4" t="s">
        <v>134</v>
      </c>
      <c r="B129" t="s">
        <v>135</v>
      </c>
      <c r="C129">
        <v>10.3</v>
      </c>
      <c r="D129">
        <v>1.18E-2</v>
      </c>
      <c r="E129">
        <v>1</v>
      </c>
      <c r="F129">
        <v>2</v>
      </c>
      <c r="G129">
        <f>(C129*(E129/D129)*F129)</f>
        <v>1745.762711864407</v>
      </c>
      <c r="M129" t="s">
        <v>133</v>
      </c>
    </row>
    <row r="130" spans="1:28" x14ac:dyDescent="0.45">
      <c r="A130" s="5" t="s">
        <v>136</v>
      </c>
      <c r="B130" t="s">
        <v>137</v>
      </c>
      <c r="C130">
        <v>19.399999999999999</v>
      </c>
      <c r="D130">
        <v>1.2500000000000001E-2</v>
      </c>
      <c r="E130">
        <v>1</v>
      </c>
      <c r="F130">
        <v>2</v>
      </c>
      <c r="G130">
        <f t="shared" ref="G130:G193" si="2">(C130*(E130/D130)*F130)</f>
        <v>3104</v>
      </c>
      <c r="N130" t="s">
        <v>374</v>
      </c>
      <c r="O130" t="s">
        <v>375</v>
      </c>
      <c r="P130" t="s">
        <v>376</v>
      </c>
      <c r="Q130" t="s">
        <v>377</v>
      </c>
      <c r="R130" t="s">
        <v>378</v>
      </c>
      <c r="S130" t="s">
        <v>379</v>
      </c>
      <c r="T130" t="s">
        <v>380</v>
      </c>
      <c r="U130" t="s">
        <v>381</v>
      </c>
      <c r="V130" t="s">
        <v>384</v>
      </c>
      <c r="W130" t="s">
        <v>385</v>
      </c>
    </row>
    <row r="131" spans="1:28" x14ac:dyDescent="0.45">
      <c r="A131" s="5" t="s">
        <v>138</v>
      </c>
      <c r="B131" t="s">
        <v>139</v>
      </c>
      <c r="C131">
        <v>16</v>
      </c>
      <c r="D131">
        <v>1.7000000000000001E-2</v>
      </c>
      <c r="E131">
        <v>1</v>
      </c>
      <c r="F131">
        <v>2</v>
      </c>
      <c r="G131">
        <f t="shared" si="2"/>
        <v>1882.3529411764705</v>
      </c>
      <c r="M131" t="s">
        <v>382</v>
      </c>
      <c r="N131">
        <f>H134</f>
        <v>1839.9093275346447</v>
      </c>
      <c r="O131">
        <f>H146</f>
        <v>1371.7173997223347</v>
      </c>
      <c r="P131">
        <f>H158</f>
        <v>2089.2190259624608</v>
      </c>
      <c r="Q131">
        <f>H170</f>
        <v>1239.0881688051302</v>
      </c>
      <c r="R131">
        <f>H182</f>
        <v>1191.259260755686</v>
      </c>
      <c r="S131">
        <f>H194</f>
        <v>1335.2461835790507</v>
      </c>
      <c r="T131">
        <f>H206</f>
        <v>1990.0568672647785</v>
      </c>
      <c r="U131">
        <f>H218</f>
        <v>1679.4835762060977</v>
      </c>
      <c r="V131">
        <f>H230</f>
        <v>882.48552763973157</v>
      </c>
      <c r="W131">
        <f>H242</f>
        <v>968.40842056556266</v>
      </c>
    </row>
    <row r="132" spans="1:28" x14ac:dyDescent="0.45">
      <c r="A132" s="5" t="s">
        <v>140</v>
      </c>
      <c r="B132" t="s">
        <v>141</v>
      </c>
      <c r="C132">
        <v>8.1</v>
      </c>
      <c r="D132">
        <v>2.12E-2</v>
      </c>
      <c r="E132">
        <v>1</v>
      </c>
      <c r="F132">
        <v>2</v>
      </c>
      <c r="G132">
        <f t="shared" si="2"/>
        <v>764.15094339622635</v>
      </c>
      <c r="M132" t="s">
        <v>131</v>
      </c>
      <c r="N132">
        <f>I134</f>
        <v>322.42419212303253</v>
      </c>
      <c r="O132">
        <f>I146</f>
        <v>145.34780685277585</v>
      </c>
      <c r="P132">
        <f>I158</f>
        <v>276.19941216255745</v>
      </c>
      <c r="Q132">
        <f>I170</f>
        <v>99.46661998591</v>
      </c>
      <c r="R132">
        <f>I182</f>
        <v>115.15116345493738</v>
      </c>
      <c r="S132">
        <f>I194</f>
        <v>58.56126328618798</v>
      </c>
      <c r="T132">
        <f>I206</f>
        <v>185.43228853554581</v>
      </c>
      <c r="U132">
        <f>I218</f>
        <v>174.94486775701168</v>
      </c>
      <c r="V132">
        <f>I230</f>
        <v>99.404724942132376</v>
      </c>
      <c r="W132">
        <f>I242</f>
        <v>101.11260183883766</v>
      </c>
    </row>
    <row r="133" spans="1:28" x14ac:dyDescent="0.45">
      <c r="A133" s="5" t="s">
        <v>142</v>
      </c>
      <c r="B133" t="s">
        <v>143</v>
      </c>
      <c r="C133">
        <v>14.1</v>
      </c>
      <c r="D133">
        <v>1.29E-2</v>
      </c>
      <c r="E133">
        <v>1</v>
      </c>
      <c r="F133">
        <v>2</v>
      </c>
      <c r="G133">
        <f t="shared" si="2"/>
        <v>2186.046511627907</v>
      </c>
      <c r="M133" t="s">
        <v>383</v>
      </c>
      <c r="N133">
        <f>H146</f>
        <v>1371.7173997223347</v>
      </c>
      <c r="O133">
        <f>H152</f>
        <v>1830.7547064930141</v>
      </c>
      <c r="P133">
        <f>H164</f>
        <v>1282.2480108544094</v>
      </c>
      <c r="Q133">
        <f>H176</f>
        <v>1388.2190843713179</v>
      </c>
      <c r="R133">
        <f>H188</f>
        <v>1260.0400209831723</v>
      </c>
      <c r="S133">
        <f>H200</f>
        <v>1405.3192594527318</v>
      </c>
      <c r="T133">
        <f>H212</f>
        <v>1633.2954962294295</v>
      </c>
      <c r="U133">
        <f>H224</f>
        <v>1100.74672189884</v>
      </c>
      <c r="V133">
        <f>H236</f>
        <v>883.00728109928298</v>
      </c>
      <c r="W133">
        <f>H248</f>
        <v>952.11423987626006</v>
      </c>
    </row>
    <row r="134" spans="1:28" x14ac:dyDescent="0.45">
      <c r="A134" s="5" t="s">
        <v>144</v>
      </c>
      <c r="B134" t="s">
        <v>145</v>
      </c>
      <c r="C134">
        <v>5.7</v>
      </c>
      <c r="D134">
        <v>8.3999999999999995E-3</v>
      </c>
      <c r="E134">
        <v>1</v>
      </c>
      <c r="F134">
        <v>2</v>
      </c>
      <c r="G134">
        <f t="shared" si="2"/>
        <v>1357.1428571428571</v>
      </c>
      <c r="H134">
        <f>AVERAGE(G129:G134)</f>
        <v>1839.9093275346447</v>
      </c>
      <c r="I134">
        <f>STDEV(G129:G134)/SQRT(6)</f>
        <v>322.42419212303253</v>
      </c>
      <c r="M134" t="s">
        <v>131</v>
      </c>
      <c r="N134">
        <f>I140</f>
        <v>403.5264640819446</v>
      </c>
      <c r="O134">
        <f>I152</f>
        <v>179.16540835118622</v>
      </c>
      <c r="P134">
        <f>I164</f>
        <v>150.80206495970563</v>
      </c>
      <c r="Q134">
        <f>I176</f>
        <v>207.99237978192841</v>
      </c>
      <c r="R134">
        <f>I188</f>
        <v>152.29285630602794</v>
      </c>
      <c r="S134">
        <f>I200</f>
        <v>202.87561566895667</v>
      </c>
      <c r="T134">
        <f>I212</f>
        <v>229.12195221561387</v>
      </c>
      <c r="U134">
        <f>I224</f>
        <v>112.78625755349775</v>
      </c>
      <c r="V134">
        <f>I236</f>
        <v>202.60553760969248</v>
      </c>
      <c r="W134">
        <f>I248</f>
        <v>190.53671054642686</v>
      </c>
    </row>
    <row r="135" spans="1:28" x14ac:dyDescent="0.45">
      <c r="A135" s="5" t="s">
        <v>146</v>
      </c>
      <c r="B135" t="s">
        <v>147</v>
      </c>
      <c r="C135">
        <v>7.2</v>
      </c>
      <c r="D135">
        <v>1.0999999999999999E-2</v>
      </c>
      <c r="E135">
        <v>1</v>
      </c>
      <c r="F135">
        <v>2</v>
      </c>
      <c r="G135">
        <f t="shared" si="2"/>
        <v>1309.0909090909092</v>
      </c>
    </row>
    <row r="136" spans="1:28" x14ac:dyDescent="0.45">
      <c r="A136" s="5" t="s">
        <v>148</v>
      </c>
      <c r="B136" t="s">
        <v>149</v>
      </c>
      <c r="C136">
        <v>7.5</v>
      </c>
      <c r="D136">
        <v>6.4000000000000003E-3</v>
      </c>
      <c r="E136">
        <v>1</v>
      </c>
      <c r="F136">
        <v>2</v>
      </c>
      <c r="G136">
        <f t="shared" si="2"/>
        <v>2343.75</v>
      </c>
    </row>
    <row r="137" spans="1:28" x14ac:dyDescent="0.45">
      <c r="A137" s="5" t="s">
        <v>150</v>
      </c>
      <c r="B137" t="s">
        <v>151</v>
      </c>
      <c r="C137">
        <v>24.2</v>
      </c>
      <c r="D137">
        <v>1.46E-2</v>
      </c>
      <c r="E137">
        <v>1</v>
      </c>
      <c r="F137">
        <v>2</v>
      </c>
      <c r="G137">
        <f t="shared" si="2"/>
        <v>3315.0684931506848</v>
      </c>
      <c r="U137" t="s">
        <v>740</v>
      </c>
      <c r="V137" t="s">
        <v>726</v>
      </c>
      <c r="W137" t="s">
        <v>727</v>
      </c>
      <c r="X137" t="s">
        <v>741</v>
      </c>
      <c r="Y137" t="s">
        <v>742</v>
      </c>
      <c r="Z137" t="s">
        <v>723</v>
      </c>
      <c r="AA137" t="s">
        <v>728</v>
      </c>
      <c r="AB137" t="s">
        <v>743</v>
      </c>
    </row>
    <row r="138" spans="1:28" x14ac:dyDescent="0.45">
      <c r="A138" s="5" t="s">
        <v>152</v>
      </c>
      <c r="B138" t="s">
        <v>153</v>
      </c>
      <c r="C138">
        <v>19.7</v>
      </c>
      <c r="D138">
        <v>1.29E-2</v>
      </c>
      <c r="E138">
        <v>1</v>
      </c>
      <c r="F138">
        <v>2</v>
      </c>
      <c r="G138">
        <f t="shared" si="2"/>
        <v>3054.2635658914728</v>
      </c>
      <c r="U138" t="s">
        <v>729</v>
      </c>
      <c r="V138">
        <v>6</v>
      </c>
      <c r="W138">
        <v>6</v>
      </c>
      <c r="X138">
        <v>2034.19972640219</v>
      </c>
      <c r="Y138">
        <v>2699.0067829457398</v>
      </c>
      <c r="Z138">
        <v>0.81018123641047401</v>
      </c>
      <c r="AA138" t="s">
        <v>744</v>
      </c>
      <c r="AB138" t="s">
        <v>724</v>
      </c>
    </row>
    <row r="139" spans="1:28" x14ac:dyDescent="0.45">
      <c r="A139" s="5" t="s">
        <v>154</v>
      </c>
      <c r="B139" t="s">
        <v>155</v>
      </c>
      <c r="C139">
        <v>17.399999999999999</v>
      </c>
      <c r="D139">
        <v>9.1999999999999998E-3</v>
      </c>
      <c r="E139">
        <v>1</v>
      </c>
      <c r="F139">
        <v>2</v>
      </c>
      <c r="G139">
        <f t="shared" si="2"/>
        <v>3782.6086956521735</v>
      </c>
      <c r="U139" t="s">
        <v>730</v>
      </c>
      <c r="V139">
        <v>6</v>
      </c>
      <c r="W139">
        <v>6</v>
      </c>
      <c r="X139">
        <v>1343.42177998894</v>
      </c>
      <c r="Y139">
        <v>1677.51024590164</v>
      </c>
      <c r="Z139">
        <v>0.17348546832147799</v>
      </c>
      <c r="AA139" t="s">
        <v>744</v>
      </c>
      <c r="AB139" t="s">
        <v>724</v>
      </c>
    </row>
    <row r="140" spans="1:28" ht="14.65" thickBot="1" x14ac:dyDescent="0.5">
      <c r="A140" s="6" t="s">
        <v>156</v>
      </c>
      <c r="B140" s="3" t="s">
        <v>157</v>
      </c>
      <c r="C140">
        <v>8.6</v>
      </c>
      <c r="D140" s="9">
        <v>1.09E-2</v>
      </c>
      <c r="E140" s="9">
        <v>1</v>
      </c>
      <c r="F140" s="9">
        <v>2</v>
      </c>
      <c r="G140" s="9">
        <f t="shared" si="2"/>
        <v>1577.9816513761468</v>
      </c>
      <c r="H140" s="9">
        <f>AVERAGE(G135:G140)</f>
        <v>2563.7938858602315</v>
      </c>
      <c r="I140" s="9">
        <f>STDEV(G135:G140)/SQRT(6)</f>
        <v>403.5264640819446</v>
      </c>
      <c r="U140" t="s">
        <v>731</v>
      </c>
      <c r="V140">
        <v>6</v>
      </c>
      <c r="W140">
        <v>6</v>
      </c>
      <c r="X140">
        <v>2043.4996072270201</v>
      </c>
      <c r="Y140">
        <v>1249.8667022127399</v>
      </c>
      <c r="Z140">
        <v>3.06389879377033E-2</v>
      </c>
      <c r="AA140" t="s">
        <v>744</v>
      </c>
      <c r="AB140" t="s">
        <v>725</v>
      </c>
    </row>
    <row r="141" spans="1:28" x14ac:dyDescent="0.45">
      <c r="A141" s="5" t="s">
        <v>158</v>
      </c>
      <c r="B141" t="s">
        <v>159</v>
      </c>
      <c r="C141">
        <v>8.1999999999999993</v>
      </c>
      <c r="D141">
        <v>1.34E-2</v>
      </c>
      <c r="E141">
        <v>1</v>
      </c>
      <c r="F141">
        <v>2</v>
      </c>
      <c r="G141">
        <f t="shared" si="2"/>
        <v>1223.8805970149253</v>
      </c>
      <c r="U141" t="s">
        <v>732</v>
      </c>
      <c r="V141">
        <v>6</v>
      </c>
      <c r="W141">
        <v>6</v>
      </c>
      <c r="X141">
        <v>1150.8010062226899</v>
      </c>
      <c r="Y141">
        <v>1241.2280701754401</v>
      </c>
      <c r="Z141">
        <v>0.57517353192019705</v>
      </c>
      <c r="AA141" t="s">
        <v>744</v>
      </c>
      <c r="AB141" t="s">
        <v>724</v>
      </c>
    </row>
    <row r="142" spans="1:28" x14ac:dyDescent="0.45">
      <c r="A142" s="5" t="s">
        <v>160</v>
      </c>
      <c r="B142" t="s">
        <v>161</v>
      </c>
      <c r="C142">
        <v>6.9</v>
      </c>
      <c r="D142">
        <v>1.2999999999999999E-2</v>
      </c>
      <c r="E142">
        <v>1</v>
      </c>
      <c r="F142">
        <v>2</v>
      </c>
      <c r="G142">
        <f t="shared" si="2"/>
        <v>1061.5384615384617</v>
      </c>
      <c r="U142" t="s">
        <v>733</v>
      </c>
      <c r="V142">
        <v>6</v>
      </c>
      <c r="W142">
        <v>6</v>
      </c>
      <c r="X142">
        <v>1080.6497577657501</v>
      </c>
      <c r="Y142">
        <v>1111.79487179487</v>
      </c>
      <c r="Z142">
        <v>0.81018123641047401</v>
      </c>
      <c r="AA142" t="s">
        <v>744</v>
      </c>
      <c r="AB142" t="s">
        <v>724</v>
      </c>
    </row>
    <row r="143" spans="1:28" x14ac:dyDescent="0.45">
      <c r="A143" s="5" t="s">
        <v>162</v>
      </c>
      <c r="B143" t="s">
        <v>163</v>
      </c>
      <c r="C143">
        <v>10.3</v>
      </c>
      <c r="D143">
        <v>1.21E-2</v>
      </c>
      <c r="E143">
        <v>1</v>
      </c>
      <c r="F143">
        <v>2</v>
      </c>
      <c r="G143">
        <f t="shared" si="2"/>
        <v>1702.4793388429755</v>
      </c>
      <c r="U143" t="s">
        <v>734</v>
      </c>
      <c r="V143">
        <v>6</v>
      </c>
      <c r="W143">
        <v>6</v>
      </c>
      <c r="X143">
        <v>1392.4525050618199</v>
      </c>
      <c r="Y143">
        <v>1519.7676434888201</v>
      </c>
      <c r="Z143">
        <v>0.29795306160816798</v>
      </c>
      <c r="AA143" t="s">
        <v>744</v>
      </c>
      <c r="AB143" t="s">
        <v>724</v>
      </c>
    </row>
    <row r="144" spans="1:28" x14ac:dyDescent="0.45">
      <c r="A144" s="5" t="s">
        <v>164</v>
      </c>
      <c r="B144" t="s">
        <v>165</v>
      </c>
      <c r="C144">
        <v>7.9</v>
      </c>
      <c r="D144">
        <v>1.0800000000000001E-2</v>
      </c>
      <c r="E144">
        <v>1</v>
      </c>
      <c r="F144">
        <v>2</v>
      </c>
      <c r="G144">
        <f t="shared" si="2"/>
        <v>1462.9629629629628</v>
      </c>
      <c r="U144" t="s">
        <v>735</v>
      </c>
      <c r="V144">
        <v>6</v>
      </c>
      <c r="W144">
        <v>6</v>
      </c>
      <c r="X144">
        <v>2033.6001300125899</v>
      </c>
      <c r="Y144">
        <v>1829.4956140350901</v>
      </c>
      <c r="Z144">
        <v>0.29795306160816798</v>
      </c>
      <c r="AA144" t="s">
        <v>744</v>
      </c>
      <c r="AB144" t="s">
        <v>724</v>
      </c>
    </row>
    <row r="145" spans="1:28" x14ac:dyDescent="0.45">
      <c r="A145" s="5" t="s">
        <v>166</v>
      </c>
      <c r="B145" t="s">
        <v>167</v>
      </c>
      <c r="C145">
        <v>14.5</v>
      </c>
      <c r="D145">
        <v>1.5800000000000002E-2</v>
      </c>
      <c r="E145">
        <v>1</v>
      </c>
      <c r="F145">
        <v>2</v>
      </c>
      <c r="G145">
        <f t="shared" si="2"/>
        <v>1835.4430379746834</v>
      </c>
      <c r="U145" t="s">
        <v>736</v>
      </c>
      <c r="V145">
        <v>6</v>
      </c>
      <c r="W145">
        <v>6</v>
      </c>
      <c r="X145">
        <v>1754.99618611747</v>
      </c>
      <c r="Y145">
        <v>1045.9671907040299</v>
      </c>
      <c r="Z145">
        <v>3.06389879377033E-2</v>
      </c>
      <c r="AA145" t="s">
        <v>744</v>
      </c>
      <c r="AB145" t="s">
        <v>725</v>
      </c>
    </row>
    <row r="146" spans="1:28" x14ac:dyDescent="0.45">
      <c r="A146" s="5" t="s">
        <v>168</v>
      </c>
      <c r="B146" t="s">
        <v>169</v>
      </c>
      <c r="C146">
        <v>5.9</v>
      </c>
      <c r="D146">
        <v>1.2500000000000001E-2</v>
      </c>
      <c r="E146">
        <v>1</v>
      </c>
      <c r="F146">
        <v>2</v>
      </c>
      <c r="G146">
        <f t="shared" si="2"/>
        <v>944</v>
      </c>
      <c r="H146">
        <f>AVERAGE(G141:G146)</f>
        <v>1371.7173997223347</v>
      </c>
      <c r="I146">
        <f>STDEV(G141:G146)/SQRT(6)</f>
        <v>145.34780685277585</v>
      </c>
      <c r="U146" t="s">
        <v>737</v>
      </c>
      <c r="V146">
        <v>6</v>
      </c>
      <c r="W146">
        <v>6</v>
      </c>
      <c r="X146">
        <v>875.10137875101395</v>
      </c>
      <c r="Y146">
        <v>666.95720386995504</v>
      </c>
      <c r="Z146">
        <v>0.378477593244679</v>
      </c>
      <c r="AA146" t="s">
        <v>744</v>
      </c>
      <c r="AB146" t="s">
        <v>724</v>
      </c>
    </row>
    <row r="147" spans="1:28" x14ac:dyDescent="0.45">
      <c r="A147" s="5" t="s">
        <v>170</v>
      </c>
      <c r="B147" t="s">
        <v>171</v>
      </c>
      <c r="C147">
        <v>9.6</v>
      </c>
      <c r="D147">
        <v>1.2200000000000001E-2</v>
      </c>
      <c r="E147">
        <v>1</v>
      </c>
      <c r="F147">
        <v>2</v>
      </c>
      <c r="G147">
        <f t="shared" si="2"/>
        <v>1573.7704918032784</v>
      </c>
      <c r="U147" t="s">
        <v>738</v>
      </c>
      <c r="V147">
        <v>6</v>
      </c>
      <c r="W147">
        <v>6</v>
      </c>
      <c r="X147">
        <v>887.77406168710502</v>
      </c>
      <c r="Y147">
        <v>794.73449352967395</v>
      </c>
      <c r="Z147">
        <v>0.93618629347305904</v>
      </c>
      <c r="AA147" t="s">
        <v>744</v>
      </c>
      <c r="AB147" t="s">
        <v>724</v>
      </c>
    </row>
    <row r="148" spans="1:28" x14ac:dyDescent="0.45">
      <c r="A148" s="5" t="s">
        <v>172</v>
      </c>
      <c r="B148" t="s">
        <v>173</v>
      </c>
      <c r="C148">
        <v>9</v>
      </c>
      <c r="D148">
        <v>1.26E-2</v>
      </c>
      <c r="E148">
        <v>1</v>
      </c>
      <c r="F148">
        <v>2</v>
      </c>
      <c r="G148">
        <f t="shared" si="2"/>
        <v>1428.5714285714287</v>
      </c>
    </row>
    <row r="149" spans="1:28" x14ac:dyDescent="0.45">
      <c r="A149" s="5" t="s">
        <v>174</v>
      </c>
      <c r="B149" t="s">
        <v>175</v>
      </c>
      <c r="C149">
        <v>14.1</v>
      </c>
      <c r="D149">
        <v>1.17E-2</v>
      </c>
      <c r="E149">
        <v>1</v>
      </c>
      <c r="F149">
        <v>2</v>
      </c>
      <c r="G149">
        <f t="shared" si="2"/>
        <v>2410.2564102564102</v>
      </c>
    </row>
    <row r="150" spans="1:28" x14ac:dyDescent="0.45">
      <c r="A150" s="5" t="s">
        <v>176</v>
      </c>
      <c r="B150" t="s">
        <v>177</v>
      </c>
      <c r="C150">
        <v>10.4</v>
      </c>
      <c r="D150">
        <v>1.43E-2</v>
      </c>
      <c r="E150">
        <v>1</v>
      </c>
      <c r="F150">
        <v>2</v>
      </c>
      <c r="G150">
        <f t="shared" si="2"/>
        <v>1454.5454545454547</v>
      </c>
    </row>
    <row r="151" spans="1:28" x14ac:dyDescent="0.45">
      <c r="A151" s="5" t="s">
        <v>178</v>
      </c>
      <c r="B151" t="s">
        <v>179</v>
      </c>
      <c r="C151">
        <v>13.9</v>
      </c>
      <c r="D151">
        <v>1.1900000000000001E-2</v>
      </c>
      <c r="E151">
        <v>1</v>
      </c>
      <c r="F151">
        <v>2</v>
      </c>
      <c r="G151">
        <f t="shared" si="2"/>
        <v>2336.1344537815125</v>
      </c>
    </row>
    <row r="152" spans="1:28" ht="14.65" thickBot="1" x14ac:dyDescent="0.5">
      <c r="A152" s="6" t="s">
        <v>180</v>
      </c>
      <c r="B152" s="3" t="s">
        <v>181</v>
      </c>
      <c r="C152">
        <v>11.4</v>
      </c>
      <c r="D152" s="9">
        <v>1.2800000000000001E-2</v>
      </c>
      <c r="E152" s="9">
        <v>1</v>
      </c>
      <c r="F152" s="9">
        <v>2</v>
      </c>
      <c r="G152" s="9">
        <f t="shared" si="2"/>
        <v>1781.25</v>
      </c>
      <c r="H152" s="9">
        <f>AVERAGE(G147:G152)</f>
        <v>1830.7547064930141</v>
      </c>
      <c r="I152" s="9">
        <f>STDEV(G147:G152)/SQRT(6)</f>
        <v>179.16540835118622</v>
      </c>
    </row>
    <row r="153" spans="1:28" x14ac:dyDescent="0.45">
      <c r="A153" s="4" t="s">
        <v>182</v>
      </c>
      <c r="B153" t="s">
        <v>183</v>
      </c>
      <c r="C153">
        <v>19.899999999999999</v>
      </c>
      <c r="D153">
        <v>1.4999999999999999E-2</v>
      </c>
      <c r="E153">
        <v>1</v>
      </c>
      <c r="F153">
        <v>2</v>
      </c>
      <c r="G153">
        <f t="shared" si="2"/>
        <v>2653.3333333333335</v>
      </c>
    </row>
    <row r="154" spans="1:28" x14ac:dyDescent="0.45">
      <c r="A154" s="5" t="s">
        <v>184</v>
      </c>
      <c r="B154" t="s">
        <v>185</v>
      </c>
      <c r="C154">
        <v>13.6</v>
      </c>
      <c r="D154">
        <v>1.7299999999999999E-2</v>
      </c>
      <c r="E154">
        <v>1</v>
      </c>
      <c r="F154">
        <v>2</v>
      </c>
      <c r="G154">
        <f t="shared" si="2"/>
        <v>1572.2543352601156</v>
      </c>
    </row>
    <row r="155" spans="1:28" x14ac:dyDescent="0.45">
      <c r="A155" s="5" t="s">
        <v>186</v>
      </c>
      <c r="B155" t="s">
        <v>187</v>
      </c>
      <c r="C155">
        <v>13.3</v>
      </c>
      <c r="D155">
        <v>8.8000000000000005E-3</v>
      </c>
      <c r="E155">
        <v>1</v>
      </c>
      <c r="F155">
        <v>2</v>
      </c>
      <c r="G155">
        <f t="shared" si="2"/>
        <v>3022.7272727272725</v>
      </c>
    </row>
    <row r="156" spans="1:28" x14ac:dyDescent="0.45">
      <c r="A156" s="5" t="s">
        <v>188</v>
      </c>
      <c r="B156" t="s">
        <v>189</v>
      </c>
      <c r="C156">
        <v>4.5</v>
      </c>
      <c r="D156">
        <v>7.4999999999999997E-3</v>
      </c>
      <c r="E156">
        <v>1</v>
      </c>
      <c r="F156">
        <v>2</v>
      </c>
      <c r="G156">
        <f t="shared" si="2"/>
        <v>1200</v>
      </c>
    </row>
    <row r="157" spans="1:28" x14ac:dyDescent="0.45">
      <c r="A157" s="5" t="s">
        <v>190</v>
      </c>
      <c r="B157" t="s">
        <v>191</v>
      </c>
      <c r="C157">
        <v>14.6</v>
      </c>
      <c r="D157">
        <v>1.34E-2</v>
      </c>
      <c r="E157">
        <v>1</v>
      </c>
      <c r="F157">
        <v>2</v>
      </c>
      <c r="G157">
        <f t="shared" si="2"/>
        <v>2179.1044776119402</v>
      </c>
    </row>
    <row r="158" spans="1:28" x14ac:dyDescent="0.45">
      <c r="A158" s="5" t="s">
        <v>192</v>
      </c>
      <c r="B158" t="s">
        <v>193</v>
      </c>
      <c r="C158">
        <v>14.5</v>
      </c>
      <c r="D158">
        <v>1.52E-2</v>
      </c>
      <c r="E158">
        <v>1</v>
      </c>
      <c r="F158">
        <v>2</v>
      </c>
      <c r="G158">
        <f t="shared" si="2"/>
        <v>1907.894736842105</v>
      </c>
      <c r="H158">
        <f>AVERAGE(G153:G158)</f>
        <v>2089.2190259624608</v>
      </c>
      <c r="I158">
        <f>STDEV(G153:G158)/SQRT(6)</f>
        <v>276.19941216255745</v>
      </c>
    </row>
    <row r="159" spans="1:28" x14ac:dyDescent="0.45">
      <c r="A159" s="5" t="s">
        <v>194</v>
      </c>
      <c r="B159" t="s">
        <v>195</v>
      </c>
      <c r="C159">
        <v>9</v>
      </c>
      <c r="D159">
        <v>1.2E-2</v>
      </c>
      <c r="E159">
        <v>1</v>
      </c>
      <c r="F159">
        <v>2</v>
      </c>
      <c r="G159">
        <f t="shared" si="2"/>
        <v>1500</v>
      </c>
    </row>
    <row r="160" spans="1:28" x14ac:dyDescent="0.45">
      <c r="A160" s="5" t="s">
        <v>196</v>
      </c>
      <c r="B160" t="s">
        <v>197</v>
      </c>
      <c r="C160">
        <v>8</v>
      </c>
      <c r="D160">
        <v>1.21E-2</v>
      </c>
      <c r="E160">
        <v>1</v>
      </c>
      <c r="F160">
        <v>2</v>
      </c>
      <c r="G160">
        <f t="shared" si="2"/>
        <v>1322.3140495867769</v>
      </c>
    </row>
    <row r="161" spans="1:9" x14ac:dyDescent="0.45">
      <c r="A161" s="5" t="s">
        <v>198</v>
      </c>
      <c r="B161" t="s">
        <v>199</v>
      </c>
      <c r="C161">
        <v>7.3</v>
      </c>
      <c r="D161">
        <v>1.24E-2</v>
      </c>
      <c r="E161">
        <v>1</v>
      </c>
      <c r="F161">
        <v>2</v>
      </c>
      <c r="G161">
        <f t="shared" si="2"/>
        <v>1177.4193548387095</v>
      </c>
    </row>
    <row r="162" spans="1:9" x14ac:dyDescent="0.45">
      <c r="A162" s="5" t="s">
        <v>200</v>
      </c>
      <c r="B162" t="s">
        <v>201</v>
      </c>
      <c r="C162">
        <v>6.1</v>
      </c>
      <c r="D162">
        <v>1.44E-2</v>
      </c>
      <c r="E162">
        <v>1</v>
      </c>
      <c r="F162">
        <v>2</v>
      </c>
      <c r="G162">
        <f t="shared" si="2"/>
        <v>847.22222222222217</v>
      </c>
    </row>
    <row r="163" spans="1:9" x14ac:dyDescent="0.45">
      <c r="A163" s="5" t="s">
        <v>202</v>
      </c>
      <c r="B163" t="s">
        <v>203</v>
      </c>
      <c r="C163">
        <v>12.6</v>
      </c>
      <c r="D163">
        <v>1.35E-2</v>
      </c>
      <c r="E163">
        <v>1</v>
      </c>
      <c r="F163">
        <v>2</v>
      </c>
      <c r="G163">
        <f t="shared" si="2"/>
        <v>1866.6666666666667</v>
      </c>
    </row>
    <row r="164" spans="1:9" ht="14.65" thickBot="1" x14ac:dyDescent="0.5">
      <c r="A164" s="6" t="s">
        <v>204</v>
      </c>
      <c r="B164" s="3" t="s">
        <v>205</v>
      </c>
      <c r="C164">
        <v>7.3</v>
      </c>
      <c r="D164" s="9">
        <v>1.49E-2</v>
      </c>
      <c r="E164" s="9">
        <v>1</v>
      </c>
      <c r="F164" s="9">
        <v>2</v>
      </c>
      <c r="G164" s="9">
        <f t="shared" si="2"/>
        <v>979.86577181208054</v>
      </c>
      <c r="H164" s="9">
        <f>AVERAGE(G159:G164)</f>
        <v>1282.2480108544094</v>
      </c>
      <c r="I164" s="9">
        <f>STDEV(G159:G164)/SQRT(6)</f>
        <v>150.80206495970563</v>
      </c>
    </row>
    <row r="165" spans="1:9" x14ac:dyDescent="0.45">
      <c r="A165" s="4" t="s">
        <v>206</v>
      </c>
      <c r="B165" t="s">
        <v>207</v>
      </c>
      <c r="C165">
        <v>9.8000000000000007</v>
      </c>
      <c r="D165">
        <v>1.66E-2</v>
      </c>
      <c r="E165">
        <v>1</v>
      </c>
      <c r="F165">
        <v>2</v>
      </c>
      <c r="G165">
        <f t="shared" si="2"/>
        <v>1180.7228915662652</v>
      </c>
    </row>
    <row r="166" spans="1:9" x14ac:dyDescent="0.45">
      <c r="A166" s="5" t="s">
        <v>208</v>
      </c>
      <c r="B166" t="s">
        <v>209</v>
      </c>
      <c r="C166">
        <v>9.8000000000000007</v>
      </c>
      <c r="D166">
        <v>1.8100000000000002E-2</v>
      </c>
      <c r="E166">
        <v>1</v>
      </c>
      <c r="F166">
        <v>2</v>
      </c>
      <c r="G166">
        <f t="shared" si="2"/>
        <v>1082.8729281767955</v>
      </c>
    </row>
    <row r="167" spans="1:9" x14ac:dyDescent="0.45">
      <c r="A167" s="5" t="s">
        <v>210</v>
      </c>
      <c r="B167" t="s">
        <v>211</v>
      </c>
      <c r="C167">
        <v>12</v>
      </c>
      <c r="D167">
        <v>1.5699999999999999E-2</v>
      </c>
      <c r="E167">
        <v>1</v>
      </c>
      <c r="F167">
        <v>2</v>
      </c>
      <c r="G167">
        <f t="shared" si="2"/>
        <v>1528.6624203821657</v>
      </c>
    </row>
    <row r="168" spans="1:9" x14ac:dyDescent="0.45">
      <c r="A168" s="5" t="s">
        <v>212</v>
      </c>
      <c r="B168" t="s">
        <v>213</v>
      </c>
      <c r="C168">
        <v>10.199999999999999</v>
      </c>
      <c r="D168">
        <v>1.8200000000000001E-2</v>
      </c>
      <c r="E168">
        <v>1</v>
      </c>
      <c r="F168">
        <v>2</v>
      </c>
      <c r="G168">
        <f t="shared" si="2"/>
        <v>1120.8791208791208</v>
      </c>
    </row>
    <row r="169" spans="1:9" x14ac:dyDescent="0.45">
      <c r="A169" s="5" t="s">
        <v>214</v>
      </c>
      <c r="B169" t="s">
        <v>215</v>
      </c>
      <c r="C169">
        <v>11.1</v>
      </c>
      <c r="D169">
        <v>1.43E-2</v>
      </c>
      <c r="E169">
        <v>1</v>
      </c>
      <c r="F169">
        <v>2</v>
      </c>
      <c r="G169">
        <f t="shared" si="2"/>
        <v>1552.4475524475524</v>
      </c>
    </row>
    <row r="170" spans="1:9" x14ac:dyDescent="0.45">
      <c r="A170" s="5" t="s">
        <v>216</v>
      </c>
      <c r="B170" t="s">
        <v>217</v>
      </c>
      <c r="C170">
        <v>7.8</v>
      </c>
      <c r="D170">
        <v>1.61E-2</v>
      </c>
      <c r="E170">
        <v>1</v>
      </c>
      <c r="F170">
        <v>2</v>
      </c>
      <c r="G170">
        <f t="shared" si="2"/>
        <v>968.94409937888202</v>
      </c>
      <c r="H170">
        <f>AVERAGE(G165:G170)</f>
        <v>1239.0881688051302</v>
      </c>
      <c r="I170">
        <f>STDEV(G165:G170)/SQRT(6)</f>
        <v>99.46661998591</v>
      </c>
    </row>
    <row r="171" spans="1:9" x14ac:dyDescent="0.45">
      <c r="A171" s="5" t="s">
        <v>218</v>
      </c>
      <c r="B171" t="s">
        <v>219</v>
      </c>
      <c r="C171">
        <v>7.7</v>
      </c>
      <c r="D171">
        <v>1.32E-2</v>
      </c>
      <c r="E171">
        <v>1</v>
      </c>
      <c r="F171">
        <v>2</v>
      </c>
      <c r="G171">
        <f t="shared" si="2"/>
        <v>1166.6666666666667</v>
      </c>
    </row>
    <row r="172" spans="1:9" x14ac:dyDescent="0.45">
      <c r="A172" s="5" t="s">
        <v>220</v>
      </c>
      <c r="B172" t="s">
        <v>221</v>
      </c>
      <c r="C172">
        <v>4.8</v>
      </c>
      <c r="D172">
        <v>1.15E-2</v>
      </c>
      <c r="E172">
        <v>1</v>
      </c>
      <c r="F172">
        <v>2</v>
      </c>
      <c r="G172">
        <f t="shared" si="2"/>
        <v>834.78260869565213</v>
      </c>
    </row>
    <row r="173" spans="1:9" x14ac:dyDescent="0.45">
      <c r="A173" s="5" t="s">
        <v>222</v>
      </c>
      <c r="B173" t="s">
        <v>223</v>
      </c>
      <c r="C173">
        <v>15.8</v>
      </c>
      <c r="D173">
        <v>1.37E-2</v>
      </c>
      <c r="E173">
        <v>1</v>
      </c>
      <c r="F173">
        <v>2</v>
      </c>
      <c r="G173">
        <f t="shared" si="2"/>
        <v>2306.5693430656934</v>
      </c>
    </row>
    <row r="174" spans="1:9" x14ac:dyDescent="0.45">
      <c r="A174" s="5" t="s">
        <v>224</v>
      </c>
      <c r="B174" t="s">
        <v>225</v>
      </c>
      <c r="C174">
        <v>8.6</v>
      </c>
      <c r="D174">
        <v>1.5100000000000001E-2</v>
      </c>
      <c r="E174">
        <v>1</v>
      </c>
      <c r="F174">
        <v>2</v>
      </c>
      <c r="G174">
        <f t="shared" si="2"/>
        <v>1139.0728476821191</v>
      </c>
    </row>
    <row r="175" spans="1:9" x14ac:dyDescent="0.45">
      <c r="A175" s="5" t="s">
        <v>226</v>
      </c>
      <c r="B175" t="s">
        <v>227</v>
      </c>
      <c r="C175">
        <v>10</v>
      </c>
      <c r="D175">
        <v>1.52E-2</v>
      </c>
      <c r="E175">
        <v>1</v>
      </c>
      <c r="F175">
        <v>2</v>
      </c>
      <c r="G175">
        <f t="shared" si="2"/>
        <v>1315.7894736842104</v>
      </c>
    </row>
    <row r="176" spans="1:9" ht="14.65" thickBot="1" x14ac:dyDescent="0.5">
      <c r="A176" s="6" t="s">
        <v>228</v>
      </c>
      <c r="B176" s="3" t="s">
        <v>229</v>
      </c>
      <c r="C176">
        <v>11.2</v>
      </c>
      <c r="D176" s="9">
        <v>1.43E-2</v>
      </c>
      <c r="E176" s="9">
        <v>1</v>
      </c>
      <c r="F176" s="9">
        <v>2</v>
      </c>
      <c r="G176" s="9">
        <f t="shared" si="2"/>
        <v>1566.4335664335665</v>
      </c>
      <c r="H176" s="9">
        <f>AVERAGE(G171:G176)</f>
        <v>1388.2190843713179</v>
      </c>
      <c r="I176" s="9">
        <f>STDEV(G171:G176)/SQRT(6)</f>
        <v>207.99237978192841</v>
      </c>
    </row>
    <row r="177" spans="1:9" x14ac:dyDescent="0.45">
      <c r="A177" s="4" t="s">
        <v>230</v>
      </c>
      <c r="B177" t="s">
        <v>231</v>
      </c>
      <c r="C177">
        <v>10.8</v>
      </c>
      <c r="D177">
        <v>1.38E-2</v>
      </c>
      <c r="E177">
        <v>1</v>
      </c>
      <c r="F177">
        <v>2</v>
      </c>
      <c r="G177">
        <f t="shared" si="2"/>
        <v>1565.217391304348</v>
      </c>
    </row>
    <row r="178" spans="1:9" x14ac:dyDescent="0.45">
      <c r="A178" s="5" t="s">
        <v>232</v>
      </c>
      <c r="B178" t="s">
        <v>233</v>
      </c>
      <c r="C178">
        <v>8</v>
      </c>
      <c r="D178">
        <v>1.4500000000000001E-2</v>
      </c>
      <c r="E178">
        <v>1</v>
      </c>
      <c r="F178">
        <v>2</v>
      </c>
      <c r="G178">
        <f t="shared" si="2"/>
        <v>1103.4482758620688</v>
      </c>
    </row>
    <row r="179" spans="1:9" x14ac:dyDescent="0.45">
      <c r="A179" s="5" t="s">
        <v>234</v>
      </c>
      <c r="B179" t="s">
        <v>235</v>
      </c>
      <c r="C179">
        <v>12.4</v>
      </c>
      <c r="D179">
        <v>1.6299999999999999E-2</v>
      </c>
      <c r="E179">
        <v>1</v>
      </c>
      <c r="F179">
        <v>2</v>
      </c>
      <c r="G179">
        <f t="shared" si="2"/>
        <v>1521.472392638037</v>
      </c>
    </row>
    <row r="180" spans="1:9" x14ac:dyDescent="0.45">
      <c r="A180" s="5" t="s">
        <v>236</v>
      </c>
      <c r="B180" t="s">
        <v>237</v>
      </c>
      <c r="C180">
        <v>6.3</v>
      </c>
      <c r="D180">
        <v>1.2500000000000001E-2</v>
      </c>
      <c r="E180">
        <v>1</v>
      </c>
      <c r="F180">
        <v>2</v>
      </c>
      <c r="G180">
        <f t="shared" si="2"/>
        <v>1008</v>
      </c>
    </row>
    <row r="181" spans="1:9" x14ac:dyDescent="0.45">
      <c r="A181" s="5" t="s">
        <v>238</v>
      </c>
      <c r="B181" t="s">
        <v>239</v>
      </c>
      <c r="C181">
        <v>6.4</v>
      </c>
      <c r="D181">
        <v>1.21E-2</v>
      </c>
      <c r="E181">
        <v>1</v>
      </c>
      <c r="F181">
        <v>2</v>
      </c>
      <c r="G181">
        <f t="shared" si="2"/>
        <v>1057.8512396694216</v>
      </c>
    </row>
    <row r="182" spans="1:9" x14ac:dyDescent="0.45">
      <c r="A182" s="5" t="s">
        <v>240</v>
      </c>
      <c r="B182" t="s">
        <v>241</v>
      </c>
      <c r="C182">
        <v>7.4</v>
      </c>
      <c r="D182">
        <v>1.66E-2</v>
      </c>
      <c r="E182">
        <v>1</v>
      </c>
      <c r="F182">
        <v>2</v>
      </c>
      <c r="G182">
        <f t="shared" si="2"/>
        <v>891.56626506024099</v>
      </c>
      <c r="H182">
        <f>AVERAGE(G177:G182)</f>
        <v>1191.259260755686</v>
      </c>
      <c r="I182">
        <f>STDEV(G177:G182)/SQRT(6)</f>
        <v>115.15116345493738</v>
      </c>
    </row>
    <row r="183" spans="1:9" x14ac:dyDescent="0.45">
      <c r="A183" s="5" t="s">
        <v>242</v>
      </c>
      <c r="B183" t="s">
        <v>243</v>
      </c>
      <c r="C183">
        <v>11.8</v>
      </c>
      <c r="D183">
        <v>1.34E-2</v>
      </c>
      <c r="E183">
        <v>1</v>
      </c>
      <c r="F183">
        <v>2</v>
      </c>
      <c r="G183">
        <f t="shared" si="2"/>
        <v>1761.1940298507466</v>
      </c>
    </row>
    <row r="184" spans="1:9" x14ac:dyDescent="0.45">
      <c r="A184" s="5" t="s">
        <v>244</v>
      </c>
      <c r="B184" t="s">
        <v>245</v>
      </c>
      <c r="C184">
        <v>7.7</v>
      </c>
      <c r="D184">
        <v>1.55E-2</v>
      </c>
      <c r="E184">
        <v>1</v>
      </c>
      <c r="F184">
        <v>2</v>
      </c>
      <c r="G184">
        <f t="shared" si="2"/>
        <v>993.54838709677426</v>
      </c>
    </row>
    <row r="185" spans="1:9" x14ac:dyDescent="0.45">
      <c r="A185" s="5" t="s">
        <v>246</v>
      </c>
      <c r="B185" t="s">
        <v>247</v>
      </c>
      <c r="C185">
        <v>13.3</v>
      </c>
      <c r="D185">
        <v>1.5699999999999999E-2</v>
      </c>
      <c r="E185">
        <v>1</v>
      </c>
      <c r="F185">
        <v>2</v>
      </c>
      <c r="G185">
        <f t="shared" si="2"/>
        <v>1694.2675159235671</v>
      </c>
    </row>
    <row r="186" spans="1:9" x14ac:dyDescent="0.45">
      <c r="A186" s="5" t="s">
        <v>248</v>
      </c>
      <c r="B186" t="s">
        <v>249</v>
      </c>
      <c r="C186">
        <v>9.1</v>
      </c>
      <c r="D186">
        <v>1.6899999999999998E-2</v>
      </c>
      <c r="E186">
        <v>1</v>
      </c>
      <c r="F186">
        <v>2</v>
      </c>
      <c r="G186">
        <f t="shared" si="2"/>
        <v>1076.9230769230769</v>
      </c>
    </row>
    <row r="187" spans="1:9" x14ac:dyDescent="0.45">
      <c r="A187" s="5" t="s">
        <v>250</v>
      </c>
      <c r="B187" t="s">
        <v>251</v>
      </c>
      <c r="C187">
        <v>8.6</v>
      </c>
      <c r="D187">
        <v>1.4999999999999999E-2</v>
      </c>
      <c r="E187">
        <v>1</v>
      </c>
      <c r="F187">
        <v>2</v>
      </c>
      <c r="G187">
        <f t="shared" si="2"/>
        <v>1146.6666666666667</v>
      </c>
    </row>
    <row r="188" spans="1:9" ht="14.65" thickBot="1" x14ac:dyDescent="0.5">
      <c r="A188" s="6" t="s">
        <v>252</v>
      </c>
      <c r="B188" s="3" t="s">
        <v>253</v>
      </c>
      <c r="C188">
        <v>7.9</v>
      </c>
      <c r="D188" s="9">
        <v>1.78E-2</v>
      </c>
      <c r="E188" s="9">
        <v>1</v>
      </c>
      <c r="F188" s="9">
        <v>2</v>
      </c>
      <c r="G188" s="9">
        <f t="shared" si="2"/>
        <v>887.64044943820238</v>
      </c>
      <c r="H188" s="9">
        <f>AVERAGE(G183:G188)</f>
        <v>1260.0400209831723</v>
      </c>
      <c r="I188" s="9">
        <f>STDEV(G183:G188)/SQRT(6)</f>
        <v>152.29285630602794</v>
      </c>
    </row>
    <row r="189" spans="1:9" x14ac:dyDescent="0.45">
      <c r="A189" s="4" t="s">
        <v>254</v>
      </c>
      <c r="B189" t="s">
        <v>255</v>
      </c>
      <c r="C189">
        <v>9.6999999999999993</v>
      </c>
      <c r="D189">
        <v>1.3899999999999999E-2</v>
      </c>
      <c r="E189">
        <v>1</v>
      </c>
      <c r="F189">
        <v>2</v>
      </c>
      <c r="G189">
        <f t="shared" si="2"/>
        <v>1395.68345323741</v>
      </c>
    </row>
    <row r="190" spans="1:9" x14ac:dyDescent="0.45">
      <c r="A190" s="5" t="s">
        <v>256</v>
      </c>
      <c r="B190" t="s">
        <v>257</v>
      </c>
      <c r="C190">
        <v>9.3000000000000007</v>
      </c>
      <c r="D190">
        <v>1.72E-2</v>
      </c>
      <c r="E190">
        <v>1</v>
      </c>
      <c r="F190">
        <v>2</v>
      </c>
      <c r="G190">
        <f t="shared" si="2"/>
        <v>1081.3953488372092</v>
      </c>
    </row>
    <row r="191" spans="1:9" x14ac:dyDescent="0.45">
      <c r="A191" s="5" t="s">
        <v>258</v>
      </c>
      <c r="B191" t="s">
        <v>259</v>
      </c>
      <c r="C191">
        <v>12.3</v>
      </c>
      <c r="D191">
        <v>1.66E-2</v>
      </c>
      <c r="E191">
        <v>1</v>
      </c>
      <c r="F191">
        <v>2</v>
      </c>
      <c r="G191">
        <f t="shared" si="2"/>
        <v>1481.9277108433735</v>
      </c>
    </row>
    <row r="192" spans="1:9" x14ac:dyDescent="0.45">
      <c r="A192" s="5" t="s">
        <v>260</v>
      </c>
      <c r="B192" t="s">
        <v>261</v>
      </c>
      <c r="C192">
        <v>9.6999999999999993</v>
      </c>
      <c r="D192">
        <v>1.54E-2</v>
      </c>
      <c r="E192">
        <v>1</v>
      </c>
      <c r="F192">
        <v>2</v>
      </c>
      <c r="G192">
        <f t="shared" si="2"/>
        <v>1259.7402597402595</v>
      </c>
    </row>
    <row r="193" spans="1:9" x14ac:dyDescent="0.45">
      <c r="A193" s="5" t="s">
        <v>262</v>
      </c>
      <c r="B193" t="s">
        <v>263</v>
      </c>
      <c r="C193">
        <v>12</v>
      </c>
      <c r="D193">
        <v>1.7100000000000001E-2</v>
      </c>
      <c r="E193">
        <v>1</v>
      </c>
      <c r="F193">
        <v>2</v>
      </c>
      <c r="G193">
        <f t="shared" si="2"/>
        <v>1403.5087719298244</v>
      </c>
    </row>
    <row r="194" spans="1:9" x14ac:dyDescent="0.45">
      <c r="A194" s="5" t="s">
        <v>264</v>
      </c>
      <c r="B194" t="s">
        <v>265</v>
      </c>
      <c r="C194">
        <v>11.6</v>
      </c>
      <c r="D194">
        <v>1.67E-2</v>
      </c>
      <c r="E194">
        <v>1</v>
      </c>
      <c r="F194">
        <v>2</v>
      </c>
      <c r="G194">
        <f t="shared" ref="G194:G248" si="3">(C194*(E194/D194)*F194)</f>
        <v>1389.2215568862275</v>
      </c>
      <c r="H194">
        <f>AVERAGE(G189:G194)</f>
        <v>1335.2461835790507</v>
      </c>
      <c r="I194">
        <f>STDEV(G189:G194)/SQRT(6)</f>
        <v>58.56126328618798</v>
      </c>
    </row>
    <row r="195" spans="1:9" x14ac:dyDescent="0.45">
      <c r="A195" s="5" t="s">
        <v>266</v>
      </c>
      <c r="B195" t="s">
        <v>267</v>
      </c>
      <c r="C195">
        <v>4</v>
      </c>
      <c r="D195">
        <v>1.54E-2</v>
      </c>
      <c r="E195">
        <v>1</v>
      </c>
      <c r="F195">
        <v>2</v>
      </c>
      <c r="G195">
        <f t="shared" si="3"/>
        <v>519.48051948051943</v>
      </c>
    </row>
    <row r="196" spans="1:9" x14ac:dyDescent="0.45">
      <c r="A196" s="5" t="s">
        <v>268</v>
      </c>
      <c r="B196" t="s">
        <v>269</v>
      </c>
      <c r="C196">
        <v>12</v>
      </c>
      <c r="D196">
        <v>1.5800000000000002E-2</v>
      </c>
      <c r="E196">
        <v>1</v>
      </c>
      <c r="F196">
        <v>2</v>
      </c>
      <c r="G196">
        <f t="shared" si="3"/>
        <v>1518.9873417721519</v>
      </c>
    </row>
    <row r="197" spans="1:9" x14ac:dyDescent="0.45">
      <c r="A197" s="5" t="s">
        <v>270</v>
      </c>
      <c r="B197" t="s">
        <v>271</v>
      </c>
      <c r="C197">
        <v>15.3</v>
      </c>
      <c r="D197">
        <v>1.5900000000000001E-2</v>
      </c>
      <c r="E197">
        <v>1</v>
      </c>
      <c r="F197">
        <v>2</v>
      </c>
      <c r="G197">
        <f t="shared" si="3"/>
        <v>1924.5283018867924</v>
      </c>
    </row>
    <row r="198" spans="1:9" x14ac:dyDescent="0.45">
      <c r="A198" s="5" t="s">
        <v>272</v>
      </c>
      <c r="B198" t="s">
        <v>273</v>
      </c>
      <c r="C198">
        <v>12.9</v>
      </c>
      <c r="D198">
        <v>1.4800000000000001E-2</v>
      </c>
      <c r="E198">
        <v>1</v>
      </c>
      <c r="F198">
        <v>2</v>
      </c>
      <c r="G198">
        <f t="shared" si="3"/>
        <v>1743.2432432432431</v>
      </c>
    </row>
    <row r="199" spans="1:9" x14ac:dyDescent="0.45">
      <c r="A199" s="5" t="s">
        <v>274</v>
      </c>
      <c r="B199" t="s">
        <v>275</v>
      </c>
      <c r="C199">
        <v>11.1</v>
      </c>
      <c r="D199">
        <v>1.46E-2</v>
      </c>
      <c r="E199">
        <v>1</v>
      </c>
      <c r="F199">
        <v>2</v>
      </c>
      <c r="G199">
        <f t="shared" si="3"/>
        <v>1520.5479452054794</v>
      </c>
    </row>
    <row r="200" spans="1:9" ht="14.65" thickBot="1" x14ac:dyDescent="0.5">
      <c r="A200" s="6" t="s">
        <v>276</v>
      </c>
      <c r="B200" s="3" t="s">
        <v>277</v>
      </c>
      <c r="C200">
        <v>9.4</v>
      </c>
      <c r="D200" s="9">
        <v>1.5599999999999999E-2</v>
      </c>
      <c r="E200" s="9">
        <v>1</v>
      </c>
      <c r="F200" s="9">
        <v>2</v>
      </c>
      <c r="G200" s="9">
        <f t="shared" si="3"/>
        <v>1205.1282051282051</v>
      </c>
      <c r="H200" s="9">
        <f>AVERAGE(G195:G200)</f>
        <v>1405.3192594527318</v>
      </c>
      <c r="I200" s="9">
        <f>STDEV(G195:G200)/SQRT(6)</f>
        <v>202.87561566895667</v>
      </c>
    </row>
    <row r="201" spans="1:9" x14ac:dyDescent="0.45">
      <c r="A201" s="4" t="s">
        <v>278</v>
      </c>
      <c r="B201" t="s">
        <v>279</v>
      </c>
      <c r="C201">
        <v>16.600000000000001</v>
      </c>
      <c r="D201">
        <v>1.43E-2</v>
      </c>
      <c r="E201">
        <v>1</v>
      </c>
      <c r="F201">
        <v>2</v>
      </c>
      <c r="G201">
        <f t="shared" si="3"/>
        <v>2321.6783216783219</v>
      </c>
    </row>
    <row r="202" spans="1:9" x14ac:dyDescent="0.45">
      <c r="A202" s="5" t="s">
        <v>280</v>
      </c>
      <c r="B202" t="s">
        <v>281</v>
      </c>
      <c r="C202">
        <v>17.5</v>
      </c>
      <c r="D202">
        <v>1.4E-2</v>
      </c>
      <c r="E202">
        <v>1</v>
      </c>
      <c r="F202">
        <v>2</v>
      </c>
      <c r="G202">
        <f t="shared" si="3"/>
        <v>2500</v>
      </c>
    </row>
    <row r="203" spans="1:9" x14ac:dyDescent="0.45">
      <c r="A203" s="5" t="s">
        <v>282</v>
      </c>
      <c r="B203" t="s">
        <v>283</v>
      </c>
      <c r="C203">
        <v>13.2</v>
      </c>
      <c r="D203">
        <v>1.4200000000000001E-2</v>
      </c>
      <c r="E203">
        <v>1</v>
      </c>
      <c r="F203">
        <v>2</v>
      </c>
      <c r="G203">
        <f t="shared" si="3"/>
        <v>1859.1549295774646</v>
      </c>
    </row>
    <row r="204" spans="1:9" x14ac:dyDescent="0.45">
      <c r="A204" s="5" t="s">
        <v>284</v>
      </c>
      <c r="B204" t="s">
        <v>285</v>
      </c>
      <c r="C204">
        <v>9.3000000000000007</v>
      </c>
      <c r="D204">
        <v>1.5599999999999999E-2</v>
      </c>
      <c r="E204">
        <v>1</v>
      </c>
      <c r="F204">
        <v>2</v>
      </c>
      <c r="G204">
        <f t="shared" si="3"/>
        <v>1192.3076923076924</v>
      </c>
    </row>
    <row r="205" spans="1:9" x14ac:dyDescent="0.45">
      <c r="A205" s="5" t="s">
        <v>286</v>
      </c>
      <c r="B205" t="s">
        <v>287</v>
      </c>
      <c r="C205">
        <v>15.7</v>
      </c>
      <c r="D205">
        <v>1.5100000000000001E-2</v>
      </c>
      <c r="E205">
        <v>1</v>
      </c>
      <c r="F205">
        <v>2</v>
      </c>
      <c r="G205">
        <f t="shared" si="3"/>
        <v>2079.4701986754962</v>
      </c>
    </row>
    <row r="206" spans="1:9" x14ac:dyDescent="0.45">
      <c r="A206" s="5" t="s">
        <v>288</v>
      </c>
      <c r="B206" t="s">
        <v>289</v>
      </c>
      <c r="C206">
        <v>16.2</v>
      </c>
      <c r="D206">
        <v>1.6299999999999999E-2</v>
      </c>
      <c r="E206">
        <v>1</v>
      </c>
      <c r="F206">
        <v>2</v>
      </c>
      <c r="G206">
        <f t="shared" si="3"/>
        <v>1987.7300613496934</v>
      </c>
      <c r="H206">
        <f>AVERAGE(G201:G206)</f>
        <v>1990.0568672647785</v>
      </c>
      <c r="I206">
        <f>STDEV(G201:G206)/SQRT(6)</f>
        <v>185.43228853554581</v>
      </c>
    </row>
    <row r="207" spans="1:9" x14ac:dyDescent="0.45">
      <c r="A207" s="5" t="s">
        <v>290</v>
      </c>
      <c r="B207" t="s">
        <v>291</v>
      </c>
      <c r="C207">
        <v>17.100000000000001</v>
      </c>
      <c r="D207">
        <v>1.67E-2</v>
      </c>
      <c r="E207">
        <v>1</v>
      </c>
      <c r="F207">
        <v>2</v>
      </c>
      <c r="G207">
        <f t="shared" si="3"/>
        <v>2047.9041916167666</v>
      </c>
    </row>
    <row r="208" spans="1:9" x14ac:dyDescent="0.45">
      <c r="A208" s="5" t="s">
        <v>292</v>
      </c>
      <c r="B208" t="s">
        <v>293</v>
      </c>
      <c r="C208">
        <v>13.4</v>
      </c>
      <c r="D208">
        <v>1.52E-2</v>
      </c>
      <c r="E208">
        <v>1</v>
      </c>
      <c r="F208">
        <v>2</v>
      </c>
      <c r="G208">
        <f t="shared" si="3"/>
        <v>1763.1578947368421</v>
      </c>
    </row>
    <row r="209" spans="1:9" x14ac:dyDescent="0.45">
      <c r="A209" s="5" t="s">
        <v>294</v>
      </c>
      <c r="B209" t="s">
        <v>295</v>
      </c>
      <c r="C209">
        <v>18.2</v>
      </c>
      <c r="D209">
        <v>1.9199999999999998E-2</v>
      </c>
      <c r="E209">
        <v>1</v>
      </c>
      <c r="F209">
        <v>2</v>
      </c>
      <c r="G209">
        <f t="shared" si="3"/>
        <v>1895.8333333333333</v>
      </c>
    </row>
    <row r="210" spans="1:9" x14ac:dyDescent="0.45">
      <c r="A210" s="5" t="s">
        <v>296</v>
      </c>
      <c r="B210" t="s">
        <v>297</v>
      </c>
      <c r="C210">
        <v>5.2</v>
      </c>
      <c r="D210">
        <v>1.6400000000000001E-2</v>
      </c>
      <c r="E210">
        <v>1</v>
      </c>
      <c r="F210">
        <v>2</v>
      </c>
      <c r="G210">
        <f t="shared" si="3"/>
        <v>634.14634146341461</v>
      </c>
    </row>
    <row r="211" spans="1:9" x14ac:dyDescent="0.45">
      <c r="A211" s="5" t="s">
        <v>298</v>
      </c>
      <c r="B211" t="s">
        <v>299</v>
      </c>
      <c r="C211">
        <v>18.100000000000001</v>
      </c>
      <c r="D211">
        <v>1.7100000000000001E-2</v>
      </c>
      <c r="E211">
        <v>1</v>
      </c>
      <c r="F211">
        <v>2</v>
      </c>
      <c r="G211">
        <f t="shared" si="3"/>
        <v>2116.9590643274855</v>
      </c>
    </row>
    <row r="212" spans="1:9" ht="14.65" thickBot="1" x14ac:dyDescent="0.5">
      <c r="A212" s="6" t="s">
        <v>300</v>
      </c>
      <c r="B212" s="3" t="s">
        <v>301</v>
      </c>
      <c r="C212">
        <v>10.6</v>
      </c>
      <c r="D212" s="9">
        <v>1.5800000000000002E-2</v>
      </c>
      <c r="E212" s="9">
        <v>1</v>
      </c>
      <c r="F212" s="9">
        <v>2</v>
      </c>
      <c r="G212" s="9">
        <f t="shared" si="3"/>
        <v>1341.7721518987341</v>
      </c>
      <c r="H212" s="9">
        <f>AVERAGE(G207:G212)</f>
        <v>1633.2954962294295</v>
      </c>
      <c r="I212" s="9">
        <f>STDEV(G207:G212)/SQRT(6)</f>
        <v>229.12195221561387</v>
      </c>
    </row>
    <row r="213" spans="1:9" x14ac:dyDescent="0.45">
      <c r="A213" s="4" t="s">
        <v>302</v>
      </c>
      <c r="B213" t="s">
        <v>303</v>
      </c>
      <c r="C213">
        <v>8.8000000000000007</v>
      </c>
      <c r="D213">
        <v>1.55E-2</v>
      </c>
      <c r="E213">
        <v>1</v>
      </c>
      <c r="F213">
        <v>2</v>
      </c>
      <c r="G213">
        <f t="shared" si="3"/>
        <v>1135.483870967742</v>
      </c>
    </row>
    <row r="214" spans="1:9" x14ac:dyDescent="0.45">
      <c r="A214" s="5" t="s">
        <v>304</v>
      </c>
      <c r="B214" t="s">
        <v>305</v>
      </c>
      <c r="C214">
        <v>10</v>
      </c>
      <c r="D214">
        <v>1.61E-2</v>
      </c>
      <c r="E214">
        <v>1</v>
      </c>
      <c r="F214">
        <v>2</v>
      </c>
      <c r="G214">
        <f t="shared" si="3"/>
        <v>1242.2360248447205</v>
      </c>
    </row>
    <row r="215" spans="1:9" x14ac:dyDescent="0.45">
      <c r="A215" s="5" t="s">
        <v>306</v>
      </c>
      <c r="B215" t="s">
        <v>307</v>
      </c>
      <c r="C215">
        <v>10.7</v>
      </c>
      <c r="D215">
        <v>1.15E-2</v>
      </c>
      <c r="E215">
        <v>1</v>
      </c>
      <c r="F215">
        <v>2</v>
      </c>
      <c r="G215">
        <f t="shared" si="3"/>
        <v>1860.8695652173913</v>
      </c>
    </row>
    <row r="216" spans="1:9" x14ac:dyDescent="0.45">
      <c r="A216" s="5" t="s">
        <v>308</v>
      </c>
      <c r="B216" t="s">
        <v>309</v>
      </c>
      <c r="C216">
        <v>9.4</v>
      </c>
      <c r="D216">
        <v>1.14E-2</v>
      </c>
      <c r="E216">
        <v>1</v>
      </c>
      <c r="F216">
        <v>2</v>
      </c>
      <c r="G216">
        <f t="shared" si="3"/>
        <v>1649.1228070175437</v>
      </c>
    </row>
    <row r="217" spans="1:9" x14ac:dyDescent="0.45">
      <c r="A217" s="5" t="s">
        <v>310</v>
      </c>
      <c r="B217" t="s">
        <v>311</v>
      </c>
      <c r="C217">
        <v>14.3</v>
      </c>
      <c r="D217">
        <v>1.4800000000000001E-2</v>
      </c>
      <c r="E217">
        <v>1</v>
      </c>
      <c r="F217">
        <v>2</v>
      </c>
      <c r="G217">
        <f t="shared" si="3"/>
        <v>1932.4324324324325</v>
      </c>
    </row>
    <row r="218" spans="1:9" x14ac:dyDescent="0.45">
      <c r="A218" s="5" t="s">
        <v>312</v>
      </c>
      <c r="B218" t="s">
        <v>313</v>
      </c>
      <c r="C218">
        <v>16.7</v>
      </c>
      <c r="D218">
        <v>1.4800000000000001E-2</v>
      </c>
      <c r="E218">
        <v>1</v>
      </c>
      <c r="F218">
        <v>2</v>
      </c>
      <c r="G218">
        <f t="shared" si="3"/>
        <v>2256.7567567567567</v>
      </c>
      <c r="H218">
        <f>AVERAGE(G213:G218)</f>
        <v>1679.4835762060977</v>
      </c>
      <c r="I218">
        <f>STDEV(G213:G218)/SQRT(6)</f>
        <v>174.94486775701168</v>
      </c>
    </row>
    <row r="219" spans="1:9" x14ac:dyDescent="0.45">
      <c r="A219" s="5" t="s">
        <v>314</v>
      </c>
      <c r="B219" t="s">
        <v>315</v>
      </c>
      <c r="C219">
        <v>11.3</v>
      </c>
      <c r="D219">
        <v>1.5599999999999999E-2</v>
      </c>
      <c r="E219">
        <v>1</v>
      </c>
      <c r="F219">
        <v>2</v>
      </c>
      <c r="G219">
        <f t="shared" si="3"/>
        <v>1448.7179487179487</v>
      </c>
    </row>
    <row r="220" spans="1:9" x14ac:dyDescent="0.45">
      <c r="A220" s="5" t="s">
        <v>316</v>
      </c>
      <c r="B220" t="s">
        <v>317</v>
      </c>
      <c r="C220">
        <v>11.3</v>
      </c>
      <c r="D220">
        <v>1.6400000000000001E-2</v>
      </c>
      <c r="E220">
        <v>1</v>
      </c>
      <c r="F220">
        <v>2</v>
      </c>
      <c r="G220">
        <f t="shared" si="3"/>
        <v>1378.0487804878048</v>
      </c>
    </row>
    <row r="221" spans="1:9" x14ac:dyDescent="0.45">
      <c r="A221" s="5" t="s">
        <v>318</v>
      </c>
      <c r="B221" t="s">
        <v>319</v>
      </c>
      <c r="C221">
        <v>8.6999999999999993</v>
      </c>
      <c r="D221">
        <v>1.7600000000000001E-2</v>
      </c>
      <c r="E221">
        <v>1</v>
      </c>
      <c r="F221">
        <v>2</v>
      </c>
      <c r="G221">
        <f t="shared" si="3"/>
        <v>988.63636363636351</v>
      </c>
    </row>
    <row r="222" spans="1:9" x14ac:dyDescent="0.45">
      <c r="A222" s="5" t="s">
        <v>320</v>
      </c>
      <c r="B222" t="s">
        <v>321</v>
      </c>
      <c r="C222">
        <v>8.1999999999999993</v>
      </c>
      <c r="D222">
        <v>1.52E-2</v>
      </c>
      <c r="E222">
        <v>1</v>
      </c>
      <c r="F222">
        <v>2</v>
      </c>
      <c r="G222">
        <f t="shared" si="3"/>
        <v>1078.9473684210525</v>
      </c>
    </row>
    <row r="223" spans="1:9" x14ac:dyDescent="0.45">
      <c r="A223" s="5" t="s">
        <v>322</v>
      </c>
      <c r="B223" t="s">
        <v>323</v>
      </c>
      <c r="C223">
        <v>7.8</v>
      </c>
      <c r="D223">
        <v>1.54E-2</v>
      </c>
      <c r="E223">
        <v>1</v>
      </c>
      <c r="F223">
        <v>2</v>
      </c>
      <c r="G223">
        <f t="shared" si="3"/>
        <v>1012.9870129870129</v>
      </c>
    </row>
    <row r="224" spans="1:9" ht="14.65" thickBot="1" x14ac:dyDescent="0.5">
      <c r="A224" s="6" t="s">
        <v>324</v>
      </c>
      <c r="B224" s="3" t="s">
        <v>325</v>
      </c>
      <c r="C224">
        <v>6.1</v>
      </c>
      <c r="D224" s="9">
        <v>1.7500000000000002E-2</v>
      </c>
      <c r="E224" s="9">
        <v>1</v>
      </c>
      <c r="F224" s="9">
        <v>2</v>
      </c>
      <c r="G224" s="9">
        <f t="shared" si="3"/>
        <v>697.142857142857</v>
      </c>
      <c r="H224" s="9">
        <f>AVERAGE(G219:G224)</f>
        <v>1100.74672189884</v>
      </c>
      <c r="I224" s="9">
        <f>STDEV(G219:G224)/SQRT(6)</f>
        <v>112.78625755349775</v>
      </c>
    </row>
    <row r="225" spans="1:9" x14ac:dyDescent="0.45">
      <c r="A225" s="4" t="s">
        <v>326</v>
      </c>
      <c r="B225" t="s">
        <v>327</v>
      </c>
      <c r="C225">
        <v>6.4</v>
      </c>
      <c r="D225">
        <v>1.44E-2</v>
      </c>
      <c r="E225">
        <v>1</v>
      </c>
      <c r="F225">
        <v>2</v>
      </c>
      <c r="G225">
        <f t="shared" si="3"/>
        <v>888.88888888888891</v>
      </c>
    </row>
    <row r="226" spans="1:9" x14ac:dyDescent="0.45">
      <c r="A226" s="5" t="s">
        <v>328</v>
      </c>
      <c r="B226" t="s">
        <v>329</v>
      </c>
      <c r="C226">
        <v>9.4</v>
      </c>
      <c r="D226">
        <v>1.44E-2</v>
      </c>
      <c r="E226">
        <v>1</v>
      </c>
      <c r="F226">
        <v>2</v>
      </c>
      <c r="G226">
        <f t="shared" si="3"/>
        <v>1305.5555555555557</v>
      </c>
    </row>
    <row r="227" spans="1:9" x14ac:dyDescent="0.45">
      <c r="A227" s="5" t="s">
        <v>330</v>
      </c>
      <c r="B227" t="s">
        <v>331</v>
      </c>
      <c r="C227">
        <v>5.8</v>
      </c>
      <c r="D227">
        <v>1.6E-2</v>
      </c>
      <c r="E227">
        <v>1</v>
      </c>
      <c r="F227">
        <v>2</v>
      </c>
      <c r="G227">
        <f t="shared" si="3"/>
        <v>725</v>
      </c>
    </row>
    <row r="228" spans="1:9" x14ac:dyDescent="0.45">
      <c r="A228" s="5" t="s">
        <v>332</v>
      </c>
      <c r="B228" t="s">
        <v>333</v>
      </c>
      <c r="C228">
        <v>5.0999999999999996</v>
      </c>
      <c r="D228">
        <v>1.7500000000000002E-2</v>
      </c>
      <c r="E228">
        <v>1</v>
      </c>
      <c r="F228">
        <v>2</v>
      </c>
      <c r="G228">
        <f t="shared" si="3"/>
        <v>582.85714285714278</v>
      </c>
    </row>
    <row r="229" spans="1:9" x14ac:dyDescent="0.45">
      <c r="A229" s="5" t="s">
        <v>334</v>
      </c>
      <c r="B229" t="s">
        <v>335</v>
      </c>
      <c r="C229">
        <v>5.9</v>
      </c>
      <c r="D229">
        <v>1.37E-2</v>
      </c>
      <c r="E229">
        <v>1</v>
      </c>
      <c r="F229">
        <v>2</v>
      </c>
      <c r="G229">
        <f t="shared" si="3"/>
        <v>861.31386861313877</v>
      </c>
    </row>
    <row r="230" spans="1:9" x14ac:dyDescent="0.45">
      <c r="A230" s="5" t="s">
        <v>336</v>
      </c>
      <c r="B230" t="s">
        <v>337</v>
      </c>
      <c r="C230">
        <v>6.1</v>
      </c>
      <c r="D230">
        <v>1.3100000000000001E-2</v>
      </c>
      <c r="E230">
        <v>1</v>
      </c>
      <c r="F230">
        <v>2</v>
      </c>
      <c r="G230">
        <f t="shared" si="3"/>
        <v>931.297709923664</v>
      </c>
      <c r="H230">
        <f>AVERAGE(G225:G230)</f>
        <v>882.48552763973157</v>
      </c>
      <c r="I230">
        <f>STDEV(G225:G230)/SQRT(6)</f>
        <v>99.404724942132376</v>
      </c>
    </row>
    <row r="231" spans="1:9" x14ac:dyDescent="0.45">
      <c r="A231" s="5" t="s">
        <v>338</v>
      </c>
      <c r="B231" t="s">
        <v>339</v>
      </c>
      <c r="C231">
        <v>4.0999999999999996</v>
      </c>
      <c r="D231">
        <v>1.2999999999999999E-2</v>
      </c>
      <c r="E231">
        <v>1</v>
      </c>
      <c r="F231">
        <v>2</v>
      </c>
      <c r="G231">
        <f t="shared" si="3"/>
        <v>630.76923076923072</v>
      </c>
    </row>
    <row r="232" spans="1:9" x14ac:dyDescent="0.45">
      <c r="A232" s="5" t="s">
        <v>340</v>
      </c>
      <c r="B232" t="s">
        <v>341</v>
      </c>
      <c r="C232">
        <v>15.2</v>
      </c>
      <c r="D232">
        <v>1.61E-2</v>
      </c>
      <c r="E232">
        <v>1</v>
      </c>
      <c r="F232">
        <v>2</v>
      </c>
      <c r="G232">
        <f t="shared" si="3"/>
        <v>1888.1987577639752</v>
      </c>
    </row>
    <row r="233" spans="1:9" x14ac:dyDescent="0.45">
      <c r="A233" s="5" t="s">
        <v>342</v>
      </c>
      <c r="B233" t="s">
        <v>343</v>
      </c>
      <c r="C233">
        <v>5</v>
      </c>
      <c r="D233">
        <v>1.54E-2</v>
      </c>
      <c r="E233">
        <v>1</v>
      </c>
      <c r="F233">
        <v>2</v>
      </c>
      <c r="G233">
        <f t="shared" si="3"/>
        <v>649.35064935064929</v>
      </c>
    </row>
    <row r="234" spans="1:9" x14ac:dyDescent="0.45">
      <c r="A234" s="5" t="s">
        <v>344</v>
      </c>
      <c r="B234" t="s">
        <v>345</v>
      </c>
      <c r="C234">
        <v>4</v>
      </c>
      <c r="D234">
        <v>1.24E-2</v>
      </c>
      <c r="E234">
        <v>1</v>
      </c>
      <c r="F234">
        <v>2</v>
      </c>
      <c r="G234">
        <f t="shared" si="3"/>
        <v>645.16129032258061</v>
      </c>
    </row>
    <row r="235" spans="1:9" x14ac:dyDescent="0.45">
      <c r="A235" s="5" t="s">
        <v>346</v>
      </c>
      <c r="B235" t="s">
        <v>347</v>
      </c>
      <c r="C235">
        <v>6</v>
      </c>
      <c r="D235">
        <v>1.4999999999999999E-2</v>
      </c>
      <c r="E235">
        <v>1</v>
      </c>
      <c r="F235">
        <v>2</v>
      </c>
      <c r="G235">
        <f t="shared" si="3"/>
        <v>800</v>
      </c>
    </row>
    <row r="236" spans="1:9" ht="14.65" thickBot="1" x14ac:dyDescent="0.5">
      <c r="A236" s="6" t="s">
        <v>348</v>
      </c>
      <c r="B236" s="3" t="s">
        <v>349</v>
      </c>
      <c r="C236">
        <v>5.0999999999999996</v>
      </c>
      <c r="D236" s="9">
        <v>1.49E-2</v>
      </c>
      <c r="E236" s="9">
        <v>1</v>
      </c>
      <c r="F236" s="9">
        <v>2</v>
      </c>
      <c r="G236" s="9">
        <f t="shared" si="3"/>
        <v>684.56375838926169</v>
      </c>
      <c r="H236" s="9">
        <f>AVERAGE(G231:G236)</f>
        <v>883.00728109928298</v>
      </c>
      <c r="I236" s="9">
        <f>STDEV(G231:G236)/SQRT(6)</f>
        <v>202.60553760969248</v>
      </c>
    </row>
    <row r="237" spans="1:9" x14ac:dyDescent="0.45">
      <c r="A237" s="4" t="s">
        <v>350</v>
      </c>
      <c r="B237" t="s">
        <v>351</v>
      </c>
      <c r="C237">
        <v>8.9</v>
      </c>
      <c r="D237">
        <v>1.2200000000000001E-2</v>
      </c>
      <c r="E237">
        <v>1</v>
      </c>
      <c r="F237">
        <v>2</v>
      </c>
      <c r="G237">
        <f t="shared" si="3"/>
        <v>1459.0163934426228</v>
      </c>
    </row>
    <row r="238" spans="1:9" x14ac:dyDescent="0.45">
      <c r="A238" s="5" t="s">
        <v>352</v>
      </c>
      <c r="B238" t="s">
        <v>353</v>
      </c>
      <c r="C238">
        <v>5.7</v>
      </c>
      <c r="D238">
        <v>1.1900000000000001E-2</v>
      </c>
      <c r="E238">
        <v>1</v>
      </c>
      <c r="F238">
        <v>2</v>
      </c>
      <c r="G238">
        <f t="shared" si="3"/>
        <v>957.98319327731099</v>
      </c>
    </row>
    <row r="239" spans="1:9" x14ac:dyDescent="0.45">
      <c r="A239" s="5" t="s">
        <v>354</v>
      </c>
      <c r="B239" t="s">
        <v>355</v>
      </c>
      <c r="C239">
        <v>5.3</v>
      </c>
      <c r="D239">
        <v>1.17E-2</v>
      </c>
      <c r="E239">
        <v>1</v>
      </c>
      <c r="F239">
        <v>2</v>
      </c>
      <c r="G239">
        <f t="shared" si="3"/>
        <v>905.98290598290589</v>
      </c>
    </row>
    <row r="240" spans="1:9" x14ac:dyDescent="0.45">
      <c r="A240" s="5" t="s">
        <v>356</v>
      </c>
      <c r="B240" t="s">
        <v>357</v>
      </c>
      <c r="C240">
        <v>7.1</v>
      </c>
      <c r="D240">
        <v>1.7000000000000001E-2</v>
      </c>
      <c r="E240">
        <v>1</v>
      </c>
      <c r="F240">
        <v>2</v>
      </c>
      <c r="G240">
        <f t="shared" si="3"/>
        <v>835.29411764705878</v>
      </c>
    </row>
    <row r="241" spans="1:9" x14ac:dyDescent="0.45">
      <c r="A241" s="5" t="s">
        <v>358</v>
      </c>
      <c r="B241" t="s">
        <v>359</v>
      </c>
      <c r="C241">
        <v>7</v>
      </c>
      <c r="D241">
        <v>1.61E-2</v>
      </c>
      <c r="E241">
        <v>1</v>
      </c>
      <c r="F241">
        <v>2</v>
      </c>
      <c r="G241">
        <f t="shared" si="3"/>
        <v>869.56521739130437</v>
      </c>
    </row>
    <row r="242" spans="1:9" x14ac:dyDescent="0.45">
      <c r="A242" s="5" t="s">
        <v>360</v>
      </c>
      <c r="B242" t="s">
        <v>361</v>
      </c>
      <c r="C242">
        <v>6.3</v>
      </c>
      <c r="D242">
        <v>1.61E-2</v>
      </c>
      <c r="E242">
        <v>1</v>
      </c>
      <c r="F242">
        <v>2</v>
      </c>
      <c r="G242">
        <f t="shared" si="3"/>
        <v>782.60869565217388</v>
      </c>
      <c r="H242">
        <f>AVERAGE(G237:G242)</f>
        <v>968.40842056556266</v>
      </c>
      <c r="I242">
        <f>STDEV(G237:G242)/SQRT(6)</f>
        <v>101.11260183883766</v>
      </c>
    </row>
    <row r="243" spans="1:9" x14ac:dyDescent="0.45">
      <c r="A243" s="5" t="s">
        <v>362</v>
      </c>
      <c r="B243" t="s">
        <v>363</v>
      </c>
      <c r="C243">
        <v>8.9</v>
      </c>
      <c r="D243">
        <v>1.21E-2</v>
      </c>
      <c r="E243">
        <v>1</v>
      </c>
      <c r="F243">
        <v>2</v>
      </c>
      <c r="G243">
        <f t="shared" si="3"/>
        <v>1471.0743801652893</v>
      </c>
    </row>
    <row r="244" spans="1:9" x14ac:dyDescent="0.45">
      <c r="A244" s="5" t="s">
        <v>364</v>
      </c>
      <c r="B244" t="s">
        <v>365</v>
      </c>
      <c r="C244">
        <v>5.2</v>
      </c>
      <c r="D244">
        <v>1.0800000000000001E-2</v>
      </c>
      <c r="E244">
        <v>1</v>
      </c>
      <c r="F244">
        <v>2</v>
      </c>
      <c r="G244">
        <f t="shared" si="3"/>
        <v>962.96296296296282</v>
      </c>
    </row>
    <row r="245" spans="1:9" x14ac:dyDescent="0.45">
      <c r="A245" s="5" t="s">
        <v>366</v>
      </c>
      <c r="B245" t="s">
        <v>367</v>
      </c>
      <c r="C245">
        <v>5.2</v>
      </c>
      <c r="D245">
        <v>1.66E-2</v>
      </c>
      <c r="E245">
        <v>1</v>
      </c>
      <c r="F245">
        <v>2</v>
      </c>
      <c r="G245">
        <f t="shared" si="3"/>
        <v>626.50602409638554</v>
      </c>
    </row>
    <row r="246" spans="1:9" x14ac:dyDescent="0.45">
      <c r="A246" s="5" t="s">
        <v>368</v>
      </c>
      <c r="B246" t="s">
        <v>369</v>
      </c>
      <c r="C246">
        <v>11.9</v>
      </c>
      <c r="D246">
        <v>1.52E-2</v>
      </c>
      <c r="E246">
        <v>1</v>
      </c>
      <c r="F246">
        <v>2</v>
      </c>
      <c r="G246">
        <f t="shared" si="3"/>
        <v>1565.7894736842104</v>
      </c>
    </row>
    <row r="247" spans="1:9" x14ac:dyDescent="0.45">
      <c r="A247" s="5" t="s">
        <v>370</v>
      </c>
      <c r="B247" t="s">
        <v>371</v>
      </c>
      <c r="C247">
        <v>3.6</v>
      </c>
      <c r="D247">
        <v>1.4200000000000001E-2</v>
      </c>
      <c r="E247">
        <v>1</v>
      </c>
      <c r="F247">
        <v>2</v>
      </c>
      <c r="G247">
        <f t="shared" si="3"/>
        <v>507.04225352112672</v>
      </c>
    </row>
    <row r="248" spans="1:9" ht="14.65" thickBot="1" x14ac:dyDescent="0.5">
      <c r="A248" s="6" t="s">
        <v>372</v>
      </c>
      <c r="B248" s="3" t="s">
        <v>373</v>
      </c>
      <c r="C248">
        <v>4.2</v>
      </c>
      <c r="D248" s="9">
        <v>1.4500000000000001E-2</v>
      </c>
      <c r="E248" s="9">
        <v>1</v>
      </c>
      <c r="F248" s="9">
        <v>2</v>
      </c>
      <c r="G248" s="9">
        <f t="shared" si="3"/>
        <v>579.31034482758616</v>
      </c>
      <c r="H248" s="9">
        <f>AVERAGE(G243:G248)</f>
        <v>952.11423987626006</v>
      </c>
      <c r="I248" s="9">
        <f>STDEV(G243:G248)/SQRT(6)</f>
        <v>190.53671054642686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B60B-8F2C-4DB1-A059-6BEA53C4D857}">
  <dimension ref="A1:AC248"/>
  <sheetViews>
    <sheetView topLeftCell="L15" zoomScale="155" workbookViewId="0">
      <selection activeCell="M150" sqref="M150"/>
    </sheetView>
  </sheetViews>
  <sheetFormatPr baseColWidth="10" defaultRowHeight="14.25" x14ac:dyDescent="0.45"/>
  <cols>
    <col min="3" max="3" width="11.86328125" customWidth="1"/>
    <col min="5" max="5" width="8.19921875" customWidth="1"/>
    <col min="6" max="6" width="13" bestFit="1" customWidth="1"/>
    <col min="7" max="7" width="14.46484375" bestFit="1" customWidth="1"/>
    <col min="12" max="12" width="12.1328125" customWidth="1"/>
  </cols>
  <sheetData>
    <row r="1" spans="1:27" x14ac:dyDescent="0.45">
      <c r="A1" t="s">
        <v>132</v>
      </c>
    </row>
    <row r="2" spans="1:27" ht="14.65" thickBot="1" x14ac:dyDescent="0.5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</row>
    <row r="3" spans="1:27" x14ac:dyDescent="0.45">
      <c r="A3" s="4" t="s">
        <v>2</v>
      </c>
      <c r="B3">
        <v>1</v>
      </c>
      <c r="C3">
        <v>0.3</v>
      </c>
      <c r="D3">
        <v>2.0400000000000001E-2</v>
      </c>
      <c r="E3">
        <v>1</v>
      </c>
      <c r="F3">
        <v>3</v>
      </c>
      <c r="G3">
        <f>(C3*(E3/D3)*F3)</f>
        <v>44.117647058823522</v>
      </c>
      <c r="M3" t="s">
        <v>132</v>
      </c>
    </row>
    <row r="4" spans="1:27" x14ac:dyDescent="0.45">
      <c r="A4" s="5" t="s">
        <v>3</v>
      </c>
      <c r="B4">
        <v>2</v>
      </c>
      <c r="C4">
        <v>0.2</v>
      </c>
      <c r="D4">
        <v>1.54E-2</v>
      </c>
      <c r="E4">
        <v>1</v>
      </c>
      <c r="F4">
        <v>3</v>
      </c>
      <c r="G4">
        <f t="shared" ref="G4:G67" si="0">(C4*(E4/D4)*F4)</f>
        <v>38.961038961038959</v>
      </c>
      <c r="N4" t="s">
        <v>374</v>
      </c>
      <c r="O4" t="s">
        <v>375</v>
      </c>
      <c r="P4" t="s">
        <v>376</v>
      </c>
      <c r="Q4" t="s">
        <v>377</v>
      </c>
      <c r="R4" t="s">
        <v>378</v>
      </c>
      <c r="S4" t="s">
        <v>379</v>
      </c>
      <c r="T4" t="s">
        <v>380</v>
      </c>
      <c r="U4" t="s">
        <v>381</v>
      </c>
      <c r="V4" t="s">
        <v>384</v>
      </c>
      <c r="W4" t="s">
        <v>385</v>
      </c>
    </row>
    <row r="5" spans="1:27" x14ac:dyDescent="0.45">
      <c r="A5" s="5" t="s">
        <v>4</v>
      </c>
      <c r="B5">
        <v>3</v>
      </c>
      <c r="C5">
        <v>0.2</v>
      </c>
      <c r="D5">
        <v>2.1100000000000001E-2</v>
      </c>
      <c r="E5">
        <v>1</v>
      </c>
      <c r="F5">
        <v>3</v>
      </c>
      <c r="G5">
        <f t="shared" si="0"/>
        <v>28.436018957345972</v>
      </c>
      <c r="M5" t="s">
        <v>382</v>
      </c>
      <c r="N5">
        <f>H8</f>
        <v>41.650497227581141</v>
      </c>
      <c r="O5">
        <f>H20</f>
        <v>39.909057653899289</v>
      </c>
      <c r="P5">
        <f>H32</f>
        <v>50.536624543955377</v>
      </c>
      <c r="Q5">
        <f>H44</f>
        <v>59.598051998744324</v>
      </c>
      <c r="R5">
        <f>H56</f>
        <v>42.754948119591667</v>
      </c>
      <c r="S5">
        <f>H68</f>
        <v>17.921418834167138</v>
      </c>
      <c r="T5">
        <f>H80</f>
        <v>26.300375832577291</v>
      </c>
      <c r="U5">
        <f>H92</f>
        <v>25.714428282802604</v>
      </c>
      <c r="V5">
        <f>H104</f>
        <v>32.737103021998038</v>
      </c>
      <c r="W5">
        <f>H116</f>
        <v>51.544212701705526</v>
      </c>
    </row>
    <row r="6" spans="1:27" x14ac:dyDescent="0.45">
      <c r="A6" s="5" t="s">
        <v>7</v>
      </c>
      <c r="B6">
        <v>4</v>
      </c>
      <c r="C6">
        <v>0.3</v>
      </c>
      <c r="D6">
        <v>1.4999999999999999E-2</v>
      </c>
      <c r="E6">
        <v>1</v>
      </c>
      <c r="F6">
        <v>3</v>
      </c>
      <c r="G6">
        <f t="shared" si="0"/>
        <v>60</v>
      </c>
      <c r="M6" t="s">
        <v>131</v>
      </c>
      <c r="N6">
        <f>I8</f>
        <v>4.7563019791987289</v>
      </c>
      <c r="O6">
        <f>I20</f>
        <v>1.9401802379015303</v>
      </c>
      <c r="P6">
        <f>I32</f>
        <v>2.8014189246054646</v>
      </c>
      <c r="Q6">
        <f>I44</f>
        <v>8.9575287982682212</v>
      </c>
      <c r="R6">
        <f>I56</f>
        <v>4.212866780308679</v>
      </c>
      <c r="S6">
        <f>I68</f>
        <v>2.3035873984626449</v>
      </c>
      <c r="T6">
        <f>I80</f>
        <v>3.398939797104755</v>
      </c>
      <c r="U6">
        <f>I92</f>
        <v>6.1815723456346747</v>
      </c>
      <c r="V6">
        <f>I104</f>
        <v>7.7102722673622015</v>
      </c>
      <c r="W6">
        <f>I116</f>
        <v>13.758210603939641</v>
      </c>
    </row>
    <row r="7" spans="1:27" x14ac:dyDescent="0.45">
      <c r="A7" s="5" t="s">
        <v>5</v>
      </c>
      <c r="B7">
        <v>5</v>
      </c>
      <c r="C7">
        <v>0.2</v>
      </c>
      <c r="D7">
        <v>1.26E-2</v>
      </c>
      <c r="E7">
        <v>1</v>
      </c>
      <c r="F7">
        <v>3</v>
      </c>
      <c r="G7">
        <f t="shared" si="0"/>
        <v>47.61904761904762</v>
      </c>
      <c r="M7" t="s">
        <v>383</v>
      </c>
      <c r="N7">
        <f>H20</f>
        <v>39.909057653899289</v>
      </c>
      <c r="O7">
        <f>H26</f>
        <v>38.20225619324291</v>
      </c>
      <c r="P7">
        <f>H38</f>
        <v>37.327060880928627</v>
      </c>
      <c r="Q7">
        <f>H50</f>
        <v>52.891437284577343</v>
      </c>
      <c r="R7">
        <f>H62</f>
        <v>40.357741668511089</v>
      </c>
      <c r="S7">
        <f>H74</f>
        <v>16.099253200077428</v>
      </c>
      <c r="T7">
        <f>H86</f>
        <v>28.348743591372614</v>
      </c>
      <c r="U7">
        <f>H98</f>
        <v>30.969693563918067</v>
      </c>
      <c r="V7">
        <f>H110</f>
        <v>25.370820834061458</v>
      </c>
      <c r="W7">
        <f>H122</f>
        <v>58.210777479938066</v>
      </c>
    </row>
    <row r="8" spans="1:27" x14ac:dyDescent="0.45">
      <c r="A8" s="5" t="s">
        <v>6</v>
      </c>
      <c r="B8">
        <v>6</v>
      </c>
      <c r="C8">
        <v>0.2</v>
      </c>
      <c r="D8">
        <v>1.95E-2</v>
      </c>
      <c r="E8">
        <v>1</v>
      </c>
      <c r="F8">
        <v>3</v>
      </c>
      <c r="G8">
        <f t="shared" si="0"/>
        <v>30.769230769230774</v>
      </c>
      <c r="H8">
        <f>AVERAGE(G3:G8)</f>
        <v>41.650497227581141</v>
      </c>
      <c r="I8">
        <f>STDEV(G3:G8)/SQRT(6)</f>
        <v>4.7563019791987289</v>
      </c>
      <c r="M8" t="s">
        <v>131</v>
      </c>
      <c r="N8">
        <f>I14</f>
        <v>3.4026289200140862</v>
      </c>
      <c r="O8">
        <f>I26</f>
        <v>4.0001853671565302</v>
      </c>
      <c r="P8">
        <f>I38</f>
        <v>4.1627254542058774</v>
      </c>
      <c r="Q8">
        <f>I50</f>
        <v>10.7326955737595</v>
      </c>
      <c r="R8">
        <f>I62</f>
        <v>3.0771200502306657</v>
      </c>
      <c r="S8">
        <f>I74</f>
        <v>0.67411883526350314</v>
      </c>
      <c r="T8">
        <f>I86</f>
        <v>3.8282286847151239</v>
      </c>
      <c r="U8">
        <f>I98</f>
        <v>1.9419402999182953</v>
      </c>
      <c r="V8">
        <f>I110</f>
        <v>2.3398356517514918</v>
      </c>
      <c r="W8">
        <f>I122</f>
        <v>14.51138992710678</v>
      </c>
    </row>
    <row r="9" spans="1:27" x14ac:dyDescent="0.45">
      <c r="A9" s="5" t="s">
        <v>13</v>
      </c>
      <c r="B9">
        <v>7</v>
      </c>
      <c r="C9">
        <v>0.2</v>
      </c>
      <c r="D9">
        <v>1.4800000000000001E-2</v>
      </c>
      <c r="E9">
        <v>1</v>
      </c>
      <c r="F9">
        <v>3</v>
      </c>
      <c r="G9">
        <f t="shared" si="0"/>
        <v>40.54054054054054</v>
      </c>
    </row>
    <row r="10" spans="1:27" x14ac:dyDescent="0.45">
      <c r="A10" s="5" t="s">
        <v>8</v>
      </c>
      <c r="B10">
        <v>8</v>
      </c>
      <c r="C10">
        <v>0.2</v>
      </c>
      <c r="D10">
        <v>1.4500000000000001E-2</v>
      </c>
      <c r="E10">
        <v>1</v>
      </c>
      <c r="F10">
        <v>3</v>
      </c>
      <c r="G10">
        <f t="shared" si="0"/>
        <v>41.379310344827587</v>
      </c>
    </row>
    <row r="11" spans="1:27" x14ac:dyDescent="0.45">
      <c r="A11" s="5" t="s">
        <v>9</v>
      </c>
      <c r="B11">
        <v>9</v>
      </c>
      <c r="C11">
        <v>0.3</v>
      </c>
      <c r="D11">
        <v>1.8599999999999998E-2</v>
      </c>
      <c r="E11">
        <v>1</v>
      </c>
      <c r="F11">
        <v>3</v>
      </c>
      <c r="G11">
        <f t="shared" si="0"/>
        <v>48.387096774193552</v>
      </c>
    </row>
    <row r="12" spans="1:27" x14ac:dyDescent="0.45">
      <c r="A12" s="5" t="s">
        <v>10</v>
      </c>
      <c r="B12">
        <v>10</v>
      </c>
      <c r="C12">
        <v>0.3</v>
      </c>
      <c r="D12">
        <v>1.7100000000000001E-2</v>
      </c>
      <c r="E12">
        <v>1</v>
      </c>
      <c r="F12">
        <v>3</v>
      </c>
      <c r="G12">
        <f t="shared" si="0"/>
        <v>52.631578947368411</v>
      </c>
    </row>
    <row r="13" spans="1:27" x14ac:dyDescent="0.45">
      <c r="A13" s="5" t="s">
        <v>11</v>
      </c>
      <c r="B13">
        <v>11</v>
      </c>
      <c r="C13">
        <v>0.3</v>
      </c>
      <c r="D13">
        <v>1.66E-2</v>
      </c>
      <c r="E13">
        <v>1</v>
      </c>
      <c r="F13">
        <v>3</v>
      </c>
      <c r="G13">
        <f t="shared" si="0"/>
        <v>54.21686746987951</v>
      </c>
      <c r="T13" t="s">
        <v>740</v>
      </c>
      <c r="U13" t="s">
        <v>726</v>
      </c>
      <c r="V13" t="s">
        <v>727</v>
      </c>
      <c r="W13" t="s">
        <v>741</v>
      </c>
      <c r="X13" t="s">
        <v>742</v>
      </c>
      <c r="Y13" t="s">
        <v>723</v>
      </c>
      <c r="Z13" t="s">
        <v>728</v>
      </c>
      <c r="AA13" t="s">
        <v>743</v>
      </c>
    </row>
    <row r="14" spans="1:27" ht="14.65" thickBot="1" x14ac:dyDescent="0.5">
      <c r="A14" s="6" t="s">
        <v>12</v>
      </c>
      <c r="B14" s="3">
        <v>12</v>
      </c>
      <c r="C14">
        <v>0.3</v>
      </c>
      <c r="D14" s="9">
        <v>1.44E-2</v>
      </c>
      <c r="E14" s="9">
        <v>1</v>
      </c>
      <c r="F14" s="9">
        <v>3</v>
      </c>
      <c r="G14" s="9">
        <f t="shared" si="0"/>
        <v>62.5</v>
      </c>
      <c r="H14" s="9">
        <f>AVERAGE(G9:G14)</f>
        <v>49.94256567946826</v>
      </c>
      <c r="I14" s="9">
        <f>STDEV(G9:G14)/SQRT(6)</f>
        <v>3.4026289200140862</v>
      </c>
      <c r="T14" t="s">
        <v>729</v>
      </c>
      <c r="U14">
        <v>6</v>
      </c>
      <c r="V14">
        <v>6</v>
      </c>
      <c r="W14">
        <v>41.539343009931201</v>
      </c>
      <c r="X14">
        <v>50.509337860781002</v>
      </c>
      <c r="Y14">
        <v>0.17348546832147799</v>
      </c>
      <c r="Z14" t="s">
        <v>744</v>
      </c>
      <c r="AA14" t="s">
        <v>724</v>
      </c>
    </row>
    <row r="15" spans="1:27" x14ac:dyDescent="0.45">
      <c r="A15" s="5" t="s">
        <v>14</v>
      </c>
      <c r="B15">
        <v>13</v>
      </c>
      <c r="C15">
        <v>0.3</v>
      </c>
      <c r="D15">
        <v>2.1299999999999999E-2</v>
      </c>
      <c r="E15">
        <v>1</v>
      </c>
      <c r="F15">
        <v>3</v>
      </c>
      <c r="G15">
        <f t="shared" si="0"/>
        <v>42.25352112676056</v>
      </c>
      <c r="T15" t="s">
        <v>730</v>
      </c>
      <c r="U15">
        <v>6</v>
      </c>
      <c r="V15">
        <v>6</v>
      </c>
      <c r="W15">
        <v>41.397030833650497</v>
      </c>
      <c r="X15">
        <v>35.8240593534711</v>
      </c>
      <c r="Y15">
        <v>0.63035552636186398</v>
      </c>
      <c r="Z15" t="s">
        <v>744</v>
      </c>
      <c r="AA15" t="s">
        <v>724</v>
      </c>
    </row>
    <row r="16" spans="1:27" x14ac:dyDescent="0.45">
      <c r="A16" s="5" t="s">
        <v>15</v>
      </c>
      <c r="B16">
        <v>14</v>
      </c>
      <c r="C16">
        <v>0.3</v>
      </c>
      <c r="D16">
        <v>2.2200000000000001E-2</v>
      </c>
      <c r="E16">
        <v>1</v>
      </c>
      <c r="F16">
        <v>3</v>
      </c>
      <c r="G16">
        <f t="shared" si="0"/>
        <v>40.540540540540533</v>
      </c>
      <c r="T16" t="s">
        <v>731</v>
      </c>
      <c r="U16">
        <v>6</v>
      </c>
      <c r="V16">
        <v>6</v>
      </c>
      <c r="W16">
        <v>47.121710526315802</v>
      </c>
      <c r="X16">
        <v>32.790801851575303</v>
      </c>
      <c r="Y16">
        <v>3.06389879377033E-2</v>
      </c>
      <c r="Z16" t="s">
        <v>744</v>
      </c>
      <c r="AA16" t="s">
        <v>725</v>
      </c>
    </row>
    <row r="17" spans="1:27" x14ac:dyDescent="0.45">
      <c r="A17" s="5" t="s">
        <v>16</v>
      </c>
      <c r="B17">
        <v>15</v>
      </c>
      <c r="C17">
        <v>0.2</v>
      </c>
      <c r="D17">
        <v>1.8499999999999999E-2</v>
      </c>
      <c r="E17">
        <v>1</v>
      </c>
      <c r="F17">
        <v>3</v>
      </c>
      <c r="G17">
        <f t="shared" si="0"/>
        <v>32.432432432432435</v>
      </c>
      <c r="T17" t="s">
        <v>732</v>
      </c>
      <c r="U17">
        <v>6</v>
      </c>
      <c r="V17">
        <v>6</v>
      </c>
      <c r="W17">
        <v>59.868617497760503</v>
      </c>
      <c r="X17">
        <v>46.910530305157103</v>
      </c>
      <c r="Y17">
        <v>0.57383092659837698</v>
      </c>
      <c r="Z17" t="s">
        <v>744</v>
      </c>
      <c r="AA17" t="s">
        <v>724</v>
      </c>
    </row>
    <row r="18" spans="1:27" x14ac:dyDescent="0.45">
      <c r="A18" s="5" t="s">
        <v>17</v>
      </c>
      <c r="B18">
        <v>16</v>
      </c>
      <c r="C18">
        <v>0.3</v>
      </c>
      <c r="D18">
        <v>2.1000000000000001E-2</v>
      </c>
      <c r="E18">
        <v>1</v>
      </c>
      <c r="F18">
        <v>3</v>
      </c>
      <c r="G18">
        <f t="shared" si="0"/>
        <v>42.857142857142847</v>
      </c>
      <c r="T18" t="s">
        <v>733</v>
      </c>
      <c r="U18">
        <v>6</v>
      </c>
      <c r="V18">
        <v>6</v>
      </c>
      <c r="W18">
        <v>42.824758525527301</v>
      </c>
      <c r="X18">
        <v>42.461333036608401</v>
      </c>
      <c r="Y18">
        <v>0.42252740716823101</v>
      </c>
      <c r="Z18" t="s">
        <v>744</v>
      </c>
      <c r="AA18" t="s">
        <v>724</v>
      </c>
    </row>
    <row r="19" spans="1:27" x14ac:dyDescent="0.45">
      <c r="A19" s="5" t="s">
        <v>18</v>
      </c>
      <c r="B19">
        <v>17</v>
      </c>
      <c r="C19">
        <v>0.2</v>
      </c>
      <c r="D19">
        <v>1.66E-2</v>
      </c>
      <c r="E19">
        <v>1</v>
      </c>
      <c r="F19">
        <v>3</v>
      </c>
      <c r="G19">
        <f t="shared" si="0"/>
        <v>36.144578313253014</v>
      </c>
      <c r="T19" t="s">
        <v>734</v>
      </c>
      <c r="U19">
        <v>6</v>
      </c>
      <c r="V19">
        <v>6</v>
      </c>
      <c r="W19">
        <v>15.840066870994701</v>
      </c>
      <c r="X19">
        <v>15.836536854420901</v>
      </c>
      <c r="Y19">
        <v>1</v>
      </c>
      <c r="Z19" t="s">
        <v>744</v>
      </c>
      <c r="AA19" t="s">
        <v>724</v>
      </c>
    </row>
    <row r="20" spans="1:27" x14ac:dyDescent="0.45">
      <c r="A20" s="5" t="s">
        <v>19</v>
      </c>
      <c r="B20">
        <v>18</v>
      </c>
      <c r="C20">
        <v>0.3</v>
      </c>
      <c r="D20">
        <v>1.9900000000000001E-2</v>
      </c>
      <c r="E20">
        <v>1</v>
      </c>
      <c r="F20">
        <v>3</v>
      </c>
      <c r="G20">
        <f t="shared" si="0"/>
        <v>45.226130653266324</v>
      </c>
      <c r="H20">
        <f>AVERAGE(G15:G20)</f>
        <v>39.909057653899289</v>
      </c>
      <c r="I20">
        <f>STDEV(G15:G20)/SQRT(6)</f>
        <v>1.9401802379015303</v>
      </c>
      <c r="T20" t="s">
        <v>735</v>
      </c>
      <c r="U20">
        <v>6</v>
      </c>
      <c r="V20">
        <v>6</v>
      </c>
      <c r="W20">
        <v>30.249923803718399</v>
      </c>
      <c r="X20">
        <v>30.789473684210499</v>
      </c>
      <c r="Y20">
        <v>0.57450381023466601</v>
      </c>
      <c r="Z20" t="s">
        <v>744</v>
      </c>
      <c r="AA20" t="s">
        <v>724</v>
      </c>
    </row>
    <row r="21" spans="1:27" x14ac:dyDescent="0.45">
      <c r="A21" s="5" t="s">
        <v>20</v>
      </c>
      <c r="B21">
        <v>19</v>
      </c>
      <c r="C21">
        <v>0.2</v>
      </c>
      <c r="D21">
        <v>1.8499999999999999E-2</v>
      </c>
      <c r="E21">
        <v>1</v>
      </c>
      <c r="F21">
        <v>3</v>
      </c>
      <c r="G21">
        <f t="shared" si="0"/>
        <v>32.432432432432435</v>
      </c>
      <c r="T21" t="s">
        <v>736</v>
      </c>
      <c r="U21">
        <v>6</v>
      </c>
      <c r="V21">
        <v>6</v>
      </c>
      <c r="W21">
        <v>22.460317460317501</v>
      </c>
      <c r="X21">
        <v>29.485631489978299</v>
      </c>
      <c r="Y21">
        <v>0.17348546832147799</v>
      </c>
      <c r="Z21" t="s">
        <v>744</v>
      </c>
      <c r="AA21" t="s">
        <v>724</v>
      </c>
    </row>
    <row r="22" spans="1:27" x14ac:dyDescent="0.45">
      <c r="A22" s="5" t="s">
        <v>21</v>
      </c>
      <c r="B22">
        <v>20</v>
      </c>
      <c r="C22">
        <v>0.2</v>
      </c>
      <c r="D22">
        <v>1.95E-2</v>
      </c>
      <c r="E22">
        <v>1</v>
      </c>
      <c r="F22">
        <v>3</v>
      </c>
      <c r="G22">
        <f t="shared" si="0"/>
        <v>30.769230769230774</v>
      </c>
      <c r="T22" t="s">
        <v>737</v>
      </c>
      <c r="U22">
        <v>6</v>
      </c>
      <c r="V22">
        <v>6</v>
      </c>
      <c r="W22">
        <v>31.393442622950801</v>
      </c>
      <c r="X22">
        <v>27.154325032765399</v>
      </c>
      <c r="Y22">
        <v>0.29710698354709297</v>
      </c>
      <c r="Z22" t="s">
        <v>744</v>
      </c>
      <c r="AA22" t="s">
        <v>724</v>
      </c>
    </row>
    <row r="23" spans="1:27" x14ac:dyDescent="0.45">
      <c r="A23" s="5" t="s">
        <v>22</v>
      </c>
      <c r="B23">
        <v>21</v>
      </c>
      <c r="C23">
        <v>0.3</v>
      </c>
      <c r="D23">
        <v>1.8599999999999998E-2</v>
      </c>
      <c r="E23">
        <v>1</v>
      </c>
      <c r="F23">
        <v>3</v>
      </c>
      <c r="G23">
        <f t="shared" si="0"/>
        <v>48.387096774193552</v>
      </c>
      <c r="T23" t="s">
        <v>738</v>
      </c>
      <c r="U23">
        <v>6</v>
      </c>
      <c r="V23">
        <v>6</v>
      </c>
      <c r="W23">
        <v>39.851097178683403</v>
      </c>
      <c r="X23">
        <v>42.371942573555501</v>
      </c>
      <c r="Y23">
        <v>0.47116999849005597</v>
      </c>
      <c r="Z23" t="s">
        <v>744</v>
      </c>
      <c r="AA23" t="s">
        <v>724</v>
      </c>
    </row>
    <row r="24" spans="1:27" x14ac:dyDescent="0.45">
      <c r="A24" s="5" t="s">
        <v>23</v>
      </c>
      <c r="B24">
        <v>22</v>
      </c>
      <c r="C24">
        <v>0.2</v>
      </c>
      <c r="D24">
        <v>2.1999999999999999E-2</v>
      </c>
      <c r="E24">
        <v>1</v>
      </c>
      <c r="F24">
        <v>3</v>
      </c>
      <c r="G24">
        <f t="shared" si="0"/>
        <v>27.272727272727273</v>
      </c>
    </row>
    <row r="25" spans="1:27" x14ac:dyDescent="0.45">
      <c r="A25" s="5" t="s">
        <v>24</v>
      </c>
      <c r="B25">
        <v>23</v>
      </c>
      <c r="C25">
        <v>0.3</v>
      </c>
      <c r="D25">
        <v>1.7600000000000001E-2</v>
      </c>
      <c r="E25">
        <v>1</v>
      </c>
      <c r="F25">
        <v>3</v>
      </c>
      <c r="G25">
        <f t="shared" si="0"/>
        <v>51.136363636363626</v>
      </c>
    </row>
    <row r="26" spans="1:27" ht="14.65" thickBot="1" x14ac:dyDescent="0.5">
      <c r="A26" s="6" t="s">
        <v>25</v>
      </c>
      <c r="B26" s="3">
        <v>24</v>
      </c>
      <c r="C26">
        <v>0.2</v>
      </c>
      <c r="D26" s="9">
        <v>1.5299999999999999E-2</v>
      </c>
      <c r="E26" s="9">
        <v>1</v>
      </c>
      <c r="F26" s="9">
        <v>3</v>
      </c>
      <c r="G26" s="9">
        <f t="shared" si="0"/>
        <v>39.215686274509814</v>
      </c>
      <c r="H26" s="9">
        <f>AVERAGE(G21:G26)</f>
        <v>38.20225619324291</v>
      </c>
      <c r="I26" s="9">
        <f>STDEV(G21:G26)/SQRT(6)</f>
        <v>4.0001853671565302</v>
      </c>
    </row>
    <row r="27" spans="1:27" x14ac:dyDescent="0.45">
      <c r="A27" s="4" t="s">
        <v>26</v>
      </c>
      <c r="B27">
        <v>25</v>
      </c>
      <c r="C27">
        <v>0.3</v>
      </c>
      <c r="D27">
        <v>1.9199999999999998E-2</v>
      </c>
      <c r="E27">
        <v>1</v>
      </c>
      <c r="F27">
        <v>3</v>
      </c>
      <c r="G27">
        <f t="shared" si="0"/>
        <v>46.875</v>
      </c>
    </row>
    <row r="28" spans="1:27" x14ac:dyDescent="0.45">
      <c r="A28" s="5" t="s">
        <v>27</v>
      </c>
      <c r="B28">
        <v>26</v>
      </c>
      <c r="C28">
        <v>0.3</v>
      </c>
      <c r="D28">
        <v>1.9E-2</v>
      </c>
      <c r="E28">
        <v>1</v>
      </c>
      <c r="F28">
        <v>3</v>
      </c>
      <c r="G28">
        <f t="shared" si="0"/>
        <v>47.368421052631582</v>
      </c>
    </row>
    <row r="29" spans="1:27" x14ac:dyDescent="0.45">
      <c r="A29" s="5" t="s">
        <v>28</v>
      </c>
      <c r="B29">
        <v>27</v>
      </c>
      <c r="C29">
        <v>0.3</v>
      </c>
      <c r="D29">
        <v>1.9699999999999999E-2</v>
      </c>
      <c r="E29">
        <v>1</v>
      </c>
      <c r="F29">
        <v>3</v>
      </c>
      <c r="G29">
        <f t="shared" si="0"/>
        <v>45.685279187817258</v>
      </c>
    </row>
    <row r="30" spans="1:27" x14ac:dyDescent="0.45">
      <c r="A30" s="5" t="s">
        <v>29</v>
      </c>
      <c r="B30">
        <v>28</v>
      </c>
      <c r="C30">
        <v>0.3</v>
      </c>
      <c r="D30">
        <v>1.6500000000000001E-2</v>
      </c>
      <c r="E30">
        <v>1</v>
      </c>
      <c r="F30">
        <v>3</v>
      </c>
      <c r="G30">
        <f t="shared" si="0"/>
        <v>54.54545454545454</v>
      </c>
    </row>
    <row r="31" spans="1:27" x14ac:dyDescent="0.45">
      <c r="A31" s="5" t="s">
        <v>30</v>
      </c>
      <c r="B31">
        <v>29</v>
      </c>
      <c r="C31">
        <v>0.4</v>
      </c>
      <c r="D31">
        <v>1.9099999999999999E-2</v>
      </c>
      <c r="E31">
        <v>1</v>
      </c>
      <c r="F31">
        <v>3</v>
      </c>
      <c r="G31">
        <f t="shared" si="0"/>
        <v>62.827225130890056</v>
      </c>
    </row>
    <row r="32" spans="1:27" x14ac:dyDescent="0.45">
      <c r="A32" s="5" t="s">
        <v>31</v>
      </c>
      <c r="B32">
        <v>30</v>
      </c>
      <c r="C32">
        <v>0.3</v>
      </c>
      <c r="D32">
        <v>1.9599999999999999E-2</v>
      </c>
      <c r="E32">
        <v>1</v>
      </c>
      <c r="F32">
        <v>3</v>
      </c>
      <c r="G32">
        <f t="shared" si="0"/>
        <v>45.918367346938773</v>
      </c>
      <c r="H32">
        <f>AVERAGE(G27:G32)</f>
        <v>50.536624543955377</v>
      </c>
      <c r="I32">
        <f>STDEV(G27:G32)/SQRT(6)</f>
        <v>2.8014189246054646</v>
      </c>
    </row>
    <row r="33" spans="1:9" x14ac:dyDescent="0.45">
      <c r="A33" s="5" t="s">
        <v>32</v>
      </c>
      <c r="B33">
        <v>31</v>
      </c>
      <c r="C33">
        <v>0.2</v>
      </c>
      <c r="D33">
        <v>1.8499999999999999E-2</v>
      </c>
      <c r="E33">
        <v>1</v>
      </c>
      <c r="F33">
        <v>3</v>
      </c>
      <c r="G33">
        <f t="shared" si="0"/>
        <v>32.432432432432435</v>
      </c>
    </row>
    <row r="34" spans="1:9" x14ac:dyDescent="0.45">
      <c r="A34" s="5" t="s">
        <v>33</v>
      </c>
      <c r="B34">
        <v>32</v>
      </c>
      <c r="C34">
        <v>0.3</v>
      </c>
      <c r="D34">
        <v>0.02</v>
      </c>
      <c r="E34">
        <v>1</v>
      </c>
      <c r="F34">
        <v>3</v>
      </c>
      <c r="G34">
        <f t="shared" si="0"/>
        <v>45</v>
      </c>
    </row>
    <row r="35" spans="1:9" x14ac:dyDescent="0.45">
      <c r="A35" s="5" t="s">
        <v>34</v>
      </c>
      <c r="B35">
        <v>33</v>
      </c>
      <c r="C35">
        <v>0.3</v>
      </c>
      <c r="D35">
        <v>1.66E-2</v>
      </c>
      <c r="E35">
        <v>1</v>
      </c>
      <c r="F35">
        <v>3</v>
      </c>
      <c r="G35">
        <f t="shared" si="0"/>
        <v>54.21686746987951</v>
      </c>
    </row>
    <row r="36" spans="1:9" x14ac:dyDescent="0.45">
      <c r="A36" s="5" t="s">
        <v>35</v>
      </c>
      <c r="B36">
        <v>34</v>
      </c>
      <c r="C36">
        <v>0.2</v>
      </c>
      <c r="D36">
        <v>1.8100000000000002E-2</v>
      </c>
      <c r="E36">
        <v>1</v>
      </c>
      <c r="F36">
        <v>3</v>
      </c>
      <c r="G36">
        <f t="shared" si="0"/>
        <v>33.149171270718227</v>
      </c>
    </row>
    <row r="37" spans="1:9" x14ac:dyDescent="0.45">
      <c r="A37" s="5" t="s">
        <v>36</v>
      </c>
      <c r="B37">
        <v>35</v>
      </c>
      <c r="C37">
        <v>0.2</v>
      </c>
      <c r="D37">
        <v>1.8599999999999998E-2</v>
      </c>
      <c r="E37">
        <v>1</v>
      </c>
      <c r="F37">
        <v>3</v>
      </c>
      <c r="G37">
        <f t="shared" si="0"/>
        <v>32.258064516129039</v>
      </c>
    </row>
    <row r="38" spans="1:9" ht="14.65" thickBot="1" x14ac:dyDescent="0.5">
      <c r="A38" s="6" t="s">
        <v>37</v>
      </c>
      <c r="B38" s="3">
        <v>36</v>
      </c>
      <c r="C38">
        <v>0.2</v>
      </c>
      <c r="D38" s="9">
        <v>2.23E-2</v>
      </c>
      <c r="E38" s="9">
        <v>1</v>
      </c>
      <c r="F38" s="9">
        <v>3</v>
      </c>
      <c r="G38" s="9">
        <f t="shared" si="0"/>
        <v>26.905829596412552</v>
      </c>
      <c r="H38" s="9">
        <f>AVERAGE(G33:G38)</f>
        <v>37.327060880928627</v>
      </c>
      <c r="I38" s="9">
        <f>STDEV(G33:G38)/SQRT(6)</f>
        <v>4.1627254542058774</v>
      </c>
    </row>
    <row r="39" spans="1:9" x14ac:dyDescent="0.45">
      <c r="A39" s="4" t="s">
        <v>38</v>
      </c>
      <c r="B39">
        <v>37</v>
      </c>
      <c r="C39">
        <v>0.5</v>
      </c>
      <c r="D39">
        <v>1.7100000000000001E-2</v>
      </c>
      <c r="E39">
        <v>1</v>
      </c>
      <c r="F39">
        <v>3</v>
      </c>
      <c r="G39">
        <f t="shared" si="0"/>
        <v>87.719298245614027</v>
      </c>
    </row>
    <row r="40" spans="1:9" x14ac:dyDescent="0.45">
      <c r="A40" s="5" t="s">
        <v>39</v>
      </c>
      <c r="B40">
        <v>38</v>
      </c>
      <c r="C40">
        <v>0.5</v>
      </c>
      <c r="D40">
        <v>1.8800000000000001E-2</v>
      </c>
      <c r="E40">
        <v>1</v>
      </c>
      <c r="F40">
        <v>3</v>
      </c>
      <c r="G40">
        <f t="shared" si="0"/>
        <v>79.787234042553195</v>
      </c>
    </row>
    <row r="41" spans="1:9" x14ac:dyDescent="0.45">
      <c r="A41" s="5" t="s">
        <v>40</v>
      </c>
      <c r="B41">
        <v>39</v>
      </c>
      <c r="C41">
        <v>0.2</v>
      </c>
      <c r="D41">
        <v>1.5900000000000001E-2</v>
      </c>
      <c r="E41">
        <v>1</v>
      </c>
      <c r="F41">
        <v>3</v>
      </c>
      <c r="G41">
        <f t="shared" si="0"/>
        <v>37.735849056603776</v>
      </c>
    </row>
    <row r="42" spans="1:9" x14ac:dyDescent="0.45">
      <c r="A42" s="5" t="s">
        <v>41</v>
      </c>
      <c r="B42">
        <v>40</v>
      </c>
      <c r="C42">
        <v>0.4</v>
      </c>
      <c r="D42">
        <v>1.9699999999999999E-2</v>
      </c>
      <c r="E42">
        <v>1</v>
      </c>
      <c r="F42">
        <v>3</v>
      </c>
      <c r="G42">
        <f t="shared" si="0"/>
        <v>60.913705583756354</v>
      </c>
    </row>
    <row r="43" spans="1:9" x14ac:dyDescent="0.45">
      <c r="A43" s="5" t="s">
        <v>42</v>
      </c>
      <c r="B43">
        <v>41</v>
      </c>
      <c r="C43">
        <v>0.4</v>
      </c>
      <c r="D43">
        <v>2.0400000000000001E-2</v>
      </c>
      <c r="E43">
        <v>1</v>
      </c>
      <c r="F43">
        <v>3</v>
      </c>
      <c r="G43">
        <f t="shared" si="0"/>
        <v>58.82352941176471</v>
      </c>
    </row>
    <row r="44" spans="1:9" x14ac:dyDescent="0.45">
      <c r="A44" s="5" t="s">
        <v>43</v>
      </c>
      <c r="B44">
        <v>42</v>
      </c>
      <c r="C44">
        <v>0.2</v>
      </c>
      <c r="D44">
        <v>1.84E-2</v>
      </c>
      <c r="E44">
        <v>1</v>
      </c>
      <c r="F44">
        <v>3</v>
      </c>
      <c r="G44">
        <f t="shared" si="0"/>
        <v>32.608695652173914</v>
      </c>
      <c r="H44">
        <f>AVERAGE(G39:G44)</f>
        <v>59.598051998744324</v>
      </c>
      <c r="I44">
        <f>STDEV(G39:G44)/SQRT(6)</f>
        <v>8.9575287982682212</v>
      </c>
    </row>
    <row r="45" spans="1:9" x14ac:dyDescent="0.45">
      <c r="A45" s="5" t="s">
        <v>44</v>
      </c>
      <c r="B45">
        <v>43</v>
      </c>
      <c r="C45">
        <v>0.2</v>
      </c>
      <c r="D45">
        <v>1.9099999999999999E-2</v>
      </c>
      <c r="E45">
        <v>1</v>
      </c>
      <c r="F45">
        <v>3</v>
      </c>
      <c r="G45">
        <f t="shared" si="0"/>
        <v>31.413612565445028</v>
      </c>
    </row>
    <row r="46" spans="1:9" x14ac:dyDescent="0.45">
      <c r="A46" s="5" t="s">
        <v>45</v>
      </c>
      <c r="B46">
        <v>44</v>
      </c>
      <c r="C46">
        <v>0.2</v>
      </c>
      <c r="D46">
        <v>1.7899999999999999E-2</v>
      </c>
      <c r="E46">
        <v>1</v>
      </c>
      <c r="F46">
        <v>3</v>
      </c>
      <c r="G46">
        <f t="shared" si="0"/>
        <v>33.519553072625698</v>
      </c>
    </row>
    <row r="47" spans="1:9" x14ac:dyDescent="0.45">
      <c r="A47" s="5" t="s">
        <v>46</v>
      </c>
      <c r="B47">
        <v>45</v>
      </c>
      <c r="C47">
        <v>0.4</v>
      </c>
      <c r="D47">
        <v>1.9900000000000001E-2</v>
      </c>
      <c r="E47">
        <v>1</v>
      </c>
      <c r="F47">
        <v>3</v>
      </c>
      <c r="G47">
        <f t="shared" si="0"/>
        <v>60.301507537688437</v>
      </c>
    </row>
    <row r="48" spans="1:9" x14ac:dyDescent="0.45">
      <c r="A48" s="5" t="s">
        <v>47</v>
      </c>
      <c r="B48">
        <v>46</v>
      </c>
      <c r="C48">
        <v>0.2</v>
      </c>
      <c r="D48">
        <v>1.84E-2</v>
      </c>
      <c r="E48">
        <v>1</v>
      </c>
      <c r="F48">
        <v>3</v>
      </c>
      <c r="G48">
        <f t="shared" si="0"/>
        <v>32.608695652173914</v>
      </c>
    </row>
    <row r="49" spans="1:9" x14ac:dyDescent="0.45">
      <c r="A49" s="5" t="s">
        <v>48</v>
      </c>
      <c r="B49">
        <v>47</v>
      </c>
      <c r="C49">
        <v>0.4</v>
      </c>
      <c r="D49">
        <v>1.9699999999999999E-2</v>
      </c>
      <c r="E49">
        <v>1</v>
      </c>
      <c r="F49">
        <v>3</v>
      </c>
      <c r="G49">
        <f t="shared" si="0"/>
        <v>60.913705583756354</v>
      </c>
    </row>
    <row r="50" spans="1:9" ht="14.65" thickBot="1" x14ac:dyDescent="0.5">
      <c r="A50" s="6" t="s">
        <v>49</v>
      </c>
      <c r="B50" s="3">
        <v>48</v>
      </c>
      <c r="C50">
        <v>0.7</v>
      </c>
      <c r="D50" s="9">
        <v>2.1299999999999999E-2</v>
      </c>
      <c r="E50" s="9">
        <v>1</v>
      </c>
      <c r="F50" s="9">
        <v>3</v>
      </c>
      <c r="G50" s="9">
        <f t="shared" si="0"/>
        <v>98.591549295774655</v>
      </c>
      <c r="H50" s="9">
        <f>AVERAGE(G45:G50)</f>
        <v>52.891437284577343</v>
      </c>
      <c r="I50" s="9">
        <f>STDEV(G45:G50)/SQRT(6)</f>
        <v>10.7326955737595</v>
      </c>
    </row>
    <row r="51" spans="1:9" x14ac:dyDescent="0.45">
      <c r="A51" s="4" t="s">
        <v>50</v>
      </c>
      <c r="B51">
        <v>49</v>
      </c>
      <c r="C51">
        <v>0.3</v>
      </c>
      <c r="D51">
        <v>1.7500000000000002E-2</v>
      </c>
      <c r="E51">
        <v>1</v>
      </c>
      <c r="F51">
        <v>3</v>
      </c>
      <c r="G51">
        <f t="shared" si="0"/>
        <v>51.428571428571431</v>
      </c>
    </row>
    <row r="52" spans="1:9" x14ac:dyDescent="0.45">
      <c r="A52" s="5" t="s">
        <v>51</v>
      </c>
      <c r="B52">
        <v>50</v>
      </c>
      <c r="C52">
        <v>0.3</v>
      </c>
      <c r="D52">
        <v>1.78E-2</v>
      </c>
      <c r="E52">
        <v>1</v>
      </c>
      <c r="F52">
        <v>3</v>
      </c>
      <c r="G52">
        <f t="shared" si="0"/>
        <v>50.561797752808992</v>
      </c>
    </row>
    <row r="53" spans="1:9" x14ac:dyDescent="0.45">
      <c r="A53" s="5" t="s">
        <v>52</v>
      </c>
      <c r="B53">
        <v>51</v>
      </c>
      <c r="C53">
        <v>0.2</v>
      </c>
      <c r="D53">
        <v>1.8700000000000001E-2</v>
      </c>
      <c r="E53">
        <v>1</v>
      </c>
      <c r="F53">
        <v>3</v>
      </c>
      <c r="G53">
        <f t="shared" si="0"/>
        <v>32.085561497326204</v>
      </c>
    </row>
    <row r="54" spans="1:9" x14ac:dyDescent="0.45">
      <c r="A54" s="5" t="s">
        <v>53</v>
      </c>
      <c r="B54">
        <v>52</v>
      </c>
      <c r="C54">
        <v>0.3</v>
      </c>
      <c r="D54">
        <v>1.66E-2</v>
      </c>
      <c r="E54">
        <v>1</v>
      </c>
      <c r="F54">
        <v>3</v>
      </c>
      <c r="G54">
        <f t="shared" si="0"/>
        <v>54.21686746987951</v>
      </c>
    </row>
    <row r="55" spans="1:9" x14ac:dyDescent="0.45">
      <c r="A55" s="5" t="s">
        <v>54</v>
      </c>
      <c r="B55">
        <v>53</v>
      </c>
      <c r="C55">
        <v>0.2</v>
      </c>
      <c r="D55">
        <v>1.8100000000000002E-2</v>
      </c>
      <c r="E55">
        <v>1</v>
      </c>
      <c r="F55">
        <v>3</v>
      </c>
      <c r="G55">
        <f t="shared" si="0"/>
        <v>33.149171270718227</v>
      </c>
    </row>
    <row r="56" spans="1:9" x14ac:dyDescent="0.45">
      <c r="A56" s="5" t="s">
        <v>55</v>
      </c>
      <c r="B56">
        <v>54</v>
      </c>
      <c r="C56">
        <v>0.2</v>
      </c>
      <c r="D56">
        <v>1.7100000000000001E-2</v>
      </c>
      <c r="E56">
        <v>1</v>
      </c>
      <c r="F56">
        <v>3</v>
      </c>
      <c r="G56">
        <f t="shared" si="0"/>
        <v>35.087719298245617</v>
      </c>
      <c r="H56">
        <f>AVERAGE(G51:G56)</f>
        <v>42.754948119591667</v>
      </c>
      <c r="I56">
        <f>STDEV(G51:G56)/SQRT(6)</f>
        <v>4.212866780308679</v>
      </c>
    </row>
    <row r="57" spans="1:9" x14ac:dyDescent="0.45">
      <c r="A57" s="5" t="s">
        <v>56</v>
      </c>
      <c r="B57">
        <v>55</v>
      </c>
      <c r="C57">
        <v>0.2</v>
      </c>
      <c r="D57">
        <v>1.8700000000000001E-2</v>
      </c>
      <c r="E57">
        <v>1</v>
      </c>
      <c r="F57">
        <v>3</v>
      </c>
      <c r="G57">
        <f t="shared" si="0"/>
        <v>32.085561497326204</v>
      </c>
    </row>
    <row r="58" spans="1:9" x14ac:dyDescent="0.45">
      <c r="A58" s="5" t="s">
        <v>57</v>
      </c>
      <c r="B58">
        <v>56</v>
      </c>
      <c r="C58">
        <v>0.3</v>
      </c>
      <c r="D58">
        <v>2.0899999999999998E-2</v>
      </c>
      <c r="E58">
        <v>1</v>
      </c>
      <c r="F58">
        <v>3</v>
      </c>
      <c r="G58">
        <f t="shared" si="0"/>
        <v>43.062200956937801</v>
      </c>
    </row>
    <row r="59" spans="1:9" x14ac:dyDescent="0.45">
      <c r="A59" s="5" t="s">
        <v>58</v>
      </c>
      <c r="B59">
        <v>57</v>
      </c>
      <c r="C59">
        <v>0.3</v>
      </c>
      <c r="D59">
        <v>1.89E-2</v>
      </c>
      <c r="E59">
        <v>1</v>
      </c>
      <c r="F59">
        <v>3</v>
      </c>
      <c r="G59">
        <f t="shared" si="0"/>
        <v>47.61904761904762</v>
      </c>
    </row>
    <row r="60" spans="1:9" x14ac:dyDescent="0.45">
      <c r="A60" s="5" t="s">
        <v>59</v>
      </c>
      <c r="B60">
        <v>58</v>
      </c>
      <c r="C60">
        <v>0.3</v>
      </c>
      <c r="D60">
        <v>1.9E-2</v>
      </c>
      <c r="E60">
        <v>1</v>
      </c>
      <c r="F60">
        <v>3</v>
      </c>
      <c r="G60">
        <f t="shared" si="0"/>
        <v>47.368421052631582</v>
      </c>
    </row>
    <row r="61" spans="1:9" x14ac:dyDescent="0.45">
      <c r="A61" s="5" t="s">
        <v>60</v>
      </c>
      <c r="B61">
        <v>59</v>
      </c>
      <c r="C61">
        <v>0.3</v>
      </c>
      <c r="D61">
        <v>2.1499999999999998E-2</v>
      </c>
      <c r="E61">
        <v>1</v>
      </c>
      <c r="F61">
        <v>3</v>
      </c>
      <c r="G61">
        <f t="shared" si="0"/>
        <v>41.860465116279073</v>
      </c>
    </row>
    <row r="62" spans="1:9" ht="14.65" thickBot="1" x14ac:dyDescent="0.5">
      <c r="A62" s="6" t="s">
        <v>61</v>
      </c>
      <c r="B62" s="3">
        <v>60</v>
      </c>
      <c r="C62">
        <v>0.2</v>
      </c>
      <c r="D62" s="9">
        <v>1.9900000000000001E-2</v>
      </c>
      <c r="E62" s="9">
        <v>1</v>
      </c>
      <c r="F62" s="9">
        <v>3</v>
      </c>
      <c r="G62" s="9">
        <f t="shared" si="0"/>
        <v>30.150753768844218</v>
      </c>
      <c r="H62" s="9">
        <f>AVERAGE(G57:G62)</f>
        <v>40.357741668511089</v>
      </c>
      <c r="I62" s="9">
        <f>STDEV(G57:G62)/SQRT(6)</f>
        <v>3.0771200502306657</v>
      </c>
    </row>
    <row r="63" spans="1:9" x14ac:dyDescent="0.45">
      <c r="A63" s="4" t="s">
        <v>62</v>
      </c>
      <c r="B63">
        <v>61</v>
      </c>
      <c r="C63">
        <v>0.1</v>
      </c>
      <c r="D63">
        <v>1.8499999999999999E-2</v>
      </c>
      <c r="E63">
        <v>1</v>
      </c>
      <c r="F63">
        <v>3</v>
      </c>
      <c r="G63">
        <f t="shared" si="0"/>
        <v>16.216216216216218</v>
      </c>
    </row>
    <row r="64" spans="1:9" x14ac:dyDescent="0.45">
      <c r="A64" s="5" t="s">
        <v>63</v>
      </c>
      <c r="B64">
        <v>62</v>
      </c>
      <c r="C64">
        <v>0.1</v>
      </c>
      <c r="D64">
        <v>2.1000000000000001E-2</v>
      </c>
      <c r="E64">
        <v>1</v>
      </c>
      <c r="F64">
        <v>3</v>
      </c>
      <c r="G64">
        <f t="shared" si="0"/>
        <v>14.285714285714285</v>
      </c>
    </row>
    <row r="65" spans="1:9" x14ac:dyDescent="0.45">
      <c r="A65" s="5" t="s">
        <v>64</v>
      </c>
      <c r="B65">
        <v>63</v>
      </c>
      <c r="C65">
        <v>0.1</v>
      </c>
      <c r="D65">
        <v>1.9400000000000001E-2</v>
      </c>
      <c r="E65">
        <v>1</v>
      </c>
      <c r="F65">
        <v>3</v>
      </c>
      <c r="G65">
        <f t="shared" si="0"/>
        <v>15.463917525773198</v>
      </c>
    </row>
    <row r="66" spans="1:9" x14ac:dyDescent="0.45">
      <c r="A66" s="5" t="s">
        <v>65</v>
      </c>
      <c r="B66">
        <v>64</v>
      </c>
      <c r="C66">
        <v>0.1</v>
      </c>
      <c r="D66">
        <v>1.7500000000000002E-2</v>
      </c>
      <c r="E66">
        <v>1</v>
      </c>
      <c r="F66">
        <v>3</v>
      </c>
      <c r="G66">
        <f t="shared" si="0"/>
        <v>17.142857142857142</v>
      </c>
    </row>
    <row r="67" spans="1:9" x14ac:dyDescent="0.45">
      <c r="A67" s="5" t="s">
        <v>66</v>
      </c>
      <c r="B67">
        <v>65</v>
      </c>
      <c r="C67">
        <v>0.2</v>
      </c>
      <c r="D67">
        <v>2.0500000000000001E-2</v>
      </c>
      <c r="E67">
        <v>1</v>
      </c>
      <c r="F67">
        <v>3</v>
      </c>
      <c r="G67">
        <f t="shared" si="0"/>
        <v>29.268292682926834</v>
      </c>
    </row>
    <row r="68" spans="1:9" x14ac:dyDescent="0.45">
      <c r="A68" s="5" t="s">
        <v>67</v>
      </c>
      <c r="B68">
        <v>66</v>
      </c>
      <c r="C68">
        <v>0.1</v>
      </c>
      <c r="D68">
        <v>1.9800000000000002E-2</v>
      </c>
      <c r="E68">
        <v>1</v>
      </c>
      <c r="F68">
        <v>3</v>
      </c>
      <c r="G68">
        <f t="shared" ref="G68:G122" si="1">(C68*(E68/D68)*F68)</f>
        <v>15.15151515151515</v>
      </c>
      <c r="H68">
        <f>AVERAGE(G63:G68)</f>
        <v>17.921418834167138</v>
      </c>
      <c r="I68">
        <f>STDEV(G63:G68)/SQRT(6)</f>
        <v>2.3035873984626449</v>
      </c>
    </row>
    <row r="69" spans="1:9" x14ac:dyDescent="0.45">
      <c r="A69" s="5" t="s">
        <v>68</v>
      </c>
      <c r="B69">
        <v>67</v>
      </c>
      <c r="C69">
        <v>0.1</v>
      </c>
      <c r="D69">
        <v>1.7399999999999999E-2</v>
      </c>
      <c r="E69">
        <v>1</v>
      </c>
      <c r="F69">
        <v>3</v>
      </c>
      <c r="G69">
        <f t="shared" si="1"/>
        <v>17.241379310344829</v>
      </c>
    </row>
    <row r="70" spans="1:9" x14ac:dyDescent="0.45">
      <c r="A70" s="5" t="s">
        <v>69</v>
      </c>
      <c r="B70">
        <v>68</v>
      </c>
      <c r="C70">
        <v>0.1</v>
      </c>
      <c r="D70">
        <v>1.6199999999999999E-2</v>
      </c>
      <c r="E70">
        <v>1</v>
      </c>
      <c r="F70">
        <v>3</v>
      </c>
      <c r="G70">
        <f t="shared" si="1"/>
        <v>18.518518518518519</v>
      </c>
    </row>
    <row r="71" spans="1:9" x14ac:dyDescent="0.45">
      <c r="A71" s="5" t="s">
        <v>70</v>
      </c>
      <c r="B71">
        <v>69</v>
      </c>
      <c r="C71">
        <v>0.1</v>
      </c>
      <c r="D71">
        <v>2.1899999999999999E-2</v>
      </c>
      <c r="E71">
        <v>1</v>
      </c>
      <c r="F71">
        <v>3</v>
      </c>
      <c r="G71">
        <f t="shared" si="1"/>
        <v>13.698630136986303</v>
      </c>
    </row>
    <row r="72" spans="1:9" x14ac:dyDescent="0.45">
      <c r="A72" s="5" t="s">
        <v>71</v>
      </c>
      <c r="B72">
        <v>70</v>
      </c>
      <c r="C72">
        <v>0.1</v>
      </c>
      <c r="D72">
        <v>1.9400000000000001E-2</v>
      </c>
      <c r="E72">
        <v>1</v>
      </c>
      <c r="F72">
        <v>3</v>
      </c>
      <c r="G72">
        <f t="shared" si="1"/>
        <v>15.463917525773198</v>
      </c>
    </row>
    <row r="73" spans="1:9" x14ac:dyDescent="0.45">
      <c r="A73" s="5" t="s">
        <v>72</v>
      </c>
      <c r="B73">
        <v>71</v>
      </c>
      <c r="C73">
        <v>0.1</v>
      </c>
      <c r="D73">
        <v>1.9300000000000001E-2</v>
      </c>
      <c r="E73">
        <v>1</v>
      </c>
      <c r="F73">
        <v>3</v>
      </c>
      <c r="G73">
        <f t="shared" si="1"/>
        <v>15.544041450777204</v>
      </c>
    </row>
    <row r="74" spans="1:9" ht="14.65" thickBot="1" x14ac:dyDescent="0.5">
      <c r="A74" s="6" t="s">
        <v>73</v>
      </c>
      <c r="B74" s="3">
        <v>72</v>
      </c>
      <c r="C74">
        <v>0.1</v>
      </c>
      <c r="D74" s="9">
        <v>1.8599999999999998E-2</v>
      </c>
      <c r="E74" s="9">
        <v>1</v>
      </c>
      <c r="F74" s="9">
        <v>3</v>
      </c>
      <c r="G74" s="9">
        <f t="shared" si="1"/>
        <v>16.12903225806452</v>
      </c>
      <c r="H74" s="9">
        <f>AVERAGE(G69:G74)</f>
        <v>16.099253200077428</v>
      </c>
      <c r="I74" s="9">
        <f>STDEV(G69:G74)/SQRT(6)</f>
        <v>0.67411883526350314</v>
      </c>
    </row>
    <row r="75" spans="1:9" x14ac:dyDescent="0.45">
      <c r="A75" s="4" t="s">
        <v>74</v>
      </c>
      <c r="B75">
        <v>73</v>
      </c>
      <c r="C75">
        <v>0.1</v>
      </c>
      <c r="D75">
        <v>1.7000000000000001E-2</v>
      </c>
      <c r="E75">
        <v>1</v>
      </c>
      <c r="F75">
        <v>3</v>
      </c>
      <c r="G75">
        <f t="shared" si="1"/>
        <v>17.647058823529413</v>
      </c>
    </row>
    <row r="76" spans="1:9" x14ac:dyDescent="0.45">
      <c r="A76" s="5" t="s">
        <v>75</v>
      </c>
      <c r="B76">
        <v>74</v>
      </c>
      <c r="C76">
        <v>0.1</v>
      </c>
      <c r="D76">
        <v>2.1299999999999999E-2</v>
      </c>
      <c r="E76">
        <v>1</v>
      </c>
      <c r="F76">
        <v>3</v>
      </c>
      <c r="G76">
        <f t="shared" si="1"/>
        <v>14.084507042253522</v>
      </c>
    </row>
    <row r="77" spans="1:9" x14ac:dyDescent="0.45">
      <c r="A77" s="5" t="s">
        <v>76</v>
      </c>
      <c r="B77">
        <v>75</v>
      </c>
      <c r="C77">
        <v>0.2</v>
      </c>
      <c r="D77">
        <v>1.9300000000000001E-2</v>
      </c>
      <c r="E77">
        <v>1</v>
      </c>
      <c r="F77">
        <v>3</v>
      </c>
      <c r="G77">
        <f t="shared" si="1"/>
        <v>31.088082901554408</v>
      </c>
    </row>
    <row r="78" spans="1:9" x14ac:dyDescent="0.45">
      <c r="A78" s="5" t="s">
        <v>77</v>
      </c>
      <c r="B78">
        <v>76</v>
      </c>
      <c r="C78">
        <v>0.2</v>
      </c>
      <c r="D78">
        <v>1.9300000000000001E-2</v>
      </c>
      <c r="E78">
        <v>1</v>
      </c>
      <c r="F78">
        <v>3</v>
      </c>
      <c r="G78">
        <f t="shared" si="1"/>
        <v>31.088082901554408</v>
      </c>
    </row>
    <row r="79" spans="1:9" x14ac:dyDescent="0.45">
      <c r="A79" s="5" t="s">
        <v>78</v>
      </c>
      <c r="B79">
        <v>77</v>
      </c>
      <c r="C79">
        <v>0.2</v>
      </c>
      <c r="D79">
        <v>2.0400000000000001E-2</v>
      </c>
      <c r="E79">
        <v>1</v>
      </c>
      <c r="F79">
        <v>3</v>
      </c>
      <c r="G79">
        <f t="shared" si="1"/>
        <v>29.411764705882355</v>
      </c>
    </row>
    <row r="80" spans="1:9" x14ac:dyDescent="0.45">
      <c r="A80" s="5" t="s">
        <v>79</v>
      </c>
      <c r="B80">
        <v>78</v>
      </c>
      <c r="C80">
        <v>0.2</v>
      </c>
      <c r="D80">
        <v>1.7399999999999999E-2</v>
      </c>
      <c r="E80">
        <v>1</v>
      </c>
      <c r="F80">
        <v>3</v>
      </c>
      <c r="G80">
        <f t="shared" si="1"/>
        <v>34.482758620689658</v>
      </c>
      <c r="H80">
        <f>AVERAGE(G75:G80)</f>
        <v>26.300375832577291</v>
      </c>
      <c r="I80">
        <f>STDEV(G75:G80)/SQRT(6)</f>
        <v>3.398939797104755</v>
      </c>
    </row>
    <row r="81" spans="1:9" x14ac:dyDescent="0.45">
      <c r="A81" s="5" t="s">
        <v>80</v>
      </c>
      <c r="B81">
        <v>79</v>
      </c>
      <c r="C81">
        <v>0.2</v>
      </c>
      <c r="D81">
        <v>1.9E-2</v>
      </c>
      <c r="E81">
        <v>1</v>
      </c>
      <c r="F81">
        <v>3</v>
      </c>
      <c r="G81">
        <f t="shared" si="1"/>
        <v>31.578947368421055</v>
      </c>
    </row>
    <row r="82" spans="1:9" x14ac:dyDescent="0.45">
      <c r="A82" s="5" t="s">
        <v>81</v>
      </c>
      <c r="B82">
        <v>80</v>
      </c>
      <c r="C82">
        <v>0.3</v>
      </c>
      <c r="D82">
        <v>2.1899999999999999E-2</v>
      </c>
      <c r="E82">
        <v>1</v>
      </c>
      <c r="F82">
        <v>3</v>
      </c>
      <c r="G82">
        <f t="shared" si="1"/>
        <v>41.095890410958901</v>
      </c>
    </row>
    <row r="83" spans="1:9" x14ac:dyDescent="0.45">
      <c r="A83" s="5" t="s">
        <v>82</v>
      </c>
      <c r="B83">
        <v>81</v>
      </c>
      <c r="C83">
        <v>0.1</v>
      </c>
      <c r="D83">
        <v>1.67E-2</v>
      </c>
      <c r="E83">
        <v>1</v>
      </c>
      <c r="F83">
        <v>3</v>
      </c>
      <c r="G83">
        <f t="shared" si="1"/>
        <v>17.964071856287426</v>
      </c>
    </row>
    <row r="84" spans="1:9" x14ac:dyDescent="0.45">
      <c r="A84" s="5" t="s">
        <v>83</v>
      </c>
      <c r="B84">
        <v>82</v>
      </c>
      <c r="C84">
        <v>0.1</v>
      </c>
      <c r="D84">
        <v>1.7999999999999999E-2</v>
      </c>
      <c r="E84">
        <v>1</v>
      </c>
      <c r="F84">
        <v>3</v>
      </c>
      <c r="G84">
        <f t="shared" si="1"/>
        <v>16.666666666666668</v>
      </c>
    </row>
    <row r="85" spans="1:9" x14ac:dyDescent="0.45">
      <c r="A85" s="5" t="s">
        <v>84</v>
      </c>
      <c r="B85">
        <v>83</v>
      </c>
      <c r="C85">
        <v>0.2</v>
      </c>
      <c r="D85">
        <v>1.83E-2</v>
      </c>
      <c r="E85">
        <v>1</v>
      </c>
      <c r="F85">
        <v>3</v>
      </c>
      <c r="G85">
        <f t="shared" si="1"/>
        <v>32.786885245901644</v>
      </c>
    </row>
    <row r="86" spans="1:9" ht="14.65" thickBot="1" x14ac:dyDescent="0.5">
      <c r="A86" s="6" t="s">
        <v>85</v>
      </c>
      <c r="B86" s="3">
        <v>84</v>
      </c>
      <c r="C86">
        <v>0.2</v>
      </c>
      <c r="D86" s="9">
        <v>0.02</v>
      </c>
      <c r="E86" s="9">
        <v>1</v>
      </c>
      <c r="F86" s="9">
        <v>3</v>
      </c>
      <c r="G86" s="9">
        <f t="shared" si="1"/>
        <v>30</v>
      </c>
      <c r="H86" s="9">
        <f>AVERAGE(G81:G86)</f>
        <v>28.348743591372614</v>
      </c>
      <c r="I86" s="9">
        <f>STDEV(G81:G86)/SQRT(6)</f>
        <v>3.8282286847151239</v>
      </c>
    </row>
    <row r="87" spans="1:9" x14ac:dyDescent="0.45">
      <c r="A87" s="4" t="s">
        <v>86</v>
      </c>
      <c r="B87">
        <v>85</v>
      </c>
      <c r="C87">
        <v>0.4</v>
      </c>
      <c r="D87">
        <v>2.2499999999999999E-2</v>
      </c>
      <c r="E87">
        <v>1</v>
      </c>
      <c r="F87">
        <v>3</v>
      </c>
      <c r="G87">
        <f t="shared" si="1"/>
        <v>53.333333333333336</v>
      </c>
    </row>
    <row r="88" spans="1:9" x14ac:dyDescent="0.45">
      <c r="A88" s="5" t="s">
        <v>87</v>
      </c>
      <c r="B88">
        <v>86</v>
      </c>
      <c r="C88">
        <v>0.2</v>
      </c>
      <c r="D88">
        <v>2.0799999999999999E-2</v>
      </c>
      <c r="E88">
        <v>1</v>
      </c>
      <c r="F88">
        <v>3</v>
      </c>
      <c r="G88">
        <f t="shared" si="1"/>
        <v>28.84615384615385</v>
      </c>
    </row>
    <row r="89" spans="1:9" x14ac:dyDescent="0.45">
      <c r="A89" s="5" t="s">
        <v>88</v>
      </c>
      <c r="B89">
        <v>87</v>
      </c>
      <c r="C89">
        <v>0.1</v>
      </c>
      <c r="D89">
        <v>2.0500000000000001E-2</v>
      </c>
      <c r="E89">
        <v>1</v>
      </c>
      <c r="F89">
        <v>3</v>
      </c>
      <c r="G89">
        <f t="shared" si="1"/>
        <v>14.634146341463417</v>
      </c>
    </row>
    <row r="90" spans="1:9" x14ac:dyDescent="0.45">
      <c r="A90" s="5" t="s">
        <v>89</v>
      </c>
      <c r="B90">
        <v>88</v>
      </c>
      <c r="C90">
        <v>0.1</v>
      </c>
      <c r="D90">
        <v>1.7500000000000002E-2</v>
      </c>
      <c r="E90">
        <v>1</v>
      </c>
      <c r="F90">
        <v>3</v>
      </c>
      <c r="G90">
        <f t="shared" si="1"/>
        <v>17.142857142857142</v>
      </c>
    </row>
    <row r="91" spans="1:9" x14ac:dyDescent="0.45">
      <c r="A91" s="5" t="s">
        <v>90</v>
      </c>
      <c r="B91">
        <v>89</v>
      </c>
      <c r="C91">
        <v>0.1</v>
      </c>
      <c r="D91">
        <v>2.3900000000000001E-2</v>
      </c>
      <c r="E91">
        <v>1</v>
      </c>
      <c r="F91">
        <v>3</v>
      </c>
      <c r="G91">
        <f t="shared" si="1"/>
        <v>12.552301255230125</v>
      </c>
    </row>
    <row r="92" spans="1:9" x14ac:dyDescent="0.45">
      <c r="A92" s="5" t="s">
        <v>91</v>
      </c>
      <c r="B92">
        <v>90</v>
      </c>
      <c r="C92">
        <v>0.2</v>
      </c>
      <c r="D92">
        <v>2.1600000000000001E-2</v>
      </c>
      <c r="E92">
        <v>1</v>
      </c>
      <c r="F92">
        <v>3</v>
      </c>
      <c r="G92">
        <f t="shared" si="1"/>
        <v>27.777777777777771</v>
      </c>
      <c r="H92">
        <f>AVERAGE(G87:G92)</f>
        <v>25.714428282802604</v>
      </c>
      <c r="I92">
        <f>STDEV(G87:G92)/SQRT(6)</f>
        <v>6.1815723456346747</v>
      </c>
    </row>
    <row r="93" spans="1:9" x14ac:dyDescent="0.45">
      <c r="A93" s="5" t="s">
        <v>92</v>
      </c>
      <c r="B93">
        <v>91</v>
      </c>
      <c r="C93">
        <v>0.2</v>
      </c>
      <c r="D93">
        <v>2.0199999999999999E-2</v>
      </c>
      <c r="E93">
        <v>1</v>
      </c>
      <c r="F93">
        <v>3</v>
      </c>
      <c r="G93">
        <f t="shared" si="1"/>
        <v>29.702970297029708</v>
      </c>
    </row>
    <row r="94" spans="1:9" x14ac:dyDescent="0.45">
      <c r="A94" s="5" t="s">
        <v>93</v>
      </c>
      <c r="B94">
        <v>92</v>
      </c>
      <c r="C94">
        <v>0.2</v>
      </c>
      <c r="D94">
        <v>2.1399999999999999E-2</v>
      </c>
      <c r="E94">
        <v>1</v>
      </c>
      <c r="F94">
        <v>3</v>
      </c>
      <c r="G94">
        <f t="shared" si="1"/>
        <v>28.037383177570092</v>
      </c>
    </row>
    <row r="95" spans="1:9" x14ac:dyDescent="0.45">
      <c r="A95" s="5" t="s">
        <v>94</v>
      </c>
      <c r="B95">
        <v>93</v>
      </c>
      <c r="C95">
        <v>0.2</v>
      </c>
      <c r="D95">
        <v>1.9400000000000001E-2</v>
      </c>
      <c r="E95">
        <v>1</v>
      </c>
      <c r="F95">
        <v>3</v>
      </c>
      <c r="G95">
        <f t="shared" si="1"/>
        <v>30.927835051546396</v>
      </c>
    </row>
    <row r="96" spans="1:9" x14ac:dyDescent="0.45">
      <c r="A96" s="5" t="s">
        <v>95</v>
      </c>
      <c r="B96">
        <v>94</v>
      </c>
      <c r="C96">
        <v>0.3</v>
      </c>
      <c r="D96">
        <v>2.23E-2</v>
      </c>
      <c r="E96">
        <v>1</v>
      </c>
      <c r="F96">
        <v>3</v>
      </c>
      <c r="G96">
        <f t="shared" si="1"/>
        <v>40.358744394618832</v>
      </c>
    </row>
    <row r="97" spans="1:9" x14ac:dyDescent="0.45">
      <c r="A97" s="5" t="s">
        <v>96</v>
      </c>
      <c r="B97">
        <v>95</v>
      </c>
      <c r="C97">
        <v>0.2</v>
      </c>
      <c r="D97">
        <v>2.0500000000000001E-2</v>
      </c>
      <c r="E97">
        <v>1</v>
      </c>
      <c r="F97">
        <v>3</v>
      </c>
      <c r="G97">
        <f t="shared" si="1"/>
        <v>29.268292682926834</v>
      </c>
    </row>
    <row r="98" spans="1:9" ht="14.65" thickBot="1" x14ac:dyDescent="0.5">
      <c r="A98" s="6" t="s">
        <v>97</v>
      </c>
      <c r="B98" s="3">
        <v>96</v>
      </c>
      <c r="C98">
        <v>0.2</v>
      </c>
      <c r="D98" s="9">
        <v>2.18E-2</v>
      </c>
      <c r="E98" s="9">
        <v>1</v>
      </c>
      <c r="F98" s="9">
        <v>3</v>
      </c>
      <c r="G98" s="9">
        <f t="shared" si="1"/>
        <v>27.522935779816514</v>
      </c>
      <c r="H98" s="9">
        <f>AVERAGE(G93:G98)</f>
        <v>30.969693563918067</v>
      </c>
      <c r="I98" s="9">
        <f>STDEV(G93:G98)/SQRT(6)</f>
        <v>1.9419402999182953</v>
      </c>
    </row>
    <row r="99" spans="1:9" x14ac:dyDescent="0.45">
      <c r="A99" s="4" t="s">
        <v>98</v>
      </c>
      <c r="B99">
        <v>97</v>
      </c>
      <c r="C99">
        <v>0.1</v>
      </c>
      <c r="D99">
        <v>2.3E-2</v>
      </c>
      <c r="E99">
        <v>1</v>
      </c>
      <c r="F99">
        <v>3</v>
      </c>
      <c r="G99">
        <f t="shared" si="1"/>
        <v>13.043478260869566</v>
      </c>
    </row>
    <row r="100" spans="1:9" x14ac:dyDescent="0.45">
      <c r="A100" s="5" t="s">
        <v>99</v>
      </c>
      <c r="B100">
        <v>98</v>
      </c>
      <c r="C100">
        <v>0.1</v>
      </c>
      <c r="D100">
        <v>1.8599999999999998E-2</v>
      </c>
      <c r="E100">
        <v>1</v>
      </c>
      <c r="F100">
        <v>3</v>
      </c>
      <c r="G100">
        <f t="shared" si="1"/>
        <v>16.12903225806452</v>
      </c>
    </row>
    <row r="101" spans="1:9" x14ac:dyDescent="0.45">
      <c r="A101" s="5" t="s">
        <v>100</v>
      </c>
      <c r="B101">
        <v>99</v>
      </c>
      <c r="C101">
        <v>0.2</v>
      </c>
      <c r="D101">
        <v>0.02</v>
      </c>
      <c r="E101">
        <v>1</v>
      </c>
      <c r="F101">
        <v>3</v>
      </c>
      <c r="G101">
        <f t="shared" si="1"/>
        <v>30</v>
      </c>
    </row>
    <row r="102" spans="1:9" x14ac:dyDescent="0.45">
      <c r="A102" s="5" t="s">
        <v>101</v>
      </c>
      <c r="B102">
        <v>100</v>
      </c>
      <c r="C102">
        <v>0.2</v>
      </c>
      <c r="D102">
        <v>1.83E-2</v>
      </c>
      <c r="E102">
        <v>1</v>
      </c>
      <c r="F102">
        <v>3</v>
      </c>
      <c r="G102">
        <f t="shared" si="1"/>
        <v>32.786885245901644</v>
      </c>
    </row>
    <row r="103" spans="1:9" x14ac:dyDescent="0.45">
      <c r="A103" s="5" t="s">
        <v>102</v>
      </c>
      <c r="B103">
        <v>101</v>
      </c>
      <c r="C103">
        <v>0.3</v>
      </c>
      <c r="D103">
        <v>2.3099999999999999E-2</v>
      </c>
      <c r="E103">
        <v>1</v>
      </c>
      <c r="F103">
        <v>3</v>
      </c>
      <c r="G103">
        <f t="shared" si="1"/>
        <v>38.961038961038959</v>
      </c>
    </row>
    <row r="104" spans="1:9" x14ac:dyDescent="0.45">
      <c r="A104" s="5" t="s">
        <v>103</v>
      </c>
      <c r="B104">
        <v>102</v>
      </c>
      <c r="C104">
        <v>0.5</v>
      </c>
      <c r="D104">
        <v>2.29E-2</v>
      </c>
      <c r="E104">
        <v>1</v>
      </c>
      <c r="F104">
        <v>3</v>
      </c>
      <c r="G104">
        <f t="shared" si="1"/>
        <v>65.502183406113545</v>
      </c>
      <c r="H104">
        <f>AVERAGE(G99:G104)</f>
        <v>32.737103021998038</v>
      </c>
      <c r="I104">
        <f>STDEV(G99:G104)/SQRT(6)</f>
        <v>7.7102722673622015</v>
      </c>
    </row>
    <row r="105" spans="1:9" x14ac:dyDescent="0.45">
      <c r="A105" s="5" t="s">
        <v>104</v>
      </c>
      <c r="B105">
        <v>103</v>
      </c>
      <c r="C105">
        <v>0.2</v>
      </c>
      <c r="D105">
        <v>2.24E-2</v>
      </c>
      <c r="E105">
        <v>1</v>
      </c>
      <c r="F105">
        <v>3</v>
      </c>
      <c r="G105">
        <f t="shared" si="1"/>
        <v>26.785714285714285</v>
      </c>
    </row>
    <row r="106" spans="1:9" x14ac:dyDescent="0.45">
      <c r="A106" s="5" t="s">
        <v>105</v>
      </c>
      <c r="B106">
        <v>104</v>
      </c>
      <c r="C106">
        <v>0.2</v>
      </c>
      <c r="D106">
        <v>2.1399999999999999E-2</v>
      </c>
      <c r="E106">
        <v>1</v>
      </c>
      <c r="F106">
        <v>3</v>
      </c>
      <c r="G106">
        <f t="shared" si="1"/>
        <v>28.037383177570092</v>
      </c>
    </row>
    <row r="107" spans="1:9" x14ac:dyDescent="0.45">
      <c r="A107" s="5" t="s">
        <v>106</v>
      </c>
      <c r="B107">
        <v>105</v>
      </c>
      <c r="C107">
        <v>0.1</v>
      </c>
      <c r="D107">
        <v>2.1700000000000001E-2</v>
      </c>
      <c r="E107">
        <v>1</v>
      </c>
      <c r="F107">
        <v>3</v>
      </c>
      <c r="G107">
        <f t="shared" si="1"/>
        <v>13.824884792626726</v>
      </c>
    </row>
    <row r="108" spans="1:9" x14ac:dyDescent="0.45">
      <c r="A108" s="5" t="s">
        <v>107</v>
      </c>
      <c r="B108">
        <v>106</v>
      </c>
      <c r="C108">
        <v>0.2</v>
      </c>
      <c r="D108">
        <v>2.0500000000000001E-2</v>
      </c>
      <c r="E108">
        <v>1</v>
      </c>
      <c r="F108">
        <v>3</v>
      </c>
      <c r="G108">
        <f t="shared" si="1"/>
        <v>29.268292682926834</v>
      </c>
    </row>
    <row r="109" spans="1:9" x14ac:dyDescent="0.45">
      <c r="A109" s="5" t="s">
        <v>108</v>
      </c>
      <c r="B109">
        <v>107</v>
      </c>
      <c r="C109">
        <v>0.2</v>
      </c>
      <c r="D109">
        <v>2.24E-2</v>
      </c>
      <c r="E109">
        <v>1</v>
      </c>
      <c r="F109">
        <v>3</v>
      </c>
      <c r="G109">
        <f t="shared" si="1"/>
        <v>26.785714285714285</v>
      </c>
    </row>
    <row r="110" spans="1:9" ht="14.65" thickBot="1" x14ac:dyDescent="0.5">
      <c r="A110" s="6" t="s">
        <v>109</v>
      </c>
      <c r="B110" s="3">
        <v>108</v>
      </c>
      <c r="C110">
        <v>0.2</v>
      </c>
      <c r="D110" s="9">
        <v>2.18E-2</v>
      </c>
      <c r="E110" s="9">
        <v>1</v>
      </c>
      <c r="F110" s="9">
        <v>3</v>
      </c>
      <c r="G110" s="9">
        <f t="shared" si="1"/>
        <v>27.522935779816514</v>
      </c>
      <c r="H110" s="9">
        <f>AVERAGE(G105:G110)</f>
        <v>25.370820834061458</v>
      </c>
      <c r="I110" s="9">
        <f>STDEV(G105:G110)/SQRT(6)</f>
        <v>2.3398356517514918</v>
      </c>
    </row>
    <row r="111" spans="1:9" x14ac:dyDescent="0.45">
      <c r="A111" s="4" t="s">
        <v>110</v>
      </c>
      <c r="B111">
        <v>109</v>
      </c>
      <c r="C111">
        <v>0.6</v>
      </c>
      <c r="D111">
        <v>2.01E-2</v>
      </c>
      <c r="E111">
        <v>1</v>
      </c>
      <c r="F111">
        <v>3</v>
      </c>
      <c r="G111">
        <f t="shared" si="1"/>
        <v>89.552238805970148</v>
      </c>
    </row>
    <row r="112" spans="1:9" x14ac:dyDescent="0.45">
      <c r="A112" s="5" t="s">
        <v>111</v>
      </c>
      <c r="B112">
        <v>110</v>
      </c>
      <c r="C112">
        <v>0.7</v>
      </c>
      <c r="D112">
        <v>2.1700000000000001E-2</v>
      </c>
      <c r="E112">
        <v>1</v>
      </c>
      <c r="F112">
        <v>3</v>
      </c>
      <c r="G112">
        <f t="shared" si="1"/>
        <v>96.774193548387103</v>
      </c>
    </row>
    <row r="113" spans="1:9" x14ac:dyDescent="0.45">
      <c r="A113" s="5" t="s">
        <v>112</v>
      </c>
      <c r="B113">
        <v>111</v>
      </c>
      <c r="C113">
        <v>0.3</v>
      </c>
      <c r="D113">
        <v>2.1999999999999999E-2</v>
      </c>
      <c r="E113">
        <v>1</v>
      </c>
      <c r="F113">
        <v>3</v>
      </c>
      <c r="G113">
        <f t="shared" si="1"/>
        <v>40.909090909090914</v>
      </c>
    </row>
    <row r="114" spans="1:9" x14ac:dyDescent="0.45">
      <c r="A114" s="5" t="s">
        <v>113</v>
      </c>
      <c r="B114">
        <v>112</v>
      </c>
      <c r="C114">
        <v>0.3</v>
      </c>
      <c r="D114">
        <v>2.3199999999999998E-2</v>
      </c>
      <c r="E114">
        <v>1</v>
      </c>
      <c r="F114">
        <v>3</v>
      </c>
      <c r="G114">
        <f t="shared" si="1"/>
        <v>38.793103448275865</v>
      </c>
    </row>
    <row r="115" spans="1:9" x14ac:dyDescent="0.45">
      <c r="A115" s="5" t="s">
        <v>114</v>
      </c>
      <c r="B115">
        <v>113</v>
      </c>
      <c r="C115">
        <v>0.1</v>
      </c>
      <c r="D115">
        <v>2.1700000000000001E-2</v>
      </c>
      <c r="E115">
        <v>1</v>
      </c>
      <c r="F115">
        <v>3</v>
      </c>
      <c r="G115">
        <f t="shared" si="1"/>
        <v>13.824884792626726</v>
      </c>
    </row>
    <row r="116" spans="1:9" x14ac:dyDescent="0.45">
      <c r="A116" s="5" t="s">
        <v>115</v>
      </c>
      <c r="B116">
        <v>114</v>
      </c>
      <c r="C116">
        <v>0.2</v>
      </c>
      <c r="D116">
        <v>2.0400000000000001E-2</v>
      </c>
      <c r="E116">
        <v>1</v>
      </c>
      <c r="F116">
        <v>3</v>
      </c>
      <c r="G116">
        <f t="shared" si="1"/>
        <v>29.411764705882355</v>
      </c>
      <c r="H116">
        <f>AVERAGE(G111:G116)</f>
        <v>51.544212701705526</v>
      </c>
      <c r="I116">
        <f>STDEV(G111:G116)/SQRT(6)</f>
        <v>13.758210603939641</v>
      </c>
    </row>
    <row r="117" spans="1:9" x14ac:dyDescent="0.45">
      <c r="A117" s="5" t="s">
        <v>116</v>
      </c>
      <c r="B117">
        <v>115</v>
      </c>
      <c r="C117">
        <v>0.3</v>
      </c>
      <c r="D117">
        <v>2.1700000000000001E-2</v>
      </c>
      <c r="E117">
        <v>1</v>
      </c>
      <c r="F117">
        <v>3</v>
      </c>
      <c r="G117">
        <f t="shared" si="1"/>
        <v>41.474654377880185</v>
      </c>
    </row>
    <row r="118" spans="1:9" x14ac:dyDescent="0.45">
      <c r="A118" s="5" t="s">
        <v>117</v>
      </c>
      <c r="B118">
        <v>116</v>
      </c>
      <c r="C118">
        <v>0.3</v>
      </c>
      <c r="D118">
        <v>2.0799999999999999E-2</v>
      </c>
      <c r="E118">
        <v>1</v>
      </c>
      <c r="F118">
        <v>3</v>
      </c>
      <c r="G118">
        <f t="shared" si="1"/>
        <v>43.269230769230774</v>
      </c>
    </row>
    <row r="119" spans="1:9" x14ac:dyDescent="0.45">
      <c r="A119" s="5" t="s">
        <v>118</v>
      </c>
      <c r="B119">
        <v>117</v>
      </c>
      <c r="C119">
        <v>0.8</v>
      </c>
      <c r="D119">
        <v>2.2499999999999999E-2</v>
      </c>
      <c r="E119">
        <v>1</v>
      </c>
      <c r="F119">
        <v>3</v>
      </c>
      <c r="G119">
        <f t="shared" si="1"/>
        <v>106.66666666666667</v>
      </c>
    </row>
    <row r="120" spans="1:9" x14ac:dyDescent="0.45">
      <c r="A120" s="5" t="s">
        <v>119</v>
      </c>
      <c r="B120">
        <v>118</v>
      </c>
      <c r="C120">
        <v>0.7</v>
      </c>
      <c r="D120">
        <v>2.1000000000000001E-2</v>
      </c>
      <c r="E120">
        <v>1</v>
      </c>
      <c r="F120">
        <v>3</v>
      </c>
      <c r="G120">
        <f t="shared" si="1"/>
        <v>99.999999999999986</v>
      </c>
    </row>
    <row r="121" spans="1:9" x14ac:dyDescent="0.45">
      <c r="A121" s="5" t="s">
        <v>120</v>
      </c>
      <c r="B121">
        <v>119</v>
      </c>
      <c r="C121">
        <v>0.2</v>
      </c>
      <c r="D121">
        <v>2.1899999999999999E-2</v>
      </c>
      <c r="E121">
        <v>1</v>
      </c>
      <c r="F121">
        <v>3</v>
      </c>
      <c r="G121">
        <f t="shared" si="1"/>
        <v>27.397260273972606</v>
      </c>
    </row>
    <row r="122" spans="1:9" ht="14.65" thickBot="1" x14ac:dyDescent="0.5">
      <c r="A122" s="6" t="s">
        <v>121</v>
      </c>
      <c r="B122" s="3">
        <v>120</v>
      </c>
      <c r="C122">
        <v>0.2</v>
      </c>
      <c r="D122" s="9">
        <v>1.9699999999999999E-2</v>
      </c>
      <c r="E122" s="9">
        <v>1</v>
      </c>
      <c r="F122" s="9">
        <v>3</v>
      </c>
      <c r="G122" s="9">
        <f t="shared" si="1"/>
        <v>30.456852791878177</v>
      </c>
      <c r="H122" s="9">
        <f>AVERAGE(G117:G122)</f>
        <v>58.210777479938066</v>
      </c>
      <c r="I122" s="9">
        <f>STDEV(G117:G122)/SQRT(6)</f>
        <v>14.51138992710678</v>
      </c>
    </row>
    <row r="127" spans="1:9" x14ac:dyDescent="0.45">
      <c r="A127" t="s">
        <v>133</v>
      </c>
    </row>
    <row r="128" spans="1:9" ht="14.65" thickBot="1" x14ac:dyDescent="0.5">
      <c r="A128" t="s">
        <v>123</v>
      </c>
      <c r="B128" t="s">
        <v>124</v>
      </c>
      <c r="C128" t="s">
        <v>125</v>
      </c>
      <c r="D128" t="s">
        <v>126</v>
      </c>
      <c r="E128" t="s">
        <v>127</v>
      </c>
      <c r="F128" t="s">
        <v>128</v>
      </c>
      <c r="G128" t="s">
        <v>129</v>
      </c>
      <c r="H128" t="s">
        <v>130</v>
      </c>
      <c r="I128" t="s">
        <v>131</v>
      </c>
    </row>
    <row r="129" spans="1:29" x14ac:dyDescent="0.45">
      <c r="A129" s="4" t="s">
        <v>134</v>
      </c>
      <c r="B129" t="s">
        <v>135</v>
      </c>
      <c r="C129">
        <v>0.7</v>
      </c>
      <c r="D129">
        <v>1.18E-2</v>
      </c>
      <c r="E129">
        <v>1</v>
      </c>
      <c r="F129">
        <v>2</v>
      </c>
      <c r="G129">
        <f>(C129*(E129/D129)*F129)</f>
        <v>118.64406779661017</v>
      </c>
      <c r="M129" t="s">
        <v>133</v>
      </c>
    </row>
    <row r="130" spans="1:29" x14ac:dyDescent="0.45">
      <c r="A130" s="5" t="s">
        <v>136</v>
      </c>
      <c r="B130" t="s">
        <v>137</v>
      </c>
      <c r="C130">
        <v>0.6</v>
      </c>
      <c r="D130">
        <v>1.2500000000000001E-2</v>
      </c>
      <c r="E130">
        <v>1</v>
      </c>
      <c r="F130">
        <v>2</v>
      </c>
      <c r="G130">
        <f t="shared" ref="G130:G193" si="2">(C130*(E130/D130)*F130)</f>
        <v>96</v>
      </c>
      <c r="N130" t="s">
        <v>374</v>
      </c>
      <c r="O130" t="s">
        <v>375</v>
      </c>
      <c r="P130" t="s">
        <v>376</v>
      </c>
      <c r="Q130" t="s">
        <v>377</v>
      </c>
      <c r="R130" t="s">
        <v>378</v>
      </c>
      <c r="S130" t="s">
        <v>379</v>
      </c>
      <c r="T130" t="s">
        <v>380</v>
      </c>
      <c r="U130" t="s">
        <v>381</v>
      </c>
      <c r="V130" t="s">
        <v>384</v>
      </c>
      <c r="W130" t="s">
        <v>385</v>
      </c>
    </row>
    <row r="131" spans="1:29" x14ac:dyDescent="0.45">
      <c r="A131" s="5" t="s">
        <v>138</v>
      </c>
      <c r="B131" t="s">
        <v>139</v>
      </c>
      <c r="C131">
        <v>0.6</v>
      </c>
      <c r="D131">
        <v>1.7000000000000001E-2</v>
      </c>
      <c r="E131">
        <v>1</v>
      </c>
      <c r="F131">
        <v>2</v>
      </c>
      <c r="G131">
        <f t="shared" si="2"/>
        <v>70.588235294117638</v>
      </c>
      <c r="M131" t="s">
        <v>382</v>
      </c>
      <c r="N131">
        <f>H134</f>
        <v>134.03063441087062</v>
      </c>
      <c r="O131">
        <f>H146</f>
        <v>97.937130931136736</v>
      </c>
      <c r="P131">
        <f>H158</f>
        <v>140.31902788424409</v>
      </c>
      <c r="Q131">
        <f>H170</f>
        <v>143.78614516806573</v>
      </c>
      <c r="R131">
        <f>H182</f>
        <v>95.019055602465826</v>
      </c>
      <c r="S131">
        <f>H194</f>
        <v>123.87680227111395</v>
      </c>
      <c r="T131">
        <f>H206</f>
        <v>166.72560303711364</v>
      </c>
      <c r="U131">
        <f>H218</f>
        <v>249.08360732897532</v>
      </c>
      <c r="V131">
        <f>H230</f>
        <v>151.45531463453679</v>
      </c>
      <c r="W131">
        <f>H242</f>
        <v>114.49228606161229</v>
      </c>
    </row>
    <row r="132" spans="1:29" x14ac:dyDescent="0.45">
      <c r="A132" s="5" t="s">
        <v>140</v>
      </c>
      <c r="B132" t="s">
        <v>141</v>
      </c>
      <c r="C132">
        <v>0.6</v>
      </c>
      <c r="D132">
        <v>2.12E-2</v>
      </c>
      <c r="E132">
        <v>1</v>
      </c>
      <c r="F132">
        <v>2</v>
      </c>
      <c r="G132">
        <f t="shared" si="2"/>
        <v>56.60377358490566</v>
      </c>
      <c r="M132" t="s">
        <v>131</v>
      </c>
      <c r="N132">
        <f>I134</f>
        <v>32.221610806319028</v>
      </c>
      <c r="O132">
        <f>I146</f>
        <v>20.934158122821014</v>
      </c>
      <c r="P132">
        <f>I158</f>
        <v>15.180833275680563</v>
      </c>
      <c r="Q132">
        <f>I170</f>
        <v>20.116653321575615</v>
      </c>
      <c r="R132">
        <f>I182</f>
        <v>13.187642500118882</v>
      </c>
      <c r="S132">
        <f>I194</f>
        <v>19.067396674812514</v>
      </c>
      <c r="T132">
        <f>I206</f>
        <v>41.385846411149913</v>
      </c>
      <c r="U132">
        <f>I218</f>
        <v>30.195668416694495</v>
      </c>
      <c r="V132">
        <f>I230</f>
        <v>6.9577585769711803</v>
      </c>
      <c r="W132">
        <f>I242</f>
        <v>24.719790017624835</v>
      </c>
    </row>
    <row r="133" spans="1:29" x14ac:dyDescent="0.45">
      <c r="A133" s="5" t="s">
        <v>142</v>
      </c>
      <c r="B133" t="s">
        <v>143</v>
      </c>
      <c r="C133">
        <v>1.6</v>
      </c>
      <c r="D133">
        <v>1.29E-2</v>
      </c>
      <c r="E133">
        <v>1</v>
      </c>
      <c r="F133">
        <v>2</v>
      </c>
      <c r="G133">
        <f t="shared" si="2"/>
        <v>248.06201550387595</v>
      </c>
      <c r="M133" t="s">
        <v>383</v>
      </c>
      <c r="N133">
        <f>H146</f>
        <v>97.937130931136736</v>
      </c>
      <c r="O133">
        <f>H152</f>
        <v>88.233074438775986</v>
      </c>
      <c r="P133">
        <f>H164</f>
        <v>81.476052487585875</v>
      </c>
      <c r="Q133">
        <f>H176</f>
        <v>327.72901895209941</v>
      </c>
      <c r="R133">
        <f>H188</f>
        <v>107.53113542089477</v>
      </c>
      <c r="S133">
        <f>H200</f>
        <v>121.29021971865608</v>
      </c>
      <c r="T133">
        <f>H212</f>
        <v>191.06028312037108</v>
      </c>
      <c r="U133">
        <f>H224</f>
        <v>211.79429791432355</v>
      </c>
      <c r="V133">
        <f>H236</f>
        <v>274.86215134990988</v>
      </c>
      <c r="W133">
        <f>H248</f>
        <v>121.15936826029746</v>
      </c>
    </row>
    <row r="134" spans="1:29" x14ac:dyDescent="0.45">
      <c r="A134" s="5" t="s">
        <v>144</v>
      </c>
      <c r="B134" t="s">
        <v>145</v>
      </c>
      <c r="C134">
        <v>0.9</v>
      </c>
      <c r="D134">
        <v>8.3999999999999995E-3</v>
      </c>
      <c r="E134">
        <v>1</v>
      </c>
      <c r="F134">
        <v>2</v>
      </c>
      <c r="G134">
        <f t="shared" si="2"/>
        <v>214.28571428571431</v>
      </c>
      <c r="H134">
        <f>AVERAGE(G129:G134)</f>
        <v>134.03063441087062</v>
      </c>
      <c r="I134">
        <f>STDEV(G129:G134)/SQRT(6)</f>
        <v>32.221610806319028</v>
      </c>
      <c r="M134" t="s">
        <v>131</v>
      </c>
      <c r="N134">
        <f>I140</f>
        <v>12.220224635275809</v>
      </c>
      <c r="O134">
        <f>I152</f>
        <v>18.544716589487514</v>
      </c>
      <c r="P134">
        <f>I164</f>
        <v>14.529647258851851</v>
      </c>
      <c r="Q134">
        <f>I176</f>
        <v>52.429524186516112</v>
      </c>
      <c r="R134">
        <f>I188</f>
        <v>11.718836373135385</v>
      </c>
      <c r="S134">
        <f>I200</f>
        <v>22.622875072127165</v>
      </c>
      <c r="T134">
        <f>I212</f>
        <v>19.178019186753534</v>
      </c>
      <c r="U134">
        <f>I224</f>
        <v>24.136658296170488</v>
      </c>
      <c r="V134">
        <f>I236</f>
        <v>43.281040344678722</v>
      </c>
      <c r="W134">
        <f>I248</f>
        <v>26.42461645396348</v>
      </c>
    </row>
    <row r="135" spans="1:29" x14ac:dyDescent="0.45">
      <c r="A135" s="5" t="s">
        <v>146</v>
      </c>
      <c r="B135" t="s">
        <v>147</v>
      </c>
      <c r="C135">
        <v>0.3</v>
      </c>
      <c r="D135">
        <v>1.0999999999999999E-2</v>
      </c>
      <c r="E135">
        <v>1</v>
      </c>
      <c r="F135">
        <v>2</v>
      </c>
      <c r="G135">
        <f t="shared" si="2"/>
        <v>54.545454545454554</v>
      </c>
    </row>
    <row r="136" spans="1:29" x14ac:dyDescent="0.45">
      <c r="A136" s="5" t="s">
        <v>148</v>
      </c>
      <c r="B136" t="s">
        <v>149</v>
      </c>
      <c r="C136">
        <v>0.3</v>
      </c>
      <c r="D136">
        <v>6.4000000000000003E-3</v>
      </c>
      <c r="E136">
        <v>1</v>
      </c>
      <c r="F136">
        <v>2</v>
      </c>
      <c r="G136">
        <f t="shared" si="2"/>
        <v>93.75</v>
      </c>
    </row>
    <row r="137" spans="1:29" x14ac:dyDescent="0.45">
      <c r="A137" s="5" t="s">
        <v>150</v>
      </c>
      <c r="B137" t="s">
        <v>151</v>
      </c>
      <c r="C137">
        <v>0.6</v>
      </c>
      <c r="D137">
        <v>1.46E-2</v>
      </c>
      <c r="E137">
        <v>1</v>
      </c>
      <c r="F137">
        <v>2</v>
      </c>
      <c r="G137">
        <f t="shared" si="2"/>
        <v>82.191780821917803</v>
      </c>
    </row>
    <row r="138" spans="1:29" x14ac:dyDescent="0.45">
      <c r="A138" s="5" t="s">
        <v>152</v>
      </c>
      <c r="B138" t="s">
        <v>153</v>
      </c>
      <c r="C138">
        <v>0.5</v>
      </c>
      <c r="D138">
        <v>1.29E-2</v>
      </c>
      <c r="E138">
        <v>1</v>
      </c>
      <c r="F138">
        <v>2</v>
      </c>
      <c r="G138">
        <f t="shared" si="2"/>
        <v>77.519379844961236</v>
      </c>
      <c r="V138" t="s">
        <v>740</v>
      </c>
      <c r="W138" t="s">
        <v>726</v>
      </c>
      <c r="X138" t="s">
        <v>727</v>
      </c>
      <c r="Y138" t="s">
        <v>741</v>
      </c>
      <c r="Z138" t="s">
        <v>742</v>
      </c>
      <c r="AA138" t="s">
        <v>723</v>
      </c>
      <c r="AB138" t="s">
        <v>728</v>
      </c>
      <c r="AC138" t="s">
        <v>743</v>
      </c>
    </row>
    <row r="139" spans="1:29" x14ac:dyDescent="0.45">
      <c r="A139" s="5" t="s">
        <v>154</v>
      </c>
      <c r="B139" t="s">
        <v>155</v>
      </c>
      <c r="C139">
        <v>0.6</v>
      </c>
      <c r="D139">
        <v>9.1999999999999998E-3</v>
      </c>
      <c r="E139">
        <v>1</v>
      </c>
      <c r="F139">
        <v>2</v>
      </c>
      <c r="G139">
        <f t="shared" si="2"/>
        <v>130.43478260869566</v>
      </c>
      <c r="V139" t="s">
        <v>729</v>
      </c>
      <c r="W139">
        <v>6</v>
      </c>
      <c r="X139">
        <v>6</v>
      </c>
      <c r="Y139">
        <v>107.32203389830499</v>
      </c>
      <c r="Z139">
        <v>87.970890410958901</v>
      </c>
      <c r="AA139">
        <v>0.57517353192019705</v>
      </c>
      <c r="AB139" t="s">
        <v>744</v>
      </c>
      <c r="AC139" t="s">
        <v>724</v>
      </c>
    </row>
    <row r="140" spans="1:29" ht="14.65" thickBot="1" x14ac:dyDescent="0.5">
      <c r="A140" s="6" t="s">
        <v>156</v>
      </c>
      <c r="B140" s="3" t="s">
        <v>157</v>
      </c>
      <c r="C140">
        <v>0.7</v>
      </c>
      <c r="D140" s="9">
        <v>1.09E-2</v>
      </c>
      <c r="E140" s="9">
        <v>1</v>
      </c>
      <c r="F140" s="9">
        <v>2</v>
      </c>
      <c r="G140" s="9">
        <f t="shared" si="2"/>
        <v>128.44036697247705</v>
      </c>
      <c r="H140" s="9">
        <f>AVERAGE(G135:G140)</f>
        <v>94.480294132251046</v>
      </c>
      <c r="I140" s="9">
        <f>STDEV(G135:G140)/SQRT(6)</f>
        <v>12.220224635275809</v>
      </c>
      <c r="V140" t="s">
        <v>730</v>
      </c>
      <c r="W140">
        <v>6</v>
      </c>
      <c r="X140">
        <v>6</v>
      </c>
      <c r="Y140">
        <v>90.632911392405106</v>
      </c>
      <c r="Z140">
        <v>66.974919433935796</v>
      </c>
      <c r="AA140">
        <v>0.93618629347305904</v>
      </c>
      <c r="AB140" t="s">
        <v>744</v>
      </c>
      <c r="AC140" t="s">
        <v>724</v>
      </c>
    </row>
    <row r="141" spans="1:29" x14ac:dyDescent="0.45">
      <c r="A141" s="5" t="s">
        <v>158</v>
      </c>
      <c r="B141" t="s">
        <v>159</v>
      </c>
      <c r="C141">
        <v>0.3</v>
      </c>
      <c r="D141">
        <v>1.34E-2</v>
      </c>
      <c r="E141">
        <v>1</v>
      </c>
      <c r="F141">
        <v>2</v>
      </c>
      <c r="G141">
        <f t="shared" si="2"/>
        <v>44.776119402985074</v>
      </c>
      <c r="V141" t="s">
        <v>731</v>
      </c>
      <c r="W141">
        <v>6</v>
      </c>
      <c r="X141">
        <v>6</v>
      </c>
      <c r="Y141">
        <v>159.54545454545499</v>
      </c>
      <c r="Z141">
        <v>73.380431884830699</v>
      </c>
      <c r="AA141">
        <v>2.02405705770775E-2</v>
      </c>
      <c r="AB141" t="s">
        <v>744</v>
      </c>
      <c r="AC141" t="s">
        <v>725</v>
      </c>
    </row>
    <row r="142" spans="1:29" x14ac:dyDescent="0.45">
      <c r="A142" s="5" t="s">
        <v>160</v>
      </c>
      <c r="B142" t="s">
        <v>161</v>
      </c>
      <c r="C142">
        <v>0.3</v>
      </c>
      <c r="D142">
        <v>1.2999999999999999E-2</v>
      </c>
      <c r="E142">
        <v>1</v>
      </c>
      <c r="F142">
        <v>2</v>
      </c>
      <c r="G142">
        <f t="shared" si="2"/>
        <v>46.153846153846153</v>
      </c>
      <c r="V142" t="s">
        <v>732</v>
      </c>
      <c r="W142">
        <v>6</v>
      </c>
      <c r="X142">
        <v>6</v>
      </c>
      <c r="Y142">
        <v>128.23321257056199</v>
      </c>
      <c r="Z142">
        <v>343.10735447891199</v>
      </c>
      <c r="AA142">
        <v>2.02405705770775E-2</v>
      </c>
      <c r="AB142" t="s">
        <v>744</v>
      </c>
      <c r="AC142" t="s">
        <v>725</v>
      </c>
    </row>
    <row r="143" spans="1:29" x14ac:dyDescent="0.45">
      <c r="A143" s="5" t="s">
        <v>162</v>
      </c>
      <c r="B143" t="s">
        <v>163</v>
      </c>
      <c r="C143">
        <v>0.9</v>
      </c>
      <c r="D143">
        <v>1.21E-2</v>
      </c>
      <c r="E143">
        <v>1</v>
      </c>
      <c r="F143">
        <v>2</v>
      </c>
      <c r="G143">
        <f t="shared" si="2"/>
        <v>148.76033057851242</v>
      </c>
      <c r="V143" t="s">
        <v>733</v>
      </c>
      <c r="W143">
        <v>6</v>
      </c>
      <c r="X143">
        <v>6</v>
      </c>
      <c r="Y143">
        <v>106.724637681159</v>
      </c>
      <c r="Z143">
        <v>107.88663851714</v>
      </c>
      <c r="AA143">
        <v>0.57517353192019705</v>
      </c>
      <c r="AB143" t="s">
        <v>744</v>
      </c>
      <c r="AC143" t="s">
        <v>724</v>
      </c>
    </row>
    <row r="144" spans="1:29" x14ac:dyDescent="0.45">
      <c r="A144" s="5" t="s">
        <v>164</v>
      </c>
      <c r="B144" t="s">
        <v>165</v>
      </c>
      <c r="C144">
        <v>0.9</v>
      </c>
      <c r="D144">
        <v>1.0800000000000001E-2</v>
      </c>
      <c r="E144">
        <v>1</v>
      </c>
      <c r="F144">
        <v>2</v>
      </c>
      <c r="G144">
        <f t="shared" si="2"/>
        <v>166.66666666666666</v>
      </c>
      <c r="V144" t="s">
        <v>734</v>
      </c>
      <c r="W144">
        <v>6</v>
      </c>
      <c r="X144">
        <v>6</v>
      </c>
      <c r="Y144">
        <v>130.428691510227</v>
      </c>
      <c r="Z144">
        <v>100.24906600249101</v>
      </c>
      <c r="AA144">
        <v>0.81018123641047401</v>
      </c>
      <c r="AB144" t="s">
        <v>744</v>
      </c>
      <c r="AC144" t="s">
        <v>724</v>
      </c>
    </row>
    <row r="145" spans="1:29" x14ac:dyDescent="0.45">
      <c r="A145" s="5" t="s">
        <v>166</v>
      </c>
      <c r="B145" t="s">
        <v>167</v>
      </c>
      <c r="C145">
        <v>0.8</v>
      </c>
      <c r="D145">
        <v>1.5800000000000002E-2</v>
      </c>
      <c r="E145">
        <v>1</v>
      </c>
      <c r="F145">
        <v>2</v>
      </c>
      <c r="G145">
        <f t="shared" si="2"/>
        <v>101.26582278481013</v>
      </c>
      <c r="V145" t="s">
        <v>735</v>
      </c>
      <c r="W145">
        <v>6</v>
      </c>
      <c r="X145">
        <v>6</v>
      </c>
      <c r="Y145">
        <v>162.591271862795</v>
      </c>
      <c r="Z145">
        <v>167.644334671195</v>
      </c>
      <c r="AA145">
        <v>0.81018123641047401</v>
      </c>
      <c r="AB145" t="s">
        <v>744</v>
      </c>
      <c r="AC145" t="s">
        <v>724</v>
      </c>
    </row>
    <row r="146" spans="1:29" x14ac:dyDescent="0.45">
      <c r="A146" s="5" t="s">
        <v>168</v>
      </c>
      <c r="B146" t="s">
        <v>169</v>
      </c>
      <c r="C146">
        <v>0.5</v>
      </c>
      <c r="D146">
        <v>1.2500000000000001E-2</v>
      </c>
      <c r="E146">
        <v>1</v>
      </c>
      <c r="F146">
        <v>2</v>
      </c>
      <c r="G146">
        <f t="shared" si="2"/>
        <v>80</v>
      </c>
      <c r="H146">
        <f>AVERAGE(G141:G146)</f>
        <v>97.937130931136736</v>
      </c>
      <c r="I146">
        <f>STDEV(G141:G146)/SQRT(6)</f>
        <v>20.934158122821014</v>
      </c>
      <c r="V146" t="s">
        <v>736</v>
      </c>
      <c r="W146">
        <v>6</v>
      </c>
      <c r="X146">
        <v>6</v>
      </c>
      <c r="Y146">
        <v>255.92697961119001</v>
      </c>
      <c r="Z146">
        <v>231.16028708133999</v>
      </c>
      <c r="AA146">
        <v>0.378477593244679</v>
      </c>
      <c r="AB146" t="s">
        <v>744</v>
      </c>
      <c r="AC146" t="s">
        <v>724</v>
      </c>
    </row>
    <row r="147" spans="1:29" x14ac:dyDescent="0.45">
      <c r="A147" s="5" t="s">
        <v>170</v>
      </c>
      <c r="B147" t="s">
        <v>171</v>
      </c>
      <c r="C147">
        <v>0.4</v>
      </c>
      <c r="D147">
        <v>1.2200000000000001E-2</v>
      </c>
      <c r="E147">
        <v>1</v>
      </c>
      <c r="F147">
        <v>2</v>
      </c>
      <c r="G147">
        <f t="shared" si="2"/>
        <v>65.573770491803273</v>
      </c>
      <c r="V147" t="s">
        <v>737</v>
      </c>
      <c r="W147">
        <v>6</v>
      </c>
      <c r="X147">
        <v>6</v>
      </c>
      <c r="Y147">
        <v>156.62784866551499</v>
      </c>
      <c r="Z147">
        <v>266.96690406367799</v>
      </c>
      <c r="AA147">
        <v>2.00223867508669E-2</v>
      </c>
      <c r="AB147" t="s">
        <v>744</v>
      </c>
      <c r="AC147" t="s">
        <v>725</v>
      </c>
    </row>
    <row r="148" spans="1:29" x14ac:dyDescent="0.45">
      <c r="A148" s="5" t="s">
        <v>172</v>
      </c>
      <c r="B148" t="s">
        <v>173</v>
      </c>
      <c r="C148">
        <v>0.3</v>
      </c>
      <c r="D148">
        <v>1.26E-2</v>
      </c>
      <c r="E148">
        <v>1</v>
      </c>
      <c r="F148">
        <v>2</v>
      </c>
      <c r="G148">
        <f t="shared" si="2"/>
        <v>47.61904761904762</v>
      </c>
      <c r="V148" t="s">
        <v>738</v>
      </c>
      <c r="W148">
        <v>6</v>
      </c>
      <c r="X148">
        <v>6</v>
      </c>
      <c r="Y148">
        <v>135.88229304551501</v>
      </c>
      <c r="Z148">
        <v>139.19498010407099</v>
      </c>
      <c r="AA148">
        <v>0.93618629347305904</v>
      </c>
      <c r="AB148" t="s">
        <v>744</v>
      </c>
      <c r="AC148" t="s">
        <v>724</v>
      </c>
    </row>
    <row r="149" spans="1:29" x14ac:dyDescent="0.45">
      <c r="A149" s="5" t="s">
        <v>174</v>
      </c>
      <c r="B149" t="s">
        <v>175</v>
      </c>
      <c r="C149">
        <v>0.4</v>
      </c>
      <c r="D149">
        <v>1.17E-2</v>
      </c>
      <c r="E149">
        <v>1</v>
      </c>
      <c r="F149">
        <v>2</v>
      </c>
      <c r="G149">
        <f t="shared" si="2"/>
        <v>68.376068376068375</v>
      </c>
    </row>
    <row r="150" spans="1:29" x14ac:dyDescent="0.45">
      <c r="A150" s="5" t="s">
        <v>176</v>
      </c>
      <c r="B150" t="s">
        <v>177</v>
      </c>
      <c r="C150">
        <v>0.4</v>
      </c>
      <c r="D150">
        <v>1.43E-2</v>
      </c>
      <c r="E150">
        <v>1</v>
      </c>
      <c r="F150">
        <v>2</v>
      </c>
      <c r="G150">
        <f t="shared" si="2"/>
        <v>55.944055944055947</v>
      </c>
    </row>
    <row r="151" spans="1:29" x14ac:dyDescent="0.45">
      <c r="A151" s="5" t="s">
        <v>178</v>
      </c>
      <c r="B151" t="s">
        <v>179</v>
      </c>
      <c r="C151">
        <v>0.9</v>
      </c>
      <c r="D151">
        <v>1.1900000000000001E-2</v>
      </c>
      <c r="E151">
        <v>1</v>
      </c>
      <c r="F151">
        <v>2</v>
      </c>
      <c r="G151">
        <f t="shared" si="2"/>
        <v>151.26050420168067</v>
      </c>
    </row>
    <row r="152" spans="1:29" ht="14.65" thickBot="1" x14ac:dyDescent="0.5">
      <c r="A152" s="6" t="s">
        <v>180</v>
      </c>
      <c r="B152" s="3" t="s">
        <v>181</v>
      </c>
      <c r="C152">
        <v>0.9</v>
      </c>
      <c r="D152" s="9">
        <v>1.2800000000000001E-2</v>
      </c>
      <c r="E152" s="9">
        <v>1</v>
      </c>
      <c r="F152" s="9">
        <v>2</v>
      </c>
      <c r="G152" s="9">
        <f t="shared" si="2"/>
        <v>140.625</v>
      </c>
      <c r="H152" s="9">
        <f>AVERAGE(G147:G152)</f>
        <v>88.233074438775986</v>
      </c>
      <c r="I152" s="9">
        <f>STDEV(G147:G152)/SQRT(6)</f>
        <v>18.544716589487514</v>
      </c>
    </row>
    <row r="153" spans="1:29" x14ac:dyDescent="0.45">
      <c r="A153" s="4" t="s">
        <v>182</v>
      </c>
      <c r="B153" t="s">
        <v>183</v>
      </c>
      <c r="C153">
        <v>0.8</v>
      </c>
      <c r="D153">
        <v>1.4999999999999999E-2</v>
      </c>
      <c r="E153">
        <v>1</v>
      </c>
      <c r="F153">
        <v>2</v>
      </c>
      <c r="G153">
        <f t="shared" si="2"/>
        <v>106.66666666666669</v>
      </c>
    </row>
    <row r="154" spans="1:29" x14ac:dyDescent="0.45">
      <c r="A154" s="5" t="s">
        <v>184</v>
      </c>
      <c r="B154" t="s">
        <v>185</v>
      </c>
      <c r="C154">
        <v>0.7</v>
      </c>
      <c r="D154">
        <v>1.7299999999999999E-2</v>
      </c>
      <c r="E154">
        <v>1</v>
      </c>
      <c r="F154">
        <v>2</v>
      </c>
      <c r="G154">
        <f t="shared" si="2"/>
        <v>80.924855491329481</v>
      </c>
    </row>
    <row r="155" spans="1:29" x14ac:dyDescent="0.45">
      <c r="A155" s="5" t="s">
        <v>186</v>
      </c>
      <c r="B155" t="s">
        <v>187</v>
      </c>
      <c r="C155">
        <v>0.7</v>
      </c>
      <c r="D155">
        <v>8.8000000000000005E-3</v>
      </c>
      <c r="E155">
        <v>1</v>
      </c>
      <c r="F155">
        <v>2</v>
      </c>
      <c r="G155">
        <f t="shared" si="2"/>
        <v>159.09090909090907</v>
      </c>
    </row>
    <row r="156" spans="1:29" x14ac:dyDescent="0.45">
      <c r="A156" s="5" t="s">
        <v>188</v>
      </c>
      <c r="B156" t="s">
        <v>189</v>
      </c>
      <c r="C156">
        <v>0.6</v>
      </c>
      <c r="D156">
        <v>7.4999999999999997E-3</v>
      </c>
      <c r="E156">
        <v>1</v>
      </c>
      <c r="F156">
        <v>2</v>
      </c>
      <c r="G156">
        <f t="shared" si="2"/>
        <v>160</v>
      </c>
    </row>
    <row r="157" spans="1:29" x14ac:dyDescent="0.45">
      <c r="A157" s="5" t="s">
        <v>190</v>
      </c>
      <c r="B157" t="s">
        <v>191</v>
      </c>
      <c r="C157">
        <v>1.1000000000000001</v>
      </c>
      <c r="D157">
        <v>1.34E-2</v>
      </c>
      <c r="E157">
        <v>1</v>
      </c>
      <c r="F157">
        <v>2</v>
      </c>
      <c r="G157">
        <f t="shared" si="2"/>
        <v>164.17910447761196</v>
      </c>
    </row>
    <row r="158" spans="1:29" x14ac:dyDescent="0.45">
      <c r="A158" s="5" t="s">
        <v>192</v>
      </c>
      <c r="B158" t="s">
        <v>193</v>
      </c>
      <c r="C158">
        <v>1.3</v>
      </c>
      <c r="D158">
        <v>1.52E-2</v>
      </c>
      <c r="E158">
        <v>1</v>
      </c>
      <c r="F158">
        <v>2</v>
      </c>
      <c r="G158">
        <f t="shared" si="2"/>
        <v>171.05263157894737</v>
      </c>
      <c r="H158">
        <f>AVERAGE(G153:G158)</f>
        <v>140.31902788424409</v>
      </c>
      <c r="I158">
        <f>STDEV(G153:G158)/SQRT(6)</f>
        <v>15.180833275680563</v>
      </c>
    </row>
    <row r="159" spans="1:29" x14ac:dyDescent="0.45">
      <c r="A159" s="5" t="s">
        <v>194</v>
      </c>
      <c r="B159" t="s">
        <v>195</v>
      </c>
      <c r="C159">
        <v>0.3</v>
      </c>
      <c r="D159">
        <v>1.2E-2</v>
      </c>
      <c r="E159">
        <v>1</v>
      </c>
      <c r="F159">
        <v>2</v>
      </c>
      <c r="G159">
        <f t="shared" si="2"/>
        <v>49.999999999999993</v>
      </c>
    </row>
    <row r="160" spans="1:29" x14ac:dyDescent="0.45">
      <c r="A160" s="5" t="s">
        <v>196</v>
      </c>
      <c r="B160" t="s">
        <v>197</v>
      </c>
      <c r="C160">
        <v>0.4</v>
      </c>
      <c r="D160">
        <v>1.21E-2</v>
      </c>
      <c r="E160">
        <v>1</v>
      </c>
      <c r="F160">
        <v>2</v>
      </c>
      <c r="G160">
        <f t="shared" si="2"/>
        <v>66.11570247933885</v>
      </c>
    </row>
    <row r="161" spans="1:11" x14ac:dyDescent="0.45">
      <c r="A161" s="5" t="s">
        <v>198</v>
      </c>
      <c r="B161" t="s">
        <v>199</v>
      </c>
      <c r="C161">
        <v>0.5</v>
      </c>
      <c r="D161">
        <v>1.24E-2</v>
      </c>
      <c r="E161">
        <v>1</v>
      </c>
      <c r="F161">
        <v>2</v>
      </c>
      <c r="G161">
        <f t="shared" si="2"/>
        <v>80.645161290322577</v>
      </c>
    </row>
    <row r="162" spans="1:11" x14ac:dyDescent="0.45">
      <c r="A162" s="5" t="s">
        <v>200</v>
      </c>
      <c r="B162" t="s">
        <v>201</v>
      </c>
      <c r="C162">
        <v>0.4</v>
      </c>
      <c r="D162">
        <v>1.44E-2</v>
      </c>
      <c r="E162">
        <v>1</v>
      </c>
      <c r="F162">
        <v>2</v>
      </c>
      <c r="G162">
        <f t="shared" si="2"/>
        <v>55.555555555555557</v>
      </c>
    </row>
    <row r="163" spans="1:11" x14ac:dyDescent="0.45">
      <c r="A163" s="5" t="s">
        <v>202</v>
      </c>
      <c r="B163" t="s">
        <v>203</v>
      </c>
      <c r="C163">
        <v>0.6</v>
      </c>
      <c r="D163">
        <v>1.35E-2</v>
      </c>
      <c r="E163">
        <v>1</v>
      </c>
      <c r="F163">
        <v>2</v>
      </c>
      <c r="G163">
        <f t="shared" si="2"/>
        <v>88.888888888888886</v>
      </c>
    </row>
    <row r="164" spans="1:11" ht="14.65" thickBot="1" x14ac:dyDescent="0.5">
      <c r="A164" s="6" t="s">
        <v>204</v>
      </c>
      <c r="B164" s="3" t="s">
        <v>205</v>
      </c>
      <c r="C164">
        <v>1.1000000000000001</v>
      </c>
      <c r="D164" s="9">
        <v>1.49E-2</v>
      </c>
      <c r="E164" s="9">
        <v>1</v>
      </c>
      <c r="F164" s="9">
        <v>2</v>
      </c>
      <c r="G164" s="9">
        <f t="shared" si="2"/>
        <v>147.65100671140942</v>
      </c>
      <c r="H164" s="9">
        <f>AVERAGE(G159:G164)</f>
        <v>81.476052487585875</v>
      </c>
      <c r="I164" s="9">
        <f>STDEV(G159:G164)/SQRT(6)</f>
        <v>14.529647258851851</v>
      </c>
    </row>
    <row r="165" spans="1:11" x14ac:dyDescent="0.45">
      <c r="A165" s="4" t="s">
        <v>206</v>
      </c>
      <c r="B165" t="s">
        <v>207</v>
      </c>
      <c r="C165">
        <v>1.2</v>
      </c>
      <c r="D165">
        <v>1.66E-2</v>
      </c>
      <c r="E165">
        <v>1</v>
      </c>
      <c r="F165">
        <v>2</v>
      </c>
      <c r="G165">
        <f t="shared" si="2"/>
        <v>144.57831325301203</v>
      </c>
    </row>
    <row r="166" spans="1:11" x14ac:dyDescent="0.45">
      <c r="A166" s="5" t="s">
        <v>208</v>
      </c>
      <c r="B166" t="s">
        <v>209</v>
      </c>
      <c r="C166">
        <v>1</v>
      </c>
      <c r="D166">
        <v>1.8100000000000002E-2</v>
      </c>
      <c r="E166">
        <v>1</v>
      </c>
      <c r="F166">
        <v>2</v>
      </c>
      <c r="G166">
        <f t="shared" si="2"/>
        <v>110.49723756906076</v>
      </c>
    </row>
    <row r="167" spans="1:11" x14ac:dyDescent="0.45">
      <c r="A167" s="5" t="s">
        <v>210</v>
      </c>
      <c r="B167" t="s">
        <v>211</v>
      </c>
      <c r="C167">
        <v>1.3</v>
      </c>
      <c r="D167">
        <v>1.5699999999999999E-2</v>
      </c>
      <c r="E167">
        <v>1</v>
      </c>
      <c r="F167">
        <v>2</v>
      </c>
      <c r="G167">
        <f t="shared" si="2"/>
        <v>165.60509554140128</v>
      </c>
    </row>
    <row r="168" spans="1:11" x14ac:dyDescent="0.45">
      <c r="A168" s="5" t="s">
        <v>212</v>
      </c>
      <c r="B168" t="s">
        <v>213</v>
      </c>
      <c r="C168">
        <v>2.1</v>
      </c>
      <c r="D168">
        <v>1.8200000000000001E-2</v>
      </c>
      <c r="E168">
        <v>1</v>
      </c>
      <c r="F168">
        <v>2</v>
      </c>
      <c r="G168">
        <f t="shared" si="2"/>
        <v>230.76923076923077</v>
      </c>
      <c r="K168" t="s">
        <v>722</v>
      </c>
    </row>
    <row r="169" spans="1:11" x14ac:dyDescent="0.45">
      <c r="A169" s="5" t="s">
        <v>214</v>
      </c>
      <c r="B169" t="s">
        <v>215</v>
      </c>
      <c r="C169">
        <v>0.8</v>
      </c>
      <c r="D169">
        <v>1.43E-2</v>
      </c>
      <c r="E169">
        <v>1</v>
      </c>
      <c r="F169">
        <v>2</v>
      </c>
      <c r="G169">
        <f t="shared" si="2"/>
        <v>111.88811188811189</v>
      </c>
    </row>
    <row r="170" spans="1:11" x14ac:dyDescent="0.45">
      <c r="A170" s="5" t="s">
        <v>216</v>
      </c>
      <c r="B170" t="s">
        <v>217</v>
      </c>
      <c r="C170">
        <v>0.8</v>
      </c>
      <c r="D170">
        <v>1.61E-2</v>
      </c>
      <c r="E170">
        <v>1</v>
      </c>
      <c r="F170">
        <v>2</v>
      </c>
      <c r="G170">
        <f t="shared" si="2"/>
        <v>99.378881987577643</v>
      </c>
      <c r="H170">
        <f>AVERAGE(G165:G170)</f>
        <v>143.78614516806573</v>
      </c>
      <c r="I170">
        <f>STDEV(G165:G170)/SQRT(6)</f>
        <v>20.116653321575615</v>
      </c>
    </row>
    <row r="171" spans="1:11" x14ac:dyDescent="0.45">
      <c r="A171" s="5" t="s">
        <v>218</v>
      </c>
      <c r="B171" t="s">
        <v>219</v>
      </c>
      <c r="C171">
        <v>1</v>
      </c>
      <c r="D171">
        <v>1.32E-2</v>
      </c>
      <c r="E171">
        <v>1</v>
      </c>
      <c r="F171">
        <v>2</v>
      </c>
      <c r="G171">
        <f t="shared" si="2"/>
        <v>151.51515151515153</v>
      </c>
    </row>
    <row r="172" spans="1:11" x14ac:dyDescent="0.45">
      <c r="A172" s="5" t="s">
        <v>220</v>
      </c>
      <c r="B172" t="s">
        <v>221</v>
      </c>
      <c r="C172">
        <v>1.3</v>
      </c>
      <c r="D172">
        <v>1.15E-2</v>
      </c>
      <c r="E172">
        <v>1</v>
      </c>
      <c r="F172">
        <v>2</v>
      </c>
      <c r="G172">
        <f t="shared" si="2"/>
        <v>226.08695652173915</v>
      </c>
    </row>
    <row r="173" spans="1:11" x14ac:dyDescent="0.45">
      <c r="A173" s="5" t="s">
        <v>222</v>
      </c>
      <c r="B173" t="s">
        <v>223</v>
      </c>
      <c r="C173">
        <v>3.5</v>
      </c>
      <c r="D173">
        <v>1.37E-2</v>
      </c>
      <c r="E173">
        <v>1</v>
      </c>
      <c r="F173">
        <v>2</v>
      </c>
      <c r="G173">
        <f t="shared" si="2"/>
        <v>510.94890510948903</v>
      </c>
    </row>
    <row r="174" spans="1:11" x14ac:dyDescent="0.45">
      <c r="A174" s="5" t="s">
        <v>224</v>
      </c>
      <c r="B174" t="s">
        <v>225</v>
      </c>
      <c r="C174">
        <v>2.2999999999999998</v>
      </c>
      <c r="D174">
        <v>1.5100000000000001E-2</v>
      </c>
      <c r="E174">
        <v>1</v>
      </c>
      <c r="F174">
        <v>2</v>
      </c>
      <c r="G174">
        <f t="shared" si="2"/>
        <v>304.6357615894039</v>
      </c>
    </row>
    <row r="175" spans="1:11" x14ac:dyDescent="0.45">
      <c r="A175" s="5" t="s">
        <v>226</v>
      </c>
      <c r="B175" t="s">
        <v>227</v>
      </c>
      <c r="C175">
        <v>2.9</v>
      </c>
      <c r="D175">
        <v>1.52E-2</v>
      </c>
      <c r="E175">
        <v>1</v>
      </c>
      <c r="F175">
        <v>2</v>
      </c>
      <c r="G175">
        <f t="shared" si="2"/>
        <v>381.57894736842098</v>
      </c>
    </row>
    <row r="176" spans="1:11" ht="14.65" thickBot="1" x14ac:dyDescent="0.5">
      <c r="A176" s="6" t="s">
        <v>228</v>
      </c>
      <c r="B176" s="3" t="s">
        <v>229</v>
      </c>
      <c r="C176">
        <v>2.8</v>
      </c>
      <c r="D176" s="9">
        <v>1.43E-2</v>
      </c>
      <c r="E176" s="9">
        <v>1</v>
      </c>
      <c r="F176" s="9">
        <v>2</v>
      </c>
      <c r="G176" s="9">
        <f t="shared" si="2"/>
        <v>391.60839160839163</v>
      </c>
      <c r="H176" s="9">
        <f>AVERAGE(G171:G176)</f>
        <v>327.72901895209941</v>
      </c>
      <c r="I176" s="9">
        <f>STDEV(G171:G176)/SQRT(6)</f>
        <v>52.429524186516112</v>
      </c>
    </row>
    <row r="177" spans="1:9" x14ac:dyDescent="0.45">
      <c r="A177" s="4" t="s">
        <v>230</v>
      </c>
      <c r="B177" t="s">
        <v>231</v>
      </c>
      <c r="C177">
        <v>0.7</v>
      </c>
      <c r="D177">
        <v>1.38E-2</v>
      </c>
      <c r="E177">
        <v>1</v>
      </c>
      <c r="F177">
        <v>2</v>
      </c>
      <c r="G177">
        <f t="shared" si="2"/>
        <v>101.44927536231884</v>
      </c>
    </row>
    <row r="178" spans="1:9" x14ac:dyDescent="0.45">
      <c r="A178" s="5" t="s">
        <v>232</v>
      </c>
      <c r="B178" t="s">
        <v>233</v>
      </c>
      <c r="C178">
        <v>0.9</v>
      </c>
      <c r="D178">
        <v>1.4500000000000001E-2</v>
      </c>
      <c r="E178">
        <v>1</v>
      </c>
      <c r="F178">
        <v>2</v>
      </c>
      <c r="G178">
        <f t="shared" si="2"/>
        <v>124.13793103448275</v>
      </c>
    </row>
    <row r="179" spans="1:9" x14ac:dyDescent="0.45">
      <c r="A179" s="5" t="s">
        <v>234</v>
      </c>
      <c r="B179" t="s">
        <v>235</v>
      </c>
      <c r="C179">
        <v>1</v>
      </c>
      <c r="D179">
        <v>1.6299999999999999E-2</v>
      </c>
      <c r="E179">
        <v>1</v>
      </c>
      <c r="F179">
        <v>2</v>
      </c>
      <c r="G179">
        <f t="shared" si="2"/>
        <v>122.6993865030675</v>
      </c>
    </row>
    <row r="180" spans="1:9" x14ac:dyDescent="0.45">
      <c r="A180" s="5" t="s">
        <v>236</v>
      </c>
      <c r="B180" t="s">
        <v>237</v>
      </c>
      <c r="C180">
        <v>0.7</v>
      </c>
      <c r="D180">
        <v>1.2500000000000001E-2</v>
      </c>
      <c r="E180">
        <v>1</v>
      </c>
      <c r="F180">
        <v>2</v>
      </c>
      <c r="G180">
        <f t="shared" si="2"/>
        <v>112</v>
      </c>
    </row>
    <row r="181" spans="1:9" x14ac:dyDescent="0.45">
      <c r="A181" s="5" t="s">
        <v>238</v>
      </c>
      <c r="B181" t="s">
        <v>239</v>
      </c>
      <c r="C181">
        <v>0.3</v>
      </c>
      <c r="D181">
        <v>1.21E-2</v>
      </c>
      <c r="E181">
        <v>1</v>
      </c>
      <c r="F181">
        <v>2</v>
      </c>
      <c r="G181">
        <f t="shared" si="2"/>
        <v>49.586776859504134</v>
      </c>
    </row>
    <row r="182" spans="1:9" x14ac:dyDescent="0.45">
      <c r="A182" s="5" t="s">
        <v>240</v>
      </c>
      <c r="B182" t="s">
        <v>241</v>
      </c>
      <c r="C182">
        <v>0.5</v>
      </c>
      <c r="D182">
        <v>1.66E-2</v>
      </c>
      <c r="E182">
        <v>1</v>
      </c>
      <c r="F182">
        <v>2</v>
      </c>
      <c r="G182">
        <f t="shared" si="2"/>
        <v>60.240963855421683</v>
      </c>
      <c r="H182">
        <f>AVERAGE(G177:G182)</f>
        <v>95.019055602465826</v>
      </c>
      <c r="I182">
        <f>STDEV(G177:G182)/SQRT(6)</f>
        <v>13.187642500118882</v>
      </c>
    </row>
    <row r="183" spans="1:9" x14ac:dyDescent="0.45">
      <c r="A183" s="5" t="s">
        <v>242</v>
      </c>
      <c r="B183" t="s">
        <v>243</v>
      </c>
      <c r="C183">
        <v>0.6</v>
      </c>
      <c r="D183">
        <v>1.34E-2</v>
      </c>
      <c r="E183">
        <v>1</v>
      </c>
      <c r="F183">
        <v>2</v>
      </c>
      <c r="G183">
        <f t="shared" si="2"/>
        <v>89.552238805970148</v>
      </c>
    </row>
    <row r="184" spans="1:9" x14ac:dyDescent="0.45">
      <c r="A184" s="5" t="s">
        <v>244</v>
      </c>
      <c r="B184" t="s">
        <v>245</v>
      </c>
      <c r="C184">
        <v>0.5</v>
      </c>
      <c r="D184">
        <v>1.55E-2</v>
      </c>
      <c r="E184">
        <v>1</v>
      </c>
      <c r="F184">
        <v>2</v>
      </c>
      <c r="G184">
        <f t="shared" si="2"/>
        <v>64.516129032258064</v>
      </c>
    </row>
    <row r="185" spans="1:9" x14ac:dyDescent="0.45">
      <c r="A185" s="5" t="s">
        <v>246</v>
      </c>
      <c r="B185" t="s">
        <v>247</v>
      </c>
      <c r="C185">
        <v>0.9</v>
      </c>
      <c r="D185">
        <v>1.5699999999999999E-2</v>
      </c>
      <c r="E185">
        <v>1</v>
      </c>
      <c r="F185">
        <v>2</v>
      </c>
      <c r="G185">
        <f t="shared" si="2"/>
        <v>114.64968152866243</v>
      </c>
    </row>
    <row r="186" spans="1:9" x14ac:dyDescent="0.45">
      <c r="A186" s="5" t="s">
        <v>248</v>
      </c>
      <c r="B186" t="s">
        <v>249</v>
      </c>
      <c r="C186">
        <v>1.2</v>
      </c>
      <c r="D186">
        <v>1.6899999999999998E-2</v>
      </c>
      <c r="E186">
        <v>1</v>
      </c>
      <c r="F186">
        <v>2</v>
      </c>
      <c r="G186">
        <f t="shared" si="2"/>
        <v>142.01183431952663</v>
      </c>
    </row>
    <row r="187" spans="1:9" x14ac:dyDescent="0.45">
      <c r="A187" s="5" t="s">
        <v>250</v>
      </c>
      <c r="B187" t="s">
        <v>251</v>
      </c>
      <c r="C187">
        <v>1</v>
      </c>
      <c r="D187">
        <v>1.4999999999999999E-2</v>
      </c>
      <c r="E187">
        <v>1</v>
      </c>
      <c r="F187">
        <v>2</v>
      </c>
      <c r="G187">
        <f t="shared" si="2"/>
        <v>133.33333333333334</v>
      </c>
    </row>
    <row r="188" spans="1:9" ht="14.65" thickBot="1" x14ac:dyDescent="0.5">
      <c r="A188" s="6" t="s">
        <v>252</v>
      </c>
      <c r="B188" s="3" t="s">
        <v>253</v>
      </c>
      <c r="C188">
        <v>0.9</v>
      </c>
      <c r="D188" s="9">
        <v>1.78E-2</v>
      </c>
      <c r="E188" s="9">
        <v>1</v>
      </c>
      <c r="F188" s="9">
        <v>2</v>
      </c>
      <c r="G188" s="9">
        <f t="shared" si="2"/>
        <v>101.12359550561798</v>
      </c>
      <c r="H188" s="9">
        <f>AVERAGE(G183:G188)</f>
        <v>107.53113542089477</v>
      </c>
      <c r="I188" s="9">
        <f>STDEV(G183:G188)/SQRT(6)</f>
        <v>11.718836373135385</v>
      </c>
    </row>
    <row r="189" spans="1:9" x14ac:dyDescent="0.45">
      <c r="A189" s="4" t="s">
        <v>254</v>
      </c>
      <c r="B189" t="s">
        <v>255</v>
      </c>
      <c r="C189">
        <v>1.1000000000000001</v>
      </c>
      <c r="D189">
        <v>1.3899999999999999E-2</v>
      </c>
      <c r="E189">
        <v>1</v>
      </c>
      <c r="F189">
        <v>2</v>
      </c>
      <c r="G189">
        <f t="shared" si="2"/>
        <v>158.27338129496405</v>
      </c>
    </row>
    <row r="190" spans="1:9" x14ac:dyDescent="0.45">
      <c r="A190" s="5" t="s">
        <v>256</v>
      </c>
      <c r="B190" t="s">
        <v>257</v>
      </c>
      <c r="C190">
        <v>1</v>
      </c>
      <c r="D190">
        <v>1.72E-2</v>
      </c>
      <c r="E190">
        <v>1</v>
      </c>
      <c r="F190">
        <v>2</v>
      </c>
      <c r="G190">
        <f t="shared" si="2"/>
        <v>116.27906976744185</v>
      </c>
    </row>
    <row r="191" spans="1:9" x14ac:dyDescent="0.45">
      <c r="A191" s="5" t="s">
        <v>258</v>
      </c>
      <c r="B191" t="s">
        <v>259</v>
      </c>
      <c r="C191">
        <v>1.2</v>
      </c>
      <c r="D191">
        <v>1.66E-2</v>
      </c>
      <c r="E191">
        <v>1</v>
      </c>
      <c r="F191">
        <v>2</v>
      </c>
      <c r="G191">
        <f t="shared" si="2"/>
        <v>144.57831325301203</v>
      </c>
    </row>
    <row r="192" spans="1:9" x14ac:dyDescent="0.45">
      <c r="A192" s="5" t="s">
        <v>260</v>
      </c>
      <c r="B192" t="s">
        <v>261</v>
      </c>
      <c r="C192">
        <v>1.4</v>
      </c>
      <c r="D192">
        <v>1.54E-2</v>
      </c>
      <c r="E192">
        <v>1</v>
      </c>
      <c r="F192">
        <v>2</v>
      </c>
      <c r="G192">
        <f t="shared" si="2"/>
        <v>181.81818181818178</v>
      </c>
    </row>
    <row r="193" spans="1:9" x14ac:dyDescent="0.45">
      <c r="A193" s="5" t="s">
        <v>262</v>
      </c>
      <c r="B193" t="s">
        <v>263</v>
      </c>
      <c r="C193">
        <v>0.5</v>
      </c>
      <c r="D193">
        <v>1.7100000000000001E-2</v>
      </c>
      <c r="E193">
        <v>1</v>
      </c>
      <c r="F193">
        <v>2</v>
      </c>
      <c r="G193">
        <f t="shared" si="2"/>
        <v>58.479532163742689</v>
      </c>
    </row>
    <row r="194" spans="1:9" x14ac:dyDescent="0.45">
      <c r="A194" s="5" t="s">
        <v>264</v>
      </c>
      <c r="B194" t="s">
        <v>265</v>
      </c>
      <c r="C194">
        <v>0.7</v>
      </c>
      <c r="D194">
        <v>1.67E-2</v>
      </c>
      <c r="E194">
        <v>1</v>
      </c>
      <c r="F194">
        <v>2</v>
      </c>
      <c r="G194">
        <f t="shared" ref="G194:G248" si="3">(C194*(E194/D194)*F194)</f>
        <v>83.832335329341319</v>
      </c>
      <c r="H194">
        <f>AVERAGE(G189:G194)</f>
        <v>123.87680227111395</v>
      </c>
      <c r="I194">
        <f>STDEV(G189:G194)/SQRT(6)</f>
        <v>19.067396674812514</v>
      </c>
    </row>
    <row r="195" spans="1:9" x14ac:dyDescent="0.45">
      <c r="A195" s="5" t="s">
        <v>266</v>
      </c>
      <c r="B195" t="s">
        <v>267</v>
      </c>
      <c r="C195">
        <v>0.7</v>
      </c>
      <c r="D195">
        <v>1.54E-2</v>
      </c>
      <c r="E195">
        <v>1</v>
      </c>
      <c r="F195">
        <v>2</v>
      </c>
      <c r="G195">
        <f t="shared" si="3"/>
        <v>90.909090909090892</v>
      </c>
    </row>
    <row r="196" spans="1:9" x14ac:dyDescent="0.45">
      <c r="A196" s="5" t="s">
        <v>268</v>
      </c>
      <c r="B196" t="s">
        <v>269</v>
      </c>
      <c r="C196">
        <v>0.6</v>
      </c>
      <c r="D196">
        <v>1.5800000000000002E-2</v>
      </c>
      <c r="E196">
        <v>1</v>
      </c>
      <c r="F196">
        <v>2</v>
      </c>
      <c r="G196">
        <f t="shared" si="3"/>
        <v>75.949367088607588</v>
      </c>
    </row>
    <row r="197" spans="1:9" x14ac:dyDescent="0.45">
      <c r="A197" s="5" t="s">
        <v>270</v>
      </c>
      <c r="B197" t="s">
        <v>271</v>
      </c>
      <c r="C197">
        <v>1.8</v>
      </c>
      <c r="D197">
        <v>1.5900000000000001E-2</v>
      </c>
      <c r="E197">
        <v>1</v>
      </c>
      <c r="F197">
        <v>2</v>
      </c>
      <c r="G197">
        <f t="shared" si="3"/>
        <v>226.41509433962264</v>
      </c>
    </row>
    <row r="198" spans="1:9" x14ac:dyDescent="0.45">
      <c r="A198" s="5" t="s">
        <v>272</v>
      </c>
      <c r="B198" t="s">
        <v>273</v>
      </c>
      <c r="C198">
        <v>1</v>
      </c>
      <c r="D198">
        <v>1.4800000000000001E-2</v>
      </c>
      <c r="E198">
        <v>1</v>
      </c>
      <c r="F198">
        <v>2</v>
      </c>
      <c r="G198">
        <f t="shared" si="3"/>
        <v>135.13513513513513</v>
      </c>
    </row>
    <row r="199" spans="1:9" x14ac:dyDescent="0.45">
      <c r="A199" s="5" t="s">
        <v>274</v>
      </c>
      <c r="B199" t="s">
        <v>275</v>
      </c>
      <c r="C199">
        <v>0.8</v>
      </c>
      <c r="D199">
        <v>1.46E-2</v>
      </c>
      <c r="E199">
        <v>1</v>
      </c>
      <c r="F199">
        <v>2</v>
      </c>
      <c r="G199">
        <f t="shared" si="3"/>
        <v>109.58904109589042</v>
      </c>
    </row>
    <row r="200" spans="1:9" ht="14.65" thickBot="1" x14ac:dyDescent="0.5">
      <c r="A200" s="6" t="s">
        <v>276</v>
      </c>
      <c r="B200" s="3" t="s">
        <v>277</v>
      </c>
      <c r="C200">
        <v>0.7</v>
      </c>
      <c r="D200" s="9">
        <v>1.5599999999999999E-2</v>
      </c>
      <c r="E200" s="9">
        <v>1</v>
      </c>
      <c r="F200" s="9">
        <v>2</v>
      </c>
      <c r="G200" s="9">
        <f t="shared" si="3"/>
        <v>89.743589743589737</v>
      </c>
      <c r="H200" s="9">
        <f>AVERAGE(G195:G200)</f>
        <v>121.29021971865608</v>
      </c>
      <c r="I200" s="9">
        <f>STDEV(G195:G200)/SQRT(6)</f>
        <v>22.622875072127165</v>
      </c>
    </row>
    <row r="201" spans="1:9" x14ac:dyDescent="0.45">
      <c r="A201" s="4" t="s">
        <v>278</v>
      </c>
      <c r="B201" t="s">
        <v>279</v>
      </c>
      <c r="C201">
        <v>0.4</v>
      </c>
      <c r="D201">
        <v>1.43E-2</v>
      </c>
      <c r="E201">
        <v>1</v>
      </c>
      <c r="F201">
        <v>2</v>
      </c>
      <c r="G201">
        <f t="shared" si="3"/>
        <v>55.944055944055947</v>
      </c>
    </row>
    <row r="202" spans="1:9" x14ac:dyDescent="0.45">
      <c r="A202" s="5" t="s">
        <v>280</v>
      </c>
      <c r="B202" t="s">
        <v>281</v>
      </c>
      <c r="C202">
        <v>0.4</v>
      </c>
      <c r="D202">
        <v>1.4E-2</v>
      </c>
      <c r="E202">
        <v>1</v>
      </c>
      <c r="F202">
        <v>2</v>
      </c>
      <c r="G202">
        <f t="shared" si="3"/>
        <v>57.142857142857146</v>
      </c>
    </row>
    <row r="203" spans="1:9" x14ac:dyDescent="0.45">
      <c r="A203" s="5" t="s">
        <v>282</v>
      </c>
      <c r="B203" t="s">
        <v>283</v>
      </c>
      <c r="C203">
        <v>1.9</v>
      </c>
      <c r="D203">
        <v>1.4200000000000001E-2</v>
      </c>
      <c r="E203">
        <v>1</v>
      </c>
      <c r="F203">
        <v>2</v>
      </c>
      <c r="G203">
        <f t="shared" si="3"/>
        <v>267.6056338028169</v>
      </c>
    </row>
    <row r="204" spans="1:9" x14ac:dyDescent="0.45">
      <c r="A204" s="5" t="s">
        <v>284</v>
      </c>
      <c r="B204" t="s">
        <v>285</v>
      </c>
      <c r="C204">
        <v>1.4</v>
      </c>
      <c r="D204">
        <v>1.5599999999999999E-2</v>
      </c>
      <c r="E204">
        <v>1</v>
      </c>
      <c r="F204">
        <v>2</v>
      </c>
      <c r="G204">
        <f t="shared" si="3"/>
        <v>179.48717948717947</v>
      </c>
    </row>
    <row r="205" spans="1:9" x14ac:dyDescent="0.45">
      <c r="A205" s="5" t="s">
        <v>286</v>
      </c>
      <c r="B205" t="s">
        <v>287</v>
      </c>
      <c r="C205">
        <v>1.1000000000000001</v>
      </c>
      <c r="D205">
        <v>1.5100000000000001E-2</v>
      </c>
      <c r="E205">
        <v>1</v>
      </c>
      <c r="F205">
        <v>2</v>
      </c>
      <c r="G205">
        <f t="shared" si="3"/>
        <v>145.6953642384106</v>
      </c>
    </row>
    <row r="206" spans="1:9" x14ac:dyDescent="0.45">
      <c r="A206" s="5" t="s">
        <v>288</v>
      </c>
      <c r="B206" t="s">
        <v>289</v>
      </c>
      <c r="C206">
        <v>2.4</v>
      </c>
      <c r="D206">
        <v>1.6299999999999999E-2</v>
      </c>
      <c r="E206">
        <v>1</v>
      </c>
      <c r="F206">
        <v>2</v>
      </c>
      <c r="G206">
        <f t="shared" si="3"/>
        <v>294.47852760736197</v>
      </c>
      <c r="H206">
        <f>AVERAGE(G201:G206)</f>
        <v>166.72560303711364</v>
      </c>
      <c r="I206">
        <f>STDEV(G201:G206)/SQRT(6)</f>
        <v>41.385846411149913</v>
      </c>
    </row>
    <row r="207" spans="1:9" x14ac:dyDescent="0.45">
      <c r="A207" s="5" t="s">
        <v>290</v>
      </c>
      <c r="B207" t="s">
        <v>291</v>
      </c>
      <c r="C207">
        <v>2.1</v>
      </c>
      <c r="D207">
        <v>1.67E-2</v>
      </c>
      <c r="E207">
        <v>1</v>
      </c>
      <c r="F207">
        <v>2</v>
      </c>
      <c r="G207">
        <f t="shared" si="3"/>
        <v>251.49700598802397</v>
      </c>
    </row>
    <row r="208" spans="1:9" x14ac:dyDescent="0.45">
      <c r="A208" s="5" t="s">
        <v>292</v>
      </c>
      <c r="B208" t="s">
        <v>293</v>
      </c>
      <c r="C208">
        <v>1.9</v>
      </c>
      <c r="D208">
        <v>1.52E-2</v>
      </c>
      <c r="E208">
        <v>1</v>
      </c>
      <c r="F208">
        <v>2</v>
      </c>
      <c r="G208">
        <f t="shared" si="3"/>
        <v>249.99999999999997</v>
      </c>
    </row>
    <row r="209" spans="1:9" x14ac:dyDescent="0.45">
      <c r="A209" s="5" t="s">
        <v>294</v>
      </c>
      <c r="B209" t="s">
        <v>295</v>
      </c>
      <c r="C209">
        <v>1.4</v>
      </c>
      <c r="D209">
        <v>1.9199999999999998E-2</v>
      </c>
      <c r="E209">
        <v>1</v>
      </c>
      <c r="F209">
        <v>2</v>
      </c>
      <c r="G209">
        <f t="shared" si="3"/>
        <v>145.83333333333334</v>
      </c>
    </row>
    <row r="210" spans="1:9" x14ac:dyDescent="0.45">
      <c r="A210" s="5" t="s">
        <v>296</v>
      </c>
      <c r="B210" t="s">
        <v>297</v>
      </c>
      <c r="C210">
        <v>1.4</v>
      </c>
      <c r="D210">
        <v>1.6400000000000001E-2</v>
      </c>
      <c r="E210">
        <v>1</v>
      </c>
      <c r="F210">
        <v>2</v>
      </c>
      <c r="G210">
        <f t="shared" si="3"/>
        <v>170.73170731707313</v>
      </c>
    </row>
    <row r="211" spans="1:9" x14ac:dyDescent="0.45">
      <c r="A211" s="5" t="s">
        <v>298</v>
      </c>
      <c r="B211" t="s">
        <v>299</v>
      </c>
      <c r="C211">
        <v>1.4</v>
      </c>
      <c r="D211">
        <v>1.7100000000000001E-2</v>
      </c>
      <c r="E211">
        <v>1</v>
      </c>
      <c r="F211">
        <v>2</v>
      </c>
      <c r="G211">
        <f t="shared" si="3"/>
        <v>163.74269005847952</v>
      </c>
    </row>
    <row r="212" spans="1:9" ht="14.65" thickBot="1" x14ac:dyDescent="0.5">
      <c r="A212" s="6" t="s">
        <v>300</v>
      </c>
      <c r="B212" s="3" t="s">
        <v>301</v>
      </c>
      <c r="C212">
        <v>1.3</v>
      </c>
      <c r="D212" s="9">
        <v>1.5800000000000002E-2</v>
      </c>
      <c r="E212" s="9">
        <v>1</v>
      </c>
      <c r="F212" s="9">
        <v>2</v>
      </c>
      <c r="G212" s="9">
        <f t="shared" si="3"/>
        <v>164.55696202531644</v>
      </c>
      <c r="H212" s="9">
        <f>AVERAGE(G207:G212)</f>
        <v>191.06028312037108</v>
      </c>
      <c r="I212" s="9">
        <f>STDEV(G207:G212)/SQRT(6)</f>
        <v>19.178019186753534</v>
      </c>
    </row>
    <row r="213" spans="1:9" x14ac:dyDescent="0.45">
      <c r="A213" s="4" t="s">
        <v>302</v>
      </c>
      <c r="B213" t="s">
        <v>303</v>
      </c>
      <c r="C213">
        <v>1.6</v>
      </c>
      <c r="D213">
        <v>1.55E-2</v>
      </c>
      <c r="E213">
        <v>1</v>
      </c>
      <c r="F213">
        <v>2</v>
      </c>
      <c r="G213">
        <f t="shared" si="3"/>
        <v>206.45161290322582</v>
      </c>
    </row>
    <row r="214" spans="1:9" x14ac:dyDescent="0.45">
      <c r="A214" s="5" t="s">
        <v>304</v>
      </c>
      <c r="B214" t="s">
        <v>305</v>
      </c>
      <c r="C214">
        <v>2.2999999999999998</v>
      </c>
      <c r="D214">
        <v>1.61E-2</v>
      </c>
      <c r="E214">
        <v>1</v>
      </c>
      <c r="F214">
        <v>2</v>
      </c>
      <c r="G214">
        <f t="shared" si="3"/>
        <v>285.71428571428572</v>
      </c>
    </row>
    <row r="215" spans="1:9" x14ac:dyDescent="0.45">
      <c r="A215" s="5" t="s">
        <v>306</v>
      </c>
      <c r="B215" t="s">
        <v>307</v>
      </c>
      <c r="C215">
        <v>0.8</v>
      </c>
      <c r="D215">
        <v>1.15E-2</v>
      </c>
      <c r="E215">
        <v>1</v>
      </c>
      <c r="F215">
        <v>2</v>
      </c>
      <c r="G215">
        <f t="shared" si="3"/>
        <v>139.13043478260872</v>
      </c>
    </row>
    <row r="216" spans="1:9" x14ac:dyDescent="0.45">
      <c r="A216" s="5" t="s">
        <v>308</v>
      </c>
      <c r="B216" t="s">
        <v>309</v>
      </c>
      <c r="C216">
        <v>1.3</v>
      </c>
      <c r="D216">
        <v>1.14E-2</v>
      </c>
      <c r="E216">
        <v>1</v>
      </c>
      <c r="F216">
        <v>2</v>
      </c>
      <c r="G216">
        <f t="shared" si="3"/>
        <v>228.07017543859646</v>
      </c>
    </row>
    <row r="217" spans="1:9" x14ac:dyDescent="0.45">
      <c r="A217" s="5" t="s">
        <v>310</v>
      </c>
      <c r="B217" t="s">
        <v>311</v>
      </c>
      <c r="C217">
        <v>2.6</v>
      </c>
      <c r="D217">
        <v>1.4800000000000001E-2</v>
      </c>
      <c r="E217">
        <v>1</v>
      </c>
      <c r="F217">
        <v>2</v>
      </c>
      <c r="G217">
        <f t="shared" si="3"/>
        <v>351.35135135135135</v>
      </c>
    </row>
    <row r="218" spans="1:9" x14ac:dyDescent="0.45">
      <c r="A218" s="5" t="s">
        <v>312</v>
      </c>
      <c r="B218" t="s">
        <v>313</v>
      </c>
      <c r="C218">
        <v>2.1</v>
      </c>
      <c r="D218">
        <v>1.4800000000000001E-2</v>
      </c>
      <c r="E218">
        <v>1</v>
      </c>
      <c r="F218">
        <v>2</v>
      </c>
      <c r="G218">
        <f t="shared" si="3"/>
        <v>283.7837837837838</v>
      </c>
      <c r="H218">
        <f>AVERAGE(G213:G218)</f>
        <v>249.08360732897532</v>
      </c>
      <c r="I218">
        <f>STDEV(G213:G218)/SQRT(6)</f>
        <v>30.195668416694495</v>
      </c>
    </row>
    <row r="219" spans="1:9" x14ac:dyDescent="0.45">
      <c r="A219" s="5" t="s">
        <v>314</v>
      </c>
      <c r="B219" t="s">
        <v>315</v>
      </c>
      <c r="C219">
        <v>2.1</v>
      </c>
      <c r="D219">
        <v>1.5599999999999999E-2</v>
      </c>
      <c r="E219">
        <v>1</v>
      </c>
      <c r="F219">
        <v>2</v>
      </c>
      <c r="G219">
        <f t="shared" si="3"/>
        <v>269.23076923076923</v>
      </c>
    </row>
    <row r="220" spans="1:9" x14ac:dyDescent="0.45">
      <c r="A220" s="5" t="s">
        <v>316</v>
      </c>
      <c r="B220" t="s">
        <v>317</v>
      </c>
      <c r="C220">
        <v>2.1</v>
      </c>
      <c r="D220">
        <v>1.6400000000000001E-2</v>
      </c>
      <c r="E220">
        <v>1</v>
      </c>
      <c r="F220">
        <v>2</v>
      </c>
      <c r="G220">
        <f t="shared" si="3"/>
        <v>256.09756097560972</v>
      </c>
    </row>
    <row r="221" spans="1:9" x14ac:dyDescent="0.45">
      <c r="A221" s="5" t="s">
        <v>318</v>
      </c>
      <c r="B221" t="s">
        <v>319</v>
      </c>
      <c r="C221">
        <v>2.1</v>
      </c>
      <c r="D221">
        <v>1.7600000000000001E-2</v>
      </c>
      <c r="E221">
        <v>1</v>
      </c>
      <c r="F221">
        <v>2</v>
      </c>
      <c r="G221">
        <f t="shared" si="3"/>
        <v>238.63636363636363</v>
      </c>
    </row>
    <row r="222" spans="1:9" x14ac:dyDescent="0.45">
      <c r="A222" s="5" t="s">
        <v>320</v>
      </c>
      <c r="B222" t="s">
        <v>321</v>
      </c>
      <c r="C222">
        <v>1.7</v>
      </c>
      <c r="D222">
        <v>1.52E-2</v>
      </c>
      <c r="E222">
        <v>1</v>
      </c>
      <c r="F222">
        <v>2</v>
      </c>
      <c r="G222">
        <f t="shared" si="3"/>
        <v>223.68421052631575</v>
      </c>
    </row>
    <row r="223" spans="1:9" x14ac:dyDescent="0.45">
      <c r="A223" s="5" t="s">
        <v>322</v>
      </c>
      <c r="B223" t="s">
        <v>323</v>
      </c>
      <c r="C223">
        <v>1.3</v>
      </c>
      <c r="D223">
        <v>1.54E-2</v>
      </c>
      <c r="E223">
        <v>1</v>
      </c>
      <c r="F223">
        <v>2</v>
      </c>
      <c r="G223">
        <f t="shared" si="3"/>
        <v>168.83116883116881</v>
      </c>
    </row>
    <row r="224" spans="1:9" ht="14.65" thickBot="1" x14ac:dyDescent="0.5">
      <c r="A224" s="6" t="s">
        <v>324</v>
      </c>
      <c r="B224" s="3" t="s">
        <v>325</v>
      </c>
      <c r="C224">
        <v>1</v>
      </c>
      <c r="D224" s="9">
        <v>1.7500000000000002E-2</v>
      </c>
      <c r="E224" s="9">
        <v>1</v>
      </c>
      <c r="F224" s="9">
        <v>2</v>
      </c>
      <c r="G224" s="9">
        <f t="shared" si="3"/>
        <v>114.28571428571428</v>
      </c>
      <c r="H224" s="9">
        <f>AVERAGE(G219:G224)</f>
        <v>211.79429791432355</v>
      </c>
      <c r="I224" s="9">
        <f>STDEV(G219:G224)/SQRT(6)</f>
        <v>24.136658296170488</v>
      </c>
    </row>
    <row r="225" spans="1:9" x14ac:dyDescent="0.45">
      <c r="A225" s="4" t="s">
        <v>326</v>
      </c>
      <c r="B225" t="s">
        <v>327</v>
      </c>
      <c r="C225">
        <v>1.2</v>
      </c>
      <c r="D225">
        <v>1.44E-2</v>
      </c>
      <c r="E225">
        <v>1</v>
      </c>
      <c r="F225">
        <v>2</v>
      </c>
      <c r="G225">
        <f t="shared" si="3"/>
        <v>166.66666666666666</v>
      </c>
    </row>
    <row r="226" spans="1:9" x14ac:dyDescent="0.45">
      <c r="A226" s="5" t="s">
        <v>328</v>
      </c>
      <c r="B226" t="s">
        <v>329</v>
      </c>
      <c r="C226">
        <v>1.2</v>
      </c>
      <c r="D226">
        <v>1.44E-2</v>
      </c>
      <c r="E226">
        <v>1</v>
      </c>
      <c r="F226">
        <v>2</v>
      </c>
      <c r="G226">
        <f t="shared" si="3"/>
        <v>166.66666666666666</v>
      </c>
    </row>
    <row r="227" spans="1:9" x14ac:dyDescent="0.45">
      <c r="A227" s="5" t="s">
        <v>330</v>
      </c>
      <c r="B227" t="s">
        <v>331</v>
      </c>
      <c r="C227">
        <v>1</v>
      </c>
      <c r="D227">
        <v>1.6E-2</v>
      </c>
      <c r="E227">
        <v>1</v>
      </c>
      <c r="F227">
        <v>2</v>
      </c>
      <c r="G227">
        <f t="shared" si="3"/>
        <v>125</v>
      </c>
    </row>
    <row r="228" spans="1:9" x14ac:dyDescent="0.45">
      <c r="A228" s="5" t="s">
        <v>332</v>
      </c>
      <c r="B228" t="s">
        <v>333</v>
      </c>
      <c r="C228">
        <v>1.2</v>
      </c>
      <c r="D228">
        <v>1.7500000000000002E-2</v>
      </c>
      <c r="E228">
        <v>1</v>
      </c>
      <c r="F228">
        <v>2</v>
      </c>
      <c r="G228">
        <f t="shared" si="3"/>
        <v>137.14285714285714</v>
      </c>
    </row>
    <row r="229" spans="1:9" x14ac:dyDescent="0.45">
      <c r="A229" s="5" t="s">
        <v>334</v>
      </c>
      <c r="B229" t="s">
        <v>335</v>
      </c>
      <c r="C229">
        <v>1.1000000000000001</v>
      </c>
      <c r="D229">
        <v>1.37E-2</v>
      </c>
      <c r="E229">
        <v>1</v>
      </c>
      <c r="F229">
        <v>2</v>
      </c>
      <c r="G229">
        <f t="shared" si="3"/>
        <v>160.58394160583944</v>
      </c>
    </row>
    <row r="230" spans="1:9" x14ac:dyDescent="0.45">
      <c r="A230" s="5" t="s">
        <v>336</v>
      </c>
      <c r="B230" t="s">
        <v>337</v>
      </c>
      <c r="C230">
        <v>1</v>
      </c>
      <c r="D230">
        <v>1.3100000000000001E-2</v>
      </c>
      <c r="E230">
        <v>1</v>
      </c>
      <c r="F230">
        <v>2</v>
      </c>
      <c r="G230">
        <f t="shared" si="3"/>
        <v>152.67175572519082</v>
      </c>
      <c r="H230">
        <f>AVERAGE(G225:G230)</f>
        <v>151.45531463453679</v>
      </c>
      <c r="I230">
        <f>STDEV(G225:G230)/SQRT(6)</f>
        <v>6.9577585769711803</v>
      </c>
    </row>
    <row r="231" spans="1:9" x14ac:dyDescent="0.45">
      <c r="A231" s="5" t="s">
        <v>338</v>
      </c>
      <c r="B231" t="s">
        <v>339</v>
      </c>
      <c r="C231">
        <v>2</v>
      </c>
      <c r="D231">
        <v>1.2999999999999999E-2</v>
      </c>
      <c r="E231">
        <v>1</v>
      </c>
      <c r="F231">
        <v>2</v>
      </c>
      <c r="G231">
        <f t="shared" si="3"/>
        <v>307.69230769230768</v>
      </c>
    </row>
    <row r="232" spans="1:9" x14ac:dyDescent="0.45">
      <c r="A232" s="5" t="s">
        <v>340</v>
      </c>
      <c r="B232" t="s">
        <v>341</v>
      </c>
      <c r="C232">
        <v>3.7</v>
      </c>
      <c r="D232">
        <v>1.61E-2</v>
      </c>
      <c r="E232">
        <v>1</v>
      </c>
      <c r="F232">
        <v>2</v>
      </c>
      <c r="G232">
        <f t="shared" si="3"/>
        <v>459.6273291925466</v>
      </c>
    </row>
    <row r="233" spans="1:9" x14ac:dyDescent="0.45">
      <c r="A233" s="5" t="s">
        <v>342</v>
      </c>
      <c r="B233" t="s">
        <v>343</v>
      </c>
      <c r="C233">
        <v>2</v>
      </c>
      <c r="D233">
        <v>1.54E-2</v>
      </c>
      <c r="E233">
        <v>1</v>
      </c>
      <c r="F233">
        <v>2</v>
      </c>
      <c r="G233">
        <f t="shared" si="3"/>
        <v>259.74025974025972</v>
      </c>
    </row>
    <row r="234" spans="1:9" x14ac:dyDescent="0.45">
      <c r="A234" s="5" t="s">
        <v>344</v>
      </c>
      <c r="B234" t="s">
        <v>345</v>
      </c>
      <c r="C234">
        <v>1.7</v>
      </c>
      <c r="D234">
        <v>1.24E-2</v>
      </c>
      <c r="E234">
        <v>1</v>
      </c>
      <c r="F234">
        <v>2</v>
      </c>
      <c r="G234">
        <f t="shared" si="3"/>
        <v>274.19354838709677</v>
      </c>
    </row>
    <row r="235" spans="1:9" x14ac:dyDescent="0.45">
      <c r="A235" s="5" t="s">
        <v>346</v>
      </c>
      <c r="B235" t="s">
        <v>347</v>
      </c>
      <c r="C235">
        <v>1.2</v>
      </c>
      <c r="D235">
        <v>1.4999999999999999E-2</v>
      </c>
      <c r="E235">
        <v>1</v>
      </c>
      <c r="F235">
        <v>2</v>
      </c>
      <c r="G235">
        <f t="shared" si="3"/>
        <v>160</v>
      </c>
    </row>
    <row r="236" spans="1:9" ht="14.65" thickBot="1" x14ac:dyDescent="0.5">
      <c r="A236" s="6" t="s">
        <v>348</v>
      </c>
      <c r="B236" s="3" t="s">
        <v>349</v>
      </c>
      <c r="C236">
        <v>1.4</v>
      </c>
      <c r="D236" s="9">
        <v>1.49E-2</v>
      </c>
      <c r="E236" s="9">
        <v>1</v>
      </c>
      <c r="F236" s="9">
        <v>2</v>
      </c>
      <c r="G236" s="9">
        <f t="shared" si="3"/>
        <v>187.91946308724832</v>
      </c>
      <c r="H236" s="9">
        <f>AVERAGE(G231:G236)</f>
        <v>274.86215134990988</v>
      </c>
      <c r="I236" s="9">
        <f>STDEV(G231:G236)/SQRT(6)</f>
        <v>43.281040344678722</v>
      </c>
    </row>
    <row r="237" spans="1:9" x14ac:dyDescent="0.45">
      <c r="A237" s="4" t="s">
        <v>350</v>
      </c>
      <c r="B237" t="s">
        <v>351</v>
      </c>
      <c r="C237">
        <v>0.9</v>
      </c>
      <c r="D237">
        <v>1.2200000000000001E-2</v>
      </c>
      <c r="E237">
        <v>1</v>
      </c>
      <c r="F237">
        <v>2</v>
      </c>
      <c r="G237">
        <f t="shared" si="3"/>
        <v>147.54098360655738</v>
      </c>
    </row>
    <row r="238" spans="1:9" x14ac:dyDescent="0.45">
      <c r="A238" s="5" t="s">
        <v>352</v>
      </c>
      <c r="B238" t="s">
        <v>353</v>
      </c>
      <c r="C238">
        <v>1.1000000000000001</v>
      </c>
      <c r="D238">
        <v>1.1900000000000001E-2</v>
      </c>
      <c r="E238">
        <v>1</v>
      </c>
      <c r="F238">
        <v>2</v>
      </c>
      <c r="G238">
        <f t="shared" si="3"/>
        <v>184.87394957983196</v>
      </c>
    </row>
    <row r="239" spans="1:9" x14ac:dyDescent="0.45">
      <c r="A239" s="5" t="s">
        <v>354</v>
      </c>
      <c r="B239" t="s">
        <v>355</v>
      </c>
      <c r="C239">
        <v>0.2</v>
      </c>
      <c r="D239">
        <v>1.17E-2</v>
      </c>
      <c r="E239">
        <v>1</v>
      </c>
      <c r="F239">
        <v>2</v>
      </c>
      <c r="G239">
        <f t="shared" si="3"/>
        <v>34.188034188034187</v>
      </c>
    </row>
    <row r="240" spans="1:9" x14ac:dyDescent="0.45">
      <c r="A240" s="5" t="s">
        <v>356</v>
      </c>
      <c r="B240" t="s">
        <v>357</v>
      </c>
      <c r="C240">
        <v>0.4</v>
      </c>
      <c r="D240">
        <v>1.7000000000000001E-2</v>
      </c>
      <c r="E240">
        <v>1</v>
      </c>
      <c r="F240">
        <v>2</v>
      </c>
      <c r="G240">
        <f t="shared" si="3"/>
        <v>47.058823529411768</v>
      </c>
    </row>
    <row r="241" spans="1:9" x14ac:dyDescent="0.45">
      <c r="A241" s="5" t="s">
        <v>358</v>
      </c>
      <c r="B241" t="s">
        <v>359</v>
      </c>
      <c r="C241">
        <v>1.2</v>
      </c>
      <c r="D241">
        <v>1.61E-2</v>
      </c>
      <c r="E241">
        <v>1</v>
      </c>
      <c r="F241">
        <v>2</v>
      </c>
      <c r="G241">
        <f t="shared" si="3"/>
        <v>149.06832298136646</v>
      </c>
    </row>
    <row r="242" spans="1:9" x14ac:dyDescent="0.45">
      <c r="A242" s="5" t="s">
        <v>360</v>
      </c>
      <c r="B242" t="s">
        <v>361</v>
      </c>
      <c r="C242">
        <v>1</v>
      </c>
      <c r="D242">
        <v>1.61E-2</v>
      </c>
      <c r="E242">
        <v>1</v>
      </c>
      <c r="F242">
        <v>2</v>
      </c>
      <c r="G242">
        <f t="shared" si="3"/>
        <v>124.22360248447205</v>
      </c>
      <c r="H242">
        <f>AVERAGE(G237:G242)</f>
        <v>114.49228606161229</v>
      </c>
      <c r="I242">
        <f>STDEV(G237:G242)/SQRT(6)</f>
        <v>24.719790017624835</v>
      </c>
    </row>
    <row r="243" spans="1:9" x14ac:dyDescent="0.45">
      <c r="A243" s="5" t="s">
        <v>362</v>
      </c>
      <c r="B243" t="s">
        <v>363</v>
      </c>
      <c r="C243">
        <v>0.9</v>
      </c>
      <c r="D243">
        <v>1.21E-2</v>
      </c>
      <c r="E243">
        <v>1</v>
      </c>
      <c r="F243">
        <v>2</v>
      </c>
      <c r="G243">
        <f t="shared" si="3"/>
        <v>148.76033057851242</v>
      </c>
    </row>
    <row r="244" spans="1:9" x14ac:dyDescent="0.45">
      <c r="A244" s="5" t="s">
        <v>364</v>
      </c>
      <c r="B244" t="s">
        <v>365</v>
      </c>
      <c r="C244">
        <v>0.7</v>
      </c>
      <c r="D244">
        <v>1.0800000000000001E-2</v>
      </c>
      <c r="E244">
        <v>1</v>
      </c>
      <c r="F244">
        <v>2</v>
      </c>
      <c r="G244">
        <f t="shared" si="3"/>
        <v>129.62962962962962</v>
      </c>
    </row>
    <row r="245" spans="1:9" x14ac:dyDescent="0.45">
      <c r="A245" s="5" t="s">
        <v>366</v>
      </c>
      <c r="B245" t="s">
        <v>367</v>
      </c>
      <c r="C245">
        <v>1.5</v>
      </c>
      <c r="D245">
        <v>1.66E-2</v>
      </c>
      <c r="E245">
        <v>1</v>
      </c>
      <c r="F245">
        <v>2</v>
      </c>
      <c r="G245">
        <f t="shared" si="3"/>
        <v>180.72289156626505</v>
      </c>
    </row>
    <row r="246" spans="1:9" x14ac:dyDescent="0.45">
      <c r="A246" s="5" t="s">
        <v>368</v>
      </c>
      <c r="B246" t="s">
        <v>369</v>
      </c>
      <c r="C246">
        <v>1.4</v>
      </c>
      <c r="D246">
        <v>1.52E-2</v>
      </c>
      <c r="E246">
        <v>1</v>
      </c>
      <c r="F246">
        <v>2</v>
      </c>
      <c r="G246">
        <f t="shared" si="3"/>
        <v>184.21052631578945</v>
      </c>
    </row>
    <row r="247" spans="1:9" x14ac:dyDescent="0.45">
      <c r="A247" s="5" t="s">
        <v>370</v>
      </c>
      <c r="B247" t="s">
        <v>371</v>
      </c>
      <c r="C247">
        <v>0.3</v>
      </c>
      <c r="D247">
        <v>1.4200000000000001E-2</v>
      </c>
      <c r="E247">
        <v>1</v>
      </c>
      <c r="F247">
        <v>2</v>
      </c>
      <c r="G247">
        <f t="shared" si="3"/>
        <v>42.25352112676056</v>
      </c>
    </row>
    <row r="248" spans="1:9" ht="14.65" thickBot="1" x14ac:dyDescent="0.5">
      <c r="A248" s="6" t="s">
        <v>372</v>
      </c>
      <c r="B248" s="3" t="s">
        <v>373</v>
      </c>
      <c r="C248">
        <v>0.3</v>
      </c>
      <c r="D248" s="9">
        <v>1.4500000000000001E-2</v>
      </c>
      <c r="E248" s="9">
        <v>1</v>
      </c>
      <c r="F248" s="9">
        <v>2</v>
      </c>
      <c r="G248" s="9">
        <f t="shared" si="3"/>
        <v>41.37931034482758</v>
      </c>
      <c r="H248" s="9">
        <f>AVERAGE(G243:G248)</f>
        <v>121.15936826029746</v>
      </c>
      <c r="I248" s="9">
        <f>STDEV(G243:G248)/SQRT(6)</f>
        <v>26.42461645396348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E125-1508-40CE-AF67-E5CD569FD179}">
  <dimension ref="A1:AC248"/>
  <sheetViews>
    <sheetView topLeftCell="M136" zoomScale="138" workbookViewId="0">
      <selection activeCell="U146" sqref="U146"/>
    </sheetView>
  </sheetViews>
  <sheetFormatPr baseColWidth="10" defaultRowHeight="14.25" x14ac:dyDescent="0.45"/>
  <cols>
    <col min="3" max="3" width="11.86328125" customWidth="1"/>
    <col min="5" max="5" width="8.19921875" customWidth="1"/>
    <col min="6" max="6" width="13" bestFit="1" customWidth="1"/>
    <col min="7" max="7" width="14.46484375" bestFit="1" customWidth="1"/>
    <col min="12" max="12" width="12.1328125" customWidth="1"/>
  </cols>
  <sheetData>
    <row r="1" spans="1:23" x14ac:dyDescent="0.45">
      <c r="A1" t="s">
        <v>132</v>
      </c>
    </row>
    <row r="2" spans="1:23" ht="14.65" thickBot="1" x14ac:dyDescent="0.5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</row>
    <row r="3" spans="1:23" x14ac:dyDescent="0.45">
      <c r="A3" s="4" t="s">
        <v>2</v>
      </c>
      <c r="B3">
        <v>1</v>
      </c>
      <c r="C3">
        <v>28.9</v>
      </c>
      <c r="D3">
        <v>2.0400000000000001E-2</v>
      </c>
      <c r="E3">
        <v>1</v>
      </c>
      <c r="F3">
        <v>3</v>
      </c>
      <c r="G3">
        <f>(C3*(E3/D3)*F3)</f>
        <v>4250</v>
      </c>
      <c r="M3" t="s">
        <v>132</v>
      </c>
    </row>
    <row r="4" spans="1:23" x14ac:dyDescent="0.45">
      <c r="A4" s="5" t="s">
        <v>3</v>
      </c>
      <c r="B4">
        <v>2</v>
      </c>
      <c r="C4">
        <v>19.100000000000001</v>
      </c>
      <c r="D4">
        <v>1.54E-2</v>
      </c>
      <c r="E4">
        <v>1</v>
      </c>
      <c r="F4">
        <v>3</v>
      </c>
      <c r="G4">
        <f t="shared" ref="G4:G67" si="0">(C4*(E4/D4)*F4)</f>
        <v>3720.7792207792209</v>
      </c>
      <c r="N4" t="s">
        <v>374</v>
      </c>
      <c r="O4" t="s">
        <v>375</v>
      </c>
      <c r="P4" t="s">
        <v>376</v>
      </c>
      <c r="Q4" t="s">
        <v>377</v>
      </c>
      <c r="R4" t="s">
        <v>378</v>
      </c>
      <c r="S4" t="s">
        <v>379</v>
      </c>
      <c r="T4" t="s">
        <v>380</v>
      </c>
      <c r="U4" t="s">
        <v>381</v>
      </c>
      <c r="V4" t="s">
        <v>384</v>
      </c>
      <c r="W4" t="s">
        <v>385</v>
      </c>
    </row>
    <row r="5" spans="1:23" x14ac:dyDescent="0.45">
      <c r="A5" s="5" t="s">
        <v>4</v>
      </c>
      <c r="B5">
        <v>3</v>
      </c>
      <c r="C5">
        <v>11</v>
      </c>
      <c r="D5">
        <v>2.1100000000000001E-2</v>
      </c>
      <c r="E5">
        <v>1</v>
      </c>
      <c r="F5">
        <v>3</v>
      </c>
      <c r="G5">
        <f t="shared" si="0"/>
        <v>1563.9810426540284</v>
      </c>
      <c r="M5" t="s">
        <v>382</v>
      </c>
      <c r="N5">
        <f>H8</f>
        <v>3395.7689572144541</v>
      </c>
      <c r="O5">
        <f>H20</f>
        <v>4224.666005213192</v>
      </c>
      <c r="P5">
        <f>H32</f>
        <v>3800.6363811354981</v>
      </c>
      <c r="Q5">
        <f>H44</f>
        <v>3426.7614991337791</v>
      </c>
      <c r="R5">
        <f>H56</f>
        <v>3747.1561968201718</v>
      </c>
      <c r="S5">
        <f>H68</f>
        <v>6029.7976928628159</v>
      </c>
      <c r="T5">
        <f>H80</f>
        <v>7534.3272821865694</v>
      </c>
      <c r="U5">
        <f>H92</f>
        <v>5945.2069257418007</v>
      </c>
      <c r="V5">
        <f>H104</f>
        <v>3874.061814116963</v>
      </c>
      <c r="W5">
        <f>H116</f>
        <v>12668.214639382888</v>
      </c>
    </row>
    <row r="6" spans="1:23" x14ac:dyDescent="0.45">
      <c r="A6" s="5" t="s">
        <v>7</v>
      </c>
      <c r="B6">
        <v>4</v>
      </c>
      <c r="C6">
        <v>25.3</v>
      </c>
      <c r="D6">
        <v>1.4999999999999999E-2</v>
      </c>
      <c r="E6">
        <v>1</v>
      </c>
      <c r="F6">
        <v>3</v>
      </c>
      <c r="G6">
        <f t="shared" si="0"/>
        <v>5060</v>
      </c>
      <c r="M6" t="s">
        <v>131</v>
      </c>
      <c r="N6">
        <f>I8</f>
        <v>504.83957074763254</v>
      </c>
      <c r="O6">
        <f>I20</f>
        <v>441.30441339691902</v>
      </c>
      <c r="P6">
        <f>I32</f>
        <v>763.41141824832812</v>
      </c>
      <c r="Q6">
        <f>I44</f>
        <v>532.1014639305381</v>
      </c>
      <c r="R6">
        <f>I56</f>
        <v>352.58819537122065</v>
      </c>
      <c r="S6">
        <f>I68</f>
        <v>797.88950560324008</v>
      </c>
      <c r="T6">
        <f>I80</f>
        <v>573.25154569551671</v>
      </c>
      <c r="U6">
        <f>I92</f>
        <v>904.6478292194671</v>
      </c>
      <c r="V6">
        <f>I104</f>
        <v>890.85086894779749</v>
      </c>
      <c r="W6">
        <f>I116</f>
        <v>2324.3949067101803</v>
      </c>
    </row>
    <row r="7" spans="1:23" x14ac:dyDescent="0.45">
      <c r="A7" s="5" t="s">
        <v>5</v>
      </c>
      <c r="B7">
        <v>5</v>
      </c>
      <c r="C7">
        <v>10.9</v>
      </c>
      <c r="D7">
        <v>1.26E-2</v>
      </c>
      <c r="E7">
        <v>1</v>
      </c>
      <c r="F7">
        <v>3</v>
      </c>
      <c r="G7">
        <f t="shared" si="0"/>
        <v>2595.2380952380954</v>
      </c>
      <c r="M7" t="s">
        <v>383</v>
      </c>
      <c r="N7">
        <f>H20</f>
        <v>4224.666005213192</v>
      </c>
      <c r="O7">
        <f>H26</f>
        <v>4538.3722051890936</v>
      </c>
      <c r="P7">
        <f>H38</f>
        <v>3565.4804978422148</v>
      </c>
      <c r="Q7">
        <f>H50</f>
        <v>5251.8832405933781</v>
      </c>
      <c r="R7">
        <f>H62</f>
        <v>4283.7601656471006</v>
      </c>
      <c r="S7">
        <f>H74</f>
        <v>4803.3795881950255</v>
      </c>
      <c r="T7">
        <f>H86</f>
        <v>11902.53367953343</v>
      </c>
      <c r="U7">
        <f>H98</f>
        <v>5609.7446652459475</v>
      </c>
      <c r="V7">
        <f>H110</f>
        <v>5134.565727864815</v>
      </c>
      <c r="W7">
        <f>H122</f>
        <v>8850.311469965689</v>
      </c>
    </row>
    <row r="8" spans="1:23" x14ac:dyDescent="0.45">
      <c r="A8" s="5" t="s">
        <v>6</v>
      </c>
      <c r="B8">
        <v>6</v>
      </c>
      <c r="C8">
        <v>20.7</v>
      </c>
      <c r="D8">
        <v>1.95E-2</v>
      </c>
      <c r="E8">
        <v>1</v>
      </c>
      <c r="F8">
        <v>3</v>
      </c>
      <c r="G8">
        <f t="shared" si="0"/>
        <v>3184.6153846153848</v>
      </c>
      <c r="H8">
        <f>AVERAGE(G3:G8)</f>
        <v>3395.7689572144541</v>
      </c>
      <c r="I8">
        <f>STDEV(G3:G8)/SQRT(6)</f>
        <v>504.83957074763254</v>
      </c>
      <c r="M8" t="s">
        <v>131</v>
      </c>
      <c r="N8">
        <f>I14</f>
        <v>355.18383452641103</v>
      </c>
      <c r="O8">
        <f>I26</f>
        <v>759.75474217176532</v>
      </c>
      <c r="P8">
        <f>I38</f>
        <v>415.52552015910942</v>
      </c>
      <c r="Q8">
        <f>I50</f>
        <v>445.53269269860544</v>
      </c>
      <c r="R8">
        <f>I62</f>
        <v>430.78014597166646</v>
      </c>
      <c r="S8">
        <f>I74</f>
        <v>465.1822915287097</v>
      </c>
      <c r="T8">
        <f>I86</f>
        <v>1270.6849211888859</v>
      </c>
      <c r="U8">
        <f>I98</f>
        <v>690.2705825261736</v>
      </c>
      <c r="V8">
        <f>I110</f>
        <v>682.03721555448328</v>
      </c>
      <c r="W8">
        <f>I122</f>
        <v>1020.1486089042849</v>
      </c>
    </row>
    <row r="9" spans="1:23" x14ac:dyDescent="0.45">
      <c r="A9" s="5" t="s">
        <v>13</v>
      </c>
      <c r="B9">
        <v>7</v>
      </c>
      <c r="C9">
        <v>20.7</v>
      </c>
      <c r="D9">
        <v>1.4800000000000001E-2</v>
      </c>
      <c r="E9">
        <v>1</v>
      </c>
      <c r="F9">
        <v>3</v>
      </c>
      <c r="G9">
        <f t="shared" si="0"/>
        <v>4195.9459459459458</v>
      </c>
    </row>
    <row r="10" spans="1:23" x14ac:dyDescent="0.45">
      <c r="A10" s="5" t="s">
        <v>8</v>
      </c>
      <c r="B10">
        <v>8</v>
      </c>
      <c r="C10">
        <v>20.399999999999999</v>
      </c>
      <c r="D10">
        <v>1.4500000000000001E-2</v>
      </c>
      <c r="E10">
        <v>1</v>
      </c>
      <c r="F10">
        <v>3</v>
      </c>
      <c r="G10">
        <f t="shared" si="0"/>
        <v>4220.689655172413</v>
      </c>
    </row>
    <row r="11" spans="1:23" x14ac:dyDescent="0.45">
      <c r="A11" s="5" t="s">
        <v>9</v>
      </c>
      <c r="B11">
        <v>9</v>
      </c>
      <c r="C11">
        <v>17.600000000000001</v>
      </c>
      <c r="D11">
        <v>1.8599999999999998E-2</v>
      </c>
      <c r="E11">
        <v>1</v>
      </c>
      <c r="F11">
        <v>3</v>
      </c>
      <c r="G11">
        <f t="shared" si="0"/>
        <v>2838.7096774193551</v>
      </c>
    </row>
    <row r="12" spans="1:23" x14ac:dyDescent="0.45">
      <c r="A12" s="5" t="s">
        <v>10</v>
      </c>
      <c r="B12">
        <v>10</v>
      </c>
      <c r="C12">
        <v>30.6</v>
      </c>
      <c r="D12">
        <v>1.7100000000000001E-2</v>
      </c>
      <c r="E12">
        <v>1</v>
      </c>
      <c r="F12">
        <v>3</v>
      </c>
      <c r="G12">
        <f t="shared" si="0"/>
        <v>5368.4210526315792</v>
      </c>
      <c r="M12" t="s">
        <v>740</v>
      </c>
      <c r="N12" t="s">
        <v>726</v>
      </c>
      <c r="O12" t="s">
        <v>727</v>
      </c>
      <c r="P12" t="s">
        <v>741</v>
      </c>
      <c r="Q12" t="s">
        <v>742</v>
      </c>
      <c r="R12" t="s">
        <v>723</v>
      </c>
      <c r="S12" t="s">
        <v>728</v>
      </c>
      <c r="T12" t="s">
        <v>743</v>
      </c>
    </row>
    <row r="13" spans="1:23" x14ac:dyDescent="0.45">
      <c r="A13" s="5" t="s">
        <v>11</v>
      </c>
      <c r="B13">
        <v>11</v>
      </c>
      <c r="C13">
        <v>24.3</v>
      </c>
      <c r="D13">
        <v>1.66E-2</v>
      </c>
      <c r="E13">
        <v>1</v>
      </c>
      <c r="F13">
        <v>3</v>
      </c>
      <c r="G13">
        <f t="shared" si="0"/>
        <v>4391.5662650602408</v>
      </c>
      <c r="M13" t="s">
        <v>729</v>
      </c>
      <c r="N13">
        <v>6</v>
      </c>
      <c r="O13">
        <v>6</v>
      </c>
      <c r="P13">
        <v>3452.6973026973001</v>
      </c>
      <c r="Q13">
        <v>4306.1279601163296</v>
      </c>
      <c r="R13">
        <v>0.22976627046113801</v>
      </c>
      <c r="S13" t="s">
        <v>744</v>
      </c>
      <c r="T13" t="s">
        <v>724</v>
      </c>
    </row>
    <row r="14" spans="1:23" ht="14.65" thickBot="1" x14ac:dyDescent="0.5">
      <c r="A14" s="6" t="s">
        <v>12</v>
      </c>
      <c r="B14" s="3">
        <v>12</v>
      </c>
      <c r="C14">
        <v>24</v>
      </c>
      <c r="D14" s="9">
        <v>1.44E-2</v>
      </c>
      <c r="E14" s="9">
        <v>1</v>
      </c>
      <c r="F14" s="9">
        <v>3</v>
      </c>
      <c r="G14" s="9">
        <f t="shared" si="0"/>
        <v>5000</v>
      </c>
      <c r="H14" s="9">
        <f>AVERAGE(G9:G14)</f>
        <v>4335.8887660382561</v>
      </c>
      <c r="I14" s="9">
        <f>STDEV(G9:G14)/SQRT(6)</f>
        <v>355.18383452641103</v>
      </c>
      <c r="M14" t="s">
        <v>730</v>
      </c>
      <c r="N14">
        <v>6</v>
      </c>
      <c r="O14">
        <v>6</v>
      </c>
      <c r="P14">
        <v>3866.7681766273299</v>
      </c>
      <c r="Q14">
        <v>4484.4074844074803</v>
      </c>
      <c r="R14">
        <v>0.47116999849005597</v>
      </c>
      <c r="S14" t="s">
        <v>744</v>
      </c>
      <c r="T14" t="s">
        <v>724</v>
      </c>
    </row>
    <row r="15" spans="1:23" x14ac:dyDescent="0.45">
      <c r="A15" s="5" t="s">
        <v>14</v>
      </c>
      <c r="B15">
        <v>13</v>
      </c>
      <c r="C15">
        <v>26.7</v>
      </c>
      <c r="D15">
        <v>2.1299999999999999E-2</v>
      </c>
      <c r="E15">
        <v>1</v>
      </c>
      <c r="F15">
        <v>3</v>
      </c>
      <c r="G15">
        <f t="shared" si="0"/>
        <v>3760.5633802816897</v>
      </c>
      <c r="M15" t="s">
        <v>731</v>
      </c>
      <c r="N15">
        <v>6</v>
      </c>
      <c r="O15">
        <v>6</v>
      </c>
      <c r="P15">
        <v>3941.4070891514498</v>
      </c>
      <c r="Q15">
        <v>3251.1486486486501</v>
      </c>
      <c r="R15">
        <v>0.81018123641047401</v>
      </c>
      <c r="S15" t="s">
        <v>744</v>
      </c>
      <c r="T15" t="s">
        <v>724</v>
      </c>
    </row>
    <row r="16" spans="1:23" x14ac:dyDescent="0.45">
      <c r="A16" s="5" t="s">
        <v>15</v>
      </c>
      <c r="B16">
        <v>14</v>
      </c>
      <c r="C16">
        <v>33.9</v>
      </c>
      <c r="D16">
        <v>2.2200000000000001E-2</v>
      </c>
      <c r="E16">
        <v>1</v>
      </c>
      <c r="F16">
        <v>3</v>
      </c>
      <c r="G16">
        <f t="shared" si="0"/>
        <v>4581.0810810810808</v>
      </c>
      <c r="M16" t="s">
        <v>732</v>
      </c>
      <c r="N16">
        <v>6</v>
      </c>
      <c r="O16">
        <v>6</v>
      </c>
      <c r="P16">
        <v>3580.53885291397</v>
      </c>
      <c r="Q16">
        <v>4955.9591048831098</v>
      </c>
      <c r="R16">
        <v>4.53275620779722E-2</v>
      </c>
      <c r="S16" t="s">
        <v>744</v>
      </c>
      <c r="T16" t="s">
        <v>725</v>
      </c>
    </row>
    <row r="17" spans="1:20" x14ac:dyDescent="0.45">
      <c r="A17" s="5" t="s">
        <v>16</v>
      </c>
      <c r="B17">
        <v>15</v>
      </c>
      <c r="C17">
        <v>24.5</v>
      </c>
      <c r="D17">
        <v>1.8499999999999999E-2</v>
      </c>
      <c r="E17">
        <v>1</v>
      </c>
      <c r="F17">
        <v>3</v>
      </c>
      <c r="G17">
        <f t="shared" si="0"/>
        <v>3972.9729729729734</v>
      </c>
      <c r="M17" t="s">
        <v>733</v>
      </c>
      <c r="N17">
        <v>6</v>
      </c>
      <c r="O17">
        <v>6</v>
      </c>
      <c r="P17">
        <v>3715.9550561797801</v>
      </c>
      <c r="Q17">
        <v>4256.88216312451</v>
      </c>
      <c r="R17">
        <v>0.47116999849005597</v>
      </c>
      <c r="S17" t="s">
        <v>744</v>
      </c>
      <c r="T17" t="s">
        <v>724</v>
      </c>
    </row>
    <row r="18" spans="1:20" x14ac:dyDescent="0.45">
      <c r="A18" s="5" t="s">
        <v>17</v>
      </c>
      <c r="B18">
        <v>16</v>
      </c>
      <c r="C18">
        <v>43.6</v>
      </c>
      <c r="D18">
        <v>2.1000000000000001E-2</v>
      </c>
      <c r="E18">
        <v>1</v>
      </c>
      <c r="F18">
        <v>3</v>
      </c>
      <c r="G18">
        <f t="shared" si="0"/>
        <v>6228.5714285714284</v>
      </c>
      <c r="M18" t="s">
        <v>734</v>
      </c>
      <c r="N18">
        <v>6</v>
      </c>
      <c r="O18">
        <v>6</v>
      </c>
      <c r="P18">
        <v>5609.8189590143302</v>
      </c>
      <c r="Q18">
        <v>4766.8003054601004</v>
      </c>
      <c r="R18">
        <v>0.29795306160816798</v>
      </c>
      <c r="S18" t="s">
        <v>744</v>
      </c>
      <c r="T18" t="s">
        <v>724</v>
      </c>
    </row>
    <row r="19" spans="1:20" x14ac:dyDescent="0.45">
      <c r="A19" s="5" t="s">
        <v>18</v>
      </c>
      <c r="B19">
        <v>17</v>
      </c>
      <c r="C19">
        <v>17.8</v>
      </c>
      <c r="D19">
        <v>1.66E-2</v>
      </c>
      <c r="E19">
        <v>1</v>
      </c>
      <c r="F19">
        <v>3</v>
      </c>
      <c r="G19">
        <f t="shared" si="0"/>
        <v>3216.8674698795176</v>
      </c>
      <c r="M19" t="s">
        <v>735</v>
      </c>
      <c r="N19">
        <v>6</v>
      </c>
      <c r="O19">
        <v>6</v>
      </c>
      <c r="P19">
        <v>7893.5590494908001</v>
      </c>
      <c r="Q19">
        <v>11422.5625539258</v>
      </c>
      <c r="R19">
        <v>3.06389879377033E-2</v>
      </c>
      <c r="S19" t="s">
        <v>744</v>
      </c>
      <c r="T19" t="s">
        <v>725</v>
      </c>
    </row>
    <row r="20" spans="1:20" x14ac:dyDescent="0.45">
      <c r="A20" s="5" t="s">
        <v>19</v>
      </c>
      <c r="B20">
        <v>18</v>
      </c>
      <c r="C20">
        <v>23.8</v>
      </c>
      <c r="D20">
        <v>1.9900000000000001E-2</v>
      </c>
      <c r="E20">
        <v>1</v>
      </c>
      <c r="F20">
        <v>3</v>
      </c>
      <c r="G20">
        <f t="shared" si="0"/>
        <v>3587.9396984924624</v>
      </c>
      <c r="H20">
        <f>AVERAGE(G15:G20)</f>
        <v>4224.666005213192</v>
      </c>
      <c r="I20">
        <f>STDEV(G15:G20)/SQRT(6)</f>
        <v>441.30441339691902</v>
      </c>
      <c r="M20" t="s">
        <v>736</v>
      </c>
      <c r="N20">
        <v>6</v>
      </c>
      <c r="O20">
        <v>6</v>
      </c>
      <c r="P20">
        <v>5645.5792682926804</v>
      </c>
      <c r="Q20">
        <v>5825.4206607150199</v>
      </c>
      <c r="R20">
        <v>0.93618629347305904</v>
      </c>
      <c r="S20" t="s">
        <v>744</v>
      </c>
      <c r="T20" t="s">
        <v>724</v>
      </c>
    </row>
    <row r="21" spans="1:20" x14ac:dyDescent="0.45">
      <c r="A21" s="5" t="s">
        <v>20</v>
      </c>
      <c r="B21">
        <v>19</v>
      </c>
      <c r="C21">
        <v>27.7</v>
      </c>
      <c r="D21">
        <v>1.8499999999999999E-2</v>
      </c>
      <c r="E21">
        <v>1</v>
      </c>
      <c r="F21">
        <v>3</v>
      </c>
      <c r="G21">
        <f t="shared" si="0"/>
        <v>4491.8918918918916</v>
      </c>
      <c r="M21" t="s">
        <v>737</v>
      </c>
      <c r="N21">
        <v>6</v>
      </c>
      <c r="O21">
        <v>6</v>
      </c>
      <c r="P21">
        <v>3383.5714285714298</v>
      </c>
      <c r="Q21">
        <v>5344.8606271776998</v>
      </c>
      <c r="R21">
        <v>0.378477593244679</v>
      </c>
      <c r="S21" t="s">
        <v>744</v>
      </c>
      <c r="T21" t="s">
        <v>724</v>
      </c>
    </row>
    <row r="22" spans="1:20" x14ac:dyDescent="0.45">
      <c r="A22" s="5" t="s">
        <v>21</v>
      </c>
      <c r="B22">
        <v>20</v>
      </c>
      <c r="C22">
        <v>29.1</v>
      </c>
      <c r="D22">
        <v>1.95E-2</v>
      </c>
      <c r="E22">
        <v>1</v>
      </c>
      <c r="F22">
        <v>3</v>
      </c>
      <c r="G22">
        <f t="shared" si="0"/>
        <v>4476.9230769230771</v>
      </c>
      <c r="M22" t="s">
        <v>738</v>
      </c>
      <c r="N22">
        <v>6</v>
      </c>
      <c r="O22">
        <v>6</v>
      </c>
      <c r="P22">
        <v>10919.0159934942</v>
      </c>
      <c r="Q22">
        <v>8534.6868884540108</v>
      </c>
      <c r="R22">
        <v>0.17348546832147799</v>
      </c>
      <c r="S22" t="s">
        <v>744</v>
      </c>
      <c r="T22" t="s">
        <v>724</v>
      </c>
    </row>
    <row r="23" spans="1:20" x14ac:dyDescent="0.45">
      <c r="A23" s="5" t="s">
        <v>22</v>
      </c>
      <c r="B23">
        <v>21</v>
      </c>
      <c r="C23">
        <v>26</v>
      </c>
      <c r="D23">
        <v>1.8599999999999998E-2</v>
      </c>
      <c r="E23">
        <v>1</v>
      </c>
      <c r="F23">
        <v>3</v>
      </c>
      <c r="G23">
        <f t="shared" si="0"/>
        <v>4193.5483870967746</v>
      </c>
    </row>
    <row r="24" spans="1:20" x14ac:dyDescent="0.45">
      <c r="A24" s="5" t="s">
        <v>23</v>
      </c>
      <c r="B24">
        <v>22</v>
      </c>
      <c r="C24">
        <v>10.8</v>
      </c>
      <c r="D24">
        <v>2.1999999999999999E-2</v>
      </c>
      <c r="E24">
        <v>1</v>
      </c>
      <c r="F24">
        <v>3</v>
      </c>
      <c r="G24">
        <f t="shared" si="0"/>
        <v>1472.727272727273</v>
      </c>
    </row>
    <row r="25" spans="1:20" x14ac:dyDescent="0.45">
      <c r="A25" s="5" t="s">
        <v>24</v>
      </c>
      <c r="B25">
        <v>23</v>
      </c>
      <c r="C25">
        <v>42.2</v>
      </c>
      <c r="D25">
        <v>1.7600000000000001E-2</v>
      </c>
      <c r="E25">
        <v>1</v>
      </c>
      <c r="F25">
        <v>3</v>
      </c>
      <c r="G25">
        <f t="shared" si="0"/>
        <v>7193.181818181818</v>
      </c>
    </row>
    <row r="26" spans="1:20" ht="14.65" thickBot="1" x14ac:dyDescent="0.5">
      <c r="A26" s="6" t="s">
        <v>25</v>
      </c>
      <c r="B26" s="3">
        <v>24</v>
      </c>
      <c r="C26">
        <f>AVERAGE(C22:C23)</f>
        <v>27.55</v>
      </c>
      <c r="D26" s="9">
        <v>1.5299999999999999E-2</v>
      </c>
      <c r="E26" s="9">
        <v>1</v>
      </c>
      <c r="F26" s="9">
        <v>3</v>
      </c>
      <c r="G26">
        <f t="shared" si="0"/>
        <v>5401.9607843137264</v>
      </c>
      <c r="H26" s="9">
        <f>AVERAGE(G21:G26)</f>
        <v>4538.3722051890936</v>
      </c>
      <c r="I26" s="9">
        <f>STDEV(G21:G26)/SQRT(6)</f>
        <v>759.75474217176532</v>
      </c>
    </row>
    <row r="27" spans="1:20" x14ac:dyDescent="0.45">
      <c r="A27" s="4" t="s">
        <v>26</v>
      </c>
      <c r="B27">
        <v>25</v>
      </c>
      <c r="C27">
        <v>6</v>
      </c>
      <c r="D27">
        <v>1.9199999999999998E-2</v>
      </c>
      <c r="E27">
        <v>1</v>
      </c>
      <c r="F27">
        <v>3</v>
      </c>
      <c r="G27">
        <f t="shared" si="0"/>
        <v>937.5</v>
      </c>
    </row>
    <row r="28" spans="1:20" x14ac:dyDescent="0.45">
      <c r="A28" s="5" t="s">
        <v>27</v>
      </c>
      <c r="B28">
        <v>26</v>
      </c>
      <c r="C28">
        <v>22.2</v>
      </c>
      <c r="D28">
        <v>1.9E-2</v>
      </c>
      <c r="E28">
        <v>1</v>
      </c>
      <c r="F28">
        <v>3</v>
      </c>
      <c r="G28">
        <f t="shared" si="0"/>
        <v>3505.2631578947367</v>
      </c>
    </row>
    <row r="29" spans="1:20" x14ac:dyDescent="0.45">
      <c r="A29" s="5" t="s">
        <v>28</v>
      </c>
      <c r="B29">
        <v>27</v>
      </c>
      <c r="C29">
        <v>16.899999999999999</v>
      </c>
      <c r="D29">
        <v>1.9699999999999999E-2</v>
      </c>
      <c r="E29">
        <v>1</v>
      </c>
      <c r="F29">
        <v>3</v>
      </c>
      <c r="G29">
        <f t="shared" si="0"/>
        <v>2573.6040609137053</v>
      </c>
    </row>
    <row r="30" spans="1:20" x14ac:dyDescent="0.45">
      <c r="A30" s="5" t="s">
        <v>29</v>
      </c>
      <c r="B30">
        <v>28</v>
      </c>
      <c r="C30">
        <v>30.1</v>
      </c>
      <c r="D30">
        <v>1.6500000000000001E-2</v>
      </c>
      <c r="E30">
        <v>1</v>
      </c>
      <c r="F30">
        <v>3</v>
      </c>
      <c r="G30">
        <f t="shared" si="0"/>
        <v>5472.727272727273</v>
      </c>
    </row>
    <row r="31" spans="1:20" x14ac:dyDescent="0.45">
      <c r="A31" s="5" t="s">
        <v>30</v>
      </c>
      <c r="B31">
        <v>29</v>
      </c>
      <c r="C31">
        <v>37.799999999999997</v>
      </c>
      <c r="D31">
        <v>1.9099999999999999E-2</v>
      </c>
      <c r="E31">
        <v>1</v>
      </c>
      <c r="F31">
        <v>3</v>
      </c>
      <c r="G31">
        <f t="shared" si="0"/>
        <v>5937.1727748691101</v>
      </c>
    </row>
    <row r="32" spans="1:20" x14ac:dyDescent="0.45">
      <c r="A32" s="5" t="s">
        <v>31</v>
      </c>
      <c r="B32">
        <v>30</v>
      </c>
      <c r="C32">
        <v>28.6</v>
      </c>
      <c r="D32">
        <v>1.9599999999999999E-2</v>
      </c>
      <c r="E32">
        <v>1</v>
      </c>
      <c r="F32">
        <v>3</v>
      </c>
      <c r="G32">
        <f t="shared" si="0"/>
        <v>4377.5510204081638</v>
      </c>
      <c r="H32">
        <f>AVERAGE(G27:G32)</f>
        <v>3800.6363811354981</v>
      </c>
      <c r="I32">
        <f>STDEV(G27:G32)/SQRT(6)</f>
        <v>763.41141824832812</v>
      </c>
    </row>
    <row r="33" spans="1:9" x14ac:dyDescent="0.45">
      <c r="A33" s="5" t="s">
        <v>32</v>
      </c>
      <c r="B33">
        <v>31</v>
      </c>
      <c r="C33">
        <v>19.100000000000001</v>
      </c>
      <c r="D33">
        <v>1.8499999999999999E-2</v>
      </c>
      <c r="E33">
        <v>1</v>
      </c>
      <c r="F33">
        <v>3</v>
      </c>
      <c r="G33">
        <f t="shared" si="0"/>
        <v>3097.2972972972975</v>
      </c>
    </row>
    <row r="34" spans="1:9" x14ac:dyDescent="0.45">
      <c r="A34" s="5" t="s">
        <v>33</v>
      </c>
      <c r="B34">
        <v>32</v>
      </c>
      <c r="C34">
        <v>22.7</v>
      </c>
      <c r="D34">
        <v>0.02</v>
      </c>
      <c r="E34">
        <v>1</v>
      </c>
      <c r="F34">
        <v>3</v>
      </c>
      <c r="G34">
        <f t="shared" si="0"/>
        <v>3405</v>
      </c>
    </row>
    <row r="35" spans="1:9" x14ac:dyDescent="0.45">
      <c r="A35" s="5" t="s">
        <v>34</v>
      </c>
      <c r="B35">
        <v>33</v>
      </c>
      <c r="C35">
        <v>16.8</v>
      </c>
      <c r="D35">
        <v>1.66E-2</v>
      </c>
      <c r="E35">
        <v>1</v>
      </c>
      <c r="F35">
        <v>3</v>
      </c>
      <c r="G35">
        <f t="shared" si="0"/>
        <v>3036.1445783132531</v>
      </c>
    </row>
    <row r="36" spans="1:9" x14ac:dyDescent="0.45">
      <c r="A36" s="5" t="s">
        <v>35</v>
      </c>
      <c r="B36">
        <v>34</v>
      </c>
      <c r="C36">
        <v>33.200000000000003</v>
      </c>
      <c r="D36">
        <v>1.8100000000000002E-2</v>
      </c>
      <c r="E36">
        <v>1</v>
      </c>
      <c r="F36">
        <v>3</v>
      </c>
      <c r="G36">
        <f t="shared" si="0"/>
        <v>5502.7624309392259</v>
      </c>
    </row>
    <row r="37" spans="1:9" x14ac:dyDescent="0.45">
      <c r="A37" s="5" t="s">
        <v>36</v>
      </c>
      <c r="B37">
        <v>35</v>
      </c>
      <c r="C37">
        <v>16.3</v>
      </c>
      <c r="D37">
        <v>1.8599999999999998E-2</v>
      </c>
      <c r="E37">
        <v>1</v>
      </c>
      <c r="F37">
        <v>3</v>
      </c>
      <c r="G37">
        <f t="shared" si="0"/>
        <v>2629.0322580645161</v>
      </c>
    </row>
    <row r="38" spans="1:9" ht="14.65" thickBot="1" x14ac:dyDescent="0.5">
      <c r="A38" s="6" t="s">
        <v>37</v>
      </c>
      <c r="B38" s="3">
        <v>36</v>
      </c>
      <c r="C38">
        <v>11.2</v>
      </c>
      <c r="D38" s="9">
        <v>2.23E-2</v>
      </c>
      <c r="E38" s="9">
        <v>1</v>
      </c>
      <c r="F38" s="9">
        <v>3</v>
      </c>
      <c r="G38" s="9">
        <f>AVERAGE(G35:G37)</f>
        <v>3722.6464224389979</v>
      </c>
      <c r="H38" s="9">
        <f>AVERAGE(G33:G38)</f>
        <v>3565.4804978422148</v>
      </c>
      <c r="I38" s="9">
        <f>STDEV(G33:G38)/SQRT(6)</f>
        <v>415.52552015910942</v>
      </c>
    </row>
    <row r="39" spans="1:9" x14ac:dyDescent="0.45">
      <c r="A39" s="4" t="s">
        <v>38</v>
      </c>
      <c r="B39">
        <v>37</v>
      </c>
      <c r="C39">
        <v>35.4</v>
      </c>
      <c r="D39">
        <v>1.7100000000000001E-2</v>
      </c>
      <c r="E39">
        <v>1</v>
      </c>
      <c r="F39">
        <v>3</v>
      </c>
      <c r="G39">
        <f>AVERAGE(G40:G41)</f>
        <v>4557.0052187876354</v>
      </c>
    </row>
    <row r="40" spans="1:9" x14ac:dyDescent="0.45">
      <c r="A40" s="5" t="s">
        <v>39</v>
      </c>
      <c r="B40">
        <v>38</v>
      </c>
      <c r="C40">
        <v>27.2</v>
      </c>
      <c r="D40">
        <v>1.8800000000000001E-2</v>
      </c>
      <c r="E40">
        <v>1</v>
      </c>
      <c r="F40">
        <v>3</v>
      </c>
      <c r="G40">
        <f t="shared" si="0"/>
        <v>4340.4255319148933</v>
      </c>
    </row>
    <row r="41" spans="1:9" x14ac:dyDescent="0.45">
      <c r="A41" s="5" t="s">
        <v>40</v>
      </c>
      <c r="B41">
        <v>39</v>
      </c>
      <c r="C41">
        <v>25.3</v>
      </c>
      <c r="D41">
        <v>1.5900000000000001E-2</v>
      </c>
      <c r="E41">
        <v>1</v>
      </c>
      <c r="F41">
        <v>3</v>
      </c>
      <c r="G41">
        <f t="shared" si="0"/>
        <v>4773.5849056603774</v>
      </c>
    </row>
    <row r="42" spans="1:9" x14ac:dyDescent="0.45">
      <c r="A42" s="5" t="s">
        <v>41</v>
      </c>
      <c r="B42">
        <v>40</v>
      </c>
      <c r="C42">
        <v>16</v>
      </c>
      <c r="D42">
        <v>1.9699999999999999E-2</v>
      </c>
      <c r="E42">
        <v>1</v>
      </c>
      <c r="F42">
        <v>3</v>
      </c>
      <c r="G42">
        <f t="shared" si="0"/>
        <v>2436.5482233502539</v>
      </c>
    </row>
    <row r="43" spans="1:9" x14ac:dyDescent="0.45">
      <c r="A43" s="5" t="s">
        <v>42</v>
      </c>
      <c r="B43">
        <v>41</v>
      </c>
      <c r="C43">
        <v>11.1</v>
      </c>
      <c r="D43">
        <v>2.0400000000000001E-2</v>
      </c>
      <c r="E43">
        <v>1</v>
      </c>
      <c r="F43">
        <v>3</v>
      </c>
      <c r="G43">
        <f t="shared" si="0"/>
        <v>1632.3529411764703</v>
      </c>
    </row>
    <row r="44" spans="1:9" x14ac:dyDescent="0.45">
      <c r="A44" s="5" t="s">
        <v>43</v>
      </c>
      <c r="B44">
        <v>42</v>
      </c>
      <c r="C44">
        <v>17.3</v>
      </c>
      <c r="D44">
        <v>1.84E-2</v>
      </c>
      <c r="E44">
        <v>1</v>
      </c>
      <c r="F44">
        <v>3</v>
      </c>
      <c r="G44">
        <f t="shared" si="0"/>
        <v>2820.6521739130435</v>
      </c>
      <c r="H44">
        <f>AVERAGE(G39:G44)</f>
        <v>3426.7614991337791</v>
      </c>
      <c r="I44">
        <f>STDEV(G39:G44)/SQRT(6)</f>
        <v>532.1014639305381</v>
      </c>
    </row>
    <row r="45" spans="1:9" x14ac:dyDescent="0.45">
      <c r="A45" s="5" t="s">
        <v>44</v>
      </c>
      <c r="B45">
        <v>43</v>
      </c>
      <c r="C45">
        <v>46.1</v>
      </c>
      <c r="D45">
        <v>1.9099999999999999E-2</v>
      </c>
      <c r="E45">
        <v>1</v>
      </c>
      <c r="F45">
        <v>3</v>
      </c>
      <c r="G45">
        <f t="shared" si="0"/>
        <v>7240.8376963350784</v>
      </c>
    </row>
    <row r="46" spans="1:9" x14ac:dyDescent="0.45">
      <c r="A46" s="5" t="s">
        <v>45</v>
      </c>
      <c r="B46">
        <v>44</v>
      </c>
      <c r="C46">
        <v>26.1</v>
      </c>
      <c r="D46">
        <v>1.7899999999999999E-2</v>
      </c>
      <c r="E46">
        <v>1</v>
      </c>
      <c r="F46">
        <v>3</v>
      </c>
      <c r="G46">
        <f t="shared" si="0"/>
        <v>4374.3016759776538</v>
      </c>
    </row>
    <row r="47" spans="1:9" x14ac:dyDescent="0.45">
      <c r="A47" s="5" t="s">
        <v>46</v>
      </c>
      <c r="B47">
        <v>45</v>
      </c>
      <c r="C47">
        <v>28.7</v>
      </c>
      <c r="D47">
        <v>1.9900000000000001E-2</v>
      </c>
      <c r="E47">
        <v>1</v>
      </c>
      <c r="F47">
        <v>3</v>
      </c>
      <c r="G47">
        <f t="shared" si="0"/>
        <v>4326.6331658291456</v>
      </c>
    </row>
    <row r="48" spans="1:9" x14ac:dyDescent="0.45">
      <c r="A48" s="5" t="s">
        <v>47</v>
      </c>
      <c r="B48">
        <v>46</v>
      </c>
      <c r="C48">
        <v>34.700000000000003</v>
      </c>
      <c r="D48">
        <v>1.84E-2</v>
      </c>
      <c r="E48">
        <v>1</v>
      </c>
      <c r="F48">
        <v>3</v>
      </c>
      <c r="G48">
        <f t="shared" si="0"/>
        <v>5657.608695652174</v>
      </c>
    </row>
    <row r="49" spans="1:9" x14ac:dyDescent="0.45">
      <c r="A49" s="5" t="s">
        <v>48</v>
      </c>
      <c r="B49">
        <v>47</v>
      </c>
      <c r="C49">
        <f>AVERAGE(C47:C48)</f>
        <v>31.700000000000003</v>
      </c>
      <c r="D49">
        <v>1.9699999999999999E-2</v>
      </c>
      <c r="E49">
        <v>1</v>
      </c>
      <c r="F49">
        <v>3</v>
      </c>
      <c r="G49">
        <f t="shared" si="0"/>
        <v>4827.4111675126915</v>
      </c>
    </row>
    <row r="50" spans="1:9" ht="14.65" thickBot="1" x14ac:dyDescent="0.5">
      <c r="A50" s="6" t="s">
        <v>49</v>
      </c>
      <c r="B50" s="3">
        <v>48</v>
      </c>
      <c r="C50">
        <f>AVERAGE(C45:C46)</f>
        <v>36.1</v>
      </c>
      <c r="D50" s="9">
        <v>2.1299999999999999E-2</v>
      </c>
      <c r="E50" s="9">
        <v>1</v>
      </c>
      <c r="F50" s="9">
        <v>3</v>
      </c>
      <c r="G50" s="9">
        <f>(C50*(E50/D50)*F50)</f>
        <v>5084.5070422535209</v>
      </c>
      <c r="H50" s="9">
        <f>AVERAGE(G45:G50)</f>
        <v>5251.8832405933781</v>
      </c>
      <c r="I50" s="9">
        <f>STDEV(G45:G50)/SQRT(6)</f>
        <v>445.53269269860544</v>
      </c>
    </row>
    <row r="51" spans="1:9" x14ac:dyDescent="0.45">
      <c r="A51" s="4" t="s">
        <v>50</v>
      </c>
      <c r="B51">
        <v>49</v>
      </c>
      <c r="C51">
        <v>23.1</v>
      </c>
      <c r="D51">
        <v>1.7500000000000002E-2</v>
      </c>
      <c r="E51">
        <v>1</v>
      </c>
      <c r="F51">
        <v>3</v>
      </c>
      <c r="G51">
        <f t="shared" si="0"/>
        <v>3960</v>
      </c>
    </row>
    <row r="52" spans="1:9" x14ac:dyDescent="0.45">
      <c r="A52" s="5" t="s">
        <v>51</v>
      </c>
      <c r="B52">
        <v>50</v>
      </c>
      <c r="C52">
        <v>20.6</v>
      </c>
      <c r="D52">
        <v>1.78E-2</v>
      </c>
      <c r="E52">
        <v>1</v>
      </c>
      <c r="F52">
        <v>3</v>
      </c>
      <c r="G52">
        <f t="shared" si="0"/>
        <v>3471.910112359551</v>
      </c>
    </row>
    <row r="53" spans="1:9" x14ac:dyDescent="0.45">
      <c r="A53" s="5" t="s">
        <v>52</v>
      </c>
      <c r="B53">
        <v>51</v>
      </c>
      <c r="C53">
        <v>16</v>
      </c>
      <c r="D53">
        <v>1.8700000000000001E-2</v>
      </c>
      <c r="E53">
        <v>1</v>
      </c>
      <c r="F53">
        <v>3</v>
      </c>
      <c r="G53">
        <f t="shared" si="0"/>
        <v>2566.8449197860959</v>
      </c>
    </row>
    <row r="54" spans="1:9" x14ac:dyDescent="0.45">
      <c r="A54" s="5" t="s">
        <v>53</v>
      </c>
      <c r="B54">
        <v>52</v>
      </c>
      <c r="C54">
        <v>25.3</v>
      </c>
      <c r="D54">
        <v>1.66E-2</v>
      </c>
      <c r="E54">
        <v>1</v>
      </c>
      <c r="F54">
        <v>3</v>
      </c>
      <c r="G54">
        <f t="shared" si="0"/>
        <v>4572.2891566265062</v>
      </c>
    </row>
    <row r="55" spans="1:9" x14ac:dyDescent="0.45">
      <c r="A55" s="5" t="s">
        <v>54</v>
      </c>
      <c r="B55">
        <v>53</v>
      </c>
      <c r="C55">
        <v>29</v>
      </c>
      <c r="D55">
        <v>1.8100000000000002E-2</v>
      </c>
      <c r="E55">
        <v>1</v>
      </c>
      <c r="F55">
        <v>3</v>
      </c>
      <c r="G55">
        <f t="shared" si="0"/>
        <v>4806.6298342541431</v>
      </c>
    </row>
    <row r="56" spans="1:9" x14ac:dyDescent="0.45">
      <c r="A56" s="5" t="s">
        <v>55</v>
      </c>
      <c r="B56">
        <v>54</v>
      </c>
      <c r="C56">
        <v>17.7</v>
      </c>
      <c r="D56">
        <v>1.7100000000000001E-2</v>
      </c>
      <c r="E56">
        <v>1</v>
      </c>
      <c r="F56">
        <v>3</v>
      </c>
      <c r="G56">
        <f t="shared" si="0"/>
        <v>3105.2631578947367</v>
      </c>
      <c r="H56">
        <f>AVERAGE(G51:G56)</f>
        <v>3747.1561968201718</v>
      </c>
      <c r="I56">
        <f>STDEV(G51:G56)/SQRT(6)</f>
        <v>352.58819537122065</v>
      </c>
    </row>
    <row r="57" spans="1:9" x14ac:dyDescent="0.45">
      <c r="A57" s="5" t="s">
        <v>56</v>
      </c>
      <c r="B57">
        <v>55</v>
      </c>
      <c r="C57">
        <v>23.2</v>
      </c>
      <c r="D57">
        <v>1.8700000000000001E-2</v>
      </c>
      <c r="E57">
        <v>1</v>
      </c>
      <c r="F57">
        <v>3</v>
      </c>
      <c r="G57">
        <f t="shared" si="0"/>
        <v>3721.9251336898392</v>
      </c>
    </row>
    <row r="58" spans="1:9" x14ac:dyDescent="0.45">
      <c r="A58" s="5" t="s">
        <v>57</v>
      </c>
      <c r="B58">
        <v>56</v>
      </c>
      <c r="C58">
        <v>28.4</v>
      </c>
      <c r="D58">
        <v>2.0899999999999998E-2</v>
      </c>
      <c r="E58">
        <v>1</v>
      </c>
      <c r="F58">
        <v>3</v>
      </c>
      <c r="G58">
        <f t="shared" si="0"/>
        <v>4076.5550239234449</v>
      </c>
    </row>
    <row r="59" spans="1:9" x14ac:dyDescent="0.45">
      <c r="A59" s="5" t="s">
        <v>58</v>
      </c>
      <c r="B59">
        <v>57</v>
      </c>
      <c r="C59">
        <v>17.899999999999999</v>
      </c>
      <c r="D59">
        <v>1.89E-2</v>
      </c>
      <c r="E59">
        <v>1</v>
      </c>
      <c r="F59">
        <v>3</v>
      </c>
      <c r="G59">
        <f t="shared" si="0"/>
        <v>2841.269841269841</v>
      </c>
    </row>
    <row r="60" spans="1:9" x14ac:dyDescent="0.45">
      <c r="A60" s="5" t="s">
        <v>59</v>
      </c>
      <c r="B60">
        <v>58</v>
      </c>
      <c r="C60">
        <v>29.2</v>
      </c>
      <c r="D60">
        <v>1.9E-2</v>
      </c>
      <c r="E60">
        <v>1</v>
      </c>
      <c r="F60">
        <v>3</v>
      </c>
      <c r="G60">
        <f t="shared" si="0"/>
        <v>4610.5263157894733</v>
      </c>
    </row>
    <row r="61" spans="1:9" x14ac:dyDescent="0.45">
      <c r="A61" s="5" t="s">
        <v>60</v>
      </c>
      <c r="B61">
        <v>59</v>
      </c>
      <c r="C61">
        <v>31.8</v>
      </c>
      <c r="D61">
        <v>2.1499999999999998E-2</v>
      </c>
      <c r="E61">
        <v>1</v>
      </c>
      <c r="F61">
        <v>3</v>
      </c>
      <c r="G61">
        <f t="shared" si="0"/>
        <v>4437.209302325582</v>
      </c>
    </row>
    <row r="62" spans="1:9" ht="14.65" thickBot="1" x14ac:dyDescent="0.5">
      <c r="A62" s="6" t="s">
        <v>61</v>
      </c>
      <c r="B62" s="3">
        <v>60</v>
      </c>
      <c r="C62">
        <v>39.9</v>
      </c>
      <c r="D62" s="9">
        <v>1.9900000000000001E-2</v>
      </c>
      <c r="E62" s="9">
        <v>1</v>
      </c>
      <c r="F62" s="9">
        <v>3</v>
      </c>
      <c r="G62" s="9">
        <f t="shared" si="0"/>
        <v>6015.0753768844206</v>
      </c>
      <c r="H62" s="9">
        <f>AVERAGE(G57:G62)</f>
        <v>4283.7601656471006</v>
      </c>
      <c r="I62" s="9">
        <f>STDEV(G57:G62)/SQRT(6)</f>
        <v>430.78014597166646</v>
      </c>
    </row>
    <row r="63" spans="1:9" x14ac:dyDescent="0.45">
      <c r="A63" s="4" t="s">
        <v>62</v>
      </c>
      <c r="B63">
        <v>61</v>
      </c>
      <c r="C63">
        <v>42.1</v>
      </c>
      <c r="D63">
        <v>1.8499999999999999E-2</v>
      </c>
      <c r="E63">
        <v>1</v>
      </c>
      <c r="F63">
        <v>3</v>
      </c>
      <c r="G63">
        <f t="shared" si="0"/>
        <v>6827.0270270270275</v>
      </c>
    </row>
    <row r="64" spans="1:9" x14ac:dyDescent="0.45">
      <c r="A64" s="5" t="s">
        <v>63</v>
      </c>
      <c r="B64">
        <v>62</v>
      </c>
      <c r="C64">
        <v>65.599999999999994</v>
      </c>
      <c r="D64">
        <v>2.1000000000000001E-2</v>
      </c>
      <c r="E64">
        <v>1</v>
      </c>
      <c r="F64">
        <v>3</v>
      </c>
      <c r="G64">
        <f t="shared" si="0"/>
        <v>9371.4285714285688</v>
      </c>
    </row>
    <row r="65" spans="1:9" x14ac:dyDescent="0.45">
      <c r="A65" s="5" t="s">
        <v>64</v>
      </c>
      <c r="B65">
        <v>63</v>
      </c>
      <c r="C65">
        <v>34.700000000000003</v>
      </c>
      <c r="D65">
        <v>1.9400000000000001E-2</v>
      </c>
      <c r="E65">
        <v>1</v>
      </c>
      <c r="F65">
        <v>3</v>
      </c>
      <c r="G65">
        <f t="shared" si="0"/>
        <v>5365.9793814432996</v>
      </c>
    </row>
    <row r="66" spans="1:9" x14ac:dyDescent="0.45">
      <c r="A66" s="5" t="s">
        <v>65</v>
      </c>
      <c r="B66">
        <v>64</v>
      </c>
      <c r="C66">
        <v>20.7</v>
      </c>
      <c r="D66">
        <v>1.7500000000000002E-2</v>
      </c>
      <c r="E66">
        <v>1</v>
      </c>
      <c r="F66">
        <v>3</v>
      </c>
      <c r="G66">
        <f t="shared" si="0"/>
        <v>3548.571428571428</v>
      </c>
    </row>
    <row r="67" spans="1:9" x14ac:dyDescent="0.45">
      <c r="A67" s="5" t="s">
        <v>66</v>
      </c>
      <c r="B67">
        <v>65</v>
      </c>
      <c r="C67">
        <v>40</v>
      </c>
      <c r="D67">
        <v>2.0500000000000001E-2</v>
      </c>
      <c r="E67">
        <v>1</v>
      </c>
      <c r="F67">
        <v>3</v>
      </c>
      <c r="G67">
        <f t="shared" si="0"/>
        <v>5853.6585365853662</v>
      </c>
    </row>
    <row r="68" spans="1:9" x14ac:dyDescent="0.45">
      <c r="A68" s="5" t="s">
        <v>67</v>
      </c>
      <c r="B68">
        <v>66</v>
      </c>
      <c r="C68">
        <v>34.4</v>
      </c>
      <c r="D68">
        <v>1.9800000000000002E-2</v>
      </c>
      <c r="E68">
        <v>1</v>
      </c>
      <c r="F68">
        <v>3</v>
      </c>
      <c r="G68">
        <f t="shared" ref="G68:G121" si="1">(C68*(E68/D68)*F68)</f>
        <v>5212.1212121212111</v>
      </c>
      <c r="H68">
        <f>AVERAGE(G63:G68)</f>
        <v>6029.7976928628159</v>
      </c>
      <c r="I68">
        <f>STDEV(G63:G68)/SQRT(6)</f>
        <v>797.88950560324008</v>
      </c>
    </row>
    <row r="69" spans="1:9" x14ac:dyDescent="0.45">
      <c r="A69" s="5" t="s">
        <v>68</v>
      </c>
      <c r="B69">
        <v>67</v>
      </c>
      <c r="C69">
        <v>19.3</v>
      </c>
      <c r="D69">
        <v>1.7399999999999999E-2</v>
      </c>
      <c r="E69">
        <v>1</v>
      </c>
      <c r="F69">
        <v>3</v>
      </c>
      <c r="G69">
        <f t="shared" si="1"/>
        <v>3327.5862068965521</v>
      </c>
    </row>
    <row r="70" spans="1:9" x14ac:dyDescent="0.45">
      <c r="A70" s="5" t="s">
        <v>69</v>
      </c>
      <c r="B70">
        <v>68</v>
      </c>
      <c r="C70">
        <v>22.7</v>
      </c>
      <c r="D70">
        <v>1.6199999999999999E-2</v>
      </c>
      <c r="E70">
        <v>1</v>
      </c>
      <c r="F70">
        <v>3</v>
      </c>
      <c r="G70">
        <f t="shared" si="1"/>
        <v>4203.7037037037044</v>
      </c>
    </row>
    <row r="71" spans="1:9" x14ac:dyDescent="0.45">
      <c r="A71" s="5" t="s">
        <v>70</v>
      </c>
      <c r="B71">
        <v>69</v>
      </c>
      <c r="C71">
        <v>42</v>
      </c>
      <c r="D71">
        <v>2.1899999999999999E-2</v>
      </c>
      <c r="E71">
        <v>1</v>
      </c>
      <c r="F71">
        <v>3</v>
      </c>
      <c r="G71">
        <f t="shared" si="1"/>
        <v>5753.4246575342468</v>
      </c>
    </row>
    <row r="72" spans="1:9" x14ac:dyDescent="0.45">
      <c r="A72" s="5" t="s">
        <v>71</v>
      </c>
      <c r="B72">
        <v>70</v>
      </c>
      <c r="C72">
        <f>AVERAGE(C70:C71,C74)</f>
        <v>34.466666666666669</v>
      </c>
      <c r="D72">
        <v>1.9400000000000001E-2</v>
      </c>
      <c r="E72">
        <v>1</v>
      </c>
      <c r="F72">
        <v>3</v>
      </c>
      <c r="G72">
        <f t="shared" si="1"/>
        <v>5329.8969072164955</v>
      </c>
    </row>
    <row r="73" spans="1:9" x14ac:dyDescent="0.45">
      <c r="A73" s="5" t="s">
        <v>72</v>
      </c>
      <c r="B73">
        <v>71</v>
      </c>
      <c r="C73">
        <v>25.5</v>
      </c>
      <c r="D73">
        <v>1.9300000000000001E-2</v>
      </c>
      <c r="E73">
        <v>1</v>
      </c>
      <c r="F73">
        <v>3</v>
      </c>
      <c r="G73">
        <f t="shared" si="1"/>
        <v>3963.7305699481867</v>
      </c>
    </row>
    <row r="74" spans="1:9" ht="14.65" thickBot="1" x14ac:dyDescent="0.5">
      <c r="A74" s="6" t="s">
        <v>73</v>
      </c>
      <c r="B74" s="3">
        <v>72</v>
      </c>
      <c r="C74">
        <v>38.700000000000003</v>
      </c>
      <c r="D74" s="9">
        <v>1.8599999999999998E-2</v>
      </c>
      <c r="E74" s="9">
        <v>1</v>
      </c>
      <c r="F74" s="9">
        <v>3</v>
      </c>
      <c r="G74" s="9">
        <f t="shared" si="1"/>
        <v>6241.9354838709687</v>
      </c>
      <c r="H74" s="9">
        <f>AVERAGE(G69:G74)</f>
        <v>4803.3795881950255</v>
      </c>
      <c r="I74" s="9">
        <f>STDEV(G69:G74)/SQRT(6)</f>
        <v>465.1822915287097</v>
      </c>
    </row>
    <row r="75" spans="1:9" x14ac:dyDescent="0.45">
      <c r="A75" s="4" t="s">
        <v>74</v>
      </c>
      <c r="B75">
        <v>73</v>
      </c>
      <c r="C75">
        <v>32.5</v>
      </c>
      <c r="D75">
        <v>1.7000000000000001E-2</v>
      </c>
      <c r="E75">
        <v>1</v>
      </c>
      <c r="F75">
        <v>3</v>
      </c>
      <c r="G75">
        <f t="shared" si="1"/>
        <v>5735.2941176470586</v>
      </c>
    </row>
    <row r="76" spans="1:9" x14ac:dyDescent="0.45">
      <c r="A76" s="5" t="s">
        <v>75</v>
      </c>
      <c r="B76">
        <v>74</v>
      </c>
      <c r="C76">
        <v>42</v>
      </c>
      <c r="D76">
        <v>2.1299999999999999E-2</v>
      </c>
      <c r="E76">
        <v>1</v>
      </c>
      <c r="F76">
        <v>3</v>
      </c>
      <c r="G76">
        <f t="shared" si="1"/>
        <v>5915.4929577464791</v>
      </c>
    </row>
    <row r="77" spans="1:9" x14ac:dyDescent="0.45">
      <c r="A77" s="5" t="s">
        <v>76</v>
      </c>
      <c r="B77">
        <v>75</v>
      </c>
      <c r="C77">
        <v>58.3</v>
      </c>
      <c r="D77">
        <v>1.9300000000000001E-2</v>
      </c>
      <c r="E77">
        <v>1</v>
      </c>
      <c r="F77">
        <v>3</v>
      </c>
      <c r="G77">
        <f t="shared" si="1"/>
        <v>9062.1761658031082</v>
      </c>
    </row>
    <row r="78" spans="1:9" x14ac:dyDescent="0.45">
      <c r="A78" s="5" t="s">
        <v>77</v>
      </c>
      <c r="B78">
        <v>76</v>
      </c>
      <c r="C78">
        <f>AVERAGE(C77,C80)</f>
        <v>51.65</v>
      </c>
      <c r="D78">
        <v>1.9300000000000001E-2</v>
      </c>
      <c r="E78">
        <v>1</v>
      </c>
      <c r="F78">
        <v>3</v>
      </c>
      <c r="G78">
        <f t="shared" si="1"/>
        <v>8028.4974093264245</v>
      </c>
    </row>
    <row r="79" spans="1:9" x14ac:dyDescent="0.45">
      <c r="A79" s="5" t="s">
        <v>78</v>
      </c>
      <c r="B79">
        <v>77</v>
      </c>
      <c r="C79">
        <v>59.2</v>
      </c>
      <c r="D79">
        <v>2.0400000000000001E-2</v>
      </c>
      <c r="E79">
        <v>1</v>
      </c>
      <c r="F79">
        <v>3</v>
      </c>
      <c r="G79">
        <f t="shared" si="1"/>
        <v>8705.8823529411766</v>
      </c>
    </row>
    <row r="80" spans="1:9" x14ac:dyDescent="0.45">
      <c r="A80" s="5" t="s">
        <v>79</v>
      </c>
      <c r="B80">
        <v>78</v>
      </c>
      <c r="C80">
        <v>45</v>
      </c>
      <c r="D80">
        <v>1.7399999999999999E-2</v>
      </c>
      <c r="E80">
        <v>1</v>
      </c>
      <c r="F80">
        <v>3</v>
      </c>
      <c r="G80">
        <f t="shared" si="1"/>
        <v>7758.6206896551721</v>
      </c>
      <c r="H80">
        <f>AVERAGE(G75:G80)</f>
        <v>7534.3272821865694</v>
      </c>
      <c r="I80">
        <f>STDEV(G75:G80)/SQRT(6)</f>
        <v>573.25154569551671</v>
      </c>
    </row>
    <row r="81" spans="1:9" x14ac:dyDescent="0.45">
      <c r="A81" s="5" t="s">
        <v>80</v>
      </c>
      <c r="B81">
        <v>79</v>
      </c>
      <c r="C81">
        <v>74.5</v>
      </c>
      <c r="D81">
        <v>1.9E-2</v>
      </c>
      <c r="E81">
        <v>1</v>
      </c>
      <c r="F81">
        <v>3</v>
      </c>
      <c r="G81">
        <f t="shared" si="1"/>
        <v>11763.157894736843</v>
      </c>
    </row>
    <row r="82" spans="1:9" x14ac:dyDescent="0.45">
      <c r="A82" s="5" t="s">
        <v>81</v>
      </c>
      <c r="B82">
        <v>80</v>
      </c>
      <c r="C82">
        <v>106.3</v>
      </c>
      <c r="D82">
        <v>2.1899999999999999E-2</v>
      </c>
      <c r="E82">
        <v>1</v>
      </c>
      <c r="F82">
        <v>3</v>
      </c>
      <c r="G82">
        <f t="shared" si="1"/>
        <v>14561.643835616438</v>
      </c>
    </row>
    <row r="83" spans="1:9" x14ac:dyDescent="0.45">
      <c r="A83" s="5" t="s">
        <v>82</v>
      </c>
      <c r="B83">
        <v>81</v>
      </c>
      <c r="C83">
        <v>42.4</v>
      </c>
      <c r="D83">
        <v>1.67E-2</v>
      </c>
      <c r="E83">
        <v>1</v>
      </c>
      <c r="F83">
        <v>3</v>
      </c>
      <c r="G83">
        <f t="shared" si="1"/>
        <v>7616.7664670658687</v>
      </c>
    </row>
    <row r="84" spans="1:9" x14ac:dyDescent="0.45">
      <c r="A84" s="5" t="s">
        <v>83</v>
      </c>
      <c r="B84">
        <v>82</v>
      </c>
      <c r="C84">
        <v>60.7</v>
      </c>
      <c r="D84">
        <v>1.7999999999999999E-2</v>
      </c>
      <c r="E84">
        <v>1</v>
      </c>
      <c r="F84">
        <v>3</v>
      </c>
      <c r="G84">
        <f t="shared" si="1"/>
        <v>10116.666666666668</v>
      </c>
    </row>
    <row r="85" spans="1:9" x14ac:dyDescent="0.45">
      <c r="A85" s="5" t="s">
        <v>84</v>
      </c>
      <c r="B85">
        <v>83</v>
      </c>
      <c r="C85">
        <v>67.599999999999994</v>
      </c>
      <c r="D85">
        <v>1.83E-2</v>
      </c>
      <c r="E85">
        <v>1</v>
      </c>
      <c r="F85">
        <v>3</v>
      </c>
      <c r="G85">
        <f t="shared" si="1"/>
        <v>11081.967213114753</v>
      </c>
    </row>
    <row r="86" spans="1:9" ht="14.65" thickBot="1" x14ac:dyDescent="0.5">
      <c r="A86" s="6" t="s">
        <v>85</v>
      </c>
      <c r="B86" s="3">
        <v>84</v>
      </c>
      <c r="C86">
        <v>108.5</v>
      </c>
      <c r="D86" s="9">
        <v>0.02</v>
      </c>
      <c r="E86" s="9">
        <v>1</v>
      </c>
      <c r="F86" s="9">
        <v>3</v>
      </c>
      <c r="G86" s="9">
        <f t="shared" si="1"/>
        <v>16275</v>
      </c>
      <c r="H86" s="9">
        <f>AVERAGE(G81:G86)</f>
        <v>11902.53367953343</v>
      </c>
      <c r="I86" s="9">
        <f>STDEV(G81:G86)/SQRT(6)</f>
        <v>1270.6849211888859</v>
      </c>
    </row>
    <row r="87" spans="1:9" x14ac:dyDescent="0.45">
      <c r="A87" s="4" t="s">
        <v>86</v>
      </c>
      <c r="B87">
        <v>85</v>
      </c>
      <c r="C87">
        <v>75.7</v>
      </c>
      <c r="D87">
        <v>2.2499999999999999E-2</v>
      </c>
      <c r="E87">
        <v>1</v>
      </c>
      <c r="F87">
        <v>3</v>
      </c>
      <c r="G87">
        <f t="shared" si="1"/>
        <v>10093.333333333332</v>
      </c>
    </row>
    <row r="88" spans="1:9" x14ac:dyDescent="0.45">
      <c r="A88" s="5" t="s">
        <v>87</v>
      </c>
      <c r="B88">
        <v>86</v>
      </c>
      <c r="C88">
        <v>37.700000000000003</v>
      </c>
      <c r="D88">
        <v>2.0799999999999999E-2</v>
      </c>
      <c r="E88">
        <v>1</v>
      </c>
      <c r="F88">
        <v>3</v>
      </c>
      <c r="G88">
        <f t="shared" si="1"/>
        <v>5437.5000000000009</v>
      </c>
    </row>
    <row r="89" spans="1:9" x14ac:dyDescent="0.45">
      <c r="A89" s="5" t="s">
        <v>88</v>
      </c>
      <c r="B89">
        <v>87</v>
      </c>
      <c r="C89">
        <v>40</v>
      </c>
      <c r="D89">
        <v>2.0500000000000001E-2</v>
      </c>
      <c r="E89">
        <v>1</v>
      </c>
      <c r="F89">
        <v>3</v>
      </c>
      <c r="G89">
        <f t="shared" si="1"/>
        <v>5853.6585365853662</v>
      </c>
    </row>
    <row r="90" spans="1:9" x14ac:dyDescent="0.45">
      <c r="A90" s="5" t="s">
        <v>89</v>
      </c>
      <c r="B90">
        <v>88</v>
      </c>
      <c r="C90">
        <v>28.2</v>
      </c>
      <c r="D90">
        <v>1.7500000000000002E-2</v>
      </c>
      <c r="E90">
        <v>1</v>
      </c>
      <c r="F90">
        <v>3</v>
      </c>
      <c r="G90">
        <f t="shared" si="1"/>
        <v>4834.2857142857138</v>
      </c>
    </row>
    <row r="91" spans="1:9" x14ac:dyDescent="0.45">
      <c r="A91" s="5" t="s">
        <v>90</v>
      </c>
      <c r="B91">
        <v>89</v>
      </c>
      <c r="C91">
        <v>47.2</v>
      </c>
      <c r="D91">
        <v>2.3900000000000001E-2</v>
      </c>
      <c r="E91">
        <v>1</v>
      </c>
      <c r="F91">
        <v>3</v>
      </c>
      <c r="G91">
        <f t="shared" si="1"/>
        <v>5924.6861924686191</v>
      </c>
    </row>
    <row r="92" spans="1:9" x14ac:dyDescent="0.45">
      <c r="A92" s="5" t="s">
        <v>91</v>
      </c>
      <c r="B92">
        <v>90</v>
      </c>
      <c r="C92">
        <v>25.4</v>
      </c>
      <c r="D92">
        <v>2.1600000000000001E-2</v>
      </c>
      <c r="E92">
        <v>1</v>
      </c>
      <c r="F92">
        <v>3</v>
      </c>
      <c r="G92">
        <f t="shared" si="1"/>
        <v>3527.7777777777769</v>
      </c>
      <c r="H92">
        <f>AVERAGE(G87:G92)</f>
        <v>5945.2069257418007</v>
      </c>
      <c r="I92">
        <f>STDEV(G87:G92)/SQRT(6)</f>
        <v>904.6478292194671</v>
      </c>
    </row>
    <row r="93" spans="1:9" x14ac:dyDescent="0.45">
      <c r="A93" s="5" t="s">
        <v>92</v>
      </c>
      <c r="B93">
        <v>91</v>
      </c>
      <c r="C93">
        <v>44.4</v>
      </c>
      <c r="D93">
        <v>2.0199999999999999E-2</v>
      </c>
      <c r="E93">
        <v>1</v>
      </c>
      <c r="F93">
        <v>3</v>
      </c>
      <c r="G93">
        <f t="shared" si="1"/>
        <v>6594.0594059405939</v>
      </c>
    </row>
    <row r="94" spans="1:9" x14ac:dyDescent="0.45">
      <c r="A94" s="5" t="s">
        <v>93</v>
      </c>
      <c r="B94">
        <v>92</v>
      </c>
      <c r="C94">
        <v>21.7</v>
      </c>
      <c r="D94">
        <v>2.1399999999999999E-2</v>
      </c>
      <c r="E94">
        <v>1</v>
      </c>
      <c r="F94">
        <v>3</v>
      </c>
      <c r="G94">
        <f t="shared" si="1"/>
        <v>3042.0560747663549</v>
      </c>
    </row>
    <row r="95" spans="1:9" x14ac:dyDescent="0.45">
      <c r="A95" s="5" t="s">
        <v>94</v>
      </c>
      <c r="B95">
        <v>93</v>
      </c>
      <c r="C95">
        <v>28.9</v>
      </c>
      <c r="D95">
        <v>1.9400000000000001E-2</v>
      </c>
      <c r="E95">
        <v>1</v>
      </c>
      <c r="F95">
        <v>3</v>
      </c>
      <c r="G95">
        <f t="shared" si="1"/>
        <v>4469.0721649484531</v>
      </c>
    </row>
    <row r="96" spans="1:9" x14ac:dyDescent="0.45">
      <c r="A96" s="5" t="s">
        <v>95</v>
      </c>
      <c r="B96">
        <v>94</v>
      </c>
      <c r="C96">
        <v>41.8</v>
      </c>
      <c r="D96">
        <v>2.23E-2</v>
      </c>
      <c r="E96">
        <v>1</v>
      </c>
      <c r="F96">
        <v>3</v>
      </c>
      <c r="G96">
        <f t="shared" si="1"/>
        <v>5623.3183856502237</v>
      </c>
    </row>
    <row r="97" spans="1:9" x14ac:dyDescent="0.45">
      <c r="A97" s="5" t="s">
        <v>96</v>
      </c>
      <c r="B97">
        <v>95</v>
      </c>
      <c r="C97">
        <v>54</v>
      </c>
      <c r="D97">
        <v>2.0500000000000001E-2</v>
      </c>
      <c r="E97">
        <v>1</v>
      </c>
      <c r="F97">
        <v>3</v>
      </c>
      <c r="G97">
        <f t="shared" si="1"/>
        <v>7902.4390243902435</v>
      </c>
    </row>
    <row r="98" spans="1:9" ht="14.65" thickBot="1" x14ac:dyDescent="0.5">
      <c r="A98" s="6" t="s">
        <v>97</v>
      </c>
      <c r="B98" s="3">
        <v>96</v>
      </c>
      <c r="C98">
        <v>43.8</v>
      </c>
      <c r="D98" s="9">
        <v>2.18E-2</v>
      </c>
      <c r="E98" s="9">
        <v>1</v>
      </c>
      <c r="F98" s="9">
        <v>3</v>
      </c>
      <c r="G98" s="9">
        <f t="shared" si="1"/>
        <v>6027.5229357798162</v>
      </c>
      <c r="H98" s="9">
        <f>AVERAGE(G93:G98)</f>
        <v>5609.7446652459475</v>
      </c>
      <c r="I98" s="9">
        <f>STDEV(G93:G98)/SQRT(6)</f>
        <v>690.2705825261736</v>
      </c>
    </row>
    <row r="99" spans="1:9" x14ac:dyDescent="0.45">
      <c r="A99" s="4" t="s">
        <v>98</v>
      </c>
      <c r="B99">
        <v>97</v>
      </c>
      <c r="C99">
        <v>12.5</v>
      </c>
      <c r="D99">
        <v>2.3E-2</v>
      </c>
      <c r="E99">
        <v>1</v>
      </c>
      <c r="F99">
        <v>3</v>
      </c>
      <c r="G99">
        <f t="shared" si="1"/>
        <v>1630.4347826086957</v>
      </c>
    </row>
    <row r="100" spans="1:9" x14ac:dyDescent="0.45">
      <c r="A100" s="5" t="s">
        <v>99</v>
      </c>
      <c r="B100">
        <v>98</v>
      </c>
      <c r="C100">
        <v>11.7</v>
      </c>
      <c r="D100">
        <v>1.8599999999999998E-2</v>
      </c>
      <c r="E100">
        <v>1</v>
      </c>
      <c r="F100">
        <v>3</v>
      </c>
      <c r="G100">
        <f t="shared" si="1"/>
        <v>1887.0967741935483</v>
      </c>
    </row>
    <row r="101" spans="1:9" x14ac:dyDescent="0.45">
      <c r="A101" s="5" t="s">
        <v>100</v>
      </c>
      <c r="B101">
        <v>99</v>
      </c>
      <c r="C101">
        <v>19.399999999999999</v>
      </c>
      <c r="D101">
        <v>0.02</v>
      </c>
      <c r="E101">
        <v>1</v>
      </c>
      <c r="F101">
        <v>3</v>
      </c>
      <c r="G101">
        <f t="shared" si="1"/>
        <v>2909.9999999999995</v>
      </c>
    </row>
    <row r="102" spans="1:9" x14ac:dyDescent="0.45">
      <c r="A102" s="5" t="s">
        <v>101</v>
      </c>
      <c r="B102">
        <v>100</v>
      </c>
      <c r="C102">
        <v>37.1</v>
      </c>
      <c r="D102">
        <v>1.83E-2</v>
      </c>
      <c r="E102">
        <v>1</v>
      </c>
      <c r="F102">
        <v>3</v>
      </c>
      <c r="G102">
        <f t="shared" si="1"/>
        <v>6081.9672131147545</v>
      </c>
    </row>
    <row r="103" spans="1:9" x14ac:dyDescent="0.45">
      <c r="A103" s="5" t="s">
        <v>102</v>
      </c>
      <c r="B103">
        <v>101</v>
      </c>
      <c r="C103">
        <v>29.7</v>
      </c>
      <c r="D103">
        <v>2.3099999999999999E-2</v>
      </c>
      <c r="E103">
        <v>1</v>
      </c>
      <c r="F103">
        <v>3</v>
      </c>
      <c r="G103">
        <f t="shared" si="1"/>
        <v>3857.1428571428573</v>
      </c>
    </row>
    <row r="104" spans="1:9" x14ac:dyDescent="0.45">
      <c r="A104" s="5" t="s">
        <v>103</v>
      </c>
      <c r="B104">
        <v>102</v>
      </c>
      <c r="C104">
        <v>52.5</v>
      </c>
      <c r="D104">
        <v>2.29E-2</v>
      </c>
      <c r="E104">
        <v>1</v>
      </c>
      <c r="F104">
        <v>3</v>
      </c>
      <c r="G104">
        <f t="shared" si="1"/>
        <v>6877.7292576419204</v>
      </c>
      <c r="H104">
        <f>AVERAGE(G99:G104)</f>
        <v>3874.061814116963</v>
      </c>
      <c r="I104">
        <f>STDEV(G99:G104)/SQRT(6)</f>
        <v>890.85086894779749</v>
      </c>
    </row>
    <row r="105" spans="1:9" x14ac:dyDescent="0.45">
      <c r="A105" s="5" t="s">
        <v>104</v>
      </c>
      <c r="B105">
        <v>103</v>
      </c>
      <c r="C105">
        <v>45.3</v>
      </c>
      <c r="D105">
        <v>2.24E-2</v>
      </c>
      <c r="E105">
        <v>1</v>
      </c>
      <c r="F105">
        <v>3</v>
      </c>
      <c r="G105">
        <f t="shared" si="1"/>
        <v>6066.9642857142862</v>
      </c>
    </row>
    <row r="106" spans="1:9" x14ac:dyDescent="0.45">
      <c r="A106" s="5" t="s">
        <v>105</v>
      </c>
      <c r="B106">
        <v>104</v>
      </c>
      <c r="C106">
        <v>53.4</v>
      </c>
      <c r="D106">
        <v>2.1399999999999999E-2</v>
      </c>
      <c r="E106">
        <v>1</v>
      </c>
      <c r="F106">
        <v>3</v>
      </c>
      <c r="G106">
        <f t="shared" si="1"/>
        <v>7485.9813084112157</v>
      </c>
    </row>
    <row r="107" spans="1:9" x14ac:dyDescent="0.45">
      <c r="A107" s="5" t="s">
        <v>106</v>
      </c>
      <c r="B107">
        <v>105</v>
      </c>
      <c r="C107">
        <v>22.5</v>
      </c>
      <c r="D107">
        <v>2.1700000000000001E-2</v>
      </c>
      <c r="E107">
        <v>1</v>
      </c>
      <c r="F107">
        <v>3</v>
      </c>
      <c r="G107">
        <f t="shared" si="1"/>
        <v>3110.5990783410134</v>
      </c>
    </row>
    <row r="108" spans="1:9" x14ac:dyDescent="0.45">
      <c r="A108" s="5" t="s">
        <v>107</v>
      </c>
      <c r="B108">
        <v>106</v>
      </c>
      <c r="C108">
        <v>40.1</v>
      </c>
      <c r="D108">
        <v>2.0500000000000001E-2</v>
      </c>
      <c r="E108">
        <v>1</v>
      </c>
      <c r="F108">
        <v>3</v>
      </c>
      <c r="G108">
        <f t="shared" si="1"/>
        <v>5868.2926829268299</v>
      </c>
    </row>
    <row r="109" spans="1:9" x14ac:dyDescent="0.45">
      <c r="A109" s="5" t="s">
        <v>108</v>
      </c>
      <c r="B109">
        <v>107</v>
      </c>
      <c r="C109">
        <v>36</v>
      </c>
      <c r="D109">
        <v>2.24E-2</v>
      </c>
      <c r="E109">
        <v>1</v>
      </c>
      <c r="F109">
        <v>3</v>
      </c>
      <c r="G109">
        <f t="shared" si="1"/>
        <v>4821.4285714285725</v>
      </c>
    </row>
    <row r="110" spans="1:9" ht="14.65" thickBot="1" x14ac:dyDescent="0.5">
      <c r="A110" s="6" t="s">
        <v>109</v>
      </c>
      <c r="B110" s="3">
        <v>108</v>
      </c>
      <c r="C110">
        <v>25.1</v>
      </c>
      <c r="D110" s="9">
        <v>2.18E-2</v>
      </c>
      <c r="E110" s="9">
        <v>1</v>
      </c>
      <c r="F110" s="9">
        <v>3</v>
      </c>
      <c r="G110" s="9">
        <f t="shared" si="1"/>
        <v>3454.1284403669724</v>
      </c>
      <c r="H110" s="9">
        <f>AVERAGE(G105:G110)</f>
        <v>5134.565727864815</v>
      </c>
      <c r="I110" s="9">
        <f>STDEV(G105:G110)/SQRT(6)</f>
        <v>682.03721555448328</v>
      </c>
    </row>
    <row r="111" spans="1:9" x14ac:dyDescent="0.45">
      <c r="A111" s="4" t="s">
        <v>110</v>
      </c>
      <c r="B111">
        <v>109</v>
      </c>
      <c r="C111">
        <v>150.9</v>
      </c>
      <c r="D111">
        <v>2.01E-2</v>
      </c>
      <c r="E111">
        <v>1</v>
      </c>
      <c r="F111">
        <v>3</v>
      </c>
      <c r="G111">
        <f t="shared" si="1"/>
        <v>22522.388059701494</v>
      </c>
    </row>
    <row r="112" spans="1:9" x14ac:dyDescent="0.45">
      <c r="A112" s="5" t="s">
        <v>111</v>
      </c>
      <c r="B112">
        <v>110</v>
      </c>
      <c r="C112">
        <v>71.8</v>
      </c>
      <c r="D112">
        <v>2.1700000000000001E-2</v>
      </c>
      <c r="E112">
        <v>1</v>
      </c>
      <c r="F112">
        <v>3</v>
      </c>
      <c r="G112">
        <f t="shared" si="1"/>
        <v>9926.2672811059892</v>
      </c>
    </row>
    <row r="113" spans="1:9" x14ac:dyDescent="0.45">
      <c r="A113" s="5" t="s">
        <v>112</v>
      </c>
      <c r="B113">
        <v>111</v>
      </c>
      <c r="C113">
        <v>116.6</v>
      </c>
      <c r="D113">
        <v>2.1999999999999999E-2</v>
      </c>
      <c r="E113">
        <v>1</v>
      </c>
      <c r="F113">
        <v>3</v>
      </c>
      <c r="G113">
        <f t="shared" si="1"/>
        <v>15900</v>
      </c>
    </row>
    <row r="114" spans="1:9" x14ac:dyDescent="0.45">
      <c r="A114" s="5" t="s">
        <v>113</v>
      </c>
      <c r="B114">
        <v>112</v>
      </c>
      <c r="C114">
        <v>64.7</v>
      </c>
      <c r="D114">
        <v>2.3199999999999998E-2</v>
      </c>
      <c r="E114">
        <v>1</v>
      </c>
      <c r="F114">
        <v>3</v>
      </c>
      <c r="G114">
        <f t="shared" si="1"/>
        <v>8366.3793103448297</v>
      </c>
    </row>
    <row r="115" spans="1:9" x14ac:dyDescent="0.45">
      <c r="A115" s="5" t="s">
        <v>114</v>
      </c>
      <c r="B115">
        <v>113</v>
      </c>
      <c r="C115">
        <v>53.4</v>
      </c>
      <c r="D115">
        <v>2.1700000000000001E-2</v>
      </c>
      <c r="E115">
        <v>1</v>
      </c>
      <c r="F115">
        <v>3</v>
      </c>
      <c r="G115">
        <f t="shared" si="1"/>
        <v>7382.4884792626717</v>
      </c>
    </row>
    <row r="116" spans="1:9" x14ac:dyDescent="0.45">
      <c r="A116" s="5" t="s">
        <v>115</v>
      </c>
      <c r="B116">
        <v>114</v>
      </c>
      <c r="C116">
        <v>81</v>
      </c>
      <c r="D116">
        <v>2.0400000000000001E-2</v>
      </c>
      <c r="E116">
        <v>1</v>
      </c>
      <c r="F116">
        <v>3</v>
      </c>
      <c r="G116">
        <f t="shared" si="1"/>
        <v>11911.764705882353</v>
      </c>
      <c r="H116">
        <f>AVERAGE(G111:G116)</f>
        <v>12668.214639382888</v>
      </c>
      <c r="I116">
        <f>STDEV(G111:G116)/SQRT(6)</f>
        <v>2324.3949067101803</v>
      </c>
    </row>
    <row r="117" spans="1:9" x14ac:dyDescent="0.45">
      <c r="A117" s="5" t="s">
        <v>116</v>
      </c>
      <c r="B117">
        <v>115</v>
      </c>
      <c r="C117">
        <v>67.2</v>
      </c>
      <c r="D117">
        <v>2.1700000000000001E-2</v>
      </c>
      <c r="E117">
        <v>1</v>
      </c>
      <c r="F117">
        <v>3</v>
      </c>
      <c r="G117">
        <f t="shared" si="1"/>
        <v>9290.322580645161</v>
      </c>
    </row>
    <row r="118" spans="1:9" x14ac:dyDescent="0.45">
      <c r="A118" s="5" t="s">
        <v>117</v>
      </c>
      <c r="B118">
        <v>116</v>
      </c>
      <c r="C118">
        <v>43.4</v>
      </c>
      <c r="D118">
        <v>2.0799999999999999E-2</v>
      </c>
      <c r="E118">
        <v>1</v>
      </c>
      <c r="F118">
        <v>3</v>
      </c>
      <c r="G118">
        <f t="shared" si="1"/>
        <v>6259.6153846153848</v>
      </c>
    </row>
    <row r="119" spans="1:9" x14ac:dyDescent="0.45">
      <c r="A119" s="5" t="s">
        <v>118</v>
      </c>
      <c r="B119">
        <v>117</v>
      </c>
      <c r="C119">
        <v>100.4</v>
      </c>
      <c r="D119">
        <v>2.2499999999999999E-2</v>
      </c>
      <c r="E119">
        <v>1</v>
      </c>
      <c r="F119">
        <v>3</v>
      </c>
      <c r="G119">
        <f t="shared" si="1"/>
        <v>13386.666666666668</v>
      </c>
    </row>
    <row r="120" spans="1:9" x14ac:dyDescent="0.45">
      <c r="A120" s="5" t="s">
        <v>119</v>
      </c>
      <c r="B120">
        <v>118</v>
      </c>
      <c r="C120">
        <v>63.1</v>
      </c>
      <c r="D120">
        <v>2.1000000000000001E-2</v>
      </c>
      <c r="E120">
        <v>1</v>
      </c>
      <c r="F120">
        <v>3</v>
      </c>
      <c r="G120">
        <f t="shared" si="1"/>
        <v>9014.2857142857138</v>
      </c>
    </row>
    <row r="121" spans="1:9" x14ac:dyDescent="0.45">
      <c r="A121" s="5" t="s">
        <v>120</v>
      </c>
      <c r="B121">
        <v>119</v>
      </c>
      <c r="C121">
        <v>51.8</v>
      </c>
      <c r="D121">
        <v>2.1899999999999999E-2</v>
      </c>
      <c r="E121">
        <v>1</v>
      </c>
      <c r="F121">
        <v>3</v>
      </c>
      <c r="G121">
        <f t="shared" si="1"/>
        <v>7095.8904109589039</v>
      </c>
    </row>
    <row r="122" spans="1:9" ht="14.65" thickBot="1" x14ac:dyDescent="0.5">
      <c r="A122" s="6" t="s">
        <v>121</v>
      </c>
      <c r="B122" s="3">
        <v>120</v>
      </c>
      <c r="C122">
        <v>19.5</v>
      </c>
      <c r="D122" s="9">
        <v>1.9699999999999999E-2</v>
      </c>
      <c r="E122" s="9">
        <v>1</v>
      </c>
      <c r="F122" s="9">
        <v>3</v>
      </c>
      <c r="G122" s="9">
        <f>AVERAGE(G120:G121)</f>
        <v>8055.0880626223088</v>
      </c>
      <c r="H122" s="9">
        <f>AVERAGE(G117:G122)</f>
        <v>8850.311469965689</v>
      </c>
      <c r="I122" s="9">
        <f>STDEV(G117:G122)/SQRT(6)</f>
        <v>1020.1486089042849</v>
      </c>
    </row>
    <row r="127" spans="1:9" x14ac:dyDescent="0.45">
      <c r="A127" t="s">
        <v>133</v>
      </c>
    </row>
    <row r="128" spans="1:9" ht="14.65" thickBot="1" x14ac:dyDescent="0.5">
      <c r="A128" t="s">
        <v>123</v>
      </c>
      <c r="B128" t="s">
        <v>124</v>
      </c>
      <c r="C128" t="s">
        <v>125</v>
      </c>
      <c r="D128" t="s">
        <v>126</v>
      </c>
      <c r="E128" t="s">
        <v>127</v>
      </c>
      <c r="F128" t="s">
        <v>128</v>
      </c>
      <c r="G128" t="s">
        <v>129</v>
      </c>
      <c r="H128" t="s">
        <v>130</v>
      </c>
      <c r="I128" t="s">
        <v>131</v>
      </c>
    </row>
    <row r="129" spans="1:29" x14ac:dyDescent="0.45">
      <c r="A129" s="4" t="s">
        <v>134</v>
      </c>
      <c r="B129" t="s">
        <v>135</v>
      </c>
      <c r="C129">
        <v>15.2</v>
      </c>
      <c r="D129">
        <v>1.18E-2</v>
      </c>
      <c r="E129">
        <v>1</v>
      </c>
      <c r="F129">
        <v>2</v>
      </c>
      <c r="G129">
        <f>(C129*(E129/D129)*F129)</f>
        <v>2576.2711864406783</v>
      </c>
      <c r="M129" t="s">
        <v>133</v>
      </c>
    </row>
    <row r="130" spans="1:29" x14ac:dyDescent="0.45">
      <c r="A130" s="5" t="s">
        <v>136</v>
      </c>
      <c r="B130" t="s">
        <v>137</v>
      </c>
      <c r="C130">
        <v>15.2</v>
      </c>
      <c r="D130">
        <v>1.2500000000000001E-2</v>
      </c>
      <c r="E130">
        <v>1</v>
      </c>
      <c r="F130">
        <v>2</v>
      </c>
      <c r="G130">
        <f t="shared" ref="G130:G193" si="2">(C130*(E130/D130)*F130)</f>
        <v>2432</v>
      </c>
      <c r="N130" t="s">
        <v>374</v>
      </c>
      <c r="O130" t="s">
        <v>375</v>
      </c>
      <c r="P130" t="s">
        <v>376</v>
      </c>
      <c r="Q130" t="s">
        <v>377</v>
      </c>
      <c r="R130" t="s">
        <v>378</v>
      </c>
      <c r="S130" t="s">
        <v>379</v>
      </c>
      <c r="T130" t="s">
        <v>380</v>
      </c>
      <c r="U130" t="s">
        <v>381</v>
      </c>
      <c r="V130" t="s">
        <v>384</v>
      </c>
      <c r="W130" t="s">
        <v>385</v>
      </c>
    </row>
    <row r="131" spans="1:29" x14ac:dyDescent="0.45">
      <c r="A131" s="5" t="s">
        <v>138</v>
      </c>
      <c r="B131" t="s">
        <v>139</v>
      </c>
      <c r="C131">
        <v>13.1</v>
      </c>
      <c r="D131">
        <v>1.7000000000000001E-2</v>
      </c>
      <c r="E131">
        <v>1</v>
      </c>
      <c r="F131">
        <v>2</v>
      </c>
      <c r="G131">
        <f t="shared" si="2"/>
        <v>1541.1764705882351</v>
      </c>
      <c r="M131" t="s">
        <v>382</v>
      </c>
      <c r="N131">
        <f>H134</f>
        <v>2432.8340034188859</v>
      </c>
      <c r="O131">
        <f>H146</f>
        <v>2120.7263677440183</v>
      </c>
      <c r="P131">
        <f>H158</f>
        <v>2626.4923910010843</v>
      </c>
      <c r="Q131">
        <f>H170</f>
        <v>2607.8352215274399</v>
      </c>
      <c r="R131">
        <f>H182</f>
        <v>3475.0473001356695</v>
      </c>
      <c r="S131">
        <f>H194</f>
        <v>5025.8666126868593</v>
      </c>
      <c r="T131">
        <f>H206</f>
        <v>4099.1602534741587</v>
      </c>
      <c r="U131">
        <f>H218</f>
        <v>4793.0436584492827</v>
      </c>
      <c r="V131">
        <f>H230</f>
        <v>5025.8072022324404</v>
      </c>
      <c r="W131">
        <f>H242</f>
        <v>4072.0866097412159</v>
      </c>
    </row>
    <row r="132" spans="1:29" x14ac:dyDescent="0.45">
      <c r="A132" s="5" t="s">
        <v>140</v>
      </c>
      <c r="B132" t="s">
        <v>141</v>
      </c>
      <c r="C132">
        <v>10.3</v>
      </c>
      <c r="D132">
        <v>2.12E-2</v>
      </c>
      <c r="E132">
        <v>1</v>
      </c>
      <c r="F132">
        <v>2</v>
      </c>
      <c r="G132">
        <f t="shared" si="2"/>
        <v>971.69811320754729</v>
      </c>
      <c r="M132" t="s">
        <v>131</v>
      </c>
      <c r="N132">
        <f>I134</f>
        <v>435.82180766577056</v>
      </c>
      <c r="O132">
        <f>I146</f>
        <v>160.18864670019065</v>
      </c>
      <c r="P132">
        <f>I158</f>
        <v>157.12507635638204</v>
      </c>
      <c r="Q132">
        <f>I170</f>
        <v>251.40973449573875</v>
      </c>
      <c r="R132">
        <f>I182</f>
        <v>600.37337905275729</v>
      </c>
      <c r="S132">
        <f>I194</f>
        <v>366.24146816049546</v>
      </c>
      <c r="T132">
        <f>I206</f>
        <v>809.33501814441831</v>
      </c>
      <c r="U132">
        <f>I218</f>
        <v>478.60742202412973</v>
      </c>
      <c r="V132">
        <f>I230</f>
        <v>646.85451566155803</v>
      </c>
      <c r="W132">
        <f>I242</f>
        <v>471.06529012784779</v>
      </c>
    </row>
    <row r="133" spans="1:29" x14ac:dyDescent="0.45">
      <c r="A133" s="5" t="s">
        <v>142</v>
      </c>
      <c r="B133" t="s">
        <v>143</v>
      </c>
      <c r="C133">
        <v>20.3</v>
      </c>
      <c r="D133">
        <v>1.29E-2</v>
      </c>
      <c r="E133">
        <v>1</v>
      </c>
      <c r="F133">
        <v>2</v>
      </c>
      <c r="G133">
        <f t="shared" si="2"/>
        <v>3147.2868217054261</v>
      </c>
      <c r="M133" t="s">
        <v>383</v>
      </c>
      <c r="N133">
        <f>H146</f>
        <v>2120.7263677440183</v>
      </c>
      <c r="O133">
        <f>H152</f>
        <v>2326.0001370687246</v>
      </c>
      <c r="P133">
        <f>H164</f>
        <v>2645.8347594727634</v>
      </c>
      <c r="Q133">
        <f>H176</f>
        <v>3236.9148583917299</v>
      </c>
      <c r="R133">
        <f>H188</f>
        <v>1701.0308364994296</v>
      </c>
      <c r="S133">
        <f>H200</f>
        <v>3481.6791872052604</v>
      </c>
      <c r="T133">
        <f>H212</f>
        <v>4095.6737604739033</v>
      </c>
      <c r="U133">
        <f>H224</f>
        <v>6914.9904267747652</v>
      </c>
      <c r="V133">
        <f>H236</f>
        <v>3347.3919989853234</v>
      </c>
      <c r="W133">
        <f>H248</f>
        <v>3641.5254694995406</v>
      </c>
    </row>
    <row r="134" spans="1:29" x14ac:dyDescent="0.45">
      <c r="A134" s="5" t="s">
        <v>144</v>
      </c>
      <c r="B134" t="s">
        <v>145</v>
      </c>
      <c r="C134">
        <v>16.5</v>
      </c>
      <c r="D134">
        <v>8.3999999999999995E-3</v>
      </c>
      <c r="E134">
        <v>1</v>
      </c>
      <c r="F134">
        <v>2</v>
      </c>
      <c r="G134">
        <f t="shared" si="2"/>
        <v>3928.5714285714289</v>
      </c>
      <c r="H134">
        <f>AVERAGE(G129:G134)</f>
        <v>2432.8340034188859</v>
      </c>
      <c r="I134">
        <f>STDEV(G129:G134)/SQRT(6)</f>
        <v>435.82180766577056</v>
      </c>
      <c r="M134" t="s">
        <v>131</v>
      </c>
      <c r="N134">
        <f>I140</f>
        <v>580.40645570774859</v>
      </c>
      <c r="O134">
        <f>I152</f>
        <v>203.16884437916752</v>
      </c>
      <c r="P134">
        <f>I164</f>
        <v>298.61060388889126</v>
      </c>
      <c r="Q134">
        <f>I176</f>
        <v>617.43502822341293</v>
      </c>
      <c r="R134">
        <f>I188</f>
        <v>170.41113393205404</v>
      </c>
      <c r="S134">
        <f>I200</f>
        <v>419.15235747775802</v>
      </c>
      <c r="T134">
        <f>I212</f>
        <v>478.20338973712347</v>
      </c>
      <c r="U134">
        <f>I224</f>
        <v>654.13774355421515</v>
      </c>
      <c r="V134">
        <f>I236</f>
        <v>241.52560886567716</v>
      </c>
      <c r="W134">
        <f>I248</f>
        <v>645.12058162948415</v>
      </c>
    </row>
    <row r="135" spans="1:29" x14ac:dyDescent="0.45">
      <c r="A135" s="5" t="s">
        <v>146</v>
      </c>
      <c r="B135" t="s">
        <v>147</v>
      </c>
      <c r="C135">
        <v>25.9</v>
      </c>
      <c r="D135">
        <v>1.0999999999999999E-2</v>
      </c>
      <c r="E135">
        <v>1</v>
      </c>
      <c r="F135">
        <v>2</v>
      </c>
      <c r="G135">
        <f t="shared" si="2"/>
        <v>4709.090909090909</v>
      </c>
    </row>
    <row r="136" spans="1:29" x14ac:dyDescent="0.45">
      <c r="A136" s="5" t="s">
        <v>148</v>
      </c>
      <c r="B136" t="s">
        <v>149</v>
      </c>
      <c r="C136">
        <v>7.4</v>
      </c>
      <c r="D136">
        <v>6.4000000000000003E-3</v>
      </c>
      <c r="E136">
        <v>1</v>
      </c>
      <c r="F136">
        <v>2</v>
      </c>
      <c r="G136">
        <f t="shared" si="2"/>
        <v>2312.5</v>
      </c>
    </row>
    <row r="137" spans="1:29" x14ac:dyDescent="0.45">
      <c r="A137" s="5" t="s">
        <v>150</v>
      </c>
      <c r="B137" t="s">
        <v>151</v>
      </c>
      <c r="C137">
        <v>7.5</v>
      </c>
      <c r="D137">
        <v>1.46E-2</v>
      </c>
      <c r="E137">
        <v>1</v>
      </c>
      <c r="F137">
        <v>2</v>
      </c>
      <c r="G137">
        <f t="shared" si="2"/>
        <v>1027.3972602739725</v>
      </c>
    </row>
    <row r="138" spans="1:29" x14ac:dyDescent="0.45">
      <c r="A138" s="5" t="s">
        <v>152</v>
      </c>
      <c r="B138" t="s">
        <v>153</v>
      </c>
      <c r="C138">
        <v>4.8</v>
      </c>
      <c r="D138">
        <v>1.29E-2</v>
      </c>
      <c r="E138">
        <v>1</v>
      </c>
      <c r="F138">
        <v>2</v>
      </c>
      <c r="G138">
        <f t="shared" si="2"/>
        <v>744.18604651162786</v>
      </c>
      <c r="V138" t="s">
        <v>740</v>
      </c>
      <c r="W138" t="s">
        <v>726</v>
      </c>
      <c r="X138" t="s">
        <v>727</v>
      </c>
      <c r="Y138" t="s">
        <v>741</v>
      </c>
      <c r="Z138" t="s">
        <v>742</v>
      </c>
      <c r="AA138" t="s">
        <v>723</v>
      </c>
      <c r="AB138" t="s">
        <v>728</v>
      </c>
      <c r="AC138" t="s">
        <v>743</v>
      </c>
    </row>
    <row r="139" spans="1:29" x14ac:dyDescent="0.45">
      <c r="A139" s="5" t="s">
        <v>154</v>
      </c>
      <c r="B139" t="s">
        <v>155</v>
      </c>
      <c r="C139">
        <v>8.1999999999999993</v>
      </c>
      <c r="D139">
        <v>9.1999999999999998E-3</v>
      </c>
      <c r="E139">
        <v>1</v>
      </c>
      <c r="F139">
        <v>2</v>
      </c>
      <c r="G139">
        <f t="shared" si="2"/>
        <v>1782.6086956521738</v>
      </c>
      <c r="V139" t="s">
        <v>729</v>
      </c>
      <c r="W139">
        <v>6</v>
      </c>
      <c r="X139">
        <v>6</v>
      </c>
      <c r="Y139">
        <v>2504.1355932203401</v>
      </c>
      <c r="Z139">
        <v>1726.1667331471899</v>
      </c>
      <c r="AA139">
        <v>0.378477593244679</v>
      </c>
      <c r="AB139" t="s">
        <v>744</v>
      </c>
      <c r="AC139" t="s">
        <v>724</v>
      </c>
    </row>
    <row r="140" spans="1:29" ht="14.65" thickBot="1" x14ac:dyDescent="0.5">
      <c r="A140" s="6" t="s">
        <v>156</v>
      </c>
      <c r="B140" s="3" t="s">
        <v>157</v>
      </c>
      <c r="C140">
        <v>9.1</v>
      </c>
      <c r="D140" s="9">
        <v>1.09E-2</v>
      </c>
      <c r="E140" s="9">
        <v>1</v>
      </c>
      <c r="F140" s="9">
        <v>2</v>
      </c>
      <c r="G140" s="9">
        <f t="shared" si="2"/>
        <v>1669.7247706422017</v>
      </c>
      <c r="H140" s="9">
        <f>AVERAGE(G135:G140)</f>
        <v>2040.9179470284807</v>
      </c>
      <c r="I140" s="9">
        <f>STDEV(G135:G140)/SQRT(6)</f>
        <v>580.40645570774859</v>
      </c>
      <c r="V140" t="s">
        <v>730</v>
      </c>
      <c r="W140">
        <v>6</v>
      </c>
      <c r="X140">
        <v>6</v>
      </c>
      <c r="Y140">
        <v>2087.2444011684502</v>
      </c>
      <c r="Z140">
        <v>2292.4452596583701</v>
      </c>
      <c r="AA140">
        <v>0.57517353192019705</v>
      </c>
      <c r="AB140" t="s">
        <v>744</v>
      </c>
      <c r="AC140" t="s">
        <v>724</v>
      </c>
    </row>
    <row r="141" spans="1:29" x14ac:dyDescent="0.45">
      <c r="A141" s="5" t="s">
        <v>158</v>
      </c>
      <c r="B141" t="s">
        <v>159</v>
      </c>
      <c r="C141">
        <v>11</v>
      </c>
      <c r="D141">
        <v>1.34E-2</v>
      </c>
      <c r="E141">
        <v>1</v>
      </c>
      <c r="F141">
        <v>2</v>
      </c>
      <c r="G141">
        <f t="shared" si="2"/>
        <v>1641.7910447761194</v>
      </c>
      <c r="V141" t="s">
        <v>731</v>
      </c>
      <c r="W141">
        <v>6</v>
      </c>
      <c r="X141">
        <v>6</v>
      </c>
      <c r="Y141">
        <v>2563.2835820895498</v>
      </c>
      <c r="Z141">
        <v>2654.2699724517902</v>
      </c>
      <c r="AA141">
        <v>0.93618629347305904</v>
      </c>
      <c r="AB141" t="s">
        <v>744</v>
      </c>
      <c r="AC141" t="s">
        <v>724</v>
      </c>
    </row>
    <row r="142" spans="1:29" x14ac:dyDescent="0.45">
      <c r="A142" s="5" t="s">
        <v>160</v>
      </c>
      <c r="B142" t="s">
        <v>161</v>
      </c>
      <c r="C142">
        <v>12.9</v>
      </c>
      <c r="D142">
        <v>1.2999999999999999E-2</v>
      </c>
      <c r="E142">
        <v>1</v>
      </c>
      <c r="F142">
        <v>2</v>
      </c>
      <c r="G142">
        <f t="shared" si="2"/>
        <v>1984.6153846153845</v>
      </c>
      <c r="V142" t="s">
        <v>732</v>
      </c>
      <c r="W142">
        <v>6</v>
      </c>
      <c r="X142">
        <v>6</v>
      </c>
      <c r="Y142">
        <v>2519.4941255706099</v>
      </c>
      <c r="Z142">
        <v>3033.7995337995299</v>
      </c>
      <c r="AA142">
        <v>0.68892055580446099</v>
      </c>
      <c r="AB142" t="s">
        <v>744</v>
      </c>
      <c r="AC142" t="s">
        <v>724</v>
      </c>
    </row>
    <row r="143" spans="1:29" x14ac:dyDescent="0.45">
      <c r="A143" s="5" t="s">
        <v>162</v>
      </c>
      <c r="B143" t="s">
        <v>163</v>
      </c>
      <c r="C143">
        <v>15.7</v>
      </c>
      <c r="D143">
        <v>1.21E-2</v>
      </c>
      <c r="E143">
        <v>1</v>
      </c>
      <c r="F143">
        <v>2</v>
      </c>
      <c r="G143">
        <f t="shared" si="2"/>
        <v>2595.0413223140495</v>
      </c>
      <c r="V143" t="s">
        <v>733</v>
      </c>
      <c r="W143">
        <v>6</v>
      </c>
      <c r="X143">
        <v>6</v>
      </c>
      <c r="Y143">
        <v>2865.3863252422898</v>
      </c>
      <c r="Z143">
        <v>1824.1694752046201</v>
      </c>
      <c r="AA143">
        <v>5.0748680979402503E-3</v>
      </c>
      <c r="AB143" t="s">
        <v>744</v>
      </c>
      <c r="AC143" t="s">
        <v>739</v>
      </c>
    </row>
    <row r="144" spans="1:29" x14ac:dyDescent="0.45">
      <c r="A144" s="5" t="s">
        <v>164</v>
      </c>
      <c r="B144" t="s">
        <v>165</v>
      </c>
      <c r="C144">
        <v>13.7</v>
      </c>
      <c r="D144">
        <v>1.0800000000000001E-2</v>
      </c>
      <c r="E144">
        <v>1</v>
      </c>
      <c r="F144">
        <v>2</v>
      </c>
      <c r="G144">
        <f t="shared" si="2"/>
        <v>2537.0370370370365</v>
      </c>
      <c r="V144" t="s">
        <v>734</v>
      </c>
      <c r="W144">
        <v>6</v>
      </c>
      <c r="X144">
        <v>6</v>
      </c>
      <c r="Y144">
        <v>5095.5982771299496</v>
      </c>
      <c r="Z144">
        <v>3225.5388299692099</v>
      </c>
      <c r="AA144">
        <v>4.53275620779722E-2</v>
      </c>
      <c r="AB144" t="s">
        <v>744</v>
      </c>
      <c r="AC144" t="s">
        <v>725</v>
      </c>
    </row>
    <row r="145" spans="1:29" x14ac:dyDescent="0.45">
      <c r="A145" s="5" t="s">
        <v>166</v>
      </c>
      <c r="B145" t="s">
        <v>167</v>
      </c>
      <c r="C145">
        <v>17.3</v>
      </c>
      <c r="D145">
        <v>1.5800000000000002E-2</v>
      </c>
      <c r="E145">
        <v>1</v>
      </c>
      <c r="F145">
        <v>2</v>
      </c>
      <c r="G145">
        <f t="shared" si="2"/>
        <v>2189.8734177215188</v>
      </c>
      <c r="V145" t="s">
        <v>735</v>
      </c>
      <c r="W145">
        <v>6</v>
      </c>
      <c r="X145">
        <v>6</v>
      </c>
      <c r="Y145">
        <v>3846.8864468864499</v>
      </c>
      <c r="Z145">
        <v>3979.0784285088398</v>
      </c>
      <c r="AA145">
        <v>0.93618629347305904</v>
      </c>
      <c r="AB145" t="s">
        <v>744</v>
      </c>
      <c r="AC145" t="s">
        <v>724</v>
      </c>
    </row>
    <row r="146" spans="1:29" x14ac:dyDescent="0.45">
      <c r="A146" s="5" t="s">
        <v>168</v>
      </c>
      <c r="B146" t="s">
        <v>169</v>
      </c>
      <c r="C146">
        <v>11.1</v>
      </c>
      <c r="D146">
        <v>1.2500000000000001E-2</v>
      </c>
      <c r="E146">
        <v>1</v>
      </c>
      <c r="F146">
        <v>2</v>
      </c>
      <c r="G146">
        <f t="shared" si="2"/>
        <v>1776</v>
      </c>
      <c r="H146">
        <f>AVERAGE(G141:G146)</f>
        <v>2120.7263677440183</v>
      </c>
      <c r="I146">
        <f>STDEV(G141:G146)/SQRT(6)</f>
        <v>160.18864670019065</v>
      </c>
      <c r="V146" t="s">
        <v>736</v>
      </c>
      <c r="W146">
        <v>6</v>
      </c>
      <c r="X146">
        <v>6</v>
      </c>
      <c r="Y146">
        <v>4834.4001896633499</v>
      </c>
      <c r="Z146">
        <v>6541.5596919127102</v>
      </c>
      <c r="AA146">
        <v>3.06389879377033E-2</v>
      </c>
      <c r="AB146" t="s">
        <v>744</v>
      </c>
      <c r="AC146" t="s">
        <v>725</v>
      </c>
    </row>
    <row r="147" spans="1:29" x14ac:dyDescent="0.45">
      <c r="A147" s="5" t="s">
        <v>170</v>
      </c>
      <c r="B147" t="s">
        <v>171</v>
      </c>
      <c r="C147">
        <v>15</v>
      </c>
      <c r="D147">
        <v>1.2200000000000001E-2</v>
      </c>
      <c r="E147">
        <v>1</v>
      </c>
      <c r="F147">
        <v>2</v>
      </c>
      <c r="G147">
        <f t="shared" si="2"/>
        <v>2459.0163934426228</v>
      </c>
      <c r="V147" t="s">
        <v>737</v>
      </c>
      <c r="W147">
        <v>6</v>
      </c>
      <c r="X147">
        <v>6</v>
      </c>
      <c r="Y147">
        <v>5018.0357142857101</v>
      </c>
      <c r="Z147">
        <v>3343.0769230769201</v>
      </c>
      <c r="AA147">
        <v>4.53275620779722E-2</v>
      </c>
      <c r="AB147" t="s">
        <v>744</v>
      </c>
      <c r="AC147" t="s">
        <v>725</v>
      </c>
    </row>
    <row r="148" spans="1:29" x14ac:dyDescent="0.45">
      <c r="A148" s="5" t="s">
        <v>172</v>
      </c>
      <c r="B148" t="s">
        <v>173</v>
      </c>
      <c r="C148">
        <v>12.4</v>
      </c>
      <c r="D148">
        <v>1.26E-2</v>
      </c>
      <c r="E148">
        <v>1</v>
      </c>
      <c r="F148">
        <v>2</v>
      </c>
      <c r="G148">
        <f t="shared" si="2"/>
        <v>1968.2539682539684</v>
      </c>
      <c r="V148" t="s">
        <v>738</v>
      </c>
      <c r="W148">
        <v>6</v>
      </c>
      <c r="X148">
        <v>6</v>
      </c>
      <c r="Y148">
        <v>3855.70950788342</v>
      </c>
      <c r="Z148">
        <v>3643.6025408348501</v>
      </c>
      <c r="AA148">
        <v>0.57517353192019705</v>
      </c>
      <c r="AB148" t="s">
        <v>744</v>
      </c>
      <c r="AC148" t="s">
        <v>724</v>
      </c>
    </row>
    <row r="149" spans="1:29" x14ac:dyDescent="0.45">
      <c r="A149" s="5" t="s">
        <v>174</v>
      </c>
      <c r="B149" t="s">
        <v>175</v>
      </c>
      <c r="C149">
        <v>17.100000000000001</v>
      </c>
      <c r="D149">
        <v>1.17E-2</v>
      </c>
      <c r="E149">
        <v>1</v>
      </c>
      <c r="F149">
        <v>2</v>
      </c>
      <c r="G149">
        <f t="shared" si="2"/>
        <v>2923.0769230769233</v>
      </c>
    </row>
    <row r="150" spans="1:29" x14ac:dyDescent="0.45">
      <c r="A150" s="5" t="s">
        <v>176</v>
      </c>
      <c r="B150" t="s">
        <v>177</v>
      </c>
      <c r="C150">
        <v>15.2</v>
      </c>
      <c r="D150">
        <v>1.43E-2</v>
      </c>
      <c r="E150">
        <v>1</v>
      </c>
      <c r="F150">
        <v>2</v>
      </c>
      <c r="G150">
        <f t="shared" si="2"/>
        <v>2125.8741258741261</v>
      </c>
    </row>
    <row r="151" spans="1:29" x14ac:dyDescent="0.45">
      <c r="A151" s="5" t="s">
        <v>178</v>
      </c>
      <c r="B151" t="s">
        <v>179</v>
      </c>
      <c r="C151">
        <v>16.8</v>
      </c>
      <c r="D151">
        <v>1.1900000000000001E-2</v>
      </c>
      <c r="E151">
        <v>1</v>
      </c>
      <c r="F151">
        <v>2</v>
      </c>
      <c r="G151">
        <f t="shared" si="2"/>
        <v>2823.5294117647059</v>
      </c>
    </row>
    <row r="152" spans="1:29" ht="14.65" thickBot="1" x14ac:dyDescent="0.5">
      <c r="A152" s="6" t="s">
        <v>180</v>
      </c>
      <c r="B152" s="3" t="s">
        <v>181</v>
      </c>
      <c r="C152">
        <v>10.6</v>
      </c>
      <c r="D152" s="9">
        <v>1.2800000000000001E-2</v>
      </c>
      <c r="E152" s="9">
        <v>1</v>
      </c>
      <c r="F152" s="9">
        <v>2</v>
      </c>
      <c r="G152" s="9">
        <f t="shared" si="2"/>
        <v>1656.25</v>
      </c>
      <c r="H152" s="9">
        <f>AVERAGE(G147:G152)</f>
        <v>2326.0001370687246</v>
      </c>
      <c r="I152" s="9">
        <f>STDEV(G147:G152)/SQRT(6)</f>
        <v>203.16884437916752</v>
      </c>
    </row>
    <row r="153" spans="1:29" x14ac:dyDescent="0.45">
      <c r="A153" s="4" t="s">
        <v>182</v>
      </c>
      <c r="B153" t="s">
        <v>183</v>
      </c>
      <c r="C153">
        <v>18.3</v>
      </c>
      <c r="D153">
        <v>1.4999999999999999E-2</v>
      </c>
      <c r="E153">
        <v>1</v>
      </c>
      <c r="F153">
        <v>2</v>
      </c>
      <c r="G153">
        <f t="shared" si="2"/>
        <v>2440.0000000000005</v>
      </c>
    </row>
    <row r="154" spans="1:29" x14ac:dyDescent="0.45">
      <c r="A154" s="5" t="s">
        <v>184</v>
      </c>
      <c r="B154" t="s">
        <v>185</v>
      </c>
      <c r="C154">
        <v>19.600000000000001</v>
      </c>
      <c r="D154">
        <v>1.7299999999999999E-2</v>
      </c>
      <c r="E154">
        <v>1</v>
      </c>
      <c r="F154">
        <v>2</v>
      </c>
      <c r="G154">
        <f t="shared" si="2"/>
        <v>2265.8959537572259</v>
      </c>
    </row>
    <row r="155" spans="1:29" x14ac:dyDescent="0.45">
      <c r="A155" s="5" t="s">
        <v>186</v>
      </c>
      <c r="B155" t="s">
        <v>187</v>
      </c>
      <c r="C155">
        <v>14.3</v>
      </c>
      <c r="D155">
        <v>8.8000000000000005E-3</v>
      </c>
      <c r="E155">
        <v>1</v>
      </c>
      <c r="F155">
        <v>2</v>
      </c>
      <c r="G155">
        <f t="shared" si="2"/>
        <v>3250</v>
      </c>
    </row>
    <row r="156" spans="1:29" x14ac:dyDescent="0.45">
      <c r="A156" s="5" t="s">
        <v>188</v>
      </c>
      <c r="B156" t="s">
        <v>189</v>
      </c>
      <c r="C156">
        <v>10.7</v>
      </c>
      <c r="D156">
        <v>7.4999999999999997E-3</v>
      </c>
      <c r="E156">
        <v>1</v>
      </c>
      <c r="F156">
        <v>2</v>
      </c>
      <c r="G156">
        <f t="shared" si="2"/>
        <v>2853.3333333333335</v>
      </c>
    </row>
    <row r="157" spans="1:29" x14ac:dyDescent="0.45">
      <c r="A157" s="5" t="s">
        <v>190</v>
      </c>
      <c r="B157" t="s">
        <v>191</v>
      </c>
      <c r="C157">
        <v>18</v>
      </c>
      <c r="D157">
        <v>1.34E-2</v>
      </c>
      <c r="E157">
        <v>1</v>
      </c>
      <c r="F157">
        <v>2</v>
      </c>
      <c r="G157">
        <f t="shared" si="2"/>
        <v>2686.5671641791046</v>
      </c>
    </row>
    <row r="158" spans="1:29" x14ac:dyDescent="0.45">
      <c r="A158" s="5" t="s">
        <v>192</v>
      </c>
      <c r="B158" t="s">
        <v>193</v>
      </c>
      <c r="C158">
        <v>17.2</v>
      </c>
      <c r="D158">
        <v>1.52E-2</v>
      </c>
      <c r="E158">
        <v>1</v>
      </c>
      <c r="F158">
        <v>2</v>
      </c>
      <c r="G158">
        <f t="shared" si="2"/>
        <v>2263.1578947368416</v>
      </c>
      <c r="H158">
        <f>AVERAGE(G153:G158)</f>
        <v>2626.4923910010843</v>
      </c>
      <c r="I158">
        <f>STDEV(G153:G158)/SQRT(6)</f>
        <v>157.12507635638204</v>
      </c>
    </row>
    <row r="159" spans="1:29" x14ac:dyDescent="0.45">
      <c r="A159" s="5" t="s">
        <v>194</v>
      </c>
      <c r="B159" t="s">
        <v>195</v>
      </c>
      <c r="C159">
        <v>14</v>
      </c>
      <c r="D159">
        <v>1.2E-2</v>
      </c>
      <c r="E159">
        <v>1</v>
      </c>
      <c r="F159">
        <v>2</v>
      </c>
      <c r="G159">
        <f t="shared" si="2"/>
        <v>2333.333333333333</v>
      </c>
    </row>
    <row r="160" spans="1:29" x14ac:dyDescent="0.45">
      <c r="A160" s="5" t="s">
        <v>196</v>
      </c>
      <c r="B160" t="s">
        <v>197</v>
      </c>
      <c r="C160">
        <v>18</v>
      </c>
      <c r="D160">
        <v>1.21E-2</v>
      </c>
      <c r="E160">
        <v>1</v>
      </c>
      <c r="F160">
        <v>2</v>
      </c>
      <c r="G160">
        <f t="shared" si="2"/>
        <v>2975.2066115702482</v>
      </c>
    </row>
    <row r="161" spans="1:9" x14ac:dyDescent="0.45">
      <c r="A161" s="5" t="s">
        <v>198</v>
      </c>
      <c r="B161" t="s">
        <v>199</v>
      </c>
      <c r="C161">
        <v>20.9</v>
      </c>
      <c r="D161">
        <v>1.24E-2</v>
      </c>
      <c r="E161">
        <v>1</v>
      </c>
      <c r="F161">
        <v>2</v>
      </c>
      <c r="G161">
        <f t="shared" si="2"/>
        <v>3370.9677419354834</v>
      </c>
    </row>
    <row r="162" spans="1:9" x14ac:dyDescent="0.45">
      <c r="A162" s="5" t="s">
        <v>200</v>
      </c>
      <c r="B162" t="s">
        <v>201</v>
      </c>
      <c r="C162">
        <v>11.6</v>
      </c>
      <c r="D162">
        <v>1.44E-2</v>
      </c>
      <c r="E162">
        <v>1</v>
      </c>
      <c r="F162">
        <v>2</v>
      </c>
      <c r="G162">
        <f t="shared" si="2"/>
        <v>1611.1111111111111</v>
      </c>
    </row>
    <row r="163" spans="1:9" x14ac:dyDescent="0.45">
      <c r="A163" s="5" t="s">
        <v>202</v>
      </c>
      <c r="B163" t="s">
        <v>203</v>
      </c>
      <c r="C163">
        <v>14.5</v>
      </c>
      <c r="D163">
        <v>1.35E-2</v>
      </c>
      <c r="E163">
        <v>1</v>
      </c>
      <c r="F163">
        <v>2</v>
      </c>
      <c r="G163">
        <f t="shared" si="2"/>
        <v>2148.1481481481483</v>
      </c>
    </row>
    <row r="164" spans="1:9" ht="14.65" thickBot="1" x14ac:dyDescent="0.5">
      <c r="A164" s="6" t="s">
        <v>204</v>
      </c>
      <c r="B164" s="3" t="s">
        <v>205</v>
      </c>
      <c r="C164">
        <v>25.6</v>
      </c>
      <c r="D164" s="9">
        <v>1.49E-2</v>
      </c>
      <c r="E164" s="9">
        <v>1</v>
      </c>
      <c r="F164" s="9">
        <v>2</v>
      </c>
      <c r="G164" s="9">
        <f t="shared" si="2"/>
        <v>3436.2416107382555</v>
      </c>
      <c r="H164" s="9">
        <f>AVERAGE(G159:G164)</f>
        <v>2645.8347594727634</v>
      </c>
      <c r="I164" s="9">
        <f>STDEV(G159:G164)/SQRT(6)</f>
        <v>298.61060388889126</v>
      </c>
    </row>
    <row r="165" spans="1:9" x14ac:dyDescent="0.45">
      <c r="A165" s="4" t="s">
        <v>206</v>
      </c>
      <c r="B165" t="s">
        <v>207</v>
      </c>
      <c r="C165">
        <v>17.8</v>
      </c>
      <c r="D165">
        <v>1.66E-2</v>
      </c>
      <c r="E165">
        <v>1</v>
      </c>
      <c r="F165">
        <v>2</v>
      </c>
      <c r="G165">
        <f t="shared" si="2"/>
        <v>2144.5783132530119</v>
      </c>
    </row>
    <row r="166" spans="1:9" x14ac:dyDescent="0.45">
      <c r="A166" s="5" t="s">
        <v>208</v>
      </c>
      <c r="B166" t="s">
        <v>209</v>
      </c>
      <c r="C166">
        <v>18.3</v>
      </c>
      <c r="D166">
        <v>1.8100000000000002E-2</v>
      </c>
      <c r="E166">
        <v>1</v>
      </c>
      <c r="F166">
        <v>2</v>
      </c>
      <c r="G166">
        <f t="shared" si="2"/>
        <v>2022.099447513812</v>
      </c>
    </row>
    <row r="167" spans="1:9" x14ac:dyDescent="0.45">
      <c r="A167" s="5" t="s">
        <v>210</v>
      </c>
      <c r="B167" t="s">
        <v>211</v>
      </c>
      <c r="C167">
        <v>16.3</v>
      </c>
      <c r="D167">
        <v>1.5699999999999999E-2</v>
      </c>
      <c r="E167">
        <v>1</v>
      </c>
      <c r="F167">
        <v>2</v>
      </c>
      <c r="G167">
        <f t="shared" si="2"/>
        <v>2076.4331210191085</v>
      </c>
    </row>
    <row r="168" spans="1:9" x14ac:dyDescent="0.45">
      <c r="A168" s="5" t="s">
        <v>212</v>
      </c>
      <c r="B168" t="s">
        <v>213</v>
      </c>
      <c r="C168">
        <v>32</v>
      </c>
      <c r="D168">
        <v>1.8200000000000001E-2</v>
      </c>
      <c r="E168">
        <v>1</v>
      </c>
      <c r="F168">
        <v>2</v>
      </c>
      <c r="G168">
        <f t="shared" si="2"/>
        <v>3516.4835164835163</v>
      </c>
    </row>
    <row r="169" spans="1:9" x14ac:dyDescent="0.45">
      <c r="A169" s="5" t="s">
        <v>214</v>
      </c>
      <c r="B169" t="s">
        <v>215</v>
      </c>
      <c r="C169">
        <v>21.4</v>
      </c>
      <c r="D169">
        <v>1.43E-2</v>
      </c>
      <c r="E169">
        <v>1</v>
      </c>
      <c r="F169">
        <v>2</v>
      </c>
      <c r="G169">
        <f t="shared" si="2"/>
        <v>2993.0069930069931</v>
      </c>
    </row>
    <row r="170" spans="1:9" x14ac:dyDescent="0.45">
      <c r="A170" s="5" t="s">
        <v>216</v>
      </c>
      <c r="B170" t="s">
        <v>217</v>
      </c>
      <c r="C170">
        <v>23.3</v>
      </c>
      <c r="D170">
        <v>1.61E-2</v>
      </c>
      <c r="E170">
        <v>1</v>
      </c>
      <c r="F170">
        <v>2</v>
      </c>
      <c r="G170">
        <f t="shared" si="2"/>
        <v>2894.4099378881988</v>
      </c>
      <c r="H170">
        <f>AVERAGE(G165:G170)</f>
        <v>2607.8352215274399</v>
      </c>
      <c r="I170">
        <f>STDEV(G165:G170)/SQRT(6)</f>
        <v>251.40973449573875</v>
      </c>
    </row>
    <row r="171" spans="1:9" x14ac:dyDescent="0.45">
      <c r="A171" s="5" t="s">
        <v>218</v>
      </c>
      <c r="B171" t="s">
        <v>219</v>
      </c>
      <c r="C171">
        <v>16.600000000000001</v>
      </c>
      <c r="D171">
        <v>1.32E-2</v>
      </c>
      <c r="E171">
        <v>1</v>
      </c>
      <c r="F171">
        <v>2</v>
      </c>
      <c r="G171">
        <f t="shared" si="2"/>
        <v>2515.1515151515155</v>
      </c>
    </row>
    <row r="172" spans="1:9" x14ac:dyDescent="0.45">
      <c r="A172" s="5" t="s">
        <v>220</v>
      </c>
      <c r="B172" t="s">
        <v>221</v>
      </c>
      <c r="C172">
        <v>27.8</v>
      </c>
      <c r="D172">
        <v>1.15E-2</v>
      </c>
      <c r="E172">
        <v>1</v>
      </c>
      <c r="F172">
        <v>2</v>
      </c>
      <c r="G172">
        <f t="shared" si="2"/>
        <v>4834.782608695652</v>
      </c>
    </row>
    <row r="173" spans="1:9" x14ac:dyDescent="0.45">
      <c r="A173" s="5" t="s">
        <v>222</v>
      </c>
      <c r="B173" t="s">
        <v>223</v>
      </c>
      <c r="C173">
        <v>11.5</v>
      </c>
      <c r="D173">
        <v>1.37E-2</v>
      </c>
      <c r="E173">
        <v>1</v>
      </c>
      <c r="F173">
        <v>2</v>
      </c>
      <c r="G173">
        <f t="shared" si="2"/>
        <v>1678.8321167883212</v>
      </c>
    </row>
    <row r="174" spans="1:9" x14ac:dyDescent="0.45">
      <c r="A174" s="5" t="s">
        <v>224</v>
      </c>
      <c r="B174" t="s">
        <v>225</v>
      </c>
      <c r="C174">
        <v>13</v>
      </c>
      <c r="D174">
        <v>1.5100000000000001E-2</v>
      </c>
      <c r="E174">
        <v>1</v>
      </c>
      <c r="F174">
        <v>2</v>
      </c>
      <c r="G174">
        <f t="shared" si="2"/>
        <v>1721.8543046357613</v>
      </c>
    </row>
    <row r="175" spans="1:9" x14ac:dyDescent="0.45">
      <c r="A175" s="5" t="s">
        <v>226</v>
      </c>
      <c r="B175" t="s">
        <v>227</v>
      </c>
      <c r="C175">
        <v>38.9</v>
      </c>
      <c r="D175">
        <v>1.52E-2</v>
      </c>
      <c r="E175">
        <v>1</v>
      </c>
      <c r="F175">
        <v>2</v>
      </c>
      <c r="G175">
        <f t="shared" si="2"/>
        <v>5118.4210526315783</v>
      </c>
    </row>
    <row r="176" spans="1:9" ht="14.65" thickBot="1" x14ac:dyDescent="0.5">
      <c r="A176" s="6" t="s">
        <v>228</v>
      </c>
      <c r="B176" s="3" t="s">
        <v>229</v>
      </c>
      <c r="C176">
        <v>25.4</v>
      </c>
      <c r="D176" s="9">
        <v>1.43E-2</v>
      </c>
      <c r="E176" s="9">
        <v>1</v>
      </c>
      <c r="F176" s="9">
        <v>2</v>
      </c>
      <c r="G176" s="9">
        <f t="shared" si="2"/>
        <v>3552.4475524475524</v>
      </c>
      <c r="H176" s="9">
        <f>AVERAGE(G171:G176)</f>
        <v>3236.9148583917299</v>
      </c>
      <c r="I176" s="9">
        <f>STDEV(G171:G176)/SQRT(6)</f>
        <v>617.43502822341293</v>
      </c>
    </row>
    <row r="177" spans="1:9" x14ac:dyDescent="0.45">
      <c r="A177" s="4" t="s">
        <v>230</v>
      </c>
      <c r="B177" t="s">
        <v>231</v>
      </c>
      <c r="C177">
        <v>18.8</v>
      </c>
      <c r="D177">
        <v>1.38E-2</v>
      </c>
      <c r="E177">
        <v>1</v>
      </c>
      <c r="F177">
        <v>2</v>
      </c>
      <c r="G177">
        <f t="shared" si="2"/>
        <v>2724.6376811594205</v>
      </c>
    </row>
    <row r="178" spans="1:9" x14ac:dyDescent="0.45">
      <c r="A178" s="5" t="s">
        <v>232</v>
      </c>
      <c r="B178" t="s">
        <v>233</v>
      </c>
      <c r="C178">
        <v>30.8</v>
      </c>
      <c r="D178">
        <v>1.4500000000000001E-2</v>
      </c>
      <c r="E178">
        <v>1</v>
      </c>
      <c r="F178">
        <v>2</v>
      </c>
      <c r="G178">
        <f t="shared" si="2"/>
        <v>4248.2758620689656</v>
      </c>
    </row>
    <row r="179" spans="1:9" x14ac:dyDescent="0.45">
      <c r="A179" s="5" t="s">
        <v>234</v>
      </c>
      <c r="B179" t="s">
        <v>235</v>
      </c>
      <c r="C179">
        <v>24.5</v>
      </c>
      <c r="D179">
        <v>1.6299999999999999E-2</v>
      </c>
      <c r="E179">
        <v>1</v>
      </c>
      <c r="F179">
        <v>2</v>
      </c>
      <c r="G179">
        <f t="shared" si="2"/>
        <v>3006.1349693251536</v>
      </c>
    </row>
    <row r="180" spans="1:9" x14ac:dyDescent="0.45">
      <c r="A180" s="5" t="s">
        <v>236</v>
      </c>
      <c r="B180" t="s">
        <v>237</v>
      </c>
      <c r="C180">
        <v>38.200000000000003</v>
      </c>
      <c r="D180">
        <v>1.2500000000000001E-2</v>
      </c>
      <c r="E180">
        <v>1</v>
      </c>
      <c r="F180">
        <v>2</v>
      </c>
      <c r="G180">
        <f t="shared" si="2"/>
        <v>6112</v>
      </c>
    </row>
    <row r="181" spans="1:9" x14ac:dyDescent="0.45">
      <c r="A181" s="5" t="s">
        <v>238</v>
      </c>
      <c r="B181" t="s">
        <v>239</v>
      </c>
      <c r="C181">
        <v>15.6</v>
      </c>
      <c r="D181">
        <v>1.21E-2</v>
      </c>
      <c r="E181">
        <v>1</v>
      </c>
      <c r="F181">
        <v>2</v>
      </c>
      <c r="G181">
        <f t="shared" si="2"/>
        <v>2578.5123966942151</v>
      </c>
    </row>
    <row r="182" spans="1:9" x14ac:dyDescent="0.45">
      <c r="A182" s="5" t="s">
        <v>240</v>
      </c>
      <c r="B182" t="s">
        <v>241</v>
      </c>
      <c r="C182">
        <v>18.100000000000001</v>
      </c>
      <c r="D182">
        <v>1.66E-2</v>
      </c>
      <c r="E182">
        <v>1</v>
      </c>
      <c r="F182">
        <v>2</v>
      </c>
      <c r="G182">
        <f t="shared" si="2"/>
        <v>2180.7228915662649</v>
      </c>
      <c r="H182">
        <f>AVERAGE(G177:G182)</f>
        <v>3475.0473001356695</v>
      </c>
      <c r="I182">
        <f>STDEV(G177:G182)/SQRT(6)</f>
        <v>600.37337905275729</v>
      </c>
    </row>
    <row r="183" spans="1:9" x14ac:dyDescent="0.45">
      <c r="A183" s="5" t="s">
        <v>242</v>
      </c>
      <c r="B183" t="s">
        <v>243</v>
      </c>
      <c r="C183">
        <v>12.6</v>
      </c>
      <c r="D183">
        <v>1.34E-2</v>
      </c>
      <c r="E183">
        <v>1</v>
      </c>
      <c r="F183">
        <v>2</v>
      </c>
      <c r="G183">
        <f t="shared" si="2"/>
        <v>1880.5970149253733</v>
      </c>
    </row>
    <row r="184" spans="1:9" x14ac:dyDescent="0.45">
      <c r="A184" s="5" t="s">
        <v>244</v>
      </c>
      <c r="B184" t="s">
        <v>245</v>
      </c>
      <c r="C184">
        <v>13.7</v>
      </c>
      <c r="D184">
        <v>1.55E-2</v>
      </c>
      <c r="E184">
        <v>1</v>
      </c>
      <c r="F184">
        <v>2</v>
      </c>
      <c r="G184">
        <f t="shared" si="2"/>
        <v>1767.741935483871</v>
      </c>
    </row>
    <row r="185" spans="1:9" x14ac:dyDescent="0.45">
      <c r="A185" s="5" t="s">
        <v>246</v>
      </c>
      <c r="B185" t="s">
        <v>247</v>
      </c>
      <c r="C185">
        <v>16.8</v>
      </c>
      <c r="D185">
        <v>1.5699999999999999E-2</v>
      </c>
      <c r="E185">
        <v>1</v>
      </c>
      <c r="F185">
        <v>2</v>
      </c>
      <c r="G185">
        <f t="shared" si="2"/>
        <v>2140.127388535032</v>
      </c>
    </row>
    <row r="186" spans="1:9" x14ac:dyDescent="0.45">
      <c r="A186" s="5" t="s">
        <v>248</v>
      </c>
      <c r="B186" t="s">
        <v>249</v>
      </c>
      <c r="C186">
        <v>12.3</v>
      </c>
      <c r="D186">
        <v>1.6899999999999998E-2</v>
      </c>
      <c r="E186">
        <v>1</v>
      </c>
      <c r="F186">
        <v>2</v>
      </c>
      <c r="G186">
        <f t="shared" si="2"/>
        <v>1455.6213017751481</v>
      </c>
    </row>
    <row r="187" spans="1:9" x14ac:dyDescent="0.45">
      <c r="A187" s="5" t="s">
        <v>250</v>
      </c>
      <c r="B187" t="s">
        <v>251</v>
      </c>
      <c r="C187">
        <v>14.8</v>
      </c>
      <c r="D187">
        <v>1.4999999999999999E-2</v>
      </c>
      <c r="E187">
        <v>1</v>
      </c>
      <c r="F187">
        <v>2</v>
      </c>
      <c r="G187">
        <f t="shared" si="2"/>
        <v>1973.3333333333335</v>
      </c>
    </row>
    <row r="188" spans="1:9" ht="14.65" thickBot="1" x14ac:dyDescent="0.5">
      <c r="A188" s="6" t="s">
        <v>252</v>
      </c>
      <c r="B188" s="3" t="s">
        <v>253</v>
      </c>
      <c r="C188">
        <v>8.8000000000000007</v>
      </c>
      <c r="D188" s="9">
        <v>1.78E-2</v>
      </c>
      <c r="E188" s="9">
        <v>1</v>
      </c>
      <c r="F188" s="9">
        <v>2</v>
      </c>
      <c r="G188" s="9">
        <f t="shared" si="2"/>
        <v>988.76404494382041</v>
      </c>
      <c r="H188" s="9">
        <f>AVERAGE(G183:G188)</f>
        <v>1701.0308364994296</v>
      </c>
      <c r="I188" s="9">
        <f>STDEV(G183:G188)/SQRT(6)</f>
        <v>170.41113393205404</v>
      </c>
    </row>
    <row r="189" spans="1:9" x14ac:dyDescent="0.45">
      <c r="A189" s="4" t="s">
        <v>254</v>
      </c>
      <c r="B189" t="s">
        <v>255</v>
      </c>
      <c r="C189">
        <v>43.5</v>
      </c>
      <c r="D189">
        <v>1.3899999999999999E-2</v>
      </c>
      <c r="E189">
        <v>1</v>
      </c>
      <c r="F189">
        <v>2</v>
      </c>
      <c r="G189">
        <f t="shared" si="2"/>
        <v>6258.9928057553961</v>
      </c>
    </row>
    <row r="190" spans="1:9" x14ac:dyDescent="0.45">
      <c r="A190" s="5" t="s">
        <v>256</v>
      </c>
      <c r="B190" t="s">
        <v>257</v>
      </c>
      <c r="C190">
        <v>32.4</v>
      </c>
      <c r="D190">
        <v>1.72E-2</v>
      </c>
      <c r="E190">
        <v>1</v>
      </c>
      <c r="F190">
        <v>2</v>
      </c>
      <c r="G190">
        <f t="shared" si="2"/>
        <v>3767.441860465116</v>
      </c>
    </row>
    <row r="191" spans="1:9" x14ac:dyDescent="0.45">
      <c r="A191" s="5" t="s">
        <v>258</v>
      </c>
      <c r="B191" t="s">
        <v>259</v>
      </c>
      <c r="C191">
        <v>35.700000000000003</v>
      </c>
      <c r="D191">
        <v>1.66E-2</v>
      </c>
      <c r="E191">
        <v>1</v>
      </c>
      <c r="F191">
        <v>2</v>
      </c>
      <c r="G191">
        <f t="shared" si="2"/>
        <v>4301.2048192771081</v>
      </c>
    </row>
    <row r="192" spans="1:9" x14ac:dyDescent="0.45">
      <c r="A192" s="5" t="s">
        <v>260</v>
      </c>
      <c r="B192" t="s">
        <v>261</v>
      </c>
      <c r="C192">
        <v>43.4</v>
      </c>
      <c r="D192">
        <v>1.54E-2</v>
      </c>
      <c r="E192">
        <v>1</v>
      </c>
      <c r="F192">
        <v>2</v>
      </c>
      <c r="G192">
        <f t="shared" si="2"/>
        <v>5636.363636363636</v>
      </c>
    </row>
    <row r="193" spans="1:9" x14ac:dyDescent="0.45">
      <c r="A193" s="5" t="s">
        <v>262</v>
      </c>
      <c r="B193" t="s">
        <v>263</v>
      </c>
      <c r="C193">
        <v>42.9</v>
      </c>
      <c r="D193">
        <v>1.7100000000000001E-2</v>
      </c>
      <c r="E193">
        <v>1</v>
      </c>
      <c r="F193">
        <v>2</v>
      </c>
      <c r="G193">
        <f t="shared" si="2"/>
        <v>5017.5438596491222</v>
      </c>
    </row>
    <row r="194" spans="1:9" x14ac:dyDescent="0.45">
      <c r="A194" s="5" t="s">
        <v>264</v>
      </c>
      <c r="B194" t="s">
        <v>265</v>
      </c>
      <c r="C194">
        <v>43.2</v>
      </c>
      <c r="D194">
        <v>1.67E-2</v>
      </c>
      <c r="E194">
        <v>1</v>
      </c>
      <c r="F194">
        <v>2</v>
      </c>
      <c r="G194">
        <f t="shared" ref="G194:G248" si="3">(C194*(E194/D194)*F194)</f>
        <v>5173.6526946107788</v>
      </c>
      <c r="H194">
        <f>AVERAGE(G189:G194)</f>
        <v>5025.8666126868593</v>
      </c>
      <c r="I194">
        <f>STDEV(G189:G194)/SQRT(6)</f>
        <v>366.24146816049546</v>
      </c>
    </row>
    <row r="195" spans="1:9" x14ac:dyDescent="0.45">
      <c r="A195" s="5" t="s">
        <v>266</v>
      </c>
      <c r="B195" t="s">
        <v>267</v>
      </c>
      <c r="C195">
        <v>22.1</v>
      </c>
      <c r="D195">
        <v>1.54E-2</v>
      </c>
      <c r="E195">
        <v>1</v>
      </c>
      <c r="F195">
        <v>2</v>
      </c>
      <c r="G195">
        <f t="shared" si="3"/>
        <v>2870.1298701298701</v>
      </c>
    </row>
    <row r="196" spans="1:9" x14ac:dyDescent="0.45">
      <c r="A196" s="5" t="s">
        <v>268</v>
      </c>
      <c r="B196" t="s">
        <v>269</v>
      </c>
      <c r="C196">
        <v>23.1</v>
      </c>
      <c r="D196">
        <v>1.5800000000000002E-2</v>
      </c>
      <c r="E196">
        <v>1</v>
      </c>
      <c r="F196">
        <v>2</v>
      </c>
      <c r="G196">
        <f t="shared" si="3"/>
        <v>2924.0506329113923</v>
      </c>
    </row>
    <row r="197" spans="1:9" x14ac:dyDescent="0.45">
      <c r="A197" s="5" t="s">
        <v>270</v>
      </c>
      <c r="B197" t="s">
        <v>271</v>
      </c>
      <c r="C197">
        <v>42.1</v>
      </c>
      <c r="D197">
        <v>1.5900000000000001E-2</v>
      </c>
      <c r="E197">
        <v>1</v>
      </c>
      <c r="F197">
        <v>2</v>
      </c>
      <c r="G197">
        <f t="shared" si="3"/>
        <v>5295.5974842767291</v>
      </c>
    </row>
    <row r="198" spans="1:9" x14ac:dyDescent="0.45">
      <c r="A198" s="5" t="s">
        <v>272</v>
      </c>
      <c r="B198" t="s">
        <v>273</v>
      </c>
      <c r="C198">
        <v>26.1</v>
      </c>
      <c r="D198">
        <v>1.4800000000000001E-2</v>
      </c>
      <c r="E198">
        <v>1</v>
      </c>
      <c r="F198">
        <v>2</v>
      </c>
      <c r="G198">
        <f t="shared" si="3"/>
        <v>3527.0270270270271</v>
      </c>
    </row>
    <row r="199" spans="1:9" x14ac:dyDescent="0.45">
      <c r="A199" s="5" t="s">
        <v>274</v>
      </c>
      <c r="B199" t="s">
        <v>275</v>
      </c>
      <c r="C199">
        <v>28.2</v>
      </c>
      <c r="D199">
        <v>1.46E-2</v>
      </c>
      <c r="E199">
        <v>1</v>
      </c>
      <c r="F199">
        <v>2</v>
      </c>
      <c r="G199">
        <f t="shared" si="3"/>
        <v>3863.0136986301368</v>
      </c>
    </row>
    <row r="200" spans="1:9" ht="14.65" thickBot="1" x14ac:dyDescent="0.5">
      <c r="A200" s="6" t="s">
        <v>276</v>
      </c>
      <c r="B200" s="3" t="s">
        <v>277</v>
      </c>
      <c r="C200">
        <v>18.8</v>
      </c>
      <c r="D200" s="9">
        <v>1.5599999999999999E-2</v>
      </c>
      <c r="E200" s="9">
        <v>1</v>
      </c>
      <c r="F200" s="9">
        <v>2</v>
      </c>
      <c r="G200" s="9">
        <f t="shared" si="3"/>
        <v>2410.2564102564102</v>
      </c>
      <c r="H200" s="9">
        <f>AVERAGE(G195:G200)</f>
        <v>3481.6791872052604</v>
      </c>
      <c r="I200" s="9">
        <f>STDEV(G195:G200)/SQRT(6)</f>
        <v>419.15235747775802</v>
      </c>
    </row>
    <row r="201" spans="1:9" x14ac:dyDescent="0.45">
      <c r="A201" s="4" t="s">
        <v>278</v>
      </c>
      <c r="B201" t="s">
        <v>279</v>
      </c>
      <c r="C201">
        <v>11.9</v>
      </c>
      <c r="D201">
        <v>1.43E-2</v>
      </c>
      <c r="E201">
        <v>1</v>
      </c>
      <c r="F201">
        <v>2</v>
      </c>
      <c r="G201">
        <f t="shared" si="3"/>
        <v>1664.3356643356644</v>
      </c>
    </row>
    <row r="202" spans="1:9" x14ac:dyDescent="0.45">
      <c r="A202" s="5" t="s">
        <v>280</v>
      </c>
      <c r="B202" t="s">
        <v>281</v>
      </c>
      <c r="C202">
        <v>21.1</v>
      </c>
      <c r="D202">
        <v>1.4E-2</v>
      </c>
      <c r="E202">
        <v>1</v>
      </c>
      <c r="F202">
        <v>2</v>
      </c>
      <c r="G202">
        <f t="shared" si="3"/>
        <v>3014.2857142857147</v>
      </c>
    </row>
    <row r="203" spans="1:9" x14ac:dyDescent="0.45">
      <c r="A203" s="5" t="s">
        <v>282</v>
      </c>
      <c r="B203" t="s">
        <v>283</v>
      </c>
      <c r="C203">
        <v>42.7</v>
      </c>
      <c r="D203">
        <v>1.4200000000000001E-2</v>
      </c>
      <c r="E203">
        <v>1</v>
      </c>
      <c r="F203">
        <v>2</v>
      </c>
      <c r="G203">
        <f t="shared" si="3"/>
        <v>6014.0845070422538</v>
      </c>
    </row>
    <row r="204" spans="1:9" x14ac:dyDescent="0.45">
      <c r="A204" s="5" t="s">
        <v>284</v>
      </c>
      <c r="B204" t="s">
        <v>285</v>
      </c>
      <c r="C204">
        <v>36.5</v>
      </c>
      <c r="D204">
        <v>1.5599999999999999E-2</v>
      </c>
      <c r="E204">
        <v>1</v>
      </c>
      <c r="F204">
        <v>2</v>
      </c>
      <c r="G204">
        <f t="shared" si="3"/>
        <v>4679.4871794871797</v>
      </c>
    </row>
    <row r="205" spans="1:9" x14ac:dyDescent="0.45">
      <c r="A205" s="5" t="s">
        <v>286</v>
      </c>
      <c r="B205" t="s">
        <v>287</v>
      </c>
      <c r="C205">
        <v>19.7</v>
      </c>
      <c r="D205">
        <v>1.5100000000000001E-2</v>
      </c>
      <c r="E205">
        <v>1</v>
      </c>
      <c r="F205">
        <v>2</v>
      </c>
      <c r="G205">
        <f t="shared" si="3"/>
        <v>2609.2715231788075</v>
      </c>
    </row>
    <row r="206" spans="1:9" x14ac:dyDescent="0.45">
      <c r="A206" s="5" t="s">
        <v>288</v>
      </c>
      <c r="B206" t="s">
        <v>289</v>
      </c>
      <c r="C206">
        <v>53.9</v>
      </c>
      <c r="D206">
        <v>1.6299999999999999E-2</v>
      </c>
      <c r="E206">
        <v>1</v>
      </c>
      <c r="F206">
        <v>2</v>
      </c>
      <c r="G206">
        <f t="shared" si="3"/>
        <v>6613.4969325153379</v>
      </c>
      <c r="H206">
        <f>AVERAGE(G201:G206)</f>
        <v>4099.1602534741587</v>
      </c>
      <c r="I206">
        <f>STDEV(G201:G206)/SQRT(6)</f>
        <v>809.33501814441831</v>
      </c>
    </row>
    <row r="207" spans="1:9" x14ac:dyDescent="0.45">
      <c r="A207" s="5" t="s">
        <v>290</v>
      </c>
      <c r="B207" t="s">
        <v>291</v>
      </c>
      <c r="C207">
        <v>35.799999999999997</v>
      </c>
      <c r="D207">
        <v>1.67E-2</v>
      </c>
      <c r="E207">
        <v>1</v>
      </c>
      <c r="F207">
        <v>2</v>
      </c>
      <c r="G207">
        <f t="shared" si="3"/>
        <v>4287.4251497005989</v>
      </c>
    </row>
    <row r="208" spans="1:9" x14ac:dyDescent="0.45">
      <c r="A208" s="5" t="s">
        <v>292</v>
      </c>
      <c r="B208" t="s">
        <v>293</v>
      </c>
      <c r="C208">
        <v>42</v>
      </c>
      <c r="D208">
        <v>1.52E-2</v>
      </c>
      <c r="E208">
        <v>1</v>
      </c>
      <c r="F208">
        <v>2</v>
      </c>
      <c r="G208">
        <f t="shared" si="3"/>
        <v>5526.3157894736833</v>
      </c>
    </row>
    <row r="209" spans="1:9" x14ac:dyDescent="0.45">
      <c r="A209" s="5" t="s">
        <v>294</v>
      </c>
      <c r="B209" t="s">
        <v>295</v>
      </c>
      <c r="C209">
        <v>51.2</v>
      </c>
      <c r="D209">
        <v>1.9199999999999998E-2</v>
      </c>
      <c r="E209">
        <v>1</v>
      </c>
      <c r="F209">
        <v>2</v>
      </c>
      <c r="G209">
        <f t="shared" si="3"/>
        <v>5333.3333333333339</v>
      </c>
    </row>
    <row r="210" spans="1:9" x14ac:dyDescent="0.45">
      <c r="A210" s="5" t="s">
        <v>296</v>
      </c>
      <c r="B210" t="s">
        <v>297</v>
      </c>
      <c r="C210">
        <v>30.1</v>
      </c>
      <c r="D210">
        <v>1.6400000000000001E-2</v>
      </c>
      <c r="E210">
        <v>1</v>
      </c>
      <c r="F210">
        <v>2</v>
      </c>
      <c r="G210">
        <f t="shared" si="3"/>
        <v>3670.731707317073</v>
      </c>
    </row>
    <row r="211" spans="1:9" x14ac:dyDescent="0.45">
      <c r="A211" s="5" t="s">
        <v>298</v>
      </c>
      <c r="B211" t="s">
        <v>299</v>
      </c>
      <c r="C211">
        <v>22.7</v>
      </c>
      <c r="D211">
        <v>1.7100000000000001E-2</v>
      </c>
      <c r="E211">
        <v>1</v>
      </c>
      <c r="F211">
        <v>2</v>
      </c>
      <c r="G211">
        <f t="shared" si="3"/>
        <v>2654.9707602339181</v>
      </c>
    </row>
    <row r="212" spans="1:9" ht="14.65" thickBot="1" x14ac:dyDescent="0.5">
      <c r="A212" s="6" t="s">
        <v>300</v>
      </c>
      <c r="B212" s="3" t="s">
        <v>301</v>
      </c>
      <c r="C212">
        <v>24.5</v>
      </c>
      <c r="D212" s="9">
        <v>1.5800000000000002E-2</v>
      </c>
      <c r="E212" s="9">
        <v>1</v>
      </c>
      <c r="F212" s="9">
        <v>2</v>
      </c>
      <c r="G212" s="9">
        <f t="shared" si="3"/>
        <v>3101.2658227848101</v>
      </c>
      <c r="H212" s="9">
        <f>AVERAGE(G207:G212)</f>
        <v>4095.6737604739033</v>
      </c>
      <c r="I212" s="9">
        <f>STDEV(G207:G212)/SQRT(6)</f>
        <v>478.20338973712347</v>
      </c>
    </row>
    <row r="213" spans="1:9" x14ac:dyDescent="0.45">
      <c r="A213" s="4" t="s">
        <v>302</v>
      </c>
      <c r="B213" t="s">
        <v>303</v>
      </c>
      <c r="C213">
        <v>34.6</v>
      </c>
      <c r="D213">
        <v>1.55E-2</v>
      </c>
      <c r="E213">
        <v>1</v>
      </c>
      <c r="F213">
        <v>2</v>
      </c>
      <c r="G213">
        <f t="shared" si="3"/>
        <v>4464.5161290322585</v>
      </c>
    </row>
    <row r="214" spans="1:9" x14ac:dyDescent="0.45">
      <c r="A214" s="5" t="s">
        <v>304</v>
      </c>
      <c r="B214" t="s">
        <v>305</v>
      </c>
      <c r="C214">
        <v>44</v>
      </c>
      <c r="D214">
        <v>1.61E-2</v>
      </c>
      <c r="E214">
        <v>1</v>
      </c>
      <c r="F214">
        <v>2</v>
      </c>
      <c r="G214">
        <f t="shared" si="3"/>
        <v>5465.8385093167708</v>
      </c>
    </row>
    <row r="215" spans="1:9" x14ac:dyDescent="0.45">
      <c r="A215" s="5" t="s">
        <v>306</v>
      </c>
      <c r="B215" t="s">
        <v>307</v>
      </c>
      <c r="C215">
        <v>16.3</v>
      </c>
      <c r="D215">
        <v>1.15E-2</v>
      </c>
      <c r="E215">
        <v>1</v>
      </c>
      <c r="F215">
        <v>2</v>
      </c>
      <c r="G215">
        <f t="shared" si="3"/>
        <v>2834.7826086956525</v>
      </c>
    </row>
    <row r="216" spans="1:9" x14ac:dyDescent="0.45">
      <c r="A216" s="5" t="s">
        <v>308</v>
      </c>
      <c r="B216" t="s">
        <v>309</v>
      </c>
      <c r="C216">
        <v>29</v>
      </c>
      <c r="D216">
        <v>1.14E-2</v>
      </c>
      <c r="E216">
        <v>1</v>
      </c>
      <c r="F216">
        <v>2</v>
      </c>
      <c r="G216">
        <f t="shared" si="3"/>
        <v>5087.7192982456136</v>
      </c>
    </row>
    <row r="217" spans="1:9" x14ac:dyDescent="0.45">
      <c r="A217" s="5" t="s">
        <v>310</v>
      </c>
      <c r="B217" t="s">
        <v>311</v>
      </c>
      <c r="C217">
        <v>46.8</v>
      </c>
      <c r="D217">
        <v>1.4800000000000001E-2</v>
      </c>
      <c r="E217">
        <v>1</v>
      </c>
      <c r="F217">
        <v>2</v>
      </c>
      <c r="G217">
        <f t="shared" si="3"/>
        <v>6324.3243243243232</v>
      </c>
    </row>
    <row r="218" spans="1:9" x14ac:dyDescent="0.45">
      <c r="A218" s="5" t="s">
        <v>312</v>
      </c>
      <c r="B218" t="s">
        <v>313</v>
      </c>
      <c r="C218">
        <v>33.9</v>
      </c>
      <c r="D218">
        <v>1.4800000000000001E-2</v>
      </c>
      <c r="E218">
        <v>1</v>
      </c>
      <c r="F218">
        <v>2</v>
      </c>
      <c r="G218">
        <f t="shared" si="3"/>
        <v>4581.0810810810808</v>
      </c>
      <c r="H218">
        <f>AVERAGE(G213:G218)</f>
        <v>4793.0436584492827</v>
      </c>
      <c r="I218">
        <f>STDEV(G213:G218)/SQRT(6)</f>
        <v>478.60742202412973</v>
      </c>
    </row>
    <row r="219" spans="1:9" x14ac:dyDescent="0.45">
      <c r="A219" s="5" t="s">
        <v>314</v>
      </c>
      <c r="B219" t="s">
        <v>315</v>
      </c>
      <c r="C219">
        <v>57.6</v>
      </c>
      <c r="D219">
        <v>1.5599999999999999E-2</v>
      </c>
      <c r="E219">
        <v>1</v>
      </c>
      <c r="F219">
        <v>2</v>
      </c>
      <c r="G219">
        <f t="shared" si="3"/>
        <v>7384.6153846153848</v>
      </c>
    </row>
    <row r="220" spans="1:9" x14ac:dyDescent="0.45">
      <c r="A220" s="5" t="s">
        <v>316</v>
      </c>
      <c r="B220" t="s">
        <v>317</v>
      </c>
      <c r="C220">
        <v>55.6</v>
      </c>
      <c r="D220">
        <v>1.6400000000000001E-2</v>
      </c>
      <c r="E220">
        <v>1</v>
      </c>
      <c r="F220">
        <v>2</v>
      </c>
      <c r="G220">
        <f t="shared" si="3"/>
        <v>6780.4878048780483</v>
      </c>
    </row>
    <row r="221" spans="1:9" x14ac:dyDescent="0.45">
      <c r="A221" s="5" t="s">
        <v>318</v>
      </c>
      <c r="B221" t="s">
        <v>319</v>
      </c>
      <c r="C221">
        <v>51.4</v>
      </c>
      <c r="D221">
        <v>1.7600000000000001E-2</v>
      </c>
      <c r="E221">
        <v>1</v>
      </c>
      <c r="F221">
        <v>2</v>
      </c>
      <c r="G221">
        <f t="shared" si="3"/>
        <v>5840.9090909090901</v>
      </c>
    </row>
    <row r="222" spans="1:9" x14ac:dyDescent="0.45">
      <c r="A222" s="5" t="s">
        <v>320</v>
      </c>
      <c r="B222" t="s">
        <v>321</v>
      </c>
      <c r="C222">
        <v>47.9</v>
      </c>
      <c r="D222">
        <v>1.52E-2</v>
      </c>
      <c r="E222">
        <v>1</v>
      </c>
      <c r="F222">
        <v>2</v>
      </c>
      <c r="G222">
        <f t="shared" si="3"/>
        <v>6302.6315789473674</v>
      </c>
    </row>
    <row r="223" spans="1:9" x14ac:dyDescent="0.45">
      <c r="A223" s="5" t="s">
        <v>322</v>
      </c>
      <c r="B223" t="s">
        <v>323</v>
      </c>
      <c r="C223">
        <v>75.8</v>
      </c>
      <c r="D223">
        <v>1.54E-2</v>
      </c>
      <c r="E223">
        <v>1</v>
      </c>
      <c r="F223">
        <v>2</v>
      </c>
      <c r="G223">
        <f t="shared" si="3"/>
        <v>9844.1558441558427</v>
      </c>
    </row>
    <row r="224" spans="1:9" ht="14.65" thickBot="1" x14ac:dyDescent="0.5">
      <c r="A224" s="6" t="s">
        <v>324</v>
      </c>
      <c r="B224" s="3" t="s">
        <v>325</v>
      </c>
      <c r="C224">
        <v>46.7</v>
      </c>
      <c r="D224" s="9">
        <v>1.7500000000000002E-2</v>
      </c>
      <c r="E224" s="9">
        <v>1</v>
      </c>
      <c r="F224" s="9">
        <v>2</v>
      </c>
      <c r="G224" s="9">
        <f t="shared" si="3"/>
        <v>5337.1428571428569</v>
      </c>
      <c r="H224" s="9">
        <f>AVERAGE(G219:G224)</f>
        <v>6914.9904267747652</v>
      </c>
      <c r="I224" s="9">
        <f>STDEV(G219:G224)/SQRT(6)</f>
        <v>654.13774355421515</v>
      </c>
    </row>
    <row r="225" spans="1:9" x14ac:dyDescent="0.45">
      <c r="A225" s="4" t="s">
        <v>326</v>
      </c>
      <c r="B225" t="s">
        <v>327</v>
      </c>
      <c r="C225">
        <v>54.6</v>
      </c>
      <c r="D225">
        <v>1.44E-2</v>
      </c>
      <c r="E225">
        <v>1</v>
      </c>
      <c r="F225">
        <v>2</v>
      </c>
      <c r="G225">
        <f t="shared" si="3"/>
        <v>7583.333333333333</v>
      </c>
    </row>
    <row r="226" spans="1:9" x14ac:dyDescent="0.45">
      <c r="A226" s="5" t="s">
        <v>328</v>
      </c>
      <c r="B226" t="s">
        <v>329</v>
      </c>
      <c r="C226">
        <v>19.899999999999999</v>
      </c>
      <c r="D226">
        <v>1.44E-2</v>
      </c>
      <c r="E226">
        <v>1</v>
      </c>
      <c r="F226">
        <v>2</v>
      </c>
      <c r="G226">
        <f t="shared" si="3"/>
        <v>2763.8888888888887</v>
      </c>
    </row>
    <row r="227" spans="1:9" x14ac:dyDescent="0.45">
      <c r="A227" s="5" t="s">
        <v>330</v>
      </c>
      <c r="B227" t="s">
        <v>331</v>
      </c>
      <c r="C227">
        <v>37.5</v>
      </c>
      <c r="D227">
        <v>1.6E-2</v>
      </c>
      <c r="E227">
        <v>1</v>
      </c>
      <c r="F227">
        <v>2</v>
      </c>
      <c r="G227">
        <f t="shared" si="3"/>
        <v>4687.5</v>
      </c>
    </row>
    <row r="228" spans="1:9" x14ac:dyDescent="0.45">
      <c r="A228" s="5" t="s">
        <v>332</v>
      </c>
      <c r="B228" t="s">
        <v>333</v>
      </c>
      <c r="C228">
        <v>46.8</v>
      </c>
      <c r="D228">
        <v>1.7500000000000002E-2</v>
      </c>
      <c r="E228">
        <v>1</v>
      </c>
      <c r="F228">
        <v>2</v>
      </c>
      <c r="G228">
        <f t="shared" si="3"/>
        <v>5348.5714285714275</v>
      </c>
    </row>
    <row r="229" spans="1:9" x14ac:dyDescent="0.45">
      <c r="A229" s="5" t="s">
        <v>334</v>
      </c>
      <c r="B229" t="s">
        <v>335</v>
      </c>
      <c r="C229">
        <v>29.6</v>
      </c>
      <c r="D229">
        <v>1.37E-2</v>
      </c>
      <c r="E229">
        <v>1</v>
      </c>
      <c r="F229">
        <v>2</v>
      </c>
      <c r="G229">
        <f t="shared" si="3"/>
        <v>4321.1678832116795</v>
      </c>
    </row>
    <row r="230" spans="1:9" x14ac:dyDescent="0.45">
      <c r="A230" s="5" t="s">
        <v>336</v>
      </c>
      <c r="B230" t="s">
        <v>337</v>
      </c>
      <c r="C230">
        <v>35.700000000000003</v>
      </c>
      <c r="D230">
        <v>1.3100000000000001E-2</v>
      </c>
      <c r="E230">
        <v>1</v>
      </c>
      <c r="F230">
        <v>2</v>
      </c>
      <c r="G230">
        <f t="shared" si="3"/>
        <v>5450.3816793893129</v>
      </c>
      <c r="H230">
        <f>AVERAGE(G225:G230)</f>
        <v>5025.8072022324404</v>
      </c>
      <c r="I230">
        <f>STDEV(G225:G230)/SQRT(6)</f>
        <v>646.85451566155803</v>
      </c>
    </row>
    <row r="231" spans="1:9" x14ac:dyDescent="0.45">
      <c r="A231" s="5" t="s">
        <v>338</v>
      </c>
      <c r="B231" t="s">
        <v>339</v>
      </c>
      <c r="C231">
        <v>23.7</v>
      </c>
      <c r="D231">
        <v>1.2999999999999999E-2</v>
      </c>
      <c r="E231">
        <v>1</v>
      </c>
      <c r="F231">
        <v>2</v>
      </c>
      <c r="G231">
        <f t="shared" si="3"/>
        <v>3646.1538461538457</v>
      </c>
    </row>
    <row r="232" spans="1:9" x14ac:dyDescent="0.45">
      <c r="A232" s="5" t="s">
        <v>340</v>
      </c>
      <c r="B232" t="s">
        <v>341</v>
      </c>
      <c r="C232">
        <v>20.9</v>
      </c>
      <c r="D232">
        <v>1.61E-2</v>
      </c>
      <c r="E232">
        <v>1</v>
      </c>
      <c r="F232">
        <v>2</v>
      </c>
      <c r="G232">
        <f t="shared" si="3"/>
        <v>2596.2732919254659</v>
      </c>
    </row>
    <row r="233" spans="1:9" x14ac:dyDescent="0.45">
      <c r="A233" s="5" t="s">
        <v>342</v>
      </c>
      <c r="B233" t="s">
        <v>343</v>
      </c>
      <c r="C233">
        <v>22.4</v>
      </c>
      <c r="D233">
        <v>1.54E-2</v>
      </c>
      <c r="E233">
        <v>1</v>
      </c>
      <c r="F233">
        <v>2</v>
      </c>
      <c r="G233">
        <f t="shared" si="3"/>
        <v>2909.0909090909086</v>
      </c>
    </row>
    <row r="234" spans="1:9" x14ac:dyDescent="0.45">
      <c r="A234" s="5" t="s">
        <v>344</v>
      </c>
      <c r="B234" t="s">
        <v>345</v>
      </c>
      <c r="C234">
        <v>25.8</v>
      </c>
      <c r="D234">
        <v>1.24E-2</v>
      </c>
      <c r="E234">
        <v>1</v>
      </c>
      <c r="F234">
        <v>2</v>
      </c>
      <c r="G234">
        <f t="shared" si="3"/>
        <v>4161.2903225806449</v>
      </c>
    </row>
    <row r="235" spans="1:9" x14ac:dyDescent="0.45">
      <c r="A235" s="5" t="s">
        <v>346</v>
      </c>
      <c r="B235" t="s">
        <v>347</v>
      </c>
      <c r="C235">
        <v>22.8</v>
      </c>
      <c r="D235">
        <v>1.4999999999999999E-2</v>
      </c>
      <c r="E235">
        <v>1</v>
      </c>
      <c r="F235">
        <v>2</v>
      </c>
      <c r="G235">
        <f t="shared" si="3"/>
        <v>3040.0000000000005</v>
      </c>
    </row>
    <row r="236" spans="1:9" ht="14.65" thickBot="1" x14ac:dyDescent="0.5">
      <c r="A236" s="6" t="s">
        <v>348</v>
      </c>
      <c r="B236" s="3" t="s">
        <v>349</v>
      </c>
      <c r="C236">
        <v>27.8</v>
      </c>
      <c r="D236" s="9">
        <v>1.49E-2</v>
      </c>
      <c r="E236" s="9">
        <v>1</v>
      </c>
      <c r="F236" s="9">
        <v>2</v>
      </c>
      <c r="G236" s="9">
        <f t="shared" si="3"/>
        <v>3731.5436241610741</v>
      </c>
      <c r="H236" s="9">
        <f>AVERAGE(G231:G236)</f>
        <v>3347.3919989853234</v>
      </c>
      <c r="I236" s="9">
        <f>STDEV(G231:G236)/SQRT(6)</f>
        <v>241.52560886567716</v>
      </c>
    </row>
    <row r="237" spans="1:9" x14ac:dyDescent="0.45">
      <c r="A237" s="4" t="s">
        <v>350</v>
      </c>
      <c r="B237" t="s">
        <v>351</v>
      </c>
      <c r="C237">
        <v>20.7</v>
      </c>
      <c r="D237">
        <v>1.2200000000000001E-2</v>
      </c>
      <c r="E237">
        <v>1</v>
      </c>
      <c r="F237">
        <v>2</v>
      </c>
      <c r="G237">
        <f t="shared" si="3"/>
        <v>3393.442622950819</v>
      </c>
    </row>
    <row r="238" spans="1:9" x14ac:dyDescent="0.45">
      <c r="A238" s="5" t="s">
        <v>352</v>
      </c>
      <c r="B238" t="s">
        <v>353</v>
      </c>
      <c r="C238">
        <v>26.5</v>
      </c>
      <c r="D238">
        <v>1.1900000000000001E-2</v>
      </c>
      <c r="E238">
        <v>1</v>
      </c>
      <c r="F238">
        <v>2</v>
      </c>
      <c r="G238">
        <f t="shared" si="3"/>
        <v>4453.7815126050418</v>
      </c>
    </row>
    <row r="239" spans="1:9" x14ac:dyDescent="0.45">
      <c r="A239" s="5" t="s">
        <v>354</v>
      </c>
      <c r="B239" t="s">
        <v>355</v>
      </c>
      <c r="C239">
        <v>25.2</v>
      </c>
      <c r="D239">
        <v>1.17E-2</v>
      </c>
      <c r="E239">
        <v>1</v>
      </c>
      <c r="F239">
        <v>2</v>
      </c>
      <c r="G239">
        <f t="shared" si="3"/>
        <v>4307.6923076923076</v>
      </c>
    </row>
    <row r="240" spans="1:9" x14ac:dyDescent="0.45">
      <c r="A240" s="5" t="s">
        <v>356</v>
      </c>
      <c r="B240" t="s">
        <v>357</v>
      </c>
      <c r="C240">
        <v>23.9</v>
      </c>
      <c r="D240">
        <v>1.7000000000000001E-2</v>
      </c>
      <c r="E240">
        <v>1</v>
      </c>
      <c r="F240">
        <v>2</v>
      </c>
      <c r="G240">
        <f t="shared" si="3"/>
        <v>2811.7647058823527</v>
      </c>
    </row>
    <row r="241" spans="1:9" x14ac:dyDescent="0.45">
      <c r="A241" s="5" t="s">
        <v>358</v>
      </c>
      <c r="B241" t="s">
        <v>359</v>
      </c>
      <c r="C241">
        <v>27.4</v>
      </c>
      <c r="D241">
        <v>1.61E-2</v>
      </c>
      <c r="E241">
        <v>1</v>
      </c>
      <c r="F241">
        <v>2</v>
      </c>
      <c r="G241">
        <f t="shared" si="3"/>
        <v>3403.7267080745341</v>
      </c>
    </row>
    <row r="242" spans="1:9" x14ac:dyDescent="0.45">
      <c r="A242" s="5" t="s">
        <v>360</v>
      </c>
      <c r="B242" t="s">
        <v>361</v>
      </c>
      <c r="C242">
        <v>48.8</v>
      </c>
      <c r="D242">
        <v>1.61E-2</v>
      </c>
      <c r="E242">
        <v>1</v>
      </c>
      <c r="F242">
        <v>2</v>
      </c>
      <c r="G242">
        <f t="shared" si="3"/>
        <v>6062.1118012422357</v>
      </c>
      <c r="H242">
        <f>AVERAGE(G237:G242)</f>
        <v>4072.0866097412159</v>
      </c>
      <c r="I242">
        <f>STDEV(G237:G242)/SQRT(6)</f>
        <v>471.06529012784779</v>
      </c>
    </row>
    <row r="243" spans="1:9" x14ac:dyDescent="0.45">
      <c r="A243" s="5" t="s">
        <v>362</v>
      </c>
      <c r="B243" t="s">
        <v>363</v>
      </c>
      <c r="C243">
        <v>12</v>
      </c>
      <c r="D243">
        <v>1.21E-2</v>
      </c>
      <c r="E243">
        <v>1</v>
      </c>
      <c r="F243">
        <v>2</v>
      </c>
      <c r="G243">
        <f t="shared" si="3"/>
        <v>1983.4710743801654</v>
      </c>
    </row>
    <row r="244" spans="1:9" x14ac:dyDescent="0.45">
      <c r="A244" s="5" t="s">
        <v>364</v>
      </c>
      <c r="B244" t="s">
        <v>365</v>
      </c>
      <c r="C244">
        <v>26.2</v>
      </c>
      <c r="D244">
        <v>1.0800000000000001E-2</v>
      </c>
      <c r="E244">
        <v>1</v>
      </c>
      <c r="F244">
        <v>2</v>
      </c>
      <c r="G244">
        <f t="shared" si="3"/>
        <v>4851.8518518518513</v>
      </c>
    </row>
    <row r="245" spans="1:9" x14ac:dyDescent="0.45">
      <c r="A245" s="5" t="s">
        <v>366</v>
      </c>
      <c r="B245" t="s">
        <v>367</v>
      </c>
      <c r="C245">
        <v>48.7</v>
      </c>
      <c r="D245">
        <v>1.66E-2</v>
      </c>
      <c r="E245">
        <v>1</v>
      </c>
      <c r="F245">
        <v>2</v>
      </c>
      <c r="G245">
        <f t="shared" si="3"/>
        <v>5867.469879518072</v>
      </c>
    </row>
    <row r="246" spans="1:9" x14ac:dyDescent="0.45">
      <c r="A246" s="5" t="s">
        <v>368</v>
      </c>
      <c r="B246" t="s">
        <v>369</v>
      </c>
      <c r="C246">
        <v>29.7</v>
      </c>
      <c r="D246">
        <v>1.52E-2</v>
      </c>
      <c r="E246">
        <v>1</v>
      </c>
      <c r="F246">
        <v>2</v>
      </c>
      <c r="G246">
        <f t="shared" si="3"/>
        <v>3907.894736842105</v>
      </c>
    </row>
    <row r="247" spans="1:9" x14ac:dyDescent="0.45">
      <c r="A247" s="5" t="s">
        <v>370</v>
      </c>
      <c r="B247" t="s">
        <v>371</v>
      </c>
      <c r="C247">
        <v>13.2</v>
      </c>
      <c r="D247">
        <v>1.4200000000000001E-2</v>
      </c>
      <c r="E247">
        <v>1</v>
      </c>
      <c r="F247">
        <v>2</v>
      </c>
      <c r="G247">
        <f t="shared" si="3"/>
        <v>1859.1549295774646</v>
      </c>
    </row>
    <row r="248" spans="1:9" ht="14.65" thickBot="1" x14ac:dyDescent="0.5">
      <c r="A248" s="6" t="s">
        <v>372</v>
      </c>
      <c r="B248" s="3" t="s">
        <v>373</v>
      </c>
      <c r="C248">
        <v>24.5</v>
      </c>
      <c r="D248" s="9">
        <v>1.4500000000000001E-2</v>
      </c>
      <c r="E248" s="9">
        <v>1</v>
      </c>
      <c r="F248" s="9">
        <v>2</v>
      </c>
      <c r="G248" s="9">
        <f t="shared" si="3"/>
        <v>3379.3103448275861</v>
      </c>
      <c r="H248" s="9">
        <f>AVERAGE(G243:G248)</f>
        <v>3641.5254694995406</v>
      </c>
      <c r="I248" s="9">
        <f>STDEV(G243:G248)/SQRT(6)</f>
        <v>645.12058162948415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07CC-913A-45B9-B0CB-F3203E1F990E}">
  <dimension ref="A1:AG248"/>
  <sheetViews>
    <sheetView topLeftCell="C1" zoomScale="80" zoomScaleNormal="80" workbookViewId="0">
      <selection activeCell="V28" sqref="V28"/>
    </sheetView>
  </sheetViews>
  <sheetFormatPr baseColWidth="10" defaultRowHeight="14.25" x14ac:dyDescent="0.45"/>
  <cols>
    <col min="3" max="3" width="11.86328125" customWidth="1"/>
    <col min="5" max="5" width="8.19921875" customWidth="1"/>
    <col min="6" max="6" width="13" bestFit="1" customWidth="1"/>
    <col min="7" max="7" width="14.46484375" bestFit="1" customWidth="1"/>
    <col min="12" max="12" width="12.1328125" customWidth="1"/>
  </cols>
  <sheetData>
    <row r="1" spans="1:33" x14ac:dyDescent="0.45">
      <c r="A1" t="s">
        <v>132</v>
      </c>
    </row>
    <row r="2" spans="1:33" ht="14.65" thickBot="1" x14ac:dyDescent="0.5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</row>
    <row r="3" spans="1:33" x14ac:dyDescent="0.45">
      <c r="A3" s="4" t="s">
        <v>2</v>
      </c>
      <c r="B3">
        <v>1</v>
      </c>
      <c r="C3">
        <v>0.1</v>
      </c>
      <c r="D3">
        <v>2.0400000000000001E-2</v>
      </c>
      <c r="E3">
        <v>1</v>
      </c>
      <c r="F3">
        <v>3</v>
      </c>
      <c r="G3">
        <f>(C3*(E3/D3)*F3)</f>
        <v>14.705882352941178</v>
      </c>
      <c r="M3" t="s">
        <v>132</v>
      </c>
    </row>
    <row r="4" spans="1:33" x14ac:dyDescent="0.45">
      <c r="A4" s="5" t="s">
        <v>3</v>
      </c>
      <c r="B4">
        <v>2</v>
      </c>
      <c r="C4">
        <v>0.1</v>
      </c>
      <c r="D4">
        <v>1.54E-2</v>
      </c>
      <c r="E4">
        <v>1</v>
      </c>
      <c r="F4">
        <v>3</v>
      </c>
      <c r="G4">
        <f t="shared" ref="G4:G67" si="0">(C4*(E4/D4)*F4)</f>
        <v>19.480519480519479</v>
      </c>
      <c r="N4" t="s">
        <v>374</v>
      </c>
      <c r="O4" t="s">
        <v>375</v>
      </c>
      <c r="P4" t="s">
        <v>376</v>
      </c>
      <c r="Q4" t="s">
        <v>377</v>
      </c>
      <c r="R4" t="s">
        <v>378</v>
      </c>
      <c r="S4" t="s">
        <v>379</v>
      </c>
      <c r="T4" t="s">
        <v>380</v>
      </c>
      <c r="U4" t="s">
        <v>381</v>
      </c>
      <c r="V4" t="s">
        <v>384</v>
      </c>
      <c r="W4" t="s">
        <v>385</v>
      </c>
    </row>
    <row r="5" spans="1:33" x14ac:dyDescent="0.45">
      <c r="A5" s="5" t="s">
        <v>4</v>
      </c>
      <c r="B5">
        <v>3</v>
      </c>
      <c r="C5">
        <v>0.1</v>
      </c>
      <c r="D5">
        <v>2.1100000000000001E-2</v>
      </c>
      <c r="E5">
        <v>1</v>
      </c>
      <c r="F5">
        <v>3</v>
      </c>
      <c r="G5">
        <f t="shared" si="0"/>
        <v>14.218009478672986</v>
      </c>
      <c r="M5" t="s">
        <v>382</v>
      </c>
      <c r="N5">
        <f>H8</f>
        <v>17.933091751045474</v>
      </c>
      <c r="O5">
        <f>H20</f>
        <v>15.20793618312436</v>
      </c>
      <c r="P5">
        <f>H32</f>
        <v>15.972941165611651</v>
      </c>
      <c r="Q5">
        <f>H44</f>
        <v>16.434647926817092</v>
      </c>
      <c r="R5">
        <f>H56</f>
        <v>17.038384152816391</v>
      </c>
      <c r="S5">
        <f>H68</f>
        <v>2.9167984754786143</v>
      </c>
      <c r="T5">
        <f>H80</f>
        <v>4.5826915418243495</v>
      </c>
      <c r="U5">
        <f>H92</f>
        <v>8.0728394587030312</v>
      </c>
      <c r="V5">
        <f>H104</f>
        <v>4.2964125137919682</v>
      </c>
      <c r="W5">
        <f>H116</f>
        <v>5.5226164379342642</v>
      </c>
      <c r="Z5" t="s">
        <v>740</v>
      </c>
      <c r="AA5" t="s">
        <v>726</v>
      </c>
      <c r="AB5" t="s">
        <v>727</v>
      </c>
      <c r="AC5" t="s">
        <v>741</v>
      </c>
      <c r="AD5" t="s">
        <v>742</v>
      </c>
      <c r="AE5" t="s">
        <v>723</v>
      </c>
      <c r="AF5" t="s">
        <v>728</v>
      </c>
      <c r="AG5" t="s">
        <v>743</v>
      </c>
    </row>
    <row r="6" spans="1:33" x14ac:dyDescent="0.45">
      <c r="A6" s="5" t="s">
        <v>7</v>
      </c>
      <c r="B6">
        <v>4</v>
      </c>
      <c r="C6">
        <v>0.1</v>
      </c>
      <c r="D6">
        <v>1.4999999999999999E-2</v>
      </c>
      <c r="E6">
        <v>1</v>
      </c>
      <c r="F6">
        <v>3</v>
      </c>
      <c r="G6">
        <f t="shared" si="0"/>
        <v>20.000000000000004</v>
      </c>
      <c r="M6" t="s">
        <v>131</v>
      </c>
      <c r="N6">
        <f>I8</f>
        <v>1.5482306525559535</v>
      </c>
      <c r="O6">
        <f>I20</f>
        <v>0.6885340222900157</v>
      </c>
      <c r="P6">
        <f>I32</f>
        <v>0.45105942931377874</v>
      </c>
      <c r="Q6">
        <f>I44</f>
        <v>0.62821136248795595</v>
      </c>
      <c r="R6">
        <f>I56</f>
        <v>0.29301520007298848</v>
      </c>
      <c r="S6">
        <f>I68</f>
        <v>0.39133177049595441</v>
      </c>
      <c r="T6">
        <f>I80</f>
        <v>0.46678259170527031</v>
      </c>
      <c r="U6">
        <f>I92</f>
        <v>0.78541449971589705</v>
      </c>
      <c r="V6">
        <f>I104</f>
        <v>0.44361661929763541</v>
      </c>
      <c r="W6">
        <f>I116</f>
        <v>1.0147491841042964</v>
      </c>
      <c r="Z6" t="s">
        <v>729</v>
      </c>
      <c r="AA6">
        <v>6</v>
      </c>
      <c r="AB6">
        <v>6</v>
      </c>
      <c r="AC6">
        <v>17.432567432567399</v>
      </c>
      <c r="AD6">
        <v>19.171279713448399</v>
      </c>
      <c r="AE6">
        <v>0.378477593244679</v>
      </c>
      <c r="AF6" t="s">
        <v>744</v>
      </c>
      <c r="AG6" t="s">
        <v>724</v>
      </c>
    </row>
    <row r="7" spans="1:33" x14ac:dyDescent="0.45">
      <c r="A7" s="5" t="s">
        <v>5</v>
      </c>
      <c r="B7">
        <v>5</v>
      </c>
      <c r="C7">
        <v>0.1</v>
      </c>
      <c r="D7">
        <v>1.26E-2</v>
      </c>
      <c r="E7">
        <v>1</v>
      </c>
      <c r="F7">
        <v>3</v>
      </c>
      <c r="G7">
        <f t="shared" si="0"/>
        <v>23.80952380952381</v>
      </c>
      <c r="M7" t="s">
        <v>383</v>
      </c>
      <c r="N7">
        <f>H20</f>
        <v>15.20793618312436</v>
      </c>
      <c r="O7">
        <f>H26</f>
        <v>16.336587529661536</v>
      </c>
      <c r="P7">
        <f>H38</f>
        <v>15.907506344078774</v>
      </c>
      <c r="Q7">
        <f>H50</f>
        <v>17.873958001665091</v>
      </c>
      <c r="R7">
        <f>H62</f>
        <v>17.693929905412116</v>
      </c>
      <c r="S7">
        <f>H74</f>
        <v>3.1394878901529899</v>
      </c>
      <c r="T7">
        <f>H86</f>
        <v>5.9156649145472899</v>
      </c>
      <c r="U7">
        <f>H98</f>
        <v>6.9700470251857141</v>
      </c>
      <c r="V7">
        <f>H110</f>
        <v>6.2869493302115957</v>
      </c>
      <c r="W7">
        <f>H122</f>
        <v>10.296148377094314</v>
      </c>
      <c r="Z7" t="s">
        <v>730</v>
      </c>
      <c r="AA7">
        <v>6</v>
      </c>
      <c r="AB7">
        <v>6</v>
      </c>
      <c r="AC7">
        <v>14.680545585068201</v>
      </c>
      <c r="AD7">
        <v>16.172624237140401</v>
      </c>
      <c r="AE7">
        <v>0.33582209832134202</v>
      </c>
      <c r="AF7" t="s">
        <v>744</v>
      </c>
      <c r="AG7" t="s">
        <v>724</v>
      </c>
    </row>
    <row r="8" spans="1:33" x14ac:dyDescent="0.45">
      <c r="A8" s="5" t="s">
        <v>6</v>
      </c>
      <c r="B8">
        <v>6</v>
      </c>
      <c r="C8">
        <v>0.1</v>
      </c>
      <c r="D8">
        <v>1.95E-2</v>
      </c>
      <c r="E8">
        <v>1</v>
      </c>
      <c r="F8">
        <v>3</v>
      </c>
      <c r="G8">
        <f t="shared" si="0"/>
        <v>15.384615384615387</v>
      </c>
      <c r="H8">
        <f>AVERAGE(G3:G8)</f>
        <v>17.933091751045474</v>
      </c>
      <c r="I8">
        <f>STDEV(G3:G8)/SQRT(6)</f>
        <v>1.5482306525559535</v>
      </c>
      <c r="M8" t="s">
        <v>131</v>
      </c>
      <c r="N8">
        <f>I14</f>
        <v>0.7961903851257095</v>
      </c>
      <c r="O8">
        <f>I26</f>
        <v>0.80537018774058422</v>
      </c>
      <c r="P8">
        <f>I38</f>
        <v>0.63572117430236808</v>
      </c>
      <c r="Q8">
        <f>I50</f>
        <v>2.0754171990989705</v>
      </c>
      <c r="R8">
        <f>I62</f>
        <v>2.5165255340201544</v>
      </c>
      <c r="S8">
        <f>I74</f>
        <v>0.42257923399543251</v>
      </c>
      <c r="T8">
        <f>I86</f>
        <v>1.0759134377974593</v>
      </c>
      <c r="U8">
        <f>I98</f>
        <v>0.70241034769454003</v>
      </c>
      <c r="V8">
        <f>I110</f>
        <v>1.5268918382181025</v>
      </c>
      <c r="W8">
        <f>I122</f>
        <v>2.7095956849773728</v>
      </c>
      <c r="Z8" t="s">
        <v>731</v>
      </c>
      <c r="AA8">
        <v>6</v>
      </c>
      <c r="AB8">
        <v>6</v>
      </c>
      <c r="AC8">
        <v>15.6659031413613</v>
      </c>
      <c r="AD8">
        <v>16.172624237140401</v>
      </c>
      <c r="AE8">
        <v>0.81018123641047401</v>
      </c>
      <c r="AF8" t="s">
        <v>744</v>
      </c>
      <c r="AG8" t="s">
        <v>724</v>
      </c>
    </row>
    <row r="9" spans="1:33" x14ac:dyDescent="0.45">
      <c r="A9" s="5" t="s">
        <v>13</v>
      </c>
      <c r="B9">
        <v>7</v>
      </c>
      <c r="C9">
        <v>0.1</v>
      </c>
      <c r="D9">
        <v>1.4800000000000001E-2</v>
      </c>
      <c r="E9">
        <v>1</v>
      </c>
      <c r="F9">
        <v>3</v>
      </c>
      <c r="G9">
        <f t="shared" si="0"/>
        <v>20.27027027027027</v>
      </c>
      <c r="Z9" t="s">
        <v>732</v>
      </c>
      <c r="AA9">
        <v>6</v>
      </c>
      <c r="AB9">
        <v>6</v>
      </c>
      <c r="AC9">
        <v>16.1308973172988</v>
      </c>
      <c r="AD9">
        <v>16.0055770544047</v>
      </c>
      <c r="AE9">
        <v>1</v>
      </c>
      <c r="AF9" t="s">
        <v>744</v>
      </c>
      <c r="AG9" t="s">
        <v>724</v>
      </c>
    </row>
    <row r="10" spans="1:33" x14ac:dyDescent="0.45">
      <c r="A10" s="5" t="s">
        <v>8</v>
      </c>
      <c r="B10">
        <v>8</v>
      </c>
      <c r="C10">
        <v>0.1</v>
      </c>
      <c r="D10">
        <v>1.4500000000000001E-2</v>
      </c>
      <c r="E10">
        <v>1</v>
      </c>
      <c r="F10">
        <v>3</v>
      </c>
      <c r="G10">
        <f t="shared" si="0"/>
        <v>20.689655172413794</v>
      </c>
      <c r="Z10" t="s">
        <v>733</v>
      </c>
      <c r="AA10">
        <v>6</v>
      </c>
      <c r="AB10">
        <v>6</v>
      </c>
      <c r="AC10">
        <v>16.998394863563401</v>
      </c>
      <c r="AD10">
        <v>15.8312447786132</v>
      </c>
      <c r="AE10">
        <v>7.7648309992793305E-2</v>
      </c>
      <c r="AF10" t="s">
        <v>744</v>
      </c>
      <c r="AG10" t="s">
        <v>724</v>
      </c>
    </row>
    <row r="11" spans="1:33" x14ac:dyDescent="0.45">
      <c r="A11" s="5" t="s">
        <v>9</v>
      </c>
      <c r="B11">
        <v>9</v>
      </c>
      <c r="C11">
        <v>0.1</v>
      </c>
      <c r="D11">
        <v>1.8599999999999998E-2</v>
      </c>
      <c r="E11">
        <v>1</v>
      </c>
      <c r="F11">
        <v>3</v>
      </c>
      <c r="G11">
        <f t="shared" si="0"/>
        <v>16.12903225806452</v>
      </c>
      <c r="Z11" t="s">
        <v>734</v>
      </c>
      <c r="AA11">
        <v>6</v>
      </c>
      <c r="AB11">
        <v>6</v>
      </c>
      <c r="AC11">
        <v>2.6221333821844102</v>
      </c>
      <c r="AD11">
        <v>3.0461734994923</v>
      </c>
      <c r="AE11">
        <v>0.93618629347305904</v>
      </c>
      <c r="AF11" t="s">
        <v>744</v>
      </c>
      <c r="AG11" t="s">
        <v>724</v>
      </c>
    </row>
    <row r="12" spans="1:33" x14ac:dyDescent="0.45">
      <c r="A12" s="5" t="s">
        <v>10</v>
      </c>
      <c r="B12">
        <v>10</v>
      </c>
      <c r="C12">
        <v>0.1</v>
      </c>
      <c r="D12">
        <v>1.7100000000000001E-2</v>
      </c>
      <c r="E12">
        <v>1</v>
      </c>
      <c r="F12">
        <v>3</v>
      </c>
      <c r="G12">
        <f t="shared" si="0"/>
        <v>17.543859649122808</v>
      </c>
      <c r="Z12" t="s">
        <v>735</v>
      </c>
      <c r="AA12">
        <v>6</v>
      </c>
      <c r="AB12">
        <v>6</v>
      </c>
      <c r="AC12">
        <v>4.1487450248854296</v>
      </c>
      <c r="AD12">
        <v>4.8434467224556697</v>
      </c>
      <c r="AE12">
        <v>0.378477593244679</v>
      </c>
      <c r="AF12" t="s">
        <v>744</v>
      </c>
      <c r="AG12" t="s">
        <v>724</v>
      </c>
    </row>
    <row r="13" spans="1:33" x14ac:dyDescent="0.45">
      <c r="A13" s="5" t="s">
        <v>11</v>
      </c>
      <c r="B13">
        <v>11</v>
      </c>
      <c r="C13">
        <v>0.1</v>
      </c>
      <c r="D13">
        <v>1.66E-2</v>
      </c>
      <c r="E13">
        <v>1</v>
      </c>
      <c r="F13">
        <v>3</v>
      </c>
      <c r="G13">
        <f t="shared" si="0"/>
        <v>18.072289156626507</v>
      </c>
      <c r="Z13" t="s">
        <v>736</v>
      </c>
      <c r="AA13">
        <v>6</v>
      </c>
      <c r="AB13">
        <v>6</v>
      </c>
      <c r="AC13">
        <v>7.5272827120588097</v>
      </c>
      <c r="AD13">
        <v>5.9720784774679503</v>
      </c>
      <c r="AE13">
        <v>0.378477593244679</v>
      </c>
      <c r="AF13" t="s">
        <v>744</v>
      </c>
      <c r="AG13" t="s">
        <v>724</v>
      </c>
    </row>
    <row r="14" spans="1:33" ht="14.65" thickBot="1" x14ac:dyDescent="0.5">
      <c r="A14" s="6" t="s">
        <v>12</v>
      </c>
      <c r="B14" s="3">
        <v>12</v>
      </c>
      <c r="C14">
        <v>0.1</v>
      </c>
      <c r="D14" s="9">
        <v>1.44E-2</v>
      </c>
      <c r="E14" s="9">
        <v>1</v>
      </c>
      <c r="F14" s="9">
        <v>3</v>
      </c>
      <c r="G14" s="9">
        <f t="shared" si="0"/>
        <v>20.833333333333336</v>
      </c>
      <c r="H14" s="9">
        <f>AVERAGE(G9:G14)</f>
        <v>18.923073306638543</v>
      </c>
      <c r="I14" s="9">
        <f>STDEV(G9:G14)/SQRT(6)</f>
        <v>0.7961903851257095</v>
      </c>
      <c r="Z14" t="s">
        <v>737</v>
      </c>
      <c r="AA14">
        <v>6</v>
      </c>
      <c r="AB14">
        <v>6</v>
      </c>
      <c r="AC14">
        <v>4.4174838297070398</v>
      </c>
      <c r="AD14">
        <v>5.9949897395531497</v>
      </c>
      <c r="AE14">
        <v>0.47116999849005597</v>
      </c>
      <c r="AF14" t="s">
        <v>744</v>
      </c>
      <c r="AG14" t="s">
        <v>724</v>
      </c>
    </row>
    <row r="15" spans="1:33" x14ac:dyDescent="0.45">
      <c r="A15" s="5" t="s">
        <v>14</v>
      </c>
      <c r="B15">
        <v>13</v>
      </c>
      <c r="C15">
        <v>0.1</v>
      </c>
      <c r="D15">
        <v>2.1299999999999999E-2</v>
      </c>
      <c r="E15">
        <v>1</v>
      </c>
      <c r="F15">
        <v>3</v>
      </c>
      <c r="G15">
        <f t="shared" si="0"/>
        <v>14.084507042253522</v>
      </c>
      <c r="Z15" t="s">
        <v>738</v>
      </c>
      <c r="AA15">
        <v>6</v>
      </c>
      <c r="AB15">
        <v>6</v>
      </c>
      <c r="AC15">
        <v>5.6220837436027997</v>
      </c>
      <c r="AD15">
        <v>8.2177877794943903</v>
      </c>
      <c r="AE15">
        <v>0.22976627046113801</v>
      </c>
      <c r="AF15" t="s">
        <v>744</v>
      </c>
      <c r="AG15" t="s">
        <v>724</v>
      </c>
    </row>
    <row r="16" spans="1:33" x14ac:dyDescent="0.45">
      <c r="A16" s="5" t="s">
        <v>15</v>
      </c>
      <c r="B16">
        <v>14</v>
      </c>
      <c r="C16">
        <v>0.1</v>
      </c>
      <c r="D16">
        <v>2.2200000000000001E-2</v>
      </c>
      <c r="E16">
        <v>1</v>
      </c>
      <c r="F16">
        <v>3</v>
      </c>
      <c r="G16">
        <f t="shared" si="0"/>
        <v>13.513513513513514</v>
      </c>
    </row>
    <row r="17" spans="1:9" x14ac:dyDescent="0.45">
      <c r="A17" s="5" t="s">
        <v>16</v>
      </c>
      <c r="B17">
        <v>15</v>
      </c>
      <c r="C17">
        <v>0.1</v>
      </c>
      <c r="D17">
        <v>1.8499999999999999E-2</v>
      </c>
      <c r="E17">
        <v>1</v>
      </c>
      <c r="F17">
        <v>3</v>
      </c>
      <c r="G17">
        <f t="shared" si="0"/>
        <v>16.216216216216218</v>
      </c>
    </row>
    <row r="18" spans="1:9" x14ac:dyDescent="0.45">
      <c r="A18" s="5" t="s">
        <v>17</v>
      </c>
      <c r="B18">
        <v>16</v>
      </c>
      <c r="C18">
        <v>0.1</v>
      </c>
      <c r="D18">
        <v>2.1000000000000001E-2</v>
      </c>
      <c r="E18">
        <v>1</v>
      </c>
      <c r="F18">
        <v>3</v>
      </c>
      <c r="G18">
        <f t="shared" si="0"/>
        <v>14.285714285714285</v>
      </c>
    </row>
    <row r="19" spans="1:9" x14ac:dyDescent="0.45">
      <c r="A19" s="5" t="s">
        <v>18</v>
      </c>
      <c r="B19">
        <v>17</v>
      </c>
      <c r="C19">
        <v>0.1</v>
      </c>
      <c r="D19">
        <v>1.66E-2</v>
      </c>
      <c r="E19">
        <v>1</v>
      </c>
      <c r="F19">
        <v>3</v>
      </c>
      <c r="G19">
        <f t="shared" si="0"/>
        <v>18.072289156626507</v>
      </c>
    </row>
    <row r="20" spans="1:9" x14ac:dyDescent="0.45">
      <c r="A20" s="5" t="s">
        <v>19</v>
      </c>
      <c r="B20">
        <v>18</v>
      </c>
      <c r="C20">
        <v>0.1</v>
      </c>
      <c r="D20">
        <v>1.9900000000000001E-2</v>
      </c>
      <c r="E20">
        <v>1</v>
      </c>
      <c r="F20">
        <v>3</v>
      </c>
      <c r="G20">
        <f t="shared" si="0"/>
        <v>15.075376884422109</v>
      </c>
      <c r="H20">
        <f>AVERAGE(G15:G20)</f>
        <v>15.20793618312436</v>
      </c>
      <c r="I20">
        <f>STDEV(G15:G20)/SQRT(6)</f>
        <v>0.6885340222900157</v>
      </c>
    </row>
    <row r="21" spans="1:9" x14ac:dyDescent="0.45">
      <c r="A21" s="5" t="s">
        <v>20</v>
      </c>
      <c r="B21">
        <v>19</v>
      </c>
      <c r="C21">
        <v>0.1</v>
      </c>
      <c r="D21">
        <v>1.8499999999999999E-2</v>
      </c>
      <c r="E21">
        <v>1</v>
      </c>
      <c r="F21">
        <v>3</v>
      </c>
      <c r="G21">
        <f t="shared" si="0"/>
        <v>16.216216216216218</v>
      </c>
    </row>
    <row r="22" spans="1:9" x14ac:dyDescent="0.45">
      <c r="A22" s="5" t="s">
        <v>21</v>
      </c>
      <c r="B22">
        <v>20</v>
      </c>
      <c r="C22">
        <v>0.1</v>
      </c>
      <c r="D22">
        <v>1.95E-2</v>
      </c>
      <c r="E22">
        <v>1</v>
      </c>
      <c r="F22">
        <v>3</v>
      </c>
      <c r="G22">
        <f t="shared" si="0"/>
        <v>15.384615384615387</v>
      </c>
    </row>
    <row r="23" spans="1:9" x14ac:dyDescent="0.45">
      <c r="A23" s="5" t="s">
        <v>22</v>
      </c>
      <c r="B23">
        <v>21</v>
      </c>
      <c r="C23">
        <v>0.1</v>
      </c>
      <c r="D23">
        <v>1.8599999999999998E-2</v>
      </c>
      <c r="E23">
        <v>1</v>
      </c>
      <c r="F23">
        <v>3</v>
      </c>
      <c r="G23">
        <f t="shared" si="0"/>
        <v>16.12903225806452</v>
      </c>
    </row>
    <row r="24" spans="1:9" x14ac:dyDescent="0.45">
      <c r="A24" s="5" t="s">
        <v>23</v>
      </c>
      <c r="B24">
        <v>22</v>
      </c>
      <c r="C24">
        <v>0.1</v>
      </c>
      <c r="D24">
        <v>2.1999999999999999E-2</v>
      </c>
      <c r="E24">
        <v>1</v>
      </c>
      <c r="F24">
        <v>3</v>
      </c>
      <c r="G24">
        <f t="shared" si="0"/>
        <v>13.636363636363637</v>
      </c>
    </row>
    <row r="25" spans="1:9" x14ac:dyDescent="0.45">
      <c r="A25" s="5" t="s">
        <v>24</v>
      </c>
      <c r="B25">
        <v>23</v>
      </c>
      <c r="C25">
        <v>0.1</v>
      </c>
      <c r="D25">
        <v>1.7600000000000001E-2</v>
      </c>
      <c r="E25">
        <v>1</v>
      </c>
      <c r="F25">
        <v>3</v>
      </c>
      <c r="G25">
        <f t="shared" si="0"/>
        <v>17.045454545454547</v>
      </c>
    </row>
    <row r="26" spans="1:9" ht="14.65" thickBot="1" x14ac:dyDescent="0.5">
      <c r="A26" s="6" t="s">
        <v>25</v>
      </c>
      <c r="B26" s="3">
        <v>24</v>
      </c>
      <c r="C26">
        <v>0.1</v>
      </c>
      <c r="D26" s="9">
        <v>1.5299999999999999E-2</v>
      </c>
      <c r="E26" s="9">
        <v>1</v>
      </c>
      <c r="F26" s="9">
        <v>3</v>
      </c>
      <c r="G26" s="9">
        <f t="shared" si="0"/>
        <v>19.607843137254907</v>
      </c>
      <c r="H26" s="9">
        <f>AVERAGE(G21:G26)</f>
        <v>16.336587529661536</v>
      </c>
      <c r="I26" s="9">
        <f>STDEV(G21:G26)/SQRT(6)</f>
        <v>0.80537018774058422</v>
      </c>
    </row>
    <row r="27" spans="1:9" x14ac:dyDescent="0.45">
      <c r="A27" s="4" t="s">
        <v>26</v>
      </c>
      <c r="B27">
        <v>25</v>
      </c>
      <c r="C27">
        <v>0.1</v>
      </c>
      <c r="D27">
        <v>1.9199999999999998E-2</v>
      </c>
      <c r="E27">
        <v>1</v>
      </c>
      <c r="F27">
        <v>3</v>
      </c>
      <c r="G27">
        <f t="shared" si="0"/>
        <v>15.625000000000002</v>
      </c>
    </row>
    <row r="28" spans="1:9" x14ac:dyDescent="0.45">
      <c r="A28" s="5" t="s">
        <v>27</v>
      </c>
      <c r="B28">
        <v>26</v>
      </c>
      <c r="C28">
        <v>0.1</v>
      </c>
      <c r="D28">
        <v>1.9E-2</v>
      </c>
      <c r="E28">
        <v>1</v>
      </c>
      <c r="F28">
        <v>3</v>
      </c>
      <c r="G28">
        <f t="shared" si="0"/>
        <v>15.789473684210527</v>
      </c>
    </row>
    <row r="29" spans="1:9" x14ac:dyDescent="0.45">
      <c r="A29" s="5" t="s">
        <v>28</v>
      </c>
      <c r="B29">
        <v>27</v>
      </c>
      <c r="C29">
        <v>0.1</v>
      </c>
      <c r="D29">
        <v>1.9699999999999999E-2</v>
      </c>
      <c r="E29">
        <v>1</v>
      </c>
      <c r="F29">
        <v>3</v>
      </c>
      <c r="G29">
        <f t="shared" si="0"/>
        <v>15.228426395939088</v>
      </c>
    </row>
    <row r="30" spans="1:9" x14ac:dyDescent="0.45">
      <c r="A30" s="5" t="s">
        <v>29</v>
      </c>
      <c r="B30">
        <v>28</v>
      </c>
      <c r="C30">
        <v>0.1</v>
      </c>
      <c r="D30">
        <v>1.6500000000000001E-2</v>
      </c>
      <c r="E30">
        <v>1</v>
      </c>
      <c r="F30">
        <v>3</v>
      </c>
      <c r="G30">
        <f t="shared" si="0"/>
        <v>18.18181818181818</v>
      </c>
    </row>
    <row r="31" spans="1:9" x14ac:dyDescent="0.45">
      <c r="A31" s="5" t="s">
        <v>30</v>
      </c>
      <c r="B31">
        <v>29</v>
      </c>
      <c r="C31">
        <v>0.1</v>
      </c>
      <c r="D31">
        <v>1.9099999999999999E-2</v>
      </c>
      <c r="E31">
        <v>1</v>
      </c>
      <c r="F31">
        <v>3</v>
      </c>
      <c r="G31">
        <f t="shared" si="0"/>
        <v>15.706806282722514</v>
      </c>
    </row>
    <row r="32" spans="1:9" x14ac:dyDescent="0.45">
      <c r="A32" s="5" t="s">
        <v>31</v>
      </c>
      <c r="B32">
        <v>30</v>
      </c>
      <c r="C32">
        <v>0.1</v>
      </c>
      <c r="D32">
        <v>1.9599999999999999E-2</v>
      </c>
      <c r="E32">
        <v>1</v>
      </c>
      <c r="F32">
        <v>3</v>
      </c>
      <c r="G32">
        <f t="shared" si="0"/>
        <v>15.306122448979593</v>
      </c>
      <c r="H32">
        <f>AVERAGE(G27:G32)</f>
        <v>15.972941165611651</v>
      </c>
      <c r="I32">
        <f>STDEV(G27:G32)/SQRT(6)</f>
        <v>0.45105942931377874</v>
      </c>
    </row>
    <row r="33" spans="1:9" x14ac:dyDescent="0.45">
      <c r="A33" s="5" t="s">
        <v>32</v>
      </c>
      <c r="B33">
        <v>31</v>
      </c>
      <c r="C33">
        <v>0.1</v>
      </c>
      <c r="D33">
        <v>1.8499999999999999E-2</v>
      </c>
      <c r="E33">
        <v>1</v>
      </c>
      <c r="F33">
        <v>3</v>
      </c>
      <c r="G33">
        <f t="shared" si="0"/>
        <v>16.216216216216218</v>
      </c>
    </row>
    <row r="34" spans="1:9" x14ac:dyDescent="0.45">
      <c r="A34" s="5" t="s">
        <v>33</v>
      </c>
      <c r="B34">
        <v>32</v>
      </c>
      <c r="C34">
        <v>0.1</v>
      </c>
      <c r="D34">
        <v>0.02</v>
      </c>
      <c r="E34">
        <v>1</v>
      </c>
      <c r="F34">
        <v>3</v>
      </c>
      <c r="G34">
        <f t="shared" si="0"/>
        <v>15</v>
      </c>
    </row>
    <row r="35" spans="1:9" x14ac:dyDescent="0.45">
      <c r="A35" s="5" t="s">
        <v>34</v>
      </c>
      <c r="B35">
        <v>33</v>
      </c>
      <c r="C35">
        <v>0.1</v>
      </c>
      <c r="D35">
        <v>1.66E-2</v>
      </c>
      <c r="E35">
        <v>1</v>
      </c>
      <c r="F35">
        <v>3</v>
      </c>
      <c r="G35">
        <f t="shared" si="0"/>
        <v>18.072289156626507</v>
      </c>
    </row>
    <row r="36" spans="1:9" x14ac:dyDescent="0.45">
      <c r="A36" s="5" t="s">
        <v>35</v>
      </c>
      <c r="B36">
        <v>34</v>
      </c>
      <c r="C36">
        <v>0.1</v>
      </c>
      <c r="D36">
        <v>1.8100000000000002E-2</v>
      </c>
      <c r="E36">
        <v>1</v>
      </c>
      <c r="F36">
        <v>3</v>
      </c>
      <c r="G36">
        <f t="shared" si="0"/>
        <v>16.574585635359114</v>
      </c>
    </row>
    <row r="37" spans="1:9" x14ac:dyDescent="0.45">
      <c r="A37" s="5" t="s">
        <v>36</v>
      </c>
      <c r="B37">
        <v>35</v>
      </c>
      <c r="C37">
        <v>0.1</v>
      </c>
      <c r="D37">
        <v>1.8599999999999998E-2</v>
      </c>
      <c r="E37">
        <v>1</v>
      </c>
      <c r="F37">
        <v>3</v>
      </c>
      <c r="G37">
        <f t="shared" si="0"/>
        <v>16.12903225806452</v>
      </c>
    </row>
    <row r="38" spans="1:9" ht="14.65" thickBot="1" x14ac:dyDescent="0.5">
      <c r="A38" s="6" t="s">
        <v>37</v>
      </c>
      <c r="B38" s="3">
        <v>36</v>
      </c>
      <c r="C38">
        <v>0.1</v>
      </c>
      <c r="D38" s="9">
        <v>2.23E-2</v>
      </c>
      <c r="E38" s="9">
        <v>1</v>
      </c>
      <c r="F38" s="9">
        <v>3</v>
      </c>
      <c r="G38" s="9">
        <f t="shared" si="0"/>
        <v>13.452914798206276</v>
      </c>
      <c r="H38" s="9">
        <f>AVERAGE(G33:G38)</f>
        <v>15.907506344078774</v>
      </c>
      <c r="I38" s="9">
        <f>STDEV(G33:G38)/SQRT(6)</f>
        <v>0.63572117430236808</v>
      </c>
    </row>
    <row r="39" spans="1:9" x14ac:dyDescent="0.45">
      <c r="A39" s="4" t="s">
        <v>38</v>
      </c>
      <c r="B39">
        <v>37</v>
      </c>
      <c r="C39">
        <v>0.1</v>
      </c>
      <c r="D39">
        <v>1.7100000000000001E-2</v>
      </c>
      <c r="E39">
        <v>1</v>
      </c>
      <c r="F39">
        <v>3</v>
      </c>
      <c r="G39">
        <f t="shared" si="0"/>
        <v>17.543859649122808</v>
      </c>
    </row>
    <row r="40" spans="1:9" x14ac:dyDescent="0.45">
      <c r="A40" s="5" t="s">
        <v>39</v>
      </c>
      <c r="B40">
        <v>38</v>
      </c>
      <c r="C40">
        <v>0.1</v>
      </c>
      <c r="D40">
        <v>1.8800000000000001E-2</v>
      </c>
      <c r="E40">
        <v>1</v>
      </c>
      <c r="F40">
        <v>3</v>
      </c>
      <c r="G40">
        <f t="shared" si="0"/>
        <v>15.957446808510639</v>
      </c>
    </row>
    <row r="41" spans="1:9" x14ac:dyDescent="0.45">
      <c r="A41" s="5" t="s">
        <v>40</v>
      </c>
      <c r="B41">
        <v>39</v>
      </c>
      <c r="C41">
        <v>0.1</v>
      </c>
      <c r="D41">
        <v>1.5900000000000001E-2</v>
      </c>
      <c r="E41">
        <v>1</v>
      </c>
      <c r="F41">
        <v>3</v>
      </c>
      <c r="G41">
        <f t="shared" si="0"/>
        <v>18.867924528301888</v>
      </c>
    </row>
    <row r="42" spans="1:9" x14ac:dyDescent="0.45">
      <c r="A42" s="5" t="s">
        <v>41</v>
      </c>
      <c r="B42">
        <v>40</v>
      </c>
      <c r="C42">
        <v>0.1</v>
      </c>
      <c r="D42">
        <v>1.9699999999999999E-2</v>
      </c>
      <c r="E42">
        <v>1</v>
      </c>
      <c r="F42">
        <v>3</v>
      </c>
      <c r="G42">
        <f t="shared" si="0"/>
        <v>15.228426395939088</v>
      </c>
    </row>
    <row r="43" spans="1:9" x14ac:dyDescent="0.45">
      <c r="A43" s="5" t="s">
        <v>42</v>
      </c>
      <c r="B43">
        <v>41</v>
      </c>
      <c r="C43">
        <v>0.1</v>
      </c>
      <c r="D43">
        <v>2.0400000000000001E-2</v>
      </c>
      <c r="E43">
        <v>1</v>
      </c>
      <c r="F43">
        <v>3</v>
      </c>
      <c r="G43">
        <f t="shared" si="0"/>
        <v>14.705882352941178</v>
      </c>
    </row>
    <row r="44" spans="1:9" x14ac:dyDescent="0.45">
      <c r="A44" s="5" t="s">
        <v>43</v>
      </c>
      <c r="B44">
        <v>42</v>
      </c>
      <c r="C44">
        <v>0.1</v>
      </c>
      <c r="D44">
        <v>1.84E-2</v>
      </c>
      <c r="E44">
        <v>1</v>
      </c>
      <c r="F44">
        <v>3</v>
      </c>
      <c r="G44">
        <f t="shared" si="0"/>
        <v>16.304347826086957</v>
      </c>
      <c r="H44">
        <f>AVERAGE(G39:G44)</f>
        <v>16.434647926817092</v>
      </c>
      <c r="I44">
        <f>STDEV(G39:G44)/SQRT(6)</f>
        <v>0.62821136248795595</v>
      </c>
    </row>
    <row r="45" spans="1:9" x14ac:dyDescent="0.45">
      <c r="A45" s="5" t="s">
        <v>44</v>
      </c>
      <c r="B45">
        <v>43</v>
      </c>
      <c r="C45">
        <v>0.1</v>
      </c>
      <c r="D45">
        <v>1.9099999999999999E-2</v>
      </c>
      <c r="E45">
        <v>1</v>
      </c>
      <c r="F45">
        <v>3</v>
      </c>
      <c r="G45">
        <f t="shared" si="0"/>
        <v>15.706806282722514</v>
      </c>
    </row>
    <row r="46" spans="1:9" x14ac:dyDescent="0.45">
      <c r="A46" s="5" t="s">
        <v>45</v>
      </c>
      <c r="B46">
        <v>44</v>
      </c>
      <c r="C46">
        <v>0.1</v>
      </c>
      <c r="D46">
        <v>1.7899999999999999E-2</v>
      </c>
      <c r="E46">
        <v>1</v>
      </c>
      <c r="F46">
        <v>3</v>
      </c>
      <c r="G46">
        <f t="shared" si="0"/>
        <v>16.759776536312849</v>
      </c>
    </row>
    <row r="47" spans="1:9" x14ac:dyDescent="0.45">
      <c r="A47" s="5" t="s">
        <v>46</v>
      </c>
      <c r="B47">
        <v>45</v>
      </c>
      <c r="C47">
        <v>0.1</v>
      </c>
      <c r="D47">
        <v>1.9900000000000001E-2</v>
      </c>
      <c r="E47">
        <v>1</v>
      </c>
      <c r="F47">
        <v>3</v>
      </c>
      <c r="G47">
        <f t="shared" si="0"/>
        <v>15.075376884422109</v>
      </c>
    </row>
    <row r="48" spans="1:9" x14ac:dyDescent="0.45">
      <c r="A48" s="5" t="s">
        <v>47</v>
      </c>
      <c r="B48">
        <v>46</v>
      </c>
      <c r="C48">
        <v>0.1</v>
      </c>
      <c r="D48">
        <v>1.84E-2</v>
      </c>
      <c r="E48">
        <v>1</v>
      </c>
      <c r="F48">
        <v>3</v>
      </c>
      <c r="G48">
        <f t="shared" si="0"/>
        <v>16.304347826086957</v>
      </c>
    </row>
    <row r="49" spans="1:9" x14ac:dyDescent="0.45">
      <c r="A49" s="5" t="s">
        <v>48</v>
      </c>
      <c r="B49">
        <v>47</v>
      </c>
      <c r="C49">
        <v>0.1</v>
      </c>
      <c r="D49">
        <v>1.9699999999999999E-2</v>
      </c>
      <c r="E49">
        <v>1</v>
      </c>
      <c r="F49">
        <v>3</v>
      </c>
      <c r="G49">
        <f t="shared" si="0"/>
        <v>15.228426395939088</v>
      </c>
    </row>
    <row r="50" spans="1:9" ht="14.65" thickBot="1" x14ac:dyDescent="0.5">
      <c r="A50" s="6" t="s">
        <v>49</v>
      </c>
      <c r="B50" s="3">
        <v>48</v>
      </c>
      <c r="C50">
        <v>0.2</v>
      </c>
      <c r="D50" s="9">
        <v>2.1299999999999999E-2</v>
      </c>
      <c r="E50" s="9">
        <v>1</v>
      </c>
      <c r="F50" s="9">
        <v>3</v>
      </c>
      <c r="G50" s="9">
        <f t="shared" si="0"/>
        <v>28.169014084507044</v>
      </c>
      <c r="H50" s="9">
        <f>AVERAGE(G45:G50)</f>
        <v>17.873958001665091</v>
      </c>
      <c r="I50" s="9">
        <f>STDEV(G45:G50)/SQRT(6)</f>
        <v>2.0754171990989705</v>
      </c>
    </row>
    <row r="51" spans="1:9" x14ac:dyDescent="0.45">
      <c r="A51" s="4" t="s">
        <v>50</v>
      </c>
      <c r="B51">
        <v>49</v>
      </c>
      <c r="C51">
        <v>0.1</v>
      </c>
      <c r="D51">
        <v>1.7500000000000002E-2</v>
      </c>
      <c r="E51">
        <v>1</v>
      </c>
      <c r="F51">
        <v>3</v>
      </c>
      <c r="G51">
        <f t="shared" si="0"/>
        <v>17.142857142857142</v>
      </c>
    </row>
    <row r="52" spans="1:9" x14ac:dyDescent="0.45">
      <c r="A52" s="5" t="s">
        <v>51</v>
      </c>
      <c r="B52">
        <v>50</v>
      </c>
      <c r="C52">
        <v>0.1</v>
      </c>
      <c r="D52">
        <v>1.78E-2</v>
      </c>
      <c r="E52">
        <v>1</v>
      </c>
      <c r="F52">
        <v>3</v>
      </c>
      <c r="G52">
        <f t="shared" si="0"/>
        <v>16.853932584269664</v>
      </c>
    </row>
    <row r="53" spans="1:9" x14ac:dyDescent="0.45">
      <c r="A53" s="5" t="s">
        <v>52</v>
      </c>
      <c r="B53">
        <v>51</v>
      </c>
      <c r="C53">
        <v>0.1</v>
      </c>
      <c r="D53">
        <v>1.8700000000000001E-2</v>
      </c>
      <c r="E53">
        <v>1</v>
      </c>
      <c r="F53">
        <v>3</v>
      </c>
      <c r="G53">
        <f t="shared" si="0"/>
        <v>16.042780748663102</v>
      </c>
    </row>
    <row r="54" spans="1:9" x14ac:dyDescent="0.45">
      <c r="A54" s="5" t="s">
        <v>53</v>
      </c>
      <c r="B54">
        <v>52</v>
      </c>
      <c r="C54">
        <v>0.1</v>
      </c>
      <c r="D54">
        <v>1.66E-2</v>
      </c>
      <c r="E54">
        <v>1</v>
      </c>
      <c r="F54">
        <v>3</v>
      </c>
      <c r="G54">
        <f t="shared" si="0"/>
        <v>18.072289156626507</v>
      </c>
    </row>
    <row r="55" spans="1:9" x14ac:dyDescent="0.45">
      <c r="A55" s="5" t="s">
        <v>54</v>
      </c>
      <c r="B55">
        <v>53</v>
      </c>
      <c r="C55">
        <v>0.1</v>
      </c>
      <c r="D55">
        <v>1.8100000000000002E-2</v>
      </c>
      <c r="E55">
        <v>1</v>
      </c>
      <c r="F55">
        <v>3</v>
      </c>
      <c r="G55">
        <f t="shared" si="0"/>
        <v>16.574585635359114</v>
      </c>
    </row>
    <row r="56" spans="1:9" x14ac:dyDescent="0.45">
      <c r="A56" s="5" t="s">
        <v>55</v>
      </c>
      <c r="B56">
        <v>54</v>
      </c>
      <c r="C56">
        <v>0.1</v>
      </c>
      <c r="D56">
        <v>1.7100000000000001E-2</v>
      </c>
      <c r="E56">
        <v>1</v>
      </c>
      <c r="F56">
        <v>3</v>
      </c>
      <c r="G56">
        <f t="shared" si="0"/>
        <v>17.543859649122808</v>
      </c>
      <c r="H56">
        <f>AVERAGE(G51:G56)</f>
        <v>17.038384152816391</v>
      </c>
      <c r="I56">
        <f>STDEV(G51:G56)/SQRT(6)</f>
        <v>0.29301520007298848</v>
      </c>
    </row>
    <row r="57" spans="1:9" x14ac:dyDescent="0.45">
      <c r="A57" s="5" t="s">
        <v>56</v>
      </c>
      <c r="B57">
        <v>55</v>
      </c>
      <c r="C57">
        <v>0.1</v>
      </c>
      <c r="D57">
        <v>1.8700000000000001E-2</v>
      </c>
      <c r="E57">
        <v>1</v>
      </c>
      <c r="F57">
        <v>3</v>
      </c>
      <c r="G57">
        <f t="shared" si="0"/>
        <v>16.042780748663102</v>
      </c>
    </row>
    <row r="58" spans="1:9" x14ac:dyDescent="0.45">
      <c r="A58" s="5" t="s">
        <v>57</v>
      </c>
      <c r="B58">
        <v>56</v>
      </c>
      <c r="C58">
        <v>0.1</v>
      </c>
      <c r="D58">
        <v>2.0899999999999998E-2</v>
      </c>
      <c r="E58">
        <v>1</v>
      </c>
      <c r="F58">
        <v>3</v>
      </c>
      <c r="G58">
        <f t="shared" si="0"/>
        <v>14.354066985645932</v>
      </c>
    </row>
    <row r="59" spans="1:9" x14ac:dyDescent="0.45">
      <c r="A59" s="5" t="s">
        <v>58</v>
      </c>
      <c r="B59">
        <v>57</v>
      </c>
      <c r="C59">
        <v>0.1</v>
      </c>
      <c r="D59">
        <v>1.89E-2</v>
      </c>
      <c r="E59">
        <v>1</v>
      </c>
      <c r="F59">
        <v>3</v>
      </c>
      <c r="G59">
        <f t="shared" si="0"/>
        <v>15.873015873015873</v>
      </c>
    </row>
    <row r="60" spans="1:9" x14ac:dyDescent="0.45">
      <c r="A60" s="5" t="s">
        <v>59</v>
      </c>
      <c r="B60">
        <v>58</v>
      </c>
      <c r="C60">
        <v>0.1</v>
      </c>
      <c r="D60">
        <v>1.9E-2</v>
      </c>
      <c r="E60">
        <v>1</v>
      </c>
      <c r="F60">
        <v>3</v>
      </c>
      <c r="G60">
        <f t="shared" si="0"/>
        <v>15.789473684210527</v>
      </c>
    </row>
    <row r="61" spans="1:9" x14ac:dyDescent="0.45">
      <c r="A61" s="5" t="s">
        <v>60</v>
      </c>
      <c r="B61">
        <v>59</v>
      </c>
      <c r="C61">
        <v>0.1</v>
      </c>
      <c r="D61">
        <v>2.1499999999999998E-2</v>
      </c>
      <c r="E61">
        <v>1</v>
      </c>
      <c r="F61">
        <v>3</v>
      </c>
      <c r="G61">
        <f t="shared" si="0"/>
        <v>13.953488372093023</v>
      </c>
    </row>
    <row r="62" spans="1:9" ht="14.65" thickBot="1" x14ac:dyDescent="0.5">
      <c r="A62" s="6" t="s">
        <v>61</v>
      </c>
      <c r="B62" s="3">
        <v>60</v>
      </c>
      <c r="C62">
        <v>0.2</v>
      </c>
      <c r="D62" s="9">
        <v>1.9900000000000001E-2</v>
      </c>
      <c r="E62" s="9">
        <v>1</v>
      </c>
      <c r="F62" s="9">
        <v>3</v>
      </c>
      <c r="G62" s="9">
        <f t="shared" si="0"/>
        <v>30.150753768844218</v>
      </c>
      <c r="H62" s="9">
        <f>AVERAGE(G57:G62)</f>
        <v>17.693929905412116</v>
      </c>
      <c r="I62" s="9">
        <f>STDEV(G57:G62)/SQRT(6)</f>
        <v>2.5165255340201544</v>
      </c>
    </row>
    <row r="63" spans="1:9" x14ac:dyDescent="0.45">
      <c r="A63" s="4" t="s">
        <v>62</v>
      </c>
      <c r="B63">
        <v>61</v>
      </c>
      <c r="C63" s="10">
        <v>1.7200938232994529E-2</v>
      </c>
      <c r="D63">
        <v>1.8499999999999999E-2</v>
      </c>
      <c r="E63">
        <v>1</v>
      </c>
      <c r="F63">
        <v>3</v>
      </c>
      <c r="G63">
        <f t="shared" si="0"/>
        <v>2.7893413350801941</v>
      </c>
    </row>
    <row r="64" spans="1:9" x14ac:dyDescent="0.45">
      <c r="A64" s="5" t="s">
        <v>63</v>
      </c>
      <c r="B64">
        <v>62</v>
      </c>
      <c r="C64" s="10">
        <v>1.5472614295707997E-2</v>
      </c>
      <c r="D64">
        <v>2.1000000000000001E-2</v>
      </c>
      <c r="E64">
        <v>1</v>
      </c>
      <c r="F64">
        <v>3</v>
      </c>
      <c r="G64">
        <f t="shared" si="0"/>
        <v>2.2103734708154281</v>
      </c>
    </row>
    <row r="65" spans="1:9" x14ac:dyDescent="0.45">
      <c r="A65" s="5" t="s">
        <v>64</v>
      </c>
      <c r="B65">
        <v>63</v>
      </c>
      <c r="C65" s="10">
        <v>1.4320398337516974E-2</v>
      </c>
      <c r="D65">
        <v>1.9400000000000001E-2</v>
      </c>
      <c r="E65">
        <v>1</v>
      </c>
      <c r="F65">
        <v>3</v>
      </c>
      <c r="G65">
        <f t="shared" si="0"/>
        <v>2.2144945882758207</v>
      </c>
    </row>
    <row r="66" spans="1:9" x14ac:dyDescent="0.45">
      <c r="A66" s="5" t="s">
        <v>65</v>
      </c>
      <c r="B66">
        <v>64</v>
      </c>
      <c r="C66" s="10">
        <v>1.4320398337516974E-2</v>
      </c>
      <c r="D66">
        <v>1.7500000000000002E-2</v>
      </c>
      <c r="E66">
        <v>1</v>
      </c>
      <c r="F66">
        <v>3</v>
      </c>
      <c r="G66">
        <f t="shared" si="0"/>
        <v>2.454925429288624</v>
      </c>
    </row>
    <row r="67" spans="1:9" x14ac:dyDescent="0.45">
      <c r="A67" s="5" t="s">
        <v>66</v>
      </c>
      <c r="B67">
        <v>65</v>
      </c>
      <c r="C67" s="10">
        <v>3.2426649109090162E-2</v>
      </c>
      <c r="D67">
        <v>2.0500000000000001E-2</v>
      </c>
      <c r="E67">
        <v>1</v>
      </c>
      <c r="F67">
        <v>3</v>
      </c>
      <c r="G67">
        <f t="shared" si="0"/>
        <v>4.7453632842570972</v>
      </c>
    </row>
    <row r="68" spans="1:9" x14ac:dyDescent="0.45">
      <c r="A68" s="5" t="s">
        <v>67</v>
      </c>
      <c r="B68">
        <v>66</v>
      </c>
      <c r="C68" s="10">
        <v>2.0369532118019836E-2</v>
      </c>
      <c r="D68">
        <v>1.9800000000000002E-2</v>
      </c>
      <c r="E68">
        <v>1</v>
      </c>
      <c r="F68">
        <v>3</v>
      </c>
      <c r="G68">
        <f t="shared" ref="G68:G122" si="1">(C68*(E68/D68)*F68)</f>
        <v>3.0862927451545201</v>
      </c>
      <c r="H68">
        <f>AVERAGE(G63:G68)</f>
        <v>2.9167984754786143</v>
      </c>
      <c r="I68">
        <f>STDEV(G63:G68)/SQRT(6)</f>
        <v>0.39133177049595441</v>
      </c>
    </row>
    <row r="69" spans="1:9" x14ac:dyDescent="0.45">
      <c r="A69" s="5" t="s">
        <v>68</v>
      </c>
      <c r="B69">
        <v>67</v>
      </c>
      <c r="C69" s="10">
        <v>1.3744290358421465E-2</v>
      </c>
      <c r="D69">
        <v>1.7399999999999999E-2</v>
      </c>
      <c r="E69">
        <v>1</v>
      </c>
      <c r="F69">
        <v>3</v>
      </c>
      <c r="G69">
        <f t="shared" si="1"/>
        <v>2.3697052342105978</v>
      </c>
    </row>
    <row r="70" spans="1:9" x14ac:dyDescent="0.45">
      <c r="A70" s="5" t="s">
        <v>69</v>
      </c>
      <c r="B70">
        <v>68</v>
      </c>
      <c r="C70" s="10">
        <v>1.185136414139336E-2</v>
      </c>
      <c r="D70">
        <v>1.6199999999999999E-2</v>
      </c>
      <c r="E70">
        <v>1</v>
      </c>
      <c r="F70">
        <v>3</v>
      </c>
      <c r="G70">
        <f t="shared" si="1"/>
        <v>2.1946970632209926</v>
      </c>
    </row>
    <row r="71" spans="1:9" x14ac:dyDescent="0.45">
      <c r="A71" s="5" t="s">
        <v>70</v>
      </c>
      <c r="B71">
        <v>69</v>
      </c>
      <c r="C71" s="10">
        <v>1.5225710876095635E-2</v>
      </c>
      <c r="D71">
        <v>2.1899999999999999E-2</v>
      </c>
      <c r="E71">
        <v>1</v>
      </c>
      <c r="F71">
        <v>3</v>
      </c>
      <c r="G71">
        <f t="shared" si="1"/>
        <v>2.0857138186432378</v>
      </c>
    </row>
    <row r="72" spans="1:9" x14ac:dyDescent="0.45">
      <c r="A72" s="5" t="s">
        <v>71</v>
      </c>
      <c r="B72">
        <v>70</v>
      </c>
      <c r="C72" s="10">
        <v>2.4073083412205258E-2</v>
      </c>
      <c r="D72">
        <v>1.9400000000000001E-2</v>
      </c>
      <c r="E72">
        <v>1</v>
      </c>
      <c r="F72">
        <v>3</v>
      </c>
      <c r="G72">
        <f t="shared" si="1"/>
        <v>3.7226417647740089</v>
      </c>
    </row>
    <row r="73" spans="1:9" x14ac:dyDescent="0.45">
      <c r="A73" s="5" t="s">
        <v>72</v>
      </c>
      <c r="B73">
        <v>71</v>
      </c>
      <c r="C73" s="10">
        <v>2.806468869593844E-2</v>
      </c>
      <c r="D73">
        <v>1.9300000000000001E-2</v>
      </c>
      <c r="E73">
        <v>1</v>
      </c>
      <c r="F73">
        <v>3</v>
      </c>
      <c r="G73">
        <f t="shared" si="1"/>
        <v>4.3623868439282543</v>
      </c>
    </row>
    <row r="74" spans="1:9" ht="14.65" thickBot="1" x14ac:dyDescent="0.5">
      <c r="A74" s="6" t="s">
        <v>73</v>
      </c>
      <c r="B74" s="3">
        <v>72</v>
      </c>
      <c r="C74" s="10">
        <v>2.543105222007325E-2</v>
      </c>
      <c r="D74" s="9">
        <v>1.8599999999999998E-2</v>
      </c>
      <c r="E74" s="9">
        <v>1</v>
      </c>
      <c r="F74" s="9">
        <v>3</v>
      </c>
      <c r="G74" s="9">
        <f t="shared" si="1"/>
        <v>4.1017826161408468</v>
      </c>
      <c r="H74" s="9">
        <f>AVERAGE(G69:G74)</f>
        <v>3.1394878901529899</v>
      </c>
      <c r="I74" s="9">
        <f>STDEV(G69:G74)/SQRT(6)</f>
        <v>0.42257923399543251</v>
      </c>
    </row>
    <row r="75" spans="1:9" x14ac:dyDescent="0.45">
      <c r="A75" s="4" t="s">
        <v>74</v>
      </c>
      <c r="B75">
        <v>73</v>
      </c>
      <c r="C75" s="10">
        <v>2.3785029422657509E-2</v>
      </c>
      <c r="D75">
        <v>1.7000000000000001E-2</v>
      </c>
      <c r="E75">
        <v>1</v>
      </c>
      <c r="F75">
        <v>3</v>
      </c>
      <c r="G75">
        <f t="shared" si="1"/>
        <v>4.1973581334101482</v>
      </c>
    </row>
    <row r="76" spans="1:9" x14ac:dyDescent="0.45">
      <c r="A76" s="5" t="s">
        <v>75</v>
      </c>
      <c r="B76">
        <v>74</v>
      </c>
      <c r="C76" s="10">
        <v>2.7077075017488995E-2</v>
      </c>
      <c r="D76">
        <v>2.1299999999999999E-2</v>
      </c>
      <c r="E76">
        <v>1</v>
      </c>
      <c r="F76">
        <v>3</v>
      </c>
      <c r="G76">
        <f t="shared" si="1"/>
        <v>3.8136725376745066</v>
      </c>
    </row>
    <row r="77" spans="1:9" x14ac:dyDescent="0.45">
      <c r="A77" s="5" t="s">
        <v>76</v>
      </c>
      <c r="B77">
        <v>75</v>
      </c>
      <c r="C77" s="10">
        <v>2.2015554915435581E-2</v>
      </c>
      <c r="D77">
        <v>1.9300000000000001E-2</v>
      </c>
      <c r="E77">
        <v>1</v>
      </c>
      <c r="F77">
        <v>3</v>
      </c>
      <c r="G77">
        <f t="shared" si="1"/>
        <v>3.4221069816739247</v>
      </c>
    </row>
    <row r="78" spans="1:9" x14ac:dyDescent="0.45">
      <c r="A78" s="5" t="s">
        <v>77</v>
      </c>
      <c r="B78">
        <v>76</v>
      </c>
      <c r="C78" s="10">
        <v>2.6377515328587304E-2</v>
      </c>
      <c r="D78">
        <v>1.9300000000000001E-2</v>
      </c>
      <c r="E78">
        <v>1</v>
      </c>
      <c r="F78">
        <v>3</v>
      </c>
      <c r="G78">
        <f t="shared" si="1"/>
        <v>4.1001319163607208</v>
      </c>
    </row>
    <row r="79" spans="1:9" x14ac:dyDescent="0.45">
      <c r="A79" s="5" t="s">
        <v>78</v>
      </c>
      <c r="B79">
        <v>77</v>
      </c>
      <c r="C79" s="10">
        <v>3.8023126620303688E-2</v>
      </c>
      <c r="D79">
        <v>2.0400000000000001E-2</v>
      </c>
      <c r="E79">
        <v>1</v>
      </c>
      <c r="F79">
        <v>3</v>
      </c>
      <c r="G79">
        <f t="shared" si="1"/>
        <v>5.591636267691718</v>
      </c>
    </row>
    <row r="80" spans="1:9" x14ac:dyDescent="0.45">
      <c r="A80" s="5" t="s">
        <v>79</v>
      </c>
      <c r="B80">
        <v>78</v>
      </c>
      <c r="C80" s="10">
        <v>3.6953211801983459E-2</v>
      </c>
      <c r="D80">
        <v>1.7399999999999999E-2</v>
      </c>
      <c r="E80">
        <v>1</v>
      </c>
      <c r="F80">
        <v>3</v>
      </c>
      <c r="G80">
        <f t="shared" si="1"/>
        <v>6.3712434141350798</v>
      </c>
      <c r="H80">
        <f>AVERAGE(G75:G80)</f>
        <v>4.5826915418243495</v>
      </c>
      <c r="I80">
        <f>STDEV(G75:G80)/SQRT(6)</f>
        <v>0.46678259170527031</v>
      </c>
    </row>
    <row r="81" spans="1:9" x14ac:dyDescent="0.45">
      <c r="A81" s="5" t="s">
        <v>80</v>
      </c>
      <c r="B81">
        <v>79</v>
      </c>
      <c r="C81" s="10">
        <v>2.7653182996584501E-2</v>
      </c>
      <c r="D81">
        <v>1.9E-2</v>
      </c>
      <c r="E81">
        <v>1</v>
      </c>
      <c r="F81">
        <v>3</v>
      </c>
      <c r="G81">
        <f t="shared" si="1"/>
        <v>4.3662920520922901</v>
      </c>
    </row>
    <row r="82" spans="1:9" x14ac:dyDescent="0.45">
      <c r="A82" s="5" t="s">
        <v>81</v>
      </c>
      <c r="B82">
        <v>80</v>
      </c>
      <c r="C82" s="10">
        <v>2.4443438541623806E-2</v>
      </c>
      <c r="D82">
        <v>2.1899999999999999E-2</v>
      </c>
      <c r="E82">
        <v>1</v>
      </c>
      <c r="F82">
        <v>3</v>
      </c>
      <c r="G82">
        <f t="shared" si="1"/>
        <v>3.3484162385786034</v>
      </c>
    </row>
    <row r="83" spans="1:9" x14ac:dyDescent="0.45">
      <c r="A83" s="5" t="s">
        <v>82</v>
      </c>
      <c r="B83">
        <v>81</v>
      </c>
      <c r="C83" s="10">
        <v>2.5060697090654706E-2</v>
      </c>
      <c r="D83">
        <v>1.67E-2</v>
      </c>
      <c r="E83">
        <v>1</v>
      </c>
      <c r="F83">
        <v>3</v>
      </c>
      <c r="G83">
        <f t="shared" si="1"/>
        <v>4.5019216330517438</v>
      </c>
    </row>
    <row r="84" spans="1:9" x14ac:dyDescent="0.45">
      <c r="A84" s="5" t="s">
        <v>83</v>
      </c>
      <c r="B84">
        <v>82</v>
      </c>
      <c r="C84" s="10">
        <v>3.1109830871157568E-2</v>
      </c>
      <c r="D84">
        <v>1.7999999999999999E-2</v>
      </c>
      <c r="E84">
        <v>1</v>
      </c>
      <c r="F84">
        <v>3</v>
      </c>
      <c r="G84">
        <f t="shared" si="1"/>
        <v>5.1849718118595947</v>
      </c>
    </row>
    <row r="85" spans="1:9" x14ac:dyDescent="0.45">
      <c r="A85" s="5" t="s">
        <v>84</v>
      </c>
      <c r="B85">
        <v>83</v>
      </c>
      <c r="C85" s="10">
        <v>4.6993950866219499E-2</v>
      </c>
      <c r="D85">
        <v>1.83E-2</v>
      </c>
      <c r="E85">
        <v>1</v>
      </c>
      <c r="F85">
        <v>3</v>
      </c>
      <c r="G85">
        <f t="shared" si="1"/>
        <v>7.7039263715113933</v>
      </c>
    </row>
    <row r="86" spans="1:9" ht="14.65" thickBot="1" x14ac:dyDescent="0.5">
      <c r="A86" s="6" t="s">
        <v>85</v>
      </c>
      <c r="B86" s="3">
        <v>84</v>
      </c>
      <c r="C86" s="10">
        <v>6.9256409201267438E-2</v>
      </c>
      <c r="D86" s="9">
        <v>0.02</v>
      </c>
      <c r="E86" s="9">
        <v>1</v>
      </c>
      <c r="F86" s="9">
        <v>3</v>
      </c>
      <c r="G86" s="9">
        <f t="shared" si="1"/>
        <v>10.388461380190115</v>
      </c>
      <c r="H86" s="9">
        <f>AVERAGE(G81:G86)</f>
        <v>5.9156649145472899</v>
      </c>
      <c r="I86" s="9">
        <f>STDEV(G81:G86)/SQRT(6)</f>
        <v>1.0759134377974593</v>
      </c>
    </row>
    <row r="87" spans="1:9" x14ac:dyDescent="0.45">
      <c r="A87" s="4" t="s">
        <v>86</v>
      </c>
      <c r="B87">
        <v>85</v>
      </c>
      <c r="C87" s="10">
        <v>7.6005102670671995E-2</v>
      </c>
      <c r="D87">
        <v>2.2499999999999999E-2</v>
      </c>
      <c r="E87">
        <v>1</v>
      </c>
      <c r="F87">
        <v>3</v>
      </c>
      <c r="G87">
        <f t="shared" si="1"/>
        <v>10.134013689422932</v>
      </c>
    </row>
    <row r="88" spans="1:9" x14ac:dyDescent="0.45">
      <c r="A88" s="5" t="s">
        <v>87</v>
      </c>
      <c r="B88">
        <v>86</v>
      </c>
      <c r="C88" s="10">
        <v>5.1602814698983583E-2</v>
      </c>
      <c r="D88">
        <v>2.0799999999999999E-2</v>
      </c>
      <c r="E88">
        <v>1</v>
      </c>
      <c r="F88">
        <v>3</v>
      </c>
      <c r="G88">
        <f t="shared" si="1"/>
        <v>7.4427136585072482</v>
      </c>
    </row>
    <row r="89" spans="1:9" x14ac:dyDescent="0.45">
      <c r="A89" s="5" t="s">
        <v>88</v>
      </c>
      <c r="B89">
        <v>87</v>
      </c>
      <c r="C89" s="10">
        <v>5.2014320398337519E-2</v>
      </c>
      <c r="D89">
        <v>2.0500000000000001E-2</v>
      </c>
      <c r="E89">
        <v>1</v>
      </c>
      <c r="F89">
        <v>3</v>
      </c>
      <c r="G89">
        <f t="shared" si="1"/>
        <v>7.6118517656103686</v>
      </c>
    </row>
    <row r="90" spans="1:9" x14ac:dyDescent="0.45">
      <c r="A90" s="5" t="s">
        <v>89</v>
      </c>
      <c r="B90">
        <v>88</v>
      </c>
      <c r="C90" s="10">
        <v>6.1273198633801089E-2</v>
      </c>
      <c r="D90">
        <v>1.7500000000000002E-2</v>
      </c>
      <c r="E90">
        <v>1</v>
      </c>
      <c r="F90">
        <v>3</v>
      </c>
      <c r="G90">
        <f t="shared" si="1"/>
        <v>10.503976908651614</v>
      </c>
    </row>
    <row r="91" spans="1:9" x14ac:dyDescent="0.45">
      <c r="A91" s="5" t="s">
        <v>90</v>
      </c>
      <c r="B91">
        <v>89</v>
      </c>
      <c r="C91" s="10">
        <v>5.8639562157935893E-2</v>
      </c>
      <c r="D91">
        <v>2.3900000000000001E-2</v>
      </c>
      <c r="E91">
        <v>1</v>
      </c>
      <c r="F91">
        <v>3</v>
      </c>
      <c r="G91">
        <f t="shared" si="1"/>
        <v>7.3606144968120351</v>
      </c>
    </row>
    <row r="92" spans="1:9" x14ac:dyDescent="0.45">
      <c r="A92" s="5" t="s">
        <v>91</v>
      </c>
      <c r="B92">
        <v>90</v>
      </c>
      <c r="C92" s="10">
        <v>3.8763836879140777E-2</v>
      </c>
      <c r="D92">
        <v>2.1600000000000001E-2</v>
      </c>
      <c r="E92">
        <v>1</v>
      </c>
      <c r="F92">
        <v>3</v>
      </c>
      <c r="G92">
        <f t="shared" si="1"/>
        <v>5.3838662332139959</v>
      </c>
      <c r="H92">
        <f>AVERAGE(G87:G92)</f>
        <v>8.0728394587030312</v>
      </c>
      <c r="I92">
        <f>STDEV(G87:G92)/SQRT(6)</f>
        <v>0.78541449971589705</v>
      </c>
    </row>
    <row r="93" spans="1:9" x14ac:dyDescent="0.45">
      <c r="A93" s="5" t="s">
        <v>92</v>
      </c>
      <c r="B93">
        <v>91</v>
      </c>
      <c r="C93" s="10">
        <v>6.2343113452121318E-2</v>
      </c>
      <c r="D93">
        <v>2.0199999999999999E-2</v>
      </c>
      <c r="E93">
        <v>1</v>
      </c>
      <c r="F93">
        <v>3</v>
      </c>
      <c r="G93">
        <f t="shared" si="1"/>
        <v>9.2588782354635626</v>
      </c>
    </row>
    <row r="94" spans="1:9" x14ac:dyDescent="0.45">
      <c r="A94" s="5" t="s">
        <v>93</v>
      </c>
      <c r="B94">
        <v>92</v>
      </c>
      <c r="C94" s="10">
        <v>6.4976749927986507E-2</v>
      </c>
      <c r="D94">
        <v>2.1399999999999999E-2</v>
      </c>
      <c r="E94">
        <v>1</v>
      </c>
      <c r="F94">
        <v>3</v>
      </c>
      <c r="G94">
        <f t="shared" si="1"/>
        <v>9.1088901768205393</v>
      </c>
    </row>
    <row r="95" spans="1:9" x14ac:dyDescent="0.45">
      <c r="A95" s="5" t="s">
        <v>94</v>
      </c>
      <c r="B95">
        <v>93</v>
      </c>
      <c r="C95" s="10">
        <v>3.8969589728817748E-2</v>
      </c>
      <c r="D95">
        <v>1.9400000000000001E-2</v>
      </c>
      <c r="E95">
        <v>1</v>
      </c>
      <c r="F95">
        <v>3</v>
      </c>
      <c r="G95">
        <f t="shared" si="1"/>
        <v>6.0262252157965586</v>
      </c>
    </row>
    <row r="96" spans="1:9" x14ac:dyDescent="0.45">
      <c r="A96" s="5" t="s">
        <v>95</v>
      </c>
      <c r="B96">
        <v>94</v>
      </c>
      <c r="C96" s="10">
        <v>4.3989959260935768E-2</v>
      </c>
      <c r="D96">
        <v>2.23E-2</v>
      </c>
      <c r="E96">
        <v>1</v>
      </c>
      <c r="F96">
        <v>3</v>
      </c>
      <c r="G96">
        <f t="shared" si="1"/>
        <v>5.9179317391393402</v>
      </c>
    </row>
    <row r="97" spans="1:9" x14ac:dyDescent="0.45">
      <c r="A97" s="5" t="s">
        <v>96</v>
      </c>
      <c r="B97">
        <v>95</v>
      </c>
      <c r="C97" s="10">
        <v>3.843463231965763E-2</v>
      </c>
      <c r="D97">
        <v>2.0500000000000001E-2</v>
      </c>
      <c r="E97">
        <v>1</v>
      </c>
      <c r="F97">
        <v>3</v>
      </c>
      <c r="G97">
        <f t="shared" si="1"/>
        <v>5.6245803394620921</v>
      </c>
    </row>
    <row r="98" spans="1:9" ht="14.65" thickBot="1" x14ac:dyDescent="0.5">
      <c r="A98" s="6" t="s">
        <v>97</v>
      </c>
      <c r="B98" s="3">
        <v>96</v>
      </c>
      <c r="C98" s="10">
        <v>4.2755442162873955E-2</v>
      </c>
      <c r="D98" s="9">
        <v>2.18E-2</v>
      </c>
      <c r="E98" s="9">
        <v>1</v>
      </c>
      <c r="F98" s="9">
        <v>3</v>
      </c>
      <c r="G98" s="9">
        <f t="shared" si="1"/>
        <v>5.8837764444321961</v>
      </c>
      <c r="H98" s="9">
        <f>AVERAGE(G93:G98)</f>
        <v>6.9700470251857141</v>
      </c>
      <c r="I98" s="9">
        <f>STDEV(G93:G98)/SQRT(6)</f>
        <v>0.70241034769454003</v>
      </c>
    </row>
    <row r="99" spans="1:9" x14ac:dyDescent="0.45">
      <c r="A99" s="4" t="s">
        <v>98</v>
      </c>
      <c r="B99">
        <v>97</v>
      </c>
      <c r="C99" s="10">
        <v>2.1480597506275463E-2</v>
      </c>
      <c r="D99">
        <v>2.3E-2</v>
      </c>
      <c r="E99">
        <v>1</v>
      </c>
      <c r="F99">
        <v>3</v>
      </c>
      <c r="G99">
        <f t="shared" si="1"/>
        <v>2.8018170660359298</v>
      </c>
    </row>
    <row r="100" spans="1:9" x14ac:dyDescent="0.45">
      <c r="A100" s="5" t="s">
        <v>99</v>
      </c>
      <c r="B100">
        <v>98</v>
      </c>
      <c r="C100" s="10">
        <v>2.4896094810913132E-2</v>
      </c>
      <c r="D100">
        <v>1.8599999999999998E-2</v>
      </c>
      <c r="E100">
        <v>1</v>
      </c>
      <c r="F100">
        <v>3</v>
      </c>
      <c r="G100">
        <f t="shared" si="1"/>
        <v>4.0154991630505057</v>
      </c>
    </row>
    <row r="101" spans="1:9" x14ac:dyDescent="0.45">
      <c r="A101" s="5" t="s">
        <v>100</v>
      </c>
      <c r="B101">
        <v>99</v>
      </c>
      <c r="C101" s="10">
        <v>2.2591662894531087E-2</v>
      </c>
      <c r="D101">
        <v>0.02</v>
      </c>
      <c r="E101">
        <v>1</v>
      </c>
      <c r="F101">
        <v>3</v>
      </c>
      <c r="G101">
        <f t="shared" si="1"/>
        <v>3.3887494341796627</v>
      </c>
    </row>
    <row r="102" spans="1:9" x14ac:dyDescent="0.45">
      <c r="A102" s="5" t="s">
        <v>101</v>
      </c>
      <c r="B102">
        <v>100</v>
      </c>
      <c r="C102" s="10">
        <v>3.4525328175795233E-2</v>
      </c>
      <c r="D102">
        <v>1.83E-2</v>
      </c>
      <c r="E102">
        <v>1</v>
      </c>
      <c r="F102">
        <v>3</v>
      </c>
      <c r="G102">
        <f t="shared" si="1"/>
        <v>5.6598898648844642</v>
      </c>
    </row>
    <row r="103" spans="1:9" x14ac:dyDescent="0.45">
      <c r="A103" s="5" t="s">
        <v>102</v>
      </c>
      <c r="B103">
        <v>101</v>
      </c>
      <c r="C103" s="10">
        <v>3.9216493148430114E-2</v>
      </c>
      <c r="D103">
        <v>2.3099999999999999E-2</v>
      </c>
      <c r="E103">
        <v>1</v>
      </c>
      <c r="F103">
        <v>3</v>
      </c>
      <c r="G103">
        <f t="shared" si="1"/>
        <v>5.0930510582376778</v>
      </c>
    </row>
    <row r="104" spans="1:9" x14ac:dyDescent="0.45">
      <c r="A104" s="5" t="s">
        <v>103</v>
      </c>
      <c r="B104">
        <v>102</v>
      </c>
      <c r="C104" s="10">
        <v>3.6788609522241882E-2</v>
      </c>
      <c r="D104">
        <v>2.29E-2</v>
      </c>
      <c r="E104">
        <v>1</v>
      </c>
      <c r="F104">
        <v>3</v>
      </c>
      <c r="G104">
        <f t="shared" si="1"/>
        <v>4.819468496363565</v>
      </c>
      <c r="H104">
        <f>AVERAGE(G99:G104)</f>
        <v>4.2964125137919682</v>
      </c>
      <c r="I104">
        <f>STDEV(G99:G104)/SQRT(6)</f>
        <v>0.44361661929763541</v>
      </c>
    </row>
    <row r="105" spans="1:9" x14ac:dyDescent="0.45">
      <c r="A105" s="5" t="s">
        <v>104</v>
      </c>
      <c r="B105">
        <v>103</v>
      </c>
      <c r="C105" s="10">
        <v>4.9380683922472329E-2</v>
      </c>
      <c r="D105">
        <v>2.24E-2</v>
      </c>
      <c r="E105">
        <v>1</v>
      </c>
      <c r="F105">
        <v>3</v>
      </c>
      <c r="G105">
        <f t="shared" si="1"/>
        <v>6.6134844539025455</v>
      </c>
    </row>
    <row r="106" spans="1:9" x14ac:dyDescent="0.45">
      <c r="A106" s="5" t="s">
        <v>105</v>
      </c>
      <c r="B106">
        <v>104</v>
      </c>
      <c r="C106" s="10">
        <v>3.8352331179786842E-2</v>
      </c>
      <c r="D106">
        <v>2.1399999999999999E-2</v>
      </c>
      <c r="E106">
        <v>1</v>
      </c>
      <c r="F106">
        <v>3</v>
      </c>
      <c r="G106">
        <f t="shared" si="1"/>
        <v>5.3764950252037629</v>
      </c>
    </row>
    <row r="107" spans="1:9" x14ac:dyDescent="0.45">
      <c r="A107" s="5" t="s">
        <v>106</v>
      </c>
      <c r="B107">
        <v>105</v>
      </c>
      <c r="C107" s="10">
        <v>1.5225710876095635E-2</v>
      </c>
      <c r="D107">
        <v>2.1700000000000001E-2</v>
      </c>
      <c r="E107">
        <v>1</v>
      </c>
      <c r="F107">
        <v>3</v>
      </c>
      <c r="G107">
        <f t="shared" si="1"/>
        <v>2.1049369874786592</v>
      </c>
    </row>
    <row r="108" spans="1:9" x14ac:dyDescent="0.45">
      <c r="A108" s="5" t="s">
        <v>107</v>
      </c>
      <c r="B108">
        <v>106</v>
      </c>
      <c r="C108" s="10">
        <v>1.6912884243446773E-2</v>
      </c>
      <c r="D108">
        <v>2.0500000000000001E-2</v>
      </c>
      <c r="E108">
        <v>1</v>
      </c>
      <c r="F108">
        <v>3</v>
      </c>
      <c r="G108">
        <f t="shared" si="1"/>
        <v>2.4750562307483079</v>
      </c>
    </row>
    <row r="109" spans="1:9" x14ac:dyDescent="0.45">
      <c r="A109" s="5" t="s">
        <v>108</v>
      </c>
      <c r="B109">
        <v>107</v>
      </c>
      <c r="C109" s="10">
        <v>7.6622361219702909E-2</v>
      </c>
      <c r="D109">
        <v>2.24E-2</v>
      </c>
      <c r="E109">
        <v>1</v>
      </c>
      <c r="F109">
        <v>3</v>
      </c>
      <c r="G109">
        <f t="shared" si="1"/>
        <v>10.261923377638784</v>
      </c>
    </row>
    <row r="110" spans="1:9" ht="14.65" thickBot="1" x14ac:dyDescent="0.5">
      <c r="A110" s="6" t="s">
        <v>109</v>
      </c>
      <c r="B110" s="3">
        <v>108</v>
      </c>
      <c r="C110" s="10">
        <v>7.9132545985761915E-2</v>
      </c>
      <c r="D110" s="9">
        <v>2.18E-2</v>
      </c>
      <c r="E110" s="9">
        <v>1</v>
      </c>
      <c r="F110" s="9">
        <v>3</v>
      </c>
      <c r="G110" s="9">
        <f t="shared" si="1"/>
        <v>10.889799906297512</v>
      </c>
      <c r="H110" s="9">
        <f>AVERAGE(G105:G110)</f>
        <v>6.2869493302115957</v>
      </c>
      <c r="I110" s="9">
        <f>STDEV(G105:G110)/SQRT(6)</f>
        <v>1.5268918382181025</v>
      </c>
    </row>
    <row r="111" spans="1:9" x14ac:dyDescent="0.45">
      <c r="A111" s="4" t="s">
        <v>110</v>
      </c>
      <c r="B111">
        <v>109</v>
      </c>
      <c r="C111" s="10">
        <v>5.3536891485947091E-2</v>
      </c>
      <c r="D111">
        <v>2.01E-2</v>
      </c>
      <c r="E111">
        <v>1</v>
      </c>
      <c r="F111">
        <v>3</v>
      </c>
      <c r="G111">
        <f t="shared" si="1"/>
        <v>7.9905808187980742</v>
      </c>
    </row>
    <row r="112" spans="1:9" x14ac:dyDescent="0.45">
      <c r="A112" s="5" t="s">
        <v>111</v>
      </c>
      <c r="B112">
        <v>110</v>
      </c>
      <c r="C112" s="10">
        <v>6.11908974939303E-2</v>
      </c>
      <c r="D112">
        <v>2.1700000000000001E-2</v>
      </c>
      <c r="E112">
        <v>1</v>
      </c>
      <c r="F112">
        <v>3</v>
      </c>
      <c r="G112">
        <f t="shared" si="1"/>
        <v>8.4595710821101804</v>
      </c>
    </row>
    <row r="113" spans="1:9" x14ac:dyDescent="0.45">
      <c r="A113" s="5" t="s">
        <v>112</v>
      </c>
      <c r="B113">
        <v>111</v>
      </c>
      <c r="C113" s="10">
        <v>3.9298794288300895E-2</v>
      </c>
      <c r="D113">
        <v>2.1999999999999999E-2</v>
      </c>
      <c r="E113">
        <v>1</v>
      </c>
      <c r="F113">
        <v>3</v>
      </c>
      <c r="G113">
        <f t="shared" si="1"/>
        <v>5.3589264938592134</v>
      </c>
    </row>
    <row r="114" spans="1:9" x14ac:dyDescent="0.45">
      <c r="A114" s="5" t="s">
        <v>113</v>
      </c>
      <c r="B114">
        <v>112</v>
      </c>
      <c r="C114" s="10">
        <v>4.5512530348545334E-2</v>
      </c>
      <c r="D114">
        <v>2.3199999999999998E-2</v>
      </c>
      <c r="E114">
        <v>1</v>
      </c>
      <c r="F114">
        <v>3</v>
      </c>
      <c r="G114">
        <f t="shared" si="1"/>
        <v>5.885240993346379</v>
      </c>
    </row>
    <row r="115" spans="1:9" x14ac:dyDescent="0.45">
      <c r="A115" s="5" t="s">
        <v>114</v>
      </c>
      <c r="B115">
        <v>113</v>
      </c>
      <c r="C115" s="10">
        <v>2.2550512324595699E-2</v>
      </c>
      <c r="D115">
        <v>2.1700000000000001E-2</v>
      </c>
      <c r="E115">
        <v>1</v>
      </c>
      <c r="F115">
        <v>3</v>
      </c>
      <c r="G115">
        <f t="shared" si="1"/>
        <v>3.117582349022447</v>
      </c>
    </row>
    <row r="116" spans="1:9" x14ac:dyDescent="0.45">
      <c r="A116" s="5" t="s">
        <v>115</v>
      </c>
      <c r="B116">
        <v>114</v>
      </c>
      <c r="C116" s="10">
        <v>1.5801818855191146E-2</v>
      </c>
      <c r="D116">
        <v>2.0400000000000001E-2</v>
      </c>
      <c r="E116">
        <v>1</v>
      </c>
      <c r="F116">
        <v>3</v>
      </c>
      <c r="G116">
        <f t="shared" si="1"/>
        <v>2.3237968904692861</v>
      </c>
      <c r="H116">
        <f>AVERAGE(G111:G116)</f>
        <v>5.5226164379342642</v>
      </c>
      <c r="I116">
        <f>STDEV(G111:G116)/SQRT(6)</f>
        <v>1.0147491841042964</v>
      </c>
    </row>
    <row r="117" spans="1:9" x14ac:dyDescent="0.45">
      <c r="A117" s="5" t="s">
        <v>116</v>
      </c>
      <c r="B117">
        <v>115</v>
      </c>
      <c r="C117" s="10">
        <v>4.7446607135508828E-2</v>
      </c>
      <c r="D117">
        <v>2.1700000000000001E-2</v>
      </c>
      <c r="E117">
        <v>1</v>
      </c>
      <c r="F117">
        <v>3</v>
      </c>
      <c r="G117">
        <f t="shared" si="1"/>
        <v>6.5594387744943088</v>
      </c>
    </row>
    <row r="118" spans="1:9" x14ac:dyDescent="0.45">
      <c r="A118" s="5" t="s">
        <v>117</v>
      </c>
      <c r="B118">
        <v>116</v>
      </c>
      <c r="C118" s="10">
        <v>6.8474548372494976E-2</v>
      </c>
      <c r="D118">
        <v>2.0799999999999999E-2</v>
      </c>
      <c r="E118">
        <v>1</v>
      </c>
      <c r="F118">
        <v>3</v>
      </c>
      <c r="G118">
        <f t="shared" si="1"/>
        <v>9.8761367844944683</v>
      </c>
    </row>
    <row r="119" spans="1:9" x14ac:dyDescent="0.45">
      <c r="A119" s="5" t="s">
        <v>118</v>
      </c>
      <c r="B119">
        <v>117</v>
      </c>
      <c r="C119" s="10">
        <v>0.13682564503518374</v>
      </c>
      <c r="D119">
        <v>2.2499999999999999E-2</v>
      </c>
      <c r="E119">
        <v>1</v>
      </c>
      <c r="F119">
        <v>3</v>
      </c>
      <c r="G119">
        <f t="shared" si="1"/>
        <v>18.243419338024498</v>
      </c>
    </row>
    <row r="120" spans="1:9" x14ac:dyDescent="0.45">
      <c r="A120" s="5" t="s">
        <v>119</v>
      </c>
      <c r="B120">
        <v>118</v>
      </c>
      <c r="C120" s="10">
        <v>0.13040615612526235</v>
      </c>
      <c r="D120">
        <v>2.1000000000000001E-2</v>
      </c>
      <c r="E120">
        <v>1</v>
      </c>
      <c r="F120">
        <v>3</v>
      </c>
      <c r="G120">
        <f t="shared" si="1"/>
        <v>18.629450875037477</v>
      </c>
    </row>
    <row r="121" spans="1:9" x14ac:dyDescent="0.45">
      <c r="A121" s="5" t="s">
        <v>120</v>
      </c>
      <c r="B121">
        <v>119</v>
      </c>
      <c r="C121" s="10">
        <v>3.0163367762643518E-2</v>
      </c>
      <c r="D121">
        <v>2.1899999999999999E-2</v>
      </c>
      <c r="E121">
        <v>1</v>
      </c>
      <c r="F121">
        <v>3</v>
      </c>
      <c r="G121">
        <f t="shared" si="1"/>
        <v>4.1319681866634959</v>
      </c>
    </row>
    <row r="122" spans="1:9" ht="14.65" thickBot="1" x14ac:dyDescent="0.5">
      <c r="A122" s="6" t="s">
        <v>121</v>
      </c>
      <c r="B122" s="3">
        <v>120</v>
      </c>
      <c r="C122" s="10">
        <v>2.8476194395292375E-2</v>
      </c>
      <c r="D122" s="9">
        <v>1.9699999999999999E-2</v>
      </c>
      <c r="E122" s="9">
        <v>1</v>
      </c>
      <c r="F122" s="9">
        <v>3</v>
      </c>
      <c r="G122" s="9">
        <f t="shared" si="1"/>
        <v>4.3364763038516312</v>
      </c>
      <c r="H122" s="9">
        <f>AVERAGE(G117:G122)</f>
        <v>10.296148377094314</v>
      </c>
      <c r="I122" s="9">
        <f>STDEV(G117:G122)/SQRT(6)</f>
        <v>2.7095956849773728</v>
      </c>
    </row>
    <row r="127" spans="1:9" x14ac:dyDescent="0.45">
      <c r="A127" t="s">
        <v>133</v>
      </c>
    </row>
    <row r="128" spans="1:9" ht="14.65" thickBot="1" x14ac:dyDescent="0.5">
      <c r="A128" t="s">
        <v>123</v>
      </c>
      <c r="B128" t="s">
        <v>124</v>
      </c>
      <c r="C128" t="s">
        <v>125</v>
      </c>
      <c r="D128" t="s">
        <v>126</v>
      </c>
      <c r="E128" t="s">
        <v>127</v>
      </c>
      <c r="F128" t="s">
        <v>128</v>
      </c>
      <c r="G128" t="s">
        <v>129</v>
      </c>
      <c r="H128" t="s">
        <v>130</v>
      </c>
      <c r="I128" t="s">
        <v>131</v>
      </c>
    </row>
    <row r="129" spans="1:29" x14ac:dyDescent="0.45">
      <c r="A129" s="4" t="s">
        <v>134</v>
      </c>
      <c r="B129" t="s">
        <v>135</v>
      </c>
      <c r="C129">
        <v>0.1</v>
      </c>
      <c r="D129">
        <v>1.18E-2</v>
      </c>
      <c r="E129">
        <v>1</v>
      </c>
      <c r="F129">
        <v>2</v>
      </c>
      <c r="G129">
        <f>(C129*(E129/D129)*F129)</f>
        <v>16.949152542372882</v>
      </c>
      <c r="M129" t="s">
        <v>133</v>
      </c>
    </row>
    <row r="130" spans="1:29" x14ac:dyDescent="0.45">
      <c r="A130" s="5" t="s">
        <v>136</v>
      </c>
      <c r="B130" t="s">
        <v>137</v>
      </c>
      <c r="C130">
        <v>0</v>
      </c>
      <c r="D130">
        <v>1.2500000000000001E-2</v>
      </c>
      <c r="E130">
        <v>1</v>
      </c>
      <c r="F130">
        <v>2</v>
      </c>
      <c r="G130">
        <f t="shared" ref="G130:G193" si="2">(C130*(E130/D130)*F130)</f>
        <v>0</v>
      </c>
      <c r="N130" t="s">
        <v>374</v>
      </c>
      <c r="O130" t="s">
        <v>375</v>
      </c>
      <c r="P130" t="s">
        <v>376</v>
      </c>
      <c r="Q130" t="s">
        <v>377</v>
      </c>
      <c r="R130" t="s">
        <v>378</v>
      </c>
      <c r="S130" t="s">
        <v>379</v>
      </c>
      <c r="T130" t="s">
        <v>380</v>
      </c>
      <c r="U130" t="s">
        <v>381</v>
      </c>
      <c r="V130" t="s">
        <v>384</v>
      </c>
      <c r="W130" t="s">
        <v>385</v>
      </c>
    </row>
    <row r="131" spans="1:29" x14ac:dyDescent="0.45">
      <c r="A131" s="5" t="s">
        <v>138</v>
      </c>
      <c r="B131" t="s">
        <v>139</v>
      </c>
      <c r="D131">
        <v>1.7000000000000001E-2</v>
      </c>
      <c r="E131">
        <v>1</v>
      </c>
      <c r="F131">
        <v>2</v>
      </c>
      <c r="G131">
        <f t="shared" si="2"/>
        <v>0</v>
      </c>
      <c r="M131" t="s">
        <v>382</v>
      </c>
      <c r="N131">
        <f>H134</f>
        <v>11.961071381646866</v>
      </c>
      <c r="O131">
        <f>H146</f>
        <v>15.482137575731747</v>
      </c>
      <c r="P131">
        <f>H158</f>
        <v>38.47847357784741</v>
      </c>
      <c r="Q131">
        <f>H170</f>
        <v>39.044817746562117</v>
      </c>
      <c r="R131">
        <f>H182</f>
        <v>2.0449897750511252</v>
      </c>
      <c r="S131">
        <f>H194</f>
        <v>35.413151303230684</v>
      </c>
      <c r="T131">
        <f>H206</f>
        <v>37.21943559364869</v>
      </c>
      <c r="U131">
        <f>H218</f>
        <v>105.1057305394059</v>
      </c>
      <c r="V131">
        <f>H230</f>
        <v>57.45423399822463</v>
      </c>
      <c r="W131">
        <f>H242</f>
        <v>26.842440468703519</v>
      </c>
    </row>
    <row r="132" spans="1:29" x14ac:dyDescent="0.45">
      <c r="A132" s="5" t="s">
        <v>140</v>
      </c>
      <c r="B132" t="s">
        <v>141</v>
      </c>
      <c r="D132">
        <v>2.12E-2</v>
      </c>
      <c r="E132">
        <v>1</v>
      </c>
      <c r="F132">
        <v>2</v>
      </c>
      <c r="G132">
        <f t="shared" si="2"/>
        <v>0</v>
      </c>
      <c r="M132" t="s">
        <v>131</v>
      </c>
      <c r="N132">
        <f>I134</f>
        <v>5.648729959343008</v>
      </c>
      <c r="O132">
        <f>I146</f>
        <v>5.460465432663236</v>
      </c>
      <c r="P132">
        <f>I158</f>
        <v>19.292115736695159</v>
      </c>
      <c r="Q132">
        <f>I170</f>
        <v>17.939809571163678</v>
      </c>
      <c r="R132">
        <f>I182</f>
        <v>2.0449897750511252</v>
      </c>
      <c r="S132">
        <f>I194</f>
        <v>5.9246498551252813</v>
      </c>
      <c r="T132">
        <f>I206</f>
        <v>8.0068745241435728</v>
      </c>
      <c r="U132">
        <f>I218</f>
        <v>7.5036697799937562</v>
      </c>
      <c r="V132">
        <f>I230</f>
        <v>6.3180067880614974</v>
      </c>
      <c r="W132">
        <f>I242</f>
        <v>8.1868327472752593</v>
      </c>
    </row>
    <row r="133" spans="1:29" x14ac:dyDescent="0.45">
      <c r="A133" s="5" t="s">
        <v>142</v>
      </c>
      <c r="B133" t="s">
        <v>143</v>
      </c>
      <c r="C133">
        <v>0.2</v>
      </c>
      <c r="D133">
        <v>1.29E-2</v>
      </c>
      <c r="E133">
        <v>1</v>
      </c>
      <c r="F133">
        <v>2</v>
      </c>
      <c r="G133">
        <f t="shared" si="2"/>
        <v>31.007751937984494</v>
      </c>
      <c r="M133" t="s">
        <v>383</v>
      </c>
      <c r="N133">
        <f>H146</f>
        <v>15.482137575731747</v>
      </c>
      <c r="O133">
        <f>H152</f>
        <v>8.0094537815126046</v>
      </c>
      <c r="P133">
        <f>H164</f>
        <v>2.2371364653243853</v>
      </c>
      <c r="Q133">
        <f>H176</f>
        <v>83.596700748044086</v>
      </c>
      <c r="R133">
        <f>H188</f>
        <v>26.443242445642682</v>
      </c>
      <c r="S133">
        <f>H200</f>
        <v>28.44309108070718</v>
      </c>
      <c r="T133">
        <f>H212</f>
        <v>66.168781699459259</v>
      </c>
      <c r="U133">
        <f>H224</f>
        <v>82.266157035091567</v>
      </c>
      <c r="V133">
        <f>H236</f>
        <v>101.03955468272984</v>
      </c>
      <c r="W133">
        <f>H248</f>
        <v>28.931793548502526</v>
      </c>
    </row>
    <row r="134" spans="1:29" x14ac:dyDescent="0.45">
      <c r="A134" s="5" t="s">
        <v>144</v>
      </c>
      <c r="B134" t="s">
        <v>145</v>
      </c>
      <c r="C134">
        <v>0.1</v>
      </c>
      <c r="D134">
        <v>8.3999999999999995E-3</v>
      </c>
      <c r="E134">
        <v>1</v>
      </c>
      <c r="F134">
        <v>2</v>
      </c>
      <c r="G134">
        <f t="shared" si="2"/>
        <v>23.80952380952381</v>
      </c>
      <c r="H134">
        <f>AVERAGE(G129:G134)</f>
        <v>11.961071381646866</v>
      </c>
      <c r="I134">
        <f>STDEV(G129:G134)/SQRT(6)</f>
        <v>5.648729959343008</v>
      </c>
      <c r="M134" t="s">
        <v>131</v>
      </c>
      <c r="N134">
        <f>I140</f>
        <v>4.2482301493603343</v>
      </c>
      <c r="O134">
        <f>I152</f>
        <v>5.3979018401547165</v>
      </c>
      <c r="P134">
        <f>I164</f>
        <v>2.2371364653243853</v>
      </c>
      <c r="Q134">
        <f>I176</f>
        <v>19.219780201913185</v>
      </c>
      <c r="R134">
        <f>I188</f>
        <v>10.024069695418387</v>
      </c>
      <c r="S134">
        <f>I200</f>
        <v>5.442734585855832</v>
      </c>
      <c r="T134">
        <f>I212</f>
        <v>13.909035847016114</v>
      </c>
      <c r="U134">
        <f>I224</f>
        <v>15.29782219831826</v>
      </c>
      <c r="V134">
        <f>I236</f>
        <v>8.2150262962201754</v>
      </c>
      <c r="W134">
        <f>I248</f>
        <v>4.8148966808620548</v>
      </c>
    </row>
    <row r="135" spans="1:29" x14ac:dyDescent="0.45">
      <c r="A135" s="5" t="s">
        <v>146</v>
      </c>
      <c r="B135" t="s">
        <v>147</v>
      </c>
      <c r="D135">
        <v>1.0999999999999999E-2</v>
      </c>
      <c r="E135">
        <v>1</v>
      </c>
      <c r="F135">
        <v>2</v>
      </c>
      <c r="G135">
        <f t="shared" si="2"/>
        <v>0</v>
      </c>
    </row>
    <row r="136" spans="1:29" x14ac:dyDescent="0.45">
      <c r="A136" s="5" t="s">
        <v>148</v>
      </c>
      <c r="B136" t="s">
        <v>149</v>
      </c>
      <c r="D136">
        <v>6.4000000000000003E-3</v>
      </c>
      <c r="E136">
        <v>1</v>
      </c>
      <c r="F136">
        <v>2</v>
      </c>
      <c r="G136">
        <f t="shared" si="2"/>
        <v>0</v>
      </c>
    </row>
    <row r="137" spans="1:29" x14ac:dyDescent="0.45">
      <c r="A137" s="5" t="s">
        <v>150</v>
      </c>
      <c r="B137" t="s">
        <v>151</v>
      </c>
      <c r="D137">
        <v>1.46E-2</v>
      </c>
      <c r="E137">
        <v>1</v>
      </c>
      <c r="F137">
        <v>2</v>
      </c>
      <c r="G137">
        <f t="shared" si="2"/>
        <v>0</v>
      </c>
    </row>
    <row r="138" spans="1:29" x14ac:dyDescent="0.45">
      <c r="A138" s="5" t="s">
        <v>152</v>
      </c>
      <c r="B138" t="s">
        <v>153</v>
      </c>
      <c r="D138">
        <v>1.29E-2</v>
      </c>
      <c r="E138">
        <v>1</v>
      </c>
      <c r="F138">
        <v>2</v>
      </c>
      <c r="G138">
        <f t="shared" si="2"/>
        <v>0</v>
      </c>
      <c r="V138" t="s">
        <v>740</v>
      </c>
      <c r="W138" t="s">
        <v>726</v>
      </c>
      <c r="X138" t="s">
        <v>727</v>
      </c>
      <c r="Y138" t="s">
        <v>741</v>
      </c>
      <c r="Z138" t="s">
        <v>742</v>
      </c>
      <c r="AA138" t="s">
        <v>723</v>
      </c>
      <c r="AB138" t="s">
        <v>728</v>
      </c>
      <c r="AC138" t="s">
        <v>743</v>
      </c>
    </row>
    <row r="139" spans="1:29" x14ac:dyDescent="0.45">
      <c r="A139" s="5" t="s">
        <v>154</v>
      </c>
      <c r="B139" t="s">
        <v>155</v>
      </c>
      <c r="C139">
        <v>0.1</v>
      </c>
      <c r="D139">
        <v>9.1999999999999998E-3</v>
      </c>
      <c r="E139">
        <v>1</v>
      </c>
      <c r="F139">
        <v>2</v>
      </c>
      <c r="G139">
        <f t="shared" si="2"/>
        <v>21.739130434782609</v>
      </c>
      <c r="V139" t="s">
        <v>729</v>
      </c>
      <c r="W139">
        <v>6</v>
      </c>
      <c r="X139">
        <v>6</v>
      </c>
      <c r="Y139">
        <v>8.4745762711864394</v>
      </c>
      <c r="Z139">
        <v>0</v>
      </c>
      <c r="AA139">
        <v>0.53199483883629795</v>
      </c>
      <c r="AB139" t="s">
        <v>744</v>
      </c>
      <c r="AC139" t="s">
        <v>724</v>
      </c>
    </row>
    <row r="140" spans="1:29" ht="14.65" thickBot="1" x14ac:dyDescent="0.5">
      <c r="A140" s="6" t="s">
        <v>156</v>
      </c>
      <c r="B140" s="3" t="s">
        <v>157</v>
      </c>
      <c r="C140">
        <v>0.1</v>
      </c>
      <c r="D140" s="9">
        <v>1.09E-2</v>
      </c>
      <c r="E140" s="9">
        <v>1</v>
      </c>
      <c r="F140" s="9">
        <v>2</v>
      </c>
      <c r="G140" s="9">
        <f t="shared" si="2"/>
        <v>18.348623853211009</v>
      </c>
      <c r="H140" s="9">
        <f>AVERAGE(G135:G140)</f>
        <v>6.6812923813322698</v>
      </c>
      <c r="I140" s="9">
        <f>STDEV(G135:G140)/SQRT(6)</f>
        <v>4.2482301493603343</v>
      </c>
      <c r="V140" t="s">
        <v>730</v>
      </c>
      <c r="W140">
        <v>6</v>
      </c>
      <c r="X140">
        <v>6</v>
      </c>
      <c r="Y140">
        <v>17.259259259259299</v>
      </c>
      <c r="Z140">
        <v>0</v>
      </c>
      <c r="AA140">
        <v>0.34716350530032603</v>
      </c>
      <c r="AB140" t="s">
        <v>744</v>
      </c>
      <c r="AC140" t="s">
        <v>724</v>
      </c>
    </row>
    <row r="141" spans="1:29" x14ac:dyDescent="0.45">
      <c r="A141" s="5" t="s">
        <v>158</v>
      </c>
      <c r="B141" t="s">
        <v>159</v>
      </c>
      <c r="D141">
        <v>1.34E-2</v>
      </c>
      <c r="E141">
        <v>1</v>
      </c>
      <c r="F141">
        <v>2</v>
      </c>
      <c r="G141">
        <f t="shared" si="2"/>
        <v>0</v>
      </c>
      <c r="V141" t="s">
        <v>731</v>
      </c>
      <c r="W141">
        <v>6</v>
      </c>
      <c r="X141">
        <v>6</v>
      </c>
      <c r="Y141">
        <v>17.143983184445599</v>
      </c>
      <c r="Z141">
        <v>0</v>
      </c>
      <c r="AA141">
        <v>8.9823359561207405E-2</v>
      </c>
      <c r="AB141" t="s">
        <v>744</v>
      </c>
      <c r="AC141" t="s">
        <v>724</v>
      </c>
    </row>
    <row r="142" spans="1:29" x14ac:dyDescent="0.45">
      <c r="A142" s="5" t="s">
        <v>160</v>
      </c>
      <c r="B142" t="s">
        <v>161</v>
      </c>
      <c r="D142">
        <v>1.2999999999999999E-2</v>
      </c>
      <c r="E142">
        <v>1</v>
      </c>
      <c r="F142">
        <v>2</v>
      </c>
      <c r="G142">
        <f t="shared" si="2"/>
        <v>0</v>
      </c>
      <c r="V142" t="s">
        <v>732</v>
      </c>
      <c r="W142">
        <v>6</v>
      </c>
      <c r="X142">
        <v>6</v>
      </c>
      <c r="Y142">
        <v>23.0979165279904</v>
      </c>
      <c r="Z142">
        <v>105.61171139770001</v>
      </c>
      <c r="AA142">
        <v>6.5080958657791593E-2</v>
      </c>
      <c r="AB142" t="s">
        <v>744</v>
      </c>
      <c r="AC142" t="s">
        <v>724</v>
      </c>
    </row>
    <row r="143" spans="1:29" x14ac:dyDescent="0.45">
      <c r="A143" s="5" t="s">
        <v>162</v>
      </c>
      <c r="B143" t="s">
        <v>163</v>
      </c>
      <c r="C143">
        <v>0.2</v>
      </c>
      <c r="D143">
        <v>1.21E-2</v>
      </c>
      <c r="E143">
        <v>1</v>
      </c>
      <c r="F143">
        <v>2</v>
      </c>
      <c r="G143">
        <f t="shared" si="2"/>
        <v>33.057851239669425</v>
      </c>
      <c r="V143" t="s">
        <v>733</v>
      </c>
      <c r="W143">
        <v>6</v>
      </c>
      <c r="X143">
        <v>6</v>
      </c>
      <c r="Y143">
        <v>0</v>
      </c>
      <c r="Z143">
        <v>24.573173029811901</v>
      </c>
      <c r="AA143">
        <v>6.0807679026167398E-2</v>
      </c>
      <c r="AB143" t="s">
        <v>744</v>
      </c>
      <c r="AC143" t="s">
        <v>724</v>
      </c>
    </row>
    <row r="144" spans="1:29" x14ac:dyDescent="0.45">
      <c r="A144" s="5" t="s">
        <v>164</v>
      </c>
      <c r="B144" t="s">
        <v>165</v>
      </c>
      <c r="C144">
        <v>0.1</v>
      </c>
      <c r="D144">
        <v>1.0800000000000001E-2</v>
      </c>
      <c r="E144">
        <v>1</v>
      </c>
      <c r="F144">
        <v>2</v>
      </c>
      <c r="G144">
        <f t="shared" si="2"/>
        <v>18.518518518518515</v>
      </c>
      <c r="V144" t="s">
        <v>734</v>
      </c>
      <c r="W144">
        <v>6</v>
      </c>
      <c r="X144">
        <v>6</v>
      </c>
      <c r="Y144">
        <v>41.063253293469103</v>
      </c>
      <c r="Z144">
        <v>31.688437348814698</v>
      </c>
      <c r="AA144">
        <v>0.378477593244679</v>
      </c>
      <c r="AB144" t="s">
        <v>744</v>
      </c>
      <c r="AC144" t="s">
        <v>724</v>
      </c>
    </row>
    <row r="145" spans="1:29" x14ac:dyDescent="0.45">
      <c r="A145" s="5" t="s">
        <v>166</v>
      </c>
      <c r="B145" t="s">
        <v>167</v>
      </c>
      <c r="C145">
        <v>0.2</v>
      </c>
      <c r="D145">
        <v>1.5800000000000002E-2</v>
      </c>
      <c r="E145">
        <v>1</v>
      </c>
      <c r="F145">
        <v>2</v>
      </c>
      <c r="G145">
        <f t="shared" si="2"/>
        <v>25.316455696202532</v>
      </c>
      <c r="V145" t="s">
        <v>735</v>
      </c>
      <c r="W145">
        <v>6</v>
      </c>
      <c r="X145">
        <v>6</v>
      </c>
      <c r="Y145">
        <v>40.357529794149499</v>
      </c>
      <c r="Z145">
        <v>50.267885282067397</v>
      </c>
      <c r="AA145">
        <v>0.29795306160816798</v>
      </c>
      <c r="AB145" t="s">
        <v>744</v>
      </c>
      <c r="AC145" t="s">
        <v>724</v>
      </c>
    </row>
    <row r="146" spans="1:29" x14ac:dyDescent="0.45">
      <c r="A146" s="5" t="s">
        <v>168</v>
      </c>
      <c r="B146" t="s">
        <v>169</v>
      </c>
      <c r="C146">
        <v>0.1</v>
      </c>
      <c r="D146">
        <v>1.2500000000000001E-2</v>
      </c>
      <c r="E146">
        <v>1</v>
      </c>
      <c r="F146">
        <v>2</v>
      </c>
      <c r="G146">
        <f t="shared" si="2"/>
        <v>16</v>
      </c>
      <c r="H146">
        <f>AVERAGE(G141:G146)</f>
        <v>15.482137575731747</v>
      </c>
      <c r="I146">
        <f>STDEV(G141:G146)/SQRT(6)</f>
        <v>5.460465432663236</v>
      </c>
      <c r="V146" t="s">
        <v>736</v>
      </c>
      <c r="W146">
        <v>6</v>
      </c>
      <c r="X146">
        <v>6</v>
      </c>
      <c r="Y146">
        <v>101.351351351351</v>
      </c>
      <c r="Z146">
        <v>91.507177033492795</v>
      </c>
      <c r="AA146">
        <v>0.378477593244679</v>
      </c>
      <c r="AB146" t="s">
        <v>744</v>
      </c>
      <c r="AC146" t="s">
        <v>724</v>
      </c>
    </row>
    <row r="147" spans="1:29" x14ac:dyDescent="0.45">
      <c r="A147" s="5" t="s">
        <v>170</v>
      </c>
      <c r="B147" t="s">
        <v>171</v>
      </c>
      <c r="D147">
        <v>1.2200000000000001E-2</v>
      </c>
      <c r="E147">
        <v>1</v>
      </c>
      <c r="F147">
        <v>2</v>
      </c>
      <c r="G147">
        <f t="shared" si="2"/>
        <v>0</v>
      </c>
      <c r="V147" t="s">
        <v>737</v>
      </c>
      <c r="W147">
        <v>6</v>
      </c>
      <c r="X147">
        <v>6</v>
      </c>
      <c r="Y147">
        <v>55.5555555555556</v>
      </c>
      <c r="Z147">
        <v>99.145820622330703</v>
      </c>
      <c r="AA147">
        <v>4.9981247650824597E-3</v>
      </c>
      <c r="AB147" t="s">
        <v>744</v>
      </c>
      <c r="AC147" t="s">
        <v>739</v>
      </c>
    </row>
    <row r="148" spans="1:29" x14ac:dyDescent="0.45">
      <c r="A148" s="5" t="s">
        <v>172</v>
      </c>
      <c r="B148" t="s">
        <v>173</v>
      </c>
      <c r="D148">
        <v>1.26E-2</v>
      </c>
      <c r="E148">
        <v>1</v>
      </c>
      <c r="F148">
        <v>2</v>
      </c>
      <c r="G148">
        <f t="shared" si="2"/>
        <v>0</v>
      </c>
      <c r="V148" t="s">
        <v>738</v>
      </c>
      <c r="W148">
        <v>6</v>
      </c>
      <c r="X148">
        <v>6</v>
      </c>
      <c r="Y148">
        <v>24.8447204968944</v>
      </c>
      <c r="Z148">
        <v>34.601214776461198</v>
      </c>
      <c r="AA148">
        <v>0.80985487860490701</v>
      </c>
      <c r="AB148" t="s">
        <v>744</v>
      </c>
      <c r="AC148" t="s">
        <v>724</v>
      </c>
    </row>
    <row r="149" spans="1:29" x14ac:dyDescent="0.45">
      <c r="A149" s="5" t="s">
        <v>174</v>
      </c>
      <c r="B149" t="s">
        <v>175</v>
      </c>
      <c r="D149">
        <v>1.17E-2</v>
      </c>
      <c r="E149">
        <v>1</v>
      </c>
      <c r="F149">
        <v>2</v>
      </c>
      <c r="G149">
        <f t="shared" si="2"/>
        <v>0</v>
      </c>
    </row>
    <row r="150" spans="1:29" x14ac:dyDescent="0.45">
      <c r="A150" s="5" t="s">
        <v>176</v>
      </c>
      <c r="B150" t="s">
        <v>177</v>
      </c>
      <c r="D150">
        <v>1.43E-2</v>
      </c>
      <c r="E150">
        <v>1</v>
      </c>
      <c r="F150">
        <v>2</v>
      </c>
      <c r="G150">
        <f t="shared" si="2"/>
        <v>0</v>
      </c>
    </row>
    <row r="151" spans="1:29" x14ac:dyDescent="0.45">
      <c r="A151" s="5" t="s">
        <v>178</v>
      </c>
      <c r="B151" t="s">
        <v>179</v>
      </c>
      <c r="C151">
        <v>0.1</v>
      </c>
      <c r="D151">
        <v>1.1900000000000001E-2</v>
      </c>
      <c r="E151">
        <v>1</v>
      </c>
      <c r="F151">
        <v>2</v>
      </c>
      <c r="G151">
        <f t="shared" si="2"/>
        <v>16.806722689075631</v>
      </c>
    </row>
    <row r="152" spans="1:29" ht="14.65" thickBot="1" x14ac:dyDescent="0.5">
      <c r="A152" s="6" t="s">
        <v>180</v>
      </c>
      <c r="B152" s="3" t="s">
        <v>181</v>
      </c>
      <c r="C152">
        <v>0.2</v>
      </c>
      <c r="D152" s="9">
        <v>1.2800000000000001E-2</v>
      </c>
      <c r="E152" s="9">
        <v>1</v>
      </c>
      <c r="F152" s="9">
        <v>2</v>
      </c>
      <c r="G152" s="9">
        <f t="shared" si="2"/>
        <v>31.25</v>
      </c>
      <c r="H152" s="9">
        <f>AVERAGE(G147:G152)</f>
        <v>8.0094537815126046</v>
      </c>
      <c r="I152" s="9">
        <f>STDEV(G147:G152)/SQRT(6)</f>
        <v>5.3979018401547165</v>
      </c>
    </row>
    <row r="153" spans="1:29" x14ac:dyDescent="0.45">
      <c r="A153" s="4" t="s">
        <v>182</v>
      </c>
      <c r="B153" t="s">
        <v>183</v>
      </c>
      <c r="C153">
        <v>0</v>
      </c>
      <c r="D153">
        <v>1.4999999999999999E-2</v>
      </c>
      <c r="E153">
        <v>1</v>
      </c>
      <c r="F153">
        <v>2</v>
      </c>
      <c r="G153">
        <f t="shared" si="2"/>
        <v>0</v>
      </c>
    </row>
    <row r="154" spans="1:29" x14ac:dyDescent="0.45">
      <c r="A154" s="5" t="s">
        <v>184</v>
      </c>
      <c r="B154" t="s">
        <v>185</v>
      </c>
      <c r="C154">
        <v>0.1</v>
      </c>
      <c r="D154">
        <v>1.7299999999999999E-2</v>
      </c>
      <c r="E154">
        <v>1</v>
      </c>
      <c r="F154">
        <v>2</v>
      </c>
      <c r="G154">
        <f t="shared" si="2"/>
        <v>11.560693641618499</v>
      </c>
    </row>
    <row r="155" spans="1:29" x14ac:dyDescent="0.45">
      <c r="A155" s="5" t="s">
        <v>186</v>
      </c>
      <c r="B155" t="s">
        <v>187</v>
      </c>
      <c r="C155">
        <v>0.1</v>
      </c>
      <c r="D155">
        <v>8.8000000000000005E-3</v>
      </c>
      <c r="E155">
        <v>1</v>
      </c>
      <c r="F155">
        <v>2</v>
      </c>
      <c r="G155">
        <f t="shared" si="2"/>
        <v>22.727272727272727</v>
      </c>
    </row>
    <row r="156" spans="1:29" x14ac:dyDescent="0.45">
      <c r="A156" s="5" t="s">
        <v>188</v>
      </c>
      <c r="B156" t="s">
        <v>189</v>
      </c>
      <c r="C156">
        <v>0</v>
      </c>
      <c r="D156">
        <v>7.4999999999999997E-3</v>
      </c>
      <c r="E156">
        <v>1</v>
      </c>
      <c r="F156">
        <v>2</v>
      </c>
      <c r="G156">
        <f t="shared" si="2"/>
        <v>0</v>
      </c>
    </row>
    <row r="157" spans="1:29" x14ac:dyDescent="0.45">
      <c r="A157" s="5" t="s">
        <v>190</v>
      </c>
      <c r="B157" t="s">
        <v>191</v>
      </c>
      <c r="C157">
        <v>0.7</v>
      </c>
      <c r="D157">
        <v>1.34E-2</v>
      </c>
      <c r="E157">
        <v>1</v>
      </c>
      <c r="F157">
        <v>2</v>
      </c>
      <c r="G157">
        <f t="shared" si="2"/>
        <v>104.4776119402985</v>
      </c>
    </row>
    <row r="158" spans="1:29" x14ac:dyDescent="0.45">
      <c r="A158" s="5" t="s">
        <v>192</v>
      </c>
      <c r="B158" t="s">
        <v>193</v>
      </c>
      <c r="C158">
        <v>0.7</v>
      </c>
      <c r="D158">
        <v>1.52E-2</v>
      </c>
      <c r="E158">
        <v>1</v>
      </c>
      <c r="F158">
        <v>2</v>
      </c>
      <c r="G158">
        <f t="shared" si="2"/>
        <v>92.105263157894726</v>
      </c>
      <c r="H158">
        <f>AVERAGE(G153:G158)</f>
        <v>38.47847357784741</v>
      </c>
      <c r="I158">
        <f>STDEV(G153:G158)/SQRT(6)</f>
        <v>19.292115736695159</v>
      </c>
    </row>
    <row r="159" spans="1:29" x14ac:dyDescent="0.45">
      <c r="A159" s="5" t="s">
        <v>194</v>
      </c>
      <c r="B159" t="s">
        <v>195</v>
      </c>
      <c r="D159">
        <v>1.2E-2</v>
      </c>
      <c r="E159">
        <v>1</v>
      </c>
      <c r="F159">
        <v>2</v>
      </c>
      <c r="G159">
        <f t="shared" si="2"/>
        <v>0</v>
      </c>
    </row>
    <row r="160" spans="1:29" x14ac:dyDescent="0.45">
      <c r="A160" s="5" t="s">
        <v>196</v>
      </c>
      <c r="B160" t="s">
        <v>197</v>
      </c>
      <c r="D160">
        <v>1.21E-2</v>
      </c>
      <c r="E160">
        <v>1</v>
      </c>
      <c r="F160">
        <v>2</v>
      </c>
      <c r="G160">
        <f t="shared" si="2"/>
        <v>0</v>
      </c>
    </row>
    <row r="161" spans="1:9" x14ac:dyDescent="0.45">
      <c r="A161" s="5" t="s">
        <v>198</v>
      </c>
      <c r="B161" t="s">
        <v>199</v>
      </c>
      <c r="D161">
        <v>1.24E-2</v>
      </c>
      <c r="E161">
        <v>1</v>
      </c>
      <c r="F161">
        <v>2</v>
      </c>
      <c r="G161">
        <f t="shared" si="2"/>
        <v>0</v>
      </c>
    </row>
    <row r="162" spans="1:9" x14ac:dyDescent="0.45">
      <c r="A162" s="5" t="s">
        <v>200</v>
      </c>
      <c r="B162" t="s">
        <v>201</v>
      </c>
      <c r="D162">
        <v>1.44E-2</v>
      </c>
      <c r="E162">
        <v>1</v>
      </c>
      <c r="F162">
        <v>2</v>
      </c>
      <c r="G162">
        <f t="shared" si="2"/>
        <v>0</v>
      </c>
    </row>
    <row r="163" spans="1:9" x14ac:dyDescent="0.45">
      <c r="A163" s="5" t="s">
        <v>202</v>
      </c>
      <c r="B163" t="s">
        <v>203</v>
      </c>
      <c r="C163">
        <v>0</v>
      </c>
      <c r="D163">
        <v>1.35E-2</v>
      </c>
      <c r="E163">
        <v>1</v>
      </c>
      <c r="F163">
        <v>2</v>
      </c>
      <c r="G163">
        <f t="shared" si="2"/>
        <v>0</v>
      </c>
    </row>
    <row r="164" spans="1:9" ht="14.65" thickBot="1" x14ac:dyDescent="0.5">
      <c r="A164" s="6" t="s">
        <v>204</v>
      </c>
      <c r="B164" s="3" t="s">
        <v>205</v>
      </c>
      <c r="C164">
        <v>0.1</v>
      </c>
      <c r="D164" s="9">
        <v>1.49E-2</v>
      </c>
      <c r="E164" s="9">
        <v>1</v>
      </c>
      <c r="F164" s="9">
        <v>2</v>
      </c>
      <c r="G164" s="9">
        <f t="shared" si="2"/>
        <v>13.422818791946311</v>
      </c>
      <c r="H164" s="9">
        <f>AVERAGE(G159:G164)</f>
        <v>2.2371364653243853</v>
      </c>
      <c r="I164" s="9">
        <f>STDEV(G159:G164)/SQRT(6)</f>
        <v>2.2371364653243853</v>
      </c>
    </row>
    <row r="165" spans="1:9" x14ac:dyDescent="0.45">
      <c r="A165" s="4" t="s">
        <v>206</v>
      </c>
      <c r="B165" t="s">
        <v>207</v>
      </c>
      <c r="C165">
        <v>0.2</v>
      </c>
      <c r="D165">
        <v>1.66E-2</v>
      </c>
      <c r="E165">
        <v>1</v>
      </c>
      <c r="F165">
        <v>2</v>
      </c>
      <c r="G165">
        <f t="shared" si="2"/>
        <v>24.096385542168676</v>
      </c>
    </row>
    <row r="166" spans="1:9" x14ac:dyDescent="0.45">
      <c r="A166" s="5" t="s">
        <v>208</v>
      </c>
      <c r="B166" t="s">
        <v>209</v>
      </c>
      <c r="C166">
        <v>0.2</v>
      </c>
      <c r="D166">
        <v>1.8100000000000002E-2</v>
      </c>
      <c r="E166">
        <v>1</v>
      </c>
      <c r="F166">
        <v>2</v>
      </c>
      <c r="G166">
        <f t="shared" si="2"/>
        <v>22.099447513812152</v>
      </c>
    </row>
    <row r="167" spans="1:9" x14ac:dyDescent="0.45">
      <c r="A167" s="5" t="s">
        <v>210</v>
      </c>
      <c r="B167" t="s">
        <v>211</v>
      </c>
      <c r="C167">
        <v>0.7</v>
      </c>
      <c r="D167">
        <v>1.5699999999999999E-2</v>
      </c>
      <c r="E167">
        <v>1</v>
      </c>
      <c r="F167">
        <v>2</v>
      </c>
      <c r="G167">
        <f t="shared" si="2"/>
        <v>89.171974522292999</v>
      </c>
    </row>
    <row r="168" spans="1:9" x14ac:dyDescent="0.45">
      <c r="A168" s="5" t="s">
        <v>212</v>
      </c>
      <c r="B168" t="s">
        <v>213</v>
      </c>
      <c r="C168">
        <v>0.9</v>
      </c>
      <c r="D168">
        <v>1.8200000000000001E-2</v>
      </c>
      <c r="E168">
        <v>1</v>
      </c>
      <c r="F168">
        <v>2</v>
      </c>
      <c r="G168">
        <f t="shared" si="2"/>
        <v>98.901098901098891</v>
      </c>
    </row>
    <row r="169" spans="1:9" x14ac:dyDescent="0.45">
      <c r="A169" s="5" t="s">
        <v>214</v>
      </c>
      <c r="B169" t="s">
        <v>215</v>
      </c>
      <c r="D169">
        <v>1.43E-2</v>
      </c>
      <c r="E169">
        <v>1</v>
      </c>
      <c r="F169">
        <v>2</v>
      </c>
      <c r="G169">
        <f t="shared" si="2"/>
        <v>0</v>
      </c>
    </row>
    <row r="170" spans="1:9" x14ac:dyDescent="0.45">
      <c r="A170" s="5" t="s">
        <v>216</v>
      </c>
      <c r="B170" t="s">
        <v>217</v>
      </c>
      <c r="D170">
        <v>1.61E-2</v>
      </c>
      <c r="E170">
        <v>1</v>
      </c>
      <c r="F170">
        <v>2</v>
      </c>
      <c r="G170">
        <f t="shared" si="2"/>
        <v>0</v>
      </c>
      <c r="H170">
        <f>AVERAGE(G165:G170)</f>
        <v>39.044817746562117</v>
      </c>
      <c r="I170">
        <f>STDEV(G165:G170)/SQRT(6)</f>
        <v>17.939809571163678</v>
      </c>
    </row>
    <row r="171" spans="1:9" x14ac:dyDescent="0.45">
      <c r="A171" s="5" t="s">
        <v>218</v>
      </c>
      <c r="B171" t="s">
        <v>219</v>
      </c>
      <c r="C171">
        <v>0.2</v>
      </c>
      <c r="D171">
        <v>1.32E-2</v>
      </c>
      <c r="E171">
        <v>1</v>
      </c>
      <c r="F171">
        <v>2</v>
      </c>
      <c r="G171">
        <f t="shared" si="2"/>
        <v>30.303030303030308</v>
      </c>
    </row>
    <row r="172" spans="1:9" x14ac:dyDescent="0.45">
      <c r="A172" s="5" t="s">
        <v>220</v>
      </c>
      <c r="B172" t="s">
        <v>221</v>
      </c>
      <c r="C172">
        <v>0.1</v>
      </c>
      <c r="D172">
        <v>1.15E-2</v>
      </c>
      <c r="E172">
        <v>1</v>
      </c>
      <c r="F172">
        <v>2</v>
      </c>
      <c r="G172">
        <f t="shared" si="2"/>
        <v>17.39130434782609</v>
      </c>
    </row>
    <row r="173" spans="1:9" x14ac:dyDescent="0.45">
      <c r="A173" s="5" t="s">
        <v>222</v>
      </c>
      <c r="B173" t="s">
        <v>223</v>
      </c>
      <c r="C173">
        <v>0.8</v>
      </c>
      <c r="D173">
        <v>1.37E-2</v>
      </c>
      <c r="E173">
        <v>1</v>
      </c>
      <c r="F173">
        <v>2</v>
      </c>
      <c r="G173">
        <f t="shared" si="2"/>
        <v>116.78832116788323</v>
      </c>
    </row>
    <row r="174" spans="1:9" x14ac:dyDescent="0.45">
      <c r="A174" s="5" t="s">
        <v>224</v>
      </c>
      <c r="B174" t="s">
        <v>225</v>
      </c>
      <c r="C174">
        <v>0.8</v>
      </c>
      <c r="D174">
        <v>1.5100000000000001E-2</v>
      </c>
      <c r="E174">
        <v>1</v>
      </c>
      <c r="F174">
        <v>2</v>
      </c>
      <c r="G174">
        <f t="shared" si="2"/>
        <v>105.96026490066225</v>
      </c>
    </row>
    <row r="175" spans="1:9" x14ac:dyDescent="0.45">
      <c r="A175" s="5" t="s">
        <v>226</v>
      </c>
      <c r="B175" t="s">
        <v>227</v>
      </c>
      <c r="C175">
        <v>0.8</v>
      </c>
      <c r="D175">
        <v>1.52E-2</v>
      </c>
      <c r="E175">
        <v>1</v>
      </c>
      <c r="F175">
        <v>2</v>
      </c>
      <c r="G175">
        <f t="shared" si="2"/>
        <v>105.26315789473684</v>
      </c>
    </row>
    <row r="176" spans="1:9" ht="14.65" thickBot="1" x14ac:dyDescent="0.5">
      <c r="A176" s="6" t="s">
        <v>228</v>
      </c>
      <c r="B176" s="3" t="s">
        <v>229</v>
      </c>
      <c r="C176">
        <v>0.9</v>
      </c>
      <c r="D176" s="9">
        <v>1.43E-2</v>
      </c>
      <c r="E176" s="9">
        <v>1</v>
      </c>
      <c r="F176" s="9">
        <v>2</v>
      </c>
      <c r="G176" s="9">
        <f t="shared" si="2"/>
        <v>125.87412587412588</v>
      </c>
      <c r="H176" s="9">
        <f>AVERAGE(G171:G176)</f>
        <v>83.596700748044086</v>
      </c>
      <c r="I176" s="9">
        <f>STDEV(G171:G176)/SQRT(6)</f>
        <v>19.219780201913185</v>
      </c>
    </row>
    <row r="177" spans="1:9" x14ac:dyDescent="0.45">
      <c r="A177" s="4" t="s">
        <v>230</v>
      </c>
      <c r="B177" t="s">
        <v>231</v>
      </c>
      <c r="D177">
        <v>1.38E-2</v>
      </c>
      <c r="E177">
        <v>1</v>
      </c>
      <c r="F177">
        <v>2</v>
      </c>
      <c r="G177">
        <f t="shared" si="2"/>
        <v>0</v>
      </c>
    </row>
    <row r="178" spans="1:9" x14ac:dyDescent="0.45">
      <c r="A178" s="5" t="s">
        <v>232</v>
      </c>
      <c r="B178" t="s">
        <v>233</v>
      </c>
      <c r="D178">
        <v>1.4500000000000001E-2</v>
      </c>
      <c r="E178">
        <v>1</v>
      </c>
      <c r="F178">
        <v>2</v>
      </c>
      <c r="G178">
        <f t="shared" si="2"/>
        <v>0</v>
      </c>
    </row>
    <row r="179" spans="1:9" x14ac:dyDescent="0.45">
      <c r="A179" s="5" t="s">
        <v>234</v>
      </c>
      <c r="B179" t="s">
        <v>235</v>
      </c>
      <c r="C179">
        <v>0.1</v>
      </c>
      <c r="D179">
        <v>1.6299999999999999E-2</v>
      </c>
      <c r="E179">
        <v>1</v>
      </c>
      <c r="F179">
        <v>2</v>
      </c>
      <c r="G179">
        <f t="shared" si="2"/>
        <v>12.26993865030675</v>
      </c>
    </row>
    <row r="180" spans="1:9" x14ac:dyDescent="0.45">
      <c r="A180" s="5" t="s">
        <v>236</v>
      </c>
      <c r="B180" t="s">
        <v>237</v>
      </c>
      <c r="C180">
        <v>0</v>
      </c>
      <c r="D180">
        <v>1.2500000000000001E-2</v>
      </c>
      <c r="E180">
        <v>1</v>
      </c>
      <c r="F180">
        <v>2</v>
      </c>
      <c r="G180">
        <f t="shared" si="2"/>
        <v>0</v>
      </c>
    </row>
    <row r="181" spans="1:9" x14ac:dyDescent="0.45">
      <c r="A181" s="5" t="s">
        <v>238</v>
      </c>
      <c r="B181" t="s">
        <v>239</v>
      </c>
      <c r="D181">
        <v>1.21E-2</v>
      </c>
      <c r="E181">
        <v>1</v>
      </c>
      <c r="F181">
        <v>2</v>
      </c>
      <c r="G181">
        <f t="shared" si="2"/>
        <v>0</v>
      </c>
    </row>
    <row r="182" spans="1:9" x14ac:dyDescent="0.45">
      <c r="A182" s="5" t="s">
        <v>240</v>
      </c>
      <c r="B182" t="s">
        <v>241</v>
      </c>
      <c r="D182">
        <v>1.66E-2</v>
      </c>
      <c r="E182">
        <v>1</v>
      </c>
      <c r="F182">
        <v>2</v>
      </c>
      <c r="G182">
        <f t="shared" si="2"/>
        <v>0</v>
      </c>
      <c r="H182">
        <f>AVERAGE(G177:G182)</f>
        <v>2.0449897750511252</v>
      </c>
      <c r="I182">
        <f>STDEV(G177:G182)/SQRT(6)</f>
        <v>2.0449897750511252</v>
      </c>
    </row>
    <row r="183" spans="1:9" x14ac:dyDescent="0.45">
      <c r="A183" s="5" t="s">
        <v>242</v>
      </c>
      <c r="B183" t="s">
        <v>243</v>
      </c>
      <c r="D183">
        <v>1.34E-2</v>
      </c>
      <c r="E183">
        <v>1</v>
      </c>
      <c r="F183">
        <v>2</v>
      </c>
      <c r="G183">
        <f t="shared" si="2"/>
        <v>0</v>
      </c>
    </row>
    <row r="184" spans="1:9" x14ac:dyDescent="0.45">
      <c r="A184" s="5" t="s">
        <v>244</v>
      </c>
      <c r="B184" t="s">
        <v>245</v>
      </c>
      <c r="C184">
        <v>0</v>
      </c>
      <c r="D184">
        <v>1.55E-2</v>
      </c>
      <c r="E184">
        <v>1</v>
      </c>
      <c r="F184">
        <v>2</v>
      </c>
      <c r="G184">
        <f t="shared" si="2"/>
        <v>0</v>
      </c>
    </row>
    <row r="185" spans="1:9" x14ac:dyDescent="0.45">
      <c r="A185" s="5" t="s">
        <v>246</v>
      </c>
      <c r="B185" t="s">
        <v>247</v>
      </c>
      <c r="C185">
        <v>0.2</v>
      </c>
      <c r="D185">
        <v>1.5699999999999999E-2</v>
      </c>
      <c r="E185">
        <v>1</v>
      </c>
      <c r="F185">
        <v>2</v>
      </c>
      <c r="G185">
        <f t="shared" si="2"/>
        <v>25.477707006369428</v>
      </c>
    </row>
    <row r="186" spans="1:9" x14ac:dyDescent="0.45">
      <c r="A186" s="5" t="s">
        <v>248</v>
      </c>
      <c r="B186" t="s">
        <v>249</v>
      </c>
      <c r="C186">
        <v>0.2</v>
      </c>
      <c r="D186">
        <v>1.6899999999999998E-2</v>
      </c>
      <c r="E186">
        <v>1</v>
      </c>
      <c r="F186">
        <v>2</v>
      </c>
      <c r="G186">
        <f t="shared" si="2"/>
        <v>23.668639053254442</v>
      </c>
    </row>
    <row r="187" spans="1:9" x14ac:dyDescent="0.45">
      <c r="A187" s="5" t="s">
        <v>250</v>
      </c>
      <c r="B187" t="s">
        <v>251</v>
      </c>
      <c r="C187">
        <v>0.4</v>
      </c>
      <c r="D187">
        <v>1.4999999999999999E-2</v>
      </c>
      <c r="E187">
        <v>1</v>
      </c>
      <c r="F187">
        <v>2</v>
      </c>
      <c r="G187">
        <f t="shared" si="2"/>
        <v>53.333333333333343</v>
      </c>
    </row>
    <row r="188" spans="1:9" ht="14.65" thickBot="1" x14ac:dyDescent="0.5">
      <c r="A188" s="6" t="s">
        <v>252</v>
      </c>
      <c r="B188" s="3" t="s">
        <v>253</v>
      </c>
      <c r="C188">
        <v>0.5</v>
      </c>
      <c r="D188" s="9">
        <v>1.78E-2</v>
      </c>
      <c r="E188" s="9">
        <v>1</v>
      </c>
      <c r="F188" s="9">
        <v>2</v>
      </c>
      <c r="G188" s="9">
        <f t="shared" si="2"/>
        <v>56.17977528089888</v>
      </c>
      <c r="H188" s="9">
        <f>AVERAGE(G183:G188)</f>
        <v>26.443242445642682</v>
      </c>
      <c r="I188" s="9">
        <f>STDEV(G183:G188)/SQRT(6)</f>
        <v>10.024069695418387</v>
      </c>
    </row>
    <row r="189" spans="1:9" x14ac:dyDescent="0.45">
      <c r="A189" s="4" t="s">
        <v>254</v>
      </c>
      <c r="B189" t="s">
        <v>255</v>
      </c>
      <c r="C189">
        <v>0.3</v>
      </c>
      <c r="D189">
        <v>1.3899999999999999E-2</v>
      </c>
      <c r="E189">
        <v>1</v>
      </c>
      <c r="F189">
        <v>2</v>
      </c>
      <c r="G189">
        <f t="shared" si="2"/>
        <v>43.165467625899282</v>
      </c>
    </row>
    <row r="190" spans="1:9" x14ac:dyDescent="0.45">
      <c r="A190" s="5" t="s">
        <v>256</v>
      </c>
      <c r="B190" t="s">
        <v>257</v>
      </c>
      <c r="C190">
        <v>0.4</v>
      </c>
      <c r="D190">
        <v>1.72E-2</v>
      </c>
      <c r="E190">
        <v>1</v>
      </c>
      <c r="F190">
        <v>2</v>
      </c>
      <c r="G190">
        <f t="shared" si="2"/>
        <v>46.511627906976742</v>
      </c>
    </row>
    <row r="191" spans="1:9" x14ac:dyDescent="0.45">
      <c r="A191" s="5" t="s">
        <v>258</v>
      </c>
      <c r="B191" t="s">
        <v>259</v>
      </c>
      <c r="C191">
        <v>0.4</v>
      </c>
      <c r="D191">
        <v>1.66E-2</v>
      </c>
      <c r="E191">
        <v>1</v>
      </c>
      <c r="F191">
        <v>2</v>
      </c>
      <c r="G191">
        <f t="shared" si="2"/>
        <v>48.192771084337352</v>
      </c>
    </row>
    <row r="192" spans="1:9" x14ac:dyDescent="0.45">
      <c r="A192" s="5" t="s">
        <v>260</v>
      </c>
      <c r="B192" t="s">
        <v>261</v>
      </c>
      <c r="C192">
        <v>0.3</v>
      </c>
      <c r="D192">
        <v>1.54E-2</v>
      </c>
      <c r="E192">
        <v>1</v>
      </c>
      <c r="F192">
        <v>2</v>
      </c>
      <c r="G192">
        <f t="shared" si="2"/>
        <v>38.961038961038959</v>
      </c>
    </row>
    <row r="193" spans="1:9" x14ac:dyDescent="0.45">
      <c r="A193" s="5" t="s">
        <v>262</v>
      </c>
      <c r="B193" t="s">
        <v>263</v>
      </c>
      <c r="C193">
        <v>0.1</v>
      </c>
      <c r="D193">
        <v>1.7100000000000001E-2</v>
      </c>
      <c r="E193">
        <v>1</v>
      </c>
      <c r="F193">
        <v>2</v>
      </c>
      <c r="G193">
        <f t="shared" si="2"/>
        <v>11.695906432748538</v>
      </c>
    </row>
    <row r="194" spans="1:9" x14ac:dyDescent="0.45">
      <c r="A194" s="5" t="s">
        <v>264</v>
      </c>
      <c r="B194" t="s">
        <v>265</v>
      </c>
      <c r="C194">
        <v>0.2</v>
      </c>
      <c r="D194">
        <v>1.67E-2</v>
      </c>
      <c r="E194">
        <v>1</v>
      </c>
      <c r="F194">
        <v>2</v>
      </c>
      <c r="G194">
        <f t="shared" ref="G194:G248" si="3">(C194*(E194/D194)*F194)</f>
        <v>23.952095808383234</v>
      </c>
      <c r="H194">
        <f>AVERAGE(G189:G194)</f>
        <v>35.413151303230684</v>
      </c>
      <c r="I194">
        <f>STDEV(G189:G194)/SQRT(6)</f>
        <v>5.9246498551252813</v>
      </c>
    </row>
    <row r="195" spans="1:9" x14ac:dyDescent="0.45">
      <c r="A195" s="5" t="s">
        <v>266</v>
      </c>
      <c r="B195" t="s">
        <v>267</v>
      </c>
      <c r="C195">
        <v>0.1</v>
      </c>
      <c r="D195">
        <v>1.54E-2</v>
      </c>
      <c r="E195">
        <v>1</v>
      </c>
      <c r="F195">
        <v>2</v>
      </c>
      <c r="G195">
        <f t="shared" si="3"/>
        <v>12.987012987012987</v>
      </c>
    </row>
    <row r="196" spans="1:9" x14ac:dyDescent="0.45">
      <c r="A196" s="5" t="s">
        <v>268</v>
      </c>
      <c r="B196" t="s">
        <v>269</v>
      </c>
      <c r="C196">
        <v>0.1</v>
      </c>
      <c r="D196">
        <v>1.5800000000000002E-2</v>
      </c>
      <c r="E196">
        <v>1</v>
      </c>
      <c r="F196">
        <v>2</v>
      </c>
      <c r="G196">
        <f t="shared" si="3"/>
        <v>12.658227848101266</v>
      </c>
    </row>
    <row r="197" spans="1:9" x14ac:dyDescent="0.45">
      <c r="A197" s="5" t="s">
        <v>270</v>
      </c>
      <c r="B197" t="s">
        <v>271</v>
      </c>
      <c r="C197">
        <v>0.3</v>
      </c>
      <c r="D197">
        <v>1.5900000000000001E-2</v>
      </c>
      <c r="E197">
        <v>1</v>
      </c>
      <c r="F197">
        <v>2</v>
      </c>
      <c r="G197">
        <f t="shared" si="3"/>
        <v>37.735849056603769</v>
      </c>
    </row>
    <row r="198" spans="1:9" x14ac:dyDescent="0.45">
      <c r="A198" s="5" t="s">
        <v>272</v>
      </c>
      <c r="B198" t="s">
        <v>273</v>
      </c>
      <c r="C198">
        <v>0.3</v>
      </c>
      <c r="D198">
        <v>1.4800000000000001E-2</v>
      </c>
      <c r="E198">
        <v>1</v>
      </c>
      <c r="F198">
        <v>2</v>
      </c>
      <c r="G198">
        <f t="shared" si="3"/>
        <v>40.54054054054054</v>
      </c>
    </row>
    <row r="199" spans="1:9" x14ac:dyDescent="0.45">
      <c r="A199" s="5" t="s">
        <v>274</v>
      </c>
      <c r="B199" t="s">
        <v>275</v>
      </c>
      <c r="C199">
        <v>0.3</v>
      </c>
      <c r="D199">
        <v>1.46E-2</v>
      </c>
      <c r="E199">
        <v>1</v>
      </c>
      <c r="F199">
        <v>2</v>
      </c>
      <c r="G199">
        <f t="shared" si="3"/>
        <v>41.095890410958901</v>
      </c>
    </row>
    <row r="200" spans="1:9" ht="14.65" thickBot="1" x14ac:dyDescent="0.5">
      <c r="A200" s="6" t="s">
        <v>276</v>
      </c>
      <c r="B200" s="3" t="s">
        <v>277</v>
      </c>
      <c r="C200">
        <v>0.2</v>
      </c>
      <c r="D200" s="9">
        <v>1.5599999999999999E-2</v>
      </c>
      <c r="E200" s="9">
        <v>1</v>
      </c>
      <c r="F200" s="9">
        <v>2</v>
      </c>
      <c r="G200" s="9">
        <f t="shared" si="3"/>
        <v>25.641025641025642</v>
      </c>
      <c r="H200" s="9">
        <f>AVERAGE(G195:G200)</f>
        <v>28.44309108070718</v>
      </c>
      <c r="I200" s="9">
        <f>STDEV(G195:G200)/SQRT(6)</f>
        <v>5.442734585855832</v>
      </c>
    </row>
    <row r="201" spans="1:9" x14ac:dyDescent="0.45">
      <c r="A201" s="4" t="s">
        <v>278</v>
      </c>
      <c r="B201" t="s">
        <v>279</v>
      </c>
      <c r="C201">
        <v>0.1</v>
      </c>
      <c r="D201">
        <v>1.43E-2</v>
      </c>
      <c r="E201">
        <v>1</v>
      </c>
      <c r="F201">
        <v>2</v>
      </c>
      <c r="G201">
        <f t="shared" si="3"/>
        <v>13.986013986013987</v>
      </c>
    </row>
    <row r="202" spans="1:9" x14ac:dyDescent="0.45">
      <c r="A202" s="5" t="s">
        <v>280</v>
      </c>
      <c r="B202" t="s">
        <v>281</v>
      </c>
      <c r="C202">
        <v>0.1</v>
      </c>
      <c r="D202">
        <v>1.4E-2</v>
      </c>
      <c r="E202">
        <v>1</v>
      </c>
      <c r="F202">
        <v>2</v>
      </c>
      <c r="G202">
        <f t="shared" si="3"/>
        <v>14.285714285714286</v>
      </c>
    </row>
    <row r="203" spans="1:9" x14ac:dyDescent="0.45">
      <c r="A203" s="5" t="s">
        <v>282</v>
      </c>
      <c r="B203" t="s">
        <v>283</v>
      </c>
      <c r="C203">
        <v>0.3</v>
      </c>
      <c r="D203">
        <v>1.4200000000000001E-2</v>
      </c>
      <c r="E203">
        <v>1</v>
      </c>
      <c r="F203">
        <v>2</v>
      </c>
      <c r="G203">
        <f t="shared" si="3"/>
        <v>42.25352112676056</v>
      </c>
    </row>
    <row r="204" spans="1:9" x14ac:dyDescent="0.45">
      <c r="A204" s="5" t="s">
        <v>284</v>
      </c>
      <c r="B204" t="s">
        <v>285</v>
      </c>
      <c r="C204">
        <v>0.3</v>
      </c>
      <c r="D204">
        <v>1.5599999999999999E-2</v>
      </c>
      <c r="E204">
        <v>1</v>
      </c>
      <c r="F204">
        <v>2</v>
      </c>
      <c r="G204">
        <f t="shared" si="3"/>
        <v>38.46153846153846</v>
      </c>
    </row>
    <row r="205" spans="1:9" x14ac:dyDescent="0.45">
      <c r="A205" s="5" t="s">
        <v>286</v>
      </c>
      <c r="B205" t="s">
        <v>287</v>
      </c>
      <c r="C205">
        <v>0.4</v>
      </c>
      <c r="D205">
        <v>1.5100000000000001E-2</v>
      </c>
      <c r="E205">
        <v>1</v>
      </c>
      <c r="F205">
        <v>2</v>
      </c>
      <c r="G205">
        <f t="shared" si="3"/>
        <v>52.980132450331126</v>
      </c>
    </row>
    <row r="206" spans="1:9" x14ac:dyDescent="0.45">
      <c r="A206" s="5" t="s">
        <v>288</v>
      </c>
      <c r="B206" t="s">
        <v>289</v>
      </c>
      <c r="C206">
        <v>0.5</v>
      </c>
      <c r="D206">
        <v>1.6299999999999999E-2</v>
      </c>
      <c r="E206">
        <v>1</v>
      </c>
      <c r="F206">
        <v>2</v>
      </c>
      <c r="G206">
        <f t="shared" si="3"/>
        <v>61.349693251533751</v>
      </c>
      <c r="H206">
        <f>AVERAGE(G201:G206)</f>
        <v>37.21943559364869</v>
      </c>
      <c r="I206">
        <f>STDEV(G201:G206)/SQRT(6)</f>
        <v>8.0068745241435728</v>
      </c>
    </row>
    <row r="207" spans="1:9" x14ac:dyDescent="0.45">
      <c r="A207" s="5" t="s">
        <v>290</v>
      </c>
      <c r="B207" t="s">
        <v>291</v>
      </c>
      <c r="C207">
        <v>0.4</v>
      </c>
      <c r="D207">
        <v>1.67E-2</v>
      </c>
      <c r="E207">
        <v>1</v>
      </c>
      <c r="F207">
        <v>2</v>
      </c>
      <c r="G207">
        <f t="shared" si="3"/>
        <v>47.904191616766468</v>
      </c>
    </row>
    <row r="208" spans="1:9" x14ac:dyDescent="0.45">
      <c r="A208" s="5" t="s">
        <v>292</v>
      </c>
      <c r="B208" t="s">
        <v>293</v>
      </c>
      <c r="C208">
        <v>0.4</v>
      </c>
      <c r="D208">
        <v>1.52E-2</v>
      </c>
      <c r="E208">
        <v>1</v>
      </c>
      <c r="F208">
        <v>2</v>
      </c>
      <c r="G208">
        <f t="shared" si="3"/>
        <v>52.631578947368418</v>
      </c>
    </row>
    <row r="209" spans="1:9" x14ac:dyDescent="0.45">
      <c r="A209" s="5" t="s">
        <v>294</v>
      </c>
      <c r="B209" t="s">
        <v>295</v>
      </c>
      <c r="C209">
        <v>0.4</v>
      </c>
      <c r="D209">
        <v>1.9199999999999998E-2</v>
      </c>
      <c r="E209">
        <v>1</v>
      </c>
      <c r="F209">
        <v>2</v>
      </c>
      <c r="G209">
        <f t="shared" si="3"/>
        <v>41.666666666666671</v>
      </c>
    </row>
    <row r="210" spans="1:9" x14ac:dyDescent="0.45">
      <c r="A210" s="5" t="s">
        <v>296</v>
      </c>
      <c r="B210" t="s">
        <v>297</v>
      </c>
      <c r="C210">
        <v>0.3</v>
      </c>
      <c r="D210">
        <v>1.6400000000000001E-2</v>
      </c>
      <c r="E210">
        <v>1</v>
      </c>
      <c r="F210">
        <v>2</v>
      </c>
      <c r="G210">
        <f t="shared" si="3"/>
        <v>36.58536585365853</v>
      </c>
    </row>
    <row r="211" spans="1:9" x14ac:dyDescent="0.45">
      <c r="A211" s="5" t="s">
        <v>298</v>
      </c>
      <c r="B211" t="s">
        <v>299</v>
      </c>
      <c r="C211">
        <v>1</v>
      </c>
      <c r="D211">
        <v>1.7100000000000001E-2</v>
      </c>
      <c r="E211">
        <v>1</v>
      </c>
      <c r="F211">
        <v>2</v>
      </c>
      <c r="G211">
        <f t="shared" si="3"/>
        <v>116.95906432748538</v>
      </c>
    </row>
    <row r="212" spans="1:9" ht="14.65" thickBot="1" x14ac:dyDescent="0.5">
      <c r="A212" s="6" t="s">
        <v>300</v>
      </c>
      <c r="B212" s="3" t="s">
        <v>301</v>
      </c>
      <c r="C212">
        <v>0.8</v>
      </c>
      <c r="D212" s="9">
        <v>1.5800000000000002E-2</v>
      </c>
      <c r="E212" s="9">
        <v>1</v>
      </c>
      <c r="F212" s="9">
        <v>2</v>
      </c>
      <c r="G212" s="9">
        <f t="shared" si="3"/>
        <v>101.26582278481013</v>
      </c>
      <c r="H212" s="9">
        <f>AVERAGE(G207:G212)</f>
        <v>66.168781699459259</v>
      </c>
      <c r="I212" s="9">
        <f>STDEV(G207:G212)/SQRT(6)</f>
        <v>13.909035847016114</v>
      </c>
    </row>
    <row r="213" spans="1:9" x14ac:dyDescent="0.45">
      <c r="A213" s="4" t="s">
        <v>302</v>
      </c>
      <c r="B213" t="s">
        <v>303</v>
      </c>
      <c r="C213">
        <v>1</v>
      </c>
      <c r="D213">
        <v>1.55E-2</v>
      </c>
      <c r="E213">
        <v>1</v>
      </c>
      <c r="F213">
        <v>2</v>
      </c>
      <c r="G213">
        <f t="shared" si="3"/>
        <v>129.03225806451613</v>
      </c>
    </row>
    <row r="214" spans="1:9" x14ac:dyDescent="0.45">
      <c r="A214" s="5" t="s">
        <v>304</v>
      </c>
      <c r="B214" t="s">
        <v>305</v>
      </c>
      <c r="C214">
        <v>1</v>
      </c>
      <c r="D214">
        <v>1.61E-2</v>
      </c>
      <c r="E214">
        <v>1</v>
      </c>
      <c r="F214">
        <v>2</v>
      </c>
      <c r="G214">
        <f t="shared" si="3"/>
        <v>124.22360248447205</v>
      </c>
    </row>
    <row r="215" spans="1:9" x14ac:dyDescent="0.45">
      <c r="A215" s="5" t="s">
        <v>306</v>
      </c>
      <c r="B215" t="s">
        <v>307</v>
      </c>
      <c r="C215">
        <v>0.5</v>
      </c>
      <c r="D215">
        <v>1.15E-2</v>
      </c>
      <c r="E215">
        <v>1</v>
      </c>
      <c r="F215">
        <v>2</v>
      </c>
      <c r="G215">
        <f t="shared" si="3"/>
        <v>86.956521739130437</v>
      </c>
    </row>
    <row r="216" spans="1:9" x14ac:dyDescent="0.45">
      <c r="A216" s="5" t="s">
        <v>308</v>
      </c>
      <c r="B216" t="s">
        <v>309</v>
      </c>
      <c r="C216">
        <v>0.5</v>
      </c>
      <c r="D216">
        <v>1.14E-2</v>
      </c>
      <c r="E216">
        <v>1</v>
      </c>
      <c r="F216">
        <v>2</v>
      </c>
      <c r="G216">
        <f t="shared" si="3"/>
        <v>87.719298245614027</v>
      </c>
    </row>
    <row r="217" spans="1:9" x14ac:dyDescent="0.45">
      <c r="A217" s="5" t="s">
        <v>310</v>
      </c>
      <c r="B217" t="s">
        <v>311</v>
      </c>
      <c r="C217">
        <v>0.8</v>
      </c>
      <c r="D217">
        <v>1.4800000000000001E-2</v>
      </c>
      <c r="E217">
        <v>1</v>
      </c>
      <c r="F217">
        <v>2</v>
      </c>
      <c r="G217">
        <f t="shared" si="3"/>
        <v>108.10810810810811</v>
      </c>
    </row>
    <row r="218" spans="1:9" x14ac:dyDescent="0.45">
      <c r="A218" s="5" t="s">
        <v>312</v>
      </c>
      <c r="B218" t="s">
        <v>313</v>
      </c>
      <c r="C218">
        <v>0.7</v>
      </c>
      <c r="D218">
        <v>1.4800000000000001E-2</v>
      </c>
      <c r="E218">
        <v>1</v>
      </c>
      <c r="F218">
        <v>2</v>
      </c>
      <c r="G218">
        <f t="shared" si="3"/>
        <v>94.594594594594582</v>
      </c>
      <c r="H218">
        <f>AVERAGE(G213:G218)</f>
        <v>105.1057305394059</v>
      </c>
      <c r="I218">
        <f>STDEV(G213:G218)/SQRT(6)</f>
        <v>7.5036697799937562</v>
      </c>
    </row>
    <row r="219" spans="1:9" x14ac:dyDescent="0.45">
      <c r="A219" s="5" t="s">
        <v>314</v>
      </c>
      <c r="B219" t="s">
        <v>315</v>
      </c>
      <c r="C219">
        <v>0.9</v>
      </c>
      <c r="D219">
        <v>1.5599999999999999E-2</v>
      </c>
      <c r="E219">
        <v>1</v>
      </c>
      <c r="F219">
        <v>2</v>
      </c>
      <c r="G219">
        <f t="shared" si="3"/>
        <v>115.38461538461539</v>
      </c>
    </row>
    <row r="220" spans="1:9" x14ac:dyDescent="0.45">
      <c r="A220" s="5" t="s">
        <v>316</v>
      </c>
      <c r="B220" t="s">
        <v>317</v>
      </c>
      <c r="C220">
        <v>1</v>
      </c>
      <c r="D220">
        <v>1.6400000000000001E-2</v>
      </c>
      <c r="E220">
        <v>1</v>
      </c>
      <c r="F220">
        <v>2</v>
      </c>
      <c r="G220">
        <f t="shared" si="3"/>
        <v>121.95121951219511</v>
      </c>
    </row>
    <row r="221" spans="1:9" x14ac:dyDescent="0.45">
      <c r="A221" s="5" t="s">
        <v>318</v>
      </c>
      <c r="B221" t="s">
        <v>319</v>
      </c>
      <c r="C221">
        <v>0.8</v>
      </c>
      <c r="D221">
        <v>1.7600000000000001E-2</v>
      </c>
      <c r="E221">
        <v>1</v>
      </c>
      <c r="F221">
        <v>2</v>
      </c>
      <c r="G221">
        <f t="shared" si="3"/>
        <v>90.909090909090907</v>
      </c>
    </row>
    <row r="222" spans="1:9" x14ac:dyDescent="0.45">
      <c r="A222" s="5" t="s">
        <v>320</v>
      </c>
      <c r="B222" t="s">
        <v>321</v>
      </c>
      <c r="C222">
        <v>0.7</v>
      </c>
      <c r="D222">
        <v>1.52E-2</v>
      </c>
      <c r="E222">
        <v>1</v>
      </c>
      <c r="F222">
        <v>2</v>
      </c>
      <c r="G222">
        <f t="shared" si="3"/>
        <v>92.105263157894726</v>
      </c>
    </row>
    <row r="223" spans="1:9" x14ac:dyDescent="0.45">
      <c r="A223" s="5" t="s">
        <v>322</v>
      </c>
      <c r="B223" t="s">
        <v>323</v>
      </c>
      <c r="C223">
        <v>0.3</v>
      </c>
      <c r="D223">
        <v>1.54E-2</v>
      </c>
      <c r="E223">
        <v>1</v>
      </c>
      <c r="F223">
        <v>2</v>
      </c>
      <c r="G223">
        <f t="shared" si="3"/>
        <v>38.961038961038959</v>
      </c>
    </row>
    <row r="224" spans="1:9" ht="14.65" thickBot="1" x14ac:dyDescent="0.5">
      <c r="A224" s="6" t="s">
        <v>324</v>
      </c>
      <c r="B224" s="3" t="s">
        <v>325</v>
      </c>
      <c r="C224">
        <v>0.3</v>
      </c>
      <c r="D224" s="9">
        <v>1.7500000000000002E-2</v>
      </c>
      <c r="E224" s="9">
        <v>1</v>
      </c>
      <c r="F224" s="9">
        <v>2</v>
      </c>
      <c r="G224" s="9">
        <f t="shared" si="3"/>
        <v>34.285714285714285</v>
      </c>
      <c r="H224" s="9">
        <f>AVERAGE(G219:G224)</f>
        <v>82.266157035091567</v>
      </c>
      <c r="I224" s="9">
        <f>STDEV(G219:G224)/SQRT(6)</f>
        <v>15.29782219831826</v>
      </c>
    </row>
    <row r="225" spans="1:9" x14ac:dyDescent="0.45">
      <c r="A225" s="4" t="s">
        <v>326</v>
      </c>
      <c r="B225" t="s">
        <v>327</v>
      </c>
      <c r="C225">
        <v>0.4</v>
      </c>
      <c r="D225">
        <v>1.44E-2</v>
      </c>
      <c r="E225">
        <v>1</v>
      </c>
      <c r="F225">
        <v>2</v>
      </c>
      <c r="G225">
        <f t="shared" si="3"/>
        <v>55.555555555555557</v>
      </c>
    </row>
    <row r="226" spans="1:9" x14ac:dyDescent="0.45">
      <c r="A226" s="5" t="s">
        <v>328</v>
      </c>
      <c r="B226" t="s">
        <v>329</v>
      </c>
      <c r="C226">
        <v>0.4</v>
      </c>
      <c r="D226">
        <v>1.44E-2</v>
      </c>
      <c r="E226">
        <v>1</v>
      </c>
      <c r="F226">
        <v>2</v>
      </c>
      <c r="G226">
        <f t="shared" si="3"/>
        <v>55.555555555555557</v>
      </c>
    </row>
    <row r="227" spans="1:9" x14ac:dyDescent="0.45">
      <c r="A227" s="5" t="s">
        <v>330</v>
      </c>
      <c r="B227" t="s">
        <v>331</v>
      </c>
      <c r="C227">
        <v>0.4</v>
      </c>
      <c r="D227">
        <v>1.6E-2</v>
      </c>
      <c r="E227">
        <v>1</v>
      </c>
      <c r="F227">
        <v>2</v>
      </c>
      <c r="G227">
        <f t="shared" si="3"/>
        <v>50</v>
      </c>
    </row>
    <row r="228" spans="1:9" x14ac:dyDescent="0.45">
      <c r="A228" s="5" t="s">
        <v>332</v>
      </c>
      <c r="B228" t="s">
        <v>333</v>
      </c>
      <c r="C228">
        <v>0.3</v>
      </c>
      <c r="D228">
        <v>1.7500000000000002E-2</v>
      </c>
      <c r="E228">
        <v>1</v>
      </c>
      <c r="F228">
        <v>2</v>
      </c>
      <c r="G228">
        <f t="shared" si="3"/>
        <v>34.285714285714285</v>
      </c>
    </row>
    <row r="229" spans="1:9" x14ac:dyDescent="0.45">
      <c r="A229" s="5" t="s">
        <v>334</v>
      </c>
      <c r="B229" t="s">
        <v>335</v>
      </c>
      <c r="C229">
        <v>0.5</v>
      </c>
      <c r="D229">
        <v>1.37E-2</v>
      </c>
      <c r="E229">
        <v>1</v>
      </c>
      <c r="F229">
        <v>2</v>
      </c>
      <c r="G229">
        <f t="shared" si="3"/>
        <v>72.992700729927009</v>
      </c>
    </row>
    <row r="230" spans="1:9" x14ac:dyDescent="0.45">
      <c r="A230" s="5" t="s">
        <v>336</v>
      </c>
      <c r="B230" t="s">
        <v>337</v>
      </c>
      <c r="C230">
        <v>0.5</v>
      </c>
      <c r="D230">
        <v>1.3100000000000001E-2</v>
      </c>
      <c r="E230">
        <v>1</v>
      </c>
      <c r="F230">
        <v>2</v>
      </c>
      <c r="G230">
        <f t="shared" si="3"/>
        <v>76.33587786259541</v>
      </c>
      <c r="H230">
        <f>AVERAGE(G225:G230)</f>
        <v>57.45423399822463</v>
      </c>
      <c r="I230">
        <f>STDEV(G225:G230)/SQRT(6)</f>
        <v>6.3180067880614974</v>
      </c>
    </row>
    <row r="231" spans="1:9" x14ac:dyDescent="0.45">
      <c r="A231" s="5" t="s">
        <v>338</v>
      </c>
      <c r="B231" t="s">
        <v>339</v>
      </c>
      <c r="C231">
        <v>0.8</v>
      </c>
      <c r="D231">
        <v>1.2999999999999999E-2</v>
      </c>
      <c r="E231">
        <v>1</v>
      </c>
      <c r="F231">
        <v>2</v>
      </c>
      <c r="G231">
        <f t="shared" si="3"/>
        <v>123.07692307692308</v>
      </c>
    </row>
    <row r="232" spans="1:9" x14ac:dyDescent="0.45">
      <c r="A232" s="5" t="s">
        <v>340</v>
      </c>
      <c r="B232" t="s">
        <v>341</v>
      </c>
      <c r="C232">
        <v>1</v>
      </c>
      <c r="D232">
        <v>1.61E-2</v>
      </c>
      <c r="E232">
        <v>1</v>
      </c>
      <c r="F232">
        <v>2</v>
      </c>
      <c r="G232">
        <f t="shared" si="3"/>
        <v>124.22360248447205</v>
      </c>
    </row>
    <row r="233" spans="1:9" x14ac:dyDescent="0.45">
      <c r="A233" s="5" t="s">
        <v>342</v>
      </c>
      <c r="B233" t="s">
        <v>343</v>
      </c>
      <c r="C233">
        <v>0.7</v>
      </c>
      <c r="D233">
        <v>1.54E-2</v>
      </c>
      <c r="E233">
        <v>1</v>
      </c>
      <c r="F233">
        <v>2</v>
      </c>
      <c r="G233">
        <f t="shared" si="3"/>
        <v>90.909090909090892</v>
      </c>
    </row>
    <row r="234" spans="1:9" x14ac:dyDescent="0.45">
      <c r="A234" s="5" t="s">
        <v>344</v>
      </c>
      <c r="B234" t="s">
        <v>345</v>
      </c>
      <c r="C234">
        <v>0.5</v>
      </c>
      <c r="D234">
        <v>1.24E-2</v>
      </c>
      <c r="E234">
        <v>1</v>
      </c>
      <c r="F234">
        <v>2</v>
      </c>
      <c r="G234">
        <f t="shared" si="3"/>
        <v>80.645161290322577</v>
      </c>
    </row>
    <row r="235" spans="1:9" x14ac:dyDescent="0.45">
      <c r="A235" s="5" t="s">
        <v>346</v>
      </c>
      <c r="B235" t="s">
        <v>347</v>
      </c>
      <c r="C235">
        <v>0.6</v>
      </c>
      <c r="D235">
        <v>1.4999999999999999E-2</v>
      </c>
      <c r="E235">
        <v>1</v>
      </c>
      <c r="F235">
        <v>2</v>
      </c>
      <c r="G235">
        <f t="shared" si="3"/>
        <v>80</v>
      </c>
    </row>
    <row r="236" spans="1:9" ht="14.65" thickBot="1" x14ac:dyDescent="0.5">
      <c r="A236" s="6" t="s">
        <v>348</v>
      </c>
      <c r="B236" s="3" t="s">
        <v>349</v>
      </c>
      <c r="C236">
        <v>0.8</v>
      </c>
      <c r="D236" s="9">
        <v>1.49E-2</v>
      </c>
      <c r="E236" s="9">
        <v>1</v>
      </c>
      <c r="F236" s="9">
        <v>2</v>
      </c>
      <c r="G236" s="9">
        <f t="shared" si="3"/>
        <v>107.38255033557049</v>
      </c>
      <c r="H236" s="9">
        <f>AVERAGE(G231:G236)</f>
        <v>101.03955468272984</v>
      </c>
      <c r="I236" s="9">
        <f>STDEV(G231:G236)/SQRT(6)</f>
        <v>8.2150262962201754</v>
      </c>
    </row>
    <row r="237" spans="1:9" x14ac:dyDescent="0.45">
      <c r="A237" s="4" t="s">
        <v>350</v>
      </c>
      <c r="B237" t="s">
        <v>351</v>
      </c>
      <c r="C237">
        <v>0.3</v>
      </c>
      <c r="D237">
        <v>1.2200000000000001E-2</v>
      </c>
      <c r="E237">
        <v>1</v>
      </c>
      <c r="F237">
        <v>2</v>
      </c>
      <c r="G237">
        <f t="shared" si="3"/>
        <v>49.180327868852451</v>
      </c>
    </row>
    <row r="238" spans="1:9" x14ac:dyDescent="0.45">
      <c r="A238" s="5" t="s">
        <v>352</v>
      </c>
      <c r="B238" t="s">
        <v>353</v>
      </c>
      <c r="C238">
        <v>0.3</v>
      </c>
      <c r="D238">
        <v>1.1900000000000001E-2</v>
      </c>
      <c r="E238">
        <v>1</v>
      </c>
      <c r="F238">
        <v>2</v>
      </c>
      <c r="G238">
        <f t="shared" si="3"/>
        <v>50.420168067226889</v>
      </c>
    </row>
    <row r="239" spans="1:9" x14ac:dyDescent="0.45">
      <c r="A239" s="5" t="s">
        <v>354</v>
      </c>
      <c r="B239" t="s">
        <v>355</v>
      </c>
      <c r="C239">
        <v>0</v>
      </c>
      <c r="D239">
        <v>1.17E-2</v>
      </c>
      <c r="E239">
        <v>1</v>
      </c>
      <c r="F239">
        <v>2</v>
      </c>
      <c r="G239">
        <f t="shared" si="3"/>
        <v>0</v>
      </c>
    </row>
    <row r="240" spans="1:9" x14ac:dyDescent="0.45">
      <c r="A240" s="5" t="s">
        <v>356</v>
      </c>
      <c r="B240" t="s">
        <v>357</v>
      </c>
      <c r="C240">
        <v>0.1</v>
      </c>
      <c r="D240">
        <v>1.7000000000000001E-2</v>
      </c>
      <c r="E240">
        <v>1</v>
      </c>
      <c r="F240">
        <v>2</v>
      </c>
      <c r="G240">
        <f t="shared" si="3"/>
        <v>11.764705882352942</v>
      </c>
    </row>
    <row r="241" spans="1:9" x14ac:dyDescent="0.45">
      <c r="A241" s="5" t="s">
        <v>358</v>
      </c>
      <c r="B241" t="s">
        <v>359</v>
      </c>
      <c r="C241">
        <v>0.2</v>
      </c>
      <c r="D241">
        <v>1.61E-2</v>
      </c>
      <c r="E241">
        <v>1</v>
      </c>
      <c r="F241">
        <v>2</v>
      </c>
      <c r="G241">
        <f t="shared" si="3"/>
        <v>24.844720496894411</v>
      </c>
    </row>
    <row r="242" spans="1:9" x14ac:dyDescent="0.45">
      <c r="A242" s="5" t="s">
        <v>360</v>
      </c>
      <c r="B242" t="s">
        <v>361</v>
      </c>
      <c r="C242">
        <v>0.2</v>
      </c>
      <c r="D242">
        <v>1.61E-2</v>
      </c>
      <c r="E242">
        <v>1</v>
      </c>
      <c r="F242">
        <v>2</v>
      </c>
      <c r="G242">
        <f t="shared" si="3"/>
        <v>24.844720496894411</v>
      </c>
      <c r="H242">
        <f>AVERAGE(G237:G242)</f>
        <v>26.842440468703519</v>
      </c>
      <c r="I242">
        <f>STDEV(G237:G242)/SQRT(6)</f>
        <v>8.1868327472752593</v>
      </c>
    </row>
    <row r="243" spans="1:9" x14ac:dyDescent="0.45">
      <c r="A243" s="5" t="s">
        <v>362</v>
      </c>
      <c r="B243" t="s">
        <v>363</v>
      </c>
      <c r="C243">
        <v>0.2</v>
      </c>
      <c r="D243">
        <v>1.21E-2</v>
      </c>
      <c r="E243">
        <v>1</v>
      </c>
      <c r="F243">
        <v>2</v>
      </c>
      <c r="G243">
        <f t="shared" si="3"/>
        <v>33.057851239669425</v>
      </c>
    </row>
    <row r="244" spans="1:9" x14ac:dyDescent="0.45">
      <c r="A244" s="5" t="s">
        <v>364</v>
      </c>
      <c r="B244" t="s">
        <v>365</v>
      </c>
      <c r="C244">
        <v>0.2</v>
      </c>
      <c r="D244">
        <v>1.0800000000000001E-2</v>
      </c>
      <c r="E244">
        <v>1</v>
      </c>
      <c r="F244">
        <v>2</v>
      </c>
      <c r="G244">
        <f t="shared" si="3"/>
        <v>37.037037037037031</v>
      </c>
    </row>
    <row r="245" spans="1:9" x14ac:dyDescent="0.45">
      <c r="A245" s="5" t="s">
        <v>366</v>
      </c>
      <c r="B245" t="s">
        <v>367</v>
      </c>
      <c r="C245">
        <v>0.3</v>
      </c>
      <c r="D245">
        <v>1.66E-2</v>
      </c>
      <c r="E245">
        <v>1</v>
      </c>
      <c r="F245">
        <v>2</v>
      </c>
      <c r="G245">
        <f t="shared" si="3"/>
        <v>36.144578313253007</v>
      </c>
    </row>
    <row r="246" spans="1:9" x14ac:dyDescent="0.45">
      <c r="A246" s="5" t="s">
        <v>368</v>
      </c>
      <c r="B246" t="s">
        <v>369</v>
      </c>
      <c r="C246">
        <v>0.3</v>
      </c>
      <c r="D246">
        <v>1.52E-2</v>
      </c>
      <c r="E246">
        <v>1</v>
      </c>
      <c r="F246">
        <v>2</v>
      </c>
      <c r="G246">
        <f t="shared" si="3"/>
        <v>39.473684210526308</v>
      </c>
    </row>
    <row r="247" spans="1:9" x14ac:dyDescent="0.45">
      <c r="A247" s="5" t="s">
        <v>370</v>
      </c>
      <c r="B247" t="s">
        <v>371</v>
      </c>
      <c r="C247">
        <v>0.1</v>
      </c>
      <c r="D247">
        <v>1.4200000000000001E-2</v>
      </c>
      <c r="E247">
        <v>1</v>
      </c>
      <c r="F247">
        <v>2</v>
      </c>
      <c r="G247">
        <f t="shared" si="3"/>
        <v>14.08450704225352</v>
      </c>
    </row>
    <row r="248" spans="1:9" ht="14.65" thickBot="1" x14ac:dyDescent="0.5">
      <c r="A248" s="6" t="s">
        <v>372</v>
      </c>
      <c r="B248" s="3" t="s">
        <v>373</v>
      </c>
      <c r="C248">
        <v>0.1</v>
      </c>
      <c r="D248" s="9">
        <v>1.4500000000000001E-2</v>
      </c>
      <c r="E248" s="9">
        <v>1</v>
      </c>
      <c r="F248" s="9">
        <v>2</v>
      </c>
      <c r="G248" s="9">
        <f t="shared" si="3"/>
        <v>13.793103448275861</v>
      </c>
      <c r="H248" s="9">
        <f>AVERAGE(G243:G248)</f>
        <v>28.931793548502526</v>
      </c>
      <c r="I248" s="9">
        <f>STDEV(G243:G248)/SQRT(6)</f>
        <v>4.8148966808620548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A4A1-9EAE-4C0A-B890-FE1A88D3B6A2}">
  <dimension ref="A1:AE248"/>
  <sheetViews>
    <sheetView topLeftCell="I13" zoomScale="130" workbookViewId="0">
      <selection activeCell="T143" sqref="T143"/>
    </sheetView>
  </sheetViews>
  <sheetFormatPr baseColWidth="10" defaultRowHeight="14.25" x14ac:dyDescent="0.45"/>
  <cols>
    <col min="3" max="3" width="11.86328125" customWidth="1"/>
    <col min="5" max="5" width="8.19921875" customWidth="1"/>
    <col min="6" max="6" width="13" bestFit="1" customWidth="1"/>
    <col min="7" max="7" width="14.46484375" bestFit="1" customWidth="1"/>
    <col min="12" max="12" width="12.1328125" customWidth="1"/>
  </cols>
  <sheetData>
    <row r="1" spans="1:31" x14ac:dyDescent="0.45">
      <c r="A1" t="s">
        <v>132</v>
      </c>
    </row>
    <row r="2" spans="1:31" ht="14.65" thickBot="1" x14ac:dyDescent="0.5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</row>
    <row r="3" spans="1:31" x14ac:dyDescent="0.45">
      <c r="A3" s="4" t="s">
        <v>2</v>
      </c>
      <c r="B3">
        <v>1</v>
      </c>
      <c r="C3">
        <v>0.9</v>
      </c>
      <c r="D3">
        <v>2.0400000000000001E-2</v>
      </c>
      <c r="E3">
        <v>1</v>
      </c>
      <c r="F3">
        <v>3</v>
      </c>
      <c r="G3">
        <f t="shared" ref="G3:G34" si="0">(C3*(E3/D3)*F3)</f>
        <v>132.35294117647058</v>
      </c>
      <c r="M3" t="s">
        <v>132</v>
      </c>
    </row>
    <row r="4" spans="1:31" x14ac:dyDescent="0.45">
      <c r="A4" s="5" t="s">
        <v>3</v>
      </c>
      <c r="B4">
        <v>2</v>
      </c>
      <c r="C4">
        <v>0.7</v>
      </c>
      <c r="D4">
        <v>1.54E-2</v>
      </c>
      <c r="E4">
        <v>1</v>
      </c>
      <c r="F4">
        <v>3</v>
      </c>
      <c r="G4">
        <f t="shared" si="0"/>
        <v>136.36363636363635</v>
      </c>
      <c r="N4" t="s">
        <v>374</v>
      </c>
      <c r="O4" t="s">
        <v>375</v>
      </c>
      <c r="P4" t="s">
        <v>376</v>
      </c>
      <c r="Q4" t="s">
        <v>377</v>
      </c>
      <c r="R4" t="s">
        <v>378</v>
      </c>
      <c r="S4" t="s">
        <v>379</v>
      </c>
      <c r="T4" t="s">
        <v>380</v>
      </c>
      <c r="U4" t="s">
        <v>381</v>
      </c>
      <c r="V4" t="s">
        <v>384</v>
      </c>
      <c r="W4" t="s">
        <v>385</v>
      </c>
    </row>
    <row r="5" spans="1:31" x14ac:dyDescent="0.45">
      <c r="A5" s="5" t="s">
        <v>4</v>
      </c>
      <c r="B5">
        <v>3</v>
      </c>
      <c r="C5">
        <v>0.9</v>
      </c>
      <c r="D5">
        <v>2.1100000000000001E-2</v>
      </c>
      <c r="E5">
        <v>1</v>
      </c>
      <c r="F5">
        <v>3</v>
      </c>
      <c r="G5">
        <f t="shared" si="0"/>
        <v>127.96208530805688</v>
      </c>
      <c r="M5" t="s">
        <v>382</v>
      </c>
      <c r="N5">
        <f>H8</f>
        <v>135.69797005955357</v>
      </c>
      <c r="O5">
        <f>H20</f>
        <v>121.03239365317616</v>
      </c>
      <c r="P5">
        <f>H32</f>
        <v>139.95461797867944</v>
      </c>
      <c r="Q5">
        <f>H44</f>
        <v>139.15508317833883</v>
      </c>
      <c r="R5">
        <f>H56</f>
        <v>161.88684894842581</v>
      </c>
      <c r="S5">
        <f>H68</f>
        <v>112.46287403692484</v>
      </c>
      <c r="T5">
        <f>H80</f>
        <v>112.42230187326159</v>
      </c>
      <c r="U5">
        <f>H92</f>
        <v>107.15199513061539</v>
      </c>
      <c r="V5">
        <f>H104</f>
        <v>95.907464568796627</v>
      </c>
      <c r="W5">
        <f>H116</f>
        <v>111.47066941778604</v>
      </c>
    </row>
    <row r="6" spans="1:31" x14ac:dyDescent="0.45">
      <c r="A6" s="5" t="s">
        <v>7</v>
      </c>
      <c r="B6">
        <v>4</v>
      </c>
      <c r="C6">
        <v>0.8</v>
      </c>
      <c r="D6">
        <v>1.4999999999999999E-2</v>
      </c>
      <c r="E6">
        <v>1</v>
      </c>
      <c r="F6">
        <v>3</v>
      </c>
      <c r="G6">
        <f t="shared" si="0"/>
        <v>160.00000000000003</v>
      </c>
      <c r="M6" t="s">
        <v>131</v>
      </c>
      <c r="N6">
        <f>I8</f>
        <v>5.6182334148286746</v>
      </c>
      <c r="O6">
        <f>I20</f>
        <v>3.6491607651350924</v>
      </c>
      <c r="P6">
        <f>I32</f>
        <v>11.56512489838145</v>
      </c>
      <c r="Q6">
        <f>I44</f>
        <v>7.7857756084930614</v>
      </c>
      <c r="R6">
        <f>I56</f>
        <v>7.8339102551283535</v>
      </c>
      <c r="S6">
        <f>I68</f>
        <v>8.0356979366606147</v>
      </c>
      <c r="T6">
        <f>I80</f>
        <v>7.7964191225674897</v>
      </c>
      <c r="U6">
        <f>I92</f>
        <v>5.4487808721454245</v>
      </c>
      <c r="V6">
        <f>I104</f>
        <v>3.8931325432520643</v>
      </c>
      <c r="W6">
        <f>I116</f>
        <v>4.0956311252307573</v>
      </c>
    </row>
    <row r="7" spans="1:31" x14ac:dyDescent="0.45">
      <c r="A7" s="5" t="s">
        <v>5</v>
      </c>
      <c r="B7">
        <v>5</v>
      </c>
      <c r="C7">
        <v>0.5</v>
      </c>
      <c r="D7">
        <v>1.26E-2</v>
      </c>
      <c r="E7">
        <v>1</v>
      </c>
      <c r="F7">
        <v>3</v>
      </c>
      <c r="G7">
        <f t="shared" si="0"/>
        <v>119.04761904761905</v>
      </c>
      <c r="M7" t="s">
        <v>383</v>
      </c>
      <c r="N7">
        <f>H20</f>
        <v>121.03239365317616</v>
      </c>
      <c r="O7">
        <f>H26</f>
        <v>115.48999753458958</v>
      </c>
      <c r="P7">
        <f>H38</f>
        <v>182.32783158953819</v>
      </c>
      <c r="Q7">
        <f>H50</f>
        <v>175.4707794105428</v>
      </c>
      <c r="R7">
        <f>H62</f>
        <v>151.72923522526676</v>
      </c>
      <c r="S7">
        <f>H74</f>
        <v>128.3824239030431</v>
      </c>
      <c r="T7">
        <f>H86</f>
        <v>126.94611521576087</v>
      </c>
      <c r="U7">
        <f>H98</f>
        <v>128.50102490434122</v>
      </c>
      <c r="V7">
        <f>H110</f>
        <v>99.373418046786185</v>
      </c>
      <c r="W7">
        <f>H122</f>
        <v>89.360275913338754</v>
      </c>
    </row>
    <row r="8" spans="1:31" x14ac:dyDescent="0.45">
      <c r="A8" s="5" t="s">
        <v>6</v>
      </c>
      <c r="B8">
        <v>6</v>
      </c>
      <c r="C8">
        <v>0.9</v>
      </c>
      <c r="D8">
        <v>1.95E-2</v>
      </c>
      <c r="E8">
        <v>1</v>
      </c>
      <c r="F8">
        <v>3</v>
      </c>
      <c r="G8">
        <f t="shared" si="0"/>
        <v>138.46153846153848</v>
      </c>
      <c r="H8">
        <f>AVERAGE(G3:G8)</f>
        <v>135.69797005955357</v>
      </c>
      <c r="I8">
        <f>STDEV(G3:G8)/SQRT(6)</f>
        <v>5.6182334148286746</v>
      </c>
      <c r="M8" t="s">
        <v>131</v>
      </c>
      <c r="N8">
        <f>I14</f>
        <v>5.8166956774622385</v>
      </c>
      <c r="O8">
        <f>I26</f>
        <v>12.068312580650922</v>
      </c>
      <c r="P8">
        <f>I38</f>
        <v>20.157769399866638</v>
      </c>
      <c r="Q8">
        <f>I50</f>
        <v>6.6672760783060561</v>
      </c>
      <c r="R8">
        <f>I62</f>
        <v>8.6358052523901758</v>
      </c>
      <c r="S8">
        <f>I74</f>
        <v>6.3955324402167486</v>
      </c>
      <c r="T8">
        <f>I86</f>
        <v>7.5094480609447665</v>
      </c>
      <c r="U8">
        <f>I98</f>
        <v>6.0693961311528053</v>
      </c>
      <c r="V8">
        <f>I110</f>
        <v>5.3020215087846951</v>
      </c>
      <c r="W8">
        <f>I122</f>
        <v>4.3328794211865489</v>
      </c>
    </row>
    <row r="9" spans="1:31" x14ac:dyDescent="0.45">
      <c r="A9" s="5" t="s">
        <v>13</v>
      </c>
      <c r="B9">
        <v>7</v>
      </c>
      <c r="C9">
        <v>0.5</v>
      </c>
      <c r="D9">
        <v>1.4800000000000001E-2</v>
      </c>
      <c r="E9">
        <v>1</v>
      </c>
      <c r="F9">
        <v>3</v>
      </c>
      <c r="G9">
        <f t="shared" si="0"/>
        <v>101.35135135135135</v>
      </c>
    </row>
    <row r="10" spans="1:31" x14ac:dyDescent="0.45">
      <c r="A10" s="5" t="s">
        <v>8</v>
      </c>
      <c r="B10">
        <v>8</v>
      </c>
      <c r="C10">
        <v>0.5</v>
      </c>
      <c r="D10">
        <v>1.4500000000000001E-2</v>
      </c>
      <c r="E10">
        <v>1</v>
      </c>
      <c r="F10">
        <v>3</v>
      </c>
      <c r="G10">
        <f t="shared" si="0"/>
        <v>103.44827586206895</v>
      </c>
    </row>
    <row r="11" spans="1:31" x14ac:dyDescent="0.45">
      <c r="A11" s="5" t="s">
        <v>9</v>
      </c>
      <c r="B11">
        <v>9</v>
      </c>
      <c r="C11">
        <v>0.5</v>
      </c>
      <c r="D11">
        <v>1.8599999999999998E-2</v>
      </c>
      <c r="E11">
        <v>1</v>
      </c>
      <c r="F11">
        <v>3</v>
      </c>
      <c r="G11">
        <f t="shared" si="0"/>
        <v>80.645161290322591</v>
      </c>
    </row>
    <row r="12" spans="1:31" x14ac:dyDescent="0.45">
      <c r="A12" s="5" t="s">
        <v>10</v>
      </c>
      <c r="B12">
        <v>10</v>
      </c>
      <c r="C12">
        <v>0.6</v>
      </c>
      <c r="D12">
        <v>1.7100000000000001E-2</v>
      </c>
      <c r="E12">
        <v>1</v>
      </c>
      <c r="F12">
        <v>3</v>
      </c>
      <c r="G12">
        <f t="shared" si="0"/>
        <v>105.26315789473682</v>
      </c>
    </row>
    <row r="13" spans="1:31" x14ac:dyDescent="0.45">
      <c r="A13" s="5" t="s">
        <v>11</v>
      </c>
      <c r="B13">
        <v>11</v>
      </c>
      <c r="C13">
        <v>0.6</v>
      </c>
      <c r="D13">
        <v>1.66E-2</v>
      </c>
      <c r="E13">
        <v>1</v>
      </c>
      <c r="F13">
        <v>3</v>
      </c>
      <c r="G13">
        <f t="shared" si="0"/>
        <v>108.43373493975902</v>
      </c>
      <c r="X13" t="s">
        <v>740</v>
      </c>
      <c r="Y13" t="s">
        <v>726</v>
      </c>
      <c r="Z13" t="s">
        <v>727</v>
      </c>
      <c r="AA13" t="s">
        <v>741</v>
      </c>
      <c r="AB13" t="s">
        <v>742</v>
      </c>
      <c r="AC13" t="s">
        <v>723</v>
      </c>
      <c r="AD13" t="s">
        <v>728</v>
      </c>
      <c r="AE13" t="s">
        <v>743</v>
      </c>
    </row>
    <row r="14" spans="1:31" ht="14.65" thickBot="1" x14ac:dyDescent="0.5">
      <c r="A14" s="6" t="s">
        <v>12</v>
      </c>
      <c r="B14" s="3">
        <v>12</v>
      </c>
      <c r="C14">
        <v>0.6</v>
      </c>
      <c r="D14" s="9">
        <v>1.44E-2</v>
      </c>
      <c r="E14" s="9">
        <v>1</v>
      </c>
      <c r="F14" s="9">
        <v>3</v>
      </c>
      <c r="G14" s="9">
        <f t="shared" si="0"/>
        <v>125</v>
      </c>
      <c r="H14" s="9">
        <f>AVERAGE(G9:G14)</f>
        <v>104.02361355637311</v>
      </c>
      <c r="I14" s="9">
        <f>STDEV(G9:G14)/SQRT(6)</f>
        <v>5.8166956774622385</v>
      </c>
      <c r="X14" t="s">
        <v>729</v>
      </c>
      <c r="Y14">
        <v>6</v>
      </c>
      <c r="Z14">
        <v>6</v>
      </c>
      <c r="AA14">
        <v>134.35828877005301</v>
      </c>
      <c r="AB14">
        <v>104.355716878403</v>
      </c>
      <c r="AC14">
        <v>8.2390188257246404E-3</v>
      </c>
      <c r="AD14" t="s">
        <v>744</v>
      </c>
      <c r="AE14" t="s">
        <v>739</v>
      </c>
    </row>
    <row r="15" spans="1:31" x14ac:dyDescent="0.45">
      <c r="A15" s="5" t="s">
        <v>14</v>
      </c>
      <c r="B15">
        <v>13</v>
      </c>
      <c r="C15">
        <v>0.8</v>
      </c>
      <c r="D15">
        <v>2.1299999999999999E-2</v>
      </c>
      <c r="E15">
        <v>1</v>
      </c>
      <c r="F15">
        <v>3</v>
      </c>
      <c r="G15">
        <f t="shared" si="0"/>
        <v>112.67605633802818</v>
      </c>
      <c r="X15" t="s">
        <v>730</v>
      </c>
      <c r="Y15">
        <v>6</v>
      </c>
      <c r="Z15">
        <v>6</v>
      </c>
      <c r="AA15">
        <v>123.554519585881</v>
      </c>
      <c r="AB15">
        <v>118.29521829521801</v>
      </c>
      <c r="AC15">
        <v>0.81018123641047401</v>
      </c>
      <c r="AD15" t="s">
        <v>744</v>
      </c>
      <c r="AE15" t="s">
        <v>724</v>
      </c>
    </row>
    <row r="16" spans="1:31" x14ac:dyDescent="0.45">
      <c r="A16" s="5" t="s">
        <v>15</v>
      </c>
      <c r="B16">
        <v>14</v>
      </c>
      <c r="C16">
        <v>0.8</v>
      </c>
      <c r="D16">
        <v>2.2200000000000001E-2</v>
      </c>
      <c r="E16">
        <v>1</v>
      </c>
      <c r="F16">
        <v>3</v>
      </c>
      <c r="G16">
        <f t="shared" si="0"/>
        <v>108.10810810810811</v>
      </c>
      <c r="X16" t="s">
        <v>731</v>
      </c>
      <c r="Y16">
        <v>6</v>
      </c>
      <c r="Z16">
        <v>6</v>
      </c>
      <c r="AA16">
        <v>140.993128272251</v>
      </c>
      <c r="AB16">
        <v>194.79729729729701</v>
      </c>
      <c r="AC16">
        <v>0.128205275030392</v>
      </c>
      <c r="AD16" t="s">
        <v>744</v>
      </c>
      <c r="AE16" t="s">
        <v>724</v>
      </c>
    </row>
    <row r="17" spans="1:31" x14ac:dyDescent="0.45">
      <c r="A17" s="5" t="s">
        <v>16</v>
      </c>
      <c r="B17">
        <v>15</v>
      </c>
      <c r="C17">
        <v>0.8</v>
      </c>
      <c r="D17">
        <v>1.8499999999999999E-2</v>
      </c>
      <c r="E17">
        <v>1</v>
      </c>
      <c r="F17">
        <v>3</v>
      </c>
      <c r="G17">
        <f t="shared" si="0"/>
        <v>129.72972972972974</v>
      </c>
      <c r="X17" t="s">
        <v>732</v>
      </c>
      <c r="Y17">
        <v>6</v>
      </c>
      <c r="Z17">
        <v>6</v>
      </c>
      <c r="AA17">
        <v>145.647136709699</v>
      </c>
      <c r="AB17">
        <v>168.30592493508499</v>
      </c>
      <c r="AC17">
        <v>8.2390188257246404E-3</v>
      </c>
      <c r="AD17" t="s">
        <v>744</v>
      </c>
      <c r="AE17" t="s">
        <v>739</v>
      </c>
    </row>
    <row r="18" spans="1:31" x14ac:dyDescent="0.45">
      <c r="A18" s="5" t="s">
        <v>17</v>
      </c>
      <c r="B18">
        <v>16</v>
      </c>
      <c r="C18">
        <v>0.9</v>
      </c>
      <c r="D18">
        <v>2.1000000000000001E-2</v>
      </c>
      <c r="E18">
        <v>1</v>
      </c>
      <c r="F18">
        <v>3</v>
      </c>
      <c r="G18">
        <f t="shared" si="0"/>
        <v>128.57142857142856</v>
      </c>
      <c r="X18" t="s">
        <v>733</v>
      </c>
      <c r="Y18">
        <v>6</v>
      </c>
      <c r="Z18">
        <v>6</v>
      </c>
      <c r="AA18">
        <v>159.161272164368</v>
      </c>
      <c r="AB18">
        <v>147.14721935034001</v>
      </c>
      <c r="AC18">
        <v>0.378477593244679</v>
      </c>
      <c r="AD18" t="s">
        <v>744</v>
      </c>
      <c r="AE18" t="s">
        <v>724</v>
      </c>
    </row>
    <row r="19" spans="1:31" x14ac:dyDescent="0.45">
      <c r="A19" s="5" t="s">
        <v>18</v>
      </c>
      <c r="B19">
        <v>17</v>
      </c>
      <c r="C19">
        <v>0.7</v>
      </c>
      <c r="D19">
        <v>1.66E-2</v>
      </c>
      <c r="E19">
        <v>1</v>
      </c>
      <c r="F19">
        <v>3</v>
      </c>
      <c r="G19">
        <f t="shared" si="0"/>
        <v>126.50602409638552</v>
      </c>
      <c r="X19" t="s">
        <v>734</v>
      </c>
      <c r="Y19">
        <v>6</v>
      </c>
      <c r="Z19">
        <v>6</v>
      </c>
      <c r="AA19">
        <v>108.571428571429</v>
      </c>
      <c r="AB19">
        <v>133.780332056194</v>
      </c>
      <c r="AC19">
        <v>0.22976627046113801</v>
      </c>
      <c r="AD19" t="s">
        <v>744</v>
      </c>
      <c r="AE19" t="s">
        <v>724</v>
      </c>
    </row>
    <row r="20" spans="1:31" x14ac:dyDescent="0.45">
      <c r="A20" s="5" t="s">
        <v>19</v>
      </c>
      <c r="B20">
        <v>18</v>
      </c>
      <c r="C20">
        <v>0.8</v>
      </c>
      <c r="D20">
        <v>1.9900000000000001E-2</v>
      </c>
      <c r="E20">
        <v>1</v>
      </c>
      <c r="F20">
        <v>3</v>
      </c>
      <c r="G20">
        <f t="shared" si="0"/>
        <v>120.60301507537687</v>
      </c>
      <c r="H20">
        <f>AVERAGE(G15:G20)</f>
        <v>121.03239365317616</v>
      </c>
      <c r="I20">
        <f>STDEV(G15:G20)/SQRT(6)</f>
        <v>3.6491607651350924</v>
      </c>
      <c r="X20" t="s">
        <v>735</v>
      </c>
      <c r="Y20">
        <v>6</v>
      </c>
      <c r="Z20">
        <v>6</v>
      </c>
      <c r="AA20">
        <v>111.81541582150101</v>
      </c>
      <c r="AB20">
        <v>124.80173035328001</v>
      </c>
      <c r="AC20">
        <v>0.22895068141459499</v>
      </c>
      <c r="AD20" t="s">
        <v>744</v>
      </c>
      <c r="AE20" t="s">
        <v>724</v>
      </c>
    </row>
    <row r="21" spans="1:31" x14ac:dyDescent="0.45">
      <c r="A21" s="5" t="s">
        <v>20</v>
      </c>
      <c r="B21">
        <v>19</v>
      </c>
      <c r="C21">
        <v>0.7</v>
      </c>
      <c r="D21">
        <v>1.8499999999999999E-2</v>
      </c>
      <c r="E21">
        <v>1</v>
      </c>
      <c r="F21">
        <v>3</v>
      </c>
      <c r="G21">
        <f t="shared" si="0"/>
        <v>113.51351351351352</v>
      </c>
      <c r="X21" t="s">
        <v>736</v>
      </c>
      <c r="Y21">
        <v>6</v>
      </c>
      <c r="Z21">
        <v>6</v>
      </c>
      <c r="AA21">
        <v>108.91181988743</v>
      </c>
      <c r="AB21">
        <v>128.758288672904</v>
      </c>
      <c r="AC21">
        <v>4.53275620779722E-2</v>
      </c>
      <c r="AD21" t="s">
        <v>744</v>
      </c>
      <c r="AE21" t="s">
        <v>725</v>
      </c>
    </row>
    <row r="22" spans="1:31" x14ac:dyDescent="0.45">
      <c r="A22" s="5" t="s">
        <v>21</v>
      </c>
      <c r="B22">
        <v>20</v>
      </c>
      <c r="C22">
        <v>0.8</v>
      </c>
      <c r="D22">
        <v>1.95E-2</v>
      </c>
      <c r="E22">
        <v>1</v>
      </c>
      <c r="F22">
        <v>3</v>
      </c>
      <c r="G22">
        <f t="shared" si="0"/>
        <v>123.07692307692309</v>
      </c>
      <c r="X22" t="s">
        <v>737</v>
      </c>
      <c r="Y22">
        <v>6</v>
      </c>
      <c r="Z22">
        <v>6</v>
      </c>
      <c r="AA22">
        <v>91.503702297322903</v>
      </c>
      <c r="AB22">
        <v>97.230558175426594</v>
      </c>
      <c r="AC22">
        <v>0.378477593244679</v>
      </c>
      <c r="AD22" t="s">
        <v>744</v>
      </c>
      <c r="AE22" t="s">
        <v>724</v>
      </c>
    </row>
    <row r="23" spans="1:31" x14ac:dyDescent="0.45">
      <c r="A23" s="5" t="s">
        <v>22</v>
      </c>
      <c r="B23">
        <v>21</v>
      </c>
      <c r="C23">
        <v>0.8</v>
      </c>
      <c r="D23">
        <v>1.8599999999999998E-2</v>
      </c>
      <c r="E23">
        <v>1</v>
      </c>
      <c r="F23">
        <v>3</v>
      </c>
      <c r="G23">
        <f t="shared" si="0"/>
        <v>129.03225806451616</v>
      </c>
      <c r="X23" t="s">
        <v>738</v>
      </c>
      <c r="Y23">
        <v>6</v>
      </c>
      <c r="Z23">
        <v>6</v>
      </c>
      <c r="AA23">
        <v>113.489194342921</v>
      </c>
      <c r="AB23">
        <v>86.126373626373606</v>
      </c>
      <c r="AC23">
        <v>1.3065226764425999E-2</v>
      </c>
      <c r="AD23" t="s">
        <v>744</v>
      </c>
      <c r="AE23" t="s">
        <v>725</v>
      </c>
    </row>
    <row r="24" spans="1:31" x14ac:dyDescent="0.45">
      <c r="A24" s="5" t="s">
        <v>23</v>
      </c>
      <c r="B24">
        <v>22</v>
      </c>
      <c r="C24">
        <v>0.5</v>
      </c>
      <c r="D24">
        <v>2.1999999999999999E-2</v>
      </c>
      <c r="E24">
        <v>1</v>
      </c>
      <c r="F24">
        <v>3</v>
      </c>
      <c r="G24">
        <f t="shared" si="0"/>
        <v>68.181818181818187</v>
      </c>
    </row>
    <row r="25" spans="1:31" x14ac:dyDescent="0.45">
      <c r="A25" s="5" t="s">
        <v>24</v>
      </c>
      <c r="B25">
        <v>23</v>
      </c>
      <c r="C25">
        <v>0.6</v>
      </c>
      <c r="D25">
        <v>1.7600000000000001E-2</v>
      </c>
      <c r="E25">
        <v>1</v>
      </c>
      <c r="F25">
        <v>3</v>
      </c>
      <c r="G25">
        <f t="shared" si="0"/>
        <v>102.27272727272725</v>
      </c>
    </row>
    <row r="26" spans="1:31" ht="14.65" thickBot="1" x14ac:dyDescent="0.5">
      <c r="A26" s="6" t="s">
        <v>25</v>
      </c>
      <c r="B26" s="3">
        <v>24</v>
      </c>
      <c r="C26">
        <v>0.8</v>
      </c>
      <c r="D26" s="9">
        <v>1.5299999999999999E-2</v>
      </c>
      <c r="E26" s="9">
        <v>1</v>
      </c>
      <c r="F26" s="9">
        <v>3</v>
      </c>
      <c r="G26" s="9">
        <f t="shared" si="0"/>
        <v>156.86274509803926</v>
      </c>
      <c r="H26" s="9">
        <f>AVERAGE(G21:G26)</f>
        <v>115.48999753458958</v>
      </c>
      <c r="I26" s="9">
        <f>STDEV(G21:G26)/SQRT(6)</f>
        <v>12.068312580650922</v>
      </c>
    </row>
    <row r="27" spans="1:31" x14ac:dyDescent="0.45">
      <c r="A27" s="4" t="s">
        <v>26</v>
      </c>
      <c r="B27">
        <v>25</v>
      </c>
      <c r="C27">
        <v>0.9</v>
      </c>
      <c r="D27">
        <v>1.9199999999999998E-2</v>
      </c>
      <c r="E27">
        <v>1</v>
      </c>
      <c r="F27">
        <v>3</v>
      </c>
      <c r="G27">
        <f t="shared" si="0"/>
        <v>140.625</v>
      </c>
    </row>
    <row r="28" spans="1:31" x14ac:dyDescent="0.45">
      <c r="A28" s="5" t="s">
        <v>27</v>
      </c>
      <c r="B28">
        <v>26</v>
      </c>
      <c r="C28">
        <v>1.1000000000000001</v>
      </c>
      <c r="D28">
        <v>1.9E-2</v>
      </c>
      <c r="E28">
        <v>1</v>
      </c>
      <c r="F28">
        <v>3</v>
      </c>
      <c r="G28">
        <f t="shared" si="0"/>
        <v>173.68421052631584</v>
      </c>
    </row>
    <row r="29" spans="1:31" x14ac:dyDescent="0.45">
      <c r="A29" s="5" t="s">
        <v>28</v>
      </c>
      <c r="B29">
        <v>27</v>
      </c>
      <c r="C29">
        <v>0.7</v>
      </c>
      <c r="D29">
        <v>1.9699999999999999E-2</v>
      </c>
      <c r="E29">
        <v>1</v>
      </c>
      <c r="F29">
        <v>3</v>
      </c>
      <c r="G29">
        <f t="shared" si="0"/>
        <v>106.59898477157361</v>
      </c>
    </row>
    <row r="30" spans="1:31" x14ac:dyDescent="0.45">
      <c r="A30" s="5" t="s">
        <v>29</v>
      </c>
      <c r="B30">
        <v>28</v>
      </c>
      <c r="C30">
        <v>0.6</v>
      </c>
      <c r="D30">
        <v>1.6500000000000001E-2</v>
      </c>
      <c r="E30">
        <v>1</v>
      </c>
      <c r="F30">
        <v>3</v>
      </c>
      <c r="G30">
        <f t="shared" si="0"/>
        <v>109.09090909090908</v>
      </c>
    </row>
    <row r="31" spans="1:31" x14ac:dyDescent="0.45">
      <c r="A31" s="5" t="s">
        <v>30</v>
      </c>
      <c r="B31">
        <v>29</v>
      </c>
      <c r="C31">
        <v>0.9</v>
      </c>
      <c r="D31">
        <v>1.9099999999999999E-2</v>
      </c>
      <c r="E31">
        <v>1</v>
      </c>
      <c r="F31">
        <v>3</v>
      </c>
      <c r="G31">
        <f t="shared" si="0"/>
        <v>141.36125654450262</v>
      </c>
    </row>
    <row r="32" spans="1:31" x14ac:dyDescent="0.45">
      <c r="A32" s="5" t="s">
        <v>31</v>
      </c>
      <c r="B32">
        <v>30</v>
      </c>
      <c r="C32">
        <v>1.1000000000000001</v>
      </c>
      <c r="D32">
        <v>1.9599999999999999E-2</v>
      </c>
      <c r="E32">
        <v>1</v>
      </c>
      <c r="F32">
        <v>3</v>
      </c>
      <c r="G32">
        <f t="shared" si="0"/>
        <v>168.36734693877554</v>
      </c>
      <c r="H32">
        <f>AVERAGE(G27:G32)</f>
        <v>139.95461797867944</v>
      </c>
      <c r="I32">
        <f>STDEV(G27:G32)/SQRT(6)</f>
        <v>11.56512489838145</v>
      </c>
    </row>
    <row r="33" spans="1:9" x14ac:dyDescent="0.45">
      <c r="A33" s="5" t="s">
        <v>32</v>
      </c>
      <c r="B33">
        <v>31</v>
      </c>
      <c r="C33">
        <v>1.2</v>
      </c>
      <c r="D33">
        <v>1.8499999999999999E-2</v>
      </c>
      <c r="E33">
        <v>1</v>
      </c>
      <c r="F33">
        <v>3</v>
      </c>
      <c r="G33">
        <f t="shared" si="0"/>
        <v>194.59459459459461</v>
      </c>
    </row>
    <row r="34" spans="1:9" x14ac:dyDescent="0.45">
      <c r="A34" s="5" t="s">
        <v>33</v>
      </c>
      <c r="B34">
        <v>32</v>
      </c>
      <c r="C34">
        <v>1.3</v>
      </c>
      <c r="D34">
        <v>0.02</v>
      </c>
      <c r="E34">
        <v>1</v>
      </c>
      <c r="F34">
        <v>3</v>
      </c>
      <c r="G34">
        <f t="shared" si="0"/>
        <v>195</v>
      </c>
    </row>
    <row r="35" spans="1:9" x14ac:dyDescent="0.45">
      <c r="A35" s="5" t="s">
        <v>34</v>
      </c>
      <c r="B35">
        <v>33</v>
      </c>
      <c r="C35">
        <v>1.2</v>
      </c>
      <c r="D35">
        <v>1.66E-2</v>
      </c>
      <c r="E35">
        <v>1</v>
      </c>
      <c r="F35">
        <v>3</v>
      </c>
      <c r="G35">
        <f t="shared" ref="G35:G63" si="1">(C35*(E35/D35)*F35)</f>
        <v>216.86746987951804</v>
      </c>
    </row>
    <row r="36" spans="1:9" x14ac:dyDescent="0.45">
      <c r="A36" s="5" t="s">
        <v>35</v>
      </c>
      <c r="B36">
        <v>34</v>
      </c>
      <c r="C36">
        <v>1.4</v>
      </c>
      <c r="D36">
        <v>1.8100000000000002E-2</v>
      </c>
      <c r="E36">
        <v>1</v>
      </c>
      <c r="F36">
        <v>3</v>
      </c>
      <c r="G36">
        <f t="shared" si="1"/>
        <v>232.04419889502759</v>
      </c>
    </row>
    <row r="37" spans="1:9" x14ac:dyDescent="0.45">
      <c r="A37" s="5" t="s">
        <v>36</v>
      </c>
      <c r="B37">
        <v>35</v>
      </c>
      <c r="C37">
        <v>1</v>
      </c>
      <c r="D37">
        <v>1.8599999999999998E-2</v>
      </c>
      <c r="E37">
        <v>1</v>
      </c>
      <c r="F37">
        <v>3</v>
      </c>
      <c r="G37">
        <f t="shared" si="1"/>
        <v>161.29032258064518</v>
      </c>
    </row>
    <row r="38" spans="1:9" ht="14.65" thickBot="1" x14ac:dyDescent="0.5">
      <c r="A38" s="6" t="s">
        <v>37</v>
      </c>
      <c r="B38" s="3">
        <v>36</v>
      </c>
      <c r="C38">
        <v>0.7</v>
      </c>
      <c r="D38" s="9">
        <v>2.23E-2</v>
      </c>
      <c r="E38" s="9">
        <v>1</v>
      </c>
      <c r="F38" s="9">
        <v>3</v>
      </c>
      <c r="G38" s="9">
        <f t="shared" si="1"/>
        <v>94.170403587443928</v>
      </c>
      <c r="H38" s="9">
        <f>AVERAGE(G33:G38)</f>
        <v>182.32783158953819</v>
      </c>
      <c r="I38" s="9">
        <f>STDEV(G33:G38)/SQRT(6)</f>
        <v>20.157769399866638</v>
      </c>
    </row>
    <row r="39" spans="1:9" x14ac:dyDescent="0.45">
      <c r="A39" s="4" t="s">
        <v>38</v>
      </c>
      <c r="B39">
        <v>37</v>
      </c>
      <c r="C39">
        <v>0.8</v>
      </c>
      <c r="D39">
        <v>1.7100000000000001E-2</v>
      </c>
      <c r="E39">
        <v>1</v>
      </c>
      <c r="F39">
        <v>3</v>
      </c>
      <c r="G39">
        <f t="shared" si="1"/>
        <v>140.35087719298247</v>
      </c>
    </row>
    <row r="40" spans="1:9" x14ac:dyDescent="0.45">
      <c r="A40" s="5" t="s">
        <v>39</v>
      </c>
      <c r="B40">
        <v>38</v>
      </c>
      <c r="C40">
        <v>1</v>
      </c>
      <c r="D40">
        <v>1.8800000000000001E-2</v>
      </c>
      <c r="E40">
        <v>1</v>
      </c>
      <c r="F40">
        <v>3</v>
      </c>
      <c r="G40">
        <f t="shared" si="1"/>
        <v>159.57446808510639</v>
      </c>
    </row>
    <row r="41" spans="1:9" x14ac:dyDescent="0.45">
      <c r="A41" s="5" t="s">
        <v>40</v>
      </c>
      <c r="B41">
        <v>39</v>
      </c>
      <c r="C41">
        <v>0.8</v>
      </c>
      <c r="D41">
        <v>1.5900000000000001E-2</v>
      </c>
      <c r="E41">
        <v>1</v>
      </c>
      <c r="F41">
        <v>3</v>
      </c>
      <c r="G41">
        <f t="shared" si="1"/>
        <v>150.9433962264151</v>
      </c>
    </row>
    <row r="42" spans="1:9" x14ac:dyDescent="0.45">
      <c r="A42" s="5" t="s">
        <v>41</v>
      </c>
      <c r="B42">
        <v>40</v>
      </c>
      <c r="C42">
        <v>1</v>
      </c>
      <c r="D42">
        <v>1.9699999999999999E-2</v>
      </c>
      <c r="E42">
        <v>1</v>
      </c>
      <c r="F42">
        <v>3</v>
      </c>
      <c r="G42">
        <f t="shared" si="1"/>
        <v>152.28426395939087</v>
      </c>
    </row>
    <row r="43" spans="1:9" x14ac:dyDescent="0.45">
      <c r="A43" s="5" t="s">
        <v>42</v>
      </c>
      <c r="B43">
        <v>41</v>
      </c>
      <c r="C43">
        <v>0.8</v>
      </c>
      <c r="D43">
        <v>2.0400000000000001E-2</v>
      </c>
      <c r="E43">
        <v>1</v>
      </c>
      <c r="F43">
        <v>3</v>
      </c>
      <c r="G43">
        <f t="shared" si="1"/>
        <v>117.64705882352942</v>
      </c>
    </row>
    <row r="44" spans="1:9" x14ac:dyDescent="0.45">
      <c r="A44" s="5" t="s">
        <v>43</v>
      </c>
      <c r="B44">
        <v>42</v>
      </c>
      <c r="C44">
        <v>0.7</v>
      </c>
      <c r="D44">
        <v>1.84E-2</v>
      </c>
      <c r="E44">
        <v>1</v>
      </c>
      <c r="F44">
        <v>3</v>
      </c>
      <c r="G44">
        <f t="shared" si="1"/>
        <v>114.13043478260869</v>
      </c>
      <c r="H44">
        <f>AVERAGE(G39:G44)</f>
        <v>139.15508317833883</v>
      </c>
      <c r="I44">
        <f>STDEV(G39:G44)/SQRT(6)</f>
        <v>7.7857756084930614</v>
      </c>
    </row>
    <row r="45" spans="1:9" x14ac:dyDescent="0.45">
      <c r="A45" s="5" t="s">
        <v>44</v>
      </c>
      <c r="B45">
        <v>43</v>
      </c>
      <c r="C45">
        <v>1</v>
      </c>
      <c r="D45">
        <v>1.9099999999999999E-2</v>
      </c>
      <c r="E45">
        <v>1</v>
      </c>
      <c r="F45">
        <v>3</v>
      </c>
      <c r="G45">
        <f t="shared" si="1"/>
        <v>157.06806282722513</v>
      </c>
    </row>
    <row r="46" spans="1:9" x14ac:dyDescent="0.45">
      <c r="A46" s="5" t="s">
        <v>45</v>
      </c>
      <c r="B46">
        <v>44</v>
      </c>
      <c r="C46">
        <v>1</v>
      </c>
      <c r="D46">
        <v>1.7899999999999999E-2</v>
      </c>
      <c r="E46">
        <v>1</v>
      </c>
      <c r="F46">
        <v>3</v>
      </c>
      <c r="G46">
        <f t="shared" si="1"/>
        <v>167.59776536312847</v>
      </c>
    </row>
    <row r="47" spans="1:9" x14ac:dyDescent="0.45">
      <c r="A47" s="5" t="s">
        <v>46</v>
      </c>
      <c r="B47">
        <v>45</v>
      </c>
      <c r="C47">
        <v>1.3</v>
      </c>
      <c r="D47">
        <v>1.9900000000000001E-2</v>
      </c>
      <c r="E47">
        <v>1</v>
      </c>
      <c r="F47">
        <v>3</v>
      </c>
      <c r="G47">
        <f t="shared" si="1"/>
        <v>195.97989949748739</v>
      </c>
    </row>
    <row r="48" spans="1:9" x14ac:dyDescent="0.45">
      <c r="A48" s="5" t="s">
        <v>47</v>
      </c>
      <c r="B48">
        <v>46</v>
      </c>
      <c r="C48">
        <v>1.2</v>
      </c>
      <c r="D48">
        <v>1.84E-2</v>
      </c>
      <c r="E48">
        <v>1</v>
      </c>
      <c r="F48">
        <v>3</v>
      </c>
      <c r="G48">
        <f t="shared" si="1"/>
        <v>195.6521739130435</v>
      </c>
    </row>
    <row r="49" spans="1:9" x14ac:dyDescent="0.45">
      <c r="A49" s="5" t="s">
        <v>48</v>
      </c>
      <c r="B49">
        <v>47</v>
      </c>
      <c r="C49">
        <v>1.1000000000000001</v>
      </c>
      <c r="D49">
        <v>1.9699999999999999E-2</v>
      </c>
      <c r="E49">
        <v>1</v>
      </c>
      <c r="F49">
        <v>3</v>
      </c>
      <c r="G49">
        <f t="shared" si="1"/>
        <v>167.51269035532999</v>
      </c>
    </row>
    <row r="50" spans="1:9" ht="14.65" thickBot="1" x14ac:dyDescent="0.5">
      <c r="A50" s="6" t="s">
        <v>49</v>
      </c>
      <c r="B50" s="3">
        <v>48</v>
      </c>
      <c r="C50">
        <v>1.2</v>
      </c>
      <c r="D50" s="9">
        <v>2.1299999999999999E-2</v>
      </c>
      <c r="E50" s="9">
        <v>1</v>
      </c>
      <c r="F50" s="9">
        <v>3</v>
      </c>
      <c r="G50" s="9">
        <f t="shared" si="1"/>
        <v>169.01408450704224</v>
      </c>
      <c r="H50" s="9">
        <f>AVERAGE(G45:G50)</f>
        <v>175.4707794105428</v>
      </c>
      <c r="I50" s="9">
        <f>STDEV(G45:G50)/SQRT(6)</f>
        <v>6.6672760783060561</v>
      </c>
    </row>
    <row r="51" spans="1:9" x14ac:dyDescent="0.45">
      <c r="A51" s="4" t="s">
        <v>50</v>
      </c>
      <c r="B51">
        <v>49</v>
      </c>
      <c r="C51">
        <v>0.9</v>
      </c>
      <c r="D51">
        <v>1.7500000000000002E-2</v>
      </c>
      <c r="E51">
        <v>1</v>
      </c>
      <c r="F51">
        <v>3</v>
      </c>
      <c r="G51">
        <f t="shared" si="1"/>
        <v>154.28571428571428</v>
      </c>
    </row>
    <row r="52" spans="1:9" x14ac:dyDescent="0.45">
      <c r="A52" s="5" t="s">
        <v>51</v>
      </c>
      <c r="B52">
        <v>50</v>
      </c>
      <c r="C52">
        <v>1.1000000000000001</v>
      </c>
      <c r="D52">
        <v>1.78E-2</v>
      </c>
      <c r="E52">
        <v>1</v>
      </c>
      <c r="F52">
        <v>3</v>
      </c>
      <c r="G52">
        <f t="shared" si="1"/>
        <v>185.39325842696633</v>
      </c>
    </row>
    <row r="53" spans="1:9" x14ac:dyDescent="0.45">
      <c r="A53" s="5" t="s">
        <v>52</v>
      </c>
      <c r="B53">
        <v>51</v>
      </c>
      <c r="C53">
        <v>1</v>
      </c>
      <c r="D53">
        <v>1.8700000000000001E-2</v>
      </c>
      <c r="E53">
        <v>1</v>
      </c>
      <c r="F53">
        <v>3</v>
      </c>
      <c r="G53">
        <f t="shared" si="1"/>
        <v>160.427807486631</v>
      </c>
    </row>
    <row r="54" spans="1:9" x14ac:dyDescent="0.45">
      <c r="A54" s="5" t="s">
        <v>53</v>
      </c>
      <c r="B54">
        <v>52</v>
      </c>
      <c r="C54">
        <v>1</v>
      </c>
      <c r="D54">
        <v>1.66E-2</v>
      </c>
      <c r="E54">
        <v>1</v>
      </c>
      <c r="F54">
        <v>3</v>
      </c>
      <c r="G54">
        <f t="shared" si="1"/>
        <v>180.72289156626505</v>
      </c>
    </row>
    <row r="55" spans="1:9" x14ac:dyDescent="0.45">
      <c r="A55" s="5" t="s">
        <v>54</v>
      </c>
      <c r="B55">
        <v>53</v>
      </c>
      <c r="C55">
        <v>0.8</v>
      </c>
      <c r="D55">
        <v>1.8100000000000002E-2</v>
      </c>
      <c r="E55">
        <v>1</v>
      </c>
      <c r="F55">
        <v>3</v>
      </c>
      <c r="G55">
        <f t="shared" si="1"/>
        <v>132.59668508287291</v>
      </c>
    </row>
    <row r="56" spans="1:9" x14ac:dyDescent="0.45">
      <c r="A56" s="5" t="s">
        <v>55</v>
      </c>
      <c r="B56">
        <v>54</v>
      </c>
      <c r="C56">
        <v>0.9</v>
      </c>
      <c r="D56">
        <v>1.7100000000000001E-2</v>
      </c>
      <c r="E56">
        <v>1</v>
      </c>
      <c r="F56">
        <v>3</v>
      </c>
      <c r="G56">
        <f t="shared" si="1"/>
        <v>157.89473684210526</v>
      </c>
      <c r="H56">
        <f>AVERAGE(G51:G56)</f>
        <v>161.88684894842581</v>
      </c>
      <c r="I56">
        <f>STDEV(G51:G56)/SQRT(6)</f>
        <v>7.8339102551283535</v>
      </c>
    </row>
    <row r="57" spans="1:9" x14ac:dyDescent="0.45">
      <c r="A57" s="5" t="s">
        <v>56</v>
      </c>
      <c r="B57">
        <v>55</v>
      </c>
      <c r="C57">
        <v>0.8</v>
      </c>
      <c r="D57">
        <v>1.8700000000000001E-2</v>
      </c>
      <c r="E57">
        <v>1</v>
      </c>
      <c r="F57">
        <v>3</v>
      </c>
      <c r="G57">
        <f t="shared" si="1"/>
        <v>128.34224598930481</v>
      </c>
    </row>
    <row r="58" spans="1:9" x14ac:dyDescent="0.45">
      <c r="A58" s="5" t="s">
        <v>57</v>
      </c>
      <c r="B58">
        <v>56</v>
      </c>
      <c r="C58">
        <v>1</v>
      </c>
      <c r="D58">
        <v>2.0899999999999998E-2</v>
      </c>
      <c r="E58">
        <v>1</v>
      </c>
      <c r="F58">
        <v>3</v>
      </c>
      <c r="G58">
        <f t="shared" si="1"/>
        <v>143.54066985645935</v>
      </c>
    </row>
    <row r="59" spans="1:9" x14ac:dyDescent="0.45">
      <c r="A59" s="5" t="s">
        <v>58</v>
      </c>
      <c r="B59">
        <v>57</v>
      </c>
      <c r="C59">
        <v>1</v>
      </c>
      <c r="D59">
        <v>1.89E-2</v>
      </c>
      <c r="E59">
        <v>1</v>
      </c>
      <c r="F59">
        <v>3</v>
      </c>
      <c r="G59">
        <f t="shared" si="1"/>
        <v>158.73015873015873</v>
      </c>
    </row>
    <row r="60" spans="1:9" x14ac:dyDescent="0.45">
      <c r="A60" s="5" t="s">
        <v>59</v>
      </c>
      <c r="B60">
        <v>58</v>
      </c>
      <c r="C60">
        <v>1.2</v>
      </c>
      <c r="D60">
        <v>1.9E-2</v>
      </c>
      <c r="E60">
        <v>1</v>
      </c>
      <c r="F60">
        <v>3</v>
      </c>
      <c r="G60">
        <f t="shared" si="1"/>
        <v>189.47368421052633</v>
      </c>
    </row>
    <row r="61" spans="1:9" x14ac:dyDescent="0.45">
      <c r="A61" s="5" t="s">
        <v>60</v>
      </c>
      <c r="B61">
        <v>59</v>
      </c>
      <c r="C61">
        <v>1</v>
      </c>
      <c r="D61">
        <v>2.1499999999999998E-2</v>
      </c>
      <c r="E61">
        <v>1</v>
      </c>
      <c r="F61">
        <v>3</v>
      </c>
      <c r="G61">
        <f t="shared" si="1"/>
        <v>139.53488372093025</v>
      </c>
    </row>
    <row r="62" spans="1:9" ht="14.65" thickBot="1" x14ac:dyDescent="0.5">
      <c r="A62" s="6" t="s">
        <v>61</v>
      </c>
      <c r="B62" s="3">
        <v>60</v>
      </c>
      <c r="C62">
        <v>1</v>
      </c>
      <c r="D62" s="9">
        <v>1.9900000000000001E-2</v>
      </c>
      <c r="E62" s="9">
        <v>1</v>
      </c>
      <c r="F62" s="9">
        <v>3</v>
      </c>
      <c r="G62" s="9">
        <f t="shared" si="1"/>
        <v>150.7537688442211</v>
      </c>
      <c r="H62" s="9">
        <f>AVERAGE(G57:G62)</f>
        <v>151.72923522526676</v>
      </c>
      <c r="I62" s="9">
        <f>STDEV(G57:G62)/SQRT(6)</f>
        <v>8.6358052523901758</v>
      </c>
    </row>
    <row r="63" spans="1:9" x14ac:dyDescent="0.45">
      <c r="A63" s="4" t="s">
        <v>62</v>
      </c>
      <c r="B63">
        <v>61</v>
      </c>
      <c r="C63">
        <v>0.6</v>
      </c>
      <c r="D63">
        <v>1.8499999999999999E-2</v>
      </c>
      <c r="E63">
        <v>1</v>
      </c>
      <c r="F63">
        <v>3</v>
      </c>
      <c r="G63">
        <f t="shared" si="1"/>
        <v>97.297297297297305</v>
      </c>
    </row>
    <row r="64" spans="1:9" x14ac:dyDescent="0.45">
      <c r="A64" s="5" t="s">
        <v>63</v>
      </c>
      <c r="B64">
        <v>62</v>
      </c>
      <c r="C64">
        <v>0.8</v>
      </c>
      <c r="D64">
        <v>2.1000000000000001E-2</v>
      </c>
      <c r="E64">
        <v>1</v>
      </c>
      <c r="F64">
        <v>3</v>
      </c>
      <c r="G64">
        <f t="shared" ref="G64:G67" si="2">(C64*(E64/D64)*F64)</f>
        <v>114.28571428571428</v>
      </c>
    </row>
    <row r="65" spans="1:9" x14ac:dyDescent="0.45">
      <c r="A65" s="5" t="s">
        <v>64</v>
      </c>
      <c r="B65">
        <v>63</v>
      </c>
      <c r="C65">
        <v>0.6</v>
      </c>
      <c r="D65">
        <v>1.9400000000000001E-2</v>
      </c>
      <c r="E65">
        <v>1</v>
      </c>
      <c r="F65">
        <v>3</v>
      </c>
      <c r="G65">
        <f t="shared" si="2"/>
        <v>92.783505154639172</v>
      </c>
    </row>
    <row r="66" spans="1:9" x14ac:dyDescent="0.45">
      <c r="A66" s="5" t="s">
        <v>65</v>
      </c>
      <c r="B66">
        <v>64</v>
      </c>
      <c r="C66">
        <v>0.6</v>
      </c>
      <c r="D66">
        <v>1.7500000000000002E-2</v>
      </c>
      <c r="E66">
        <v>1</v>
      </c>
      <c r="F66">
        <v>3</v>
      </c>
      <c r="G66">
        <f t="shared" si="2"/>
        <v>102.85714285714286</v>
      </c>
    </row>
    <row r="67" spans="1:9" x14ac:dyDescent="0.45">
      <c r="A67" s="5" t="s">
        <v>66</v>
      </c>
      <c r="B67">
        <v>65</v>
      </c>
      <c r="C67">
        <v>1</v>
      </c>
      <c r="D67">
        <v>2.0500000000000001E-2</v>
      </c>
      <c r="E67">
        <v>1</v>
      </c>
      <c r="F67">
        <v>3</v>
      </c>
      <c r="G67">
        <f t="shared" si="2"/>
        <v>146.34146341463415</v>
      </c>
    </row>
    <row r="68" spans="1:9" x14ac:dyDescent="0.45">
      <c r="A68" s="5" t="s">
        <v>67</v>
      </c>
      <c r="B68">
        <v>66</v>
      </c>
      <c r="C68">
        <v>0.8</v>
      </c>
      <c r="D68">
        <v>1.9800000000000002E-2</v>
      </c>
      <c r="E68">
        <v>1</v>
      </c>
      <c r="F68">
        <v>3</v>
      </c>
      <c r="G68">
        <f t="shared" ref="G68:G122" si="3">(C68*(E68/D68)*F68)</f>
        <v>121.2121212121212</v>
      </c>
      <c r="H68">
        <f>AVERAGE(G63:G68)</f>
        <v>112.46287403692484</v>
      </c>
      <c r="I68">
        <f>STDEV(G63:G68)/SQRT(6)</f>
        <v>8.0356979366606147</v>
      </c>
    </row>
    <row r="69" spans="1:9" x14ac:dyDescent="0.45">
      <c r="A69" s="5" t="s">
        <v>68</v>
      </c>
      <c r="B69">
        <v>67</v>
      </c>
      <c r="C69">
        <v>0.8</v>
      </c>
      <c r="D69">
        <v>1.7399999999999999E-2</v>
      </c>
      <c r="E69">
        <v>1</v>
      </c>
      <c r="F69">
        <v>3</v>
      </c>
      <c r="G69">
        <f t="shared" si="3"/>
        <v>137.93103448275863</v>
      </c>
    </row>
    <row r="70" spans="1:9" x14ac:dyDescent="0.45">
      <c r="A70" s="5" t="s">
        <v>69</v>
      </c>
      <c r="B70">
        <v>68</v>
      </c>
      <c r="C70">
        <v>0.7</v>
      </c>
      <c r="D70">
        <v>1.6199999999999999E-2</v>
      </c>
      <c r="E70">
        <v>1</v>
      </c>
      <c r="F70">
        <v>3</v>
      </c>
      <c r="G70">
        <f t="shared" si="3"/>
        <v>129.62962962962965</v>
      </c>
    </row>
    <row r="71" spans="1:9" x14ac:dyDescent="0.45">
      <c r="A71" s="5" t="s">
        <v>70</v>
      </c>
      <c r="B71">
        <v>69</v>
      </c>
      <c r="C71">
        <v>0.8</v>
      </c>
      <c r="D71">
        <v>2.1899999999999999E-2</v>
      </c>
      <c r="E71">
        <v>1</v>
      </c>
      <c r="F71">
        <v>3</v>
      </c>
      <c r="G71">
        <f t="shared" si="3"/>
        <v>109.58904109589042</v>
      </c>
    </row>
    <row r="72" spans="1:9" x14ac:dyDescent="0.45">
      <c r="A72" s="5" t="s">
        <v>71</v>
      </c>
      <c r="B72">
        <v>70</v>
      </c>
      <c r="C72">
        <v>0.9</v>
      </c>
      <c r="D72">
        <v>1.9400000000000001E-2</v>
      </c>
      <c r="E72">
        <v>1</v>
      </c>
      <c r="F72">
        <v>3</v>
      </c>
      <c r="G72">
        <f t="shared" si="3"/>
        <v>139.17525773195877</v>
      </c>
    </row>
    <row r="73" spans="1:9" x14ac:dyDescent="0.45">
      <c r="A73" s="5" t="s">
        <v>72</v>
      </c>
      <c r="B73">
        <v>71</v>
      </c>
      <c r="C73">
        <v>0.7</v>
      </c>
      <c r="D73">
        <v>1.9300000000000001E-2</v>
      </c>
      <c r="E73">
        <v>1</v>
      </c>
      <c r="F73">
        <v>3</v>
      </c>
      <c r="G73">
        <f t="shared" si="3"/>
        <v>108.8082901554404</v>
      </c>
    </row>
    <row r="74" spans="1:9" ht="14.65" thickBot="1" x14ac:dyDescent="0.5">
      <c r="A74" s="6" t="s">
        <v>73</v>
      </c>
      <c r="B74" s="3">
        <v>72</v>
      </c>
      <c r="C74">
        <v>0.9</v>
      </c>
      <c r="D74" s="9">
        <v>1.8599999999999998E-2</v>
      </c>
      <c r="E74" s="9">
        <v>1</v>
      </c>
      <c r="F74" s="9">
        <v>3</v>
      </c>
      <c r="G74" s="9">
        <f t="shared" si="3"/>
        <v>145.16129032258067</v>
      </c>
      <c r="H74" s="9">
        <f>AVERAGE(G69:G74)</f>
        <v>128.3824239030431</v>
      </c>
      <c r="I74" s="9">
        <f>STDEV(G69:G74)/SQRT(6)</f>
        <v>6.3955324402167486</v>
      </c>
    </row>
    <row r="75" spans="1:9" x14ac:dyDescent="0.45">
      <c r="A75" s="4" t="s">
        <v>74</v>
      </c>
      <c r="B75">
        <v>73</v>
      </c>
      <c r="C75">
        <v>0.7</v>
      </c>
      <c r="D75">
        <v>1.7000000000000001E-2</v>
      </c>
      <c r="E75">
        <v>1</v>
      </c>
      <c r="F75">
        <v>3</v>
      </c>
      <c r="G75">
        <f t="shared" si="3"/>
        <v>123.52941176470587</v>
      </c>
    </row>
    <row r="76" spans="1:9" x14ac:dyDescent="0.45">
      <c r="A76" s="5" t="s">
        <v>75</v>
      </c>
      <c r="B76">
        <v>74</v>
      </c>
      <c r="C76">
        <v>1</v>
      </c>
      <c r="D76">
        <v>2.1299999999999999E-2</v>
      </c>
      <c r="E76">
        <v>1</v>
      </c>
      <c r="F76">
        <v>3</v>
      </c>
      <c r="G76">
        <f t="shared" si="3"/>
        <v>140.8450704225352</v>
      </c>
    </row>
    <row r="77" spans="1:9" x14ac:dyDescent="0.45">
      <c r="A77" s="5" t="s">
        <v>76</v>
      </c>
      <c r="B77">
        <v>75</v>
      </c>
      <c r="C77">
        <v>0.6</v>
      </c>
      <c r="D77">
        <v>1.9300000000000001E-2</v>
      </c>
      <c r="E77">
        <v>1</v>
      </c>
      <c r="F77">
        <v>3</v>
      </c>
      <c r="G77">
        <f t="shared" si="3"/>
        <v>93.264248704663203</v>
      </c>
    </row>
    <row r="78" spans="1:9" x14ac:dyDescent="0.45">
      <c r="A78" s="5" t="s">
        <v>77</v>
      </c>
      <c r="B78">
        <v>76</v>
      </c>
      <c r="C78">
        <v>0.6</v>
      </c>
      <c r="D78">
        <v>1.9300000000000001E-2</v>
      </c>
      <c r="E78">
        <v>1</v>
      </c>
      <c r="F78">
        <v>3</v>
      </c>
      <c r="G78">
        <f t="shared" si="3"/>
        <v>93.264248704663203</v>
      </c>
    </row>
    <row r="79" spans="1:9" x14ac:dyDescent="0.45">
      <c r="A79" s="5" t="s">
        <v>78</v>
      </c>
      <c r="B79">
        <v>77</v>
      </c>
      <c r="C79">
        <v>0.7</v>
      </c>
      <c r="D79">
        <v>2.0400000000000001E-2</v>
      </c>
      <c r="E79">
        <v>1</v>
      </c>
      <c r="F79">
        <v>3</v>
      </c>
      <c r="G79">
        <f t="shared" si="3"/>
        <v>102.9411764705882</v>
      </c>
    </row>
    <row r="80" spans="1:9" x14ac:dyDescent="0.45">
      <c r="A80" s="5" t="s">
        <v>79</v>
      </c>
      <c r="B80">
        <v>78</v>
      </c>
      <c r="C80">
        <v>0.7</v>
      </c>
      <c r="D80">
        <v>1.7399999999999999E-2</v>
      </c>
      <c r="E80">
        <v>1</v>
      </c>
      <c r="F80">
        <v>3</v>
      </c>
      <c r="G80">
        <f t="shared" si="3"/>
        <v>120.68965517241379</v>
      </c>
      <c r="H80">
        <f>AVERAGE(G75:G80)</f>
        <v>112.42230187326159</v>
      </c>
      <c r="I80">
        <f>STDEV(G75:G80)/SQRT(6)</f>
        <v>7.7964191225674897</v>
      </c>
    </row>
    <row r="81" spans="1:9" x14ac:dyDescent="0.45">
      <c r="A81" s="5" t="s">
        <v>80</v>
      </c>
      <c r="B81">
        <v>79</v>
      </c>
      <c r="C81">
        <v>0.8</v>
      </c>
      <c r="D81">
        <v>1.9E-2</v>
      </c>
      <c r="E81">
        <v>1</v>
      </c>
      <c r="F81">
        <v>3</v>
      </c>
      <c r="G81">
        <f t="shared" si="3"/>
        <v>126.31578947368422</v>
      </c>
    </row>
    <row r="82" spans="1:9" x14ac:dyDescent="0.45">
      <c r="A82" s="5" t="s">
        <v>81</v>
      </c>
      <c r="B82">
        <v>80</v>
      </c>
      <c r="C82">
        <v>0.9</v>
      </c>
      <c r="D82">
        <v>2.1899999999999999E-2</v>
      </c>
      <c r="E82">
        <v>1</v>
      </c>
      <c r="F82">
        <v>3</v>
      </c>
      <c r="G82">
        <f t="shared" si="3"/>
        <v>123.28767123287673</v>
      </c>
    </row>
    <row r="83" spans="1:9" x14ac:dyDescent="0.45">
      <c r="A83" s="5" t="s">
        <v>82</v>
      </c>
      <c r="B83">
        <v>81</v>
      </c>
      <c r="C83">
        <v>0.8</v>
      </c>
      <c r="D83">
        <v>1.67E-2</v>
      </c>
      <c r="E83">
        <v>1</v>
      </c>
      <c r="F83">
        <v>3</v>
      </c>
      <c r="G83">
        <f t="shared" si="3"/>
        <v>143.7125748502994</v>
      </c>
    </row>
    <row r="84" spans="1:9" x14ac:dyDescent="0.45">
      <c r="A84" s="5" t="s">
        <v>83</v>
      </c>
      <c r="B84">
        <v>82</v>
      </c>
      <c r="C84">
        <v>0.9</v>
      </c>
      <c r="D84">
        <v>1.7999999999999999E-2</v>
      </c>
      <c r="E84">
        <v>1</v>
      </c>
      <c r="F84">
        <v>3</v>
      </c>
      <c r="G84">
        <f t="shared" si="3"/>
        <v>150</v>
      </c>
    </row>
    <row r="85" spans="1:9" x14ac:dyDescent="0.45">
      <c r="A85" s="5" t="s">
        <v>84</v>
      </c>
      <c r="B85">
        <v>83</v>
      </c>
      <c r="C85">
        <v>0.6</v>
      </c>
      <c r="D85">
        <v>1.83E-2</v>
      </c>
      <c r="E85">
        <v>1</v>
      </c>
      <c r="F85">
        <v>3</v>
      </c>
      <c r="G85">
        <f t="shared" si="3"/>
        <v>98.360655737704917</v>
      </c>
    </row>
    <row r="86" spans="1:9" ht="14.65" thickBot="1" x14ac:dyDescent="0.5">
      <c r="A86" s="6" t="s">
        <v>85</v>
      </c>
      <c r="B86" s="3">
        <v>84</v>
      </c>
      <c r="C86">
        <v>0.8</v>
      </c>
      <c r="D86" s="9">
        <v>0.02</v>
      </c>
      <c r="E86" s="9">
        <v>1</v>
      </c>
      <c r="F86" s="9">
        <v>3</v>
      </c>
      <c r="G86" s="9">
        <f t="shared" si="3"/>
        <v>120</v>
      </c>
      <c r="H86" s="9">
        <f>AVERAGE(G81:G86)</f>
        <v>126.94611521576087</v>
      </c>
      <c r="I86" s="9">
        <f>STDEV(G81:G86)/SQRT(6)</f>
        <v>7.5094480609447665</v>
      </c>
    </row>
    <row r="87" spans="1:9" x14ac:dyDescent="0.45">
      <c r="A87" s="4" t="s">
        <v>86</v>
      </c>
      <c r="B87">
        <v>85</v>
      </c>
      <c r="C87">
        <v>0.9</v>
      </c>
      <c r="D87">
        <v>2.2499999999999999E-2</v>
      </c>
      <c r="E87">
        <v>1</v>
      </c>
      <c r="F87">
        <v>3</v>
      </c>
      <c r="G87">
        <f t="shared" si="3"/>
        <v>120</v>
      </c>
    </row>
    <row r="88" spans="1:9" x14ac:dyDescent="0.45">
      <c r="A88" s="5" t="s">
        <v>87</v>
      </c>
      <c r="B88">
        <v>86</v>
      </c>
      <c r="C88">
        <v>0.8</v>
      </c>
      <c r="D88">
        <v>2.0799999999999999E-2</v>
      </c>
      <c r="E88">
        <v>1</v>
      </c>
      <c r="F88">
        <v>3</v>
      </c>
      <c r="G88">
        <f t="shared" si="3"/>
        <v>115.3846153846154</v>
      </c>
    </row>
    <row r="89" spans="1:9" x14ac:dyDescent="0.45">
      <c r="A89" s="5" t="s">
        <v>88</v>
      </c>
      <c r="B89">
        <v>87</v>
      </c>
      <c r="C89">
        <v>0.7</v>
      </c>
      <c r="D89">
        <v>2.0500000000000001E-2</v>
      </c>
      <c r="E89">
        <v>1</v>
      </c>
      <c r="F89">
        <v>3</v>
      </c>
      <c r="G89">
        <f t="shared" si="3"/>
        <v>102.43902439024389</v>
      </c>
    </row>
    <row r="90" spans="1:9" x14ac:dyDescent="0.45">
      <c r="A90" s="5" t="s">
        <v>89</v>
      </c>
      <c r="B90">
        <v>88</v>
      </c>
      <c r="C90">
        <v>0.7</v>
      </c>
      <c r="D90">
        <v>1.7500000000000002E-2</v>
      </c>
      <c r="E90">
        <v>1</v>
      </c>
      <c r="F90">
        <v>3</v>
      </c>
      <c r="G90">
        <f t="shared" si="3"/>
        <v>119.99999999999997</v>
      </c>
    </row>
    <row r="91" spans="1:9" x14ac:dyDescent="0.45">
      <c r="A91" s="5" t="s">
        <v>90</v>
      </c>
      <c r="B91">
        <v>89</v>
      </c>
      <c r="C91">
        <v>0.7</v>
      </c>
      <c r="D91">
        <v>2.3900000000000001E-2</v>
      </c>
      <c r="E91">
        <v>1</v>
      </c>
      <c r="F91">
        <v>3</v>
      </c>
      <c r="G91">
        <f t="shared" si="3"/>
        <v>87.866108786610852</v>
      </c>
    </row>
    <row r="92" spans="1:9" x14ac:dyDescent="0.45">
      <c r="A92" s="5" t="s">
        <v>91</v>
      </c>
      <c r="B92">
        <v>90</v>
      </c>
      <c r="C92">
        <v>0.7</v>
      </c>
      <c r="D92">
        <v>2.1600000000000001E-2</v>
      </c>
      <c r="E92">
        <v>1</v>
      </c>
      <c r="F92">
        <v>3</v>
      </c>
      <c r="G92">
        <f t="shared" si="3"/>
        <v>97.222222222222214</v>
      </c>
      <c r="H92">
        <f>AVERAGE(G87:G92)</f>
        <v>107.15199513061539</v>
      </c>
      <c r="I92">
        <f>STDEV(G87:G92)/SQRT(6)</f>
        <v>5.4487808721454245</v>
      </c>
    </row>
    <row r="93" spans="1:9" x14ac:dyDescent="0.45">
      <c r="A93" s="5" t="s">
        <v>92</v>
      </c>
      <c r="B93">
        <v>91</v>
      </c>
      <c r="C93">
        <v>0.9</v>
      </c>
      <c r="D93">
        <v>2.0199999999999999E-2</v>
      </c>
      <c r="E93">
        <v>1</v>
      </c>
      <c r="F93">
        <v>3</v>
      </c>
      <c r="G93">
        <f t="shared" si="3"/>
        <v>133.66336633663366</v>
      </c>
    </row>
    <row r="94" spans="1:9" x14ac:dyDescent="0.45">
      <c r="A94" s="5" t="s">
        <v>93</v>
      </c>
      <c r="B94">
        <v>92</v>
      </c>
      <c r="C94">
        <v>1</v>
      </c>
      <c r="D94">
        <v>2.1399999999999999E-2</v>
      </c>
      <c r="E94">
        <v>1</v>
      </c>
      <c r="F94">
        <v>3</v>
      </c>
      <c r="G94">
        <f t="shared" si="3"/>
        <v>140.18691588785049</v>
      </c>
    </row>
    <row r="95" spans="1:9" x14ac:dyDescent="0.45">
      <c r="A95" s="5" t="s">
        <v>94</v>
      </c>
      <c r="B95">
        <v>93</v>
      </c>
      <c r="C95">
        <v>0.7</v>
      </c>
      <c r="D95">
        <v>1.9400000000000001E-2</v>
      </c>
      <c r="E95">
        <v>1</v>
      </c>
      <c r="F95">
        <v>3</v>
      </c>
      <c r="G95">
        <f t="shared" si="3"/>
        <v>108.24742268041237</v>
      </c>
    </row>
    <row r="96" spans="1:9" x14ac:dyDescent="0.45">
      <c r="A96" s="5" t="s">
        <v>95</v>
      </c>
      <c r="B96">
        <v>94</v>
      </c>
      <c r="C96">
        <v>1.1000000000000001</v>
      </c>
      <c r="D96">
        <v>2.23E-2</v>
      </c>
      <c r="E96">
        <v>1</v>
      </c>
      <c r="F96">
        <v>3</v>
      </c>
      <c r="G96">
        <f t="shared" si="3"/>
        <v>147.98206278026905</v>
      </c>
    </row>
    <row r="97" spans="1:9" x14ac:dyDescent="0.45">
      <c r="A97" s="5" t="s">
        <v>96</v>
      </c>
      <c r="B97">
        <v>95</v>
      </c>
      <c r="C97">
        <v>0.8</v>
      </c>
      <c r="D97">
        <v>2.0500000000000001E-2</v>
      </c>
      <c r="E97">
        <v>1</v>
      </c>
      <c r="F97">
        <v>3</v>
      </c>
      <c r="G97">
        <f t="shared" si="3"/>
        <v>117.07317073170734</v>
      </c>
    </row>
    <row r="98" spans="1:9" ht="14.65" thickBot="1" x14ac:dyDescent="0.5">
      <c r="A98" s="6" t="s">
        <v>97</v>
      </c>
      <c r="B98" s="3">
        <v>96</v>
      </c>
      <c r="C98">
        <v>0.9</v>
      </c>
      <c r="D98" s="9">
        <v>2.18E-2</v>
      </c>
      <c r="E98" s="9">
        <v>1</v>
      </c>
      <c r="F98" s="9">
        <v>3</v>
      </c>
      <c r="G98" s="9">
        <f t="shared" si="3"/>
        <v>123.85321100917432</v>
      </c>
      <c r="H98" s="9">
        <f>AVERAGE(G93:G98)</f>
        <v>128.50102490434122</v>
      </c>
      <c r="I98" s="9">
        <f>STDEV(G93:G98)/SQRT(6)</f>
        <v>6.0693961311528053</v>
      </c>
    </row>
    <row r="99" spans="1:9" x14ac:dyDescent="0.45">
      <c r="A99" s="4" t="s">
        <v>98</v>
      </c>
      <c r="B99">
        <v>97</v>
      </c>
      <c r="C99">
        <v>0.7</v>
      </c>
      <c r="D99">
        <v>2.3E-2</v>
      </c>
      <c r="E99">
        <v>1</v>
      </c>
      <c r="F99">
        <v>3</v>
      </c>
      <c r="G99">
        <f t="shared" si="3"/>
        <v>91.304347826086953</v>
      </c>
    </row>
    <row r="100" spans="1:9" x14ac:dyDescent="0.45">
      <c r="A100" s="5" t="s">
        <v>99</v>
      </c>
      <c r="B100">
        <v>98</v>
      </c>
      <c r="C100">
        <v>0.6</v>
      </c>
      <c r="D100">
        <v>1.8599999999999998E-2</v>
      </c>
      <c r="E100">
        <v>1</v>
      </c>
      <c r="F100">
        <v>3</v>
      </c>
      <c r="G100">
        <f t="shared" si="3"/>
        <v>96.774193548387103</v>
      </c>
    </row>
    <row r="101" spans="1:9" x14ac:dyDescent="0.45">
      <c r="A101" s="5" t="s">
        <v>100</v>
      </c>
      <c r="B101">
        <v>99</v>
      </c>
      <c r="C101">
        <v>0.6</v>
      </c>
      <c r="D101">
        <v>0.02</v>
      </c>
      <c r="E101">
        <v>1</v>
      </c>
      <c r="F101">
        <v>3</v>
      </c>
      <c r="G101">
        <f t="shared" si="3"/>
        <v>90</v>
      </c>
    </row>
    <row r="102" spans="1:9" x14ac:dyDescent="0.45">
      <c r="A102" s="5" t="s">
        <v>101</v>
      </c>
      <c r="B102">
        <v>100</v>
      </c>
      <c r="C102">
        <v>0.7</v>
      </c>
      <c r="D102">
        <v>1.83E-2</v>
      </c>
      <c r="E102">
        <v>1</v>
      </c>
      <c r="F102">
        <v>3</v>
      </c>
      <c r="G102">
        <f t="shared" si="3"/>
        <v>114.75409836065573</v>
      </c>
    </row>
    <row r="103" spans="1:9" x14ac:dyDescent="0.45">
      <c r="A103" s="5" t="s">
        <v>102</v>
      </c>
      <c r="B103">
        <v>101</v>
      </c>
      <c r="C103">
        <v>0.7</v>
      </c>
      <c r="D103">
        <v>2.3099999999999999E-2</v>
      </c>
      <c r="E103">
        <v>1</v>
      </c>
      <c r="F103">
        <v>3</v>
      </c>
      <c r="G103">
        <f t="shared" si="3"/>
        <v>90.909090909090907</v>
      </c>
    </row>
    <row r="104" spans="1:9" x14ac:dyDescent="0.45">
      <c r="A104" s="5" t="s">
        <v>103</v>
      </c>
      <c r="B104">
        <v>102</v>
      </c>
      <c r="C104">
        <v>0.7</v>
      </c>
      <c r="D104">
        <v>2.29E-2</v>
      </c>
      <c r="E104">
        <v>1</v>
      </c>
      <c r="F104">
        <v>3</v>
      </c>
      <c r="G104">
        <f t="shared" si="3"/>
        <v>91.703056768558952</v>
      </c>
      <c r="H104">
        <f>AVERAGE(G99:G104)</f>
        <v>95.907464568796627</v>
      </c>
      <c r="I104">
        <f>STDEV(G99:G104)/SQRT(6)</f>
        <v>3.8931325432520643</v>
      </c>
    </row>
    <row r="105" spans="1:9" x14ac:dyDescent="0.45">
      <c r="A105" s="5" t="s">
        <v>104</v>
      </c>
      <c r="B105">
        <v>103</v>
      </c>
      <c r="C105">
        <v>0.7</v>
      </c>
      <c r="D105">
        <v>2.24E-2</v>
      </c>
      <c r="E105">
        <v>1</v>
      </c>
      <c r="F105">
        <v>3</v>
      </c>
      <c r="G105">
        <f t="shared" si="3"/>
        <v>93.75</v>
      </c>
    </row>
    <row r="106" spans="1:9" x14ac:dyDescent="0.45">
      <c r="A106" s="5" t="s">
        <v>105</v>
      </c>
      <c r="B106">
        <v>104</v>
      </c>
      <c r="C106">
        <v>0.7</v>
      </c>
      <c r="D106">
        <v>2.1399999999999999E-2</v>
      </c>
      <c r="E106">
        <v>1</v>
      </c>
      <c r="F106">
        <v>3</v>
      </c>
      <c r="G106">
        <f t="shared" si="3"/>
        <v>98.130841121495337</v>
      </c>
    </row>
    <row r="107" spans="1:9" x14ac:dyDescent="0.45">
      <c r="A107" s="5" t="s">
        <v>106</v>
      </c>
      <c r="B107">
        <v>105</v>
      </c>
      <c r="C107">
        <v>0.8</v>
      </c>
      <c r="D107">
        <v>2.1700000000000001E-2</v>
      </c>
      <c r="E107">
        <v>1</v>
      </c>
      <c r="F107">
        <v>3</v>
      </c>
      <c r="G107">
        <f t="shared" si="3"/>
        <v>110.59907834101381</v>
      </c>
    </row>
    <row r="108" spans="1:9" x14ac:dyDescent="0.45">
      <c r="A108" s="5" t="s">
        <v>107</v>
      </c>
      <c r="B108">
        <v>106</v>
      </c>
      <c r="C108">
        <v>0.8</v>
      </c>
      <c r="D108">
        <v>2.0500000000000001E-2</v>
      </c>
      <c r="E108">
        <v>1</v>
      </c>
      <c r="F108">
        <v>3</v>
      </c>
      <c r="G108">
        <f t="shared" si="3"/>
        <v>117.07317073170734</v>
      </c>
    </row>
    <row r="109" spans="1:9" x14ac:dyDescent="0.45">
      <c r="A109" s="5" t="s">
        <v>108</v>
      </c>
      <c r="B109">
        <v>107</v>
      </c>
      <c r="C109">
        <v>0.6</v>
      </c>
      <c r="D109">
        <v>2.24E-2</v>
      </c>
      <c r="E109">
        <v>1</v>
      </c>
      <c r="F109">
        <v>3</v>
      </c>
      <c r="G109">
        <f t="shared" si="3"/>
        <v>80.357142857142861</v>
      </c>
    </row>
    <row r="110" spans="1:9" ht="14.65" thickBot="1" x14ac:dyDescent="0.5">
      <c r="A110" s="6" t="s">
        <v>109</v>
      </c>
      <c r="B110" s="3">
        <v>108</v>
      </c>
      <c r="C110">
        <v>0.7</v>
      </c>
      <c r="D110" s="9">
        <v>2.18E-2</v>
      </c>
      <c r="E110" s="9">
        <v>1</v>
      </c>
      <c r="F110" s="9">
        <v>3</v>
      </c>
      <c r="G110" s="9">
        <f t="shared" si="3"/>
        <v>96.330275229357795</v>
      </c>
      <c r="H110" s="9">
        <f>AVERAGE(G105:G110)</f>
        <v>99.373418046786185</v>
      </c>
      <c r="I110" s="9">
        <f>STDEV(G105:G110)/SQRT(6)</f>
        <v>5.3020215087846951</v>
      </c>
    </row>
    <row r="111" spans="1:9" x14ac:dyDescent="0.45">
      <c r="A111" s="4" t="s">
        <v>110</v>
      </c>
      <c r="B111">
        <v>109</v>
      </c>
      <c r="C111">
        <v>0.8</v>
      </c>
      <c r="D111">
        <v>2.01E-2</v>
      </c>
      <c r="E111">
        <v>1</v>
      </c>
      <c r="F111">
        <v>3</v>
      </c>
      <c r="G111">
        <f t="shared" si="3"/>
        <v>119.40298507462688</v>
      </c>
    </row>
    <row r="112" spans="1:9" x14ac:dyDescent="0.45">
      <c r="A112" s="5" t="s">
        <v>111</v>
      </c>
      <c r="B112">
        <v>110</v>
      </c>
      <c r="C112">
        <v>0.7</v>
      </c>
      <c r="D112">
        <v>2.1700000000000001E-2</v>
      </c>
      <c r="E112">
        <v>1</v>
      </c>
      <c r="F112">
        <v>3</v>
      </c>
      <c r="G112">
        <f t="shared" si="3"/>
        <v>96.774193548387103</v>
      </c>
    </row>
    <row r="113" spans="1:9" x14ac:dyDescent="0.45">
      <c r="A113" s="5" t="s">
        <v>112</v>
      </c>
      <c r="B113">
        <v>111</v>
      </c>
      <c r="C113">
        <v>0.9</v>
      </c>
      <c r="D113">
        <v>2.1999999999999999E-2</v>
      </c>
      <c r="E113">
        <v>1</v>
      </c>
      <c r="F113">
        <v>3</v>
      </c>
      <c r="G113">
        <f t="shared" si="3"/>
        <v>122.72727272727275</v>
      </c>
    </row>
    <row r="114" spans="1:9" x14ac:dyDescent="0.45">
      <c r="A114" s="5" t="s">
        <v>113</v>
      </c>
      <c r="B114">
        <v>112</v>
      </c>
      <c r="C114">
        <v>0.9</v>
      </c>
      <c r="D114">
        <v>2.3199999999999998E-2</v>
      </c>
      <c r="E114">
        <v>1</v>
      </c>
      <c r="F114">
        <v>3</v>
      </c>
      <c r="G114">
        <f t="shared" si="3"/>
        <v>116.37931034482759</v>
      </c>
    </row>
    <row r="115" spans="1:9" x14ac:dyDescent="0.45">
      <c r="A115" s="5" t="s">
        <v>114</v>
      </c>
      <c r="B115">
        <v>113</v>
      </c>
      <c r="C115">
        <v>0.8</v>
      </c>
      <c r="D115">
        <v>2.1700000000000001E-2</v>
      </c>
      <c r="E115">
        <v>1</v>
      </c>
      <c r="F115">
        <v>3</v>
      </c>
      <c r="G115">
        <f t="shared" si="3"/>
        <v>110.59907834101381</v>
      </c>
    </row>
    <row r="116" spans="1:9" x14ac:dyDescent="0.45">
      <c r="A116" s="5" t="s">
        <v>115</v>
      </c>
      <c r="B116">
        <v>114</v>
      </c>
      <c r="C116">
        <v>0.7</v>
      </c>
      <c r="D116">
        <v>2.0400000000000001E-2</v>
      </c>
      <c r="E116">
        <v>1</v>
      </c>
      <c r="F116">
        <v>3</v>
      </c>
      <c r="G116">
        <f t="shared" si="3"/>
        <v>102.9411764705882</v>
      </c>
      <c r="H116">
        <f>AVERAGE(G111:G116)</f>
        <v>111.47066941778604</v>
      </c>
      <c r="I116">
        <f>STDEV(G111:G116)/SQRT(6)</f>
        <v>4.0956311252307573</v>
      </c>
    </row>
    <row r="117" spans="1:9" x14ac:dyDescent="0.45">
      <c r="A117" s="5" t="s">
        <v>116</v>
      </c>
      <c r="B117">
        <v>115</v>
      </c>
      <c r="C117">
        <v>0.6</v>
      </c>
      <c r="D117">
        <v>2.1700000000000001E-2</v>
      </c>
      <c r="E117">
        <v>1</v>
      </c>
      <c r="F117">
        <v>3</v>
      </c>
      <c r="G117">
        <f t="shared" si="3"/>
        <v>82.94930875576037</v>
      </c>
    </row>
    <row r="118" spans="1:9" x14ac:dyDescent="0.45">
      <c r="A118" s="5" t="s">
        <v>117</v>
      </c>
      <c r="B118">
        <v>116</v>
      </c>
      <c r="C118">
        <v>0.6</v>
      </c>
      <c r="D118">
        <v>2.0799999999999999E-2</v>
      </c>
      <c r="E118">
        <v>1</v>
      </c>
      <c r="F118">
        <v>3</v>
      </c>
      <c r="G118">
        <f t="shared" si="3"/>
        <v>86.538461538461547</v>
      </c>
    </row>
    <row r="119" spans="1:9" x14ac:dyDescent="0.45">
      <c r="A119" s="5" t="s">
        <v>118</v>
      </c>
      <c r="B119">
        <v>117</v>
      </c>
      <c r="C119">
        <v>0.6</v>
      </c>
      <c r="D119">
        <v>2.2499999999999999E-2</v>
      </c>
      <c r="E119">
        <v>1</v>
      </c>
      <c r="F119">
        <v>3</v>
      </c>
      <c r="G119">
        <f t="shared" si="3"/>
        <v>80</v>
      </c>
    </row>
    <row r="120" spans="1:9" x14ac:dyDescent="0.45">
      <c r="A120" s="5" t="s">
        <v>119</v>
      </c>
      <c r="B120">
        <v>118</v>
      </c>
      <c r="C120">
        <v>0.6</v>
      </c>
      <c r="D120">
        <v>2.1000000000000001E-2</v>
      </c>
      <c r="E120">
        <v>1</v>
      </c>
      <c r="F120">
        <v>3</v>
      </c>
      <c r="G120">
        <f t="shared" si="3"/>
        <v>85.714285714285694</v>
      </c>
    </row>
    <row r="121" spans="1:9" x14ac:dyDescent="0.45">
      <c r="A121" s="5" t="s">
        <v>120</v>
      </c>
      <c r="B121">
        <v>119</v>
      </c>
      <c r="C121">
        <v>0.8</v>
      </c>
      <c r="D121">
        <v>2.1899999999999999E-2</v>
      </c>
      <c r="E121">
        <v>1</v>
      </c>
      <c r="F121">
        <v>3</v>
      </c>
      <c r="G121">
        <f t="shared" si="3"/>
        <v>109.58904109589042</v>
      </c>
    </row>
    <row r="122" spans="1:9" ht="14.65" thickBot="1" x14ac:dyDescent="0.5">
      <c r="A122" s="6" t="s">
        <v>121</v>
      </c>
      <c r="B122" s="3">
        <v>120</v>
      </c>
      <c r="C122">
        <v>0.6</v>
      </c>
      <c r="D122" s="9">
        <v>1.9699999999999999E-2</v>
      </c>
      <c r="E122" s="9">
        <v>1</v>
      </c>
      <c r="F122" s="9">
        <v>3</v>
      </c>
      <c r="G122" s="9">
        <f t="shared" si="3"/>
        <v>91.370558375634516</v>
      </c>
      <c r="H122" s="9">
        <f>AVERAGE(G117:G122)</f>
        <v>89.360275913338754</v>
      </c>
      <c r="I122" s="9">
        <f>STDEV(G117:G122)/SQRT(6)</f>
        <v>4.3328794211865489</v>
      </c>
    </row>
    <row r="127" spans="1:9" x14ac:dyDescent="0.45">
      <c r="A127" t="s">
        <v>133</v>
      </c>
    </row>
    <row r="128" spans="1:9" ht="14.65" thickBot="1" x14ac:dyDescent="0.5">
      <c r="A128" t="s">
        <v>123</v>
      </c>
      <c r="B128" t="s">
        <v>124</v>
      </c>
      <c r="C128" t="s">
        <v>125</v>
      </c>
      <c r="D128" t="s">
        <v>126</v>
      </c>
      <c r="E128" t="s">
        <v>127</v>
      </c>
      <c r="F128" t="s">
        <v>128</v>
      </c>
      <c r="G128" t="s">
        <v>129</v>
      </c>
      <c r="H128" t="s">
        <v>130</v>
      </c>
      <c r="I128" t="s">
        <v>131</v>
      </c>
    </row>
    <row r="129" spans="1:29" x14ac:dyDescent="0.45">
      <c r="A129" s="4" t="s">
        <v>134</v>
      </c>
      <c r="B129" t="s">
        <v>135</v>
      </c>
      <c r="C129">
        <v>2</v>
      </c>
      <c r="D129">
        <v>1.18E-2</v>
      </c>
      <c r="E129">
        <v>1</v>
      </c>
      <c r="F129">
        <v>2</v>
      </c>
      <c r="G129">
        <f>(C129*(E129/D129)*F129)</f>
        <v>338.98305084745766</v>
      </c>
      <c r="M129" t="s">
        <v>133</v>
      </c>
    </row>
    <row r="130" spans="1:29" x14ac:dyDescent="0.45">
      <c r="A130" s="5" t="s">
        <v>136</v>
      </c>
      <c r="B130" t="s">
        <v>137</v>
      </c>
      <c r="C130">
        <v>1.9</v>
      </c>
      <c r="D130">
        <v>1.2500000000000001E-2</v>
      </c>
      <c r="E130">
        <v>1</v>
      </c>
      <c r="F130">
        <v>2</v>
      </c>
      <c r="G130">
        <f t="shared" ref="G130:G193" si="4">(C130*(E130/D130)*F130)</f>
        <v>304</v>
      </c>
      <c r="N130" t="s">
        <v>374</v>
      </c>
      <c r="O130" t="s">
        <v>375</v>
      </c>
      <c r="P130" t="s">
        <v>376</v>
      </c>
      <c r="Q130" t="s">
        <v>377</v>
      </c>
      <c r="R130" t="s">
        <v>378</v>
      </c>
      <c r="S130" t="s">
        <v>379</v>
      </c>
      <c r="T130" t="s">
        <v>380</v>
      </c>
      <c r="U130" t="s">
        <v>381</v>
      </c>
      <c r="V130" t="s">
        <v>384</v>
      </c>
      <c r="W130" t="s">
        <v>385</v>
      </c>
    </row>
    <row r="131" spans="1:29" x14ac:dyDescent="0.45">
      <c r="A131" s="5" t="s">
        <v>138</v>
      </c>
      <c r="B131" t="s">
        <v>139</v>
      </c>
      <c r="C131">
        <v>2.2999999999999998</v>
      </c>
      <c r="D131">
        <v>1.7000000000000001E-2</v>
      </c>
      <c r="E131">
        <v>1</v>
      </c>
      <c r="F131">
        <v>2</v>
      </c>
      <c r="G131">
        <f t="shared" si="4"/>
        <v>270.58823529411762</v>
      </c>
      <c r="M131" t="s">
        <v>382</v>
      </c>
      <c r="N131">
        <f>H134</f>
        <v>337.33852979045963</v>
      </c>
      <c r="O131">
        <f>H146</f>
        <v>343.83185540492218</v>
      </c>
      <c r="P131">
        <f>H158</f>
        <v>311.99651455548729</v>
      </c>
      <c r="Q131">
        <f>H170</f>
        <v>331.35645203023915</v>
      </c>
      <c r="R131">
        <f>H182</f>
        <v>315.43599231982898</v>
      </c>
      <c r="S131">
        <f>H194</f>
        <v>240.35163921792875</v>
      </c>
      <c r="T131">
        <f>H206</f>
        <v>279.74192193218209</v>
      </c>
      <c r="U131">
        <f>H218</f>
        <v>369.92967775059748</v>
      </c>
      <c r="V131">
        <f>H230</f>
        <v>337.97805958933162</v>
      </c>
      <c r="W131">
        <f>H242</f>
        <v>259.80404528473792</v>
      </c>
    </row>
    <row r="132" spans="1:29" x14ac:dyDescent="0.45">
      <c r="A132" s="5" t="s">
        <v>140</v>
      </c>
      <c r="B132" t="s">
        <v>141</v>
      </c>
      <c r="C132">
        <v>1.3</v>
      </c>
      <c r="D132">
        <v>2.12E-2</v>
      </c>
      <c r="E132">
        <v>1</v>
      </c>
      <c r="F132">
        <v>2</v>
      </c>
      <c r="G132">
        <f t="shared" si="4"/>
        <v>122.64150943396227</v>
      </c>
      <c r="M132" t="s">
        <v>131</v>
      </c>
      <c r="N132">
        <f>I134</f>
        <v>58.11518000272082</v>
      </c>
      <c r="O132">
        <f>I146</f>
        <v>20.384302923474859</v>
      </c>
      <c r="P132">
        <f>I158</f>
        <v>11.296821112645988</v>
      </c>
      <c r="Q132">
        <f>I170</f>
        <v>23.58302570793607</v>
      </c>
      <c r="R132">
        <f>I182</f>
        <v>21.180972879395313</v>
      </c>
      <c r="S132">
        <f>I194</f>
        <v>19.039163254247018</v>
      </c>
      <c r="T132">
        <f>I206</f>
        <v>34.488095273187334</v>
      </c>
      <c r="U132">
        <f>I218</f>
        <v>30.942210529823129</v>
      </c>
      <c r="V132">
        <f>I230</f>
        <v>28.630203980914541</v>
      </c>
      <c r="W132">
        <f>I242</f>
        <v>44.09280820979334</v>
      </c>
    </row>
    <row r="133" spans="1:29" x14ac:dyDescent="0.45">
      <c r="A133" s="5" t="s">
        <v>142</v>
      </c>
      <c r="B133" t="s">
        <v>143</v>
      </c>
      <c r="C133">
        <v>3.3</v>
      </c>
      <c r="D133">
        <v>1.29E-2</v>
      </c>
      <c r="E133">
        <v>1</v>
      </c>
      <c r="F133">
        <v>2</v>
      </c>
      <c r="G133">
        <f t="shared" si="4"/>
        <v>511.62790697674416</v>
      </c>
      <c r="M133" t="s">
        <v>383</v>
      </c>
      <c r="N133">
        <f>H146</f>
        <v>343.83185540492218</v>
      </c>
      <c r="O133">
        <f>H152</f>
        <v>328.44392238979998</v>
      </c>
      <c r="P133">
        <f>H164</f>
        <v>335.70600688712972</v>
      </c>
      <c r="Q133">
        <f>H176</f>
        <v>412.64853479678703</v>
      </c>
      <c r="R133">
        <f>H188</f>
        <v>321.13105409676353</v>
      </c>
      <c r="S133">
        <f>H200</f>
        <v>254.21138867602312</v>
      </c>
      <c r="T133">
        <f>H212</f>
        <v>288.76734199262961</v>
      </c>
      <c r="U133">
        <f>H224</f>
        <v>325.4908983471243</v>
      </c>
      <c r="V133">
        <f>H236</f>
        <v>356.53593277189583</v>
      </c>
      <c r="W133">
        <f>H248</f>
        <v>251.32564961864125</v>
      </c>
    </row>
    <row r="134" spans="1:29" x14ac:dyDescent="0.45">
      <c r="A134" s="5" t="s">
        <v>144</v>
      </c>
      <c r="B134" t="s">
        <v>145</v>
      </c>
      <c r="C134">
        <v>2</v>
      </c>
      <c r="D134">
        <v>8.3999999999999995E-3</v>
      </c>
      <c r="E134">
        <v>1</v>
      </c>
      <c r="F134">
        <v>2</v>
      </c>
      <c r="G134">
        <f t="shared" si="4"/>
        <v>476.1904761904762</v>
      </c>
      <c r="H134">
        <f>AVERAGE(G129:G134)</f>
        <v>337.33852979045963</v>
      </c>
      <c r="I134">
        <f>STDEV(G129:G134)/SQRT(6)</f>
        <v>58.11518000272082</v>
      </c>
      <c r="M134" t="s">
        <v>131</v>
      </c>
      <c r="N134">
        <f>I140</f>
        <v>33.982218483224123</v>
      </c>
      <c r="O134">
        <f>I152</f>
        <v>20.812739301698777</v>
      </c>
      <c r="P134">
        <f>I164</f>
        <v>33.082417967612095</v>
      </c>
      <c r="Q134">
        <f>I176</f>
        <v>21.845162482209901</v>
      </c>
      <c r="R134">
        <f>I188</f>
        <v>36.873485841916754</v>
      </c>
      <c r="S134">
        <f>I200</f>
        <v>10.934066669523622</v>
      </c>
      <c r="T134">
        <f>I212</f>
        <v>30.513404030667289</v>
      </c>
      <c r="U134">
        <f>I224</f>
        <v>23.246349359808804</v>
      </c>
      <c r="V134">
        <f>I236</f>
        <v>24.72178507988944</v>
      </c>
      <c r="W134">
        <f>I248</f>
        <v>19.343353326911142</v>
      </c>
    </row>
    <row r="135" spans="1:29" x14ac:dyDescent="0.45">
      <c r="A135" s="5" t="s">
        <v>146</v>
      </c>
      <c r="B135" t="s">
        <v>147</v>
      </c>
      <c r="C135">
        <v>1</v>
      </c>
      <c r="D135">
        <v>1.0999999999999999E-2</v>
      </c>
      <c r="E135">
        <v>1</v>
      </c>
      <c r="F135">
        <v>2</v>
      </c>
      <c r="G135">
        <f t="shared" si="4"/>
        <v>181.81818181818184</v>
      </c>
    </row>
    <row r="136" spans="1:29" x14ac:dyDescent="0.45">
      <c r="A136" s="5" t="s">
        <v>148</v>
      </c>
      <c r="B136" t="s">
        <v>149</v>
      </c>
      <c r="C136">
        <v>1.1000000000000001</v>
      </c>
      <c r="D136">
        <v>6.4000000000000003E-3</v>
      </c>
      <c r="E136">
        <v>1</v>
      </c>
      <c r="F136">
        <v>2</v>
      </c>
      <c r="G136">
        <f t="shared" si="4"/>
        <v>343.75</v>
      </c>
    </row>
    <row r="137" spans="1:29" x14ac:dyDescent="0.45">
      <c r="A137" s="5" t="s">
        <v>150</v>
      </c>
      <c r="B137" t="s">
        <v>151</v>
      </c>
      <c r="C137">
        <v>2.5</v>
      </c>
      <c r="D137">
        <v>1.46E-2</v>
      </c>
      <c r="E137">
        <v>1</v>
      </c>
      <c r="F137">
        <v>2</v>
      </c>
      <c r="G137">
        <f t="shared" si="4"/>
        <v>342.46575342465752</v>
      </c>
      <c r="V137" t="s">
        <v>740</v>
      </c>
      <c r="W137" t="s">
        <v>726</v>
      </c>
      <c r="X137" t="s">
        <v>727</v>
      </c>
      <c r="Y137" t="s">
        <v>741</v>
      </c>
      <c r="Z137" t="s">
        <v>742</v>
      </c>
      <c r="AA137" t="s">
        <v>723</v>
      </c>
      <c r="AB137" t="s">
        <v>728</v>
      </c>
      <c r="AC137" t="s">
        <v>743</v>
      </c>
    </row>
    <row r="138" spans="1:29" x14ac:dyDescent="0.45">
      <c r="A138" s="5" t="s">
        <v>152</v>
      </c>
      <c r="B138" t="s">
        <v>153</v>
      </c>
      <c r="C138">
        <v>2.2000000000000002</v>
      </c>
      <c r="D138">
        <v>1.29E-2</v>
      </c>
      <c r="E138">
        <v>1</v>
      </c>
      <c r="F138">
        <v>2</v>
      </c>
      <c r="G138">
        <f t="shared" si="4"/>
        <v>341.08527131782944</v>
      </c>
      <c r="V138" t="s">
        <v>729</v>
      </c>
      <c r="W138">
        <v>6</v>
      </c>
      <c r="X138">
        <v>6</v>
      </c>
      <c r="Y138">
        <v>321.491525423729</v>
      </c>
      <c r="Z138">
        <v>341.77551237124402</v>
      </c>
      <c r="AA138">
        <v>1</v>
      </c>
      <c r="AB138" t="s">
        <v>744</v>
      </c>
      <c r="AC138" t="s">
        <v>724</v>
      </c>
    </row>
    <row r="139" spans="1:29" x14ac:dyDescent="0.45">
      <c r="A139" s="5" t="s">
        <v>154</v>
      </c>
      <c r="B139" t="s">
        <v>155</v>
      </c>
      <c r="C139">
        <v>1.6</v>
      </c>
      <c r="D139">
        <v>9.1999999999999998E-3</v>
      </c>
      <c r="E139">
        <v>1</v>
      </c>
      <c r="F139">
        <v>2</v>
      </c>
      <c r="G139">
        <f t="shared" si="4"/>
        <v>347.82608695652175</v>
      </c>
      <c r="V139" t="s">
        <v>730</v>
      </c>
      <c r="W139">
        <v>6</v>
      </c>
      <c r="X139">
        <v>6</v>
      </c>
      <c r="Y139">
        <v>364.289662797125</v>
      </c>
      <c r="Z139">
        <v>330.60515873015902</v>
      </c>
      <c r="AA139">
        <v>0.68892055580446099</v>
      </c>
      <c r="AB139" t="s">
        <v>744</v>
      </c>
      <c r="AC139" t="s">
        <v>724</v>
      </c>
    </row>
    <row r="140" spans="1:29" ht="14.65" thickBot="1" x14ac:dyDescent="0.5">
      <c r="A140" s="6" t="s">
        <v>156</v>
      </c>
      <c r="B140" s="3" t="s">
        <v>157</v>
      </c>
      <c r="C140">
        <v>1</v>
      </c>
      <c r="D140" s="9">
        <v>1.09E-2</v>
      </c>
      <c r="E140" s="9">
        <v>1</v>
      </c>
      <c r="F140" s="9">
        <v>2</v>
      </c>
      <c r="G140" s="9">
        <f t="shared" si="4"/>
        <v>183.48623853211009</v>
      </c>
      <c r="H140" s="9">
        <f>AVERAGE(G135:G140)</f>
        <v>290.07192200821675</v>
      </c>
      <c r="I140" s="9">
        <f>STDEV(G135:G140)/SQRT(6)</f>
        <v>33.982218483224123</v>
      </c>
      <c r="V140" t="s">
        <v>731</v>
      </c>
      <c r="W140">
        <v>6</v>
      </c>
      <c r="X140">
        <v>6</v>
      </c>
      <c r="Y140">
        <v>299.04306220095702</v>
      </c>
      <c r="Z140">
        <v>322.13261648745498</v>
      </c>
      <c r="AA140">
        <v>0.68892055580446099</v>
      </c>
      <c r="AB140" t="s">
        <v>744</v>
      </c>
      <c r="AC140" t="s">
        <v>724</v>
      </c>
    </row>
    <row r="141" spans="1:29" x14ac:dyDescent="0.45">
      <c r="A141" s="5" t="s">
        <v>158</v>
      </c>
      <c r="B141" t="s">
        <v>159</v>
      </c>
      <c r="C141">
        <v>2.4</v>
      </c>
      <c r="D141">
        <v>1.34E-2</v>
      </c>
      <c r="E141">
        <v>1</v>
      </c>
      <c r="F141">
        <v>2</v>
      </c>
      <c r="G141">
        <f t="shared" si="4"/>
        <v>358.20895522388059</v>
      </c>
      <c r="V141" t="s">
        <v>732</v>
      </c>
      <c r="W141">
        <v>6</v>
      </c>
      <c r="X141">
        <v>6</v>
      </c>
      <c r="Y141">
        <v>329.39492777740799</v>
      </c>
      <c r="Z141">
        <v>405.77594414471599</v>
      </c>
      <c r="AA141">
        <v>6.5552161165502595E-2</v>
      </c>
      <c r="AB141" t="s">
        <v>744</v>
      </c>
      <c r="AC141" t="s">
        <v>724</v>
      </c>
    </row>
    <row r="142" spans="1:29" x14ac:dyDescent="0.45">
      <c r="A142" s="5" t="s">
        <v>160</v>
      </c>
      <c r="B142" t="s">
        <v>161</v>
      </c>
      <c r="C142">
        <v>2.5</v>
      </c>
      <c r="D142">
        <v>1.2999999999999999E-2</v>
      </c>
      <c r="E142">
        <v>1</v>
      </c>
      <c r="F142">
        <v>2</v>
      </c>
      <c r="G142">
        <f t="shared" si="4"/>
        <v>384.61538461538458</v>
      </c>
      <c r="V142" t="s">
        <v>733</v>
      </c>
      <c r="W142">
        <v>6</v>
      </c>
      <c r="X142">
        <v>6</v>
      </c>
      <c r="Y142">
        <v>318.38130521516098</v>
      </c>
      <c r="Z142">
        <v>359.58680681406298</v>
      </c>
      <c r="AA142">
        <v>0.68892055580446099</v>
      </c>
      <c r="AB142" t="s">
        <v>744</v>
      </c>
      <c r="AC142" t="s">
        <v>724</v>
      </c>
    </row>
    <row r="143" spans="1:29" x14ac:dyDescent="0.45">
      <c r="A143" s="5" t="s">
        <v>162</v>
      </c>
      <c r="B143" t="s">
        <v>163</v>
      </c>
      <c r="C143">
        <v>1.9</v>
      </c>
      <c r="D143">
        <v>1.21E-2</v>
      </c>
      <c r="E143">
        <v>1</v>
      </c>
      <c r="F143">
        <v>2</v>
      </c>
      <c r="G143">
        <f t="shared" si="4"/>
        <v>314.04958677685948</v>
      </c>
      <c r="V143" t="s">
        <v>734</v>
      </c>
      <c r="W143">
        <v>6</v>
      </c>
      <c r="X143">
        <v>6</v>
      </c>
      <c r="Y143">
        <v>246.37951976081499</v>
      </c>
      <c r="Z143">
        <v>258.51536467974802</v>
      </c>
      <c r="AA143">
        <v>0.68892055580446099</v>
      </c>
      <c r="AB143" t="s">
        <v>744</v>
      </c>
      <c r="AC143" t="s">
        <v>724</v>
      </c>
    </row>
    <row r="144" spans="1:29" x14ac:dyDescent="0.45">
      <c r="A144" s="5" t="s">
        <v>164</v>
      </c>
      <c r="B144" t="s">
        <v>165</v>
      </c>
      <c r="C144">
        <v>2</v>
      </c>
      <c r="D144">
        <v>1.0800000000000001E-2</v>
      </c>
      <c r="E144">
        <v>1</v>
      </c>
      <c r="F144">
        <v>2</v>
      </c>
      <c r="G144">
        <f t="shared" si="4"/>
        <v>370.37037037037032</v>
      </c>
      <c r="V144" t="s">
        <v>735</v>
      </c>
      <c r="W144">
        <v>6</v>
      </c>
      <c r="X144">
        <v>6</v>
      </c>
      <c r="Y144">
        <v>254.33369447454001</v>
      </c>
      <c r="Z144">
        <v>255.23724924124701</v>
      </c>
      <c r="AA144">
        <v>0.81018123641047401</v>
      </c>
      <c r="AB144" t="s">
        <v>744</v>
      </c>
      <c r="AC144" t="s">
        <v>724</v>
      </c>
    </row>
    <row r="145" spans="1:29" x14ac:dyDescent="0.45">
      <c r="A145" s="5" t="s">
        <v>166</v>
      </c>
      <c r="B145" t="s">
        <v>167</v>
      </c>
      <c r="C145">
        <v>3</v>
      </c>
      <c r="D145">
        <v>1.5800000000000002E-2</v>
      </c>
      <c r="E145">
        <v>1</v>
      </c>
      <c r="F145">
        <v>2</v>
      </c>
      <c r="G145">
        <f t="shared" si="4"/>
        <v>379.74683544303798</v>
      </c>
      <c r="V145" t="s">
        <v>736</v>
      </c>
      <c r="W145">
        <v>6</v>
      </c>
      <c r="X145">
        <v>6</v>
      </c>
      <c r="Y145">
        <v>332.95932678821902</v>
      </c>
      <c r="Z145">
        <v>343.49593495935</v>
      </c>
      <c r="AA145">
        <v>0.68892055580446099</v>
      </c>
      <c r="AB145" t="s">
        <v>744</v>
      </c>
      <c r="AC145" t="s">
        <v>724</v>
      </c>
    </row>
    <row r="146" spans="1:29" x14ac:dyDescent="0.45">
      <c r="A146" s="5" t="s">
        <v>168</v>
      </c>
      <c r="B146" t="s">
        <v>169</v>
      </c>
      <c r="C146">
        <v>1.6</v>
      </c>
      <c r="D146">
        <v>1.2500000000000001E-2</v>
      </c>
      <c r="E146">
        <v>1</v>
      </c>
      <c r="F146">
        <v>2</v>
      </c>
      <c r="G146">
        <f t="shared" si="4"/>
        <v>256</v>
      </c>
      <c r="H146">
        <f>AVERAGE(G141:G146)</f>
        <v>343.83185540492218</v>
      </c>
      <c r="I146">
        <f>STDEV(G141:G146)/SQRT(6)</f>
        <v>20.384302923474859</v>
      </c>
      <c r="V146" t="s">
        <v>737</v>
      </c>
      <c r="W146">
        <v>6</v>
      </c>
      <c r="X146">
        <v>6</v>
      </c>
      <c r="Y146">
        <v>311.07142857142901</v>
      </c>
      <c r="Z146">
        <v>336.25070581592303</v>
      </c>
      <c r="AA146">
        <v>0.57450381023466601</v>
      </c>
      <c r="AB146" t="s">
        <v>744</v>
      </c>
      <c r="AC146" t="s">
        <v>724</v>
      </c>
    </row>
    <row r="147" spans="1:29" x14ac:dyDescent="0.45">
      <c r="A147" s="5" t="s">
        <v>170</v>
      </c>
      <c r="B147" t="s">
        <v>171</v>
      </c>
      <c r="C147">
        <v>1.8</v>
      </c>
      <c r="D147">
        <v>1.2200000000000001E-2</v>
      </c>
      <c r="E147">
        <v>1</v>
      </c>
      <c r="F147">
        <v>2</v>
      </c>
      <c r="G147">
        <f t="shared" si="4"/>
        <v>295.08196721311475</v>
      </c>
      <c r="V147" t="s">
        <v>738</v>
      </c>
      <c r="W147">
        <v>6</v>
      </c>
      <c r="X147">
        <v>6</v>
      </c>
      <c r="Y147">
        <v>199.60715612889501</v>
      </c>
      <c r="Z147">
        <v>244.37222574508601</v>
      </c>
      <c r="AA147">
        <v>0.47116999849005597</v>
      </c>
      <c r="AB147" t="s">
        <v>744</v>
      </c>
      <c r="AC147" t="s">
        <v>724</v>
      </c>
    </row>
    <row r="148" spans="1:29" x14ac:dyDescent="0.45">
      <c r="A148" s="5" t="s">
        <v>172</v>
      </c>
      <c r="B148" t="s">
        <v>173</v>
      </c>
      <c r="C148">
        <v>2</v>
      </c>
      <c r="D148">
        <v>1.26E-2</v>
      </c>
      <c r="E148">
        <v>1</v>
      </c>
      <c r="F148">
        <v>2</v>
      </c>
      <c r="G148">
        <f t="shared" si="4"/>
        <v>317.46031746031747</v>
      </c>
    </row>
    <row r="149" spans="1:29" x14ac:dyDescent="0.45">
      <c r="A149" s="5" t="s">
        <v>174</v>
      </c>
      <c r="B149" t="s">
        <v>175</v>
      </c>
      <c r="C149">
        <v>2.2000000000000002</v>
      </c>
      <c r="D149">
        <v>1.17E-2</v>
      </c>
      <c r="E149">
        <v>1</v>
      </c>
      <c r="F149">
        <v>2</v>
      </c>
      <c r="G149">
        <f t="shared" si="4"/>
        <v>376.0683760683761</v>
      </c>
    </row>
    <row r="150" spans="1:29" x14ac:dyDescent="0.45">
      <c r="A150" s="5" t="s">
        <v>176</v>
      </c>
      <c r="B150" t="s">
        <v>177</v>
      </c>
      <c r="C150">
        <v>1.8</v>
      </c>
      <c r="D150">
        <v>1.43E-2</v>
      </c>
      <c r="E150">
        <v>1</v>
      </c>
      <c r="F150">
        <v>2</v>
      </c>
      <c r="G150">
        <f t="shared" si="4"/>
        <v>251.74825174825176</v>
      </c>
    </row>
    <row r="151" spans="1:29" x14ac:dyDescent="0.45">
      <c r="A151" s="5" t="s">
        <v>178</v>
      </c>
      <c r="B151" t="s">
        <v>179</v>
      </c>
      <c r="C151">
        <v>2.2999999999999998</v>
      </c>
      <c r="D151">
        <v>1.1900000000000001E-2</v>
      </c>
      <c r="E151">
        <v>1</v>
      </c>
      <c r="F151">
        <v>2</v>
      </c>
      <c r="G151">
        <f t="shared" si="4"/>
        <v>386.55462184873949</v>
      </c>
    </row>
    <row r="152" spans="1:29" ht="14.65" thickBot="1" x14ac:dyDescent="0.5">
      <c r="A152" s="6" t="s">
        <v>180</v>
      </c>
      <c r="B152" s="3" t="s">
        <v>181</v>
      </c>
      <c r="C152">
        <v>2.2000000000000002</v>
      </c>
      <c r="D152" s="9">
        <v>1.2800000000000001E-2</v>
      </c>
      <c r="E152" s="9">
        <v>1</v>
      </c>
      <c r="F152" s="9">
        <v>2</v>
      </c>
      <c r="G152" s="9">
        <f t="shared" si="4"/>
        <v>343.75</v>
      </c>
      <c r="H152" s="9">
        <f>AVERAGE(G147:G152)</f>
        <v>328.44392238979998</v>
      </c>
      <c r="I152" s="9">
        <f>STDEV(G147:G152)/SQRT(6)</f>
        <v>20.812739301698777</v>
      </c>
    </row>
    <row r="153" spans="1:29" x14ac:dyDescent="0.45">
      <c r="A153" s="4" t="s">
        <v>182</v>
      </c>
      <c r="B153" t="s">
        <v>183</v>
      </c>
      <c r="C153">
        <v>2.5</v>
      </c>
      <c r="D153">
        <v>1.4999999999999999E-2</v>
      </c>
      <c r="E153">
        <v>1</v>
      </c>
      <c r="F153">
        <v>2</v>
      </c>
      <c r="G153">
        <f t="shared" si="4"/>
        <v>333.33333333333337</v>
      </c>
    </row>
    <row r="154" spans="1:29" x14ac:dyDescent="0.45">
      <c r="A154" s="5" t="s">
        <v>184</v>
      </c>
      <c r="B154" t="s">
        <v>185</v>
      </c>
      <c r="C154">
        <v>2.5</v>
      </c>
      <c r="D154">
        <v>1.7299999999999999E-2</v>
      </c>
      <c r="E154">
        <v>1</v>
      </c>
      <c r="F154">
        <v>2</v>
      </c>
      <c r="G154">
        <f t="shared" si="4"/>
        <v>289.01734104046244</v>
      </c>
    </row>
    <row r="155" spans="1:29" x14ac:dyDescent="0.45">
      <c r="A155" s="5" t="s">
        <v>186</v>
      </c>
      <c r="B155" t="s">
        <v>187</v>
      </c>
      <c r="C155">
        <v>1.3</v>
      </c>
      <c r="D155">
        <v>8.8000000000000005E-3</v>
      </c>
      <c r="E155">
        <v>1</v>
      </c>
      <c r="F155">
        <v>2</v>
      </c>
      <c r="G155">
        <f t="shared" si="4"/>
        <v>295.45454545454544</v>
      </c>
    </row>
    <row r="156" spans="1:29" x14ac:dyDescent="0.45">
      <c r="A156" s="5" t="s">
        <v>188</v>
      </c>
      <c r="B156" t="s">
        <v>189</v>
      </c>
      <c r="C156">
        <v>1.1000000000000001</v>
      </c>
      <c r="D156">
        <v>7.4999999999999997E-3</v>
      </c>
      <c r="E156">
        <v>1</v>
      </c>
      <c r="F156">
        <v>2</v>
      </c>
      <c r="G156">
        <f t="shared" si="4"/>
        <v>293.33333333333337</v>
      </c>
    </row>
    <row r="157" spans="1:29" x14ac:dyDescent="0.45">
      <c r="A157" s="5" t="s">
        <v>190</v>
      </c>
      <c r="B157" t="s">
        <v>191</v>
      </c>
      <c r="C157">
        <v>2.4</v>
      </c>
      <c r="D157">
        <v>1.34E-2</v>
      </c>
      <c r="E157">
        <v>1</v>
      </c>
      <c r="F157">
        <v>2</v>
      </c>
      <c r="G157">
        <f t="shared" si="4"/>
        <v>358.20895522388059</v>
      </c>
    </row>
    <row r="158" spans="1:29" x14ac:dyDescent="0.45">
      <c r="A158" s="5" t="s">
        <v>192</v>
      </c>
      <c r="B158" t="s">
        <v>193</v>
      </c>
      <c r="C158">
        <v>2.2999999999999998</v>
      </c>
      <c r="D158">
        <v>1.52E-2</v>
      </c>
      <c r="E158">
        <v>1</v>
      </c>
      <c r="F158">
        <v>2</v>
      </c>
      <c r="G158">
        <f t="shared" si="4"/>
        <v>302.63157894736838</v>
      </c>
      <c r="H158">
        <f>AVERAGE(G153:G158)</f>
        <v>311.99651455548729</v>
      </c>
      <c r="I158">
        <f>STDEV(G153:G158)/SQRT(6)</f>
        <v>11.296821112645988</v>
      </c>
    </row>
    <row r="159" spans="1:29" x14ac:dyDescent="0.45">
      <c r="A159" s="5" t="s">
        <v>194</v>
      </c>
      <c r="B159" t="s">
        <v>195</v>
      </c>
      <c r="C159">
        <v>2.6</v>
      </c>
      <c r="D159">
        <v>1.2E-2</v>
      </c>
      <c r="E159">
        <v>1</v>
      </c>
      <c r="F159">
        <v>2</v>
      </c>
      <c r="G159">
        <f t="shared" si="4"/>
        <v>433.33333333333331</v>
      </c>
    </row>
    <row r="160" spans="1:29" x14ac:dyDescent="0.45">
      <c r="A160" s="5" t="s">
        <v>196</v>
      </c>
      <c r="B160" t="s">
        <v>197</v>
      </c>
      <c r="C160">
        <v>2.6</v>
      </c>
      <c r="D160">
        <v>1.21E-2</v>
      </c>
      <c r="E160">
        <v>1</v>
      </c>
      <c r="F160">
        <v>2</v>
      </c>
      <c r="G160">
        <f t="shared" si="4"/>
        <v>429.75206611570252</v>
      </c>
    </row>
    <row r="161" spans="1:9" x14ac:dyDescent="0.45">
      <c r="A161" s="5" t="s">
        <v>198</v>
      </c>
      <c r="B161" t="s">
        <v>199</v>
      </c>
      <c r="C161">
        <v>2.1</v>
      </c>
      <c r="D161">
        <v>1.24E-2</v>
      </c>
      <c r="E161">
        <v>1</v>
      </c>
      <c r="F161">
        <v>2</v>
      </c>
      <c r="G161">
        <f t="shared" si="4"/>
        <v>338.70967741935482</v>
      </c>
    </row>
    <row r="162" spans="1:9" x14ac:dyDescent="0.45">
      <c r="A162" s="5" t="s">
        <v>200</v>
      </c>
      <c r="B162" t="s">
        <v>201</v>
      </c>
      <c r="C162">
        <v>2.2000000000000002</v>
      </c>
      <c r="D162">
        <v>1.44E-2</v>
      </c>
      <c r="E162">
        <v>1</v>
      </c>
      <c r="F162">
        <v>2</v>
      </c>
      <c r="G162">
        <f t="shared" si="4"/>
        <v>305.5555555555556</v>
      </c>
    </row>
    <row r="163" spans="1:9" x14ac:dyDescent="0.45">
      <c r="A163" s="5" t="s">
        <v>202</v>
      </c>
      <c r="B163" t="s">
        <v>203</v>
      </c>
      <c r="C163">
        <v>1.7</v>
      </c>
      <c r="D163">
        <v>1.35E-2</v>
      </c>
      <c r="E163">
        <v>1</v>
      </c>
      <c r="F163">
        <v>2</v>
      </c>
      <c r="G163">
        <f t="shared" si="4"/>
        <v>251.85185185185185</v>
      </c>
    </row>
    <row r="164" spans="1:9" ht="14.65" thickBot="1" x14ac:dyDescent="0.5">
      <c r="A164" s="6" t="s">
        <v>204</v>
      </c>
      <c r="B164" s="3" t="s">
        <v>205</v>
      </c>
      <c r="C164">
        <v>1.9</v>
      </c>
      <c r="D164" s="9">
        <v>1.49E-2</v>
      </c>
      <c r="E164" s="9">
        <v>1</v>
      </c>
      <c r="F164" s="9">
        <v>2</v>
      </c>
      <c r="G164" s="9">
        <f t="shared" si="4"/>
        <v>255.03355704697987</v>
      </c>
      <c r="H164" s="9">
        <f>AVERAGE(G159:G164)</f>
        <v>335.70600688712972</v>
      </c>
      <c r="I164" s="9">
        <f>STDEV(G159:G164)/SQRT(6)</f>
        <v>33.082417967612095</v>
      </c>
    </row>
    <row r="165" spans="1:9" x14ac:dyDescent="0.45">
      <c r="A165" s="4" t="s">
        <v>206</v>
      </c>
      <c r="B165" t="s">
        <v>207</v>
      </c>
      <c r="C165">
        <v>2.9</v>
      </c>
      <c r="D165">
        <v>1.66E-2</v>
      </c>
      <c r="E165">
        <v>1</v>
      </c>
      <c r="F165">
        <v>2</v>
      </c>
      <c r="G165">
        <f t="shared" si="4"/>
        <v>349.39759036144574</v>
      </c>
    </row>
    <row r="166" spans="1:9" x14ac:dyDescent="0.45">
      <c r="A166" s="5" t="s">
        <v>208</v>
      </c>
      <c r="B166" t="s">
        <v>209</v>
      </c>
      <c r="C166">
        <v>2.8</v>
      </c>
      <c r="D166">
        <v>1.8100000000000002E-2</v>
      </c>
      <c r="E166">
        <v>1</v>
      </c>
      <c r="F166">
        <v>2</v>
      </c>
      <c r="G166">
        <f t="shared" si="4"/>
        <v>309.39226519337012</v>
      </c>
    </row>
    <row r="167" spans="1:9" x14ac:dyDescent="0.45">
      <c r="A167" s="5" t="s">
        <v>210</v>
      </c>
      <c r="B167" t="s">
        <v>211</v>
      </c>
      <c r="C167">
        <v>3</v>
      </c>
      <c r="D167">
        <v>1.5699999999999999E-2</v>
      </c>
      <c r="E167">
        <v>1</v>
      </c>
      <c r="F167">
        <v>2</v>
      </c>
      <c r="G167">
        <f t="shared" si="4"/>
        <v>382.16560509554142</v>
      </c>
    </row>
    <row r="168" spans="1:9" x14ac:dyDescent="0.45">
      <c r="A168" s="5" t="s">
        <v>212</v>
      </c>
      <c r="B168" t="s">
        <v>213</v>
      </c>
      <c r="C168">
        <v>3.7</v>
      </c>
      <c r="D168">
        <v>1.8200000000000001E-2</v>
      </c>
      <c r="E168">
        <v>1</v>
      </c>
      <c r="F168">
        <v>2</v>
      </c>
      <c r="G168">
        <f t="shared" si="4"/>
        <v>406.5934065934066</v>
      </c>
    </row>
    <row r="169" spans="1:9" x14ac:dyDescent="0.45">
      <c r="A169" s="5" t="s">
        <v>214</v>
      </c>
      <c r="B169" t="s">
        <v>215</v>
      </c>
      <c r="C169">
        <v>2</v>
      </c>
      <c r="D169">
        <v>1.43E-2</v>
      </c>
      <c r="E169">
        <v>1</v>
      </c>
      <c r="F169">
        <v>2</v>
      </c>
      <c r="G169">
        <f t="shared" si="4"/>
        <v>279.72027972027973</v>
      </c>
    </row>
    <row r="170" spans="1:9" x14ac:dyDescent="0.45">
      <c r="A170" s="5" t="s">
        <v>216</v>
      </c>
      <c r="B170" t="s">
        <v>217</v>
      </c>
      <c r="C170">
        <v>2.1</v>
      </c>
      <c r="D170">
        <v>1.61E-2</v>
      </c>
      <c r="E170">
        <v>1</v>
      </c>
      <c r="F170">
        <v>2</v>
      </c>
      <c r="G170">
        <f t="shared" si="4"/>
        <v>260.86956521739131</v>
      </c>
      <c r="H170">
        <f>AVERAGE(G165:G170)</f>
        <v>331.35645203023915</v>
      </c>
      <c r="I170">
        <f>STDEV(G165:G170)/SQRT(6)</f>
        <v>23.58302570793607</v>
      </c>
    </row>
    <row r="171" spans="1:9" x14ac:dyDescent="0.45">
      <c r="A171" s="5" t="s">
        <v>218</v>
      </c>
      <c r="B171" t="s">
        <v>219</v>
      </c>
      <c r="C171">
        <v>3</v>
      </c>
      <c r="D171">
        <v>1.32E-2</v>
      </c>
      <c r="E171">
        <v>1</v>
      </c>
      <c r="F171">
        <v>2</v>
      </c>
      <c r="G171">
        <f t="shared" si="4"/>
        <v>454.54545454545462</v>
      </c>
    </row>
    <row r="172" spans="1:9" x14ac:dyDescent="0.45">
      <c r="A172" s="5" t="s">
        <v>220</v>
      </c>
      <c r="B172" t="s">
        <v>221</v>
      </c>
      <c r="C172">
        <v>2.4</v>
      </c>
      <c r="D172">
        <v>1.15E-2</v>
      </c>
      <c r="E172">
        <v>1</v>
      </c>
      <c r="F172">
        <v>2</v>
      </c>
      <c r="G172">
        <f t="shared" si="4"/>
        <v>417.39130434782606</v>
      </c>
    </row>
    <row r="173" spans="1:9" x14ac:dyDescent="0.45">
      <c r="A173" s="5" t="s">
        <v>222</v>
      </c>
      <c r="B173" t="s">
        <v>223</v>
      </c>
      <c r="C173">
        <v>2.7</v>
      </c>
      <c r="D173">
        <v>1.37E-2</v>
      </c>
      <c r="E173">
        <v>1</v>
      </c>
      <c r="F173">
        <v>2</v>
      </c>
      <c r="G173">
        <f t="shared" si="4"/>
        <v>394.16058394160586</v>
      </c>
    </row>
    <row r="174" spans="1:9" x14ac:dyDescent="0.45">
      <c r="A174" s="5" t="s">
        <v>224</v>
      </c>
      <c r="B174" t="s">
        <v>225</v>
      </c>
      <c r="C174">
        <v>3.7</v>
      </c>
      <c r="D174">
        <v>1.5100000000000001E-2</v>
      </c>
      <c r="E174">
        <v>1</v>
      </c>
      <c r="F174">
        <v>2</v>
      </c>
      <c r="G174">
        <f t="shared" si="4"/>
        <v>490.06622516556291</v>
      </c>
    </row>
    <row r="175" spans="1:9" x14ac:dyDescent="0.45">
      <c r="A175" s="5" t="s">
        <v>226</v>
      </c>
      <c r="B175" t="s">
        <v>227</v>
      </c>
      <c r="C175">
        <v>2.6</v>
      </c>
      <c r="D175">
        <v>1.52E-2</v>
      </c>
      <c r="E175">
        <v>1</v>
      </c>
      <c r="F175">
        <v>2</v>
      </c>
      <c r="G175">
        <f t="shared" si="4"/>
        <v>342.10526315789474</v>
      </c>
    </row>
    <row r="176" spans="1:9" ht="14.65" thickBot="1" x14ac:dyDescent="0.5">
      <c r="A176" s="6" t="s">
        <v>228</v>
      </c>
      <c r="B176" s="3" t="s">
        <v>229</v>
      </c>
      <c r="C176">
        <v>2.7</v>
      </c>
      <c r="D176" s="9">
        <v>1.43E-2</v>
      </c>
      <c r="E176" s="9">
        <v>1</v>
      </c>
      <c r="F176" s="9">
        <v>2</v>
      </c>
      <c r="G176" s="9">
        <f t="shared" si="4"/>
        <v>377.62237762237766</v>
      </c>
      <c r="H176" s="9">
        <f>AVERAGE(G171:G176)</f>
        <v>412.64853479678703</v>
      </c>
      <c r="I176" s="9">
        <f>STDEV(G171:G176)/SQRT(6)</f>
        <v>21.845162482209901</v>
      </c>
    </row>
    <row r="177" spans="1:9" x14ac:dyDescent="0.45">
      <c r="A177" s="4" t="s">
        <v>230</v>
      </c>
      <c r="B177" t="s">
        <v>231</v>
      </c>
      <c r="C177">
        <v>1.7</v>
      </c>
      <c r="D177">
        <v>1.38E-2</v>
      </c>
      <c r="E177">
        <v>1</v>
      </c>
      <c r="F177">
        <v>2</v>
      </c>
      <c r="G177">
        <f t="shared" si="4"/>
        <v>246.37681159420291</v>
      </c>
    </row>
    <row r="178" spans="1:9" x14ac:dyDescent="0.45">
      <c r="A178" s="5" t="s">
        <v>232</v>
      </c>
      <c r="B178" t="s">
        <v>233</v>
      </c>
      <c r="C178">
        <v>2.1</v>
      </c>
      <c r="D178">
        <v>1.4500000000000001E-2</v>
      </c>
      <c r="E178">
        <v>1</v>
      </c>
      <c r="F178">
        <v>2</v>
      </c>
      <c r="G178">
        <f t="shared" si="4"/>
        <v>289.65517241379308</v>
      </c>
    </row>
    <row r="179" spans="1:9" x14ac:dyDescent="0.45">
      <c r="A179" s="5" t="s">
        <v>234</v>
      </c>
      <c r="B179" t="s">
        <v>235</v>
      </c>
      <c r="C179">
        <v>3.1</v>
      </c>
      <c r="D179">
        <v>1.6299999999999999E-2</v>
      </c>
      <c r="E179">
        <v>1</v>
      </c>
      <c r="F179">
        <v>2</v>
      </c>
      <c r="G179">
        <f t="shared" si="4"/>
        <v>380.36809815950926</v>
      </c>
    </row>
    <row r="180" spans="1:9" x14ac:dyDescent="0.45">
      <c r="A180" s="5" t="s">
        <v>236</v>
      </c>
      <c r="B180" t="s">
        <v>237</v>
      </c>
      <c r="C180">
        <v>2.2000000000000002</v>
      </c>
      <c r="D180">
        <v>1.2500000000000001E-2</v>
      </c>
      <c r="E180">
        <v>1</v>
      </c>
      <c r="F180">
        <v>2</v>
      </c>
      <c r="G180">
        <f t="shared" si="4"/>
        <v>352</v>
      </c>
    </row>
    <row r="181" spans="1:9" x14ac:dyDescent="0.45">
      <c r="A181" s="5" t="s">
        <v>238</v>
      </c>
      <c r="B181" t="s">
        <v>239</v>
      </c>
      <c r="C181">
        <v>2.1</v>
      </c>
      <c r="D181">
        <v>1.21E-2</v>
      </c>
      <c r="E181">
        <v>1</v>
      </c>
      <c r="F181">
        <v>2</v>
      </c>
      <c r="G181">
        <f t="shared" si="4"/>
        <v>347.10743801652899</v>
      </c>
    </row>
    <row r="182" spans="1:9" x14ac:dyDescent="0.45">
      <c r="A182" s="5" t="s">
        <v>240</v>
      </c>
      <c r="B182" t="s">
        <v>241</v>
      </c>
      <c r="C182">
        <v>2.2999999999999998</v>
      </c>
      <c r="D182">
        <v>1.66E-2</v>
      </c>
      <c r="E182">
        <v>1</v>
      </c>
      <c r="F182">
        <v>2</v>
      </c>
      <c r="G182">
        <f t="shared" si="4"/>
        <v>277.10843373493969</v>
      </c>
      <c r="H182">
        <f>AVERAGE(G177:G182)</f>
        <v>315.43599231982898</v>
      </c>
      <c r="I182">
        <f>STDEV(G177:G182)/SQRT(6)</f>
        <v>21.180972879395313</v>
      </c>
    </row>
    <row r="183" spans="1:9" x14ac:dyDescent="0.45">
      <c r="A183" s="5" t="s">
        <v>242</v>
      </c>
      <c r="B183" t="s">
        <v>243</v>
      </c>
      <c r="C183">
        <v>2.6</v>
      </c>
      <c r="D183">
        <v>1.34E-2</v>
      </c>
      <c r="E183">
        <v>1</v>
      </c>
      <c r="F183">
        <v>2</v>
      </c>
      <c r="G183">
        <f t="shared" si="4"/>
        <v>388.05970149253733</v>
      </c>
    </row>
    <row r="184" spans="1:9" x14ac:dyDescent="0.45">
      <c r="A184" s="5" t="s">
        <v>244</v>
      </c>
      <c r="B184" t="s">
        <v>245</v>
      </c>
      <c r="C184">
        <v>2.7</v>
      </c>
      <c r="D184">
        <v>1.55E-2</v>
      </c>
      <c r="E184">
        <v>1</v>
      </c>
      <c r="F184">
        <v>2</v>
      </c>
      <c r="G184">
        <f t="shared" si="4"/>
        <v>348.38709677419359</v>
      </c>
    </row>
    <row r="185" spans="1:9" x14ac:dyDescent="0.45">
      <c r="A185" s="5" t="s">
        <v>246</v>
      </c>
      <c r="B185" t="s">
        <v>247</v>
      </c>
      <c r="C185">
        <v>1.9</v>
      </c>
      <c r="D185">
        <v>1.5699999999999999E-2</v>
      </c>
      <c r="E185">
        <v>1</v>
      </c>
      <c r="F185">
        <v>2</v>
      </c>
      <c r="G185">
        <f t="shared" si="4"/>
        <v>242.03821656050957</v>
      </c>
    </row>
    <row r="186" spans="1:9" x14ac:dyDescent="0.45">
      <c r="A186" s="5" t="s">
        <v>248</v>
      </c>
      <c r="B186" t="s">
        <v>249</v>
      </c>
      <c r="C186">
        <v>1.5</v>
      </c>
      <c r="D186">
        <v>1.6899999999999998E-2</v>
      </c>
      <c r="E186">
        <v>1</v>
      </c>
      <c r="F186">
        <v>2</v>
      </c>
      <c r="G186">
        <f t="shared" si="4"/>
        <v>177.51479289940829</v>
      </c>
    </row>
    <row r="187" spans="1:9" x14ac:dyDescent="0.45">
      <c r="A187" s="5" t="s">
        <v>250</v>
      </c>
      <c r="B187" t="s">
        <v>251</v>
      </c>
      <c r="C187">
        <v>3</v>
      </c>
      <c r="D187">
        <v>1.4999999999999999E-2</v>
      </c>
      <c r="E187">
        <v>1</v>
      </c>
      <c r="F187">
        <v>2</v>
      </c>
      <c r="G187">
        <f t="shared" si="4"/>
        <v>400</v>
      </c>
    </row>
    <row r="188" spans="1:9" ht="14.65" thickBot="1" x14ac:dyDescent="0.5">
      <c r="A188" s="6" t="s">
        <v>252</v>
      </c>
      <c r="B188" s="3" t="s">
        <v>253</v>
      </c>
      <c r="C188">
        <v>3.3</v>
      </c>
      <c r="D188" s="9">
        <v>1.78E-2</v>
      </c>
      <c r="E188" s="9">
        <v>1</v>
      </c>
      <c r="F188" s="9">
        <v>2</v>
      </c>
      <c r="G188" s="9">
        <f t="shared" si="4"/>
        <v>370.7865168539326</v>
      </c>
      <c r="H188" s="9">
        <f>AVERAGE(G183:G188)</f>
        <v>321.13105409676353</v>
      </c>
      <c r="I188" s="9">
        <f>STDEV(G183:G188)/SQRT(6)</f>
        <v>36.873485841916754</v>
      </c>
    </row>
    <row r="189" spans="1:9" x14ac:dyDescent="0.45">
      <c r="A189" s="4" t="s">
        <v>254</v>
      </c>
      <c r="B189" t="s">
        <v>255</v>
      </c>
      <c r="C189">
        <v>1.8</v>
      </c>
      <c r="D189">
        <v>1.3899999999999999E-2</v>
      </c>
      <c r="E189">
        <v>1</v>
      </c>
      <c r="F189">
        <v>2</v>
      </c>
      <c r="G189">
        <f t="shared" si="4"/>
        <v>258.99280575539569</v>
      </c>
    </row>
    <row r="190" spans="1:9" x14ac:dyDescent="0.45">
      <c r="A190" s="5" t="s">
        <v>256</v>
      </c>
      <c r="B190" t="s">
        <v>257</v>
      </c>
      <c r="C190">
        <v>1.9</v>
      </c>
      <c r="D190">
        <v>1.72E-2</v>
      </c>
      <c r="E190">
        <v>1</v>
      </c>
      <c r="F190">
        <v>2</v>
      </c>
      <c r="G190">
        <f t="shared" si="4"/>
        <v>220.93023255813952</v>
      </c>
    </row>
    <row r="191" spans="1:9" x14ac:dyDescent="0.45">
      <c r="A191" s="5" t="s">
        <v>258</v>
      </c>
      <c r="B191" t="s">
        <v>259</v>
      </c>
      <c r="C191">
        <v>2.5</v>
      </c>
      <c r="D191">
        <v>1.66E-2</v>
      </c>
      <c r="E191">
        <v>1</v>
      </c>
      <c r="F191">
        <v>2</v>
      </c>
      <c r="G191">
        <f t="shared" si="4"/>
        <v>301.20481927710841</v>
      </c>
    </row>
    <row r="192" spans="1:9" x14ac:dyDescent="0.45">
      <c r="A192" s="5" t="s">
        <v>260</v>
      </c>
      <c r="B192" t="s">
        <v>261</v>
      </c>
      <c r="C192">
        <v>1.8</v>
      </c>
      <c r="D192">
        <v>1.54E-2</v>
      </c>
      <c r="E192">
        <v>1</v>
      </c>
      <c r="F192">
        <v>2</v>
      </c>
      <c r="G192">
        <f t="shared" si="4"/>
        <v>233.76623376623374</v>
      </c>
    </row>
    <row r="193" spans="1:9" x14ac:dyDescent="0.45">
      <c r="A193" s="5" t="s">
        <v>262</v>
      </c>
      <c r="B193" t="s">
        <v>263</v>
      </c>
      <c r="C193">
        <v>1.4</v>
      </c>
      <c r="D193">
        <v>1.7100000000000001E-2</v>
      </c>
      <c r="E193">
        <v>1</v>
      </c>
      <c r="F193">
        <v>2</v>
      </c>
      <c r="G193">
        <f t="shared" si="4"/>
        <v>163.74269005847952</v>
      </c>
    </row>
    <row r="194" spans="1:9" x14ac:dyDescent="0.45">
      <c r="A194" s="5" t="s">
        <v>264</v>
      </c>
      <c r="B194" t="s">
        <v>265</v>
      </c>
      <c r="C194">
        <v>2.2000000000000002</v>
      </c>
      <c r="D194">
        <v>1.67E-2</v>
      </c>
      <c r="E194">
        <v>1</v>
      </c>
      <c r="F194">
        <v>2</v>
      </c>
      <c r="G194">
        <f t="shared" ref="G194:G248" si="5">(C194*(E194/D194)*F194)</f>
        <v>263.4730538922156</v>
      </c>
      <c r="H194">
        <f>AVERAGE(G189:G194)</f>
        <v>240.35163921792875</v>
      </c>
      <c r="I194">
        <f>STDEV(G189:G194)/SQRT(6)</f>
        <v>19.039163254247018</v>
      </c>
    </row>
    <row r="195" spans="1:9" x14ac:dyDescent="0.45">
      <c r="A195" s="5" t="s">
        <v>266</v>
      </c>
      <c r="B195" t="s">
        <v>267</v>
      </c>
      <c r="C195">
        <v>2.2000000000000002</v>
      </c>
      <c r="D195">
        <v>1.54E-2</v>
      </c>
      <c r="E195">
        <v>1</v>
      </c>
      <c r="F195">
        <v>2</v>
      </c>
      <c r="G195">
        <f t="shared" si="5"/>
        <v>285.71428571428572</v>
      </c>
    </row>
    <row r="196" spans="1:9" x14ac:dyDescent="0.45">
      <c r="A196" s="5" t="s">
        <v>268</v>
      </c>
      <c r="B196" t="s">
        <v>269</v>
      </c>
      <c r="C196">
        <v>2.1</v>
      </c>
      <c r="D196">
        <v>1.5800000000000002E-2</v>
      </c>
      <c r="E196">
        <v>1</v>
      </c>
      <c r="F196">
        <v>2</v>
      </c>
      <c r="G196">
        <f t="shared" si="5"/>
        <v>265.82278481012656</v>
      </c>
    </row>
    <row r="197" spans="1:9" x14ac:dyDescent="0.45">
      <c r="A197" s="5" t="s">
        <v>270</v>
      </c>
      <c r="B197" t="s">
        <v>271</v>
      </c>
      <c r="C197">
        <v>2</v>
      </c>
      <c r="D197">
        <v>1.5900000000000001E-2</v>
      </c>
      <c r="E197">
        <v>1</v>
      </c>
      <c r="F197">
        <v>2</v>
      </c>
      <c r="G197">
        <f t="shared" si="5"/>
        <v>251.57232704402514</v>
      </c>
    </row>
    <row r="198" spans="1:9" x14ac:dyDescent="0.45">
      <c r="A198" s="5" t="s">
        <v>272</v>
      </c>
      <c r="B198" t="s">
        <v>273</v>
      </c>
      <c r="C198">
        <v>1.9</v>
      </c>
      <c r="D198">
        <v>1.4800000000000001E-2</v>
      </c>
      <c r="E198">
        <v>1</v>
      </c>
      <c r="F198">
        <v>2</v>
      </c>
      <c r="G198">
        <f t="shared" si="5"/>
        <v>256.75675675675672</v>
      </c>
    </row>
    <row r="199" spans="1:9" x14ac:dyDescent="0.45">
      <c r="A199" s="5" t="s">
        <v>274</v>
      </c>
      <c r="B199" t="s">
        <v>275</v>
      </c>
      <c r="C199">
        <v>1.9</v>
      </c>
      <c r="D199">
        <v>1.46E-2</v>
      </c>
      <c r="E199">
        <v>1</v>
      </c>
      <c r="F199">
        <v>2</v>
      </c>
      <c r="G199">
        <f t="shared" si="5"/>
        <v>260.27397260273972</v>
      </c>
    </row>
    <row r="200" spans="1:9" ht="14.65" thickBot="1" x14ac:dyDescent="0.5">
      <c r="A200" s="6" t="s">
        <v>276</v>
      </c>
      <c r="B200" s="3" t="s">
        <v>277</v>
      </c>
      <c r="C200">
        <v>1.6</v>
      </c>
      <c r="D200" s="9">
        <v>1.5599999999999999E-2</v>
      </c>
      <c r="E200" s="9">
        <v>1</v>
      </c>
      <c r="F200" s="9">
        <v>2</v>
      </c>
      <c r="G200" s="9">
        <f t="shared" si="5"/>
        <v>205.12820512820514</v>
      </c>
      <c r="H200" s="9">
        <f>AVERAGE(G195:G200)</f>
        <v>254.21138867602312</v>
      </c>
      <c r="I200" s="9">
        <f>STDEV(G195:G200)/SQRT(6)</f>
        <v>10.934066669523622</v>
      </c>
    </row>
    <row r="201" spans="1:9" x14ac:dyDescent="0.45">
      <c r="A201" s="4" t="s">
        <v>278</v>
      </c>
      <c r="B201" t="s">
        <v>279</v>
      </c>
      <c r="C201">
        <v>2.2999999999999998</v>
      </c>
      <c r="D201">
        <v>1.43E-2</v>
      </c>
      <c r="E201">
        <v>1</v>
      </c>
      <c r="F201">
        <v>2</v>
      </c>
      <c r="G201">
        <f t="shared" si="5"/>
        <v>321.67832167832165</v>
      </c>
    </row>
    <row r="202" spans="1:9" x14ac:dyDescent="0.45">
      <c r="A202" s="5" t="s">
        <v>280</v>
      </c>
      <c r="B202" t="s">
        <v>281</v>
      </c>
      <c r="C202">
        <v>3</v>
      </c>
      <c r="D202">
        <v>1.4E-2</v>
      </c>
      <c r="E202">
        <v>1</v>
      </c>
      <c r="F202">
        <v>2</v>
      </c>
      <c r="G202">
        <f t="shared" si="5"/>
        <v>428.57142857142856</v>
      </c>
    </row>
    <row r="203" spans="1:9" x14ac:dyDescent="0.45">
      <c r="A203" s="5" t="s">
        <v>282</v>
      </c>
      <c r="B203" t="s">
        <v>283</v>
      </c>
      <c r="C203">
        <v>1.7</v>
      </c>
      <c r="D203">
        <v>1.4200000000000001E-2</v>
      </c>
      <c r="E203">
        <v>1</v>
      </c>
      <c r="F203">
        <v>2</v>
      </c>
      <c r="G203">
        <f t="shared" si="5"/>
        <v>239.43661971830983</v>
      </c>
    </row>
    <row r="204" spans="1:9" x14ac:dyDescent="0.45">
      <c r="A204" s="5" t="s">
        <v>284</v>
      </c>
      <c r="B204" t="s">
        <v>285</v>
      </c>
      <c r="C204">
        <v>2.1</v>
      </c>
      <c r="D204">
        <v>1.5599999999999999E-2</v>
      </c>
      <c r="E204">
        <v>1</v>
      </c>
      <c r="F204">
        <v>2</v>
      </c>
      <c r="G204">
        <f t="shared" si="5"/>
        <v>269.23076923076923</v>
      </c>
    </row>
    <row r="205" spans="1:9" x14ac:dyDescent="0.45">
      <c r="A205" s="5" t="s">
        <v>286</v>
      </c>
      <c r="B205" t="s">
        <v>287</v>
      </c>
      <c r="C205">
        <v>1.5</v>
      </c>
      <c r="D205">
        <v>1.5100000000000001E-2</v>
      </c>
      <c r="E205">
        <v>1</v>
      </c>
      <c r="F205">
        <v>2</v>
      </c>
      <c r="G205">
        <f t="shared" si="5"/>
        <v>198.6754966887417</v>
      </c>
    </row>
    <row r="206" spans="1:9" x14ac:dyDescent="0.45">
      <c r="A206" s="5" t="s">
        <v>288</v>
      </c>
      <c r="B206" t="s">
        <v>289</v>
      </c>
      <c r="C206">
        <v>1.8</v>
      </c>
      <c r="D206">
        <v>1.6299999999999999E-2</v>
      </c>
      <c r="E206">
        <v>1</v>
      </c>
      <c r="F206">
        <v>2</v>
      </c>
      <c r="G206">
        <f t="shared" si="5"/>
        <v>220.85889570552152</v>
      </c>
      <c r="H206">
        <f>AVERAGE(G201:G206)</f>
        <v>279.74192193218209</v>
      </c>
      <c r="I206">
        <f>STDEV(G201:G206)/SQRT(6)</f>
        <v>34.488095273187334</v>
      </c>
    </row>
    <row r="207" spans="1:9" x14ac:dyDescent="0.45">
      <c r="A207" s="5" t="s">
        <v>290</v>
      </c>
      <c r="B207" t="s">
        <v>291</v>
      </c>
      <c r="C207">
        <v>3.2</v>
      </c>
      <c r="D207">
        <v>1.67E-2</v>
      </c>
      <c r="E207">
        <v>1</v>
      </c>
      <c r="F207">
        <v>2</v>
      </c>
      <c r="G207">
        <f t="shared" si="5"/>
        <v>383.23353293413174</v>
      </c>
    </row>
    <row r="208" spans="1:9" x14ac:dyDescent="0.45">
      <c r="A208" s="5" t="s">
        <v>292</v>
      </c>
      <c r="B208" t="s">
        <v>293</v>
      </c>
      <c r="C208">
        <v>2.9</v>
      </c>
      <c r="D208">
        <v>1.52E-2</v>
      </c>
      <c r="E208">
        <v>1</v>
      </c>
      <c r="F208">
        <v>2</v>
      </c>
      <c r="G208">
        <f t="shared" si="5"/>
        <v>381.57894736842098</v>
      </c>
    </row>
    <row r="209" spans="1:9" x14ac:dyDescent="0.45">
      <c r="A209" s="5" t="s">
        <v>294</v>
      </c>
      <c r="B209" t="s">
        <v>295</v>
      </c>
      <c r="C209">
        <v>2.4</v>
      </c>
      <c r="D209">
        <v>1.9199999999999998E-2</v>
      </c>
      <c r="E209">
        <v>1</v>
      </c>
      <c r="F209">
        <v>2</v>
      </c>
      <c r="G209">
        <f t="shared" si="5"/>
        <v>250</v>
      </c>
    </row>
    <row r="210" spans="1:9" x14ac:dyDescent="0.45">
      <c r="A210" s="5" t="s">
        <v>296</v>
      </c>
      <c r="B210" t="s">
        <v>297</v>
      </c>
      <c r="C210">
        <v>1.7</v>
      </c>
      <c r="D210">
        <v>1.6400000000000001E-2</v>
      </c>
      <c r="E210">
        <v>1</v>
      </c>
      <c r="F210">
        <v>2</v>
      </c>
      <c r="G210">
        <f t="shared" si="5"/>
        <v>207.31707317073167</v>
      </c>
    </row>
    <row r="211" spans="1:9" x14ac:dyDescent="0.45">
      <c r="A211" s="5" t="s">
        <v>298</v>
      </c>
      <c r="B211" t="s">
        <v>299</v>
      </c>
      <c r="C211">
        <v>2.2000000000000002</v>
      </c>
      <c r="D211">
        <v>1.7100000000000001E-2</v>
      </c>
      <c r="E211">
        <v>1</v>
      </c>
      <c r="F211">
        <v>2</v>
      </c>
      <c r="G211">
        <f t="shared" si="5"/>
        <v>257.30994152046787</v>
      </c>
    </row>
    <row r="212" spans="1:9" ht="14.65" thickBot="1" x14ac:dyDescent="0.5">
      <c r="A212" s="6" t="s">
        <v>300</v>
      </c>
      <c r="B212" s="3" t="s">
        <v>301</v>
      </c>
      <c r="C212">
        <v>2</v>
      </c>
      <c r="D212" s="9">
        <v>1.5800000000000002E-2</v>
      </c>
      <c r="E212" s="9">
        <v>1</v>
      </c>
      <c r="F212" s="9">
        <v>2</v>
      </c>
      <c r="G212" s="9">
        <f t="shared" si="5"/>
        <v>253.1645569620253</v>
      </c>
      <c r="H212" s="9">
        <f>AVERAGE(G207:G212)</f>
        <v>288.76734199262961</v>
      </c>
      <c r="I212" s="9">
        <f>STDEV(G207:G212)/SQRT(6)</f>
        <v>30.513404030667289</v>
      </c>
    </row>
    <row r="213" spans="1:9" x14ac:dyDescent="0.45">
      <c r="A213" s="4" t="s">
        <v>302</v>
      </c>
      <c r="B213" t="s">
        <v>303</v>
      </c>
      <c r="C213">
        <v>2.6</v>
      </c>
      <c r="D213">
        <v>1.55E-2</v>
      </c>
      <c r="E213">
        <v>1</v>
      </c>
      <c r="F213">
        <v>2</v>
      </c>
      <c r="G213">
        <f t="shared" si="5"/>
        <v>335.48387096774195</v>
      </c>
    </row>
    <row r="214" spans="1:9" x14ac:dyDescent="0.45">
      <c r="A214" s="5" t="s">
        <v>304</v>
      </c>
      <c r="B214" t="s">
        <v>305</v>
      </c>
      <c r="C214">
        <v>2.6</v>
      </c>
      <c r="D214">
        <v>1.61E-2</v>
      </c>
      <c r="E214">
        <v>1</v>
      </c>
      <c r="F214">
        <v>2</v>
      </c>
      <c r="G214">
        <f t="shared" si="5"/>
        <v>322.98136645962734</v>
      </c>
    </row>
    <row r="215" spans="1:9" x14ac:dyDescent="0.45">
      <c r="A215" s="5" t="s">
        <v>306</v>
      </c>
      <c r="B215" t="s">
        <v>307</v>
      </c>
      <c r="C215">
        <v>1.9</v>
      </c>
      <c r="D215">
        <v>1.15E-2</v>
      </c>
      <c r="E215">
        <v>1</v>
      </c>
      <c r="F215">
        <v>2</v>
      </c>
      <c r="G215">
        <f t="shared" si="5"/>
        <v>330.43478260869563</v>
      </c>
    </row>
    <row r="216" spans="1:9" x14ac:dyDescent="0.45">
      <c r="A216" s="5" t="s">
        <v>308</v>
      </c>
      <c r="B216" t="s">
        <v>309</v>
      </c>
      <c r="C216">
        <v>1.7</v>
      </c>
      <c r="D216">
        <v>1.14E-2</v>
      </c>
      <c r="E216">
        <v>1</v>
      </c>
      <c r="F216">
        <v>2</v>
      </c>
      <c r="G216">
        <f t="shared" si="5"/>
        <v>298.24561403508767</v>
      </c>
    </row>
    <row r="217" spans="1:9" x14ac:dyDescent="0.45">
      <c r="A217" s="5" t="s">
        <v>310</v>
      </c>
      <c r="B217" t="s">
        <v>311</v>
      </c>
      <c r="C217">
        <v>3.4</v>
      </c>
      <c r="D217">
        <v>1.4800000000000001E-2</v>
      </c>
      <c r="E217">
        <v>1</v>
      </c>
      <c r="F217">
        <v>2</v>
      </c>
      <c r="G217">
        <f t="shared" si="5"/>
        <v>459.45945945945942</v>
      </c>
    </row>
    <row r="218" spans="1:9" x14ac:dyDescent="0.45">
      <c r="A218" s="5" t="s">
        <v>312</v>
      </c>
      <c r="B218" t="s">
        <v>313</v>
      </c>
      <c r="C218">
        <v>3.5</v>
      </c>
      <c r="D218">
        <v>1.4800000000000001E-2</v>
      </c>
      <c r="E218">
        <v>1</v>
      </c>
      <c r="F218">
        <v>2</v>
      </c>
      <c r="G218">
        <f t="shared" si="5"/>
        <v>472.97297297297297</v>
      </c>
      <c r="H218">
        <f>AVERAGE(G213:G218)</f>
        <v>369.92967775059748</v>
      </c>
      <c r="I218">
        <f>STDEV(G213:G218)/SQRT(6)</f>
        <v>30.942210529823129</v>
      </c>
    </row>
    <row r="219" spans="1:9" x14ac:dyDescent="0.45">
      <c r="A219" s="5" t="s">
        <v>314</v>
      </c>
      <c r="B219" t="s">
        <v>315</v>
      </c>
      <c r="C219">
        <v>2.6</v>
      </c>
      <c r="D219">
        <v>1.5599999999999999E-2</v>
      </c>
      <c r="E219">
        <v>1</v>
      </c>
      <c r="F219">
        <v>2</v>
      </c>
      <c r="G219">
        <f t="shared" si="5"/>
        <v>333.33333333333337</v>
      </c>
    </row>
    <row r="220" spans="1:9" x14ac:dyDescent="0.45">
      <c r="A220" s="5" t="s">
        <v>316</v>
      </c>
      <c r="B220" t="s">
        <v>317</v>
      </c>
      <c r="C220">
        <v>2.9</v>
      </c>
      <c r="D220">
        <v>1.6400000000000001E-2</v>
      </c>
      <c r="E220">
        <v>1</v>
      </c>
      <c r="F220">
        <v>2</v>
      </c>
      <c r="G220">
        <f t="shared" si="5"/>
        <v>353.65853658536582</v>
      </c>
    </row>
    <row r="221" spans="1:9" x14ac:dyDescent="0.45">
      <c r="A221" s="5" t="s">
        <v>318</v>
      </c>
      <c r="B221" t="s">
        <v>319</v>
      </c>
      <c r="C221">
        <v>3.4</v>
      </c>
      <c r="D221">
        <v>1.7600000000000001E-2</v>
      </c>
      <c r="E221">
        <v>1</v>
      </c>
      <c r="F221">
        <v>2</v>
      </c>
      <c r="G221">
        <f t="shared" si="5"/>
        <v>386.36363636363632</v>
      </c>
    </row>
    <row r="222" spans="1:9" x14ac:dyDescent="0.45">
      <c r="A222" s="5" t="s">
        <v>320</v>
      </c>
      <c r="B222" t="s">
        <v>321</v>
      </c>
      <c r="C222">
        <v>2.8</v>
      </c>
      <c r="D222">
        <v>1.52E-2</v>
      </c>
      <c r="E222">
        <v>1</v>
      </c>
      <c r="F222">
        <v>2</v>
      </c>
      <c r="G222">
        <f t="shared" si="5"/>
        <v>368.4210526315789</v>
      </c>
    </row>
    <row r="223" spans="1:9" x14ac:dyDescent="0.45">
      <c r="A223" s="5" t="s">
        <v>322</v>
      </c>
      <c r="B223" t="s">
        <v>323</v>
      </c>
      <c r="C223">
        <v>2</v>
      </c>
      <c r="D223">
        <v>1.54E-2</v>
      </c>
      <c r="E223">
        <v>1</v>
      </c>
      <c r="F223">
        <v>2</v>
      </c>
      <c r="G223">
        <f t="shared" si="5"/>
        <v>259.74025974025972</v>
      </c>
    </row>
    <row r="224" spans="1:9" ht="14.65" thickBot="1" x14ac:dyDescent="0.5">
      <c r="A224" s="6" t="s">
        <v>324</v>
      </c>
      <c r="B224" s="3" t="s">
        <v>325</v>
      </c>
      <c r="C224">
        <v>2.2000000000000002</v>
      </c>
      <c r="D224" s="9">
        <v>1.7500000000000002E-2</v>
      </c>
      <c r="E224" s="9">
        <v>1</v>
      </c>
      <c r="F224" s="9">
        <v>2</v>
      </c>
      <c r="G224" s="9">
        <f t="shared" si="5"/>
        <v>251.42857142857144</v>
      </c>
      <c r="H224" s="9">
        <f>AVERAGE(G219:G224)</f>
        <v>325.4908983471243</v>
      </c>
      <c r="I224" s="9">
        <f>STDEV(G219:G224)/SQRT(6)</f>
        <v>23.246349359808804</v>
      </c>
    </row>
    <row r="225" spans="1:9" x14ac:dyDescent="0.45">
      <c r="A225" s="4" t="s">
        <v>326</v>
      </c>
      <c r="B225" t="s">
        <v>327</v>
      </c>
      <c r="C225">
        <v>2</v>
      </c>
      <c r="D225">
        <v>1.44E-2</v>
      </c>
      <c r="E225">
        <v>1</v>
      </c>
      <c r="F225">
        <v>2</v>
      </c>
      <c r="G225">
        <f t="shared" si="5"/>
        <v>277.77777777777777</v>
      </c>
    </row>
    <row r="226" spans="1:9" x14ac:dyDescent="0.45">
      <c r="A226" s="5" t="s">
        <v>328</v>
      </c>
      <c r="B226" t="s">
        <v>329</v>
      </c>
      <c r="C226">
        <v>2</v>
      </c>
      <c r="D226">
        <v>1.44E-2</v>
      </c>
      <c r="E226">
        <v>1</v>
      </c>
      <c r="F226">
        <v>2</v>
      </c>
      <c r="G226">
        <f t="shared" si="5"/>
        <v>277.77777777777777</v>
      </c>
    </row>
    <row r="227" spans="1:9" x14ac:dyDescent="0.45">
      <c r="A227" s="5" t="s">
        <v>330</v>
      </c>
      <c r="B227" t="s">
        <v>331</v>
      </c>
      <c r="C227">
        <v>2.6</v>
      </c>
      <c r="D227">
        <v>1.6E-2</v>
      </c>
      <c r="E227">
        <v>1</v>
      </c>
      <c r="F227">
        <v>2</v>
      </c>
      <c r="G227">
        <f t="shared" si="5"/>
        <v>325</v>
      </c>
    </row>
    <row r="228" spans="1:9" x14ac:dyDescent="0.45">
      <c r="A228" s="5" t="s">
        <v>332</v>
      </c>
      <c r="B228" t="s">
        <v>333</v>
      </c>
      <c r="C228">
        <v>2.6</v>
      </c>
      <c r="D228">
        <v>1.7500000000000002E-2</v>
      </c>
      <c r="E228">
        <v>1</v>
      </c>
      <c r="F228">
        <v>2</v>
      </c>
      <c r="G228">
        <f t="shared" si="5"/>
        <v>297.14285714285711</v>
      </c>
    </row>
    <row r="229" spans="1:9" x14ac:dyDescent="0.45">
      <c r="A229" s="5" t="s">
        <v>334</v>
      </c>
      <c r="B229" t="s">
        <v>335</v>
      </c>
      <c r="C229">
        <v>3</v>
      </c>
      <c r="D229">
        <v>1.37E-2</v>
      </c>
      <c r="E229">
        <v>1</v>
      </c>
      <c r="F229">
        <v>2</v>
      </c>
      <c r="G229">
        <f t="shared" si="5"/>
        <v>437.95620437956205</v>
      </c>
    </row>
    <row r="230" spans="1:9" x14ac:dyDescent="0.45">
      <c r="A230" s="5" t="s">
        <v>336</v>
      </c>
      <c r="B230" t="s">
        <v>337</v>
      </c>
      <c r="C230">
        <v>2.7</v>
      </c>
      <c r="D230">
        <v>1.3100000000000001E-2</v>
      </c>
      <c r="E230">
        <v>1</v>
      </c>
      <c r="F230">
        <v>2</v>
      </c>
      <c r="G230">
        <f t="shared" si="5"/>
        <v>412.21374045801525</v>
      </c>
      <c r="H230">
        <f>AVERAGE(G225:G230)</f>
        <v>337.97805958933162</v>
      </c>
      <c r="I230">
        <f>STDEV(G225:G230)/SQRT(6)</f>
        <v>28.630203980914541</v>
      </c>
    </row>
    <row r="231" spans="1:9" x14ac:dyDescent="0.45">
      <c r="A231" s="5" t="s">
        <v>338</v>
      </c>
      <c r="B231" t="s">
        <v>339</v>
      </c>
      <c r="C231">
        <v>3</v>
      </c>
      <c r="D231">
        <v>1.2999999999999999E-2</v>
      </c>
      <c r="E231">
        <v>1</v>
      </c>
      <c r="F231">
        <v>2</v>
      </c>
      <c r="G231">
        <f t="shared" si="5"/>
        <v>461.53846153846155</v>
      </c>
    </row>
    <row r="232" spans="1:9" x14ac:dyDescent="0.45">
      <c r="A232" s="5" t="s">
        <v>340</v>
      </c>
      <c r="B232" t="s">
        <v>341</v>
      </c>
      <c r="C232">
        <v>2.8</v>
      </c>
      <c r="D232">
        <v>1.61E-2</v>
      </c>
      <c r="E232">
        <v>1</v>
      </c>
      <c r="F232">
        <v>2</v>
      </c>
      <c r="G232">
        <f t="shared" si="5"/>
        <v>347.82608695652175</v>
      </c>
    </row>
    <row r="233" spans="1:9" x14ac:dyDescent="0.45">
      <c r="A233" s="5" t="s">
        <v>342</v>
      </c>
      <c r="B233" t="s">
        <v>343</v>
      </c>
      <c r="C233">
        <v>2.5</v>
      </c>
      <c r="D233">
        <v>1.54E-2</v>
      </c>
      <c r="E233">
        <v>1</v>
      </c>
      <c r="F233">
        <v>2</v>
      </c>
      <c r="G233">
        <f t="shared" si="5"/>
        <v>324.67532467532465</v>
      </c>
    </row>
    <row r="234" spans="1:9" x14ac:dyDescent="0.45">
      <c r="A234" s="5" t="s">
        <v>344</v>
      </c>
      <c r="B234" t="s">
        <v>345</v>
      </c>
      <c r="C234">
        <v>2</v>
      </c>
      <c r="D234">
        <v>1.24E-2</v>
      </c>
      <c r="E234">
        <v>1</v>
      </c>
      <c r="F234">
        <v>2</v>
      </c>
      <c r="G234">
        <f t="shared" si="5"/>
        <v>322.58064516129031</v>
      </c>
    </row>
    <row r="235" spans="1:9" x14ac:dyDescent="0.45">
      <c r="A235" s="5" t="s">
        <v>346</v>
      </c>
      <c r="B235" t="s">
        <v>347</v>
      </c>
      <c r="C235">
        <v>2.2000000000000002</v>
      </c>
      <c r="D235">
        <v>1.4999999999999999E-2</v>
      </c>
      <c r="E235">
        <v>1</v>
      </c>
      <c r="F235">
        <v>2</v>
      </c>
      <c r="G235">
        <f t="shared" si="5"/>
        <v>293.33333333333337</v>
      </c>
    </row>
    <row r="236" spans="1:9" ht="14.65" thickBot="1" x14ac:dyDescent="0.5">
      <c r="A236" s="6" t="s">
        <v>348</v>
      </c>
      <c r="B236" s="3" t="s">
        <v>349</v>
      </c>
      <c r="C236">
        <v>2.9</v>
      </c>
      <c r="D236" s="9">
        <v>1.49E-2</v>
      </c>
      <c r="E236" s="9">
        <v>1</v>
      </c>
      <c r="F236" s="9">
        <v>2</v>
      </c>
      <c r="G236" s="9">
        <f t="shared" si="5"/>
        <v>389.26174496644296</v>
      </c>
      <c r="H236" s="9">
        <f>AVERAGE(G231:G236)</f>
        <v>356.53593277189583</v>
      </c>
      <c r="I236" s="9">
        <f>STDEV(G231:G236)/SQRT(6)</f>
        <v>24.72178507988944</v>
      </c>
    </row>
    <row r="237" spans="1:9" x14ac:dyDescent="0.45">
      <c r="A237" s="4" t="s">
        <v>350</v>
      </c>
      <c r="B237" t="s">
        <v>351</v>
      </c>
      <c r="C237">
        <v>2.4</v>
      </c>
      <c r="D237">
        <v>1.2200000000000001E-2</v>
      </c>
      <c r="E237">
        <v>1</v>
      </c>
      <c r="F237">
        <v>2</v>
      </c>
      <c r="G237">
        <f t="shared" si="5"/>
        <v>393.44262295081961</v>
      </c>
    </row>
    <row r="238" spans="1:9" x14ac:dyDescent="0.45">
      <c r="A238" s="5" t="s">
        <v>352</v>
      </c>
      <c r="B238" t="s">
        <v>353</v>
      </c>
      <c r="C238">
        <v>2.4</v>
      </c>
      <c r="D238">
        <v>1.1900000000000001E-2</v>
      </c>
      <c r="E238">
        <v>1</v>
      </c>
      <c r="F238">
        <v>2</v>
      </c>
      <c r="G238">
        <f t="shared" si="5"/>
        <v>403.36134453781511</v>
      </c>
    </row>
    <row r="239" spans="1:9" x14ac:dyDescent="0.45">
      <c r="A239" s="5" t="s">
        <v>354</v>
      </c>
      <c r="B239" t="s">
        <v>355</v>
      </c>
      <c r="C239">
        <v>1.1000000000000001</v>
      </c>
      <c r="D239">
        <v>1.17E-2</v>
      </c>
      <c r="E239">
        <v>1</v>
      </c>
      <c r="F239">
        <v>2</v>
      </c>
      <c r="G239">
        <f t="shared" si="5"/>
        <v>188.03418803418805</v>
      </c>
    </row>
    <row r="240" spans="1:9" x14ac:dyDescent="0.45">
      <c r="A240" s="5" t="s">
        <v>356</v>
      </c>
      <c r="B240" t="s">
        <v>357</v>
      </c>
      <c r="C240">
        <v>1.5</v>
      </c>
      <c r="D240">
        <v>1.7000000000000001E-2</v>
      </c>
      <c r="E240">
        <v>1</v>
      </c>
      <c r="F240">
        <v>2</v>
      </c>
      <c r="G240">
        <f t="shared" si="5"/>
        <v>176.47058823529412</v>
      </c>
    </row>
    <row r="241" spans="1:9" x14ac:dyDescent="0.45">
      <c r="A241" s="5" t="s">
        <v>358</v>
      </c>
      <c r="B241" t="s">
        <v>359</v>
      </c>
      <c r="C241">
        <v>1.5</v>
      </c>
      <c r="D241">
        <v>1.61E-2</v>
      </c>
      <c r="E241">
        <v>1</v>
      </c>
      <c r="F241">
        <v>2</v>
      </c>
      <c r="G241">
        <f t="shared" si="5"/>
        <v>186.33540372670808</v>
      </c>
    </row>
    <row r="242" spans="1:9" x14ac:dyDescent="0.45">
      <c r="A242" s="5" t="s">
        <v>360</v>
      </c>
      <c r="B242" t="s">
        <v>361</v>
      </c>
      <c r="C242">
        <v>1.7</v>
      </c>
      <c r="D242">
        <v>1.61E-2</v>
      </c>
      <c r="E242">
        <v>1</v>
      </c>
      <c r="F242">
        <v>2</v>
      </c>
      <c r="G242">
        <f t="shared" si="5"/>
        <v>211.18012422360249</v>
      </c>
      <c r="H242">
        <f>AVERAGE(G237:G242)</f>
        <v>259.80404528473792</v>
      </c>
      <c r="I242">
        <f>STDEV(G237:G242)/SQRT(6)</f>
        <v>44.09280820979334</v>
      </c>
    </row>
    <row r="243" spans="1:9" x14ac:dyDescent="0.45">
      <c r="A243" s="5" t="s">
        <v>362</v>
      </c>
      <c r="B243" t="s">
        <v>363</v>
      </c>
      <c r="C243">
        <v>1.2</v>
      </c>
      <c r="D243">
        <v>1.21E-2</v>
      </c>
      <c r="E243">
        <v>1</v>
      </c>
      <c r="F243">
        <v>2</v>
      </c>
      <c r="G243">
        <f t="shared" si="5"/>
        <v>198.34710743801654</v>
      </c>
    </row>
    <row r="244" spans="1:9" x14ac:dyDescent="0.45">
      <c r="A244" s="5" t="s">
        <v>364</v>
      </c>
      <c r="B244" t="s">
        <v>365</v>
      </c>
      <c r="C244">
        <v>1.2</v>
      </c>
      <c r="D244">
        <v>1.0800000000000001E-2</v>
      </c>
      <c r="E244">
        <v>1</v>
      </c>
      <c r="F244">
        <v>2</v>
      </c>
      <c r="G244">
        <f t="shared" si="5"/>
        <v>222.2222222222222</v>
      </c>
    </row>
    <row r="245" spans="1:9" x14ac:dyDescent="0.45">
      <c r="A245" s="5" t="s">
        <v>366</v>
      </c>
      <c r="B245" t="s">
        <v>367</v>
      </c>
      <c r="C245">
        <v>2.2000000000000002</v>
      </c>
      <c r="D245">
        <v>1.66E-2</v>
      </c>
      <c r="E245">
        <v>1</v>
      </c>
      <c r="F245">
        <v>2</v>
      </c>
      <c r="G245">
        <f t="shared" si="5"/>
        <v>265.06024096385545</v>
      </c>
    </row>
    <row r="246" spans="1:9" x14ac:dyDescent="0.45">
      <c r="A246" s="5" t="s">
        <v>368</v>
      </c>
      <c r="B246" t="s">
        <v>369</v>
      </c>
      <c r="C246">
        <v>1.7</v>
      </c>
      <c r="D246">
        <v>1.52E-2</v>
      </c>
      <c r="E246">
        <v>1</v>
      </c>
      <c r="F246">
        <v>2</v>
      </c>
      <c r="G246">
        <f t="shared" si="5"/>
        <v>223.68421052631575</v>
      </c>
    </row>
    <row r="247" spans="1:9" x14ac:dyDescent="0.45">
      <c r="A247" s="5" t="s">
        <v>370</v>
      </c>
      <c r="B247" t="s">
        <v>371</v>
      </c>
      <c r="C247">
        <v>1.9</v>
      </c>
      <c r="D247">
        <v>1.4200000000000001E-2</v>
      </c>
      <c r="E247">
        <v>1</v>
      </c>
      <c r="F247">
        <v>2</v>
      </c>
      <c r="G247">
        <f t="shared" si="5"/>
        <v>267.6056338028169</v>
      </c>
    </row>
    <row r="248" spans="1:9" ht="14.65" thickBot="1" x14ac:dyDescent="0.5">
      <c r="A248" s="6" t="s">
        <v>372</v>
      </c>
      <c r="B248" s="3" t="s">
        <v>373</v>
      </c>
      <c r="C248">
        <v>2.4</v>
      </c>
      <c r="D248" s="9">
        <v>1.4500000000000001E-2</v>
      </c>
      <c r="E248" s="9">
        <v>1</v>
      </c>
      <c r="F248" s="9">
        <v>2</v>
      </c>
      <c r="G248" s="9">
        <f t="shared" si="5"/>
        <v>331.03448275862064</v>
      </c>
      <c r="H248" s="9">
        <f>AVERAGE(G243:G248)</f>
        <v>251.32564961864125</v>
      </c>
      <c r="I248" s="9">
        <f>STDEV(G243:G248)/SQRT(6)</f>
        <v>19.343353326911142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2191-4BDD-4151-B416-76119E989CDF}">
  <dimension ref="A1:AE248"/>
  <sheetViews>
    <sheetView topLeftCell="G5" zoomScale="85" zoomScaleNormal="90" workbookViewId="0">
      <selection activeCell="M14" sqref="M14"/>
    </sheetView>
  </sheetViews>
  <sheetFormatPr baseColWidth="10" defaultRowHeight="14.25" x14ac:dyDescent="0.45"/>
  <cols>
    <col min="3" max="3" width="11.86328125" customWidth="1"/>
    <col min="5" max="5" width="8.19921875" customWidth="1"/>
    <col min="6" max="6" width="13" bestFit="1" customWidth="1"/>
    <col min="7" max="7" width="14.46484375" bestFit="1" customWidth="1"/>
    <col min="12" max="12" width="12.1328125" customWidth="1"/>
  </cols>
  <sheetData>
    <row r="1" spans="1:31" x14ac:dyDescent="0.45">
      <c r="A1" t="s">
        <v>132</v>
      </c>
    </row>
    <row r="2" spans="1:31" ht="14.65" thickBot="1" x14ac:dyDescent="0.5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t="s">
        <v>131</v>
      </c>
    </row>
    <row r="3" spans="1:31" x14ac:dyDescent="0.45">
      <c r="A3" s="4" t="s">
        <v>2</v>
      </c>
      <c r="B3">
        <v>1</v>
      </c>
      <c r="C3">
        <v>1.2</v>
      </c>
      <c r="D3">
        <v>2.0400000000000001E-2</v>
      </c>
      <c r="E3">
        <v>1</v>
      </c>
      <c r="F3">
        <v>3</v>
      </c>
      <c r="G3">
        <f>(C3*(E3/D3)*F3)</f>
        <v>176.47058823529409</v>
      </c>
      <c r="M3" t="s">
        <v>132</v>
      </c>
    </row>
    <row r="4" spans="1:31" x14ac:dyDescent="0.45">
      <c r="A4" s="5" t="s">
        <v>3</v>
      </c>
      <c r="B4">
        <v>2</v>
      </c>
      <c r="C4">
        <v>0.4</v>
      </c>
      <c r="D4">
        <v>1.54E-2</v>
      </c>
      <c r="E4">
        <v>1</v>
      </c>
      <c r="F4">
        <v>3</v>
      </c>
      <c r="G4">
        <f t="shared" ref="G4:G67" si="0">(C4*(E4/D4)*F4)</f>
        <v>77.922077922077918</v>
      </c>
      <c r="N4" t="s">
        <v>374</v>
      </c>
      <c r="O4" t="s">
        <v>375</v>
      </c>
      <c r="P4" t="s">
        <v>376</v>
      </c>
      <c r="Q4" t="s">
        <v>377</v>
      </c>
      <c r="R4" t="s">
        <v>378</v>
      </c>
      <c r="S4" t="s">
        <v>379</v>
      </c>
      <c r="T4" t="s">
        <v>380</v>
      </c>
      <c r="U4" t="s">
        <v>381</v>
      </c>
      <c r="V4" t="s">
        <v>384</v>
      </c>
      <c r="W4" t="s">
        <v>385</v>
      </c>
    </row>
    <row r="5" spans="1:31" x14ac:dyDescent="0.45">
      <c r="A5" s="5" t="s">
        <v>4</v>
      </c>
      <c r="B5">
        <v>3</v>
      </c>
      <c r="C5">
        <v>1.5</v>
      </c>
      <c r="D5">
        <v>2.1100000000000001E-2</v>
      </c>
      <c r="E5">
        <v>1</v>
      </c>
      <c r="F5">
        <v>3</v>
      </c>
      <c r="G5">
        <f t="shared" si="0"/>
        <v>213.27014218009478</v>
      </c>
      <c r="M5" t="s">
        <v>382</v>
      </c>
      <c r="N5">
        <f>H8</f>
        <v>106.5274399732164</v>
      </c>
      <c r="O5">
        <f>H20</f>
        <v>139.01978293544133</v>
      </c>
      <c r="P5">
        <f>H32</f>
        <v>129.88033723718897</v>
      </c>
      <c r="Q5">
        <f>H44</f>
        <v>56.190070554265098</v>
      </c>
      <c r="R5">
        <f>H56</f>
        <v>98.452983934487023</v>
      </c>
      <c r="S5">
        <f>H68</f>
        <v>243.57883088081732</v>
      </c>
      <c r="T5">
        <f>H80</f>
        <v>234.19331513504119</v>
      </c>
      <c r="U5">
        <f>H92</f>
        <v>226.2321546893952</v>
      </c>
      <c r="V5">
        <f>H104</f>
        <v>118.2454540256644</v>
      </c>
      <c r="W5">
        <f>H116</f>
        <v>219.0288088813887</v>
      </c>
    </row>
    <row r="6" spans="1:31" x14ac:dyDescent="0.45">
      <c r="A6" s="5" t="s">
        <v>7</v>
      </c>
      <c r="B6">
        <v>4</v>
      </c>
      <c r="C6">
        <v>0.2</v>
      </c>
      <c r="D6">
        <v>1.4999999999999999E-2</v>
      </c>
      <c r="E6">
        <v>1</v>
      </c>
      <c r="F6">
        <v>3</v>
      </c>
      <c r="G6">
        <f t="shared" si="0"/>
        <v>40.000000000000007</v>
      </c>
      <c r="M6" t="s">
        <v>131</v>
      </c>
      <c r="N6">
        <f>I8</f>
        <v>30.753767271653391</v>
      </c>
      <c r="O6">
        <f>I20</f>
        <v>31.82212222788263</v>
      </c>
      <c r="P6">
        <f>I32</f>
        <v>16.532300370410734</v>
      </c>
      <c r="Q6">
        <f>I44</f>
        <v>13.477715414507093</v>
      </c>
      <c r="R6">
        <f>I56</f>
        <v>26.054138115851341</v>
      </c>
      <c r="S6">
        <f>I68</f>
        <v>29.234921216652165</v>
      </c>
      <c r="T6">
        <f>I80</f>
        <v>31.04374602632786</v>
      </c>
      <c r="U6">
        <f>I92</f>
        <v>45.772738651998488</v>
      </c>
      <c r="V6">
        <f>I104</f>
        <v>4.8677595641789626</v>
      </c>
      <c r="W6">
        <f>I116</f>
        <v>32.165075388301624</v>
      </c>
    </row>
    <row r="7" spans="1:31" x14ac:dyDescent="0.45">
      <c r="A7" s="5" t="s">
        <v>5</v>
      </c>
      <c r="B7">
        <v>5</v>
      </c>
      <c r="C7">
        <v>0.1</v>
      </c>
      <c r="D7">
        <v>1.26E-2</v>
      </c>
      <c r="E7">
        <v>1</v>
      </c>
      <c r="F7">
        <v>3</v>
      </c>
      <c r="G7">
        <f t="shared" si="0"/>
        <v>23.80952380952381</v>
      </c>
      <c r="M7" t="s">
        <v>383</v>
      </c>
      <c r="N7">
        <f>H20</f>
        <v>139.01978293544133</v>
      </c>
      <c r="O7">
        <f>H26</f>
        <v>97.962228144865719</v>
      </c>
      <c r="P7">
        <f>H38</f>
        <v>101.6222690967649</v>
      </c>
      <c r="Q7">
        <f>H50</f>
        <v>66.065714455101386</v>
      </c>
      <c r="R7">
        <f>H62</f>
        <v>116.74905036227091</v>
      </c>
      <c r="S7">
        <f>H74</f>
        <v>217.01938121907483</v>
      </c>
      <c r="T7">
        <f>H86</f>
        <v>230.87596679339012</v>
      </c>
      <c r="U7">
        <f>H98</f>
        <v>140.66664205237052</v>
      </c>
      <c r="V7">
        <f>H110</f>
        <v>177.28142518341147</v>
      </c>
      <c r="W7">
        <f>H122</f>
        <v>208.86444485176347</v>
      </c>
    </row>
    <row r="8" spans="1:31" x14ac:dyDescent="0.45">
      <c r="A8" s="5" t="s">
        <v>6</v>
      </c>
      <c r="B8">
        <v>6</v>
      </c>
      <c r="C8">
        <v>0.7</v>
      </c>
      <c r="D8">
        <v>1.95E-2</v>
      </c>
      <c r="E8">
        <v>1</v>
      </c>
      <c r="F8">
        <v>3</v>
      </c>
      <c r="G8">
        <f t="shared" si="0"/>
        <v>107.69230769230769</v>
      </c>
      <c r="H8">
        <f>AVERAGE(G3:G8)</f>
        <v>106.5274399732164</v>
      </c>
      <c r="I8">
        <f>STDEV(G3:G8)/SQRT(6)</f>
        <v>30.753767271653391</v>
      </c>
      <c r="M8" t="s">
        <v>131</v>
      </c>
      <c r="N8">
        <f>I14</f>
        <v>16.314853558517679</v>
      </c>
      <c r="O8">
        <f>I26</f>
        <v>23.854104708565206</v>
      </c>
      <c r="P8">
        <f>I38</f>
        <v>13.473236084336692</v>
      </c>
      <c r="Q8">
        <f>I50</f>
        <v>18.017698520487688</v>
      </c>
      <c r="R8">
        <f>I62</f>
        <v>23.800316811609097</v>
      </c>
      <c r="S8">
        <f>I74</f>
        <v>45.192815305434927</v>
      </c>
      <c r="T8">
        <f>I86</f>
        <v>36.760740888616759</v>
      </c>
      <c r="U8">
        <f>I98</f>
        <v>5.9479376937380328</v>
      </c>
      <c r="V8">
        <f>I110</f>
        <v>35.243586638059909</v>
      </c>
      <c r="W8">
        <f>I122</f>
        <v>54.615865635216757</v>
      </c>
    </row>
    <row r="9" spans="1:31" x14ac:dyDescent="0.45">
      <c r="A9" s="5" t="s">
        <v>13</v>
      </c>
      <c r="B9">
        <v>7</v>
      </c>
      <c r="C9">
        <v>0.5</v>
      </c>
      <c r="D9">
        <v>1.4800000000000001E-2</v>
      </c>
      <c r="E9">
        <v>1</v>
      </c>
      <c r="F9">
        <v>3</v>
      </c>
      <c r="G9">
        <f t="shared" si="0"/>
        <v>101.35135135135135</v>
      </c>
    </row>
    <row r="10" spans="1:31" x14ac:dyDescent="0.45">
      <c r="A10" s="5" t="s">
        <v>8</v>
      </c>
      <c r="B10">
        <v>8</v>
      </c>
      <c r="C10">
        <v>0.1</v>
      </c>
      <c r="D10">
        <v>1.4500000000000001E-2</v>
      </c>
      <c r="E10">
        <v>1</v>
      </c>
      <c r="F10">
        <v>3</v>
      </c>
      <c r="G10">
        <f t="shared" si="0"/>
        <v>20.689655172413794</v>
      </c>
      <c r="X10" t="s">
        <v>740</v>
      </c>
      <c r="Y10" t="s">
        <v>726</v>
      </c>
      <c r="Z10" t="s">
        <v>727</v>
      </c>
      <c r="AA10" t="s">
        <v>741</v>
      </c>
      <c r="AB10" t="s">
        <v>742</v>
      </c>
      <c r="AC10" t="s">
        <v>723</v>
      </c>
      <c r="AD10" t="s">
        <v>728</v>
      </c>
      <c r="AE10" t="s">
        <v>743</v>
      </c>
    </row>
    <row r="11" spans="1:31" x14ac:dyDescent="0.45">
      <c r="A11" s="5" t="s">
        <v>9</v>
      </c>
      <c r="B11">
        <v>9</v>
      </c>
      <c r="C11">
        <v>0.3</v>
      </c>
      <c r="D11">
        <v>1.8599999999999998E-2</v>
      </c>
      <c r="E11">
        <v>1</v>
      </c>
      <c r="F11">
        <v>3</v>
      </c>
      <c r="G11">
        <f t="shared" si="0"/>
        <v>48.387096774193552</v>
      </c>
      <c r="X11" t="s">
        <v>729</v>
      </c>
      <c r="Y11">
        <v>6</v>
      </c>
      <c r="Z11">
        <v>6</v>
      </c>
      <c r="AA11">
        <v>92.807192807192806</v>
      </c>
      <c r="AB11">
        <v>65.860215053763497</v>
      </c>
      <c r="AC11">
        <v>0.47116999849005597</v>
      </c>
      <c r="AD11" t="s">
        <v>744</v>
      </c>
      <c r="AE11" t="s">
        <v>724</v>
      </c>
    </row>
    <row r="12" spans="1:31" x14ac:dyDescent="0.45">
      <c r="A12" s="5" t="s">
        <v>10</v>
      </c>
      <c r="B12">
        <v>10</v>
      </c>
      <c r="C12">
        <v>0.7</v>
      </c>
      <c r="D12">
        <v>1.7100000000000001E-2</v>
      </c>
      <c r="E12">
        <v>1</v>
      </c>
      <c r="F12">
        <v>3</v>
      </c>
      <c r="G12">
        <f t="shared" si="0"/>
        <v>122.80701754385964</v>
      </c>
      <c r="X12" t="s">
        <v>730</v>
      </c>
      <c r="Y12">
        <v>6</v>
      </c>
      <c r="Z12">
        <v>6</v>
      </c>
      <c r="AA12">
        <v>147.50430292599</v>
      </c>
      <c r="AB12">
        <v>104.977375565611</v>
      </c>
      <c r="AC12">
        <v>0.47116999849005597</v>
      </c>
      <c r="AD12" t="s">
        <v>744</v>
      </c>
      <c r="AE12" t="s">
        <v>724</v>
      </c>
    </row>
    <row r="13" spans="1:31" x14ac:dyDescent="0.45">
      <c r="A13" s="5" t="s">
        <v>11</v>
      </c>
      <c r="B13">
        <v>11</v>
      </c>
      <c r="C13">
        <v>0.2</v>
      </c>
      <c r="D13">
        <v>1.66E-2</v>
      </c>
      <c r="E13">
        <v>1</v>
      </c>
      <c r="F13">
        <v>3</v>
      </c>
      <c r="G13">
        <f t="shared" si="0"/>
        <v>36.144578313253014</v>
      </c>
      <c r="X13" t="s">
        <v>731</v>
      </c>
      <c r="Y13">
        <v>6</v>
      </c>
      <c r="Z13">
        <v>6</v>
      </c>
      <c r="AA13">
        <v>126.136363636364</v>
      </c>
      <c r="AB13">
        <v>113.20836965998301</v>
      </c>
      <c r="AC13">
        <v>0.29795306160816798</v>
      </c>
      <c r="AD13" t="s">
        <v>744</v>
      </c>
      <c r="AE13" t="s">
        <v>724</v>
      </c>
    </row>
    <row r="14" spans="1:31" ht="14.65" thickBot="1" x14ac:dyDescent="0.5">
      <c r="A14" s="6" t="s">
        <v>12</v>
      </c>
      <c r="B14" s="3">
        <v>12</v>
      </c>
      <c r="C14">
        <v>0.4</v>
      </c>
      <c r="D14" s="9">
        <v>1.44E-2</v>
      </c>
      <c r="E14" s="9">
        <v>1</v>
      </c>
      <c r="F14" s="9">
        <v>3</v>
      </c>
      <c r="G14" s="9">
        <f t="shared" si="0"/>
        <v>83.333333333333343</v>
      </c>
      <c r="H14" s="9">
        <f>AVERAGE(G9:G14)</f>
        <v>68.785505414734118</v>
      </c>
      <c r="I14" s="9">
        <f>STDEV(G9:G14)/SQRT(6)</f>
        <v>16.314853558517679</v>
      </c>
      <c r="X14" t="s">
        <v>732</v>
      </c>
      <c r="Y14">
        <v>6</v>
      </c>
      <c r="Z14">
        <v>6</v>
      </c>
      <c r="AA14">
        <v>46.515345268542198</v>
      </c>
      <c r="AB14">
        <v>55.571363532893201</v>
      </c>
      <c r="AC14">
        <v>0.93618629347305904</v>
      </c>
      <c r="AD14" t="s">
        <v>744</v>
      </c>
      <c r="AE14" t="s">
        <v>724</v>
      </c>
    </row>
    <row r="15" spans="1:31" x14ac:dyDescent="0.45">
      <c r="A15" s="5" t="s">
        <v>14</v>
      </c>
      <c r="B15">
        <v>13</v>
      </c>
      <c r="C15">
        <v>1.6</v>
      </c>
      <c r="D15">
        <v>2.1299999999999999E-2</v>
      </c>
      <c r="E15">
        <v>1</v>
      </c>
      <c r="F15">
        <v>3</v>
      </c>
      <c r="G15">
        <f t="shared" si="0"/>
        <v>225.35211267605635</v>
      </c>
      <c r="X15" t="s">
        <v>733</v>
      </c>
      <c r="Y15">
        <v>6</v>
      </c>
      <c r="Z15">
        <v>6</v>
      </c>
      <c r="AA15">
        <v>107.112661171</v>
      </c>
      <c r="AB15">
        <v>126.282761166482</v>
      </c>
      <c r="AC15">
        <v>0.57517353192019705</v>
      </c>
      <c r="AD15" t="s">
        <v>744</v>
      </c>
      <c r="AE15" t="s">
        <v>724</v>
      </c>
    </row>
    <row r="16" spans="1:31" x14ac:dyDescent="0.45">
      <c r="A16" s="5" t="s">
        <v>15</v>
      </c>
      <c r="B16">
        <v>14</v>
      </c>
      <c r="C16">
        <v>0.4</v>
      </c>
      <c r="D16">
        <v>2.2200000000000001E-2</v>
      </c>
      <c r="E16">
        <v>1</v>
      </c>
      <c r="F16">
        <v>3</v>
      </c>
      <c r="G16">
        <f t="shared" si="0"/>
        <v>54.054054054054056</v>
      </c>
      <c r="X16" t="s">
        <v>734</v>
      </c>
      <c r="Y16">
        <v>6</v>
      </c>
      <c r="Z16">
        <v>6</v>
      </c>
      <c r="AA16">
        <v>246.80290046143699</v>
      </c>
      <c r="AB16">
        <v>214.36189121933899</v>
      </c>
      <c r="AC16">
        <v>0.81018123641047401</v>
      </c>
      <c r="AD16" t="s">
        <v>744</v>
      </c>
      <c r="AE16" t="s">
        <v>724</v>
      </c>
    </row>
    <row r="17" spans="1:31" x14ac:dyDescent="0.45">
      <c r="A17" s="5" t="s">
        <v>16</v>
      </c>
      <c r="B17">
        <v>15</v>
      </c>
      <c r="C17">
        <v>0.3</v>
      </c>
      <c r="D17">
        <v>1.8499999999999999E-2</v>
      </c>
      <c r="E17">
        <v>1</v>
      </c>
      <c r="F17">
        <v>3</v>
      </c>
      <c r="G17">
        <f t="shared" si="0"/>
        <v>48.648648648648653</v>
      </c>
      <c r="X17" t="s">
        <v>735</v>
      </c>
      <c r="Y17">
        <v>6</v>
      </c>
      <c r="Z17">
        <v>6</v>
      </c>
      <c r="AA17">
        <v>244.21906693712</v>
      </c>
      <c r="AB17">
        <v>264.48087431694</v>
      </c>
      <c r="AC17">
        <v>0.81018123641047401</v>
      </c>
      <c r="AD17" t="s">
        <v>744</v>
      </c>
      <c r="AE17" t="s">
        <v>724</v>
      </c>
    </row>
    <row r="18" spans="1:31" x14ac:dyDescent="0.45">
      <c r="A18" s="5" t="s">
        <v>17</v>
      </c>
      <c r="B18">
        <v>16</v>
      </c>
      <c r="C18">
        <v>0.8</v>
      </c>
      <c r="D18">
        <v>2.1000000000000001E-2</v>
      </c>
      <c r="E18">
        <v>1</v>
      </c>
      <c r="F18">
        <v>3</v>
      </c>
      <c r="G18">
        <f t="shared" si="0"/>
        <v>114.28571428571428</v>
      </c>
      <c r="X18" t="s">
        <v>736</v>
      </c>
      <c r="Y18">
        <v>6</v>
      </c>
      <c r="Z18">
        <v>6</v>
      </c>
      <c r="AA18">
        <v>192.71680216802201</v>
      </c>
      <c r="AB18">
        <v>139.681086809905</v>
      </c>
      <c r="AC18">
        <v>6.5552161165502595E-2</v>
      </c>
      <c r="AD18" t="s">
        <v>744</v>
      </c>
      <c r="AE18" t="s">
        <v>724</v>
      </c>
    </row>
    <row r="19" spans="1:31" x14ac:dyDescent="0.45">
      <c r="A19" s="5" t="s">
        <v>18</v>
      </c>
      <c r="B19">
        <v>17</v>
      </c>
      <c r="C19">
        <v>1</v>
      </c>
      <c r="D19">
        <v>1.66E-2</v>
      </c>
      <c r="E19">
        <v>1</v>
      </c>
      <c r="F19">
        <v>3</v>
      </c>
      <c r="G19">
        <f t="shared" si="0"/>
        <v>180.72289156626505</v>
      </c>
      <c r="X19" t="s">
        <v>737</v>
      </c>
      <c r="Y19">
        <v>6</v>
      </c>
      <c r="Z19">
        <v>6</v>
      </c>
      <c r="AA19">
        <v>118.95196506550199</v>
      </c>
      <c r="AB19">
        <v>163.52246543778799</v>
      </c>
      <c r="AC19">
        <v>0.378477593244679</v>
      </c>
      <c r="AD19" t="s">
        <v>744</v>
      </c>
      <c r="AE19" t="s">
        <v>724</v>
      </c>
    </row>
    <row r="20" spans="1:31" x14ac:dyDescent="0.45">
      <c r="A20" s="5" t="s">
        <v>19</v>
      </c>
      <c r="B20">
        <v>18</v>
      </c>
      <c r="C20">
        <v>1.4</v>
      </c>
      <c r="D20">
        <v>1.9900000000000001E-2</v>
      </c>
      <c r="E20">
        <v>1</v>
      </c>
      <c r="F20">
        <v>3</v>
      </c>
      <c r="G20">
        <f t="shared" si="0"/>
        <v>211.05527638190949</v>
      </c>
      <c r="H20">
        <f>AVERAGE(G15:G20)</f>
        <v>139.01978293544133</v>
      </c>
      <c r="I20">
        <f>STDEV(G15:G20)/SQRT(6)</f>
        <v>31.82212222788263</v>
      </c>
      <c r="X20" t="s">
        <v>738</v>
      </c>
      <c r="Y20">
        <v>6</v>
      </c>
      <c r="Z20">
        <v>6</v>
      </c>
      <c r="AA20">
        <v>237.46474998280499</v>
      </c>
      <c r="AB20">
        <v>136.14213197969499</v>
      </c>
      <c r="AC20">
        <v>0.68892055580446099</v>
      </c>
      <c r="AD20" t="s">
        <v>744</v>
      </c>
      <c r="AE20" t="s">
        <v>724</v>
      </c>
    </row>
    <row r="21" spans="1:31" x14ac:dyDescent="0.45">
      <c r="A21" s="5" t="s">
        <v>20</v>
      </c>
      <c r="B21">
        <v>19</v>
      </c>
      <c r="C21">
        <v>0.5</v>
      </c>
      <c r="D21">
        <v>1.8499999999999999E-2</v>
      </c>
      <c r="E21">
        <v>1</v>
      </c>
      <c r="F21">
        <v>3</v>
      </c>
      <c r="G21">
        <f t="shared" si="0"/>
        <v>81.081081081081081</v>
      </c>
    </row>
    <row r="22" spans="1:31" x14ac:dyDescent="0.45">
      <c r="A22" s="5" t="s">
        <v>21</v>
      </c>
      <c r="B22">
        <v>20</v>
      </c>
      <c r="C22">
        <v>0.6</v>
      </c>
      <c r="D22">
        <v>1.95E-2</v>
      </c>
      <c r="E22">
        <v>1</v>
      </c>
      <c r="F22">
        <v>3</v>
      </c>
      <c r="G22">
        <f t="shared" si="0"/>
        <v>92.307692307692307</v>
      </c>
    </row>
    <row r="23" spans="1:31" x14ac:dyDescent="0.45">
      <c r="A23" s="5" t="s">
        <v>22</v>
      </c>
      <c r="B23">
        <v>21</v>
      </c>
      <c r="C23">
        <v>1.1000000000000001</v>
      </c>
      <c r="D23">
        <v>1.8599999999999998E-2</v>
      </c>
      <c r="E23">
        <v>1</v>
      </c>
      <c r="F23">
        <v>3</v>
      </c>
      <c r="G23">
        <f t="shared" si="0"/>
        <v>177.41935483870969</v>
      </c>
    </row>
    <row r="24" spans="1:31" x14ac:dyDescent="0.45">
      <c r="A24" s="5" t="s">
        <v>23</v>
      </c>
      <c r="B24">
        <v>22</v>
      </c>
      <c r="D24">
        <v>2.1999999999999999E-2</v>
      </c>
      <c r="E24">
        <v>1</v>
      </c>
      <c r="F24">
        <v>3</v>
      </c>
      <c r="G24">
        <f t="shared" si="0"/>
        <v>0</v>
      </c>
    </row>
    <row r="25" spans="1:31" x14ac:dyDescent="0.45">
      <c r="A25" s="5" t="s">
        <v>24</v>
      </c>
      <c r="B25">
        <v>23</v>
      </c>
      <c r="C25">
        <v>0.7</v>
      </c>
      <c r="D25">
        <v>1.7600000000000001E-2</v>
      </c>
      <c r="E25">
        <v>1</v>
      </c>
      <c r="F25">
        <v>3</v>
      </c>
      <c r="G25">
        <f t="shared" si="0"/>
        <v>119.3181818181818</v>
      </c>
    </row>
    <row r="26" spans="1:31" ht="14.65" thickBot="1" x14ac:dyDescent="0.5">
      <c r="A26" s="6" t="s">
        <v>25</v>
      </c>
      <c r="B26" s="3">
        <v>24</v>
      </c>
      <c r="C26">
        <v>0.6</v>
      </c>
      <c r="D26" s="9">
        <v>1.5299999999999999E-2</v>
      </c>
      <c r="E26" s="9">
        <v>1</v>
      </c>
      <c r="F26" s="9">
        <v>3</v>
      </c>
      <c r="G26" s="9">
        <f t="shared" si="0"/>
        <v>117.64705882352942</v>
      </c>
      <c r="H26" s="9">
        <f>AVERAGE(G21:G26)</f>
        <v>97.962228144865719</v>
      </c>
      <c r="I26" s="9">
        <f>STDEV(G21:G26)/SQRT(6)</f>
        <v>23.854104708565206</v>
      </c>
    </row>
    <row r="27" spans="1:31" x14ac:dyDescent="0.45">
      <c r="A27" s="4" t="s">
        <v>26</v>
      </c>
      <c r="B27">
        <v>25</v>
      </c>
      <c r="C27">
        <v>0.8</v>
      </c>
      <c r="D27">
        <v>1.9199999999999998E-2</v>
      </c>
      <c r="E27">
        <v>1</v>
      </c>
      <c r="F27">
        <v>3</v>
      </c>
      <c r="G27">
        <f t="shared" si="0"/>
        <v>125.00000000000001</v>
      </c>
    </row>
    <row r="28" spans="1:31" x14ac:dyDescent="0.45">
      <c r="A28" s="5" t="s">
        <v>27</v>
      </c>
      <c r="B28">
        <v>26</v>
      </c>
      <c r="C28">
        <v>0.7</v>
      </c>
      <c r="D28">
        <v>1.9E-2</v>
      </c>
      <c r="E28">
        <v>1</v>
      </c>
      <c r="F28">
        <v>3</v>
      </c>
      <c r="G28">
        <f t="shared" si="0"/>
        <v>110.5263157894737</v>
      </c>
    </row>
    <row r="29" spans="1:31" x14ac:dyDescent="0.45">
      <c r="A29" s="5" t="s">
        <v>28</v>
      </c>
      <c r="B29">
        <v>27</v>
      </c>
      <c r="C29">
        <v>0.5</v>
      </c>
      <c r="D29">
        <v>1.9699999999999999E-2</v>
      </c>
      <c r="E29">
        <v>1</v>
      </c>
      <c r="F29">
        <v>3</v>
      </c>
      <c r="G29">
        <f t="shared" si="0"/>
        <v>76.142131979695435</v>
      </c>
    </row>
    <row r="30" spans="1:31" x14ac:dyDescent="0.45">
      <c r="A30" s="5" t="s">
        <v>29</v>
      </c>
      <c r="B30">
        <v>28</v>
      </c>
      <c r="C30">
        <v>0.7</v>
      </c>
      <c r="D30">
        <v>1.6500000000000001E-2</v>
      </c>
      <c r="E30">
        <v>1</v>
      </c>
      <c r="F30">
        <v>3</v>
      </c>
      <c r="G30">
        <f t="shared" si="0"/>
        <v>127.27272727272727</v>
      </c>
    </row>
    <row r="31" spans="1:31" x14ac:dyDescent="0.45">
      <c r="A31" s="5" t="s">
        <v>30</v>
      </c>
      <c r="B31">
        <v>29</v>
      </c>
      <c r="C31">
        <v>0.9</v>
      </c>
      <c r="D31">
        <v>1.9099999999999999E-2</v>
      </c>
      <c r="E31">
        <v>1</v>
      </c>
      <c r="F31">
        <v>3</v>
      </c>
      <c r="G31">
        <f t="shared" si="0"/>
        <v>141.36125654450262</v>
      </c>
    </row>
    <row r="32" spans="1:31" x14ac:dyDescent="0.45">
      <c r="A32" s="5" t="s">
        <v>31</v>
      </c>
      <c r="B32">
        <v>30</v>
      </c>
      <c r="C32">
        <v>1.3</v>
      </c>
      <c r="D32">
        <v>1.9599999999999999E-2</v>
      </c>
      <c r="E32">
        <v>1</v>
      </c>
      <c r="F32">
        <v>3</v>
      </c>
      <c r="G32">
        <f t="shared" si="0"/>
        <v>198.97959183673473</v>
      </c>
      <c r="H32">
        <f>AVERAGE(G27:G32)</f>
        <v>129.88033723718897</v>
      </c>
      <c r="I32">
        <f>STDEV(G27:G32)/SQRT(6)</f>
        <v>16.532300370410734</v>
      </c>
    </row>
    <row r="33" spans="1:9" x14ac:dyDescent="0.45">
      <c r="A33" s="5" t="s">
        <v>32</v>
      </c>
      <c r="B33">
        <v>31</v>
      </c>
      <c r="C33">
        <v>0.7</v>
      </c>
      <c r="D33">
        <v>1.8499999999999999E-2</v>
      </c>
      <c r="E33">
        <v>1</v>
      </c>
      <c r="F33">
        <v>3</v>
      </c>
      <c r="G33">
        <f t="shared" si="0"/>
        <v>113.51351351351352</v>
      </c>
    </row>
    <row r="34" spans="1:9" x14ac:dyDescent="0.45">
      <c r="A34" s="5" t="s">
        <v>33</v>
      </c>
      <c r="B34">
        <v>32</v>
      </c>
      <c r="C34">
        <v>0.8</v>
      </c>
      <c r="D34">
        <v>0.02</v>
      </c>
      <c r="E34">
        <v>1</v>
      </c>
      <c r="F34">
        <v>3</v>
      </c>
      <c r="G34">
        <f t="shared" si="0"/>
        <v>120</v>
      </c>
    </row>
    <row r="35" spans="1:9" x14ac:dyDescent="0.45">
      <c r="A35" s="5" t="s">
        <v>34</v>
      </c>
      <c r="B35">
        <v>33</v>
      </c>
      <c r="C35">
        <v>0.5</v>
      </c>
      <c r="D35">
        <v>1.66E-2</v>
      </c>
      <c r="E35">
        <v>1</v>
      </c>
      <c r="F35">
        <v>3</v>
      </c>
      <c r="G35">
        <f t="shared" si="0"/>
        <v>90.361445783132524</v>
      </c>
    </row>
    <row r="36" spans="1:9" x14ac:dyDescent="0.45">
      <c r="A36" s="5" t="s">
        <v>35</v>
      </c>
      <c r="B36">
        <v>34</v>
      </c>
      <c r="C36">
        <v>0.8</v>
      </c>
      <c r="D36">
        <v>1.8100000000000002E-2</v>
      </c>
      <c r="E36">
        <v>1</v>
      </c>
      <c r="F36">
        <v>3</v>
      </c>
      <c r="G36">
        <f t="shared" si="0"/>
        <v>132.59668508287291</v>
      </c>
    </row>
    <row r="37" spans="1:9" x14ac:dyDescent="0.45">
      <c r="A37" s="5" t="s">
        <v>36</v>
      </c>
      <c r="B37">
        <v>35</v>
      </c>
      <c r="C37">
        <v>0.7</v>
      </c>
      <c r="D37">
        <v>1.8599999999999998E-2</v>
      </c>
      <c r="E37">
        <v>1</v>
      </c>
      <c r="F37">
        <v>3</v>
      </c>
      <c r="G37">
        <f t="shared" si="0"/>
        <v>112.90322580645162</v>
      </c>
    </row>
    <row r="38" spans="1:9" ht="14.65" thickBot="1" x14ac:dyDescent="0.5">
      <c r="A38" s="6" t="s">
        <v>37</v>
      </c>
      <c r="B38" s="3">
        <v>36</v>
      </c>
      <c r="C38">
        <v>0.3</v>
      </c>
      <c r="D38" s="9">
        <v>2.23E-2</v>
      </c>
      <c r="E38" s="9">
        <v>1</v>
      </c>
      <c r="F38" s="9">
        <v>3</v>
      </c>
      <c r="G38" s="9">
        <f t="shared" si="0"/>
        <v>40.358744394618832</v>
      </c>
      <c r="H38" s="9">
        <f>AVERAGE(G33:G38)</f>
        <v>101.6222690967649</v>
      </c>
      <c r="I38" s="9">
        <f>STDEV(G33:G38)/SQRT(6)</f>
        <v>13.473236084336692</v>
      </c>
    </row>
    <row r="39" spans="1:9" x14ac:dyDescent="0.45">
      <c r="A39" s="4" t="s">
        <v>38</v>
      </c>
      <c r="B39">
        <v>37</v>
      </c>
      <c r="C39">
        <v>0.3</v>
      </c>
      <c r="D39">
        <v>1.7100000000000001E-2</v>
      </c>
      <c r="E39">
        <v>1</v>
      </c>
      <c r="F39">
        <v>3</v>
      </c>
      <c r="G39">
        <f t="shared" si="0"/>
        <v>52.631578947368411</v>
      </c>
    </row>
    <row r="40" spans="1:9" x14ac:dyDescent="0.45">
      <c r="A40" s="5" t="s">
        <v>39</v>
      </c>
      <c r="B40">
        <v>38</v>
      </c>
      <c r="C40">
        <v>0.2</v>
      </c>
      <c r="D40">
        <v>1.8800000000000001E-2</v>
      </c>
      <c r="E40">
        <v>1</v>
      </c>
      <c r="F40">
        <v>3</v>
      </c>
      <c r="G40">
        <f t="shared" si="0"/>
        <v>31.914893617021278</v>
      </c>
    </row>
    <row r="41" spans="1:9" x14ac:dyDescent="0.45">
      <c r="A41" s="5" t="s">
        <v>40</v>
      </c>
      <c r="B41">
        <v>39</v>
      </c>
      <c r="C41">
        <v>0.2</v>
      </c>
      <c r="D41">
        <v>1.5900000000000001E-2</v>
      </c>
      <c r="E41">
        <v>1</v>
      </c>
      <c r="F41">
        <v>3</v>
      </c>
      <c r="G41">
        <f t="shared" si="0"/>
        <v>37.735849056603776</v>
      </c>
    </row>
    <row r="42" spans="1:9" x14ac:dyDescent="0.45">
      <c r="A42" s="5" t="s">
        <v>41</v>
      </c>
      <c r="B42">
        <v>40</v>
      </c>
      <c r="C42">
        <v>0.8</v>
      </c>
      <c r="D42">
        <v>1.9699999999999999E-2</v>
      </c>
      <c r="E42">
        <v>1</v>
      </c>
      <c r="F42">
        <v>3</v>
      </c>
      <c r="G42">
        <f t="shared" si="0"/>
        <v>121.82741116751271</v>
      </c>
    </row>
    <row r="43" spans="1:9" x14ac:dyDescent="0.45">
      <c r="A43" s="5" t="s">
        <v>42</v>
      </c>
      <c r="B43">
        <v>41</v>
      </c>
      <c r="C43">
        <v>0.3</v>
      </c>
      <c r="D43">
        <v>2.0400000000000001E-2</v>
      </c>
      <c r="E43">
        <v>1</v>
      </c>
      <c r="F43">
        <v>3</v>
      </c>
      <c r="G43">
        <f t="shared" si="0"/>
        <v>44.117647058823522</v>
      </c>
    </row>
    <row r="44" spans="1:9" x14ac:dyDescent="0.45">
      <c r="A44" s="5" t="s">
        <v>43</v>
      </c>
      <c r="B44">
        <v>42</v>
      </c>
      <c r="C44">
        <v>0.3</v>
      </c>
      <c r="D44">
        <v>1.84E-2</v>
      </c>
      <c r="E44">
        <v>1</v>
      </c>
      <c r="F44">
        <v>3</v>
      </c>
      <c r="G44">
        <f t="shared" si="0"/>
        <v>48.913043478260875</v>
      </c>
      <c r="H44">
        <f>AVERAGE(G39:G44)</f>
        <v>56.190070554265098</v>
      </c>
      <c r="I44">
        <f>STDEV(G39:G44)/SQRT(6)</f>
        <v>13.477715414507093</v>
      </c>
    </row>
    <row r="45" spans="1:9" x14ac:dyDescent="0.45">
      <c r="A45" s="5" t="s">
        <v>44</v>
      </c>
      <c r="B45">
        <v>43</v>
      </c>
      <c r="C45">
        <v>0.5</v>
      </c>
      <c r="D45">
        <v>1.9099999999999999E-2</v>
      </c>
      <c r="E45">
        <v>1</v>
      </c>
      <c r="F45">
        <v>3</v>
      </c>
      <c r="G45">
        <f t="shared" si="0"/>
        <v>78.534031413612567</v>
      </c>
    </row>
    <row r="46" spans="1:9" x14ac:dyDescent="0.45">
      <c r="A46" s="5" t="s">
        <v>45</v>
      </c>
      <c r="B46">
        <v>44</v>
      </c>
      <c r="C46">
        <v>0.5</v>
      </c>
      <c r="D46">
        <v>1.7899999999999999E-2</v>
      </c>
      <c r="E46">
        <v>1</v>
      </c>
      <c r="F46">
        <v>3</v>
      </c>
      <c r="G46">
        <f t="shared" si="0"/>
        <v>83.798882681564237</v>
      </c>
    </row>
    <row r="47" spans="1:9" x14ac:dyDescent="0.45">
      <c r="A47" s="5" t="s">
        <v>46</v>
      </c>
      <c r="B47">
        <v>45</v>
      </c>
      <c r="C47">
        <v>0.2</v>
      </c>
      <c r="D47">
        <v>1.9900000000000001E-2</v>
      </c>
      <c r="E47">
        <v>1</v>
      </c>
      <c r="F47">
        <v>3</v>
      </c>
      <c r="G47">
        <f t="shared" si="0"/>
        <v>30.150753768844218</v>
      </c>
    </row>
    <row r="48" spans="1:9" x14ac:dyDescent="0.45">
      <c r="A48" s="5" t="s">
        <v>47</v>
      </c>
      <c r="B48">
        <v>46</v>
      </c>
      <c r="C48">
        <v>0.2</v>
      </c>
      <c r="D48">
        <v>1.84E-2</v>
      </c>
      <c r="E48">
        <v>1</v>
      </c>
      <c r="F48">
        <v>3</v>
      </c>
      <c r="G48">
        <f t="shared" si="0"/>
        <v>32.608695652173914</v>
      </c>
    </row>
    <row r="49" spans="1:9" x14ac:dyDescent="0.45">
      <c r="A49" s="5" t="s">
        <v>48</v>
      </c>
      <c r="B49">
        <v>47</v>
      </c>
      <c r="C49">
        <v>0.2</v>
      </c>
      <c r="D49">
        <v>1.9699999999999999E-2</v>
      </c>
      <c r="E49">
        <v>1</v>
      </c>
      <c r="F49">
        <v>3</v>
      </c>
      <c r="G49">
        <f t="shared" si="0"/>
        <v>30.456852791878177</v>
      </c>
    </row>
    <row r="50" spans="1:9" ht="14.65" thickBot="1" x14ac:dyDescent="0.5">
      <c r="A50" s="6" t="s">
        <v>49</v>
      </c>
      <c r="B50" s="3">
        <v>48</v>
      </c>
      <c r="C50">
        <v>1</v>
      </c>
      <c r="D50" s="9">
        <v>2.1299999999999999E-2</v>
      </c>
      <c r="E50" s="9">
        <v>1</v>
      </c>
      <c r="F50" s="9">
        <v>3</v>
      </c>
      <c r="G50" s="9">
        <f t="shared" si="0"/>
        <v>140.8450704225352</v>
      </c>
      <c r="H50" s="9">
        <f>AVERAGE(G45:G50)</f>
        <v>66.065714455101386</v>
      </c>
      <c r="I50" s="9">
        <f>STDEV(G45:G50)/SQRT(6)</f>
        <v>18.017698520487688</v>
      </c>
    </row>
    <row r="51" spans="1:9" x14ac:dyDescent="0.45">
      <c r="A51" s="4" t="s">
        <v>50</v>
      </c>
      <c r="B51">
        <v>49</v>
      </c>
      <c r="C51">
        <v>0.1</v>
      </c>
      <c r="D51">
        <v>1.7500000000000002E-2</v>
      </c>
      <c r="E51">
        <v>1</v>
      </c>
      <c r="F51">
        <v>3</v>
      </c>
      <c r="G51">
        <f t="shared" si="0"/>
        <v>17.142857142857142</v>
      </c>
    </row>
    <row r="52" spans="1:9" x14ac:dyDescent="0.45">
      <c r="A52" s="5" t="s">
        <v>51</v>
      </c>
      <c r="B52">
        <v>50</v>
      </c>
      <c r="C52">
        <v>0.2</v>
      </c>
      <c r="D52">
        <v>1.78E-2</v>
      </c>
      <c r="E52">
        <v>1</v>
      </c>
      <c r="F52">
        <v>3</v>
      </c>
      <c r="G52">
        <f t="shared" si="0"/>
        <v>33.707865168539328</v>
      </c>
    </row>
    <row r="53" spans="1:9" x14ac:dyDescent="0.45">
      <c r="A53" s="5" t="s">
        <v>52</v>
      </c>
      <c r="B53">
        <v>51</v>
      </c>
      <c r="C53">
        <v>1.1000000000000001</v>
      </c>
      <c r="D53">
        <v>1.8700000000000001E-2</v>
      </c>
      <c r="E53">
        <v>1</v>
      </c>
      <c r="F53">
        <v>3</v>
      </c>
      <c r="G53">
        <f t="shared" si="0"/>
        <v>176.47058823529412</v>
      </c>
    </row>
    <row r="54" spans="1:9" x14ac:dyDescent="0.45">
      <c r="A54" s="5" t="s">
        <v>53</v>
      </c>
      <c r="B54">
        <v>52</v>
      </c>
      <c r="C54">
        <v>0.7</v>
      </c>
      <c r="D54">
        <v>1.66E-2</v>
      </c>
      <c r="E54">
        <v>1</v>
      </c>
      <c r="F54">
        <v>3</v>
      </c>
      <c r="G54">
        <f t="shared" si="0"/>
        <v>126.50602409638552</v>
      </c>
    </row>
    <row r="55" spans="1:9" x14ac:dyDescent="0.45">
      <c r="A55" s="5" t="s">
        <v>54</v>
      </c>
      <c r="B55">
        <v>53</v>
      </c>
      <c r="C55">
        <v>0.9</v>
      </c>
      <c r="D55">
        <v>1.8100000000000002E-2</v>
      </c>
      <c r="E55">
        <v>1</v>
      </c>
      <c r="F55">
        <v>3</v>
      </c>
      <c r="G55">
        <f t="shared" si="0"/>
        <v>149.17127071823202</v>
      </c>
    </row>
    <row r="56" spans="1:9" x14ac:dyDescent="0.45">
      <c r="A56" s="5" t="s">
        <v>55</v>
      </c>
      <c r="B56">
        <v>54</v>
      </c>
      <c r="C56">
        <v>0.5</v>
      </c>
      <c r="D56">
        <v>1.7100000000000001E-2</v>
      </c>
      <c r="E56">
        <v>1</v>
      </c>
      <c r="F56">
        <v>3</v>
      </c>
      <c r="G56">
        <f t="shared" si="0"/>
        <v>87.719298245614027</v>
      </c>
      <c r="H56">
        <f>AVERAGE(G51:G56)</f>
        <v>98.452983934487023</v>
      </c>
      <c r="I56">
        <f>STDEV(G51:G56)/SQRT(6)</f>
        <v>26.054138115851341</v>
      </c>
    </row>
    <row r="57" spans="1:9" x14ac:dyDescent="0.45">
      <c r="A57" s="5" t="s">
        <v>56</v>
      </c>
      <c r="B57">
        <v>55</v>
      </c>
      <c r="C57">
        <v>0.3</v>
      </c>
      <c r="D57">
        <v>1.8700000000000001E-2</v>
      </c>
      <c r="E57">
        <v>1</v>
      </c>
      <c r="F57">
        <v>3</v>
      </c>
      <c r="G57">
        <f t="shared" si="0"/>
        <v>48.128342245989295</v>
      </c>
    </row>
    <row r="58" spans="1:9" x14ac:dyDescent="0.45">
      <c r="A58" s="5" t="s">
        <v>57</v>
      </c>
      <c r="B58">
        <v>56</v>
      </c>
      <c r="C58">
        <v>1.3</v>
      </c>
      <c r="D58">
        <v>2.0899999999999998E-2</v>
      </c>
      <c r="E58">
        <v>1</v>
      </c>
      <c r="F58">
        <v>3</v>
      </c>
      <c r="G58">
        <f t="shared" si="0"/>
        <v>186.60287081339715</v>
      </c>
    </row>
    <row r="59" spans="1:9" x14ac:dyDescent="0.45">
      <c r="A59" s="5" t="s">
        <v>58</v>
      </c>
      <c r="B59">
        <v>57</v>
      </c>
      <c r="C59">
        <v>0.8</v>
      </c>
      <c r="D59">
        <v>1.89E-2</v>
      </c>
      <c r="E59">
        <v>1</v>
      </c>
      <c r="F59">
        <v>3</v>
      </c>
      <c r="G59">
        <f t="shared" si="0"/>
        <v>126.98412698412699</v>
      </c>
    </row>
    <row r="60" spans="1:9" x14ac:dyDescent="0.45">
      <c r="A60" s="5" t="s">
        <v>59</v>
      </c>
      <c r="B60">
        <v>58</v>
      </c>
      <c r="C60">
        <v>0.3</v>
      </c>
      <c r="D60">
        <v>1.9E-2</v>
      </c>
      <c r="E60">
        <v>1</v>
      </c>
      <c r="F60">
        <v>3</v>
      </c>
      <c r="G60">
        <f t="shared" si="0"/>
        <v>47.368421052631582</v>
      </c>
    </row>
    <row r="61" spans="1:9" x14ac:dyDescent="0.45">
      <c r="A61" s="5" t="s">
        <v>60</v>
      </c>
      <c r="B61">
        <v>59</v>
      </c>
      <c r="C61">
        <v>0.9</v>
      </c>
      <c r="D61">
        <v>2.1499999999999998E-2</v>
      </c>
      <c r="E61">
        <v>1</v>
      </c>
      <c r="F61">
        <v>3</v>
      </c>
      <c r="G61">
        <f t="shared" si="0"/>
        <v>125.58139534883722</v>
      </c>
    </row>
    <row r="62" spans="1:9" ht="14.65" thickBot="1" x14ac:dyDescent="0.5">
      <c r="A62" s="6" t="s">
        <v>61</v>
      </c>
      <c r="B62" s="3">
        <v>60</v>
      </c>
      <c r="C62" s="9">
        <v>1.1000000000000001</v>
      </c>
      <c r="D62" s="9">
        <v>1.9900000000000001E-2</v>
      </c>
      <c r="E62" s="9">
        <v>1</v>
      </c>
      <c r="F62" s="9">
        <v>3</v>
      </c>
      <c r="G62" s="9">
        <f t="shared" si="0"/>
        <v>165.8291457286432</v>
      </c>
      <c r="H62" s="9">
        <f>AVERAGE(G57:G62)</f>
        <v>116.74905036227091</v>
      </c>
      <c r="I62" s="9">
        <f>STDEV(G57:G62)/SQRT(6)</f>
        <v>23.800316811609097</v>
      </c>
    </row>
    <row r="63" spans="1:9" x14ac:dyDescent="0.45">
      <c r="A63" s="4" t="s">
        <v>62</v>
      </c>
      <c r="B63">
        <v>61</v>
      </c>
      <c r="C63">
        <v>1.6</v>
      </c>
      <c r="D63">
        <v>1.8499999999999999E-2</v>
      </c>
      <c r="E63">
        <v>1</v>
      </c>
      <c r="F63">
        <v>3</v>
      </c>
      <c r="G63">
        <f t="shared" si="0"/>
        <v>259.45945945945948</v>
      </c>
    </row>
    <row r="64" spans="1:9" x14ac:dyDescent="0.45">
      <c r="A64" s="5" t="s">
        <v>63</v>
      </c>
      <c r="B64">
        <v>62</v>
      </c>
      <c r="C64">
        <v>1.6</v>
      </c>
      <c r="D64">
        <v>2.1000000000000001E-2</v>
      </c>
      <c r="E64">
        <v>1</v>
      </c>
      <c r="F64">
        <v>3</v>
      </c>
      <c r="G64">
        <f t="shared" si="0"/>
        <v>228.57142857142856</v>
      </c>
    </row>
    <row r="65" spans="1:9" x14ac:dyDescent="0.45">
      <c r="A65" s="5" t="s">
        <v>64</v>
      </c>
      <c r="B65">
        <v>63</v>
      </c>
      <c r="C65">
        <v>0.8</v>
      </c>
      <c r="D65">
        <v>1.9400000000000001E-2</v>
      </c>
      <c r="E65">
        <v>1</v>
      </c>
      <c r="F65">
        <v>3</v>
      </c>
      <c r="G65">
        <f t="shared" si="0"/>
        <v>123.71134020618558</v>
      </c>
    </row>
    <row r="66" spans="1:9" x14ac:dyDescent="0.45">
      <c r="A66" s="5" t="s">
        <v>65</v>
      </c>
      <c r="B66">
        <v>64</v>
      </c>
      <c r="C66">
        <v>2</v>
      </c>
      <c r="D66">
        <v>1.7500000000000002E-2</v>
      </c>
      <c r="E66">
        <v>1</v>
      </c>
      <c r="F66">
        <v>3</v>
      </c>
      <c r="G66">
        <f t="shared" si="0"/>
        <v>342.85714285714283</v>
      </c>
    </row>
    <row r="67" spans="1:9" x14ac:dyDescent="0.45">
      <c r="A67" s="5" t="s">
        <v>66</v>
      </c>
      <c r="B67">
        <v>65</v>
      </c>
      <c r="C67">
        <v>1.6</v>
      </c>
      <c r="D67">
        <v>2.0500000000000001E-2</v>
      </c>
      <c r="E67">
        <v>1</v>
      </c>
      <c r="F67">
        <v>3</v>
      </c>
      <c r="G67">
        <f t="shared" si="0"/>
        <v>234.14634146341467</v>
      </c>
    </row>
    <row r="68" spans="1:9" x14ac:dyDescent="0.45">
      <c r="A68" s="5" t="s">
        <v>67</v>
      </c>
      <c r="B68">
        <v>66</v>
      </c>
      <c r="C68">
        <v>1.8</v>
      </c>
      <c r="D68">
        <v>1.9800000000000002E-2</v>
      </c>
      <c r="E68">
        <v>1</v>
      </c>
      <c r="F68">
        <v>3</v>
      </c>
      <c r="G68">
        <f t="shared" ref="G68:G122" si="1">(C68*(E68/D68)*F68)</f>
        <v>272.72727272727269</v>
      </c>
      <c r="H68">
        <f>AVERAGE(G63:G68)</f>
        <v>243.57883088081732</v>
      </c>
      <c r="I68">
        <f>STDEV(G63:G68)/SQRT(6)</f>
        <v>29.234921216652165</v>
      </c>
    </row>
    <row r="69" spans="1:9" x14ac:dyDescent="0.45">
      <c r="A69" s="5" t="s">
        <v>68</v>
      </c>
      <c r="B69">
        <v>67</v>
      </c>
      <c r="C69">
        <v>1.5</v>
      </c>
      <c r="D69">
        <v>1.7399999999999999E-2</v>
      </c>
      <c r="E69">
        <v>1</v>
      </c>
      <c r="F69">
        <v>3</v>
      </c>
      <c r="G69">
        <f t="shared" si="1"/>
        <v>258.62068965517244</v>
      </c>
    </row>
    <row r="70" spans="1:9" x14ac:dyDescent="0.45">
      <c r="A70" s="5" t="s">
        <v>69</v>
      </c>
      <c r="B70">
        <v>68</v>
      </c>
      <c r="C70">
        <v>0.8</v>
      </c>
      <c r="D70">
        <v>1.6199999999999999E-2</v>
      </c>
      <c r="E70">
        <v>1</v>
      </c>
      <c r="F70">
        <v>3</v>
      </c>
      <c r="G70">
        <f t="shared" si="1"/>
        <v>148.14814814814815</v>
      </c>
    </row>
    <row r="71" spans="1:9" x14ac:dyDescent="0.45">
      <c r="A71" s="5" t="s">
        <v>70</v>
      </c>
      <c r="B71">
        <v>69</v>
      </c>
      <c r="C71">
        <v>2.1</v>
      </c>
      <c r="D71">
        <v>2.1899999999999999E-2</v>
      </c>
      <c r="E71">
        <v>1</v>
      </c>
      <c r="F71">
        <v>3</v>
      </c>
      <c r="G71">
        <f t="shared" si="1"/>
        <v>287.67123287671234</v>
      </c>
    </row>
    <row r="72" spans="1:9" x14ac:dyDescent="0.45">
      <c r="A72" s="5" t="s">
        <v>71</v>
      </c>
      <c r="B72">
        <v>70</v>
      </c>
      <c r="C72">
        <v>1.1000000000000001</v>
      </c>
      <c r="D72">
        <v>1.9400000000000001E-2</v>
      </c>
      <c r="E72">
        <v>1</v>
      </c>
      <c r="F72">
        <v>3</v>
      </c>
      <c r="G72">
        <f t="shared" si="1"/>
        <v>170.10309278350516</v>
      </c>
    </row>
    <row r="73" spans="1:9" x14ac:dyDescent="0.45">
      <c r="A73" s="5" t="s">
        <v>72</v>
      </c>
      <c r="B73">
        <v>71</v>
      </c>
      <c r="C73">
        <v>2.4</v>
      </c>
      <c r="D73">
        <v>1.9300000000000001E-2</v>
      </c>
      <c r="E73">
        <v>1</v>
      </c>
      <c r="F73">
        <v>3</v>
      </c>
      <c r="G73">
        <f t="shared" si="1"/>
        <v>373.05699481865281</v>
      </c>
    </row>
    <row r="74" spans="1:9" ht="14.65" thickBot="1" x14ac:dyDescent="0.5">
      <c r="A74" s="6" t="s">
        <v>73</v>
      </c>
      <c r="B74" s="3">
        <v>72</v>
      </c>
      <c r="C74">
        <v>0.4</v>
      </c>
      <c r="D74" s="9">
        <v>1.8599999999999998E-2</v>
      </c>
      <c r="E74" s="9">
        <v>1</v>
      </c>
      <c r="F74" s="9">
        <v>3</v>
      </c>
      <c r="G74" s="9">
        <f t="shared" si="1"/>
        <v>64.516129032258078</v>
      </c>
      <c r="H74" s="9">
        <f>AVERAGE(G69:G74)</f>
        <v>217.01938121907483</v>
      </c>
      <c r="I74" s="9">
        <f>STDEV(G69:G74)/SQRT(6)</f>
        <v>45.192815305434927</v>
      </c>
    </row>
    <row r="75" spans="1:9" x14ac:dyDescent="0.45">
      <c r="A75" s="4" t="s">
        <v>74</v>
      </c>
      <c r="B75">
        <v>73</v>
      </c>
      <c r="C75">
        <v>1.4</v>
      </c>
      <c r="D75">
        <v>1.7000000000000001E-2</v>
      </c>
      <c r="E75">
        <v>1</v>
      </c>
      <c r="F75">
        <v>3</v>
      </c>
      <c r="G75">
        <f t="shared" si="1"/>
        <v>247.05882352941174</v>
      </c>
    </row>
    <row r="76" spans="1:9" x14ac:dyDescent="0.45">
      <c r="A76" s="5" t="s">
        <v>75</v>
      </c>
      <c r="B76">
        <v>74</v>
      </c>
      <c r="C76">
        <v>1.9</v>
      </c>
      <c r="D76">
        <v>2.1299999999999999E-2</v>
      </c>
      <c r="E76">
        <v>1</v>
      </c>
      <c r="F76">
        <v>3</v>
      </c>
      <c r="G76">
        <f t="shared" si="1"/>
        <v>267.6056338028169</v>
      </c>
    </row>
    <row r="77" spans="1:9" x14ac:dyDescent="0.45">
      <c r="A77" s="5" t="s">
        <v>76</v>
      </c>
      <c r="B77">
        <v>75</v>
      </c>
      <c r="C77">
        <v>0.7</v>
      </c>
      <c r="D77">
        <v>1.9300000000000001E-2</v>
      </c>
      <c r="E77">
        <v>1</v>
      </c>
      <c r="F77">
        <v>3</v>
      </c>
      <c r="G77">
        <f t="shared" si="1"/>
        <v>108.8082901554404</v>
      </c>
    </row>
    <row r="78" spans="1:9" x14ac:dyDescent="0.45">
      <c r="A78" s="5" t="s">
        <v>77</v>
      </c>
      <c r="B78">
        <v>76</v>
      </c>
      <c r="C78">
        <v>1.3</v>
      </c>
      <c r="D78">
        <v>1.9300000000000001E-2</v>
      </c>
      <c r="E78">
        <v>1</v>
      </c>
      <c r="F78">
        <v>3</v>
      </c>
      <c r="G78">
        <f t="shared" si="1"/>
        <v>202.07253886010363</v>
      </c>
    </row>
    <row r="79" spans="1:9" x14ac:dyDescent="0.45">
      <c r="A79" s="5" t="s">
        <v>78</v>
      </c>
      <c r="B79">
        <v>77</v>
      </c>
      <c r="C79">
        <v>2.2999999999999998</v>
      </c>
      <c r="D79">
        <v>2.0400000000000001E-2</v>
      </c>
      <c r="E79">
        <v>1</v>
      </c>
      <c r="F79">
        <v>3</v>
      </c>
      <c r="G79">
        <f t="shared" si="1"/>
        <v>338.23529411764696</v>
      </c>
    </row>
    <row r="80" spans="1:9" x14ac:dyDescent="0.45">
      <c r="A80" s="5" t="s">
        <v>79</v>
      </c>
      <c r="B80">
        <v>78</v>
      </c>
      <c r="C80">
        <v>1.4</v>
      </c>
      <c r="D80">
        <v>1.7399999999999999E-2</v>
      </c>
      <c r="E80">
        <v>1</v>
      </c>
      <c r="F80">
        <v>3</v>
      </c>
      <c r="G80">
        <f t="shared" si="1"/>
        <v>241.37931034482759</v>
      </c>
      <c r="H80">
        <f>AVERAGE(G75:G80)</f>
        <v>234.19331513504119</v>
      </c>
      <c r="I80">
        <f>STDEV(G75:G80)/SQRT(6)</f>
        <v>31.04374602632786</v>
      </c>
    </row>
    <row r="81" spans="1:9" x14ac:dyDescent="0.45">
      <c r="A81" s="5" t="s">
        <v>80</v>
      </c>
      <c r="B81">
        <v>79</v>
      </c>
      <c r="C81">
        <v>0.8</v>
      </c>
      <c r="D81">
        <v>1.9E-2</v>
      </c>
      <c r="E81">
        <v>1</v>
      </c>
      <c r="F81">
        <v>3</v>
      </c>
      <c r="G81">
        <f t="shared" si="1"/>
        <v>126.31578947368422</v>
      </c>
    </row>
    <row r="82" spans="1:9" x14ac:dyDescent="0.45">
      <c r="A82" s="5" t="s">
        <v>81</v>
      </c>
      <c r="B82">
        <v>80</v>
      </c>
      <c r="C82">
        <v>0.8</v>
      </c>
      <c r="D82">
        <v>2.1899999999999999E-2</v>
      </c>
      <c r="E82">
        <v>1</v>
      </c>
      <c r="F82">
        <v>3</v>
      </c>
      <c r="G82">
        <f t="shared" si="1"/>
        <v>109.58904109589042</v>
      </c>
    </row>
    <row r="83" spans="1:9" x14ac:dyDescent="0.45">
      <c r="A83" s="5" t="s">
        <v>82</v>
      </c>
      <c r="B83">
        <v>81</v>
      </c>
      <c r="C83">
        <v>1.7</v>
      </c>
      <c r="D83">
        <v>1.67E-2</v>
      </c>
      <c r="E83">
        <v>1</v>
      </c>
      <c r="F83">
        <v>3</v>
      </c>
      <c r="G83">
        <f t="shared" si="1"/>
        <v>305.38922155688624</v>
      </c>
    </row>
    <row r="84" spans="1:9" x14ac:dyDescent="0.45">
      <c r="A84" s="5" t="s">
        <v>83</v>
      </c>
      <c r="B84">
        <v>82</v>
      </c>
      <c r="C84">
        <v>1.6</v>
      </c>
      <c r="D84">
        <v>1.7999999999999999E-2</v>
      </c>
      <c r="E84">
        <v>1</v>
      </c>
      <c r="F84">
        <v>3</v>
      </c>
      <c r="G84">
        <f t="shared" si="1"/>
        <v>266.66666666666669</v>
      </c>
    </row>
    <row r="85" spans="1:9" x14ac:dyDescent="0.45">
      <c r="A85" s="5" t="s">
        <v>84</v>
      </c>
      <c r="B85">
        <v>83</v>
      </c>
      <c r="C85">
        <v>1.6</v>
      </c>
      <c r="D85">
        <v>1.83E-2</v>
      </c>
      <c r="E85">
        <v>1</v>
      </c>
      <c r="F85">
        <v>3</v>
      </c>
      <c r="G85">
        <f t="shared" si="1"/>
        <v>262.29508196721315</v>
      </c>
    </row>
    <row r="86" spans="1:9" ht="14.65" thickBot="1" x14ac:dyDescent="0.5">
      <c r="A86" s="6" t="s">
        <v>85</v>
      </c>
      <c r="B86" s="3">
        <v>84</v>
      </c>
      <c r="C86">
        <v>2.1</v>
      </c>
      <c r="D86" s="9">
        <v>0.02</v>
      </c>
      <c r="E86" s="9">
        <v>1</v>
      </c>
      <c r="F86" s="9">
        <v>3</v>
      </c>
      <c r="G86" s="9">
        <f t="shared" si="1"/>
        <v>315</v>
      </c>
      <c r="H86" s="9">
        <f>AVERAGE(G81:G86)</f>
        <v>230.87596679339012</v>
      </c>
      <c r="I86" s="9">
        <f>STDEV(G81:G86)/SQRT(6)</f>
        <v>36.760740888616759</v>
      </c>
    </row>
    <row r="87" spans="1:9" x14ac:dyDescent="0.45">
      <c r="A87" s="4" t="s">
        <v>86</v>
      </c>
      <c r="B87">
        <v>85</v>
      </c>
      <c r="C87">
        <v>2.2999999999999998</v>
      </c>
      <c r="D87">
        <v>2.2499999999999999E-2</v>
      </c>
      <c r="E87">
        <v>1</v>
      </c>
      <c r="F87">
        <v>3</v>
      </c>
      <c r="G87">
        <f t="shared" si="1"/>
        <v>306.66666666666663</v>
      </c>
    </row>
    <row r="88" spans="1:9" x14ac:dyDescent="0.45">
      <c r="A88" s="5" t="s">
        <v>87</v>
      </c>
      <c r="B88">
        <v>86</v>
      </c>
      <c r="C88">
        <v>2.8</v>
      </c>
      <c r="D88">
        <v>2.0799999999999999E-2</v>
      </c>
      <c r="E88">
        <v>1</v>
      </c>
      <c r="F88">
        <v>3</v>
      </c>
      <c r="G88">
        <f t="shared" si="1"/>
        <v>403.84615384615381</v>
      </c>
    </row>
    <row r="89" spans="1:9" x14ac:dyDescent="0.45">
      <c r="A89" s="5" t="s">
        <v>88</v>
      </c>
      <c r="B89">
        <v>87</v>
      </c>
      <c r="C89">
        <v>1.4</v>
      </c>
      <c r="D89">
        <v>2.0500000000000001E-2</v>
      </c>
      <c r="E89">
        <v>1</v>
      </c>
      <c r="F89">
        <v>3</v>
      </c>
      <c r="G89">
        <f t="shared" si="1"/>
        <v>204.87804878048777</v>
      </c>
    </row>
    <row r="90" spans="1:9" x14ac:dyDescent="0.45">
      <c r="A90" s="5" t="s">
        <v>89</v>
      </c>
      <c r="B90">
        <v>88</v>
      </c>
      <c r="C90">
        <v>0.5</v>
      </c>
      <c r="D90">
        <v>1.7500000000000002E-2</v>
      </c>
      <c r="E90">
        <v>1</v>
      </c>
      <c r="F90">
        <v>3</v>
      </c>
      <c r="G90">
        <f t="shared" si="1"/>
        <v>85.714285714285708</v>
      </c>
    </row>
    <row r="91" spans="1:9" x14ac:dyDescent="0.45">
      <c r="A91" s="5" t="s">
        <v>90</v>
      </c>
      <c r="B91">
        <v>89</v>
      </c>
      <c r="C91">
        <v>1.4</v>
      </c>
      <c r="D91">
        <v>2.3900000000000001E-2</v>
      </c>
      <c r="E91">
        <v>1</v>
      </c>
      <c r="F91">
        <v>3</v>
      </c>
      <c r="G91">
        <f t="shared" si="1"/>
        <v>175.7322175732217</v>
      </c>
    </row>
    <row r="92" spans="1:9" x14ac:dyDescent="0.45">
      <c r="A92" s="5" t="s">
        <v>91</v>
      </c>
      <c r="B92">
        <v>90</v>
      </c>
      <c r="C92">
        <v>1.3</v>
      </c>
      <c r="D92">
        <v>2.1600000000000001E-2</v>
      </c>
      <c r="E92">
        <v>1</v>
      </c>
      <c r="F92">
        <v>3</v>
      </c>
      <c r="G92">
        <f t="shared" si="1"/>
        <v>180.55555555555554</v>
      </c>
      <c r="H92">
        <f>AVERAGE(G87:G92)</f>
        <v>226.2321546893952</v>
      </c>
      <c r="I92">
        <f>STDEV(G87:G92)/SQRT(6)</f>
        <v>45.772738651998488</v>
      </c>
    </row>
    <row r="93" spans="1:9" x14ac:dyDescent="0.45">
      <c r="A93" s="5" t="s">
        <v>92</v>
      </c>
      <c r="B93">
        <v>91</v>
      </c>
      <c r="C93">
        <v>1</v>
      </c>
      <c r="D93">
        <v>2.0199999999999999E-2</v>
      </c>
      <c r="E93">
        <v>1</v>
      </c>
      <c r="F93">
        <v>3</v>
      </c>
      <c r="G93">
        <f t="shared" si="1"/>
        <v>148.51485148514851</v>
      </c>
    </row>
    <row r="94" spans="1:9" x14ac:dyDescent="0.45">
      <c r="A94" s="5" t="s">
        <v>93</v>
      </c>
      <c r="B94">
        <v>92</v>
      </c>
      <c r="C94">
        <v>1</v>
      </c>
      <c r="D94">
        <v>2.1399999999999999E-2</v>
      </c>
      <c r="E94">
        <v>1</v>
      </c>
      <c r="F94">
        <v>3</v>
      </c>
      <c r="G94">
        <f t="shared" si="1"/>
        <v>140.18691588785049</v>
      </c>
    </row>
    <row r="95" spans="1:9" x14ac:dyDescent="0.45">
      <c r="A95" s="5" t="s">
        <v>94</v>
      </c>
      <c r="B95">
        <v>93</v>
      </c>
      <c r="C95">
        <v>0.9</v>
      </c>
      <c r="D95">
        <v>1.9400000000000001E-2</v>
      </c>
      <c r="E95">
        <v>1</v>
      </c>
      <c r="F95">
        <v>3</v>
      </c>
      <c r="G95">
        <f t="shared" si="1"/>
        <v>139.17525773195877</v>
      </c>
    </row>
    <row r="96" spans="1:9" x14ac:dyDescent="0.45">
      <c r="A96" s="5" t="s">
        <v>95</v>
      </c>
      <c r="B96">
        <v>94</v>
      </c>
      <c r="C96">
        <v>1.2</v>
      </c>
      <c r="D96">
        <v>2.23E-2</v>
      </c>
      <c r="E96">
        <v>1</v>
      </c>
      <c r="F96">
        <v>3</v>
      </c>
      <c r="G96">
        <f t="shared" si="1"/>
        <v>161.43497757847533</v>
      </c>
    </row>
    <row r="97" spans="1:9" x14ac:dyDescent="0.45">
      <c r="A97" s="5" t="s">
        <v>96</v>
      </c>
      <c r="B97">
        <v>95</v>
      </c>
      <c r="C97">
        <v>0.8</v>
      </c>
      <c r="D97">
        <v>2.0500000000000001E-2</v>
      </c>
      <c r="E97">
        <v>1</v>
      </c>
      <c r="F97">
        <v>3</v>
      </c>
      <c r="G97">
        <f t="shared" si="1"/>
        <v>117.07317073170734</v>
      </c>
    </row>
    <row r="98" spans="1:9" ht="14.65" thickBot="1" x14ac:dyDescent="0.5">
      <c r="A98" s="6" t="s">
        <v>97</v>
      </c>
      <c r="B98" s="3">
        <v>96</v>
      </c>
      <c r="C98">
        <v>1</v>
      </c>
      <c r="D98" s="9">
        <v>2.18E-2</v>
      </c>
      <c r="E98" s="9">
        <v>1</v>
      </c>
      <c r="F98" s="9">
        <v>3</v>
      </c>
      <c r="G98" s="9">
        <f t="shared" si="1"/>
        <v>137.61467889908258</v>
      </c>
      <c r="H98" s="9">
        <f>AVERAGE(G93:G98)</f>
        <v>140.66664205237052</v>
      </c>
      <c r="I98" s="9">
        <f>STDEV(G93:G98)/SQRT(6)</f>
        <v>5.9479376937380328</v>
      </c>
    </row>
    <row r="99" spans="1:9" x14ac:dyDescent="0.45">
      <c r="A99" s="4" t="s">
        <v>98</v>
      </c>
      <c r="B99">
        <v>97</v>
      </c>
      <c r="C99">
        <v>1</v>
      </c>
      <c r="D99">
        <v>2.3E-2</v>
      </c>
      <c r="E99">
        <v>1</v>
      </c>
      <c r="F99">
        <v>3</v>
      </c>
      <c r="G99">
        <f t="shared" si="1"/>
        <v>130.43478260869566</v>
      </c>
    </row>
    <row r="100" spans="1:9" x14ac:dyDescent="0.45">
      <c r="A100" s="5" t="s">
        <v>99</v>
      </c>
      <c r="B100">
        <v>98</v>
      </c>
      <c r="C100">
        <v>0.7</v>
      </c>
      <c r="D100">
        <v>1.8599999999999998E-2</v>
      </c>
      <c r="E100">
        <v>1</v>
      </c>
      <c r="F100">
        <v>3</v>
      </c>
      <c r="G100">
        <f t="shared" si="1"/>
        <v>112.90322580645162</v>
      </c>
    </row>
    <row r="101" spans="1:9" x14ac:dyDescent="0.45">
      <c r="A101" s="5" t="s">
        <v>100</v>
      </c>
      <c r="B101">
        <v>99</v>
      </c>
      <c r="C101">
        <v>0.8</v>
      </c>
      <c r="D101">
        <v>0.02</v>
      </c>
      <c r="E101">
        <v>1</v>
      </c>
      <c r="F101">
        <v>3</v>
      </c>
      <c r="G101">
        <f t="shared" si="1"/>
        <v>120</v>
      </c>
    </row>
    <row r="102" spans="1:9" x14ac:dyDescent="0.45">
      <c r="A102" s="5" t="s">
        <v>101</v>
      </c>
      <c r="B102">
        <v>100</v>
      </c>
      <c r="C102">
        <v>0.6</v>
      </c>
      <c r="D102">
        <v>1.83E-2</v>
      </c>
      <c r="E102">
        <v>1</v>
      </c>
      <c r="F102">
        <v>3</v>
      </c>
      <c r="G102">
        <f t="shared" si="1"/>
        <v>98.360655737704917</v>
      </c>
    </row>
    <row r="103" spans="1:9" x14ac:dyDescent="0.45">
      <c r="A103" s="5" t="s">
        <v>102</v>
      </c>
      <c r="B103">
        <v>101</v>
      </c>
      <c r="C103">
        <v>1</v>
      </c>
      <c r="D103">
        <v>2.3099999999999999E-2</v>
      </c>
      <c r="E103">
        <v>1</v>
      </c>
      <c r="F103">
        <v>3</v>
      </c>
      <c r="G103">
        <f t="shared" si="1"/>
        <v>129.87012987012989</v>
      </c>
    </row>
    <row r="104" spans="1:9" x14ac:dyDescent="0.45">
      <c r="A104" s="5" t="s">
        <v>103</v>
      </c>
      <c r="B104">
        <v>102</v>
      </c>
      <c r="C104">
        <v>0.9</v>
      </c>
      <c r="D104">
        <v>2.29E-2</v>
      </c>
      <c r="E104">
        <v>1</v>
      </c>
      <c r="F104">
        <v>3</v>
      </c>
      <c r="G104">
        <f t="shared" si="1"/>
        <v>117.90393013100437</v>
      </c>
      <c r="H104">
        <f>AVERAGE(G99:G104)</f>
        <v>118.2454540256644</v>
      </c>
      <c r="I104">
        <f>STDEV(G99:G104)/SQRT(6)</f>
        <v>4.8677595641789626</v>
      </c>
    </row>
    <row r="105" spans="1:9" x14ac:dyDescent="0.45">
      <c r="A105" s="5" t="s">
        <v>104</v>
      </c>
      <c r="B105">
        <v>103</v>
      </c>
      <c r="C105">
        <v>0.7</v>
      </c>
      <c r="D105">
        <v>2.24E-2</v>
      </c>
      <c r="E105">
        <v>1</v>
      </c>
      <c r="F105">
        <v>3</v>
      </c>
      <c r="G105">
        <f t="shared" si="1"/>
        <v>93.75</v>
      </c>
    </row>
    <row r="106" spans="1:9" x14ac:dyDescent="0.45">
      <c r="A106" s="5" t="s">
        <v>105</v>
      </c>
      <c r="B106">
        <v>104</v>
      </c>
      <c r="C106">
        <v>1.8</v>
      </c>
      <c r="D106">
        <v>2.1399999999999999E-2</v>
      </c>
      <c r="E106">
        <v>1</v>
      </c>
      <c r="F106">
        <v>3</v>
      </c>
      <c r="G106">
        <f t="shared" si="1"/>
        <v>252.33644859813086</v>
      </c>
    </row>
    <row r="107" spans="1:9" x14ac:dyDescent="0.45">
      <c r="A107" s="5" t="s">
        <v>106</v>
      </c>
      <c r="B107">
        <v>105</v>
      </c>
      <c r="C107">
        <v>1.3</v>
      </c>
      <c r="D107">
        <v>2.1700000000000001E-2</v>
      </c>
      <c r="E107">
        <v>1</v>
      </c>
      <c r="F107">
        <v>3</v>
      </c>
      <c r="G107">
        <f t="shared" si="1"/>
        <v>179.72350230414744</v>
      </c>
    </row>
    <row r="108" spans="1:9" x14ac:dyDescent="0.45">
      <c r="A108" s="5" t="s">
        <v>107</v>
      </c>
      <c r="B108">
        <v>106</v>
      </c>
      <c r="C108">
        <v>0.6</v>
      </c>
      <c r="D108">
        <v>2.0500000000000001E-2</v>
      </c>
      <c r="E108">
        <v>1</v>
      </c>
      <c r="F108">
        <v>3</v>
      </c>
      <c r="G108">
        <f t="shared" si="1"/>
        <v>87.804878048780481</v>
      </c>
    </row>
    <row r="109" spans="1:9" x14ac:dyDescent="0.45">
      <c r="A109" s="5" t="s">
        <v>108</v>
      </c>
      <c r="B109">
        <v>107</v>
      </c>
      <c r="C109">
        <v>1.1000000000000001</v>
      </c>
      <c r="D109">
        <v>2.24E-2</v>
      </c>
      <c r="E109">
        <v>1</v>
      </c>
      <c r="F109">
        <v>3</v>
      </c>
      <c r="G109">
        <f t="shared" si="1"/>
        <v>147.32142857142858</v>
      </c>
    </row>
    <row r="110" spans="1:9" ht="14.65" thickBot="1" x14ac:dyDescent="0.5">
      <c r="A110" s="6" t="s">
        <v>109</v>
      </c>
      <c r="B110" s="3">
        <v>108</v>
      </c>
      <c r="C110">
        <v>2.2000000000000002</v>
      </c>
      <c r="D110" s="9">
        <v>2.18E-2</v>
      </c>
      <c r="E110" s="9">
        <v>1</v>
      </c>
      <c r="F110" s="9">
        <v>3</v>
      </c>
      <c r="G110" s="9">
        <f t="shared" si="1"/>
        <v>302.75229357798167</v>
      </c>
      <c r="H110" s="9">
        <f>AVERAGE(G105:G110)</f>
        <v>177.28142518341147</v>
      </c>
      <c r="I110" s="9">
        <f>STDEV(G105:G110)/SQRT(6)</f>
        <v>35.243586638059909</v>
      </c>
    </row>
    <row r="111" spans="1:9" x14ac:dyDescent="0.45">
      <c r="A111" s="4" t="s">
        <v>110</v>
      </c>
      <c r="B111">
        <v>109</v>
      </c>
      <c r="C111">
        <v>1.7</v>
      </c>
      <c r="D111">
        <v>2.01E-2</v>
      </c>
      <c r="E111">
        <v>1</v>
      </c>
      <c r="F111">
        <v>3</v>
      </c>
      <c r="G111">
        <f t="shared" si="1"/>
        <v>253.73134328358208</v>
      </c>
    </row>
    <row r="112" spans="1:9" x14ac:dyDescent="0.45">
      <c r="A112" s="5" t="s">
        <v>111</v>
      </c>
      <c r="B112">
        <v>110</v>
      </c>
      <c r="C112">
        <v>1.6</v>
      </c>
      <c r="D112">
        <v>2.1700000000000001E-2</v>
      </c>
      <c r="E112">
        <v>1</v>
      </c>
      <c r="F112">
        <v>3</v>
      </c>
      <c r="G112">
        <f t="shared" si="1"/>
        <v>221.19815668202762</v>
      </c>
    </row>
    <row r="113" spans="1:9" x14ac:dyDescent="0.45">
      <c r="A113" s="5" t="s">
        <v>112</v>
      </c>
      <c r="B113">
        <v>111</v>
      </c>
      <c r="C113">
        <v>2.1</v>
      </c>
      <c r="D113">
        <v>2.1999999999999999E-2</v>
      </c>
      <c r="E113">
        <v>1</v>
      </c>
      <c r="F113">
        <v>3</v>
      </c>
      <c r="G113">
        <f t="shared" si="1"/>
        <v>286.36363636363637</v>
      </c>
    </row>
    <row r="114" spans="1:9" x14ac:dyDescent="0.45">
      <c r="A114" s="5" t="s">
        <v>113</v>
      </c>
      <c r="B114">
        <v>112</v>
      </c>
      <c r="C114">
        <v>0.9</v>
      </c>
      <c r="D114">
        <v>2.3199999999999998E-2</v>
      </c>
      <c r="E114">
        <v>1</v>
      </c>
      <c r="F114">
        <v>3</v>
      </c>
      <c r="G114">
        <f t="shared" si="1"/>
        <v>116.37931034482759</v>
      </c>
    </row>
    <row r="115" spans="1:9" x14ac:dyDescent="0.45">
      <c r="A115" s="5" t="s">
        <v>114</v>
      </c>
      <c r="B115">
        <v>113</v>
      </c>
      <c r="C115">
        <v>2.2000000000000002</v>
      </c>
      <c r="D115">
        <v>2.1700000000000001E-2</v>
      </c>
      <c r="E115">
        <v>1</v>
      </c>
      <c r="F115">
        <v>3</v>
      </c>
      <c r="G115">
        <f t="shared" si="1"/>
        <v>304.14746543778801</v>
      </c>
    </row>
    <row r="116" spans="1:9" x14ac:dyDescent="0.45">
      <c r="A116" s="5" t="s">
        <v>115</v>
      </c>
      <c r="B116">
        <v>114</v>
      </c>
      <c r="C116">
        <v>0.9</v>
      </c>
      <c r="D116">
        <v>2.0400000000000001E-2</v>
      </c>
      <c r="E116">
        <v>1</v>
      </c>
      <c r="F116">
        <v>3</v>
      </c>
      <c r="G116">
        <f t="shared" si="1"/>
        <v>132.35294117647058</v>
      </c>
      <c r="H116">
        <f>AVERAGE(G111:G116)</f>
        <v>219.0288088813887</v>
      </c>
      <c r="I116">
        <f>STDEV(G111:G116)/SQRT(6)</f>
        <v>32.165075388301624</v>
      </c>
    </row>
    <row r="117" spans="1:9" x14ac:dyDescent="0.45">
      <c r="A117" s="5" t="s">
        <v>116</v>
      </c>
      <c r="B117">
        <v>115</v>
      </c>
      <c r="C117">
        <v>0.8</v>
      </c>
      <c r="D117">
        <v>2.1700000000000001E-2</v>
      </c>
      <c r="E117">
        <v>1</v>
      </c>
      <c r="F117">
        <v>3</v>
      </c>
      <c r="G117">
        <f t="shared" si="1"/>
        <v>110.59907834101381</v>
      </c>
    </row>
    <row r="118" spans="1:9" x14ac:dyDescent="0.45">
      <c r="A118" s="5" t="s">
        <v>117</v>
      </c>
      <c r="B118">
        <v>116</v>
      </c>
      <c r="C118">
        <v>2.6</v>
      </c>
      <c r="D118">
        <v>2.0799999999999999E-2</v>
      </c>
      <c r="E118">
        <v>1</v>
      </c>
      <c r="F118">
        <v>3</v>
      </c>
      <c r="G118">
        <f t="shared" si="1"/>
        <v>375.00000000000006</v>
      </c>
    </row>
    <row r="119" spans="1:9" x14ac:dyDescent="0.45">
      <c r="A119" s="5" t="s">
        <v>118</v>
      </c>
      <c r="B119">
        <v>117</v>
      </c>
      <c r="C119">
        <v>0.9</v>
      </c>
      <c r="D119">
        <v>2.2499999999999999E-2</v>
      </c>
      <c r="E119">
        <v>1</v>
      </c>
      <c r="F119">
        <v>3</v>
      </c>
      <c r="G119">
        <f t="shared" si="1"/>
        <v>120</v>
      </c>
    </row>
    <row r="120" spans="1:9" x14ac:dyDescent="0.45">
      <c r="A120" s="5" t="s">
        <v>119</v>
      </c>
      <c r="B120">
        <v>118</v>
      </c>
      <c r="C120">
        <v>2.7</v>
      </c>
      <c r="D120">
        <v>2.1000000000000001E-2</v>
      </c>
      <c r="E120">
        <v>1</v>
      </c>
      <c r="F120">
        <v>3</v>
      </c>
      <c r="G120">
        <f t="shared" si="1"/>
        <v>385.71428571428567</v>
      </c>
    </row>
    <row r="121" spans="1:9" x14ac:dyDescent="0.45">
      <c r="A121" s="5" t="s">
        <v>120</v>
      </c>
      <c r="B121">
        <v>119</v>
      </c>
      <c r="C121">
        <v>0.8</v>
      </c>
      <c r="D121">
        <v>2.1899999999999999E-2</v>
      </c>
      <c r="E121">
        <v>1</v>
      </c>
      <c r="F121">
        <v>3</v>
      </c>
      <c r="G121">
        <f t="shared" si="1"/>
        <v>109.58904109589042</v>
      </c>
    </row>
    <row r="122" spans="1:9" ht="14.65" thickBot="1" x14ac:dyDescent="0.5">
      <c r="A122" s="6" t="s">
        <v>121</v>
      </c>
      <c r="B122" s="3">
        <v>120</v>
      </c>
      <c r="C122" s="9">
        <v>1</v>
      </c>
      <c r="D122" s="9">
        <v>1.9699999999999999E-2</v>
      </c>
      <c r="E122" s="9">
        <v>1</v>
      </c>
      <c r="F122" s="9">
        <v>3</v>
      </c>
      <c r="G122" s="9">
        <f t="shared" si="1"/>
        <v>152.28426395939087</v>
      </c>
      <c r="H122" s="9">
        <f>AVERAGE(G117:G122)</f>
        <v>208.86444485176347</v>
      </c>
      <c r="I122" s="9">
        <f>STDEV(G117:G122)/SQRT(6)</f>
        <v>54.615865635216757</v>
      </c>
    </row>
    <row r="127" spans="1:9" x14ac:dyDescent="0.45">
      <c r="A127" t="s">
        <v>133</v>
      </c>
    </row>
    <row r="128" spans="1:9" ht="14.65" thickBot="1" x14ac:dyDescent="0.5">
      <c r="A128" t="s">
        <v>123</v>
      </c>
      <c r="B128" t="s">
        <v>124</v>
      </c>
      <c r="C128" t="s">
        <v>125</v>
      </c>
      <c r="D128" t="s">
        <v>126</v>
      </c>
      <c r="E128" t="s">
        <v>127</v>
      </c>
      <c r="F128" t="s">
        <v>128</v>
      </c>
      <c r="G128" t="s">
        <v>129</v>
      </c>
      <c r="H128" t="s">
        <v>130</v>
      </c>
      <c r="I128" t="s">
        <v>131</v>
      </c>
    </row>
    <row r="129" spans="1:29" x14ac:dyDescent="0.45">
      <c r="A129" s="4" t="s">
        <v>134</v>
      </c>
      <c r="B129" t="s">
        <v>135</v>
      </c>
      <c r="C129">
        <v>0.6</v>
      </c>
      <c r="D129">
        <v>1.18E-2</v>
      </c>
      <c r="E129">
        <v>1</v>
      </c>
      <c r="F129">
        <v>2</v>
      </c>
      <c r="G129">
        <f>(C129*(E129/D129)*F129)</f>
        <v>101.6949152542373</v>
      </c>
      <c r="M129" t="s">
        <v>133</v>
      </c>
    </row>
    <row r="130" spans="1:29" x14ac:dyDescent="0.45">
      <c r="A130" s="5" t="s">
        <v>136</v>
      </c>
      <c r="B130" t="s">
        <v>137</v>
      </c>
      <c r="D130">
        <v>1.2500000000000001E-2</v>
      </c>
      <c r="E130">
        <v>1</v>
      </c>
      <c r="F130">
        <v>2</v>
      </c>
      <c r="G130">
        <f t="shared" ref="G130:G193" si="2">(C130*(E130/D130)*F130)</f>
        <v>0</v>
      </c>
      <c r="N130" t="s">
        <v>374</v>
      </c>
      <c r="O130" t="s">
        <v>375</v>
      </c>
      <c r="P130" t="s">
        <v>376</v>
      </c>
      <c r="Q130" t="s">
        <v>377</v>
      </c>
      <c r="R130" t="s">
        <v>378</v>
      </c>
      <c r="S130" t="s">
        <v>379</v>
      </c>
      <c r="T130" t="s">
        <v>380</v>
      </c>
      <c r="U130" t="s">
        <v>381</v>
      </c>
      <c r="V130" t="s">
        <v>384</v>
      </c>
      <c r="W130" t="s">
        <v>385</v>
      </c>
    </row>
    <row r="131" spans="1:29" x14ac:dyDescent="0.45">
      <c r="A131" s="5" t="s">
        <v>138</v>
      </c>
      <c r="B131" t="s">
        <v>139</v>
      </c>
      <c r="D131">
        <v>1.7000000000000001E-2</v>
      </c>
      <c r="E131">
        <v>1</v>
      </c>
      <c r="F131">
        <v>2</v>
      </c>
      <c r="G131">
        <f t="shared" si="2"/>
        <v>0</v>
      </c>
      <c r="M131" t="s">
        <v>382</v>
      </c>
      <c r="N131">
        <f>H134</f>
        <v>25.073712882817386</v>
      </c>
      <c r="O131">
        <f>H146</f>
        <v>21.789004553547773</v>
      </c>
      <c r="P131">
        <f>H158</f>
        <v>67.165248468868796</v>
      </c>
      <c r="Q131">
        <f>H170</f>
        <v>29.03262492126446</v>
      </c>
      <c r="R131">
        <f>H182</f>
        <v>30.042148709073654</v>
      </c>
      <c r="S131">
        <f>H194</f>
        <v>72.88739578029309</v>
      </c>
      <c r="T131">
        <f>H206</f>
        <v>218.87611463004745</v>
      </c>
      <c r="U131">
        <f>H218</f>
        <v>209.63720947112105</v>
      </c>
      <c r="V131">
        <f>H230</f>
        <v>16.203703703703706</v>
      </c>
      <c r="W131">
        <f>H242</f>
        <v>41.011421351868286</v>
      </c>
    </row>
    <row r="132" spans="1:29" x14ac:dyDescent="0.45">
      <c r="A132" s="5" t="s">
        <v>140</v>
      </c>
      <c r="B132" t="s">
        <v>141</v>
      </c>
      <c r="C132">
        <v>0.1</v>
      </c>
      <c r="D132">
        <v>2.12E-2</v>
      </c>
      <c r="E132">
        <v>1</v>
      </c>
      <c r="F132">
        <v>2</v>
      </c>
      <c r="G132">
        <f t="shared" si="2"/>
        <v>9.433962264150944</v>
      </c>
      <c r="M132" t="s">
        <v>131</v>
      </c>
      <c r="N132">
        <f>I134</f>
        <v>15.775479454189165</v>
      </c>
      <c r="O132">
        <f>I146</f>
        <v>10.409293945716444</v>
      </c>
      <c r="P132">
        <f>I158</f>
        <v>28.642188582572054</v>
      </c>
      <c r="Q132">
        <f>I170</f>
        <v>10.152555571663653</v>
      </c>
      <c r="R132">
        <f>I182</f>
        <v>14.724153068576149</v>
      </c>
      <c r="S132">
        <f>I194</f>
        <v>12.411781494581872</v>
      </c>
      <c r="T132">
        <f>I206</f>
        <v>40.437396025401299</v>
      </c>
      <c r="U132">
        <f>I218</f>
        <v>44.485200053731454</v>
      </c>
      <c r="V132">
        <f>I230</f>
        <v>11.574074074074074</v>
      </c>
      <c r="W132">
        <f>I242</f>
        <v>12.163127090519662</v>
      </c>
    </row>
    <row r="133" spans="1:29" x14ac:dyDescent="0.45">
      <c r="A133" s="5" t="s">
        <v>142</v>
      </c>
      <c r="B133" t="s">
        <v>143</v>
      </c>
      <c r="C133">
        <v>0.1</v>
      </c>
      <c r="D133">
        <v>1.29E-2</v>
      </c>
      <c r="E133">
        <v>1</v>
      </c>
      <c r="F133">
        <v>2</v>
      </c>
      <c r="G133">
        <f t="shared" si="2"/>
        <v>15.503875968992247</v>
      </c>
      <c r="M133" t="s">
        <v>383</v>
      </c>
      <c r="N133">
        <f>H146</f>
        <v>21.789004553547773</v>
      </c>
      <c r="O133">
        <f>H152</f>
        <v>34.207622442916566</v>
      </c>
      <c r="P133">
        <f>H164</f>
        <v>31.497025710977308</v>
      </c>
      <c r="Q133">
        <f>H176</f>
        <v>34.493884846600302</v>
      </c>
      <c r="R133">
        <f>H188</f>
        <v>22.150848544057425</v>
      </c>
      <c r="S133">
        <f>H200</f>
        <v>106.90319102691383</v>
      </c>
      <c r="T133">
        <f>H212</f>
        <v>152.8117940683849</v>
      </c>
      <c r="U133">
        <f>H224</f>
        <v>51.256242331338605</v>
      </c>
      <c r="V133">
        <f>H236</f>
        <v>30.1155150927829</v>
      </c>
      <c r="W133">
        <f>H248</f>
        <v>70.759479731899901</v>
      </c>
    </row>
    <row r="134" spans="1:29" x14ac:dyDescent="0.45">
      <c r="A134" s="5" t="s">
        <v>144</v>
      </c>
      <c r="B134" t="s">
        <v>145</v>
      </c>
      <c r="C134">
        <v>0.1</v>
      </c>
      <c r="D134">
        <v>8.3999999999999995E-3</v>
      </c>
      <c r="E134">
        <v>1</v>
      </c>
      <c r="F134">
        <v>2</v>
      </c>
      <c r="G134">
        <f t="shared" si="2"/>
        <v>23.80952380952381</v>
      </c>
      <c r="H134">
        <f>AVERAGE(G129:G134)</f>
        <v>25.073712882817386</v>
      </c>
      <c r="I134">
        <f>STDEV(G129:G134)/SQRT(6)</f>
        <v>15.775479454189165</v>
      </c>
      <c r="M134" t="s">
        <v>131</v>
      </c>
      <c r="N134">
        <f>I140</f>
        <v>46.955065483437465</v>
      </c>
      <c r="O134">
        <f>I152</f>
        <v>15.875287980195166</v>
      </c>
      <c r="P134">
        <f>I164</f>
        <v>14.82422826076181</v>
      </c>
      <c r="Q134">
        <f>I176</f>
        <v>5.5842506589839562</v>
      </c>
      <c r="R134">
        <f>I188</f>
        <v>10.816159837953318</v>
      </c>
      <c r="S134">
        <f>I200</f>
        <v>27.06059510008177</v>
      </c>
      <c r="T134">
        <f>I212</f>
        <v>38.605531851391348</v>
      </c>
      <c r="U134">
        <f>I224</f>
        <v>8.7108367482374529</v>
      </c>
      <c r="V134">
        <f>I236</f>
        <v>10.315215104987407</v>
      </c>
      <c r="W134">
        <f>I248</f>
        <v>22.576143365448804</v>
      </c>
    </row>
    <row r="135" spans="1:29" x14ac:dyDescent="0.45">
      <c r="A135" s="5" t="s">
        <v>146</v>
      </c>
      <c r="B135" t="s">
        <v>147</v>
      </c>
      <c r="C135">
        <v>0</v>
      </c>
      <c r="D135">
        <v>1.0999999999999999E-2</v>
      </c>
      <c r="E135">
        <v>1</v>
      </c>
      <c r="F135">
        <v>2</v>
      </c>
      <c r="G135">
        <f t="shared" si="2"/>
        <v>0</v>
      </c>
    </row>
    <row r="136" spans="1:29" x14ac:dyDescent="0.45">
      <c r="A136" s="5" t="s">
        <v>148</v>
      </c>
      <c r="B136" t="s">
        <v>149</v>
      </c>
      <c r="C136">
        <v>0.2</v>
      </c>
      <c r="D136">
        <v>6.4000000000000003E-3</v>
      </c>
      <c r="E136">
        <v>1</v>
      </c>
      <c r="F136">
        <v>2</v>
      </c>
      <c r="G136">
        <f t="shared" si="2"/>
        <v>62.5</v>
      </c>
    </row>
    <row r="137" spans="1:29" x14ac:dyDescent="0.45">
      <c r="A137" s="5" t="s">
        <v>150</v>
      </c>
      <c r="B137" t="s">
        <v>151</v>
      </c>
      <c r="C137">
        <v>1.2</v>
      </c>
      <c r="D137">
        <v>1.46E-2</v>
      </c>
      <c r="E137">
        <v>1</v>
      </c>
      <c r="F137">
        <v>2</v>
      </c>
      <c r="G137">
        <f t="shared" si="2"/>
        <v>164.38356164383561</v>
      </c>
    </row>
    <row r="138" spans="1:29" x14ac:dyDescent="0.45">
      <c r="A138" s="5" t="s">
        <v>152</v>
      </c>
      <c r="B138" t="s">
        <v>153</v>
      </c>
      <c r="C138">
        <v>1.8</v>
      </c>
      <c r="D138">
        <v>1.29E-2</v>
      </c>
      <c r="E138">
        <v>1</v>
      </c>
      <c r="F138">
        <v>2</v>
      </c>
      <c r="G138">
        <f t="shared" si="2"/>
        <v>279.06976744186045</v>
      </c>
    </row>
    <row r="139" spans="1:29" x14ac:dyDescent="0.45">
      <c r="A139" s="5" t="s">
        <v>154</v>
      </c>
      <c r="B139" t="s">
        <v>155</v>
      </c>
      <c r="D139">
        <v>9.1999999999999998E-3</v>
      </c>
      <c r="E139">
        <v>1</v>
      </c>
      <c r="F139">
        <v>2</v>
      </c>
      <c r="G139">
        <f t="shared" si="2"/>
        <v>0</v>
      </c>
      <c r="V139" t="s">
        <v>740</v>
      </c>
      <c r="W139" t="s">
        <v>726</v>
      </c>
      <c r="X139" t="s">
        <v>727</v>
      </c>
      <c r="Y139" t="s">
        <v>741</v>
      </c>
      <c r="Z139" t="s">
        <v>742</v>
      </c>
      <c r="AA139" t="s">
        <v>723</v>
      </c>
      <c r="AB139" t="s">
        <v>728</v>
      </c>
      <c r="AC139" t="s">
        <v>743</v>
      </c>
    </row>
    <row r="140" spans="1:29" ht="14.65" thickBot="1" x14ac:dyDescent="0.5">
      <c r="A140" s="6" t="s">
        <v>156</v>
      </c>
      <c r="B140" s="3" t="s">
        <v>157</v>
      </c>
      <c r="D140" s="9">
        <v>1.09E-2</v>
      </c>
      <c r="E140" s="9">
        <v>1</v>
      </c>
      <c r="F140" s="9">
        <v>2</v>
      </c>
      <c r="G140" s="9">
        <f t="shared" si="2"/>
        <v>0</v>
      </c>
      <c r="H140" s="9">
        <f>AVERAGE(G135:G140)</f>
        <v>84.325554847616004</v>
      </c>
      <c r="I140" s="9">
        <f>STDEV(G135:G140)/SQRT(6)</f>
        <v>46.955065483437465</v>
      </c>
      <c r="V140" t="s">
        <v>729</v>
      </c>
      <c r="W140">
        <v>6</v>
      </c>
      <c r="X140">
        <v>6</v>
      </c>
      <c r="Y140">
        <v>12.4689191165716</v>
      </c>
      <c r="Z140">
        <v>31.25</v>
      </c>
      <c r="AA140">
        <v>1</v>
      </c>
      <c r="AB140" t="s">
        <v>744</v>
      </c>
      <c r="AC140" t="s">
        <v>724</v>
      </c>
    </row>
    <row r="141" spans="1:29" x14ac:dyDescent="0.45">
      <c r="A141" s="5" t="s">
        <v>158</v>
      </c>
      <c r="B141" t="s">
        <v>159</v>
      </c>
      <c r="C141">
        <v>0.4</v>
      </c>
      <c r="D141">
        <v>1.34E-2</v>
      </c>
      <c r="E141">
        <v>1</v>
      </c>
      <c r="F141">
        <v>2</v>
      </c>
      <c r="G141">
        <f t="shared" si="2"/>
        <v>59.701492537313442</v>
      </c>
      <c r="V141" t="s">
        <v>730</v>
      </c>
      <c r="W141">
        <v>6</v>
      </c>
      <c r="X141">
        <v>6</v>
      </c>
      <c r="Y141">
        <v>16.528925619834698</v>
      </c>
      <c r="Z141">
        <v>25.6410256410256</v>
      </c>
      <c r="AA141">
        <v>0.608101893426364</v>
      </c>
      <c r="AB141" t="s">
        <v>744</v>
      </c>
      <c r="AC141" t="s">
        <v>724</v>
      </c>
    </row>
    <row r="142" spans="1:29" x14ac:dyDescent="0.45">
      <c r="A142" s="5" t="s">
        <v>160</v>
      </c>
      <c r="B142" t="s">
        <v>161</v>
      </c>
      <c r="D142">
        <v>1.2999999999999999E-2</v>
      </c>
      <c r="E142">
        <v>1</v>
      </c>
      <c r="F142">
        <v>2</v>
      </c>
      <c r="G142">
        <f t="shared" si="2"/>
        <v>0</v>
      </c>
      <c r="V142" t="s">
        <v>731</v>
      </c>
      <c r="W142">
        <v>6</v>
      </c>
      <c r="X142">
        <v>6</v>
      </c>
      <c r="Y142">
        <v>44.007707129094399</v>
      </c>
      <c r="Z142">
        <v>28.237633606761101</v>
      </c>
      <c r="AA142">
        <v>0.29455162899437398</v>
      </c>
      <c r="AB142" t="s">
        <v>744</v>
      </c>
      <c r="AC142" t="s">
        <v>724</v>
      </c>
    </row>
    <row r="143" spans="1:29" x14ac:dyDescent="0.45">
      <c r="A143" s="5" t="s">
        <v>162</v>
      </c>
      <c r="B143" t="s">
        <v>163</v>
      </c>
      <c r="C143">
        <v>0.2</v>
      </c>
      <c r="D143">
        <v>1.21E-2</v>
      </c>
      <c r="E143">
        <v>1</v>
      </c>
      <c r="F143">
        <v>2</v>
      </c>
      <c r="G143">
        <f t="shared" si="2"/>
        <v>33.057851239669425</v>
      </c>
      <c r="V143" t="s">
        <v>732</v>
      </c>
      <c r="W143">
        <v>6</v>
      </c>
      <c r="X143">
        <v>6</v>
      </c>
      <c r="Y143">
        <v>34.147640284896497</v>
      </c>
      <c r="Z143">
        <v>34.888357256778299</v>
      </c>
      <c r="AA143">
        <v>0.93607467706661995</v>
      </c>
      <c r="AB143" t="s">
        <v>744</v>
      </c>
      <c r="AC143" t="s">
        <v>724</v>
      </c>
    </row>
    <row r="144" spans="1:29" x14ac:dyDescent="0.45">
      <c r="A144" s="5" t="s">
        <v>164</v>
      </c>
      <c r="B144" t="s">
        <v>165</v>
      </c>
      <c r="D144">
        <v>1.0800000000000001E-2</v>
      </c>
      <c r="E144">
        <v>1</v>
      </c>
      <c r="F144">
        <v>2</v>
      </c>
      <c r="G144">
        <f t="shared" si="2"/>
        <v>0</v>
      </c>
      <c r="V144" t="s">
        <v>733</v>
      </c>
      <c r="W144">
        <v>6</v>
      </c>
      <c r="X144">
        <v>6</v>
      </c>
      <c r="Y144">
        <v>18.0722891566265</v>
      </c>
      <c r="Z144">
        <v>16.8539325842697</v>
      </c>
      <c r="AA144">
        <v>0.73245888380749302</v>
      </c>
      <c r="AB144" t="s">
        <v>744</v>
      </c>
      <c r="AC144" t="s">
        <v>724</v>
      </c>
    </row>
    <row r="145" spans="1:29" x14ac:dyDescent="0.45">
      <c r="A145" s="5" t="s">
        <v>166</v>
      </c>
      <c r="B145" t="s">
        <v>167</v>
      </c>
      <c r="C145">
        <v>0.3</v>
      </c>
      <c r="D145">
        <v>1.5800000000000002E-2</v>
      </c>
      <c r="E145">
        <v>1</v>
      </c>
      <c r="F145">
        <v>2</v>
      </c>
      <c r="G145">
        <f t="shared" si="2"/>
        <v>37.974683544303794</v>
      </c>
      <c r="V145" t="s">
        <v>734</v>
      </c>
      <c r="W145">
        <v>6</v>
      </c>
      <c r="X145">
        <v>6</v>
      </c>
      <c r="Y145">
        <v>82.439771619551607</v>
      </c>
      <c r="Z145">
        <v>90.087128061811597</v>
      </c>
      <c r="AA145">
        <v>0.57517353192019705</v>
      </c>
      <c r="AB145" t="s">
        <v>744</v>
      </c>
      <c r="AC145" t="s">
        <v>724</v>
      </c>
    </row>
    <row r="146" spans="1:29" x14ac:dyDescent="0.45">
      <c r="A146" s="5" t="s">
        <v>168</v>
      </c>
      <c r="B146" t="s">
        <v>169</v>
      </c>
      <c r="D146">
        <v>1.2500000000000001E-2</v>
      </c>
      <c r="E146">
        <v>1</v>
      </c>
      <c r="F146">
        <v>2</v>
      </c>
      <c r="G146">
        <f t="shared" si="2"/>
        <v>0</v>
      </c>
      <c r="H146">
        <f>AVERAGE(G141:G146)</f>
        <v>21.789004553547773</v>
      </c>
      <c r="I146">
        <f>STDEV(G141:G146)/SQRT(6)</f>
        <v>10.409293945716444</v>
      </c>
      <c r="V146" t="s">
        <v>735</v>
      </c>
      <c r="W146">
        <v>6</v>
      </c>
      <c r="X146">
        <v>6</v>
      </c>
      <c r="Y146">
        <v>226.86849574266799</v>
      </c>
      <c r="Z146">
        <v>146.62447257383999</v>
      </c>
      <c r="AA146">
        <v>0.29795306160816798</v>
      </c>
      <c r="AB146" t="s">
        <v>744</v>
      </c>
      <c r="AC146" t="s">
        <v>724</v>
      </c>
    </row>
    <row r="147" spans="1:29" x14ac:dyDescent="0.45">
      <c r="A147" s="5" t="s">
        <v>170</v>
      </c>
      <c r="B147" t="s">
        <v>171</v>
      </c>
      <c r="D147">
        <v>1.2200000000000001E-2</v>
      </c>
      <c r="E147">
        <v>1</v>
      </c>
      <c r="F147">
        <v>2</v>
      </c>
      <c r="G147">
        <f t="shared" si="2"/>
        <v>0</v>
      </c>
      <c r="V147" t="s">
        <v>736</v>
      </c>
      <c r="W147">
        <v>6</v>
      </c>
      <c r="X147">
        <v>6</v>
      </c>
      <c r="Y147">
        <v>157.20823798627001</v>
      </c>
      <c r="Z147">
        <v>48.831168831168803</v>
      </c>
      <c r="AA147">
        <v>5.0748680979402503E-3</v>
      </c>
      <c r="AB147" t="s">
        <v>744</v>
      </c>
      <c r="AC147" t="s">
        <v>739</v>
      </c>
    </row>
    <row r="148" spans="1:29" x14ac:dyDescent="0.45">
      <c r="A148" s="5" t="s">
        <v>172</v>
      </c>
      <c r="B148" t="s">
        <v>173</v>
      </c>
      <c r="D148">
        <v>1.26E-2</v>
      </c>
      <c r="E148">
        <v>1</v>
      </c>
      <c r="F148">
        <v>2</v>
      </c>
      <c r="G148">
        <f t="shared" si="2"/>
        <v>0</v>
      </c>
      <c r="V148" t="s">
        <v>737</v>
      </c>
      <c r="W148">
        <v>6</v>
      </c>
      <c r="X148">
        <v>6</v>
      </c>
      <c r="Y148">
        <v>0</v>
      </c>
      <c r="Z148">
        <v>37.526881720430097</v>
      </c>
      <c r="AA148">
        <v>0.44178816174977897</v>
      </c>
      <c r="AB148" t="s">
        <v>744</v>
      </c>
      <c r="AC148" t="s">
        <v>724</v>
      </c>
    </row>
    <row r="149" spans="1:29" x14ac:dyDescent="0.45">
      <c r="A149" s="5" t="s">
        <v>174</v>
      </c>
      <c r="B149" t="s">
        <v>175</v>
      </c>
      <c r="C149">
        <v>0.3</v>
      </c>
      <c r="D149">
        <v>1.17E-2</v>
      </c>
      <c r="E149">
        <v>1</v>
      </c>
      <c r="F149">
        <v>2</v>
      </c>
      <c r="G149">
        <f t="shared" si="2"/>
        <v>51.282051282051277</v>
      </c>
      <c r="V149" t="s">
        <v>738</v>
      </c>
      <c r="W149">
        <v>6</v>
      </c>
      <c r="X149">
        <v>6</v>
      </c>
      <c r="Y149">
        <v>35.4402630617464</v>
      </c>
      <c r="Z149">
        <v>64.603240548400507</v>
      </c>
      <c r="AA149">
        <v>0.42252740716823101</v>
      </c>
      <c r="AB149" t="s">
        <v>744</v>
      </c>
      <c r="AC149" t="s">
        <v>724</v>
      </c>
    </row>
    <row r="150" spans="1:29" x14ac:dyDescent="0.45">
      <c r="A150" s="5" t="s">
        <v>176</v>
      </c>
      <c r="B150" t="s">
        <v>177</v>
      </c>
      <c r="C150">
        <v>0.5</v>
      </c>
      <c r="D150">
        <v>1.43E-2</v>
      </c>
      <c r="E150">
        <v>1</v>
      </c>
      <c r="F150">
        <v>2</v>
      </c>
      <c r="G150">
        <f t="shared" si="2"/>
        <v>69.930069930069934</v>
      </c>
    </row>
    <row r="151" spans="1:29" x14ac:dyDescent="0.45">
      <c r="A151" s="5" t="s">
        <v>178</v>
      </c>
      <c r="B151" t="s">
        <v>179</v>
      </c>
      <c r="C151">
        <v>0.5</v>
      </c>
      <c r="D151">
        <v>1.1900000000000001E-2</v>
      </c>
      <c r="E151">
        <v>1</v>
      </c>
      <c r="F151">
        <v>2</v>
      </c>
      <c r="G151">
        <f t="shared" si="2"/>
        <v>84.033613445378151</v>
      </c>
    </row>
    <row r="152" spans="1:29" ht="14.65" thickBot="1" x14ac:dyDescent="0.5">
      <c r="A152" s="6" t="s">
        <v>180</v>
      </c>
      <c r="B152" s="3" t="s">
        <v>181</v>
      </c>
      <c r="D152" s="9">
        <v>1.2800000000000001E-2</v>
      </c>
      <c r="E152" s="9">
        <v>1</v>
      </c>
      <c r="F152" s="9">
        <v>2</v>
      </c>
      <c r="G152" s="9">
        <f t="shared" si="2"/>
        <v>0</v>
      </c>
      <c r="H152" s="9">
        <f>AVERAGE(G147:G152)</f>
        <v>34.207622442916566</v>
      </c>
      <c r="I152" s="9">
        <f>STDEV(G147:G152)/SQRT(6)</f>
        <v>15.875287980195166</v>
      </c>
    </row>
    <row r="153" spans="1:29" x14ac:dyDescent="0.45">
      <c r="A153" s="4" t="s">
        <v>182</v>
      </c>
      <c r="B153" t="s">
        <v>183</v>
      </c>
      <c r="C153">
        <v>0.9</v>
      </c>
      <c r="D153">
        <v>1.4999999999999999E-2</v>
      </c>
      <c r="E153">
        <v>1</v>
      </c>
      <c r="F153">
        <v>2</v>
      </c>
      <c r="G153">
        <f t="shared" si="2"/>
        <v>120.00000000000001</v>
      </c>
    </row>
    <row r="154" spans="1:29" x14ac:dyDescent="0.45">
      <c r="A154" s="5" t="s">
        <v>184</v>
      </c>
      <c r="B154" t="s">
        <v>185</v>
      </c>
      <c r="C154">
        <v>0.3</v>
      </c>
      <c r="D154">
        <v>1.7299999999999999E-2</v>
      </c>
      <c r="E154">
        <v>1</v>
      </c>
      <c r="F154">
        <v>2</v>
      </c>
      <c r="G154">
        <f t="shared" si="2"/>
        <v>34.682080924855491</v>
      </c>
    </row>
    <row r="155" spans="1:29" x14ac:dyDescent="0.45">
      <c r="A155" s="5" t="s">
        <v>186</v>
      </c>
      <c r="B155" t="s">
        <v>187</v>
      </c>
      <c r="C155">
        <v>0.8</v>
      </c>
      <c r="D155">
        <v>8.8000000000000005E-3</v>
      </c>
      <c r="E155">
        <v>1</v>
      </c>
      <c r="F155">
        <v>2</v>
      </c>
      <c r="G155">
        <f t="shared" si="2"/>
        <v>181.81818181818181</v>
      </c>
    </row>
    <row r="156" spans="1:29" x14ac:dyDescent="0.45">
      <c r="A156" s="5" t="s">
        <v>188</v>
      </c>
      <c r="B156" t="s">
        <v>189</v>
      </c>
      <c r="C156">
        <v>0.2</v>
      </c>
      <c r="D156">
        <v>7.4999999999999997E-3</v>
      </c>
      <c r="E156">
        <v>1</v>
      </c>
      <c r="F156">
        <v>2</v>
      </c>
      <c r="G156">
        <f t="shared" si="2"/>
        <v>53.333333333333343</v>
      </c>
    </row>
    <row r="157" spans="1:29" x14ac:dyDescent="0.45">
      <c r="A157" s="5" t="s">
        <v>190</v>
      </c>
      <c r="B157" t="s">
        <v>191</v>
      </c>
      <c r="D157">
        <v>1.34E-2</v>
      </c>
      <c r="E157">
        <v>1</v>
      </c>
      <c r="F157">
        <v>2</v>
      </c>
      <c r="G157">
        <f t="shared" si="2"/>
        <v>0</v>
      </c>
    </row>
    <row r="158" spans="1:29" x14ac:dyDescent="0.45">
      <c r="A158" s="5" t="s">
        <v>192</v>
      </c>
      <c r="B158" t="s">
        <v>193</v>
      </c>
      <c r="C158">
        <v>0.1</v>
      </c>
      <c r="D158">
        <v>1.52E-2</v>
      </c>
      <c r="E158">
        <v>1</v>
      </c>
      <c r="F158">
        <v>2</v>
      </c>
      <c r="G158">
        <f t="shared" si="2"/>
        <v>13.157894736842104</v>
      </c>
      <c r="H158">
        <f>AVERAGE(G153:G158)</f>
        <v>67.165248468868796</v>
      </c>
      <c r="I158">
        <f>STDEV(G153:G158)/SQRT(6)</f>
        <v>28.642188582572054</v>
      </c>
    </row>
    <row r="159" spans="1:29" x14ac:dyDescent="0.45">
      <c r="A159" s="5" t="s">
        <v>194</v>
      </c>
      <c r="B159" t="s">
        <v>195</v>
      </c>
      <c r="C159">
        <v>0.2</v>
      </c>
      <c r="D159">
        <v>1.2E-2</v>
      </c>
      <c r="E159">
        <v>1</v>
      </c>
      <c r="F159">
        <v>2</v>
      </c>
      <c r="G159">
        <f t="shared" si="2"/>
        <v>33.333333333333336</v>
      </c>
    </row>
    <row r="160" spans="1:29" x14ac:dyDescent="0.45">
      <c r="A160" s="5" t="s">
        <v>196</v>
      </c>
      <c r="B160" t="s">
        <v>197</v>
      </c>
      <c r="C160">
        <v>0.6</v>
      </c>
      <c r="D160">
        <v>1.21E-2</v>
      </c>
      <c r="E160">
        <v>1</v>
      </c>
      <c r="F160">
        <v>2</v>
      </c>
      <c r="G160">
        <f t="shared" si="2"/>
        <v>99.173553719008268</v>
      </c>
    </row>
    <row r="161" spans="1:9" x14ac:dyDescent="0.45">
      <c r="A161" s="5" t="s">
        <v>198</v>
      </c>
      <c r="B161" t="s">
        <v>199</v>
      </c>
      <c r="D161">
        <v>1.24E-2</v>
      </c>
      <c r="E161">
        <v>1</v>
      </c>
      <c r="F161">
        <v>2</v>
      </c>
      <c r="G161">
        <f t="shared" si="2"/>
        <v>0</v>
      </c>
    </row>
    <row r="162" spans="1:9" x14ac:dyDescent="0.45">
      <c r="A162" s="5" t="s">
        <v>200</v>
      </c>
      <c r="B162" t="s">
        <v>201</v>
      </c>
      <c r="D162">
        <v>1.44E-2</v>
      </c>
      <c r="E162">
        <v>1</v>
      </c>
      <c r="F162">
        <v>2</v>
      </c>
      <c r="G162">
        <f t="shared" si="2"/>
        <v>0</v>
      </c>
    </row>
    <row r="163" spans="1:9" x14ac:dyDescent="0.45">
      <c r="A163" s="5" t="s">
        <v>202</v>
      </c>
      <c r="B163" t="s">
        <v>203</v>
      </c>
      <c r="C163">
        <v>0.2</v>
      </c>
      <c r="D163">
        <v>1.35E-2</v>
      </c>
      <c r="E163">
        <v>1</v>
      </c>
      <c r="F163">
        <v>2</v>
      </c>
      <c r="G163">
        <f t="shared" si="2"/>
        <v>29.629629629629633</v>
      </c>
    </row>
    <row r="164" spans="1:9" ht="14.65" thickBot="1" x14ac:dyDescent="0.5">
      <c r="A164" s="6" t="s">
        <v>204</v>
      </c>
      <c r="B164" s="3" t="s">
        <v>205</v>
      </c>
      <c r="C164">
        <v>0.2</v>
      </c>
      <c r="D164" s="9">
        <v>1.49E-2</v>
      </c>
      <c r="E164" s="9">
        <v>1</v>
      </c>
      <c r="F164" s="9">
        <v>2</v>
      </c>
      <c r="G164" s="9">
        <f t="shared" si="2"/>
        <v>26.845637583892621</v>
      </c>
      <c r="H164" s="9">
        <f>AVERAGE(G159:G164)</f>
        <v>31.497025710977308</v>
      </c>
      <c r="I164" s="9">
        <f>STDEV(G159:G164)/SQRT(6)</f>
        <v>14.82422826076181</v>
      </c>
    </row>
    <row r="165" spans="1:9" x14ac:dyDescent="0.45">
      <c r="A165" s="4" t="s">
        <v>206</v>
      </c>
      <c r="B165" t="s">
        <v>207</v>
      </c>
      <c r="C165">
        <v>0.2</v>
      </c>
      <c r="D165">
        <v>1.66E-2</v>
      </c>
      <c r="E165">
        <v>1</v>
      </c>
      <c r="F165">
        <v>2</v>
      </c>
      <c r="G165">
        <f t="shared" si="2"/>
        <v>24.096385542168676</v>
      </c>
    </row>
    <row r="166" spans="1:9" x14ac:dyDescent="0.45">
      <c r="A166" s="5" t="s">
        <v>208</v>
      </c>
      <c r="B166" t="s">
        <v>209</v>
      </c>
      <c r="C166">
        <v>0.4</v>
      </c>
      <c r="D166">
        <v>1.8100000000000002E-2</v>
      </c>
      <c r="E166">
        <v>1</v>
      </c>
      <c r="F166">
        <v>2</v>
      </c>
      <c r="G166">
        <f t="shared" si="2"/>
        <v>44.198895027624303</v>
      </c>
    </row>
    <row r="167" spans="1:9" x14ac:dyDescent="0.45">
      <c r="A167" s="5" t="s">
        <v>210</v>
      </c>
      <c r="B167" t="s">
        <v>211</v>
      </c>
      <c r="C167">
        <v>0.4</v>
      </c>
      <c r="D167">
        <v>1.5699999999999999E-2</v>
      </c>
      <c r="E167">
        <v>1</v>
      </c>
      <c r="F167">
        <v>2</v>
      </c>
      <c r="G167">
        <f t="shared" si="2"/>
        <v>50.955414012738856</v>
      </c>
    </row>
    <row r="168" spans="1:9" x14ac:dyDescent="0.45">
      <c r="A168" s="5" t="s">
        <v>212</v>
      </c>
      <c r="B168" t="s">
        <v>213</v>
      </c>
      <c r="C168">
        <v>0.5</v>
      </c>
      <c r="D168">
        <v>1.8200000000000001E-2</v>
      </c>
      <c r="E168">
        <v>1</v>
      </c>
      <c r="F168">
        <v>2</v>
      </c>
      <c r="G168">
        <f t="shared" si="2"/>
        <v>54.945054945054942</v>
      </c>
    </row>
    <row r="169" spans="1:9" x14ac:dyDescent="0.45">
      <c r="A169" s="5" t="s">
        <v>214</v>
      </c>
      <c r="B169" t="s">
        <v>215</v>
      </c>
      <c r="D169">
        <v>1.43E-2</v>
      </c>
      <c r="E169">
        <v>1</v>
      </c>
      <c r="F169">
        <v>2</v>
      </c>
      <c r="G169">
        <f t="shared" si="2"/>
        <v>0</v>
      </c>
    </row>
    <row r="170" spans="1:9" x14ac:dyDescent="0.45">
      <c r="A170" s="5" t="s">
        <v>216</v>
      </c>
      <c r="B170" t="s">
        <v>217</v>
      </c>
      <c r="C170">
        <v>0</v>
      </c>
      <c r="D170">
        <v>1.61E-2</v>
      </c>
      <c r="E170">
        <v>1</v>
      </c>
      <c r="F170">
        <v>2</v>
      </c>
      <c r="G170">
        <f t="shared" si="2"/>
        <v>0</v>
      </c>
      <c r="H170">
        <f>AVERAGE(G165:G170)</f>
        <v>29.03262492126446</v>
      </c>
      <c r="I170">
        <f>STDEV(G165:G170)/SQRT(6)</f>
        <v>10.152555571663653</v>
      </c>
    </row>
    <row r="171" spans="1:9" x14ac:dyDescent="0.45">
      <c r="A171" s="5" t="s">
        <v>218</v>
      </c>
      <c r="B171" t="s">
        <v>219</v>
      </c>
      <c r="C171">
        <v>0.2</v>
      </c>
      <c r="D171">
        <v>1.32E-2</v>
      </c>
      <c r="E171">
        <v>1</v>
      </c>
      <c r="F171">
        <v>2</v>
      </c>
      <c r="G171">
        <f t="shared" si="2"/>
        <v>30.303030303030308</v>
      </c>
    </row>
    <row r="172" spans="1:9" x14ac:dyDescent="0.45">
      <c r="A172" s="5" t="s">
        <v>220</v>
      </c>
      <c r="B172" t="s">
        <v>221</v>
      </c>
      <c r="C172">
        <v>0.3</v>
      </c>
      <c r="D172">
        <v>1.15E-2</v>
      </c>
      <c r="E172">
        <v>1</v>
      </c>
      <c r="F172">
        <v>2</v>
      </c>
      <c r="G172">
        <f t="shared" si="2"/>
        <v>52.173913043478258</v>
      </c>
    </row>
    <row r="173" spans="1:9" x14ac:dyDescent="0.45">
      <c r="A173" s="5" t="s">
        <v>222</v>
      </c>
      <c r="B173" t="s">
        <v>223</v>
      </c>
      <c r="C173">
        <v>0.3</v>
      </c>
      <c r="D173">
        <v>1.37E-2</v>
      </c>
      <c r="E173">
        <v>1</v>
      </c>
      <c r="F173">
        <v>2</v>
      </c>
      <c r="G173">
        <f t="shared" si="2"/>
        <v>43.795620437956202</v>
      </c>
    </row>
    <row r="174" spans="1:9" x14ac:dyDescent="0.45">
      <c r="A174" s="5" t="s">
        <v>224</v>
      </c>
      <c r="B174" t="s">
        <v>225</v>
      </c>
      <c r="C174">
        <v>0.1</v>
      </c>
      <c r="D174">
        <v>1.5100000000000001E-2</v>
      </c>
      <c r="E174">
        <v>1</v>
      </c>
      <c r="F174">
        <v>2</v>
      </c>
      <c r="G174">
        <f t="shared" si="2"/>
        <v>13.245033112582782</v>
      </c>
    </row>
    <row r="175" spans="1:9" x14ac:dyDescent="0.45">
      <c r="A175" s="5" t="s">
        <v>226</v>
      </c>
      <c r="B175" t="s">
        <v>227</v>
      </c>
      <c r="C175">
        <v>0.3</v>
      </c>
      <c r="D175">
        <v>1.52E-2</v>
      </c>
      <c r="E175">
        <v>1</v>
      </c>
      <c r="F175">
        <v>2</v>
      </c>
      <c r="G175">
        <f t="shared" si="2"/>
        <v>39.473684210526308</v>
      </c>
    </row>
    <row r="176" spans="1:9" ht="14.65" thickBot="1" x14ac:dyDescent="0.5">
      <c r="A176" s="6" t="s">
        <v>228</v>
      </c>
      <c r="B176" s="3" t="s">
        <v>229</v>
      </c>
      <c r="C176">
        <v>0.2</v>
      </c>
      <c r="D176" s="9">
        <v>1.43E-2</v>
      </c>
      <c r="E176" s="9">
        <v>1</v>
      </c>
      <c r="F176" s="9">
        <v>2</v>
      </c>
      <c r="G176" s="9">
        <f t="shared" si="2"/>
        <v>27.972027972027973</v>
      </c>
      <c r="H176" s="9">
        <f>AVERAGE(G171:G176)</f>
        <v>34.493884846600302</v>
      </c>
      <c r="I176" s="9">
        <f>STDEV(G171:G176)/SQRT(6)</f>
        <v>5.5842506589839562</v>
      </c>
    </row>
    <row r="177" spans="1:9" x14ac:dyDescent="0.45">
      <c r="A177" s="4" t="s">
        <v>230</v>
      </c>
      <c r="B177" t="s">
        <v>231</v>
      </c>
      <c r="D177">
        <v>1.38E-2</v>
      </c>
      <c r="E177">
        <v>1</v>
      </c>
      <c r="F177">
        <v>2</v>
      </c>
      <c r="G177">
        <f t="shared" si="2"/>
        <v>0</v>
      </c>
    </row>
    <row r="178" spans="1:9" x14ac:dyDescent="0.45">
      <c r="A178" s="5" t="s">
        <v>232</v>
      </c>
      <c r="B178" t="s">
        <v>233</v>
      </c>
      <c r="C178">
        <v>0.6</v>
      </c>
      <c r="D178">
        <v>1.4500000000000001E-2</v>
      </c>
      <c r="E178">
        <v>1</v>
      </c>
      <c r="F178">
        <v>2</v>
      </c>
      <c r="G178">
        <f t="shared" si="2"/>
        <v>82.75862068965516</v>
      </c>
    </row>
    <row r="179" spans="1:9" x14ac:dyDescent="0.45">
      <c r="A179" s="5" t="s">
        <v>234</v>
      </c>
      <c r="B179" t="s">
        <v>235</v>
      </c>
      <c r="C179">
        <v>0.5</v>
      </c>
      <c r="D179">
        <v>1.6299999999999999E-2</v>
      </c>
      <c r="E179">
        <v>1</v>
      </c>
      <c r="F179">
        <v>2</v>
      </c>
      <c r="G179">
        <f t="shared" si="2"/>
        <v>61.349693251533751</v>
      </c>
    </row>
    <row r="180" spans="1:9" x14ac:dyDescent="0.45">
      <c r="A180" s="5" t="s">
        <v>236</v>
      </c>
      <c r="B180" t="s">
        <v>237</v>
      </c>
      <c r="D180">
        <v>1.2500000000000001E-2</v>
      </c>
      <c r="E180">
        <v>1</v>
      </c>
      <c r="F180">
        <v>2</v>
      </c>
      <c r="G180">
        <f t="shared" si="2"/>
        <v>0</v>
      </c>
    </row>
    <row r="181" spans="1:9" x14ac:dyDescent="0.45">
      <c r="A181" s="5" t="s">
        <v>238</v>
      </c>
      <c r="B181" t="s">
        <v>239</v>
      </c>
      <c r="D181">
        <v>1.21E-2</v>
      </c>
      <c r="E181">
        <v>1</v>
      </c>
      <c r="F181">
        <v>2</v>
      </c>
      <c r="G181">
        <f t="shared" si="2"/>
        <v>0</v>
      </c>
    </row>
    <row r="182" spans="1:9" x14ac:dyDescent="0.45">
      <c r="A182" s="5" t="s">
        <v>240</v>
      </c>
      <c r="B182" t="s">
        <v>241</v>
      </c>
      <c r="C182">
        <v>0.3</v>
      </c>
      <c r="D182">
        <v>1.66E-2</v>
      </c>
      <c r="E182">
        <v>1</v>
      </c>
      <c r="F182">
        <v>2</v>
      </c>
      <c r="G182">
        <f t="shared" si="2"/>
        <v>36.144578313253007</v>
      </c>
      <c r="H182">
        <f>AVERAGE(G177:G182)</f>
        <v>30.042148709073654</v>
      </c>
      <c r="I182">
        <f>STDEV(G177:G182)/SQRT(6)</f>
        <v>14.724153068576149</v>
      </c>
    </row>
    <row r="183" spans="1:9" x14ac:dyDescent="0.45">
      <c r="A183" s="5" t="s">
        <v>242</v>
      </c>
      <c r="B183" t="s">
        <v>243</v>
      </c>
      <c r="C183">
        <v>0</v>
      </c>
      <c r="D183">
        <v>1.34E-2</v>
      </c>
      <c r="E183">
        <v>1</v>
      </c>
      <c r="F183">
        <v>2</v>
      </c>
      <c r="G183">
        <f t="shared" si="2"/>
        <v>0</v>
      </c>
    </row>
    <row r="184" spans="1:9" x14ac:dyDescent="0.45">
      <c r="A184" s="5" t="s">
        <v>244</v>
      </c>
      <c r="B184" t="s">
        <v>245</v>
      </c>
      <c r="C184">
        <v>0</v>
      </c>
      <c r="D184">
        <v>1.55E-2</v>
      </c>
      <c r="E184">
        <v>1</v>
      </c>
      <c r="F184">
        <v>2</v>
      </c>
      <c r="G184">
        <f t="shared" si="2"/>
        <v>0</v>
      </c>
    </row>
    <row r="185" spans="1:9" x14ac:dyDescent="0.45">
      <c r="A185" s="5" t="s">
        <v>246</v>
      </c>
      <c r="B185" t="s">
        <v>247</v>
      </c>
      <c r="C185">
        <v>0.5</v>
      </c>
      <c r="D185">
        <v>1.5699999999999999E-2</v>
      </c>
      <c r="E185">
        <v>1</v>
      </c>
      <c r="F185">
        <v>2</v>
      </c>
      <c r="G185">
        <f t="shared" si="2"/>
        <v>63.69426751592357</v>
      </c>
    </row>
    <row r="186" spans="1:9" x14ac:dyDescent="0.45">
      <c r="A186" s="5" t="s">
        <v>248</v>
      </c>
      <c r="B186" t="s">
        <v>249</v>
      </c>
      <c r="C186">
        <v>0.3</v>
      </c>
      <c r="D186">
        <v>1.6899999999999998E-2</v>
      </c>
      <c r="E186">
        <v>1</v>
      </c>
      <c r="F186">
        <v>2</v>
      </c>
      <c r="G186">
        <f t="shared" si="2"/>
        <v>35.502958579881657</v>
      </c>
    </row>
    <row r="187" spans="1:9" x14ac:dyDescent="0.45">
      <c r="A187" s="5" t="s">
        <v>250</v>
      </c>
      <c r="B187" t="s">
        <v>251</v>
      </c>
      <c r="C187">
        <v>0</v>
      </c>
      <c r="D187">
        <v>1.4999999999999999E-2</v>
      </c>
      <c r="E187">
        <v>1</v>
      </c>
      <c r="F187">
        <v>2</v>
      </c>
      <c r="G187">
        <f t="shared" si="2"/>
        <v>0</v>
      </c>
    </row>
    <row r="188" spans="1:9" ht="14.65" thickBot="1" x14ac:dyDescent="0.5">
      <c r="A188" s="6" t="s">
        <v>252</v>
      </c>
      <c r="B188" s="3" t="s">
        <v>253</v>
      </c>
      <c r="C188">
        <v>0.3</v>
      </c>
      <c r="D188" s="9">
        <v>1.78E-2</v>
      </c>
      <c r="E188" s="9">
        <v>1</v>
      </c>
      <c r="F188" s="9">
        <v>2</v>
      </c>
      <c r="G188" s="9">
        <f t="shared" si="2"/>
        <v>33.707865168539328</v>
      </c>
      <c r="H188" s="9">
        <f>AVERAGE(G183:G188)</f>
        <v>22.150848544057425</v>
      </c>
      <c r="I188" s="9">
        <f>STDEV(G183:G188)/SQRT(6)</f>
        <v>10.816159837953318</v>
      </c>
    </row>
    <row r="189" spans="1:9" x14ac:dyDescent="0.45">
      <c r="A189" s="4" t="s">
        <v>254</v>
      </c>
      <c r="B189" t="s">
        <v>255</v>
      </c>
      <c r="C189">
        <v>0.7</v>
      </c>
      <c r="D189">
        <v>1.3899999999999999E-2</v>
      </c>
      <c r="E189">
        <v>1</v>
      </c>
      <c r="F189">
        <v>2</v>
      </c>
      <c r="G189">
        <f t="shared" si="2"/>
        <v>100.71942446043165</v>
      </c>
    </row>
    <row r="190" spans="1:9" x14ac:dyDescent="0.45">
      <c r="A190" s="5" t="s">
        <v>256</v>
      </c>
      <c r="B190" t="s">
        <v>257</v>
      </c>
      <c r="C190">
        <v>0.8</v>
      </c>
      <c r="D190">
        <v>1.72E-2</v>
      </c>
      <c r="E190">
        <v>1</v>
      </c>
      <c r="F190">
        <v>2</v>
      </c>
      <c r="G190">
        <f t="shared" si="2"/>
        <v>93.023255813953483</v>
      </c>
    </row>
    <row r="191" spans="1:9" x14ac:dyDescent="0.45">
      <c r="A191" s="5" t="s">
        <v>258</v>
      </c>
      <c r="B191" t="s">
        <v>259</v>
      </c>
      <c r="C191">
        <v>0.8</v>
      </c>
      <c r="D191">
        <v>1.66E-2</v>
      </c>
      <c r="E191">
        <v>1</v>
      </c>
      <c r="F191">
        <v>2</v>
      </c>
      <c r="G191">
        <f t="shared" si="2"/>
        <v>96.385542168674704</v>
      </c>
    </row>
    <row r="192" spans="1:9" x14ac:dyDescent="0.45">
      <c r="A192" s="5" t="s">
        <v>260</v>
      </c>
      <c r="B192" t="s">
        <v>261</v>
      </c>
      <c r="C192">
        <v>0.4</v>
      </c>
      <c r="D192">
        <v>1.54E-2</v>
      </c>
      <c r="E192">
        <v>1</v>
      </c>
      <c r="F192">
        <v>2</v>
      </c>
      <c r="G192">
        <f t="shared" si="2"/>
        <v>51.948051948051948</v>
      </c>
    </row>
    <row r="193" spans="1:9" x14ac:dyDescent="0.45">
      <c r="A193" s="5" t="s">
        <v>262</v>
      </c>
      <c r="B193" t="s">
        <v>263</v>
      </c>
      <c r="C193">
        <v>0.2</v>
      </c>
      <c r="D193">
        <v>1.7100000000000001E-2</v>
      </c>
      <c r="E193">
        <v>1</v>
      </c>
      <c r="F193">
        <v>2</v>
      </c>
      <c r="G193">
        <f t="shared" si="2"/>
        <v>23.391812865497077</v>
      </c>
    </row>
    <row r="194" spans="1:9" x14ac:dyDescent="0.45">
      <c r="A194" s="5" t="s">
        <v>264</v>
      </c>
      <c r="B194" t="s">
        <v>265</v>
      </c>
      <c r="C194">
        <v>0.6</v>
      </c>
      <c r="D194">
        <v>1.67E-2</v>
      </c>
      <c r="E194">
        <v>1</v>
      </c>
      <c r="F194">
        <v>2</v>
      </c>
      <c r="G194">
        <f t="shared" ref="G194:G248" si="3">(C194*(E194/D194)*F194)</f>
        <v>71.856287425149702</v>
      </c>
      <c r="H194">
        <f>AVERAGE(G189:G194)</f>
        <v>72.88739578029309</v>
      </c>
      <c r="I194">
        <f>STDEV(G189:G194)/SQRT(6)</f>
        <v>12.411781494581872</v>
      </c>
    </row>
    <row r="195" spans="1:9" x14ac:dyDescent="0.45">
      <c r="A195" s="5" t="s">
        <v>266</v>
      </c>
      <c r="B195" t="s">
        <v>267</v>
      </c>
      <c r="C195">
        <v>0.9</v>
      </c>
      <c r="D195">
        <v>1.54E-2</v>
      </c>
      <c r="E195">
        <v>1</v>
      </c>
      <c r="F195">
        <v>2</v>
      </c>
      <c r="G195">
        <f t="shared" si="3"/>
        <v>116.88311688311687</v>
      </c>
    </row>
    <row r="196" spans="1:9" x14ac:dyDescent="0.45">
      <c r="A196" s="5" t="s">
        <v>268</v>
      </c>
      <c r="B196" t="s">
        <v>269</v>
      </c>
      <c r="C196">
        <v>0.5</v>
      </c>
      <c r="D196">
        <v>1.5800000000000002E-2</v>
      </c>
      <c r="E196">
        <v>1</v>
      </c>
      <c r="F196">
        <v>2</v>
      </c>
      <c r="G196">
        <f t="shared" si="3"/>
        <v>63.291139240506325</v>
      </c>
    </row>
    <row r="197" spans="1:9" x14ac:dyDescent="0.45">
      <c r="A197" s="5" t="s">
        <v>270</v>
      </c>
      <c r="B197" t="s">
        <v>271</v>
      </c>
      <c r="C197">
        <v>0.4</v>
      </c>
      <c r="D197">
        <v>1.5900000000000001E-2</v>
      </c>
      <c r="E197">
        <v>1</v>
      </c>
      <c r="F197">
        <v>2</v>
      </c>
      <c r="G197">
        <f t="shared" si="3"/>
        <v>50.314465408805034</v>
      </c>
    </row>
    <row r="198" spans="1:9" x14ac:dyDescent="0.45">
      <c r="A198" s="5" t="s">
        <v>272</v>
      </c>
      <c r="B198" t="s">
        <v>273</v>
      </c>
      <c r="C198">
        <v>0.3</v>
      </c>
      <c r="D198">
        <v>1.4800000000000001E-2</v>
      </c>
      <c r="E198">
        <v>1</v>
      </c>
      <c r="F198">
        <v>2</v>
      </c>
      <c r="G198">
        <f t="shared" si="3"/>
        <v>40.54054054054054</v>
      </c>
    </row>
    <row r="199" spans="1:9" x14ac:dyDescent="0.45">
      <c r="A199" s="5" t="s">
        <v>274</v>
      </c>
      <c r="B199" t="s">
        <v>275</v>
      </c>
      <c r="C199">
        <v>1.3</v>
      </c>
      <c r="D199">
        <v>1.46E-2</v>
      </c>
      <c r="E199">
        <v>1</v>
      </c>
      <c r="F199">
        <v>2</v>
      </c>
      <c r="G199">
        <f t="shared" si="3"/>
        <v>178.08219178082192</v>
      </c>
    </row>
    <row r="200" spans="1:9" ht="14.65" thickBot="1" x14ac:dyDescent="0.5">
      <c r="A200" s="6" t="s">
        <v>276</v>
      </c>
      <c r="B200" s="3" t="s">
        <v>277</v>
      </c>
      <c r="C200">
        <v>1.5</v>
      </c>
      <c r="D200" s="9">
        <v>1.5599999999999999E-2</v>
      </c>
      <c r="E200" s="9">
        <v>1</v>
      </c>
      <c r="F200" s="9">
        <v>2</v>
      </c>
      <c r="G200" s="9">
        <f t="shared" si="3"/>
        <v>192.30769230769232</v>
      </c>
      <c r="H200" s="9">
        <f>AVERAGE(G195:G200)</f>
        <v>106.90319102691383</v>
      </c>
      <c r="I200" s="9">
        <f>STDEV(G195:G200)/SQRT(6)</f>
        <v>27.06059510008177</v>
      </c>
    </row>
    <row r="201" spans="1:9" x14ac:dyDescent="0.45">
      <c r="A201" s="4" t="s">
        <v>278</v>
      </c>
      <c r="B201" t="s">
        <v>279</v>
      </c>
      <c r="C201">
        <v>2.5</v>
      </c>
      <c r="D201">
        <v>1.43E-2</v>
      </c>
      <c r="E201">
        <v>1</v>
      </c>
      <c r="F201">
        <v>2</v>
      </c>
      <c r="G201">
        <f t="shared" si="3"/>
        <v>349.65034965034965</v>
      </c>
    </row>
    <row r="202" spans="1:9" x14ac:dyDescent="0.45">
      <c r="A202" s="5" t="s">
        <v>280</v>
      </c>
      <c r="B202" t="s">
        <v>281</v>
      </c>
      <c r="C202">
        <v>1.6</v>
      </c>
      <c r="D202">
        <v>1.4E-2</v>
      </c>
      <c r="E202">
        <v>1</v>
      </c>
      <c r="F202">
        <v>2</v>
      </c>
      <c r="G202">
        <f t="shared" si="3"/>
        <v>228.57142857142858</v>
      </c>
    </row>
    <row r="203" spans="1:9" x14ac:dyDescent="0.45">
      <c r="A203" s="5" t="s">
        <v>282</v>
      </c>
      <c r="B203" t="s">
        <v>283</v>
      </c>
      <c r="C203">
        <v>2.1</v>
      </c>
      <c r="D203">
        <v>1.4200000000000001E-2</v>
      </c>
      <c r="E203">
        <v>1</v>
      </c>
      <c r="F203">
        <v>2</v>
      </c>
      <c r="G203">
        <f t="shared" si="3"/>
        <v>295.77464788732391</v>
      </c>
    </row>
    <row r="204" spans="1:9" x14ac:dyDescent="0.45">
      <c r="A204" s="5" t="s">
        <v>284</v>
      </c>
      <c r="B204" t="s">
        <v>285</v>
      </c>
      <c r="C204">
        <v>1</v>
      </c>
      <c r="D204">
        <v>1.5599999999999999E-2</v>
      </c>
      <c r="E204">
        <v>1</v>
      </c>
      <c r="F204">
        <v>2</v>
      </c>
      <c r="G204">
        <f t="shared" si="3"/>
        <v>128.2051282051282</v>
      </c>
    </row>
    <row r="205" spans="1:9" x14ac:dyDescent="0.45">
      <c r="A205" s="5" t="s">
        <v>286</v>
      </c>
      <c r="B205" t="s">
        <v>287</v>
      </c>
      <c r="C205">
        <v>1.7</v>
      </c>
      <c r="D205">
        <v>1.5100000000000001E-2</v>
      </c>
      <c r="E205">
        <v>1</v>
      </c>
      <c r="F205">
        <v>2</v>
      </c>
      <c r="G205">
        <f t="shared" si="3"/>
        <v>225.16556291390725</v>
      </c>
    </row>
    <row r="206" spans="1:9" x14ac:dyDescent="0.45">
      <c r="A206" s="5" t="s">
        <v>288</v>
      </c>
      <c r="B206" t="s">
        <v>289</v>
      </c>
      <c r="C206">
        <v>0.7</v>
      </c>
      <c r="D206">
        <v>1.6299999999999999E-2</v>
      </c>
      <c r="E206">
        <v>1</v>
      </c>
      <c r="F206">
        <v>2</v>
      </c>
      <c r="G206">
        <f t="shared" si="3"/>
        <v>85.889570552147248</v>
      </c>
      <c r="H206">
        <f>AVERAGE(G201:G206)</f>
        <v>218.87611463004745</v>
      </c>
      <c r="I206">
        <f>STDEV(G201:G206)/SQRT(6)</f>
        <v>40.437396025401299</v>
      </c>
    </row>
    <row r="207" spans="1:9" x14ac:dyDescent="0.45">
      <c r="A207" s="5" t="s">
        <v>290</v>
      </c>
      <c r="B207" t="s">
        <v>291</v>
      </c>
      <c r="C207">
        <v>0.8</v>
      </c>
      <c r="D207">
        <v>1.67E-2</v>
      </c>
      <c r="E207">
        <v>1</v>
      </c>
      <c r="F207">
        <v>2</v>
      </c>
      <c r="G207">
        <f t="shared" si="3"/>
        <v>95.808383233532936</v>
      </c>
    </row>
    <row r="208" spans="1:9" x14ac:dyDescent="0.45">
      <c r="A208" s="5" t="s">
        <v>292</v>
      </c>
      <c r="B208" t="s">
        <v>293</v>
      </c>
      <c r="C208">
        <v>2.4</v>
      </c>
      <c r="D208">
        <v>1.52E-2</v>
      </c>
      <c r="E208">
        <v>1</v>
      </c>
      <c r="F208">
        <v>2</v>
      </c>
      <c r="G208">
        <f t="shared" si="3"/>
        <v>315.78947368421046</v>
      </c>
    </row>
    <row r="209" spans="1:9" x14ac:dyDescent="0.45">
      <c r="A209" s="5" t="s">
        <v>294</v>
      </c>
      <c r="B209" t="s">
        <v>295</v>
      </c>
      <c r="C209">
        <v>1.6</v>
      </c>
      <c r="D209">
        <v>1.9199999999999998E-2</v>
      </c>
      <c r="E209">
        <v>1</v>
      </c>
      <c r="F209">
        <v>2</v>
      </c>
      <c r="G209">
        <f t="shared" si="3"/>
        <v>166.66666666666669</v>
      </c>
    </row>
    <row r="210" spans="1:9" x14ac:dyDescent="0.45">
      <c r="A210" s="5" t="s">
        <v>296</v>
      </c>
      <c r="B210" t="s">
        <v>297</v>
      </c>
      <c r="C210">
        <v>0.3</v>
      </c>
      <c r="D210">
        <v>1.6400000000000001E-2</v>
      </c>
      <c r="E210">
        <v>1</v>
      </c>
      <c r="F210">
        <v>2</v>
      </c>
      <c r="G210">
        <f t="shared" si="3"/>
        <v>36.58536585365853</v>
      </c>
    </row>
    <row r="211" spans="1:9" x14ac:dyDescent="0.45">
      <c r="A211" s="5" t="s">
        <v>298</v>
      </c>
      <c r="B211" t="s">
        <v>299</v>
      </c>
      <c r="C211">
        <v>1.5</v>
      </c>
      <c r="D211">
        <v>1.7100000000000001E-2</v>
      </c>
      <c r="E211">
        <v>1</v>
      </c>
      <c r="F211">
        <v>2</v>
      </c>
      <c r="G211">
        <f t="shared" si="3"/>
        <v>175.43859649122805</v>
      </c>
    </row>
    <row r="212" spans="1:9" ht="14.65" thickBot="1" x14ac:dyDescent="0.5">
      <c r="A212" s="6" t="s">
        <v>300</v>
      </c>
      <c r="B212" s="3" t="s">
        <v>301</v>
      </c>
      <c r="C212">
        <v>1</v>
      </c>
      <c r="D212" s="9">
        <v>1.5800000000000002E-2</v>
      </c>
      <c r="E212" s="9">
        <v>1</v>
      </c>
      <c r="F212" s="9">
        <v>2</v>
      </c>
      <c r="G212" s="9">
        <f t="shared" si="3"/>
        <v>126.58227848101265</v>
      </c>
      <c r="H212" s="9">
        <f>AVERAGE(G207:G212)</f>
        <v>152.8117940683849</v>
      </c>
      <c r="I212" s="9">
        <f>STDEV(G207:G212)/SQRT(6)</f>
        <v>38.605531851391348</v>
      </c>
    </row>
    <row r="213" spans="1:9" x14ac:dyDescent="0.45">
      <c r="A213" s="4" t="s">
        <v>302</v>
      </c>
      <c r="B213" t="s">
        <v>303</v>
      </c>
      <c r="C213">
        <v>1.2</v>
      </c>
      <c r="D213">
        <v>1.55E-2</v>
      </c>
      <c r="E213">
        <v>1</v>
      </c>
      <c r="F213">
        <v>2</v>
      </c>
      <c r="G213">
        <f t="shared" si="3"/>
        <v>154.83870967741936</v>
      </c>
    </row>
    <row r="214" spans="1:9" x14ac:dyDescent="0.45">
      <c r="A214" s="5" t="s">
        <v>304</v>
      </c>
      <c r="B214" t="s">
        <v>305</v>
      </c>
      <c r="C214">
        <v>0.8</v>
      </c>
      <c r="D214">
        <v>1.61E-2</v>
      </c>
      <c r="E214">
        <v>1</v>
      </c>
      <c r="F214">
        <v>2</v>
      </c>
      <c r="G214">
        <f t="shared" si="3"/>
        <v>99.378881987577643</v>
      </c>
    </row>
    <row r="215" spans="1:9" x14ac:dyDescent="0.45">
      <c r="A215" s="5" t="s">
        <v>306</v>
      </c>
      <c r="B215" t="s">
        <v>307</v>
      </c>
      <c r="C215">
        <v>0.9</v>
      </c>
      <c r="D215">
        <v>1.15E-2</v>
      </c>
      <c r="E215">
        <v>1</v>
      </c>
      <c r="F215">
        <v>2</v>
      </c>
      <c r="G215">
        <f t="shared" si="3"/>
        <v>156.52173913043478</v>
      </c>
    </row>
    <row r="216" spans="1:9" x14ac:dyDescent="0.45">
      <c r="A216" s="5" t="s">
        <v>308</v>
      </c>
      <c r="B216" t="s">
        <v>309</v>
      </c>
      <c r="C216">
        <v>0.9</v>
      </c>
      <c r="D216">
        <v>1.14E-2</v>
      </c>
      <c r="E216">
        <v>1</v>
      </c>
      <c r="F216">
        <v>2</v>
      </c>
      <c r="G216">
        <f t="shared" si="3"/>
        <v>157.89473684210526</v>
      </c>
    </row>
    <row r="217" spans="1:9" x14ac:dyDescent="0.45">
      <c r="A217" s="5" t="s">
        <v>310</v>
      </c>
      <c r="B217" t="s">
        <v>311</v>
      </c>
      <c r="C217">
        <v>2.8</v>
      </c>
      <c r="D217">
        <v>1.4800000000000001E-2</v>
      </c>
      <c r="E217">
        <v>1</v>
      </c>
      <c r="F217">
        <v>2</v>
      </c>
      <c r="G217">
        <f t="shared" si="3"/>
        <v>378.37837837837833</v>
      </c>
    </row>
    <row r="218" spans="1:9" x14ac:dyDescent="0.45">
      <c r="A218" s="5" t="s">
        <v>312</v>
      </c>
      <c r="B218" t="s">
        <v>313</v>
      </c>
      <c r="C218">
        <v>2.2999999999999998</v>
      </c>
      <c r="D218">
        <v>1.4800000000000001E-2</v>
      </c>
      <c r="E218">
        <v>1</v>
      </c>
      <c r="F218">
        <v>2</v>
      </c>
      <c r="G218">
        <f t="shared" si="3"/>
        <v>310.81081081081078</v>
      </c>
      <c r="H218">
        <f>AVERAGE(G213:G218)</f>
        <v>209.63720947112105</v>
      </c>
      <c r="I218">
        <f>STDEV(G213:G218)/SQRT(6)</f>
        <v>44.485200053731454</v>
      </c>
    </row>
    <row r="219" spans="1:9" x14ac:dyDescent="0.45">
      <c r="A219" s="5" t="s">
        <v>314</v>
      </c>
      <c r="B219" t="s">
        <v>315</v>
      </c>
      <c r="C219">
        <v>0.5</v>
      </c>
      <c r="D219">
        <v>1.5599999999999999E-2</v>
      </c>
      <c r="E219">
        <v>1</v>
      </c>
      <c r="F219">
        <v>2</v>
      </c>
      <c r="G219">
        <f t="shared" si="3"/>
        <v>64.102564102564102</v>
      </c>
    </row>
    <row r="220" spans="1:9" x14ac:dyDescent="0.45">
      <c r="A220" s="5" t="s">
        <v>316</v>
      </c>
      <c r="B220" t="s">
        <v>317</v>
      </c>
      <c r="C220">
        <v>0.7</v>
      </c>
      <c r="D220">
        <v>1.6400000000000001E-2</v>
      </c>
      <c r="E220">
        <v>1</v>
      </c>
      <c r="F220">
        <v>2</v>
      </c>
      <c r="G220">
        <f t="shared" si="3"/>
        <v>85.365853658536565</v>
      </c>
    </row>
    <row r="221" spans="1:9" x14ac:dyDescent="0.45">
      <c r="A221" s="5" t="s">
        <v>318</v>
      </c>
      <c r="B221" t="s">
        <v>319</v>
      </c>
      <c r="C221">
        <v>0.3</v>
      </c>
      <c r="D221">
        <v>1.7600000000000001E-2</v>
      </c>
      <c r="E221">
        <v>1</v>
      </c>
      <c r="F221">
        <v>2</v>
      </c>
      <c r="G221">
        <f t="shared" si="3"/>
        <v>34.090909090909086</v>
      </c>
    </row>
    <row r="222" spans="1:9" x14ac:dyDescent="0.45">
      <c r="A222" s="5" t="s">
        <v>320</v>
      </c>
      <c r="B222" t="s">
        <v>321</v>
      </c>
      <c r="C222">
        <v>0.2</v>
      </c>
      <c r="D222">
        <v>1.52E-2</v>
      </c>
      <c r="E222">
        <v>1</v>
      </c>
      <c r="F222">
        <v>2</v>
      </c>
      <c r="G222">
        <f t="shared" si="3"/>
        <v>26.315789473684209</v>
      </c>
    </row>
    <row r="223" spans="1:9" x14ac:dyDescent="0.45">
      <c r="A223" s="5" t="s">
        <v>322</v>
      </c>
      <c r="B223" t="s">
        <v>323</v>
      </c>
      <c r="C223">
        <v>0.4</v>
      </c>
      <c r="D223">
        <v>1.54E-2</v>
      </c>
      <c r="E223">
        <v>1</v>
      </c>
      <c r="F223">
        <v>2</v>
      </c>
      <c r="G223">
        <f t="shared" si="3"/>
        <v>51.948051948051948</v>
      </c>
    </row>
    <row r="224" spans="1:9" ht="14.65" thickBot="1" x14ac:dyDescent="0.5">
      <c r="A224" s="6" t="s">
        <v>324</v>
      </c>
      <c r="B224" s="3" t="s">
        <v>325</v>
      </c>
      <c r="C224">
        <v>0.4</v>
      </c>
      <c r="D224" s="9">
        <v>1.7500000000000002E-2</v>
      </c>
      <c r="E224" s="9">
        <v>1</v>
      </c>
      <c r="F224" s="9">
        <v>2</v>
      </c>
      <c r="G224" s="9">
        <f t="shared" si="3"/>
        <v>45.714285714285715</v>
      </c>
      <c r="H224" s="9">
        <f>AVERAGE(G219:G224)</f>
        <v>51.256242331338605</v>
      </c>
      <c r="I224" s="9">
        <f>STDEV(G219:G224)/SQRT(6)</f>
        <v>8.7108367482374529</v>
      </c>
    </row>
    <row r="225" spans="1:9" x14ac:dyDescent="0.45">
      <c r="A225" s="4" t="s">
        <v>326</v>
      </c>
      <c r="B225" t="s">
        <v>327</v>
      </c>
      <c r="C225">
        <v>0.2</v>
      </c>
      <c r="D225">
        <v>1.44E-2</v>
      </c>
      <c r="E225">
        <v>1</v>
      </c>
      <c r="F225">
        <v>2</v>
      </c>
      <c r="G225">
        <f t="shared" si="3"/>
        <v>27.777777777777779</v>
      </c>
    </row>
    <row r="226" spans="1:9" x14ac:dyDescent="0.45">
      <c r="A226" s="5" t="s">
        <v>328</v>
      </c>
      <c r="B226" t="s">
        <v>329</v>
      </c>
      <c r="C226">
        <v>0.5</v>
      </c>
      <c r="D226">
        <v>1.44E-2</v>
      </c>
      <c r="E226">
        <v>1</v>
      </c>
      <c r="F226">
        <v>2</v>
      </c>
      <c r="G226">
        <f t="shared" si="3"/>
        <v>69.444444444444443</v>
      </c>
    </row>
    <row r="227" spans="1:9" x14ac:dyDescent="0.45">
      <c r="A227" s="5" t="s">
        <v>330</v>
      </c>
      <c r="B227" t="s">
        <v>331</v>
      </c>
      <c r="D227">
        <v>1.6E-2</v>
      </c>
      <c r="E227">
        <v>1</v>
      </c>
      <c r="F227">
        <v>2</v>
      </c>
      <c r="G227">
        <f t="shared" si="3"/>
        <v>0</v>
      </c>
    </row>
    <row r="228" spans="1:9" x14ac:dyDescent="0.45">
      <c r="A228" s="5" t="s">
        <v>332</v>
      </c>
      <c r="B228" t="s">
        <v>333</v>
      </c>
      <c r="D228">
        <v>1.7500000000000002E-2</v>
      </c>
      <c r="E228">
        <v>1</v>
      </c>
      <c r="F228">
        <v>2</v>
      </c>
      <c r="G228">
        <f t="shared" si="3"/>
        <v>0</v>
      </c>
    </row>
    <row r="229" spans="1:9" x14ac:dyDescent="0.45">
      <c r="A229" s="5" t="s">
        <v>334</v>
      </c>
      <c r="B229" t="s">
        <v>335</v>
      </c>
      <c r="D229">
        <v>1.37E-2</v>
      </c>
      <c r="E229">
        <v>1</v>
      </c>
      <c r="F229">
        <v>2</v>
      </c>
      <c r="G229">
        <f t="shared" si="3"/>
        <v>0</v>
      </c>
    </row>
    <row r="230" spans="1:9" x14ac:dyDescent="0.45">
      <c r="A230" s="5" t="s">
        <v>336</v>
      </c>
      <c r="B230" t="s">
        <v>337</v>
      </c>
      <c r="D230">
        <v>1.3100000000000001E-2</v>
      </c>
      <c r="E230">
        <v>1</v>
      </c>
      <c r="F230">
        <v>2</v>
      </c>
      <c r="G230">
        <f t="shared" si="3"/>
        <v>0</v>
      </c>
      <c r="H230">
        <f>AVERAGE(G225:G230)</f>
        <v>16.203703703703706</v>
      </c>
      <c r="I230">
        <f>STDEV(G225:G230)/SQRT(6)</f>
        <v>11.574074074074074</v>
      </c>
    </row>
    <row r="231" spans="1:9" x14ac:dyDescent="0.45">
      <c r="A231" s="5" t="s">
        <v>338</v>
      </c>
      <c r="B231" t="s">
        <v>339</v>
      </c>
      <c r="D231">
        <v>1.2999999999999999E-2</v>
      </c>
      <c r="E231">
        <v>1</v>
      </c>
      <c r="F231">
        <v>2</v>
      </c>
      <c r="G231">
        <f t="shared" si="3"/>
        <v>0</v>
      </c>
    </row>
    <row r="232" spans="1:9" x14ac:dyDescent="0.45">
      <c r="A232" s="5" t="s">
        <v>340</v>
      </c>
      <c r="B232" t="s">
        <v>341</v>
      </c>
      <c r="C232">
        <v>0</v>
      </c>
      <c r="D232">
        <v>1.61E-2</v>
      </c>
      <c r="E232">
        <v>1</v>
      </c>
      <c r="F232">
        <v>2</v>
      </c>
      <c r="G232">
        <f t="shared" si="3"/>
        <v>0</v>
      </c>
    </row>
    <row r="233" spans="1:9" x14ac:dyDescent="0.45">
      <c r="A233" s="5" t="s">
        <v>342</v>
      </c>
      <c r="B233" t="s">
        <v>343</v>
      </c>
      <c r="C233">
        <v>0.4</v>
      </c>
      <c r="D233">
        <v>1.54E-2</v>
      </c>
      <c r="E233">
        <v>1</v>
      </c>
      <c r="F233">
        <v>2</v>
      </c>
      <c r="G233">
        <f t="shared" si="3"/>
        <v>51.948051948051948</v>
      </c>
    </row>
    <row r="234" spans="1:9" x14ac:dyDescent="0.45">
      <c r="A234" s="5" t="s">
        <v>344</v>
      </c>
      <c r="B234" t="s">
        <v>345</v>
      </c>
      <c r="C234">
        <v>0.3</v>
      </c>
      <c r="D234">
        <v>1.24E-2</v>
      </c>
      <c r="E234">
        <v>1</v>
      </c>
      <c r="F234">
        <v>2</v>
      </c>
      <c r="G234">
        <f t="shared" si="3"/>
        <v>48.387096774193544</v>
      </c>
    </row>
    <row r="235" spans="1:9" x14ac:dyDescent="0.45">
      <c r="A235" s="5" t="s">
        <v>346</v>
      </c>
      <c r="B235" t="s">
        <v>347</v>
      </c>
      <c r="C235">
        <v>0.2</v>
      </c>
      <c r="D235">
        <v>1.4999999999999999E-2</v>
      </c>
      <c r="E235">
        <v>1</v>
      </c>
      <c r="F235">
        <v>2</v>
      </c>
      <c r="G235">
        <f t="shared" si="3"/>
        <v>26.666666666666671</v>
      </c>
    </row>
    <row r="236" spans="1:9" ht="14.65" thickBot="1" x14ac:dyDescent="0.5">
      <c r="A236" s="6" t="s">
        <v>348</v>
      </c>
      <c r="B236" s="3" t="s">
        <v>349</v>
      </c>
      <c r="C236">
        <v>0.4</v>
      </c>
      <c r="D236" s="9">
        <v>1.49E-2</v>
      </c>
      <c r="E236" s="9">
        <v>1</v>
      </c>
      <c r="F236" s="9">
        <v>2</v>
      </c>
      <c r="G236" s="9">
        <f t="shared" si="3"/>
        <v>53.691275167785243</v>
      </c>
      <c r="H236" s="9">
        <f>AVERAGE(G231:G236)</f>
        <v>30.1155150927829</v>
      </c>
      <c r="I236" s="9">
        <f>STDEV(G231:G236)/SQRT(6)</f>
        <v>10.315215104987407</v>
      </c>
    </row>
    <row r="237" spans="1:9" x14ac:dyDescent="0.45">
      <c r="A237" s="4" t="s">
        <v>350</v>
      </c>
      <c r="B237" t="s">
        <v>351</v>
      </c>
      <c r="C237">
        <v>0.5</v>
      </c>
      <c r="D237">
        <v>1.2200000000000001E-2</v>
      </c>
      <c r="E237">
        <v>1</v>
      </c>
      <c r="F237">
        <v>2</v>
      </c>
      <c r="G237">
        <f t="shared" si="3"/>
        <v>81.967213114754088</v>
      </c>
    </row>
    <row r="238" spans="1:9" x14ac:dyDescent="0.45">
      <c r="A238" s="5" t="s">
        <v>352</v>
      </c>
      <c r="B238" t="s">
        <v>353</v>
      </c>
      <c r="C238">
        <v>0.2</v>
      </c>
      <c r="D238">
        <v>1.1900000000000001E-2</v>
      </c>
      <c r="E238">
        <v>1</v>
      </c>
      <c r="F238">
        <v>2</v>
      </c>
      <c r="G238">
        <f t="shared" si="3"/>
        <v>33.613445378151262</v>
      </c>
    </row>
    <row r="239" spans="1:9" x14ac:dyDescent="0.45">
      <c r="A239" s="5" t="s">
        <v>354</v>
      </c>
      <c r="B239" t="s">
        <v>355</v>
      </c>
      <c r="C239">
        <v>0.4</v>
      </c>
      <c r="D239">
        <v>1.17E-2</v>
      </c>
      <c r="E239">
        <v>1</v>
      </c>
      <c r="F239">
        <v>2</v>
      </c>
      <c r="G239">
        <f t="shared" si="3"/>
        <v>68.376068376068375</v>
      </c>
    </row>
    <row r="240" spans="1:9" x14ac:dyDescent="0.45">
      <c r="A240" s="5" t="s">
        <v>356</v>
      </c>
      <c r="B240" t="s">
        <v>357</v>
      </c>
      <c r="D240">
        <v>1.7000000000000001E-2</v>
      </c>
      <c r="E240">
        <v>1</v>
      </c>
      <c r="F240">
        <v>2</v>
      </c>
      <c r="G240">
        <f t="shared" si="3"/>
        <v>0</v>
      </c>
    </row>
    <row r="241" spans="1:9" x14ac:dyDescent="0.45">
      <c r="A241" s="5" t="s">
        <v>358</v>
      </c>
      <c r="B241" t="s">
        <v>359</v>
      </c>
      <c r="C241">
        <v>0.2</v>
      </c>
      <c r="D241">
        <v>1.61E-2</v>
      </c>
      <c r="E241">
        <v>1</v>
      </c>
      <c r="F241">
        <v>2</v>
      </c>
      <c r="G241">
        <f t="shared" si="3"/>
        <v>24.844720496894411</v>
      </c>
    </row>
    <row r="242" spans="1:9" x14ac:dyDescent="0.45">
      <c r="A242" s="5" t="s">
        <v>360</v>
      </c>
      <c r="B242" t="s">
        <v>361</v>
      </c>
      <c r="C242">
        <v>0.3</v>
      </c>
      <c r="D242">
        <v>1.61E-2</v>
      </c>
      <c r="E242">
        <v>1</v>
      </c>
      <c r="F242">
        <v>2</v>
      </c>
      <c r="G242">
        <f t="shared" si="3"/>
        <v>37.267080745341616</v>
      </c>
      <c r="H242">
        <f>AVERAGE(G237:G242)</f>
        <v>41.011421351868286</v>
      </c>
      <c r="I242">
        <f>STDEV(G237:G242)/SQRT(6)</f>
        <v>12.163127090519662</v>
      </c>
    </row>
    <row r="243" spans="1:9" x14ac:dyDescent="0.45">
      <c r="A243" s="5" t="s">
        <v>362</v>
      </c>
      <c r="B243" t="s">
        <v>363</v>
      </c>
      <c r="C243">
        <v>0.9</v>
      </c>
      <c r="D243">
        <v>1.21E-2</v>
      </c>
      <c r="E243">
        <v>1</v>
      </c>
      <c r="F243">
        <v>2</v>
      </c>
      <c r="G243">
        <f t="shared" si="3"/>
        <v>148.76033057851242</v>
      </c>
    </row>
    <row r="244" spans="1:9" x14ac:dyDescent="0.45">
      <c r="A244" s="5" t="s">
        <v>364</v>
      </c>
      <c r="B244" t="s">
        <v>365</v>
      </c>
      <c r="C244">
        <v>0</v>
      </c>
      <c r="D244">
        <v>1.0800000000000001E-2</v>
      </c>
      <c r="E244">
        <v>1</v>
      </c>
      <c r="F244">
        <v>2</v>
      </c>
      <c r="G244">
        <f t="shared" si="3"/>
        <v>0</v>
      </c>
    </row>
    <row r="245" spans="1:9" x14ac:dyDescent="0.45">
      <c r="A245" s="5" t="s">
        <v>366</v>
      </c>
      <c r="B245" t="s">
        <v>367</v>
      </c>
      <c r="C245">
        <v>0.5</v>
      </c>
      <c r="D245">
        <v>1.66E-2</v>
      </c>
      <c r="E245">
        <v>1</v>
      </c>
      <c r="F245">
        <v>2</v>
      </c>
      <c r="G245">
        <f t="shared" si="3"/>
        <v>60.240963855421683</v>
      </c>
    </row>
    <row r="246" spans="1:9" x14ac:dyDescent="0.45">
      <c r="A246" s="5" t="s">
        <v>368</v>
      </c>
      <c r="B246" t="s">
        <v>369</v>
      </c>
      <c r="C246">
        <v>0.9</v>
      </c>
      <c r="D246">
        <v>1.52E-2</v>
      </c>
      <c r="E246">
        <v>1</v>
      </c>
      <c r="F246">
        <v>2</v>
      </c>
      <c r="G246">
        <f t="shared" si="3"/>
        <v>118.42105263157895</v>
      </c>
    </row>
    <row r="247" spans="1:9" x14ac:dyDescent="0.45">
      <c r="A247" s="5" t="s">
        <v>370</v>
      </c>
      <c r="B247" t="s">
        <v>371</v>
      </c>
      <c r="C247">
        <v>0.2</v>
      </c>
      <c r="D247">
        <v>1.4200000000000001E-2</v>
      </c>
      <c r="E247">
        <v>1</v>
      </c>
      <c r="F247">
        <v>2</v>
      </c>
      <c r="G247">
        <f t="shared" si="3"/>
        <v>28.16901408450704</v>
      </c>
    </row>
    <row r="248" spans="1:9" ht="14.65" thickBot="1" x14ac:dyDescent="0.5">
      <c r="A248" s="6" t="s">
        <v>372</v>
      </c>
      <c r="B248" s="3" t="s">
        <v>373</v>
      </c>
      <c r="C248">
        <v>0.5</v>
      </c>
      <c r="D248" s="9">
        <v>1.4500000000000001E-2</v>
      </c>
      <c r="E248" s="9">
        <v>1</v>
      </c>
      <c r="F248" s="9">
        <v>2</v>
      </c>
      <c r="G248" s="9">
        <f t="shared" si="3"/>
        <v>68.965517241379303</v>
      </c>
      <c r="H248" s="9">
        <f>AVERAGE(G243:G248)</f>
        <v>70.759479731899901</v>
      </c>
      <c r="I248" s="9">
        <f>STDEV(G243:G248)/SQRT(6)</f>
        <v>22.576143365448804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weights</vt:lpstr>
      <vt:lpstr>Leaf</vt:lpstr>
      <vt:lpstr>Root</vt:lpstr>
      <vt:lpstr>ABA </vt:lpstr>
      <vt:lpstr>SA</vt:lpstr>
      <vt:lpstr>JA</vt:lpstr>
      <vt:lpstr>OPDA</vt:lpstr>
      <vt:lpstr>JA-ILE</vt:lpstr>
      <vt:lpstr>IAA</vt:lpstr>
      <vt:lpstr>I3CA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orero bayo</dc:creator>
  <cp:lastModifiedBy>Marta Orero Bayo</cp:lastModifiedBy>
  <dcterms:created xsi:type="dcterms:W3CDTF">2015-06-05T18:19:34Z</dcterms:created>
  <dcterms:modified xsi:type="dcterms:W3CDTF">2026-05-19T10:28:27Z</dcterms:modified>
</cp:coreProperties>
</file>