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a\Documents\TESIS MARTA (propio)\3. BM-PLANT\Experimentos\Hormone-gene time curse\EXP 020925\Genes\"/>
    </mc:Choice>
  </mc:AlternateContent>
  <xr:revisionPtr revIDLastSave="0" documentId="13_ncr:1_{929A66C9-7EB1-455F-B7B4-AE5A0E1E2874}" xr6:coauthVersionLast="47" xr6:coauthVersionMax="47" xr10:uidLastSave="{00000000-0000-0000-0000-000000000000}"/>
  <bookViews>
    <workbookView xWindow="43080" yWindow="-120" windowWidth="29040" windowHeight="15720" activeTab="3" xr2:uid="{00000000-000D-0000-FFFF-FFFF00000000}"/>
  </bookViews>
  <sheets>
    <sheet name="Genes HOJA" sheetId="1" r:id="rId1"/>
    <sheet name="Genes hoja norm ambos const" sheetId="3" r:id="rId2"/>
    <sheet name="Genes RAIZ" sheetId="2" r:id="rId3"/>
    <sheet name="Genes raiz norm ambos con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4" l="1"/>
  <c r="E69" i="4"/>
  <c r="D69" i="4"/>
  <c r="E72" i="4"/>
  <c r="E71" i="4"/>
  <c r="D71" i="4"/>
  <c r="D72" i="4"/>
  <c r="C72" i="4"/>
  <c r="C71" i="4"/>
  <c r="B72" i="4"/>
  <c r="B71" i="4"/>
  <c r="I45" i="4"/>
  <c r="I44" i="4"/>
  <c r="I43" i="4"/>
  <c r="I42" i="4"/>
  <c r="I41" i="4"/>
  <c r="I40" i="4"/>
  <c r="I39" i="4"/>
  <c r="I38" i="4"/>
  <c r="I37" i="4"/>
  <c r="I36" i="4"/>
  <c r="I35" i="4"/>
  <c r="I34" i="4"/>
  <c r="K101" i="2"/>
  <c r="K102" i="2"/>
  <c r="K103" i="2"/>
  <c r="K104" i="2"/>
  <c r="K105" i="2"/>
  <c r="K106" i="2"/>
  <c r="K107" i="2"/>
  <c r="K108" i="2"/>
  <c r="K109" i="2"/>
  <c r="K110" i="2"/>
  <c r="K111" i="2"/>
  <c r="K112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AG46" i="4"/>
  <c r="AF46" i="4"/>
  <c r="AF33" i="4"/>
  <c r="AG33" i="4"/>
  <c r="AK33" i="4" s="1"/>
  <c r="AG4" i="4"/>
  <c r="AG22" i="4"/>
  <c r="AH4" i="4"/>
  <c r="S33" i="4"/>
  <c r="S32" i="4"/>
  <c r="S31" i="4"/>
  <c r="S30" i="4"/>
  <c r="W30" i="4" s="1"/>
  <c r="S29" i="4"/>
  <c r="W29" i="4" s="1"/>
  <c r="S28" i="4"/>
  <c r="W28" i="4" s="1"/>
  <c r="S21" i="4"/>
  <c r="W21" i="4" s="1"/>
  <c r="S20" i="4"/>
  <c r="W20" i="4" s="1"/>
  <c r="S19" i="4"/>
  <c r="W19" i="4" s="1"/>
  <c r="S18" i="4"/>
  <c r="W18" i="4" s="1"/>
  <c r="S17" i="4"/>
  <c r="W17" i="4" s="1"/>
  <c r="S16" i="4"/>
  <c r="W16" i="4" s="1"/>
  <c r="S11" i="4"/>
  <c r="I22" i="4"/>
  <c r="I27" i="4"/>
  <c r="I25" i="4"/>
  <c r="I23" i="4"/>
  <c r="I15" i="4"/>
  <c r="I14" i="4"/>
  <c r="I13" i="4"/>
  <c r="I12" i="4"/>
  <c r="I11" i="4"/>
  <c r="I10" i="4"/>
  <c r="E5" i="4"/>
  <c r="I5" i="4" s="1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I33" i="4"/>
  <c r="W38" i="4"/>
  <c r="I32" i="4"/>
  <c r="W37" i="4"/>
  <c r="I31" i="4"/>
  <c r="W36" i="4"/>
  <c r="W35" i="4"/>
  <c r="I29" i="4"/>
  <c r="W34" i="4"/>
  <c r="I28" i="4"/>
  <c r="W33" i="4"/>
  <c r="AK32" i="4"/>
  <c r="W32" i="4"/>
  <c r="I26" i="4"/>
  <c r="AK31" i="4"/>
  <c r="W31" i="4"/>
  <c r="AK30" i="4"/>
  <c r="I24" i="4"/>
  <c r="AK29" i="4"/>
  <c r="AK28" i="4"/>
  <c r="AK27" i="4"/>
  <c r="W27" i="4"/>
  <c r="I21" i="4"/>
  <c r="AK26" i="4"/>
  <c r="W26" i="4"/>
  <c r="I20" i="4"/>
  <c r="AK25" i="4"/>
  <c r="W25" i="4"/>
  <c r="I19" i="4"/>
  <c r="AK24" i="4"/>
  <c r="W24" i="4"/>
  <c r="I18" i="4"/>
  <c r="AK23" i="4"/>
  <c r="W23" i="4"/>
  <c r="I17" i="4"/>
  <c r="AK22" i="4"/>
  <c r="W22" i="4"/>
  <c r="I16" i="4"/>
  <c r="AK21" i="4"/>
  <c r="AK20" i="4"/>
  <c r="AK19" i="4"/>
  <c r="AK18" i="4"/>
  <c r="AK17" i="4"/>
  <c r="AK16" i="4"/>
  <c r="AK15" i="4"/>
  <c r="W15" i="4"/>
  <c r="I9" i="4"/>
  <c r="AK14" i="4"/>
  <c r="W14" i="4"/>
  <c r="I8" i="4"/>
  <c r="AK13" i="4"/>
  <c r="W13" i="4"/>
  <c r="I7" i="4"/>
  <c r="AK12" i="4"/>
  <c r="W12" i="4"/>
  <c r="I6" i="4"/>
  <c r="AK11" i="4"/>
  <c r="W11" i="4"/>
  <c r="AK10" i="4"/>
  <c r="W10" i="4"/>
  <c r="I4" i="4"/>
  <c r="AK9" i="4"/>
  <c r="W9" i="4"/>
  <c r="X9" i="4" s="1"/>
  <c r="Y9" i="4" s="1"/>
  <c r="AK8" i="4"/>
  <c r="W8" i="4"/>
  <c r="X8" i="4" s="1"/>
  <c r="Y8" i="4" s="1"/>
  <c r="AK7" i="4"/>
  <c r="W7" i="4"/>
  <c r="X7" i="4" s="1"/>
  <c r="Y7" i="4" s="1"/>
  <c r="AK6" i="4"/>
  <c r="W6" i="4"/>
  <c r="X6" i="4" s="1"/>
  <c r="Y6" i="4" s="1"/>
  <c r="AK5" i="4"/>
  <c r="W5" i="4"/>
  <c r="X5" i="4" s="1"/>
  <c r="Y5" i="4" s="1"/>
  <c r="W4" i="4"/>
  <c r="W53" i="4" s="1"/>
  <c r="AG109" i="1"/>
  <c r="AK27" i="3"/>
  <c r="AL27" i="3" s="1"/>
  <c r="AL5" i="3"/>
  <c r="AL6" i="3"/>
  <c r="AM6" i="3" s="1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8" i="3"/>
  <c r="AL29" i="3"/>
  <c r="AJ40" i="3" s="1"/>
  <c r="AL30" i="3"/>
  <c r="AM30" i="3" s="1"/>
  <c r="AL31" i="3"/>
  <c r="AM31" i="3" s="1"/>
  <c r="AL32" i="3"/>
  <c r="AM32" i="3" s="1"/>
  <c r="AL33" i="3"/>
  <c r="AL4" i="3"/>
  <c r="AF24" i="3"/>
  <c r="AJ36" i="3"/>
  <c r="AM7" i="3" s="1"/>
  <c r="H27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4" i="3"/>
  <c r="R36" i="3"/>
  <c r="X36" i="3" s="1"/>
  <c r="J40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8" i="3"/>
  <c r="J29" i="3"/>
  <c r="J30" i="3"/>
  <c r="J31" i="3"/>
  <c r="J32" i="3"/>
  <c r="J33" i="3"/>
  <c r="J34" i="3"/>
  <c r="J37" i="3"/>
  <c r="J38" i="3"/>
  <c r="J41" i="3"/>
  <c r="J42" i="3"/>
  <c r="J43" i="3"/>
  <c r="J44" i="3"/>
  <c r="J45" i="3"/>
  <c r="J46" i="3"/>
  <c r="J47" i="3"/>
  <c r="J48" i="3"/>
  <c r="J49" i="3"/>
  <c r="J50" i="3"/>
  <c r="J51" i="3"/>
  <c r="J4" i="3"/>
  <c r="D36" i="3"/>
  <c r="H39" i="3"/>
  <c r="J39" i="3" s="1"/>
  <c r="H36" i="3"/>
  <c r="F36" i="3"/>
  <c r="G35" i="3"/>
  <c r="J35" i="3" s="1"/>
  <c r="G26" i="1"/>
  <c r="H26" i="1" s="1"/>
  <c r="F26" i="1"/>
  <c r="G100" i="1"/>
  <c r="H100" i="1" s="1"/>
  <c r="I100" i="1" s="1"/>
  <c r="J100" i="1" s="1"/>
  <c r="F100" i="1"/>
  <c r="R67" i="1"/>
  <c r="T12" i="2"/>
  <c r="O53" i="2"/>
  <c r="R59" i="2"/>
  <c r="Q59" i="2"/>
  <c r="P59" i="2"/>
  <c r="O59" i="2"/>
  <c r="P58" i="2"/>
  <c r="Q58" i="2"/>
  <c r="R58" i="2"/>
  <c r="O58" i="2"/>
  <c r="R57" i="2"/>
  <c r="Q57" i="2"/>
  <c r="P57" i="2"/>
  <c r="O57" i="2"/>
  <c r="R55" i="2"/>
  <c r="Q55" i="2"/>
  <c r="P55" i="2"/>
  <c r="O55" i="2"/>
  <c r="R53" i="2"/>
  <c r="Q53" i="2"/>
  <c r="P53" i="2"/>
  <c r="F54" i="2"/>
  <c r="F53" i="2"/>
  <c r="E54" i="2"/>
  <c r="E53" i="2"/>
  <c r="D54" i="2"/>
  <c r="D53" i="2"/>
  <c r="C54" i="2"/>
  <c r="C53" i="2"/>
  <c r="F51" i="2"/>
  <c r="E51" i="2"/>
  <c r="D51" i="2"/>
  <c r="C51" i="2"/>
  <c r="T25" i="2"/>
  <c r="T22" i="2"/>
  <c r="T21" i="2"/>
  <c r="T13" i="2"/>
  <c r="T9" i="2"/>
  <c r="V3" i="2"/>
  <c r="V4" i="2"/>
  <c r="V5" i="2"/>
  <c r="V6" i="2"/>
  <c r="V7" i="2"/>
  <c r="V8" i="2"/>
  <c r="V15" i="2"/>
  <c r="V16" i="2"/>
  <c r="V17" i="2"/>
  <c r="V18" i="2"/>
  <c r="V19" i="2"/>
  <c r="V20" i="2"/>
  <c r="H26" i="2"/>
  <c r="H25" i="2"/>
  <c r="H24" i="2"/>
  <c r="H23" i="2"/>
  <c r="H12" i="2"/>
  <c r="H14" i="2"/>
  <c r="H13" i="2"/>
  <c r="H11" i="2"/>
  <c r="H9" i="2"/>
  <c r="H5" i="2"/>
  <c r="H6" i="2"/>
  <c r="H7" i="2"/>
  <c r="H8" i="2"/>
  <c r="H10" i="2"/>
  <c r="H15" i="2"/>
  <c r="H16" i="2"/>
  <c r="H17" i="2"/>
  <c r="H18" i="2"/>
  <c r="H19" i="2"/>
  <c r="H20" i="2"/>
  <c r="H21" i="2"/>
  <c r="H22" i="2"/>
  <c r="H27" i="2"/>
  <c r="H28" i="2"/>
  <c r="H29" i="2"/>
  <c r="H30" i="2"/>
  <c r="H31" i="2"/>
  <c r="H32" i="2"/>
  <c r="H34" i="2"/>
  <c r="H35" i="2"/>
  <c r="H36" i="2"/>
  <c r="H37" i="2"/>
  <c r="H38" i="2"/>
  <c r="D4" i="2"/>
  <c r="H4" i="2" s="1"/>
  <c r="T3" i="2"/>
  <c r="T5" i="2"/>
  <c r="T6" i="2"/>
  <c r="T7" i="2"/>
  <c r="T8" i="2"/>
  <c r="T10" i="2"/>
  <c r="T11" i="2"/>
  <c r="T14" i="2"/>
  <c r="T15" i="2"/>
  <c r="T16" i="2"/>
  <c r="T17" i="2"/>
  <c r="T18" i="2"/>
  <c r="T19" i="2"/>
  <c r="T20" i="2"/>
  <c r="T23" i="2"/>
  <c r="T24" i="2"/>
  <c r="T26" i="2"/>
  <c r="P4" i="2"/>
  <c r="T4" i="2" s="1"/>
  <c r="O62" i="1"/>
  <c r="R69" i="1"/>
  <c r="Q69" i="1"/>
  <c r="P69" i="1"/>
  <c r="O69" i="1"/>
  <c r="R68" i="1"/>
  <c r="Q68" i="1"/>
  <c r="P68" i="1"/>
  <c r="O68" i="1"/>
  <c r="Q67" i="1"/>
  <c r="P67" i="1"/>
  <c r="O67" i="1"/>
  <c r="R66" i="1"/>
  <c r="Q66" i="1"/>
  <c r="P66" i="1"/>
  <c r="O66" i="1"/>
  <c r="R65" i="1"/>
  <c r="Q65" i="1"/>
  <c r="P65" i="1"/>
  <c r="O65" i="1"/>
  <c r="R64" i="1"/>
  <c r="Q64" i="1"/>
  <c r="P64" i="1"/>
  <c r="O64" i="1"/>
  <c r="R63" i="1"/>
  <c r="Q63" i="1"/>
  <c r="P63" i="1"/>
  <c r="O63" i="1"/>
  <c r="R62" i="1"/>
  <c r="Q62" i="1"/>
  <c r="P62" i="1"/>
  <c r="U46" i="1"/>
  <c r="U47" i="1"/>
  <c r="U48" i="1"/>
  <c r="U49" i="1"/>
  <c r="U50" i="1"/>
  <c r="U45" i="1"/>
  <c r="U40" i="1"/>
  <c r="U41" i="1"/>
  <c r="U42" i="1"/>
  <c r="U43" i="1"/>
  <c r="U44" i="1"/>
  <c r="U39" i="1"/>
  <c r="U34" i="1"/>
  <c r="U35" i="1"/>
  <c r="U36" i="1"/>
  <c r="U37" i="1"/>
  <c r="U38" i="1"/>
  <c r="U33" i="1"/>
  <c r="U28" i="1"/>
  <c r="U29" i="1"/>
  <c r="U30" i="1"/>
  <c r="U31" i="1"/>
  <c r="U32" i="1"/>
  <c r="U27" i="1"/>
  <c r="V27" i="1" s="1"/>
  <c r="U26" i="1"/>
  <c r="U22" i="1"/>
  <c r="U23" i="1"/>
  <c r="U24" i="1"/>
  <c r="U25" i="1"/>
  <c r="U21" i="1"/>
  <c r="U20" i="1"/>
  <c r="U16" i="1"/>
  <c r="U17" i="1"/>
  <c r="U18" i="1"/>
  <c r="U19" i="1"/>
  <c r="U15" i="1"/>
  <c r="U10" i="1"/>
  <c r="U11" i="1"/>
  <c r="U12" i="1"/>
  <c r="U13" i="1"/>
  <c r="U14" i="1"/>
  <c r="U9" i="1"/>
  <c r="U4" i="1"/>
  <c r="U5" i="1"/>
  <c r="U6" i="1"/>
  <c r="U7" i="1"/>
  <c r="U8" i="1"/>
  <c r="U3" i="1"/>
  <c r="T59" i="1"/>
  <c r="T58" i="1"/>
  <c r="T57" i="1"/>
  <c r="T56" i="1"/>
  <c r="T55" i="1"/>
  <c r="T54" i="1"/>
  <c r="T53" i="1"/>
  <c r="T52" i="1"/>
  <c r="D35" i="1"/>
  <c r="F69" i="1"/>
  <c r="E69" i="1"/>
  <c r="D69" i="1"/>
  <c r="C69" i="1"/>
  <c r="C68" i="1"/>
  <c r="J45" i="1"/>
  <c r="J46" i="1"/>
  <c r="J47" i="1"/>
  <c r="J48" i="1"/>
  <c r="J49" i="1"/>
  <c r="J50" i="1"/>
  <c r="J27" i="1"/>
  <c r="J28" i="1"/>
  <c r="J29" i="1"/>
  <c r="J30" i="1"/>
  <c r="J31" i="1"/>
  <c r="J32" i="1"/>
  <c r="J39" i="1"/>
  <c r="J40" i="1"/>
  <c r="J41" i="1"/>
  <c r="J42" i="1"/>
  <c r="J43" i="1"/>
  <c r="J44" i="1"/>
  <c r="J15" i="1"/>
  <c r="J16" i="1"/>
  <c r="J17" i="1"/>
  <c r="J19" i="1"/>
  <c r="J20" i="1"/>
  <c r="J21" i="1"/>
  <c r="J22" i="1"/>
  <c r="J23" i="1"/>
  <c r="J25" i="1"/>
  <c r="I46" i="1"/>
  <c r="I47" i="1"/>
  <c r="I48" i="1"/>
  <c r="I49" i="1"/>
  <c r="I50" i="1"/>
  <c r="I45" i="1"/>
  <c r="I40" i="1"/>
  <c r="I21" i="1"/>
  <c r="H59" i="1"/>
  <c r="H58" i="1"/>
  <c r="H45" i="1"/>
  <c r="H46" i="1"/>
  <c r="H47" i="1"/>
  <c r="H48" i="1"/>
  <c r="H49" i="1"/>
  <c r="H50" i="1"/>
  <c r="H56" i="1"/>
  <c r="H55" i="1"/>
  <c r="H54" i="1"/>
  <c r="F38" i="1"/>
  <c r="F35" i="1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71" i="2"/>
  <c r="I72" i="2"/>
  <c r="I73" i="2"/>
  <c r="I74" i="2"/>
  <c r="I75" i="2"/>
  <c r="I76" i="2"/>
  <c r="I77" i="2"/>
  <c r="I78" i="2"/>
  <c r="I79" i="2"/>
  <c r="I80" i="2"/>
  <c r="I81" i="2"/>
  <c r="I82" i="2"/>
  <c r="U104" i="2"/>
  <c r="U89" i="2"/>
  <c r="U90" i="2"/>
  <c r="U91" i="2"/>
  <c r="U92" i="2"/>
  <c r="U93" i="2"/>
  <c r="U94" i="2"/>
  <c r="U95" i="2"/>
  <c r="U96" i="2"/>
  <c r="U97" i="2"/>
  <c r="U98" i="2"/>
  <c r="U99" i="2"/>
  <c r="U100" i="2"/>
  <c r="U71" i="2"/>
  <c r="U72" i="2"/>
  <c r="U73" i="2"/>
  <c r="U74" i="2"/>
  <c r="U75" i="2"/>
  <c r="U76" i="2"/>
  <c r="U77" i="2"/>
  <c r="U78" i="2"/>
  <c r="U79" i="2"/>
  <c r="U80" i="2"/>
  <c r="U81" i="2"/>
  <c r="U82" i="2"/>
  <c r="T32" i="1"/>
  <c r="T31" i="1"/>
  <c r="T30" i="1"/>
  <c r="T29" i="1"/>
  <c r="T28" i="1"/>
  <c r="T27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R112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99" i="1"/>
  <c r="V77" i="1"/>
  <c r="V78" i="1"/>
  <c r="V79" i="1"/>
  <c r="V80" i="1"/>
  <c r="V81" i="1"/>
  <c r="Q138" i="1" s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U120" i="1"/>
  <c r="U121" i="1"/>
  <c r="U122" i="1"/>
  <c r="U123" i="1"/>
  <c r="U124" i="1"/>
  <c r="U119" i="1"/>
  <c r="U114" i="1"/>
  <c r="U115" i="1"/>
  <c r="U116" i="1"/>
  <c r="U117" i="1"/>
  <c r="U118" i="1"/>
  <c r="U113" i="1"/>
  <c r="U108" i="1"/>
  <c r="U109" i="1"/>
  <c r="U110" i="1"/>
  <c r="U111" i="1"/>
  <c r="U107" i="1"/>
  <c r="U102" i="1"/>
  <c r="U103" i="1"/>
  <c r="U104" i="1"/>
  <c r="U105" i="1"/>
  <c r="U106" i="1"/>
  <c r="U101" i="1"/>
  <c r="U96" i="1"/>
  <c r="U97" i="1"/>
  <c r="U98" i="1"/>
  <c r="U99" i="1"/>
  <c r="U100" i="1"/>
  <c r="U95" i="1"/>
  <c r="U90" i="1"/>
  <c r="U91" i="1"/>
  <c r="U92" i="1"/>
  <c r="U93" i="1"/>
  <c r="U94" i="1"/>
  <c r="U89" i="1"/>
  <c r="U84" i="1"/>
  <c r="U85" i="1"/>
  <c r="U86" i="1"/>
  <c r="U87" i="1"/>
  <c r="U88" i="1"/>
  <c r="U83" i="1"/>
  <c r="U78" i="1"/>
  <c r="U79" i="1"/>
  <c r="U80" i="1"/>
  <c r="U81" i="1"/>
  <c r="U82" i="1"/>
  <c r="U77" i="1"/>
  <c r="T77" i="1"/>
  <c r="T126" i="1" s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U112" i="1" s="1"/>
  <c r="V112" i="1" s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P109" i="1"/>
  <c r="J118" i="1"/>
  <c r="J115" i="1"/>
  <c r="F112" i="1"/>
  <c r="H112" i="1" s="1"/>
  <c r="F109" i="1"/>
  <c r="D109" i="1"/>
  <c r="J96" i="1"/>
  <c r="J97" i="1"/>
  <c r="J99" i="1"/>
  <c r="J83" i="1"/>
  <c r="J84" i="1"/>
  <c r="J85" i="1"/>
  <c r="J86" i="1"/>
  <c r="J87" i="1"/>
  <c r="J88" i="1"/>
  <c r="J89" i="1"/>
  <c r="J90" i="1"/>
  <c r="J91" i="1"/>
  <c r="J92" i="1"/>
  <c r="J93" i="1"/>
  <c r="J94" i="1"/>
  <c r="I120" i="1"/>
  <c r="I121" i="1"/>
  <c r="I122" i="1"/>
  <c r="I123" i="1"/>
  <c r="I124" i="1"/>
  <c r="I119" i="1"/>
  <c r="I114" i="1"/>
  <c r="I115" i="1"/>
  <c r="I116" i="1"/>
  <c r="I117" i="1"/>
  <c r="I118" i="1"/>
  <c r="I113" i="1"/>
  <c r="I96" i="1"/>
  <c r="I97" i="1"/>
  <c r="I99" i="1"/>
  <c r="I95" i="1"/>
  <c r="I90" i="1"/>
  <c r="I91" i="1"/>
  <c r="I92" i="1"/>
  <c r="I93" i="1"/>
  <c r="I94" i="1"/>
  <c r="I89" i="1"/>
  <c r="I84" i="1"/>
  <c r="I85" i="1"/>
  <c r="I86" i="1"/>
  <c r="I87" i="1"/>
  <c r="I88" i="1"/>
  <c r="I83" i="1"/>
  <c r="H96" i="1"/>
  <c r="H97" i="1"/>
  <c r="H98" i="1"/>
  <c r="I98" i="1" s="1"/>
  <c r="J98" i="1" s="1"/>
  <c r="H99" i="1"/>
  <c r="H101" i="1"/>
  <c r="H102" i="1"/>
  <c r="H103" i="1"/>
  <c r="H104" i="1"/>
  <c r="H105" i="1"/>
  <c r="H106" i="1"/>
  <c r="H107" i="1"/>
  <c r="H108" i="1"/>
  <c r="H109" i="1"/>
  <c r="H110" i="1"/>
  <c r="H111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O138" i="1"/>
  <c r="R138" i="1"/>
  <c r="P138" i="1"/>
  <c r="U112" i="2"/>
  <c r="U111" i="2"/>
  <c r="U110" i="2"/>
  <c r="U109" i="2"/>
  <c r="U108" i="2"/>
  <c r="U107" i="2"/>
  <c r="U106" i="2"/>
  <c r="U105" i="2"/>
  <c r="U103" i="2"/>
  <c r="U102" i="2"/>
  <c r="U101" i="2"/>
  <c r="U88" i="2"/>
  <c r="U87" i="2"/>
  <c r="U86" i="2"/>
  <c r="U85" i="2"/>
  <c r="U84" i="2"/>
  <c r="U83" i="2"/>
  <c r="I83" i="2"/>
  <c r="I62" i="4" l="1"/>
  <c r="J34" i="4" s="1"/>
  <c r="K34" i="4" s="1"/>
  <c r="I63" i="4"/>
  <c r="J42" i="4" s="1"/>
  <c r="K42" i="4" s="1"/>
  <c r="T50" i="2"/>
  <c r="U25" i="2" s="1"/>
  <c r="V25" i="2" s="1"/>
  <c r="T48" i="2"/>
  <c r="U9" i="2" s="1"/>
  <c r="V9" i="2" s="1"/>
  <c r="AK4" i="4"/>
  <c r="AI39" i="4"/>
  <c r="AL25" i="4" s="1"/>
  <c r="AM25" i="4" s="1"/>
  <c r="AI40" i="4"/>
  <c r="AL33" i="4" s="1"/>
  <c r="AM33" i="4" s="1"/>
  <c r="X41" i="4"/>
  <c r="X42" i="4"/>
  <c r="Y42" i="4" s="1"/>
  <c r="X27" i="4"/>
  <c r="Y27" i="4" s="1"/>
  <c r="X35" i="4"/>
  <c r="Y35" i="4" s="1"/>
  <c r="W54" i="4"/>
  <c r="X12" i="4" s="1"/>
  <c r="Y12" i="4" s="1"/>
  <c r="I58" i="4"/>
  <c r="J11" i="4" s="1"/>
  <c r="K11" i="4" s="1"/>
  <c r="Y41" i="4"/>
  <c r="X37" i="4"/>
  <c r="Y37" i="4" s="1"/>
  <c r="X4" i="4"/>
  <c r="Y4" i="4" s="1"/>
  <c r="X47" i="4"/>
  <c r="Y47" i="4" s="1"/>
  <c r="AI36" i="4"/>
  <c r="AL7" i="4" s="1"/>
  <c r="AM7" i="4" s="1"/>
  <c r="AI37" i="4"/>
  <c r="AL12" i="4" s="1"/>
  <c r="AM12" i="4" s="1"/>
  <c r="W60" i="4"/>
  <c r="W55" i="4"/>
  <c r="X21" i="4" s="1"/>
  <c r="Y21" i="4" s="1"/>
  <c r="W57" i="4"/>
  <c r="X33" i="4" s="1"/>
  <c r="Y33" i="4" s="1"/>
  <c r="I57" i="4"/>
  <c r="J5" i="4" s="1"/>
  <c r="K5" i="4" s="1"/>
  <c r="J4" i="4"/>
  <c r="K4" i="4" s="1"/>
  <c r="J9" i="4"/>
  <c r="K9" i="4" s="1"/>
  <c r="J7" i="4"/>
  <c r="K7" i="4" s="1"/>
  <c r="I30" i="4"/>
  <c r="I61" i="4" s="1"/>
  <c r="J31" i="4" s="1"/>
  <c r="K31" i="4" s="1"/>
  <c r="AI38" i="4"/>
  <c r="AL21" i="4" s="1"/>
  <c r="AM21" i="4" s="1"/>
  <c r="I60" i="4"/>
  <c r="J24" i="4" s="1"/>
  <c r="K24" i="4" s="1"/>
  <c r="W58" i="4"/>
  <c r="W59" i="4"/>
  <c r="X43" i="4" s="1"/>
  <c r="Y43" i="4" s="1"/>
  <c r="I59" i="4"/>
  <c r="J17" i="4" s="1"/>
  <c r="K17" i="4" s="1"/>
  <c r="W56" i="4"/>
  <c r="X22" i="4" s="1"/>
  <c r="Y22" i="4" s="1"/>
  <c r="AM28" i="3"/>
  <c r="AM29" i="3"/>
  <c r="AN29" i="3" s="1"/>
  <c r="AM33" i="3"/>
  <c r="AN33" i="3" s="1"/>
  <c r="AM27" i="3"/>
  <c r="AN27" i="3" s="1"/>
  <c r="AM4" i="3"/>
  <c r="AN4" i="3" s="1"/>
  <c r="AM9" i="3"/>
  <c r="AN9" i="3" s="1"/>
  <c r="AM5" i="3"/>
  <c r="AN5" i="3" s="1"/>
  <c r="AM8" i="3"/>
  <c r="AN8" i="3" s="1"/>
  <c r="AN6" i="3"/>
  <c r="AN7" i="3"/>
  <c r="AN30" i="3"/>
  <c r="AN31" i="3"/>
  <c r="AH46" i="3" s="1"/>
  <c r="AN32" i="3"/>
  <c r="AJ39" i="3"/>
  <c r="AM22" i="3" s="1"/>
  <c r="AN22" i="3" s="1"/>
  <c r="AJ38" i="3"/>
  <c r="AJ37" i="3"/>
  <c r="AN28" i="3"/>
  <c r="J27" i="3"/>
  <c r="J36" i="3"/>
  <c r="J59" i="3"/>
  <c r="K43" i="3" s="1"/>
  <c r="K33" i="3"/>
  <c r="K17" i="3"/>
  <c r="K14" i="3"/>
  <c r="L14" i="3" s="1"/>
  <c r="X55" i="3"/>
  <c r="Y20" i="3" s="1"/>
  <c r="Z20" i="3" s="1"/>
  <c r="X59" i="3"/>
  <c r="Y45" i="3" s="1"/>
  <c r="Z45" i="3" s="1"/>
  <c r="X60" i="3"/>
  <c r="Y51" i="3" s="1"/>
  <c r="Z51" i="3" s="1"/>
  <c r="X56" i="3"/>
  <c r="Y26" i="3" s="1"/>
  <c r="Z26" i="3" s="1"/>
  <c r="X58" i="3"/>
  <c r="Y34" i="3" s="1"/>
  <c r="Z34" i="3" s="1"/>
  <c r="X54" i="3"/>
  <c r="J56" i="3"/>
  <c r="X53" i="3"/>
  <c r="Y6" i="3" s="1"/>
  <c r="Z6" i="3" s="1"/>
  <c r="X57" i="3"/>
  <c r="Y28" i="3" s="1"/>
  <c r="Z28" i="3" s="1"/>
  <c r="J53" i="3"/>
  <c r="K5" i="3" s="1"/>
  <c r="L5" i="3" s="1"/>
  <c r="J54" i="3"/>
  <c r="K13" i="3" s="1"/>
  <c r="L13" i="3" s="1"/>
  <c r="J57" i="3"/>
  <c r="K32" i="3" s="1"/>
  <c r="L32" i="3" s="1"/>
  <c r="J55" i="3"/>
  <c r="K16" i="3" s="1"/>
  <c r="J60" i="3"/>
  <c r="K48" i="3" s="1"/>
  <c r="L48" i="3" s="1"/>
  <c r="U11" i="2"/>
  <c r="V11" i="2" s="1"/>
  <c r="U22" i="2"/>
  <c r="V22" i="2" s="1"/>
  <c r="U20" i="2"/>
  <c r="U24" i="2"/>
  <c r="V24" i="2" s="1"/>
  <c r="U18" i="2"/>
  <c r="T49" i="2"/>
  <c r="U19" i="2" s="1"/>
  <c r="U14" i="2"/>
  <c r="V14" i="2" s="1"/>
  <c r="U13" i="2"/>
  <c r="V13" i="2" s="1"/>
  <c r="U12" i="2"/>
  <c r="V12" i="2" s="1"/>
  <c r="U23" i="2"/>
  <c r="V23" i="2" s="1"/>
  <c r="U26" i="2"/>
  <c r="V26" i="2" s="1"/>
  <c r="U10" i="2"/>
  <c r="V10" i="2" s="1"/>
  <c r="T47" i="2"/>
  <c r="U5" i="2" s="1"/>
  <c r="H43" i="2"/>
  <c r="I20" i="2" s="1"/>
  <c r="J20" i="2" s="1"/>
  <c r="U15" i="2"/>
  <c r="U3" i="2"/>
  <c r="U21" i="2"/>
  <c r="V21" i="2" s="1"/>
  <c r="H44" i="2"/>
  <c r="I22" i="2" s="1"/>
  <c r="J22" i="2" s="1"/>
  <c r="H45" i="2"/>
  <c r="I29" i="2" s="1"/>
  <c r="J29" i="2" s="1"/>
  <c r="H42" i="2"/>
  <c r="I118" i="2"/>
  <c r="J93" i="2" s="1"/>
  <c r="K93" i="2" s="1"/>
  <c r="J94" i="2"/>
  <c r="K94" i="2" s="1"/>
  <c r="J90" i="2"/>
  <c r="K90" i="2" s="1"/>
  <c r="J92" i="2"/>
  <c r="K92" i="2" s="1"/>
  <c r="I115" i="2"/>
  <c r="J72" i="2" s="1"/>
  <c r="K72" i="2" s="1"/>
  <c r="I119" i="2"/>
  <c r="J95" i="2" s="1"/>
  <c r="K95" i="2" s="1"/>
  <c r="U118" i="2"/>
  <c r="V90" i="2" s="1"/>
  <c r="W90" i="2" s="1"/>
  <c r="I117" i="2"/>
  <c r="J87" i="2" s="1"/>
  <c r="K87" i="2" s="1"/>
  <c r="L87" i="2" s="1"/>
  <c r="J71" i="2"/>
  <c r="K71" i="2" s="1"/>
  <c r="I116" i="2"/>
  <c r="J78" i="2" s="1"/>
  <c r="K78" i="2" s="1"/>
  <c r="U116" i="2"/>
  <c r="V79" i="2" s="1"/>
  <c r="W79" i="2" s="1"/>
  <c r="U119" i="2"/>
  <c r="U115" i="2"/>
  <c r="V71" i="2" s="1"/>
  <c r="W71" i="2" s="1"/>
  <c r="U120" i="2"/>
  <c r="H126" i="1"/>
  <c r="I79" i="1" s="1"/>
  <c r="J79" i="1" s="1"/>
  <c r="U117" i="2"/>
  <c r="V85" i="2" s="1"/>
  <c r="W85" i="2" s="1"/>
  <c r="I120" i="2"/>
  <c r="U121" i="2"/>
  <c r="V107" i="2" s="1"/>
  <c r="W107" i="2" s="1"/>
  <c r="F140" i="1"/>
  <c r="P139" i="1"/>
  <c r="P143" i="1"/>
  <c r="O143" i="1"/>
  <c r="R142" i="1"/>
  <c r="Q142" i="1"/>
  <c r="P142" i="1"/>
  <c r="O142" i="1"/>
  <c r="R140" i="1"/>
  <c r="Q140" i="1"/>
  <c r="P140" i="1"/>
  <c r="O140" i="1"/>
  <c r="R139" i="1"/>
  <c r="Q139" i="1"/>
  <c r="O139" i="1"/>
  <c r="T131" i="1"/>
  <c r="T130" i="1"/>
  <c r="T128" i="1"/>
  <c r="T127" i="1"/>
  <c r="T129" i="1"/>
  <c r="H131" i="1"/>
  <c r="I109" i="1" s="1"/>
  <c r="J109" i="1" s="1"/>
  <c r="H130" i="1"/>
  <c r="H127" i="1"/>
  <c r="H128" i="1"/>
  <c r="H22" i="1"/>
  <c r="H23" i="1"/>
  <c r="H24" i="1"/>
  <c r="H25" i="1"/>
  <c r="H27" i="1"/>
  <c r="H28" i="1"/>
  <c r="H29" i="1"/>
  <c r="H30" i="1"/>
  <c r="H31" i="1"/>
  <c r="H32" i="1"/>
  <c r="H33" i="1"/>
  <c r="H35" i="1"/>
  <c r="H57" i="1" s="1"/>
  <c r="I34" i="1" s="1"/>
  <c r="J34" i="1" s="1"/>
  <c r="H36" i="1"/>
  <c r="H37" i="1"/>
  <c r="H38" i="1"/>
  <c r="H39" i="1"/>
  <c r="H40" i="1"/>
  <c r="H41" i="1"/>
  <c r="H42" i="1"/>
  <c r="H43" i="1"/>
  <c r="H44" i="1"/>
  <c r="H3" i="1"/>
  <c r="H4" i="1"/>
  <c r="H5" i="1"/>
  <c r="H52" i="1" s="1"/>
  <c r="I3" i="1" s="1"/>
  <c r="H6" i="1"/>
  <c r="H7" i="1"/>
  <c r="H8" i="1"/>
  <c r="H9" i="1"/>
  <c r="H53" i="1" s="1"/>
  <c r="H10" i="1"/>
  <c r="H11" i="1"/>
  <c r="H12" i="1"/>
  <c r="H13" i="1"/>
  <c r="H14" i="1"/>
  <c r="H15" i="1"/>
  <c r="H16" i="1"/>
  <c r="H17" i="1"/>
  <c r="H18" i="1"/>
  <c r="H19" i="1"/>
  <c r="H20" i="1"/>
  <c r="AR90" i="1"/>
  <c r="AR92" i="1"/>
  <c r="AG99" i="2"/>
  <c r="E34" i="1"/>
  <c r="H34" i="1" s="1"/>
  <c r="J35" i="4" l="1"/>
  <c r="K35" i="4" s="1"/>
  <c r="J37" i="4"/>
  <c r="K37" i="4" s="1"/>
  <c r="J6" i="4"/>
  <c r="K6" i="4" s="1"/>
  <c r="B66" i="4" s="1"/>
  <c r="J36" i="4"/>
  <c r="K36" i="4" s="1"/>
  <c r="J39" i="4"/>
  <c r="K39" i="4" s="1"/>
  <c r="J38" i="4"/>
  <c r="K38" i="4" s="1"/>
  <c r="J43" i="4"/>
  <c r="K43" i="4" s="1"/>
  <c r="J44" i="4"/>
  <c r="K44" i="4" s="1"/>
  <c r="J45" i="4"/>
  <c r="K45" i="4" s="1"/>
  <c r="J40" i="4"/>
  <c r="K40" i="4" s="1"/>
  <c r="J41" i="4"/>
  <c r="K41" i="4" s="1"/>
  <c r="P56" i="2"/>
  <c r="O56" i="2"/>
  <c r="Q56" i="2"/>
  <c r="R56" i="2"/>
  <c r="O54" i="2"/>
  <c r="P54" i="2"/>
  <c r="J8" i="4"/>
  <c r="K8" i="4" s="1"/>
  <c r="E66" i="4" s="1"/>
  <c r="X29" i="4"/>
  <c r="Y29" i="4" s="1"/>
  <c r="AL31" i="4"/>
  <c r="AM31" i="4" s="1"/>
  <c r="AL23" i="4"/>
  <c r="AM23" i="4" s="1"/>
  <c r="AL27" i="4"/>
  <c r="AM27" i="4" s="1"/>
  <c r="AL22" i="4"/>
  <c r="AM22" i="4" s="1"/>
  <c r="AL24" i="4"/>
  <c r="AL26" i="4"/>
  <c r="AM26" i="4" s="1"/>
  <c r="AG45" i="4" s="1"/>
  <c r="AL30" i="4"/>
  <c r="AM30" i="4" s="1"/>
  <c r="AL29" i="4"/>
  <c r="AM29" i="4" s="1"/>
  <c r="AL32" i="4"/>
  <c r="AM32" i="4" s="1"/>
  <c r="AL28" i="4"/>
  <c r="AM28" i="4" s="1"/>
  <c r="AE46" i="4" s="1"/>
  <c r="AL17" i="4"/>
  <c r="AM17" i="4" s="1"/>
  <c r="AL18" i="4"/>
  <c r="AM18" i="4" s="1"/>
  <c r="AL19" i="4"/>
  <c r="AM19" i="4" s="1"/>
  <c r="AL20" i="4"/>
  <c r="AM20" i="4" s="1"/>
  <c r="AF44" i="4" s="1"/>
  <c r="AL11" i="4"/>
  <c r="AM11" i="4" s="1"/>
  <c r="AL16" i="4"/>
  <c r="AM16" i="4" s="1"/>
  <c r="AL15" i="4"/>
  <c r="AM15" i="4" s="1"/>
  <c r="AL5" i="4"/>
  <c r="AM5" i="4" s="1"/>
  <c r="AL9" i="4"/>
  <c r="AM9" i="4" s="1"/>
  <c r="AL4" i="4"/>
  <c r="AM4" i="4" s="1"/>
  <c r="AL6" i="4"/>
  <c r="AM6" i="4" s="1"/>
  <c r="AL10" i="4"/>
  <c r="AM10" i="4" s="1"/>
  <c r="AL14" i="4"/>
  <c r="AM14" i="4" s="1"/>
  <c r="AF45" i="4"/>
  <c r="AL8" i="4"/>
  <c r="AM8" i="4" s="1"/>
  <c r="AG42" i="4" s="1"/>
  <c r="AL13" i="4"/>
  <c r="AM13" i="4" s="1"/>
  <c r="X24" i="4"/>
  <c r="Y24" i="4" s="1"/>
  <c r="X25" i="4"/>
  <c r="Y25" i="4" s="1"/>
  <c r="X26" i="4"/>
  <c r="Y26" i="4" s="1"/>
  <c r="X44" i="4"/>
  <c r="Y44" i="4" s="1"/>
  <c r="S69" i="4" s="1"/>
  <c r="X45" i="4"/>
  <c r="Y45" i="4" s="1"/>
  <c r="X32" i="4"/>
  <c r="Y32" i="4" s="1"/>
  <c r="X18" i="4"/>
  <c r="Y18" i="4" s="1"/>
  <c r="X30" i="4"/>
  <c r="Y30" i="4" s="1"/>
  <c r="X31" i="4"/>
  <c r="Y31" i="4" s="1"/>
  <c r="S67" i="4" s="1"/>
  <c r="X10" i="4"/>
  <c r="Y10" i="4" s="1"/>
  <c r="X19" i="4"/>
  <c r="Y19" i="4" s="1"/>
  <c r="X20" i="4"/>
  <c r="Y20" i="4" s="1"/>
  <c r="X14" i="4"/>
  <c r="Y14" i="4" s="1"/>
  <c r="X11" i="4"/>
  <c r="Y11" i="4" s="1"/>
  <c r="X15" i="4"/>
  <c r="Y15" i="4" s="1"/>
  <c r="X13" i="4"/>
  <c r="Y13" i="4" s="1"/>
  <c r="R64" i="4" s="1"/>
  <c r="X38" i="4"/>
  <c r="Y38" i="4" s="1"/>
  <c r="X34" i="4"/>
  <c r="Y34" i="4" s="1"/>
  <c r="Q68" i="4" s="1"/>
  <c r="X39" i="4"/>
  <c r="Y39" i="4" s="1"/>
  <c r="X49" i="4"/>
  <c r="Y49" i="4" s="1"/>
  <c r="X48" i="4"/>
  <c r="Y48" i="4" s="1"/>
  <c r="X50" i="4"/>
  <c r="Y50" i="4" s="1"/>
  <c r="X51" i="4"/>
  <c r="Y51" i="4" s="1"/>
  <c r="X28" i="4"/>
  <c r="Y28" i="4" s="1"/>
  <c r="X40" i="4"/>
  <c r="Y40" i="4" s="1"/>
  <c r="P69" i="4" s="1"/>
  <c r="X16" i="4"/>
  <c r="Y16" i="4" s="1"/>
  <c r="X17" i="4"/>
  <c r="Y17" i="4" s="1"/>
  <c r="X36" i="4"/>
  <c r="Y36" i="4" s="1"/>
  <c r="X23" i="4"/>
  <c r="Y23" i="4" s="1"/>
  <c r="X46" i="4"/>
  <c r="Y46" i="4" s="1"/>
  <c r="S70" i="4" s="1"/>
  <c r="J32" i="4"/>
  <c r="K32" i="4" s="1"/>
  <c r="J33" i="4"/>
  <c r="K33" i="4" s="1"/>
  <c r="J25" i="4"/>
  <c r="K25" i="4" s="1"/>
  <c r="J30" i="4"/>
  <c r="K30" i="4" s="1"/>
  <c r="J13" i="4"/>
  <c r="K13" i="4" s="1"/>
  <c r="J16" i="4"/>
  <c r="K16" i="4" s="1"/>
  <c r="J23" i="4"/>
  <c r="K23" i="4" s="1"/>
  <c r="J26" i="4"/>
  <c r="K26" i="4" s="1"/>
  <c r="J27" i="4"/>
  <c r="K27" i="4" s="1"/>
  <c r="J22" i="4"/>
  <c r="K22" i="4" s="1"/>
  <c r="J29" i="4"/>
  <c r="K29" i="4" s="1"/>
  <c r="J28" i="4"/>
  <c r="K28" i="4" s="1"/>
  <c r="J15" i="4"/>
  <c r="K15" i="4" s="1"/>
  <c r="J10" i="4"/>
  <c r="K10" i="4" s="1"/>
  <c r="J18" i="4"/>
  <c r="K18" i="4" s="1"/>
  <c r="J19" i="4"/>
  <c r="K19" i="4" s="1"/>
  <c r="J20" i="4"/>
  <c r="K20" i="4" s="1"/>
  <c r="J14" i="4"/>
  <c r="K14" i="4" s="1"/>
  <c r="J21" i="4"/>
  <c r="K21" i="4" s="1"/>
  <c r="J12" i="4"/>
  <c r="K12" i="4" s="1"/>
  <c r="C66" i="4"/>
  <c r="AN24" i="3"/>
  <c r="AF45" i="3" s="1"/>
  <c r="AM26" i="3"/>
  <c r="AN26" i="3" s="1"/>
  <c r="AM23" i="3"/>
  <c r="AN23" i="3" s="1"/>
  <c r="AM24" i="3"/>
  <c r="AM25" i="3"/>
  <c r="AN25" i="3" s="1"/>
  <c r="AG45" i="3" s="1"/>
  <c r="AF42" i="3"/>
  <c r="AM10" i="3"/>
  <c r="AN10" i="3" s="1"/>
  <c r="AM12" i="3"/>
  <c r="AN12" i="3" s="1"/>
  <c r="AM13" i="3"/>
  <c r="AN13" i="3" s="1"/>
  <c r="AE42" i="3"/>
  <c r="AM11" i="3"/>
  <c r="AN11" i="3" s="1"/>
  <c r="AG46" i="3"/>
  <c r="AM17" i="3"/>
  <c r="AN17" i="3" s="1"/>
  <c r="AM18" i="3"/>
  <c r="AN18" i="3" s="1"/>
  <c r="AM21" i="3"/>
  <c r="AN21" i="3" s="1"/>
  <c r="AM19" i="3"/>
  <c r="AN19" i="3" s="1"/>
  <c r="AH44" i="3" s="1"/>
  <c r="AM16" i="3"/>
  <c r="AN16" i="3" s="1"/>
  <c r="AH42" i="3"/>
  <c r="AM14" i="3"/>
  <c r="AN14" i="3" s="1"/>
  <c r="AG43" i="3" s="1"/>
  <c r="AM15" i="3"/>
  <c r="AN15" i="3" s="1"/>
  <c r="AM20" i="3"/>
  <c r="AN20" i="3" s="1"/>
  <c r="AG42" i="3"/>
  <c r="Y38" i="3"/>
  <c r="Z38" i="3" s="1"/>
  <c r="Y18" i="3"/>
  <c r="Z18" i="3" s="1"/>
  <c r="Y43" i="3"/>
  <c r="Z43" i="3" s="1"/>
  <c r="Y27" i="3"/>
  <c r="Z27" i="3" s="1"/>
  <c r="Y47" i="3"/>
  <c r="Z47" i="3" s="1"/>
  <c r="Y31" i="3"/>
  <c r="Z31" i="3" s="1"/>
  <c r="K27" i="3"/>
  <c r="Y32" i="3"/>
  <c r="Z32" i="3" s="1"/>
  <c r="K42" i="3"/>
  <c r="Y33" i="3"/>
  <c r="Z33" i="3" s="1"/>
  <c r="T67" i="3" s="1"/>
  <c r="Y29" i="3"/>
  <c r="Z29" i="3" s="1"/>
  <c r="K28" i="3"/>
  <c r="L28" i="3" s="1"/>
  <c r="K41" i="3"/>
  <c r="Y14" i="3"/>
  <c r="Z14" i="3" s="1"/>
  <c r="Y15" i="3"/>
  <c r="Z15" i="3" s="1"/>
  <c r="Y10" i="3"/>
  <c r="Z10" i="3" s="1"/>
  <c r="Y11" i="3"/>
  <c r="Z11" i="3" s="1"/>
  <c r="Y30" i="3"/>
  <c r="Z30" i="3" s="1"/>
  <c r="Y13" i="3"/>
  <c r="Z13" i="3" s="1"/>
  <c r="Y5" i="3"/>
  <c r="Z5" i="3" s="1"/>
  <c r="Y8" i="3"/>
  <c r="Z8" i="3" s="1"/>
  <c r="Y24" i="3"/>
  <c r="Z24" i="3" s="1"/>
  <c r="Y22" i="3"/>
  <c r="Z22" i="3" s="1"/>
  <c r="Y39" i="3"/>
  <c r="Z39" i="3" s="1"/>
  <c r="Y35" i="3"/>
  <c r="Z35" i="3" s="1"/>
  <c r="Z36" i="3" s="1"/>
  <c r="Y50" i="3"/>
  <c r="Z50" i="3" s="1"/>
  <c r="Y48" i="3"/>
  <c r="Z48" i="3" s="1"/>
  <c r="Y49" i="3"/>
  <c r="Z49" i="3" s="1"/>
  <c r="Y46" i="3"/>
  <c r="Z46" i="3" s="1"/>
  <c r="T70" i="3" s="1"/>
  <c r="Y7" i="3"/>
  <c r="Z7" i="3" s="1"/>
  <c r="Y4" i="3"/>
  <c r="Z4" i="3" s="1"/>
  <c r="K44" i="3"/>
  <c r="L44" i="3" s="1"/>
  <c r="Y12" i="3"/>
  <c r="Z12" i="3" s="1"/>
  <c r="Y17" i="3"/>
  <c r="Z17" i="3" s="1"/>
  <c r="Y21" i="3"/>
  <c r="Z21" i="3" s="1"/>
  <c r="Y19" i="3"/>
  <c r="Z19" i="3" s="1"/>
  <c r="Y16" i="3"/>
  <c r="Z16" i="3" s="1"/>
  <c r="Y9" i="3"/>
  <c r="Z9" i="3" s="1"/>
  <c r="Y37" i="3"/>
  <c r="Z37" i="3" s="1"/>
  <c r="S68" i="3" s="1"/>
  <c r="Y42" i="3"/>
  <c r="Z42" i="3" s="1"/>
  <c r="Y44" i="3"/>
  <c r="Z44" i="3" s="1"/>
  <c r="T69" i="3" s="1"/>
  <c r="Y40" i="3"/>
  <c r="Z40" i="3" s="1"/>
  <c r="R69" i="3" s="1"/>
  <c r="Y41" i="3"/>
  <c r="Z41" i="3" s="1"/>
  <c r="Y23" i="3"/>
  <c r="Z23" i="3" s="1"/>
  <c r="Y25" i="3"/>
  <c r="Z25" i="3" s="1"/>
  <c r="Y36" i="3"/>
  <c r="AE46" i="3"/>
  <c r="AF46" i="3"/>
  <c r="S69" i="3"/>
  <c r="J58" i="3"/>
  <c r="K36" i="3" s="1"/>
  <c r="L36" i="3" s="1"/>
  <c r="K7" i="3"/>
  <c r="L7" i="3" s="1"/>
  <c r="K45" i="3"/>
  <c r="L45" i="3" s="1"/>
  <c r="K40" i="3"/>
  <c r="L40" i="3" s="1"/>
  <c r="K47" i="3"/>
  <c r="L47" i="3" s="1"/>
  <c r="K20" i="3"/>
  <c r="L20" i="3" s="1"/>
  <c r="K30" i="3"/>
  <c r="L30" i="3" s="1"/>
  <c r="K49" i="3"/>
  <c r="L49" i="3" s="1"/>
  <c r="K11" i="3"/>
  <c r="L11" i="3" s="1"/>
  <c r="K15" i="3"/>
  <c r="L15" i="3" s="1"/>
  <c r="E64" i="3" s="1"/>
  <c r="K10" i="3"/>
  <c r="L10" i="3" s="1"/>
  <c r="K12" i="3"/>
  <c r="L12" i="3" s="1"/>
  <c r="K8" i="3"/>
  <c r="L8" i="3" s="1"/>
  <c r="K9" i="3"/>
  <c r="L9" i="3" s="1"/>
  <c r="L33" i="3"/>
  <c r="K22" i="3"/>
  <c r="L22" i="3" s="1"/>
  <c r="K24" i="3"/>
  <c r="L24" i="3" s="1"/>
  <c r="K25" i="3"/>
  <c r="L25" i="3" s="1"/>
  <c r="K26" i="3"/>
  <c r="K6" i="3"/>
  <c r="L6" i="3" s="1"/>
  <c r="K50" i="3"/>
  <c r="L50" i="3" s="1"/>
  <c r="K51" i="3"/>
  <c r="L51" i="3" s="1"/>
  <c r="K29" i="3"/>
  <c r="L29" i="3" s="1"/>
  <c r="K31" i="3"/>
  <c r="L31" i="3" s="1"/>
  <c r="K18" i="3"/>
  <c r="L18" i="3" s="1"/>
  <c r="K4" i="3"/>
  <c r="L4" i="3" s="1"/>
  <c r="C63" i="3" s="1"/>
  <c r="K23" i="3"/>
  <c r="L23" i="3" s="1"/>
  <c r="K21" i="3"/>
  <c r="L21" i="3" s="1"/>
  <c r="K19" i="3"/>
  <c r="L19" i="3" s="1"/>
  <c r="K46" i="3"/>
  <c r="L46" i="3" s="1"/>
  <c r="C70" i="3" s="1"/>
  <c r="L27" i="3"/>
  <c r="L16" i="3"/>
  <c r="L17" i="3"/>
  <c r="L26" i="3"/>
  <c r="L43" i="3"/>
  <c r="L41" i="3"/>
  <c r="R54" i="2"/>
  <c r="Q54" i="2"/>
  <c r="I31" i="2"/>
  <c r="J31" i="2" s="1"/>
  <c r="I32" i="2"/>
  <c r="J32" i="2" s="1"/>
  <c r="I30" i="2"/>
  <c r="J30" i="2" s="1"/>
  <c r="I28" i="2"/>
  <c r="J28" i="2" s="1"/>
  <c r="I19" i="2"/>
  <c r="J19" i="2" s="1"/>
  <c r="U16" i="2"/>
  <c r="I24" i="2"/>
  <c r="J24" i="2" s="1"/>
  <c r="U17" i="2"/>
  <c r="I25" i="2"/>
  <c r="J25" i="2" s="1"/>
  <c r="J89" i="2"/>
  <c r="K89" i="2" s="1"/>
  <c r="J91" i="2"/>
  <c r="K91" i="2" s="1"/>
  <c r="D129" i="2" s="1"/>
  <c r="I15" i="2"/>
  <c r="J15" i="2" s="1"/>
  <c r="I18" i="2"/>
  <c r="J18" i="2" s="1"/>
  <c r="U8" i="2"/>
  <c r="U4" i="2"/>
  <c r="G129" i="2"/>
  <c r="I16" i="2"/>
  <c r="J16" i="2" s="1"/>
  <c r="U7" i="2"/>
  <c r="I17" i="2"/>
  <c r="J17" i="2" s="1"/>
  <c r="U6" i="2"/>
  <c r="I21" i="2"/>
  <c r="J21" i="2" s="1"/>
  <c r="I26" i="2"/>
  <c r="J26" i="2" s="1"/>
  <c r="I23" i="2"/>
  <c r="J23" i="2" s="1"/>
  <c r="I27" i="2"/>
  <c r="J27" i="2" s="1"/>
  <c r="I10" i="2"/>
  <c r="J10" i="2" s="1"/>
  <c r="I11" i="2"/>
  <c r="J11" i="2" s="1"/>
  <c r="I12" i="2"/>
  <c r="J12" i="2" s="1"/>
  <c r="I13" i="2"/>
  <c r="J13" i="2" s="1"/>
  <c r="I14" i="2"/>
  <c r="J14" i="2" s="1"/>
  <c r="I9" i="2"/>
  <c r="J9" i="2" s="1"/>
  <c r="F129" i="2"/>
  <c r="J96" i="2"/>
  <c r="K96" i="2" s="1"/>
  <c r="J99" i="2"/>
  <c r="K99" i="2" s="1"/>
  <c r="J84" i="2"/>
  <c r="K84" i="2"/>
  <c r="L84" i="2" s="1"/>
  <c r="V108" i="2"/>
  <c r="W108" i="2" s="1"/>
  <c r="V109" i="2"/>
  <c r="W109" i="2" s="1"/>
  <c r="Q132" i="2" s="1"/>
  <c r="V110" i="2"/>
  <c r="W110" i="2" s="1"/>
  <c r="V111" i="2"/>
  <c r="W111" i="2" s="1"/>
  <c r="J88" i="2"/>
  <c r="K88" i="2" s="1"/>
  <c r="L88" i="2" s="1"/>
  <c r="J83" i="2"/>
  <c r="K83" i="2" s="1"/>
  <c r="V87" i="2"/>
  <c r="W87" i="2" s="1"/>
  <c r="V88" i="2"/>
  <c r="W88" i="2" s="1"/>
  <c r="V86" i="2"/>
  <c r="W86" i="2" s="1"/>
  <c r="V83" i="2"/>
  <c r="W83" i="2" s="1"/>
  <c r="V84" i="2"/>
  <c r="W84" i="2" s="1"/>
  <c r="V92" i="2"/>
  <c r="W92" i="2" s="1"/>
  <c r="J74" i="2"/>
  <c r="K74" i="2" s="1"/>
  <c r="J75" i="2"/>
  <c r="K75" i="2" s="1"/>
  <c r="J76" i="2"/>
  <c r="K76" i="2" s="1"/>
  <c r="J100" i="2"/>
  <c r="K100" i="2" s="1"/>
  <c r="V93" i="2"/>
  <c r="W93" i="2" s="1"/>
  <c r="V81" i="2"/>
  <c r="W81" i="2" s="1"/>
  <c r="V76" i="2"/>
  <c r="W76" i="2" s="1"/>
  <c r="V82" i="2"/>
  <c r="W82" i="2" s="1"/>
  <c r="V112" i="2"/>
  <c r="W112" i="2" s="1"/>
  <c r="V91" i="2"/>
  <c r="W91" i="2" s="1"/>
  <c r="J85" i="2"/>
  <c r="K85" i="2" s="1"/>
  <c r="L85" i="2" s="1"/>
  <c r="V94" i="2"/>
  <c r="W94" i="2" s="1"/>
  <c r="J97" i="2"/>
  <c r="K97" i="2" s="1"/>
  <c r="J86" i="2"/>
  <c r="K86" i="2" s="1"/>
  <c r="L86" i="2" s="1"/>
  <c r="V89" i="2"/>
  <c r="W89" i="2" s="1"/>
  <c r="V74" i="2"/>
  <c r="W74" i="2" s="1"/>
  <c r="J73" i="2"/>
  <c r="K73" i="2" s="1"/>
  <c r="D126" i="2" s="1"/>
  <c r="J98" i="2"/>
  <c r="K98" i="2" s="1"/>
  <c r="V75" i="2"/>
  <c r="W75" i="2" s="1"/>
  <c r="V72" i="2"/>
  <c r="W72" i="2" s="1"/>
  <c r="V73" i="2"/>
  <c r="W73" i="2" s="1"/>
  <c r="J82" i="2"/>
  <c r="K82" i="2" s="1"/>
  <c r="J80" i="2"/>
  <c r="K80" i="2" s="1"/>
  <c r="J81" i="2"/>
  <c r="K81" i="2" s="1"/>
  <c r="J79" i="2"/>
  <c r="K79" i="2" s="1"/>
  <c r="J77" i="2"/>
  <c r="K77" i="2" s="1"/>
  <c r="V80" i="2"/>
  <c r="W80" i="2" s="1"/>
  <c r="V77" i="2"/>
  <c r="W77" i="2" s="1"/>
  <c r="V78" i="2"/>
  <c r="W78" i="2" s="1"/>
  <c r="V102" i="2"/>
  <c r="W102" i="2" s="1"/>
  <c r="V103" i="2"/>
  <c r="W103" i="2" s="1"/>
  <c r="V104" i="2"/>
  <c r="W104" i="2" s="1"/>
  <c r="V105" i="2"/>
  <c r="W105" i="2" s="1"/>
  <c r="V106" i="2"/>
  <c r="W106" i="2" s="1"/>
  <c r="V101" i="2"/>
  <c r="W101" i="2" s="1"/>
  <c r="V96" i="2"/>
  <c r="W96" i="2" s="1"/>
  <c r="V99" i="2"/>
  <c r="W99" i="2" s="1"/>
  <c r="V98" i="2"/>
  <c r="W98" i="2" s="1"/>
  <c r="V100" i="2"/>
  <c r="W100" i="2" s="1"/>
  <c r="S130" i="2" s="1"/>
  <c r="V95" i="2"/>
  <c r="W95" i="2" s="1"/>
  <c r="V97" i="2"/>
  <c r="W97" i="2" s="1"/>
  <c r="Q143" i="1"/>
  <c r="R143" i="1"/>
  <c r="I102" i="1"/>
  <c r="J102" i="1" s="1"/>
  <c r="I104" i="1"/>
  <c r="J104" i="1" s="1"/>
  <c r="I106" i="1"/>
  <c r="J106" i="1" s="1"/>
  <c r="I101" i="1"/>
  <c r="J101" i="1" s="1"/>
  <c r="I103" i="1"/>
  <c r="J103" i="1" s="1"/>
  <c r="I105" i="1"/>
  <c r="J105" i="1" s="1"/>
  <c r="I82" i="1"/>
  <c r="J82" i="1" s="1"/>
  <c r="I77" i="1"/>
  <c r="J77" i="1" s="1"/>
  <c r="D138" i="1" s="1"/>
  <c r="I78" i="1"/>
  <c r="J78" i="1" s="1"/>
  <c r="I80" i="1"/>
  <c r="J80" i="1" s="1"/>
  <c r="F138" i="1" s="1"/>
  <c r="I81" i="1"/>
  <c r="J81" i="1" s="1"/>
  <c r="C138" i="1"/>
  <c r="I107" i="1"/>
  <c r="J107" i="1" s="1"/>
  <c r="I108" i="1"/>
  <c r="J108" i="1" s="1"/>
  <c r="I111" i="1"/>
  <c r="J111" i="1" s="1"/>
  <c r="I112" i="1"/>
  <c r="J112" i="1" s="1"/>
  <c r="I110" i="1"/>
  <c r="J110" i="1" s="1"/>
  <c r="I30" i="1"/>
  <c r="I29" i="1"/>
  <c r="I27" i="1"/>
  <c r="I28" i="1"/>
  <c r="E140" i="1"/>
  <c r="T132" i="1"/>
  <c r="T133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J7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W87" i="2"/>
  <c r="AJ87" i="2"/>
  <c r="AW86" i="2"/>
  <c r="AJ86" i="2"/>
  <c r="AW85" i="2"/>
  <c r="AJ85" i="2"/>
  <c r="AW84" i="2"/>
  <c r="AJ84" i="2"/>
  <c r="AW83" i="2"/>
  <c r="AJ83" i="2"/>
  <c r="AW82" i="2"/>
  <c r="AJ82" i="2"/>
  <c r="AW81" i="2"/>
  <c r="AJ81" i="2"/>
  <c r="AW80" i="2"/>
  <c r="AJ80" i="2"/>
  <c r="AW79" i="2"/>
  <c r="AJ79" i="2"/>
  <c r="AW78" i="2"/>
  <c r="AJ78" i="2"/>
  <c r="AW77" i="2"/>
  <c r="AJ77" i="2"/>
  <c r="AW76" i="2"/>
  <c r="AJ76" i="2"/>
  <c r="AW75" i="2"/>
  <c r="AJ75" i="2"/>
  <c r="AW74" i="2"/>
  <c r="AJ74" i="2"/>
  <c r="AW73" i="2"/>
  <c r="AJ73" i="2"/>
  <c r="AW72" i="2"/>
  <c r="AJ72" i="2"/>
  <c r="AW71" i="2"/>
  <c r="AJ71" i="2"/>
  <c r="AW70" i="2"/>
  <c r="AI106" i="1"/>
  <c r="AI105" i="1"/>
  <c r="AI104" i="1"/>
  <c r="AI103" i="1"/>
  <c r="AI102" i="1"/>
  <c r="AI101" i="1"/>
  <c r="AH100" i="1"/>
  <c r="AI100" i="1" s="1"/>
  <c r="AI99" i="1"/>
  <c r="AI98" i="1"/>
  <c r="AI97" i="1"/>
  <c r="AI96" i="1"/>
  <c r="AI95" i="1"/>
  <c r="AU94" i="1"/>
  <c r="AI94" i="1"/>
  <c r="AU93" i="1"/>
  <c r="AI93" i="1"/>
  <c r="AU92" i="1"/>
  <c r="AI92" i="1"/>
  <c r="AU91" i="1"/>
  <c r="AI91" i="1"/>
  <c r="AU90" i="1"/>
  <c r="AI90" i="1"/>
  <c r="AU89" i="1"/>
  <c r="AI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R20" i="2"/>
  <c r="AV20" i="2" s="1"/>
  <c r="AR3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V3" i="2"/>
  <c r="AU5" i="1"/>
  <c r="AU3" i="1"/>
  <c r="AU4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E21" i="2"/>
  <c r="AI21" i="2" s="1"/>
  <c r="AE10" i="2"/>
  <c r="AI10" i="2" s="1"/>
  <c r="AF3" i="2"/>
  <c r="AE3" i="2"/>
  <c r="AE32" i="2"/>
  <c r="AI32" i="2" s="1"/>
  <c r="AI31" i="2"/>
  <c r="AI30" i="2"/>
  <c r="AI29" i="2"/>
  <c r="AI28" i="2"/>
  <c r="AI27" i="2"/>
  <c r="AI26" i="2"/>
  <c r="AI25" i="2"/>
  <c r="AI24" i="2"/>
  <c r="AI23" i="2"/>
  <c r="AI22" i="2"/>
  <c r="AI20" i="2"/>
  <c r="AI19" i="2"/>
  <c r="AI18" i="2"/>
  <c r="AI17" i="2"/>
  <c r="AI16" i="2"/>
  <c r="AI15" i="2"/>
  <c r="AI14" i="2"/>
  <c r="AI13" i="2"/>
  <c r="AI12" i="2"/>
  <c r="AI11" i="2"/>
  <c r="AI9" i="2"/>
  <c r="AI8" i="2"/>
  <c r="AI7" i="2"/>
  <c r="AI6" i="2"/>
  <c r="AI5" i="2"/>
  <c r="AI4" i="2"/>
  <c r="C69" i="4" l="1"/>
  <c r="D66" i="4"/>
  <c r="E52" i="2"/>
  <c r="F52" i="2"/>
  <c r="D52" i="2"/>
  <c r="C52" i="2"/>
  <c r="D50" i="2"/>
  <c r="C50" i="2"/>
  <c r="E50" i="2"/>
  <c r="F50" i="2"/>
  <c r="P66" i="4"/>
  <c r="R70" i="4"/>
  <c r="P65" i="4"/>
  <c r="E70" i="4"/>
  <c r="S68" i="4"/>
  <c r="Q70" i="4"/>
  <c r="D70" i="4"/>
  <c r="AF42" i="4"/>
  <c r="AD46" i="4"/>
  <c r="AE43" i="4"/>
  <c r="AM24" i="4"/>
  <c r="AD45" i="4" s="1"/>
  <c r="AE45" i="4"/>
  <c r="AD44" i="4"/>
  <c r="AE42" i="4"/>
  <c r="AG44" i="4"/>
  <c r="AE44" i="4"/>
  <c r="AF43" i="4"/>
  <c r="AG43" i="4"/>
  <c r="AD42" i="4"/>
  <c r="AD43" i="4"/>
  <c r="P70" i="4"/>
  <c r="Q67" i="4"/>
  <c r="P67" i="4"/>
  <c r="S64" i="4"/>
  <c r="Q65" i="4"/>
  <c r="R67" i="4"/>
  <c r="R68" i="4"/>
  <c r="Q69" i="4"/>
  <c r="R69" i="4"/>
  <c r="R65" i="4"/>
  <c r="S65" i="4"/>
  <c r="Q66" i="4"/>
  <c r="C70" i="4"/>
  <c r="S66" i="4"/>
  <c r="R66" i="4"/>
  <c r="Q64" i="4"/>
  <c r="P64" i="4"/>
  <c r="B67" i="4"/>
  <c r="B70" i="4"/>
  <c r="B68" i="4"/>
  <c r="C68" i="4"/>
  <c r="B69" i="4"/>
  <c r="E67" i="4"/>
  <c r="C67" i="4"/>
  <c r="E68" i="4"/>
  <c r="D68" i="4"/>
  <c r="P68" i="4"/>
  <c r="AH45" i="3"/>
  <c r="AE45" i="3"/>
  <c r="AF44" i="3"/>
  <c r="AE44" i="3"/>
  <c r="AH43" i="3"/>
  <c r="AG44" i="3"/>
  <c r="AF43" i="3"/>
  <c r="AE43" i="3"/>
  <c r="R68" i="3"/>
  <c r="Q68" i="3"/>
  <c r="C67" i="3"/>
  <c r="T68" i="3"/>
  <c r="Q69" i="3"/>
  <c r="R66" i="3"/>
  <c r="R64" i="3"/>
  <c r="S63" i="3"/>
  <c r="R70" i="3"/>
  <c r="S64" i="3"/>
  <c r="S70" i="3"/>
  <c r="Q67" i="3"/>
  <c r="T65" i="3"/>
  <c r="S65" i="3"/>
  <c r="R63" i="3"/>
  <c r="Q63" i="3"/>
  <c r="T63" i="3"/>
  <c r="Q65" i="3"/>
  <c r="R65" i="3"/>
  <c r="D67" i="3"/>
  <c r="Q64" i="3"/>
  <c r="T66" i="3"/>
  <c r="S66" i="3"/>
  <c r="R67" i="3"/>
  <c r="T64" i="3"/>
  <c r="E67" i="3"/>
  <c r="F70" i="3"/>
  <c r="Q70" i="3"/>
  <c r="S67" i="3"/>
  <c r="C64" i="3"/>
  <c r="C65" i="3"/>
  <c r="Q66" i="3"/>
  <c r="D63" i="3"/>
  <c r="C66" i="3"/>
  <c r="F67" i="3"/>
  <c r="L42" i="3"/>
  <c r="K34" i="3"/>
  <c r="L34" i="3" s="1"/>
  <c r="K39" i="3"/>
  <c r="L39" i="3" s="1"/>
  <c r="K37" i="3"/>
  <c r="L37" i="3" s="1"/>
  <c r="K35" i="3"/>
  <c r="L35" i="3" s="1"/>
  <c r="C68" i="3" s="1"/>
  <c r="K38" i="3"/>
  <c r="L38" i="3" s="1"/>
  <c r="F68" i="3" s="1"/>
  <c r="D70" i="3"/>
  <c r="D64" i="3"/>
  <c r="E70" i="3"/>
  <c r="E63" i="3"/>
  <c r="F65" i="3"/>
  <c r="F63" i="3"/>
  <c r="F66" i="3"/>
  <c r="D65" i="3"/>
  <c r="E66" i="3"/>
  <c r="F64" i="3"/>
  <c r="D66" i="3"/>
  <c r="E65" i="3"/>
  <c r="D69" i="3"/>
  <c r="C69" i="3"/>
  <c r="F69" i="3"/>
  <c r="E69" i="3"/>
  <c r="E138" i="1"/>
  <c r="D130" i="2"/>
  <c r="R128" i="2"/>
  <c r="E129" i="2"/>
  <c r="AH106" i="2"/>
  <c r="AG39" i="2"/>
  <c r="AK98" i="2" s="1"/>
  <c r="AL98" i="2" s="1"/>
  <c r="AM98" i="2" s="1"/>
  <c r="Q126" i="2"/>
  <c r="Q129" i="2"/>
  <c r="S129" i="2"/>
  <c r="S127" i="2"/>
  <c r="P127" i="2"/>
  <c r="P129" i="2"/>
  <c r="F127" i="2"/>
  <c r="S132" i="2"/>
  <c r="P132" i="2"/>
  <c r="P131" i="2"/>
  <c r="Q131" i="2"/>
  <c r="F130" i="2"/>
  <c r="AG38" i="2"/>
  <c r="AJ25" i="2" s="1"/>
  <c r="AK25" i="2" s="1"/>
  <c r="AL25" i="2" s="1"/>
  <c r="R129" i="2"/>
  <c r="E126" i="2"/>
  <c r="AI3" i="2"/>
  <c r="AG35" i="2" s="1"/>
  <c r="AJ4" i="2" s="1"/>
  <c r="AK4" i="2" s="1"/>
  <c r="AL4" i="2" s="1"/>
  <c r="E128" i="2"/>
  <c r="D128" i="2"/>
  <c r="L83" i="2"/>
  <c r="S128" i="2"/>
  <c r="P126" i="2"/>
  <c r="AK94" i="2"/>
  <c r="AL94" i="2" s="1"/>
  <c r="AM94" i="2" s="1"/>
  <c r="E130" i="2"/>
  <c r="AK95" i="2"/>
  <c r="AL95" i="2" s="1"/>
  <c r="AM95" i="2" s="1"/>
  <c r="R127" i="2"/>
  <c r="S126" i="2"/>
  <c r="G126" i="2"/>
  <c r="F126" i="2"/>
  <c r="AK96" i="2"/>
  <c r="AL96" i="2" s="1"/>
  <c r="AM96" i="2" s="1"/>
  <c r="G128" i="2"/>
  <c r="Q128" i="2"/>
  <c r="P128" i="2"/>
  <c r="R132" i="2"/>
  <c r="R126" i="2"/>
  <c r="G130" i="2"/>
  <c r="AW93" i="2"/>
  <c r="F128" i="2"/>
  <c r="I31" i="1"/>
  <c r="V30" i="1"/>
  <c r="V32" i="1"/>
  <c r="V28" i="1"/>
  <c r="V29" i="1"/>
  <c r="V31" i="1"/>
  <c r="I9" i="1"/>
  <c r="J9" i="1" s="1"/>
  <c r="V13" i="1"/>
  <c r="V14" i="1"/>
  <c r="V9" i="1"/>
  <c r="V10" i="1"/>
  <c r="V11" i="1"/>
  <c r="V12" i="1"/>
  <c r="I20" i="1"/>
  <c r="V16" i="1"/>
  <c r="V17" i="1"/>
  <c r="V15" i="1"/>
  <c r="V18" i="1"/>
  <c r="V19" i="1"/>
  <c r="V20" i="1"/>
  <c r="I8" i="1"/>
  <c r="J8" i="1" s="1"/>
  <c r="V8" i="1"/>
  <c r="V7" i="1"/>
  <c r="V3" i="1"/>
  <c r="V4" i="1"/>
  <c r="V5" i="1"/>
  <c r="V6" i="1"/>
  <c r="E127" i="2"/>
  <c r="G127" i="2"/>
  <c r="D127" i="2"/>
  <c r="Q127" i="2"/>
  <c r="S131" i="2"/>
  <c r="Q130" i="2"/>
  <c r="R131" i="2"/>
  <c r="R130" i="2"/>
  <c r="P130" i="2"/>
  <c r="C143" i="1"/>
  <c r="I32" i="1"/>
  <c r="I19" i="1"/>
  <c r="I15" i="1"/>
  <c r="I16" i="1"/>
  <c r="I18" i="1"/>
  <c r="J18" i="1" s="1"/>
  <c r="I17" i="1"/>
  <c r="D64" i="1" s="1"/>
  <c r="I14" i="1"/>
  <c r="J14" i="1" s="1"/>
  <c r="I13" i="1"/>
  <c r="J13" i="1" s="1"/>
  <c r="I11" i="1"/>
  <c r="J11" i="1" s="1"/>
  <c r="I10" i="1"/>
  <c r="J10" i="1" s="1"/>
  <c r="H133" i="1"/>
  <c r="I12" i="1"/>
  <c r="J12" i="1" s="1"/>
  <c r="H132" i="1"/>
  <c r="AU27" i="1"/>
  <c r="F142" i="1"/>
  <c r="E142" i="1"/>
  <c r="F143" i="1"/>
  <c r="E143" i="1"/>
  <c r="I5" i="1"/>
  <c r="J5" i="1" s="1"/>
  <c r="I6" i="1"/>
  <c r="J6" i="1" s="1"/>
  <c r="E66" i="1"/>
  <c r="D66" i="1"/>
  <c r="C66" i="1"/>
  <c r="F139" i="1"/>
  <c r="E139" i="1"/>
  <c r="D143" i="1"/>
  <c r="D140" i="1"/>
  <c r="C140" i="1"/>
  <c r="J3" i="1"/>
  <c r="D139" i="1"/>
  <c r="C139" i="1"/>
  <c r="I4" i="1"/>
  <c r="J4" i="1" s="1"/>
  <c r="C142" i="1"/>
  <c r="D142" i="1"/>
  <c r="I7" i="1"/>
  <c r="J7" i="1" s="1"/>
  <c r="H129" i="1"/>
  <c r="AU26" i="1"/>
  <c r="AU100" i="1"/>
  <c r="AH102" i="2"/>
  <c r="AG110" i="1"/>
  <c r="AG113" i="1"/>
  <c r="AG111" i="1"/>
  <c r="AH103" i="2"/>
  <c r="AW92" i="2"/>
  <c r="AH105" i="2"/>
  <c r="AW94" i="2"/>
  <c r="AH104" i="2"/>
  <c r="AU99" i="1"/>
  <c r="AG112" i="1"/>
  <c r="AU101" i="1"/>
  <c r="AV27" i="2"/>
  <c r="AV25" i="2"/>
  <c r="AV26" i="2"/>
  <c r="AU25" i="1"/>
  <c r="AG36" i="2"/>
  <c r="AJ10" i="2" s="1"/>
  <c r="AK10" i="2" s="1"/>
  <c r="AL10" i="2" s="1"/>
  <c r="AG37" i="2"/>
  <c r="AJ18" i="2" s="1"/>
  <c r="AK18" i="2" s="1"/>
  <c r="AL18" i="2" s="1"/>
  <c r="AJ32" i="2"/>
  <c r="AK32" i="2" s="1"/>
  <c r="AL32" i="2" s="1"/>
  <c r="AJ28" i="2"/>
  <c r="AK28" i="2" s="1"/>
  <c r="AL28" i="2" s="1"/>
  <c r="AJ29" i="2"/>
  <c r="AK29" i="2" s="1"/>
  <c r="AL29" i="2" s="1"/>
  <c r="AJ31" i="2"/>
  <c r="AK31" i="2" s="1"/>
  <c r="AL31" i="2" s="1"/>
  <c r="AJ27" i="2"/>
  <c r="AK27" i="2" s="1"/>
  <c r="AL27" i="2" s="1"/>
  <c r="T36" i="2"/>
  <c r="T37" i="1"/>
  <c r="T21" i="1"/>
  <c r="T22" i="1"/>
  <c r="T23" i="1"/>
  <c r="T24" i="1"/>
  <c r="T25" i="1"/>
  <c r="T26" i="1"/>
  <c r="G33" i="2"/>
  <c r="H33" i="2" s="1"/>
  <c r="AH26" i="1"/>
  <c r="AI26" i="1" s="1"/>
  <c r="T38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4" i="1"/>
  <c r="AI25" i="1"/>
  <c r="AI27" i="1"/>
  <c r="AI28" i="1"/>
  <c r="AI29" i="1"/>
  <c r="AI30" i="1"/>
  <c r="AI31" i="1"/>
  <c r="AI32" i="1"/>
  <c r="AI3" i="1"/>
  <c r="AI23" i="1"/>
  <c r="AI22" i="1"/>
  <c r="T34" i="1"/>
  <c r="T39" i="1"/>
  <c r="T40" i="1"/>
  <c r="T41" i="1"/>
  <c r="T42" i="1"/>
  <c r="T43" i="1"/>
  <c r="T44" i="1"/>
  <c r="T45" i="1"/>
  <c r="T46" i="1"/>
  <c r="T47" i="1"/>
  <c r="T48" i="1"/>
  <c r="T49" i="1"/>
  <c r="T50" i="1"/>
  <c r="T36" i="1"/>
  <c r="T33" i="1"/>
  <c r="T44" i="2"/>
  <c r="T43" i="2"/>
  <c r="T42" i="2"/>
  <c r="T41" i="2"/>
  <c r="T40" i="2"/>
  <c r="T39" i="2"/>
  <c r="T38" i="2"/>
  <c r="T37" i="2"/>
  <c r="T35" i="2"/>
  <c r="T34" i="2"/>
  <c r="T33" i="2"/>
  <c r="T32" i="2"/>
  <c r="T31" i="2"/>
  <c r="T30" i="2"/>
  <c r="T29" i="2"/>
  <c r="T28" i="2"/>
  <c r="T27" i="2"/>
  <c r="H3" i="2"/>
  <c r="H21" i="1"/>
  <c r="E68" i="3" l="1"/>
  <c r="D68" i="3"/>
  <c r="C62" i="1"/>
  <c r="AK99" i="2"/>
  <c r="AL99" i="2" s="1"/>
  <c r="AM99" i="2" s="1"/>
  <c r="AJ30" i="2"/>
  <c r="AK30" i="2" s="1"/>
  <c r="AL30" i="2" s="1"/>
  <c r="AK97" i="2"/>
  <c r="AL97" i="2" s="1"/>
  <c r="AM97" i="2" s="1"/>
  <c r="AK85" i="2"/>
  <c r="AL85" i="2" s="1"/>
  <c r="AM85" i="2" s="1"/>
  <c r="T53" i="2"/>
  <c r="U44" i="2" s="1"/>
  <c r="U39" i="2"/>
  <c r="U40" i="2"/>
  <c r="U27" i="2"/>
  <c r="V27" i="2" s="1"/>
  <c r="AJ23" i="2"/>
  <c r="H46" i="2"/>
  <c r="I33" i="2"/>
  <c r="J33" i="2" s="1"/>
  <c r="H41" i="2"/>
  <c r="AK91" i="2"/>
  <c r="AL91" i="2" s="1"/>
  <c r="AM91" i="2" s="1"/>
  <c r="AK89" i="2"/>
  <c r="AL89" i="2" s="1"/>
  <c r="AM89" i="2" s="1"/>
  <c r="AK90" i="2"/>
  <c r="AJ26" i="2"/>
  <c r="AK26" i="2" s="1"/>
  <c r="AL26" i="2" s="1"/>
  <c r="T51" i="2"/>
  <c r="U32" i="2" s="1"/>
  <c r="AJ21" i="2"/>
  <c r="AK21" i="2" s="1"/>
  <c r="AL21" i="2" s="1"/>
  <c r="AK93" i="2"/>
  <c r="AL93" i="2" s="1"/>
  <c r="AM93" i="2" s="1"/>
  <c r="AK92" i="2"/>
  <c r="AL92" i="2" s="1"/>
  <c r="AM92" i="2" s="1"/>
  <c r="AK81" i="2"/>
  <c r="AL81" i="2" s="1"/>
  <c r="AM81" i="2" s="1"/>
  <c r="AK76" i="2"/>
  <c r="AL76" i="2" s="1"/>
  <c r="AM76" i="2" s="1"/>
  <c r="AK73" i="2"/>
  <c r="AL73" i="2" s="1"/>
  <c r="AM73" i="2" s="1"/>
  <c r="AJ24" i="2"/>
  <c r="AK24" i="2" s="1"/>
  <c r="AL24" i="2" s="1"/>
  <c r="AK88" i="2"/>
  <c r="AL88" i="2" s="1"/>
  <c r="AM88" i="2" s="1"/>
  <c r="T52" i="2"/>
  <c r="U36" i="2" s="1"/>
  <c r="AJ22" i="2"/>
  <c r="AK22" i="2" s="1"/>
  <c r="AL22" i="2" s="1"/>
  <c r="AK72" i="2"/>
  <c r="AL72" i="2" s="1"/>
  <c r="AM72" i="2" s="1"/>
  <c r="AK75" i="2"/>
  <c r="AL75" i="2" s="1"/>
  <c r="AM75" i="2" s="1"/>
  <c r="AF112" i="2"/>
  <c r="AK71" i="2"/>
  <c r="AL71" i="2" s="1"/>
  <c r="AM71" i="2" s="1"/>
  <c r="AJ12" i="2"/>
  <c r="AK12" i="2" s="1"/>
  <c r="AL12" i="2" s="1"/>
  <c r="AK70" i="2"/>
  <c r="AL70" i="2" s="1"/>
  <c r="AM70" i="2" s="1"/>
  <c r="AK74" i="2"/>
  <c r="AL74" i="2" s="1"/>
  <c r="AK80" i="2"/>
  <c r="AL80" i="2" s="1"/>
  <c r="AM80" i="2" s="1"/>
  <c r="AK78" i="2"/>
  <c r="AL78" i="2" s="1"/>
  <c r="AM78" i="2" s="1"/>
  <c r="AK84" i="2"/>
  <c r="AL84" i="2" s="1"/>
  <c r="AM84" i="2" s="1"/>
  <c r="AE112" i="2"/>
  <c r="AK87" i="2"/>
  <c r="AL87" i="2" s="1"/>
  <c r="AM87" i="2" s="1"/>
  <c r="AK86" i="2"/>
  <c r="AL86" i="2" s="1"/>
  <c r="AM86" i="2" s="1"/>
  <c r="AK79" i="2"/>
  <c r="AL79" i="2" s="1"/>
  <c r="AK83" i="2"/>
  <c r="AL83" i="2" s="1"/>
  <c r="AM83" i="2" s="1"/>
  <c r="AK82" i="2"/>
  <c r="AL82" i="2" s="1"/>
  <c r="AK77" i="2"/>
  <c r="AL77" i="2" s="1"/>
  <c r="AM77" i="2" s="1"/>
  <c r="F66" i="1"/>
  <c r="C64" i="1"/>
  <c r="E63" i="1"/>
  <c r="D63" i="1"/>
  <c r="E64" i="1"/>
  <c r="F64" i="1"/>
  <c r="C63" i="1"/>
  <c r="F63" i="1"/>
  <c r="D62" i="1"/>
  <c r="E62" i="1"/>
  <c r="F62" i="1"/>
  <c r="I22" i="1"/>
  <c r="I23" i="1"/>
  <c r="I24" i="1"/>
  <c r="J24" i="1" s="1"/>
  <c r="I25" i="1"/>
  <c r="V96" i="1"/>
  <c r="W96" i="1" s="1"/>
  <c r="I26" i="1"/>
  <c r="J26" i="1" s="1"/>
  <c r="V97" i="1"/>
  <c r="W97" i="1" s="1"/>
  <c r="V98" i="1"/>
  <c r="V95" i="1"/>
  <c r="AG36" i="1"/>
  <c r="AJ9" i="1" s="1"/>
  <c r="AK9" i="1" s="1"/>
  <c r="AL9" i="1" s="1"/>
  <c r="AJ9" i="2"/>
  <c r="AK9" i="2" s="1"/>
  <c r="AL9" i="2" s="1"/>
  <c r="AJ11" i="2"/>
  <c r="AK11" i="2" s="1"/>
  <c r="AL11" i="2" s="1"/>
  <c r="AJ14" i="2"/>
  <c r="AK14" i="2" s="1"/>
  <c r="AL14" i="2" s="1"/>
  <c r="AJ13" i="2"/>
  <c r="AK13" i="2" s="1"/>
  <c r="AJ15" i="2"/>
  <c r="AK15" i="2" s="1"/>
  <c r="AL15" i="2" s="1"/>
  <c r="AJ17" i="2"/>
  <c r="AK17" i="2" s="1"/>
  <c r="AL17" i="2" s="1"/>
  <c r="AJ16" i="2"/>
  <c r="AK16" i="2" s="1"/>
  <c r="AL16" i="2" s="1"/>
  <c r="AJ20" i="2"/>
  <c r="AK20" i="2" s="1"/>
  <c r="AL20" i="2" s="1"/>
  <c r="AJ19" i="2"/>
  <c r="AK19" i="2" s="1"/>
  <c r="AJ3" i="2"/>
  <c r="AK3" i="2" s="1"/>
  <c r="AL3" i="2" s="1"/>
  <c r="AJ8" i="2"/>
  <c r="AK8" i="2" s="1"/>
  <c r="AL8" i="2" s="1"/>
  <c r="AJ5" i="2"/>
  <c r="AK5" i="2" s="1"/>
  <c r="AL5" i="2" s="1"/>
  <c r="AJ6" i="2"/>
  <c r="AK6" i="2" s="1"/>
  <c r="AL6" i="2" s="1"/>
  <c r="AJ7" i="2"/>
  <c r="AK7" i="2" s="1"/>
  <c r="AL7" i="2" s="1"/>
  <c r="AG45" i="2"/>
  <c r="AF45" i="2"/>
  <c r="AE45" i="2"/>
  <c r="AD45" i="2"/>
  <c r="AG35" i="1"/>
  <c r="AJ6" i="1" s="1"/>
  <c r="AK6" i="1" s="1"/>
  <c r="AL6" i="1" s="1"/>
  <c r="AG37" i="1"/>
  <c r="AG39" i="1"/>
  <c r="AJ27" i="1" s="1"/>
  <c r="AK27" i="1" s="1"/>
  <c r="AL27" i="1" s="1"/>
  <c r="T35" i="1"/>
  <c r="AJ10" i="1"/>
  <c r="AK10" i="1" s="1"/>
  <c r="AL10" i="1" s="1"/>
  <c r="AJ14" i="1"/>
  <c r="AK14" i="1" s="1"/>
  <c r="AL14" i="1" s="1"/>
  <c r="AG38" i="1"/>
  <c r="V46" i="1"/>
  <c r="W46" i="1" s="1"/>
  <c r="AH112" i="2" l="1"/>
  <c r="U38" i="2"/>
  <c r="U33" i="2"/>
  <c r="AG112" i="2"/>
  <c r="U37" i="2"/>
  <c r="U34" i="2"/>
  <c r="U43" i="2"/>
  <c r="U31" i="2"/>
  <c r="U41" i="2"/>
  <c r="U29" i="2"/>
  <c r="I38" i="2"/>
  <c r="J38" i="2" s="1"/>
  <c r="I34" i="2"/>
  <c r="J34" i="2" s="1"/>
  <c r="I35" i="2"/>
  <c r="J35" i="2" s="1"/>
  <c r="I36" i="2"/>
  <c r="J36" i="2" s="1"/>
  <c r="I37" i="2"/>
  <c r="J37" i="2" s="1"/>
  <c r="AF44" i="2"/>
  <c r="U35" i="2"/>
  <c r="AG44" i="2"/>
  <c r="U28" i="2"/>
  <c r="U30" i="2"/>
  <c r="AF108" i="2"/>
  <c r="AE108" i="2"/>
  <c r="U42" i="2"/>
  <c r="I4" i="2"/>
  <c r="J4" i="2" s="1"/>
  <c r="I8" i="2"/>
  <c r="J8" i="2" s="1"/>
  <c r="I5" i="2"/>
  <c r="J5" i="2" s="1"/>
  <c r="I7" i="2"/>
  <c r="J7" i="2" s="1"/>
  <c r="I6" i="2"/>
  <c r="J6" i="2" s="1"/>
  <c r="I3" i="2"/>
  <c r="J3" i="2" s="1"/>
  <c r="AD42" i="2"/>
  <c r="AL90" i="2"/>
  <c r="AF111" i="2" s="1"/>
  <c r="V36" i="2"/>
  <c r="W36" i="2" s="1"/>
  <c r="V41" i="2"/>
  <c r="W41" i="2" s="1"/>
  <c r="AK23" i="2"/>
  <c r="AL23" i="2" s="1"/>
  <c r="AH111" i="2"/>
  <c r="AG111" i="2"/>
  <c r="V39" i="2"/>
  <c r="AG43" i="2"/>
  <c r="AL19" i="2"/>
  <c r="AM79" i="2"/>
  <c r="AG109" i="2"/>
  <c r="AH109" i="2"/>
  <c r="AG110" i="2"/>
  <c r="AW5" i="2"/>
  <c r="AX5" i="2" s="1"/>
  <c r="AX73" i="2"/>
  <c r="AY73" i="2" s="1"/>
  <c r="AW6" i="2"/>
  <c r="AX6" i="2" s="1"/>
  <c r="AW7" i="2"/>
  <c r="AX7" i="2" s="1"/>
  <c r="AY7" i="2" s="1"/>
  <c r="AW8" i="2"/>
  <c r="AX8" i="2" s="1"/>
  <c r="AY8" i="2" s="1"/>
  <c r="AX70" i="2"/>
  <c r="AY70" i="2" s="1"/>
  <c r="AX72" i="2"/>
  <c r="AY72" i="2" s="1"/>
  <c r="AZ72" i="2" s="1"/>
  <c r="AX74" i="2"/>
  <c r="AY74" i="2" s="1"/>
  <c r="AZ74" i="2" s="1"/>
  <c r="AX71" i="2"/>
  <c r="AY71" i="2" s="1"/>
  <c r="AZ71" i="2" s="1"/>
  <c r="AX75" i="2"/>
  <c r="AY75" i="2" s="1"/>
  <c r="AZ75" i="2" s="1"/>
  <c r="AW3" i="2"/>
  <c r="AX3" i="2" s="1"/>
  <c r="AW4" i="2"/>
  <c r="AX4" i="2" s="1"/>
  <c r="AY4" i="2" s="1"/>
  <c r="AE109" i="2"/>
  <c r="AG42" i="2"/>
  <c r="AL13" i="2"/>
  <c r="AX77" i="2"/>
  <c r="AY77" i="2" s="1"/>
  <c r="AZ77" i="2" s="1"/>
  <c r="AW14" i="2"/>
  <c r="AX14" i="2" s="1"/>
  <c r="AY14" i="2" s="1"/>
  <c r="AW12" i="2"/>
  <c r="AX12" i="2" s="1"/>
  <c r="AX79" i="2"/>
  <c r="AY79" i="2" s="1"/>
  <c r="AW9" i="2"/>
  <c r="AX9" i="2" s="1"/>
  <c r="AW11" i="2"/>
  <c r="AX11" i="2" s="1"/>
  <c r="AY11" i="2" s="1"/>
  <c r="AX78" i="2"/>
  <c r="AY78" i="2" s="1"/>
  <c r="AZ78" i="2" s="1"/>
  <c r="AW10" i="2"/>
  <c r="AX10" i="2" s="1"/>
  <c r="AY10" i="2" s="1"/>
  <c r="AX80" i="2"/>
  <c r="AY80" i="2" s="1"/>
  <c r="AZ80" i="2" s="1"/>
  <c r="AX76" i="2"/>
  <c r="AY76" i="2" s="1"/>
  <c r="AW13" i="2"/>
  <c r="AX13" i="2" s="1"/>
  <c r="AY13" i="2" s="1"/>
  <c r="AX81" i="2"/>
  <c r="AY81" i="2" s="1"/>
  <c r="AZ81" i="2" s="1"/>
  <c r="AE42" i="2"/>
  <c r="AM74" i="2"/>
  <c r="AG108" i="2"/>
  <c r="AM82" i="2"/>
  <c r="AF110" i="2"/>
  <c r="AE110" i="2"/>
  <c r="AF109" i="2"/>
  <c r="AH110" i="2"/>
  <c r="AD43" i="2"/>
  <c r="AH108" i="2"/>
  <c r="AW20" i="2"/>
  <c r="AX20" i="2" s="1"/>
  <c r="AW16" i="2"/>
  <c r="AX16" i="2" s="1"/>
  <c r="AW18" i="2"/>
  <c r="AX18" i="2" s="1"/>
  <c r="AX86" i="2"/>
  <c r="AY86" i="2" s="1"/>
  <c r="AZ86" i="2" s="1"/>
  <c r="AW19" i="2"/>
  <c r="AX19" i="2" s="1"/>
  <c r="AY19" i="2" s="1"/>
  <c r="AX85" i="2"/>
  <c r="AY85" i="2" s="1"/>
  <c r="AX82" i="2"/>
  <c r="AY82" i="2" s="1"/>
  <c r="AW15" i="2"/>
  <c r="AX15" i="2" s="1"/>
  <c r="AW17" i="2"/>
  <c r="AX17" i="2" s="1"/>
  <c r="AY17" i="2" s="1"/>
  <c r="AX87" i="2"/>
  <c r="AY87" i="2" s="1"/>
  <c r="AZ87" i="2" s="1"/>
  <c r="AX83" i="2"/>
  <c r="AY83" i="2" s="1"/>
  <c r="AZ83" i="2" s="1"/>
  <c r="AX84" i="2"/>
  <c r="AY84" i="2" s="1"/>
  <c r="AZ84" i="2" s="1"/>
  <c r="AE43" i="2"/>
  <c r="AJ12" i="1"/>
  <c r="AK12" i="1" s="1"/>
  <c r="AL12" i="1" s="1"/>
  <c r="AJ13" i="1"/>
  <c r="AK13" i="1" s="1"/>
  <c r="AL13" i="1" s="1"/>
  <c r="AJ11" i="1"/>
  <c r="AK11" i="1" s="1"/>
  <c r="AL11" i="1" s="1"/>
  <c r="E65" i="1"/>
  <c r="F65" i="1"/>
  <c r="W114" i="1"/>
  <c r="W117" i="1"/>
  <c r="W121" i="1"/>
  <c r="W124" i="1"/>
  <c r="W120" i="1"/>
  <c r="W123" i="1"/>
  <c r="W100" i="1"/>
  <c r="W99" i="1"/>
  <c r="P141" i="1"/>
  <c r="O141" i="1"/>
  <c r="W95" i="1"/>
  <c r="W98" i="1"/>
  <c r="V48" i="1"/>
  <c r="W48" i="1" s="1"/>
  <c r="AJ92" i="1"/>
  <c r="AK92" i="1" s="1"/>
  <c r="AJ89" i="1"/>
  <c r="AK89" i="1" s="1"/>
  <c r="AJ91" i="1"/>
  <c r="AK91" i="1" s="1"/>
  <c r="AL91" i="1" s="1"/>
  <c r="AJ93" i="1"/>
  <c r="AK93" i="1" s="1"/>
  <c r="AL93" i="1" s="1"/>
  <c r="AJ90" i="1"/>
  <c r="AK90" i="1" s="1"/>
  <c r="AL90" i="1" s="1"/>
  <c r="AJ94" i="1"/>
  <c r="AK94" i="1" s="1"/>
  <c r="AL94" i="1" s="1"/>
  <c r="AV90" i="1"/>
  <c r="AW90" i="1" s="1"/>
  <c r="AX90" i="1" s="1"/>
  <c r="AV94" i="1"/>
  <c r="AW94" i="1" s="1"/>
  <c r="AX94" i="1" s="1"/>
  <c r="AV16" i="1"/>
  <c r="AW16" i="1" s="1"/>
  <c r="AX16" i="1" s="1"/>
  <c r="AV17" i="1"/>
  <c r="AW17" i="1" s="1"/>
  <c r="AX17" i="1" s="1"/>
  <c r="AV18" i="1"/>
  <c r="AW18" i="1" s="1"/>
  <c r="AV20" i="1"/>
  <c r="AW20" i="1" s="1"/>
  <c r="AX20" i="1" s="1"/>
  <c r="J121" i="1"/>
  <c r="K121" i="1" s="1"/>
  <c r="AV92" i="1"/>
  <c r="AW92" i="1" s="1"/>
  <c r="AV19" i="1"/>
  <c r="AW19" i="1" s="1"/>
  <c r="AX19" i="1" s="1"/>
  <c r="J120" i="1"/>
  <c r="K120" i="1" s="1"/>
  <c r="AV91" i="1"/>
  <c r="AW91" i="1" s="1"/>
  <c r="AX91" i="1" s="1"/>
  <c r="AV15" i="1"/>
  <c r="AW15" i="1" s="1"/>
  <c r="J124" i="1"/>
  <c r="K124" i="1" s="1"/>
  <c r="J119" i="1"/>
  <c r="J123" i="1"/>
  <c r="K123" i="1" s="1"/>
  <c r="AV89" i="1"/>
  <c r="AW89" i="1" s="1"/>
  <c r="AV93" i="1"/>
  <c r="AW93" i="1" s="1"/>
  <c r="AX93" i="1" s="1"/>
  <c r="J122" i="1"/>
  <c r="AJ24" i="1"/>
  <c r="AK24" i="1" s="1"/>
  <c r="AL24" i="1" s="1"/>
  <c r="AJ95" i="1"/>
  <c r="AK95" i="1" s="1"/>
  <c r="AJ97" i="1"/>
  <c r="AJ100" i="1"/>
  <c r="AK100" i="1" s="1"/>
  <c r="AL100" i="1" s="1"/>
  <c r="AJ99" i="1"/>
  <c r="AK99" i="1" s="1"/>
  <c r="AL99" i="1" s="1"/>
  <c r="AJ98" i="1"/>
  <c r="AK98" i="1" s="1"/>
  <c r="AJ96" i="1"/>
  <c r="AK96" i="1" s="1"/>
  <c r="AL96" i="1" s="1"/>
  <c r="V25" i="1"/>
  <c r="W25" i="1" s="1"/>
  <c r="AJ19" i="1"/>
  <c r="AK19" i="1" s="1"/>
  <c r="AL19" i="1" s="1"/>
  <c r="V24" i="1"/>
  <c r="AJ20" i="1"/>
  <c r="AK20" i="1" s="1"/>
  <c r="AL20" i="1" s="1"/>
  <c r="V21" i="1"/>
  <c r="AJ16" i="1"/>
  <c r="AK16" i="1" s="1"/>
  <c r="AL16" i="1" s="1"/>
  <c r="AJ3" i="1"/>
  <c r="AK3" i="1" s="1"/>
  <c r="AL3" i="1" s="1"/>
  <c r="AJ80" i="1"/>
  <c r="AK80" i="1" s="1"/>
  <c r="AJ79" i="1"/>
  <c r="AK79" i="1" s="1"/>
  <c r="AL79" i="1" s="1"/>
  <c r="AJ82" i="1"/>
  <c r="AK82" i="1" s="1"/>
  <c r="AL82" i="1" s="1"/>
  <c r="AJ81" i="1"/>
  <c r="AK81" i="1" s="1"/>
  <c r="AL81" i="1" s="1"/>
  <c r="AJ77" i="1"/>
  <c r="AK77" i="1" s="1"/>
  <c r="AJ78" i="1"/>
  <c r="AK78" i="1" s="1"/>
  <c r="AL78" i="1" s="1"/>
  <c r="V47" i="1"/>
  <c r="W47" i="1" s="1"/>
  <c r="AJ8" i="1"/>
  <c r="AK8" i="1" s="1"/>
  <c r="AL8" i="1" s="1"/>
  <c r="V43" i="1"/>
  <c r="W43" i="1" s="1"/>
  <c r="V23" i="1"/>
  <c r="W23" i="1" s="1"/>
  <c r="AJ17" i="1"/>
  <c r="AK17" i="1" s="1"/>
  <c r="AL17" i="1" s="1"/>
  <c r="K23" i="1"/>
  <c r="AV8" i="1"/>
  <c r="AW8" i="1" s="1"/>
  <c r="AX8" i="1" s="1"/>
  <c r="AV81" i="1"/>
  <c r="AW81" i="1" s="1"/>
  <c r="AX81" i="1" s="1"/>
  <c r="AV4" i="1"/>
  <c r="AW4" i="1" s="1"/>
  <c r="AX4" i="1" s="1"/>
  <c r="AV79" i="1"/>
  <c r="AW79" i="1" s="1"/>
  <c r="AX79" i="1" s="1"/>
  <c r="AV5" i="1"/>
  <c r="AW5" i="1" s="1"/>
  <c r="AX5" i="1" s="1"/>
  <c r="AV7" i="1"/>
  <c r="AW7" i="1" s="1"/>
  <c r="AX7" i="1" s="1"/>
  <c r="AV77" i="1"/>
  <c r="AW77" i="1" s="1"/>
  <c r="AV78" i="1"/>
  <c r="AW78" i="1" s="1"/>
  <c r="AV6" i="1"/>
  <c r="AW6" i="1" s="1"/>
  <c r="AV3" i="1"/>
  <c r="AW3" i="1" s="1"/>
  <c r="AV80" i="1"/>
  <c r="AW80" i="1" s="1"/>
  <c r="AV82" i="1"/>
  <c r="AW82" i="1" s="1"/>
  <c r="AX82" i="1" s="1"/>
  <c r="J95" i="1"/>
  <c r="AJ7" i="1"/>
  <c r="AK7" i="1" s="1"/>
  <c r="AL7" i="1" s="1"/>
  <c r="AJ88" i="1"/>
  <c r="AK88" i="1" s="1"/>
  <c r="AL88" i="1" s="1"/>
  <c r="AJ87" i="1"/>
  <c r="AK87" i="1" s="1"/>
  <c r="AL87" i="1" s="1"/>
  <c r="AJ84" i="1"/>
  <c r="AK84" i="1" s="1"/>
  <c r="AL84" i="1" s="1"/>
  <c r="AJ86" i="1"/>
  <c r="AK86" i="1" s="1"/>
  <c r="AJ85" i="1"/>
  <c r="AK85" i="1" s="1"/>
  <c r="AL85" i="1" s="1"/>
  <c r="AJ83" i="1"/>
  <c r="AK83" i="1" s="1"/>
  <c r="AJ15" i="1"/>
  <c r="AK15" i="1" s="1"/>
  <c r="AL15" i="1" s="1"/>
  <c r="AJ5" i="1"/>
  <c r="AK5" i="1" s="1"/>
  <c r="AL5" i="1" s="1"/>
  <c r="AJ18" i="1"/>
  <c r="AK18" i="1" s="1"/>
  <c r="AL18" i="1" s="1"/>
  <c r="AJ32" i="1"/>
  <c r="AK32" i="1" s="1"/>
  <c r="AL32" i="1" s="1"/>
  <c r="AJ103" i="1"/>
  <c r="AK103" i="1" s="1"/>
  <c r="AL103" i="1" s="1"/>
  <c r="AJ105" i="1"/>
  <c r="AK105" i="1" s="1"/>
  <c r="AL105" i="1" s="1"/>
  <c r="AJ106" i="1"/>
  <c r="AK106" i="1" s="1"/>
  <c r="AL106" i="1" s="1"/>
  <c r="AJ102" i="1"/>
  <c r="AK102" i="1" s="1"/>
  <c r="AL102" i="1" s="1"/>
  <c r="AJ101" i="1"/>
  <c r="AK101" i="1" s="1"/>
  <c r="AJ104" i="1"/>
  <c r="AK104" i="1" s="1"/>
  <c r="V22" i="1"/>
  <c r="W22" i="1" s="1"/>
  <c r="I38" i="1"/>
  <c r="J116" i="1"/>
  <c r="AV87" i="1"/>
  <c r="AW87" i="1" s="1"/>
  <c r="AX87" i="1" s="1"/>
  <c r="J114" i="1"/>
  <c r="K114" i="1" s="1"/>
  <c r="AV13" i="1"/>
  <c r="AW13" i="1" s="1"/>
  <c r="AX13" i="1" s="1"/>
  <c r="AV12" i="1"/>
  <c r="AW12" i="1" s="1"/>
  <c r="AX12" i="1" s="1"/>
  <c r="AV14" i="1"/>
  <c r="AW14" i="1" s="1"/>
  <c r="AX14" i="1" s="1"/>
  <c r="AV86" i="1"/>
  <c r="AW86" i="1" s="1"/>
  <c r="J113" i="1"/>
  <c r="AV11" i="1"/>
  <c r="AW11" i="1" s="1"/>
  <c r="AX11" i="1" s="1"/>
  <c r="J117" i="1"/>
  <c r="K117" i="1" s="1"/>
  <c r="AV83" i="1"/>
  <c r="AW83" i="1" s="1"/>
  <c r="AV9" i="1"/>
  <c r="AW9" i="1" s="1"/>
  <c r="AX9" i="1" s="1"/>
  <c r="AV88" i="1"/>
  <c r="AW88" i="1" s="1"/>
  <c r="AX88" i="1" s="1"/>
  <c r="AV85" i="1"/>
  <c r="AW85" i="1" s="1"/>
  <c r="AX85" i="1" s="1"/>
  <c r="AV10" i="1"/>
  <c r="AW10" i="1" s="1"/>
  <c r="AX10" i="1" s="1"/>
  <c r="AV84" i="1"/>
  <c r="AW84" i="1" s="1"/>
  <c r="AX84" i="1" s="1"/>
  <c r="AF42" i="2"/>
  <c r="AF43" i="2"/>
  <c r="AE41" i="2"/>
  <c r="AD41" i="2"/>
  <c r="AG41" i="2"/>
  <c r="AF41" i="2"/>
  <c r="AJ21" i="1"/>
  <c r="AK21" i="1" s="1"/>
  <c r="AL21" i="1" s="1"/>
  <c r="AJ30" i="1"/>
  <c r="AK30" i="1" s="1"/>
  <c r="AL30" i="1" s="1"/>
  <c r="AD42" i="1"/>
  <c r="AE42" i="1"/>
  <c r="AJ29" i="1"/>
  <c r="AK29" i="1" s="1"/>
  <c r="AL29" i="1" s="1"/>
  <c r="AJ28" i="1"/>
  <c r="AK28" i="1" s="1"/>
  <c r="AL28" i="1" s="1"/>
  <c r="AG42" i="1"/>
  <c r="AJ4" i="1"/>
  <c r="AK4" i="1" s="1"/>
  <c r="AL4" i="1" s="1"/>
  <c r="AJ31" i="1"/>
  <c r="AK31" i="1" s="1"/>
  <c r="AL31" i="1" s="1"/>
  <c r="V39" i="1"/>
  <c r="W39" i="1" s="1"/>
  <c r="V41" i="1"/>
  <c r="W41" i="1" s="1"/>
  <c r="V40" i="1"/>
  <c r="V42" i="1"/>
  <c r="W42" i="1" s="1"/>
  <c r="V40" i="2"/>
  <c r="V33" i="2"/>
  <c r="AJ22" i="1"/>
  <c r="AK22" i="1" s="1"/>
  <c r="AL22" i="1" s="1"/>
  <c r="AJ23" i="1"/>
  <c r="AJ25" i="1"/>
  <c r="AK25" i="1" s="1"/>
  <c r="AL25" i="1" s="1"/>
  <c r="AJ26" i="1"/>
  <c r="AK26" i="1" s="1"/>
  <c r="AL26" i="1" s="1"/>
  <c r="V34" i="1"/>
  <c r="W34" i="1" s="1"/>
  <c r="V37" i="1"/>
  <c r="W37" i="1" s="1"/>
  <c r="V49" i="1"/>
  <c r="W49" i="1" s="1"/>
  <c r="V36" i="1"/>
  <c r="W36" i="1" s="1"/>
  <c r="V50" i="1"/>
  <c r="W50" i="1" s="1"/>
  <c r="V45" i="1"/>
  <c r="K25" i="1"/>
  <c r="K26" i="1"/>
  <c r="K40" i="1"/>
  <c r="I41" i="1"/>
  <c r="K41" i="1" s="1"/>
  <c r="I35" i="1"/>
  <c r="K34" i="1"/>
  <c r="I33" i="1"/>
  <c r="I39" i="1"/>
  <c r="K39" i="1" s="1"/>
  <c r="I37" i="1"/>
  <c r="I36" i="1"/>
  <c r="J36" i="1" s="1"/>
  <c r="K22" i="1"/>
  <c r="I44" i="1"/>
  <c r="K44" i="1" s="1"/>
  <c r="I43" i="1"/>
  <c r="K43" i="1" s="1"/>
  <c r="K24" i="1"/>
  <c r="I42" i="1"/>
  <c r="K42" i="1" s="1"/>
  <c r="AE111" i="2" l="1"/>
  <c r="F49" i="2"/>
  <c r="E49" i="2"/>
  <c r="D49" i="2"/>
  <c r="C49" i="2"/>
  <c r="AM90" i="2"/>
  <c r="V37" i="2"/>
  <c r="W37" i="2" s="1"/>
  <c r="V31" i="2"/>
  <c r="W31" i="2" s="1"/>
  <c r="V44" i="2"/>
  <c r="W44" i="2" s="1"/>
  <c r="V30" i="2"/>
  <c r="W30" i="2" s="1"/>
  <c r="V35" i="2"/>
  <c r="W35" i="2" s="1"/>
  <c r="AE44" i="2"/>
  <c r="AD44" i="2"/>
  <c r="V43" i="2"/>
  <c r="W43" i="2" s="1"/>
  <c r="V32" i="2"/>
  <c r="W32" i="2" s="1"/>
  <c r="V28" i="2"/>
  <c r="W28" i="2" s="1"/>
  <c r="V29" i="2"/>
  <c r="W29" i="2" s="1"/>
  <c r="V34" i="2"/>
  <c r="W34" i="2" s="1"/>
  <c r="V38" i="2"/>
  <c r="W38" i="2" s="1"/>
  <c r="V42" i="2"/>
  <c r="W42" i="2" s="1"/>
  <c r="W33" i="2"/>
  <c r="W39" i="2"/>
  <c r="AY9" i="2"/>
  <c r="AQ31" i="2"/>
  <c r="AR31" i="2"/>
  <c r="AZ79" i="2"/>
  <c r="AU98" i="2"/>
  <c r="AT98" i="2"/>
  <c r="AZ82" i="2"/>
  <c r="AS99" i="2"/>
  <c r="AR99" i="2"/>
  <c r="AZ85" i="2"/>
  <c r="AU99" i="2"/>
  <c r="AT99" i="2"/>
  <c r="AZ70" i="2"/>
  <c r="AS97" i="2"/>
  <c r="AR97" i="2"/>
  <c r="AS31" i="2"/>
  <c r="AY12" i="2"/>
  <c r="AT31" i="2"/>
  <c r="AZ73" i="2"/>
  <c r="AU97" i="2"/>
  <c r="AT97" i="2"/>
  <c r="AQ32" i="2"/>
  <c r="AY15" i="2"/>
  <c r="AY6" i="2"/>
  <c r="AS30" i="2"/>
  <c r="AT30" i="2"/>
  <c r="W40" i="2"/>
  <c r="AQ30" i="2"/>
  <c r="AY5" i="2"/>
  <c r="AY3" i="2"/>
  <c r="AR30" i="2"/>
  <c r="AY18" i="2"/>
  <c r="AT32" i="2"/>
  <c r="AZ76" i="2"/>
  <c r="AR98" i="2"/>
  <c r="AS98" i="2"/>
  <c r="AR32" i="2"/>
  <c r="AY16" i="2"/>
  <c r="AS32" i="2"/>
  <c r="AY20" i="2"/>
  <c r="J37" i="1"/>
  <c r="K37" i="1" s="1"/>
  <c r="J35" i="1"/>
  <c r="K35" i="1" s="1"/>
  <c r="J33" i="1"/>
  <c r="J38" i="1"/>
  <c r="K38" i="1" s="1"/>
  <c r="V38" i="1"/>
  <c r="W38" i="1" s="1"/>
  <c r="V44" i="1"/>
  <c r="W44" i="1" s="1"/>
  <c r="V33" i="1"/>
  <c r="W33" i="1" s="1"/>
  <c r="V26" i="1"/>
  <c r="W26" i="1" s="1"/>
  <c r="R141" i="1"/>
  <c r="Q141" i="1"/>
  <c r="AF42" i="1"/>
  <c r="E141" i="1"/>
  <c r="C145" i="1"/>
  <c r="D145" i="1"/>
  <c r="AD45" i="1"/>
  <c r="AE45" i="1"/>
  <c r="W118" i="1"/>
  <c r="W116" i="1"/>
  <c r="R145" i="1"/>
  <c r="W122" i="1"/>
  <c r="Q145" i="1"/>
  <c r="K21" i="1"/>
  <c r="D65" i="1"/>
  <c r="C65" i="1"/>
  <c r="E145" i="1"/>
  <c r="F145" i="1"/>
  <c r="W119" i="1"/>
  <c r="P145" i="1"/>
  <c r="O145" i="1"/>
  <c r="K36" i="1"/>
  <c r="F67" i="1"/>
  <c r="W115" i="1"/>
  <c r="W113" i="1"/>
  <c r="C141" i="1"/>
  <c r="D141" i="1"/>
  <c r="AX77" i="1"/>
  <c r="AP104" i="1"/>
  <c r="AX15" i="1"/>
  <c r="AP32" i="1"/>
  <c r="AQ32" i="1"/>
  <c r="AL89" i="1"/>
  <c r="AE118" i="1"/>
  <c r="AD118" i="1"/>
  <c r="K119" i="1"/>
  <c r="AL92" i="1"/>
  <c r="AG118" i="1"/>
  <c r="AF118" i="1"/>
  <c r="K122" i="1"/>
  <c r="AG41" i="1"/>
  <c r="AQ104" i="1"/>
  <c r="AX78" i="1"/>
  <c r="AL86" i="1"/>
  <c r="AG117" i="1"/>
  <c r="AF117" i="1"/>
  <c r="AL80" i="1"/>
  <c r="AG116" i="1"/>
  <c r="AF116" i="1"/>
  <c r="AL98" i="1"/>
  <c r="AG119" i="1"/>
  <c r="AF119" i="1"/>
  <c r="AX92" i="1"/>
  <c r="AR106" i="1"/>
  <c r="AS106" i="1"/>
  <c r="W40" i="1"/>
  <c r="W24" i="1"/>
  <c r="AL101" i="1"/>
  <c r="AE120" i="1"/>
  <c r="AD120" i="1"/>
  <c r="AD43" i="1"/>
  <c r="AE43" i="1"/>
  <c r="AL104" i="1"/>
  <c r="AF120" i="1"/>
  <c r="AG120" i="1"/>
  <c r="AX80" i="1"/>
  <c r="AR104" i="1"/>
  <c r="AS104" i="1"/>
  <c r="AX89" i="1"/>
  <c r="AQ106" i="1"/>
  <c r="AP106" i="1"/>
  <c r="AF41" i="1"/>
  <c r="AG43" i="1"/>
  <c r="AX3" i="1"/>
  <c r="AQ30" i="1"/>
  <c r="AP30" i="1"/>
  <c r="W21" i="1"/>
  <c r="AX18" i="1"/>
  <c r="AR32" i="1"/>
  <c r="AS32" i="1"/>
  <c r="AL83" i="1"/>
  <c r="AD117" i="1"/>
  <c r="AE117" i="1"/>
  <c r="AL77" i="1"/>
  <c r="AE116" i="1"/>
  <c r="AD116" i="1"/>
  <c r="AF43" i="1"/>
  <c r="W45" i="1"/>
  <c r="AX6" i="1"/>
  <c r="AS30" i="1"/>
  <c r="AR30" i="1"/>
  <c r="AL95" i="1"/>
  <c r="AK97" i="1"/>
  <c r="AD119" i="1"/>
  <c r="AQ31" i="1"/>
  <c r="AP31" i="1"/>
  <c r="AX86" i="1"/>
  <c r="AS105" i="1"/>
  <c r="AR105" i="1"/>
  <c r="AS31" i="1"/>
  <c r="AR31" i="1"/>
  <c r="K116" i="1"/>
  <c r="E144" i="1"/>
  <c r="AX83" i="1"/>
  <c r="AQ105" i="1"/>
  <c r="AP105" i="1"/>
  <c r="K113" i="1"/>
  <c r="D144" i="1"/>
  <c r="AE41" i="1"/>
  <c r="AD41" i="1"/>
  <c r="AG45" i="1"/>
  <c r="AF45" i="1"/>
  <c r="AK23" i="1"/>
  <c r="AD44" i="1" s="1"/>
  <c r="AG44" i="1"/>
  <c r="AF44" i="1"/>
  <c r="E68" i="1"/>
  <c r="E67" i="1"/>
  <c r="D68" i="1"/>
  <c r="F68" i="1"/>
  <c r="V35" i="1" l="1"/>
  <c r="W35" i="1" s="1"/>
  <c r="D67" i="1"/>
  <c r="K33" i="1"/>
  <c r="C67" i="1"/>
  <c r="O144" i="1"/>
  <c r="Q144" i="1"/>
  <c r="R144" i="1"/>
  <c r="P144" i="1"/>
  <c r="F144" i="1"/>
  <c r="C144" i="1"/>
  <c r="F141" i="1"/>
  <c r="AE44" i="1"/>
  <c r="AL23" i="1"/>
  <c r="AE119" i="1"/>
  <c r="AL97" i="1"/>
  <c r="K115" i="1"/>
  <c r="K118" i="1"/>
  <c r="W27" i="2"/>
</calcChain>
</file>

<file path=xl/sharedStrings.xml><?xml version="1.0" encoding="utf-8"?>
<sst xmlns="http://schemas.openxmlformats.org/spreadsheetml/2006/main" count="1459" uniqueCount="169">
  <si>
    <t>Housekeeping gene</t>
  </si>
  <si>
    <t>Gene of interest</t>
  </si>
  <si>
    <t>ΔCt(Ct gene interest - Ct housekeeping gene)</t>
  </si>
  <si>
    <t>ΔΔCt(ΔCt muestra - ΔCt control average)</t>
  </si>
  <si>
    <t>2^-(ΔΔCt)</t>
  </si>
  <si>
    <t>Sample</t>
  </si>
  <si>
    <t>EF</t>
  </si>
  <si>
    <t>Error</t>
  </si>
  <si>
    <t>3d</t>
  </si>
  <si>
    <t>5d</t>
  </si>
  <si>
    <t>7d</t>
  </si>
  <si>
    <t>8d</t>
  </si>
  <si>
    <t>C</t>
  </si>
  <si>
    <t>Bm</t>
  </si>
  <si>
    <t>OPR3</t>
  </si>
  <si>
    <t>ICS</t>
  </si>
  <si>
    <t>C1 1d</t>
  </si>
  <si>
    <t>C2 1d</t>
  </si>
  <si>
    <t>C3 1d</t>
  </si>
  <si>
    <t>Bm 1 1d</t>
  </si>
  <si>
    <t>Bm2 1d</t>
  </si>
  <si>
    <t>Bm 3 1d</t>
  </si>
  <si>
    <t>C1 3d</t>
  </si>
  <si>
    <t>C2 3d</t>
  </si>
  <si>
    <t>C3 3d</t>
  </si>
  <si>
    <t>Bm 1 3d</t>
  </si>
  <si>
    <t>Bm2 3d</t>
  </si>
  <si>
    <t>Bm 3 3d</t>
  </si>
  <si>
    <t>C1 5d</t>
  </si>
  <si>
    <t>C2 5d</t>
  </si>
  <si>
    <t>C3 5d</t>
  </si>
  <si>
    <t>Bm 1 5d</t>
  </si>
  <si>
    <t>Bm2 5d</t>
  </si>
  <si>
    <t>Bm 3 5d</t>
  </si>
  <si>
    <t>C1 7d</t>
  </si>
  <si>
    <t>C2 7d</t>
  </si>
  <si>
    <t>C3 7d</t>
  </si>
  <si>
    <t>Bm 1 7d</t>
  </si>
  <si>
    <t>Bm2 7d</t>
  </si>
  <si>
    <t>Bm 3 7d</t>
  </si>
  <si>
    <t>C1 8d</t>
  </si>
  <si>
    <t>C2 8d</t>
  </si>
  <si>
    <t>C3 8d</t>
  </si>
  <si>
    <t>Bm 1 8d</t>
  </si>
  <si>
    <t>Bm2 8d</t>
  </si>
  <si>
    <t>Bm 3 8d</t>
  </si>
  <si>
    <t>C1 9d</t>
  </si>
  <si>
    <t>C2 9d</t>
  </si>
  <si>
    <t>C3 9d</t>
  </si>
  <si>
    <t>Bm 1 9d</t>
  </si>
  <si>
    <t>Bm2 9d</t>
  </si>
  <si>
    <t>Bm 3 9d</t>
  </si>
  <si>
    <t>C1 10d</t>
  </si>
  <si>
    <t>C2 10d</t>
  </si>
  <si>
    <t>C3 10d</t>
  </si>
  <si>
    <t>Bm 1 10d</t>
  </si>
  <si>
    <t>Bm2 10d</t>
  </si>
  <si>
    <t>Bm 3 10d</t>
  </si>
  <si>
    <t xml:space="preserve">LOXD </t>
  </si>
  <si>
    <t>10d</t>
  </si>
  <si>
    <t>1d</t>
  </si>
  <si>
    <t>9d</t>
  </si>
  <si>
    <t>LOXD</t>
  </si>
  <si>
    <t>MYC2</t>
  </si>
  <si>
    <t>Undetermined</t>
  </si>
  <si>
    <t>UBI</t>
  </si>
  <si>
    <t>Log</t>
  </si>
  <si>
    <t>log</t>
  </si>
  <si>
    <t>C1 2d</t>
  </si>
  <si>
    <t>C2 2d</t>
  </si>
  <si>
    <t>C3 2d</t>
  </si>
  <si>
    <t>Bm 1 2d</t>
  </si>
  <si>
    <t>Bm2 2d</t>
  </si>
  <si>
    <t>Bm 3 2d</t>
  </si>
  <si>
    <t>C1 4d</t>
  </si>
  <si>
    <t>C2 4d</t>
  </si>
  <si>
    <t>C3 4d</t>
  </si>
  <si>
    <t>Bm 1 4d</t>
  </si>
  <si>
    <t>Bm2 4d</t>
  </si>
  <si>
    <t>Bm 3 4d</t>
  </si>
  <si>
    <t>C1 6d</t>
  </si>
  <si>
    <t>C2 6d</t>
  </si>
  <si>
    <t>C3 6d</t>
  </si>
  <si>
    <t>Bm 1 6d</t>
  </si>
  <si>
    <t>Bm2 6d</t>
  </si>
  <si>
    <t>Bm 3 6d</t>
  </si>
  <si>
    <t>2d</t>
  </si>
  <si>
    <t>4d</t>
  </si>
  <si>
    <t>6d</t>
  </si>
  <si>
    <t>C1 4d R</t>
  </si>
  <si>
    <t>19R</t>
  </si>
  <si>
    <t>C2 4d  R</t>
  </si>
  <si>
    <t>20R</t>
  </si>
  <si>
    <t>C3 4d R</t>
  </si>
  <si>
    <t>21R</t>
  </si>
  <si>
    <t>Bm 1 4d R</t>
  </si>
  <si>
    <t>22R</t>
  </si>
  <si>
    <t>Bm2 4d R</t>
  </si>
  <si>
    <t>23R</t>
  </si>
  <si>
    <t>Bm 3 4d R</t>
  </si>
  <si>
    <t>24R</t>
  </si>
  <si>
    <t>C1 6d R</t>
  </si>
  <si>
    <t>31R</t>
  </si>
  <si>
    <t>C2 6d  R</t>
  </si>
  <si>
    <t>32R</t>
  </si>
  <si>
    <t>C3 6d R</t>
  </si>
  <si>
    <t>33R</t>
  </si>
  <si>
    <t>Bm 1 6d R</t>
  </si>
  <si>
    <t>34R</t>
  </si>
  <si>
    <t>Bm2 6d R</t>
  </si>
  <si>
    <t>35R</t>
  </si>
  <si>
    <t>Bm 3 6d R</t>
  </si>
  <si>
    <t>36R</t>
  </si>
  <si>
    <t>C1 8d R</t>
  </si>
  <si>
    <t>43R</t>
  </si>
  <si>
    <t>C2 8d  R</t>
  </si>
  <si>
    <t>44R</t>
  </si>
  <si>
    <t>C3 8d R</t>
  </si>
  <si>
    <t>45R</t>
  </si>
  <si>
    <t>Bm 1 8d R</t>
  </si>
  <si>
    <t>46R</t>
  </si>
  <si>
    <t>Bm2 8d R</t>
  </si>
  <si>
    <t>47R</t>
  </si>
  <si>
    <t>Bm 3 8d R</t>
  </si>
  <si>
    <t>48R</t>
  </si>
  <si>
    <t>C1 9d R</t>
  </si>
  <si>
    <t>49R</t>
  </si>
  <si>
    <t>C2 9d  R</t>
  </si>
  <si>
    <t>50R</t>
  </si>
  <si>
    <t>C3 9d R</t>
  </si>
  <si>
    <t>51R</t>
  </si>
  <si>
    <t>Bm 1 9d R</t>
  </si>
  <si>
    <t>52R</t>
  </si>
  <si>
    <t>Bm2 9d R</t>
  </si>
  <si>
    <t>53R</t>
  </si>
  <si>
    <t>Bm 3 9d R</t>
  </si>
  <si>
    <t>54R</t>
  </si>
  <si>
    <t xml:space="preserve">C1 2d </t>
  </si>
  <si>
    <t xml:space="preserve">C2 2d  </t>
  </si>
  <si>
    <t xml:space="preserve">C3 2d </t>
  </si>
  <si>
    <t xml:space="preserve">Bm 1 2d </t>
  </si>
  <si>
    <t xml:space="preserve">Bm2 2d </t>
  </si>
  <si>
    <t xml:space="preserve">Bm 3 2d </t>
  </si>
  <si>
    <t xml:space="preserve">C1 4d </t>
  </si>
  <si>
    <t xml:space="preserve">C2 4d  </t>
  </si>
  <si>
    <t xml:space="preserve">C3 4d </t>
  </si>
  <si>
    <t xml:space="preserve">Bm 1 4d </t>
  </si>
  <si>
    <t xml:space="preserve">Bm2 4d </t>
  </si>
  <si>
    <t xml:space="preserve">Bm 3 4d </t>
  </si>
  <si>
    <t xml:space="preserve">C1 6d </t>
  </si>
  <si>
    <t xml:space="preserve">C2 6d  </t>
  </si>
  <si>
    <t xml:space="preserve">C3 6d </t>
  </si>
  <si>
    <t xml:space="preserve">Bm 1 6d </t>
  </si>
  <si>
    <t xml:space="preserve">Bm2 6d </t>
  </si>
  <si>
    <t xml:space="preserve">Bm 3 6d </t>
  </si>
  <si>
    <t xml:space="preserve">C1 8d </t>
  </si>
  <si>
    <t xml:space="preserve">C2 8d  </t>
  </si>
  <si>
    <t xml:space="preserve">C3 8d </t>
  </si>
  <si>
    <t xml:space="preserve">Bm 1 8d </t>
  </si>
  <si>
    <t xml:space="preserve">Bm2 8d </t>
  </si>
  <si>
    <t xml:space="preserve">Bm 3 8d </t>
  </si>
  <si>
    <t xml:space="preserve">C1 9d </t>
  </si>
  <si>
    <t xml:space="preserve">C2 9d  </t>
  </si>
  <si>
    <t xml:space="preserve">C3 9d </t>
  </si>
  <si>
    <t xml:space="preserve">Bm 1 9d </t>
  </si>
  <si>
    <t xml:space="preserve">Bm2 9d </t>
  </si>
  <si>
    <t xml:space="preserve">Bm 3 9d </t>
  </si>
  <si>
    <t xml:space="preserve"> </t>
  </si>
  <si>
    <t>UBIQ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</si>
</sst>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3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1" xfId="0" applyFill="1" applyBorder="1"/>
    <xf numFmtId="0" fontId="1" fillId="2" borderId="0" xfId="0" applyFont="1" applyFill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/>
    <xf numFmtId="0" fontId="0" fillId="0" borderId="7" xfId="0" applyBorder="1"/>
    <xf numFmtId="0" fontId="2" fillId="0" borderId="7" xfId="0" applyFont="1" applyBorder="1" applyAlignment="1">
      <alignment horizontal="right"/>
    </xf>
    <xf numFmtId="0" fontId="0" fillId="3" borderId="7" xfId="0" applyFill="1" applyBorder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0" xfId="0" applyFill="1"/>
    <xf numFmtId="0" fontId="1" fillId="0" borderId="1" xfId="0" applyFont="1" applyFill="1" applyBorder="1"/>
    <xf numFmtId="0" fontId="0" fillId="0" borderId="1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2" fillId="0" borderId="0" xfId="0" applyFont="1" applyFill="1" applyAlignment="1">
      <alignment horizontal="right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HOJA'!$AD$40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HOJA'!$AE$41:$AE$70</c:f>
                <c:numCache>
                  <c:formatCode>General</c:formatCode>
                  <c:ptCount val="30"/>
                  <c:pt idx="0">
                    <c:v>0.36957366388422586</c:v>
                  </c:pt>
                  <c:pt idx="1">
                    <c:v>0.13535654479295445</c:v>
                  </c:pt>
                  <c:pt idx="2">
                    <c:v>0.22949679330638564</c:v>
                  </c:pt>
                  <c:pt idx="3">
                    <c:v>0.12121792631446386</c:v>
                  </c:pt>
                  <c:pt idx="4">
                    <c:v>0.28618674132033228</c:v>
                  </c:pt>
                </c:numCache>
              </c:numRef>
            </c:plus>
            <c:minus>
              <c:numRef>
                <c:f>'Genes HOJA'!$AE$41:$AE$70</c:f>
                <c:numCache>
                  <c:formatCode>General</c:formatCode>
                  <c:ptCount val="30"/>
                  <c:pt idx="0">
                    <c:v>0.36957366388422586</c:v>
                  </c:pt>
                  <c:pt idx="1">
                    <c:v>0.13535654479295445</c:v>
                  </c:pt>
                  <c:pt idx="2">
                    <c:v>0.22949679330638564</c:v>
                  </c:pt>
                  <c:pt idx="3">
                    <c:v>0.12121792631446386</c:v>
                  </c:pt>
                  <c:pt idx="4">
                    <c:v>0.28618674132033228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HOJA'!$AC$41:$AC$70</c:f>
              <c:strCache>
                <c:ptCount val="5"/>
                <c:pt idx="0">
                  <c:v>1d</c:v>
                </c:pt>
                <c:pt idx="1">
                  <c:v>3d</c:v>
                </c:pt>
                <c:pt idx="2">
                  <c:v>5d</c:v>
                </c:pt>
                <c:pt idx="3">
                  <c:v>7d</c:v>
                </c:pt>
                <c:pt idx="4">
                  <c:v>10d</c:v>
                </c:pt>
              </c:strCache>
            </c:strRef>
          </c:cat>
          <c:val>
            <c:numRef>
              <c:f>'Genes HOJA'!$AD$41:$AD$70</c:f>
              <c:numCache>
                <c:formatCode>General</c:formatCode>
                <c:ptCount val="30"/>
                <c:pt idx="0">
                  <c:v>1.1069061681131511</c:v>
                </c:pt>
                <c:pt idx="1">
                  <c:v>1.0185626603605853</c:v>
                </c:pt>
                <c:pt idx="2">
                  <c:v>1.0561657317658779</c:v>
                </c:pt>
                <c:pt idx="3">
                  <c:v>0.5588612969580169</c:v>
                </c:pt>
                <c:pt idx="4">
                  <c:v>1.0905540024030342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57-4CE7-9A3B-84E9540D9C3F}"/>
            </c:ext>
          </c:extLst>
        </c:ser>
        <c:ser>
          <c:idx val="1"/>
          <c:order val="1"/>
          <c:tx>
            <c:strRef>
              <c:f>'Genes HOJA'!$AF$40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HOJA'!$AG$41:$AG$70</c:f>
                <c:numCache>
                  <c:formatCode>General</c:formatCode>
                  <c:ptCount val="30"/>
                  <c:pt idx="0">
                    <c:v>0.41683966135409733</c:v>
                  </c:pt>
                  <c:pt idx="1">
                    <c:v>5.2491367596222784E-2</c:v>
                  </c:pt>
                  <c:pt idx="2">
                    <c:v>0.65331827583756019</c:v>
                  </c:pt>
                  <c:pt idx="3">
                    <c:v>0.12679137344525712</c:v>
                  </c:pt>
                  <c:pt idx="4">
                    <c:v>0.2394480406313291</c:v>
                  </c:pt>
                </c:numCache>
              </c:numRef>
            </c:plus>
            <c:minus>
              <c:numRef>
                <c:f>'Genes HOJA'!$AG$41:$AG$70</c:f>
                <c:numCache>
                  <c:formatCode>General</c:formatCode>
                  <c:ptCount val="30"/>
                  <c:pt idx="0">
                    <c:v>0.41683966135409733</c:v>
                  </c:pt>
                  <c:pt idx="1">
                    <c:v>5.2491367596222784E-2</c:v>
                  </c:pt>
                  <c:pt idx="2">
                    <c:v>0.65331827583756019</c:v>
                  </c:pt>
                  <c:pt idx="3">
                    <c:v>0.12679137344525712</c:v>
                  </c:pt>
                  <c:pt idx="4">
                    <c:v>0.2394480406313291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HOJA'!$AC$41:$AC$70</c:f>
              <c:strCache>
                <c:ptCount val="5"/>
                <c:pt idx="0">
                  <c:v>1d</c:v>
                </c:pt>
                <c:pt idx="1">
                  <c:v>3d</c:v>
                </c:pt>
                <c:pt idx="2">
                  <c:v>5d</c:v>
                </c:pt>
                <c:pt idx="3">
                  <c:v>7d</c:v>
                </c:pt>
                <c:pt idx="4">
                  <c:v>10d</c:v>
                </c:pt>
              </c:strCache>
            </c:strRef>
          </c:cat>
          <c:val>
            <c:numRef>
              <c:f>'Genes HOJA'!$AF$41:$AF$70</c:f>
              <c:numCache>
                <c:formatCode>General</c:formatCode>
                <c:ptCount val="30"/>
                <c:pt idx="0">
                  <c:v>1.0652443955949276</c:v>
                </c:pt>
                <c:pt idx="1">
                  <c:v>0.64584212075289549</c:v>
                </c:pt>
                <c:pt idx="2">
                  <c:v>1.1916973879597401</c:v>
                </c:pt>
                <c:pt idx="3">
                  <c:v>0.90727225825526936</c:v>
                </c:pt>
                <c:pt idx="4">
                  <c:v>1.4465190791854423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57-4CE7-9A3B-84E9540D9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015871"/>
        <c:axId val="663026911"/>
      </c:lineChart>
      <c:catAx>
        <c:axId val="66301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3026911"/>
        <c:crosses val="autoZero"/>
        <c:auto val="1"/>
        <c:lblAlgn val="ctr"/>
        <c:lblOffset val="100"/>
        <c:noMultiLvlLbl val="0"/>
      </c:catAx>
      <c:valAx>
        <c:axId val="66302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301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MYC2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HOJA'!$AP$29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HOJA'!$AQ$30:$AQ$32</c:f>
                <c:numCache>
                  <c:formatCode>General</c:formatCode>
                  <c:ptCount val="3"/>
                  <c:pt idx="0">
                    <c:v>7.561293683330998</c:v>
                  </c:pt>
                  <c:pt idx="1">
                    <c:v>8.2478362514930588</c:v>
                  </c:pt>
                  <c:pt idx="2">
                    <c:v>0.10950421137089351</c:v>
                  </c:pt>
                </c:numCache>
              </c:numRef>
            </c:plus>
            <c:minus>
              <c:numRef>
                <c:f>'Genes HOJA'!$AQ$30:$AQ$32</c:f>
                <c:numCache>
                  <c:formatCode>General</c:formatCode>
                  <c:ptCount val="3"/>
                  <c:pt idx="0">
                    <c:v>7.561293683330998</c:v>
                  </c:pt>
                  <c:pt idx="1">
                    <c:v>8.2478362514930588</c:v>
                  </c:pt>
                  <c:pt idx="2">
                    <c:v>0.10950421137089351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HOJA'!$AO$30:$AO$32</c:f>
              <c:strCache>
                <c:ptCount val="3"/>
                <c:pt idx="0">
                  <c:v>7d</c:v>
                </c:pt>
                <c:pt idx="1">
                  <c:v>8d</c:v>
                </c:pt>
                <c:pt idx="2">
                  <c:v>9d</c:v>
                </c:pt>
              </c:strCache>
            </c:strRef>
          </c:cat>
          <c:val>
            <c:numRef>
              <c:f>'Genes HOJA'!$AP$30:$AP$32</c:f>
              <c:numCache>
                <c:formatCode>General</c:formatCode>
                <c:ptCount val="3"/>
                <c:pt idx="0">
                  <c:v>12.37796079714427</c:v>
                </c:pt>
                <c:pt idx="1">
                  <c:v>23.583521947207046</c:v>
                </c:pt>
                <c:pt idx="2">
                  <c:v>0.24214007173789232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D-412E-9293-E707608C7F7C}"/>
            </c:ext>
          </c:extLst>
        </c:ser>
        <c:ser>
          <c:idx val="1"/>
          <c:order val="1"/>
          <c:tx>
            <c:strRef>
              <c:f>'Genes HOJA'!$AR$29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HOJA'!$AS$30:$AS$32</c:f>
                <c:numCache>
                  <c:formatCode>General</c:formatCode>
                  <c:ptCount val="3"/>
                  <c:pt idx="0">
                    <c:v>4.8175638167236743</c:v>
                  </c:pt>
                  <c:pt idx="1">
                    <c:v>3.5721723958490061</c:v>
                  </c:pt>
                  <c:pt idx="2">
                    <c:v>9.0287897376110537E-2</c:v>
                  </c:pt>
                </c:numCache>
              </c:numRef>
            </c:plus>
            <c:minus>
              <c:numRef>
                <c:f>'Genes HOJA'!$AS$30:$AS$32</c:f>
                <c:numCache>
                  <c:formatCode>General</c:formatCode>
                  <c:ptCount val="3"/>
                  <c:pt idx="0">
                    <c:v>4.8175638167236743</c:v>
                  </c:pt>
                  <c:pt idx="1">
                    <c:v>3.5721723958490061</c:v>
                  </c:pt>
                  <c:pt idx="2">
                    <c:v>9.0287897376110537E-2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HOJA'!$AO$30:$AO$32</c:f>
              <c:strCache>
                <c:ptCount val="3"/>
                <c:pt idx="0">
                  <c:v>7d</c:v>
                </c:pt>
                <c:pt idx="1">
                  <c:v>8d</c:v>
                </c:pt>
                <c:pt idx="2">
                  <c:v>9d</c:v>
                </c:pt>
              </c:strCache>
            </c:strRef>
          </c:cat>
          <c:val>
            <c:numRef>
              <c:f>'Genes HOJA'!$AR$30:$AR$32</c:f>
              <c:numCache>
                <c:formatCode>General</c:formatCode>
                <c:ptCount val="3"/>
                <c:pt idx="0">
                  <c:v>17.595787491737465</c:v>
                </c:pt>
                <c:pt idx="1">
                  <c:v>9.8592494368298116</c:v>
                </c:pt>
                <c:pt idx="2">
                  <c:v>0.28229543214020714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D-412E-9293-E707608C7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385183"/>
        <c:axId val="655389503"/>
      </c:lineChart>
      <c:catAx>
        <c:axId val="65538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5389503"/>
        <c:crosses val="autoZero"/>
        <c:auto val="1"/>
        <c:lblAlgn val="ctr"/>
        <c:lblOffset val="100"/>
        <c:noMultiLvlLbl val="0"/>
      </c:catAx>
      <c:valAx>
        <c:axId val="65538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538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HOJA'!$AD$40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HOJA'!$AE$116:$AE$120</c:f>
                <c:numCache>
                  <c:formatCode>General</c:formatCode>
                  <c:ptCount val="5"/>
                  <c:pt idx="0">
                    <c:v>1.0108556160413764</c:v>
                  </c:pt>
                  <c:pt idx="1">
                    <c:v>0.81887982065105891</c:v>
                  </c:pt>
                  <c:pt idx="2">
                    <c:v>0.5147884155071859</c:v>
                  </c:pt>
                  <c:pt idx="3">
                    <c:v>0.84793415987463894</c:v>
                  </c:pt>
                  <c:pt idx="4">
                    <c:v>4.2228551390156506</c:v>
                  </c:pt>
                </c:numCache>
              </c:numRef>
            </c:plus>
            <c:minus>
              <c:numRef>
                <c:f>'Genes HOJA'!$AE$116:$AE$120</c:f>
                <c:numCache>
                  <c:formatCode>General</c:formatCode>
                  <c:ptCount val="5"/>
                  <c:pt idx="0">
                    <c:v>1.0108556160413764</c:v>
                  </c:pt>
                  <c:pt idx="1">
                    <c:v>0.81887982065105891</c:v>
                  </c:pt>
                  <c:pt idx="2">
                    <c:v>0.5147884155071859</c:v>
                  </c:pt>
                  <c:pt idx="3">
                    <c:v>0.84793415987463894</c:v>
                  </c:pt>
                  <c:pt idx="4">
                    <c:v>4.2228551390156506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HOJA'!$AC$41:$AC$70</c:f>
              <c:strCache>
                <c:ptCount val="5"/>
                <c:pt idx="0">
                  <c:v>1d</c:v>
                </c:pt>
                <c:pt idx="1">
                  <c:v>3d</c:v>
                </c:pt>
                <c:pt idx="2">
                  <c:v>5d</c:v>
                </c:pt>
                <c:pt idx="3">
                  <c:v>7d</c:v>
                </c:pt>
                <c:pt idx="4">
                  <c:v>10d</c:v>
                </c:pt>
              </c:strCache>
            </c:strRef>
          </c:cat>
          <c:val>
            <c:numRef>
              <c:f>'Genes HOJA'!$AD$116:$AD$120</c:f>
              <c:numCache>
                <c:formatCode>General</c:formatCode>
                <c:ptCount val="5"/>
                <c:pt idx="0">
                  <c:v>6.5525406028925</c:v>
                </c:pt>
                <c:pt idx="1">
                  <c:v>4.396658299644213</c:v>
                </c:pt>
                <c:pt idx="2">
                  <c:v>6.2734399573715054</c:v>
                </c:pt>
                <c:pt idx="3">
                  <c:v>3.2293537489759863</c:v>
                </c:pt>
                <c:pt idx="4">
                  <c:v>12.317943826437817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1-4A1F-947B-FF7B291F31C7}"/>
            </c:ext>
          </c:extLst>
        </c:ser>
        <c:ser>
          <c:idx val="1"/>
          <c:order val="1"/>
          <c:tx>
            <c:strRef>
              <c:f>'Genes HOJA'!$AF$40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HOJA'!$AG$116:$AG$120</c:f>
                <c:numCache>
                  <c:formatCode>General</c:formatCode>
                  <c:ptCount val="5"/>
                  <c:pt idx="0">
                    <c:v>2.4376553058695478</c:v>
                  </c:pt>
                  <c:pt idx="1">
                    <c:v>0.77300855111798628</c:v>
                  </c:pt>
                  <c:pt idx="2">
                    <c:v>6.5403518846059905</c:v>
                  </c:pt>
                  <c:pt idx="3">
                    <c:v>1.4918190260803099</c:v>
                  </c:pt>
                  <c:pt idx="4">
                    <c:v>13.827104686053469</c:v>
                  </c:pt>
                </c:numCache>
              </c:numRef>
            </c:plus>
            <c:minus>
              <c:numRef>
                <c:f>'Genes HOJA'!$AG$116:$AG$120</c:f>
                <c:numCache>
                  <c:formatCode>General</c:formatCode>
                  <c:ptCount val="5"/>
                  <c:pt idx="0">
                    <c:v>2.4376553058695478</c:v>
                  </c:pt>
                  <c:pt idx="1">
                    <c:v>0.77300855111798628</c:v>
                  </c:pt>
                  <c:pt idx="2">
                    <c:v>6.5403518846059905</c:v>
                  </c:pt>
                  <c:pt idx="3">
                    <c:v>1.4918190260803099</c:v>
                  </c:pt>
                  <c:pt idx="4">
                    <c:v>13.827104686053469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HOJA'!$AC$41:$AC$70</c:f>
              <c:strCache>
                <c:ptCount val="5"/>
                <c:pt idx="0">
                  <c:v>1d</c:v>
                </c:pt>
                <c:pt idx="1">
                  <c:v>3d</c:v>
                </c:pt>
                <c:pt idx="2">
                  <c:v>5d</c:v>
                </c:pt>
                <c:pt idx="3">
                  <c:v>7d</c:v>
                </c:pt>
                <c:pt idx="4">
                  <c:v>10d</c:v>
                </c:pt>
              </c:strCache>
            </c:strRef>
          </c:cat>
          <c:val>
            <c:numRef>
              <c:f>'Genes HOJA'!$AF$116:$AF$120</c:f>
              <c:numCache>
                <c:formatCode>General</c:formatCode>
                <c:ptCount val="5"/>
                <c:pt idx="0">
                  <c:v>9.7469913779877846</c:v>
                </c:pt>
                <c:pt idx="1">
                  <c:v>5.6078477056582017</c:v>
                </c:pt>
                <c:pt idx="2">
                  <c:v>9.5538709369307941</c:v>
                </c:pt>
                <c:pt idx="3">
                  <c:v>5.1192219647211159</c:v>
                </c:pt>
                <c:pt idx="4">
                  <c:v>33.146189964770279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D1-4A1F-947B-FF7B291F3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015871"/>
        <c:axId val="663026911"/>
      </c:lineChart>
      <c:catAx>
        <c:axId val="66301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3026911"/>
        <c:crosses val="autoZero"/>
        <c:auto val="1"/>
        <c:lblAlgn val="ctr"/>
        <c:lblOffset val="100"/>
        <c:noMultiLvlLbl val="0"/>
      </c:catAx>
      <c:valAx>
        <c:axId val="66302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301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MYC2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HOJA'!$AP$29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HOJA'!$AQ$104:$AQ$106</c:f>
                <c:numCache>
                  <c:formatCode>General</c:formatCode>
                  <c:ptCount val="3"/>
                  <c:pt idx="0">
                    <c:v>51.404779229264555</c:v>
                  </c:pt>
                  <c:pt idx="1">
                    <c:v>56.017894856591766</c:v>
                  </c:pt>
                  <c:pt idx="2">
                    <c:v>0.74869947019811767</c:v>
                  </c:pt>
                </c:numCache>
              </c:numRef>
            </c:plus>
            <c:minus>
              <c:numRef>
                <c:f>'Genes HOJA'!$AQ$104:$AQ$106</c:f>
                <c:numCache>
                  <c:formatCode>General</c:formatCode>
                  <c:ptCount val="3"/>
                  <c:pt idx="0">
                    <c:v>51.404779229264555</c:v>
                  </c:pt>
                  <c:pt idx="1">
                    <c:v>56.017894856591766</c:v>
                  </c:pt>
                  <c:pt idx="2">
                    <c:v>0.74869947019811767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HOJA'!$AO$30:$AO$32</c:f>
              <c:strCache>
                <c:ptCount val="3"/>
                <c:pt idx="0">
                  <c:v>7d</c:v>
                </c:pt>
                <c:pt idx="1">
                  <c:v>8d</c:v>
                </c:pt>
                <c:pt idx="2">
                  <c:v>9d</c:v>
                </c:pt>
              </c:strCache>
            </c:strRef>
          </c:cat>
          <c:val>
            <c:numRef>
              <c:f>'Genes HOJA'!$AP$104:$AP$106</c:f>
              <c:numCache>
                <c:formatCode>General</c:formatCode>
                <c:ptCount val="3"/>
                <c:pt idx="0">
                  <c:v>133.70369731380967</c:v>
                </c:pt>
                <c:pt idx="1">
                  <c:v>162.31343497899988</c:v>
                </c:pt>
                <c:pt idx="2">
                  <c:v>2.8211879502229085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9-436F-A605-A2E129AB8E7C}"/>
            </c:ext>
          </c:extLst>
        </c:ser>
        <c:ser>
          <c:idx val="1"/>
          <c:order val="1"/>
          <c:tx>
            <c:strRef>
              <c:f>'Genes HOJA'!$AR$29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HOJA'!$AS$104:$AS$106</c:f>
                <c:numCache>
                  <c:formatCode>General</c:formatCode>
                  <c:ptCount val="3"/>
                  <c:pt idx="0">
                    <c:v>44.394813268383288</c:v>
                  </c:pt>
                  <c:pt idx="1">
                    <c:v>11.325799242045685</c:v>
                  </c:pt>
                  <c:pt idx="2">
                    <c:v>3.1040866568426946</c:v>
                  </c:pt>
                </c:numCache>
              </c:numRef>
            </c:plus>
            <c:minus>
              <c:numRef>
                <c:f>'Genes HOJA'!$AS$104:$AS$106</c:f>
                <c:numCache>
                  <c:formatCode>General</c:formatCode>
                  <c:ptCount val="3"/>
                  <c:pt idx="0">
                    <c:v>44.394813268383288</c:v>
                  </c:pt>
                  <c:pt idx="1">
                    <c:v>11.325799242045685</c:v>
                  </c:pt>
                  <c:pt idx="2">
                    <c:v>3.1040866568426946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HOJA'!$AO$30:$AO$32</c:f>
              <c:strCache>
                <c:ptCount val="3"/>
                <c:pt idx="0">
                  <c:v>7d</c:v>
                </c:pt>
                <c:pt idx="1">
                  <c:v>8d</c:v>
                </c:pt>
                <c:pt idx="2">
                  <c:v>9d</c:v>
                </c:pt>
              </c:strCache>
            </c:strRef>
          </c:cat>
          <c:val>
            <c:numRef>
              <c:f>'Genes HOJA'!$AR$104:$AR$106</c:f>
              <c:numCache>
                <c:formatCode>General</c:formatCode>
                <c:ptCount val="3"/>
                <c:pt idx="0">
                  <c:v>102.81405951341253</c:v>
                </c:pt>
                <c:pt idx="1">
                  <c:v>99.602816271826939</c:v>
                </c:pt>
                <c:pt idx="2">
                  <c:v>7.9169225401736343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89-436F-A605-A2E129AB8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385183"/>
        <c:axId val="655389503"/>
      </c:lineChart>
      <c:catAx>
        <c:axId val="65538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5389503"/>
        <c:crosses val="autoZero"/>
        <c:auto val="1"/>
        <c:lblAlgn val="ctr"/>
        <c:lblOffset val="100"/>
        <c:noMultiLvlLbl val="0"/>
      </c:catAx>
      <c:valAx>
        <c:axId val="65538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538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HOJA'!$O$137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HOJA'!$P$138:$P$145</c:f>
                <c:numCache>
                  <c:formatCode>General</c:formatCode>
                  <c:ptCount val="8"/>
                  <c:pt idx="0">
                    <c:v>0.37501548747647945</c:v>
                  </c:pt>
                  <c:pt idx="1">
                    <c:v>0.16942031256031193</c:v>
                  </c:pt>
                  <c:pt idx="2">
                    <c:v>8.4299961652990973E-2</c:v>
                  </c:pt>
                  <c:pt idx="3">
                    <c:v>0.25243297546748517</c:v>
                  </c:pt>
                  <c:pt idx="4">
                    <c:v>8.7225017207876093E-2</c:v>
                  </c:pt>
                  <c:pt idx="5">
                    <c:v>1.656550267541276</c:v>
                  </c:pt>
                  <c:pt idx="6">
                    <c:v>0.30522639312856015</c:v>
                  </c:pt>
                  <c:pt idx="7">
                    <c:v>0.33540266019482923</c:v>
                  </c:pt>
                </c:numCache>
              </c:numRef>
            </c:plus>
            <c:minus>
              <c:numRef>
                <c:f>'Genes HOJA'!$P$138:$P$145</c:f>
                <c:numCache>
                  <c:formatCode>General</c:formatCode>
                  <c:ptCount val="8"/>
                  <c:pt idx="0">
                    <c:v>0.37501548747647945</c:v>
                  </c:pt>
                  <c:pt idx="1">
                    <c:v>0.16942031256031193</c:v>
                  </c:pt>
                  <c:pt idx="2">
                    <c:v>8.4299961652990973E-2</c:v>
                  </c:pt>
                  <c:pt idx="3">
                    <c:v>0.25243297546748517</c:v>
                  </c:pt>
                  <c:pt idx="4">
                    <c:v>8.7225017207876093E-2</c:v>
                  </c:pt>
                  <c:pt idx="5">
                    <c:v>1.656550267541276</c:v>
                  </c:pt>
                  <c:pt idx="6">
                    <c:v>0.30522639312856015</c:v>
                  </c:pt>
                  <c:pt idx="7">
                    <c:v>0.33540266019482923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HOJA'!$N$138:$N$145</c:f>
              <c:strCache>
                <c:ptCount val="8"/>
                <c:pt idx="0">
                  <c:v>2d</c:v>
                </c:pt>
                <c:pt idx="1">
                  <c:v>3d</c:v>
                </c:pt>
                <c:pt idx="2">
                  <c:v>4d</c:v>
                </c:pt>
                <c:pt idx="3">
                  <c:v>5d</c:v>
                </c:pt>
                <c:pt idx="4">
                  <c:v>6d</c:v>
                </c:pt>
                <c:pt idx="5">
                  <c:v>7d</c:v>
                </c:pt>
                <c:pt idx="6">
                  <c:v>8d</c:v>
                </c:pt>
                <c:pt idx="7">
                  <c:v>9d</c:v>
                </c:pt>
              </c:strCache>
            </c:strRef>
          </c:cat>
          <c:val>
            <c:numRef>
              <c:f>'Genes HOJA'!$O$138:$O$145</c:f>
              <c:numCache>
                <c:formatCode>General</c:formatCode>
                <c:ptCount val="8"/>
                <c:pt idx="0">
                  <c:v>1.146011725767546</c:v>
                </c:pt>
                <c:pt idx="1">
                  <c:v>1.0296872503670651</c:v>
                </c:pt>
                <c:pt idx="2">
                  <c:v>1.0072567375887225</c:v>
                </c:pt>
                <c:pt idx="3">
                  <c:v>1.0735795999921978</c:v>
                </c:pt>
                <c:pt idx="4">
                  <c:v>1.0076712725869696</c:v>
                </c:pt>
                <c:pt idx="5">
                  <c:v>2.9004853906375536</c:v>
                </c:pt>
                <c:pt idx="6">
                  <c:v>1.0792425470572113</c:v>
                </c:pt>
                <c:pt idx="7">
                  <c:v>1.0932038443603005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AB-48C4-B18D-3FEC54AA9B17}"/>
            </c:ext>
          </c:extLst>
        </c:ser>
        <c:ser>
          <c:idx val="1"/>
          <c:order val="1"/>
          <c:tx>
            <c:strRef>
              <c:f>'Genes HOJA'!$Q$137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HOJA'!$R$138:$R$145</c:f>
                <c:numCache>
                  <c:formatCode>General</c:formatCode>
                  <c:ptCount val="8"/>
                  <c:pt idx="0">
                    <c:v>0.16679978146048394</c:v>
                  </c:pt>
                  <c:pt idx="1">
                    <c:v>0.11861791859576193</c:v>
                  </c:pt>
                  <c:pt idx="2">
                    <c:v>0.77605306863865597</c:v>
                  </c:pt>
                  <c:pt idx="3">
                    <c:v>0.45103635023494965</c:v>
                  </c:pt>
                  <c:pt idx="4">
                    <c:v>0.1440796932608468</c:v>
                  </c:pt>
                  <c:pt idx="5">
                    <c:v>2.3866087334930008</c:v>
                  </c:pt>
                  <c:pt idx="6">
                    <c:v>0.18930394117044586</c:v>
                  </c:pt>
                  <c:pt idx="7">
                    <c:v>0.22626421306553457</c:v>
                  </c:pt>
                </c:numCache>
              </c:numRef>
            </c:plus>
            <c:minus>
              <c:numRef>
                <c:f>'Genes HOJA'!$R$138:$R$145</c:f>
                <c:numCache>
                  <c:formatCode>General</c:formatCode>
                  <c:ptCount val="8"/>
                  <c:pt idx="0">
                    <c:v>0.16679978146048394</c:v>
                  </c:pt>
                  <c:pt idx="1">
                    <c:v>0.11861791859576193</c:v>
                  </c:pt>
                  <c:pt idx="2">
                    <c:v>0.77605306863865597</c:v>
                  </c:pt>
                  <c:pt idx="3">
                    <c:v>0.45103635023494965</c:v>
                  </c:pt>
                  <c:pt idx="4">
                    <c:v>0.1440796932608468</c:v>
                  </c:pt>
                  <c:pt idx="5">
                    <c:v>2.3866087334930008</c:v>
                  </c:pt>
                  <c:pt idx="6">
                    <c:v>0.18930394117044586</c:v>
                  </c:pt>
                  <c:pt idx="7">
                    <c:v>0.22626421306553457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HOJA'!$N$138:$N$145</c:f>
              <c:strCache>
                <c:ptCount val="8"/>
                <c:pt idx="0">
                  <c:v>2d</c:v>
                </c:pt>
                <c:pt idx="1">
                  <c:v>3d</c:v>
                </c:pt>
                <c:pt idx="2">
                  <c:v>4d</c:v>
                </c:pt>
                <c:pt idx="3">
                  <c:v>5d</c:v>
                </c:pt>
                <c:pt idx="4">
                  <c:v>6d</c:v>
                </c:pt>
                <c:pt idx="5">
                  <c:v>7d</c:v>
                </c:pt>
                <c:pt idx="6">
                  <c:v>8d</c:v>
                </c:pt>
                <c:pt idx="7">
                  <c:v>9d</c:v>
                </c:pt>
              </c:strCache>
            </c:strRef>
          </c:cat>
          <c:val>
            <c:numRef>
              <c:f>'Genes HOJA'!$Q$138:$Q$145</c:f>
              <c:numCache>
                <c:formatCode>General</c:formatCode>
                <c:ptCount val="8"/>
                <c:pt idx="0">
                  <c:v>1.7904469779023593</c:v>
                </c:pt>
                <c:pt idx="1">
                  <c:v>0.63177740746304634</c:v>
                </c:pt>
                <c:pt idx="2">
                  <c:v>1.6481433604151563</c:v>
                </c:pt>
                <c:pt idx="3">
                  <c:v>1.0385193600044258</c:v>
                </c:pt>
                <c:pt idx="4">
                  <c:v>0.53074081033668608</c:v>
                </c:pt>
                <c:pt idx="5">
                  <c:v>7.3106748687584613</c:v>
                </c:pt>
                <c:pt idx="6">
                  <c:v>0.79196655593128851</c:v>
                </c:pt>
                <c:pt idx="7">
                  <c:v>1.482250028862355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AB-48C4-B18D-3FEC54AA9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257136"/>
        <c:axId val="724255696"/>
      </c:lineChart>
      <c:catAx>
        <c:axId val="72425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4255696"/>
        <c:crosses val="autoZero"/>
        <c:auto val="1"/>
        <c:lblAlgn val="ctr"/>
        <c:lblOffset val="100"/>
        <c:noMultiLvlLbl val="0"/>
      </c:catAx>
      <c:valAx>
        <c:axId val="72425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425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HOJA'!$C$137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HOJA'!$D$138:$D$145</c:f>
                <c:numCache>
                  <c:formatCode>General</c:formatCode>
                  <c:ptCount val="8"/>
                  <c:pt idx="0">
                    <c:v>0.51816522270464027</c:v>
                  </c:pt>
                  <c:pt idx="1">
                    <c:v>0.52613047650240441</c:v>
                  </c:pt>
                  <c:pt idx="2">
                    <c:v>7.7559308688440451E-2</c:v>
                  </c:pt>
                  <c:pt idx="3">
                    <c:v>9.7688046012812293E-2</c:v>
                  </c:pt>
                  <c:pt idx="4">
                    <c:v>0.16639787934951344</c:v>
                  </c:pt>
                  <c:pt idx="5">
                    <c:v>0.28266217803138133</c:v>
                  </c:pt>
                  <c:pt idx="6">
                    <c:v>0.3146842977057413</c:v>
                  </c:pt>
                  <c:pt idx="7">
                    <c:v>0.14636116928716753</c:v>
                  </c:pt>
                </c:numCache>
              </c:numRef>
            </c:plus>
            <c:minus>
              <c:numRef>
                <c:f>'Genes HOJA'!$D$138:$D$145</c:f>
                <c:numCache>
                  <c:formatCode>General</c:formatCode>
                  <c:ptCount val="8"/>
                  <c:pt idx="0">
                    <c:v>0.51816522270464027</c:v>
                  </c:pt>
                  <c:pt idx="1">
                    <c:v>0.52613047650240441</c:v>
                  </c:pt>
                  <c:pt idx="2">
                    <c:v>7.7559308688440451E-2</c:v>
                  </c:pt>
                  <c:pt idx="3">
                    <c:v>9.7688046012812293E-2</c:v>
                  </c:pt>
                  <c:pt idx="4">
                    <c:v>0.16639787934951344</c:v>
                  </c:pt>
                  <c:pt idx="5">
                    <c:v>0.28266217803138133</c:v>
                  </c:pt>
                  <c:pt idx="6">
                    <c:v>0.3146842977057413</c:v>
                  </c:pt>
                  <c:pt idx="7">
                    <c:v>0.14636116928716753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HOJA'!$B$138:$B$145</c:f>
              <c:strCache>
                <c:ptCount val="8"/>
                <c:pt idx="0">
                  <c:v>2d</c:v>
                </c:pt>
                <c:pt idx="1">
                  <c:v>3d</c:v>
                </c:pt>
                <c:pt idx="2">
                  <c:v>4d</c:v>
                </c:pt>
                <c:pt idx="3">
                  <c:v>5d</c:v>
                </c:pt>
                <c:pt idx="4">
                  <c:v>6d</c:v>
                </c:pt>
                <c:pt idx="5">
                  <c:v>7d</c:v>
                </c:pt>
                <c:pt idx="6">
                  <c:v>8d</c:v>
                </c:pt>
                <c:pt idx="7">
                  <c:v>9d</c:v>
                </c:pt>
              </c:strCache>
            </c:strRef>
          </c:cat>
          <c:val>
            <c:numRef>
              <c:f>'Genes HOJA'!$C$138:$C$145</c:f>
              <c:numCache>
                <c:formatCode>General</c:formatCode>
                <c:ptCount val="8"/>
                <c:pt idx="0">
                  <c:v>1.3267697366297808</c:v>
                </c:pt>
                <c:pt idx="1">
                  <c:v>1.3135725246162284</c:v>
                </c:pt>
                <c:pt idx="2">
                  <c:v>1.0060582848244317</c:v>
                </c:pt>
                <c:pt idx="3">
                  <c:v>1.0090719137907933</c:v>
                </c:pt>
                <c:pt idx="4">
                  <c:v>1.0281558605768646</c:v>
                </c:pt>
                <c:pt idx="5">
                  <c:v>1.0737714232647102</c:v>
                </c:pt>
                <c:pt idx="6">
                  <c:v>1.1157059100506612</c:v>
                </c:pt>
                <c:pt idx="7">
                  <c:v>1.0234369862188712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2-415A-900B-DE03A7B4DB56}"/>
            </c:ext>
          </c:extLst>
        </c:ser>
        <c:ser>
          <c:idx val="1"/>
          <c:order val="1"/>
          <c:tx>
            <c:strRef>
              <c:f>'Genes HOJA'!$E$137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HOJA'!$F$138:$F$145</c:f>
                <c:numCache>
                  <c:formatCode>General</c:formatCode>
                  <c:ptCount val="8"/>
                  <c:pt idx="0">
                    <c:v>0.70752503175133519</c:v>
                  </c:pt>
                  <c:pt idx="1">
                    <c:v>0.15812114033820132</c:v>
                  </c:pt>
                  <c:pt idx="2">
                    <c:v>0.48635489016394562</c:v>
                  </c:pt>
                  <c:pt idx="3">
                    <c:v>0.71762347088528644</c:v>
                  </c:pt>
                  <c:pt idx="4">
                    <c:v>0.3688444657705256</c:v>
                  </c:pt>
                  <c:pt idx="5">
                    <c:v>0.21813839024073597</c:v>
                  </c:pt>
                  <c:pt idx="6">
                    <c:v>5.4334674170686464E-2</c:v>
                  </c:pt>
                  <c:pt idx="7">
                    <c:v>0.68275928483224602</c:v>
                  </c:pt>
                </c:numCache>
              </c:numRef>
            </c:plus>
            <c:minus>
              <c:numRef>
                <c:f>'Genes HOJA'!$F$138:$F$145</c:f>
                <c:numCache>
                  <c:formatCode>General</c:formatCode>
                  <c:ptCount val="8"/>
                  <c:pt idx="0">
                    <c:v>0.70752503175133519</c:v>
                  </c:pt>
                  <c:pt idx="1">
                    <c:v>0.15812114033820132</c:v>
                  </c:pt>
                  <c:pt idx="2">
                    <c:v>0.48635489016394562</c:v>
                  </c:pt>
                  <c:pt idx="3">
                    <c:v>0.71762347088528644</c:v>
                  </c:pt>
                  <c:pt idx="4">
                    <c:v>0.3688444657705256</c:v>
                  </c:pt>
                  <c:pt idx="5">
                    <c:v>0.21813839024073597</c:v>
                  </c:pt>
                  <c:pt idx="6">
                    <c:v>5.4334674170686464E-2</c:v>
                  </c:pt>
                  <c:pt idx="7">
                    <c:v>0.68275928483224602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HOJA'!$B$138:$B$145</c:f>
              <c:strCache>
                <c:ptCount val="8"/>
                <c:pt idx="0">
                  <c:v>2d</c:v>
                </c:pt>
                <c:pt idx="1">
                  <c:v>3d</c:v>
                </c:pt>
                <c:pt idx="2">
                  <c:v>4d</c:v>
                </c:pt>
                <c:pt idx="3">
                  <c:v>5d</c:v>
                </c:pt>
                <c:pt idx="4">
                  <c:v>6d</c:v>
                </c:pt>
                <c:pt idx="5">
                  <c:v>7d</c:v>
                </c:pt>
                <c:pt idx="6">
                  <c:v>8d</c:v>
                </c:pt>
                <c:pt idx="7">
                  <c:v>9d</c:v>
                </c:pt>
              </c:strCache>
            </c:strRef>
          </c:cat>
          <c:val>
            <c:numRef>
              <c:f>'Genes HOJA'!$E$138:$E$145</c:f>
              <c:numCache>
                <c:formatCode>General</c:formatCode>
                <c:ptCount val="8"/>
                <c:pt idx="0">
                  <c:v>1.4860015438711607</c:v>
                </c:pt>
                <c:pt idx="1">
                  <c:v>0.48867813778222274</c:v>
                </c:pt>
                <c:pt idx="2">
                  <c:v>1.0763353622560108</c:v>
                </c:pt>
                <c:pt idx="3">
                  <c:v>2.9582136224612667</c:v>
                </c:pt>
                <c:pt idx="4">
                  <c:v>1.0654238354382668</c:v>
                </c:pt>
                <c:pt idx="5">
                  <c:v>1.919382994511033</c:v>
                </c:pt>
                <c:pt idx="6">
                  <c:v>0.8435874443839122</c:v>
                </c:pt>
                <c:pt idx="7">
                  <c:v>1.5937811794329402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A2-415A-900B-DE03A7B4D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843568"/>
        <c:axId val="437843088"/>
      </c:lineChart>
      <c:catAx>
        <c:axId val="43784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7843088"/>
        <c:crosses val="autoZero"/>
        <c:auto val="1"/>
        <c:lblAlgn val="ctr"/>
        <c:lblOffset val="100"/>
        <c:noMultiLvlLbl val="0"/>
      </c:catAx>
      <c:valAx>
        <c:axId val="4378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784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HOJA'!$C$61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HOJA'!$D$62:$D$69</c:f>
                <c:numCache>
                  <c:formatCode>General</c:formatCode>
                  <c:ptCount val="8"/>
                  <c:pt idx="0">
                    <c:v>0.1186187107835157</c:v>
                  </c:pt>
                  <c:pt idx="1">
                    <c:v>0.174604799659793</c:v>
                  </c:pt>
                  <c:pt idx="2">
                    <c:v>0.32599326784893029</c:v>
                  </c:pt>
                  <c:pt idx="3">
                    <c:v>0.1721164928314135</c:v>
                  </c:pt>
                  <c:pt idx="4">
                    <c:v>0.27097206250345229</c:v>
                  </c:pt>
                  <c:pt idx="5">
                    <c:v>0.3064100048740982</c:v>
                  </c:pt>
                  <c:pt idx="6">
                    <c:v>0.24127630391849861</c:v>
                  </c:pt>
                  <c:pt idx="7">
                    <c:v>0.26483472586538798</c:v>
                  </c:pt>
                </c:numCache>
              </c:numRef>
            </c:plus>
            <c:minus>
              <c:numRef>
                <c:f>'Genes HOJA'!$D$62:$D$69</c:f>
                <c:numCache>
                  <c:formatCode>General</c:formatCode>
                  <c:ptCount val="8"/>
                  <c:pt idx="0">
                    <c:v>0.1186187107835157</c:v>
                  </c:pt>
                  <c:pt idx="1">
                    <c:v>0.174604799659793</c:v>
                  </c:pt>
                  <c:pt idx="2">
                    <c:v>0.32599326784893029</c:v>
                  </c:pt>
                  <c:pt idx="3">
                    <c:v>0.1721164928314135</c:v>
                  </c:pt>
                  <c:pt idx="4">
                    <c:v>0.27097206250345229</c:v>
                  </c:pt>
                  <c:pt idx="5">
                    <c:v>0.3064100048740982</c:v>
                  </c:pt>
                  <c:pt idx="6">
                    <c:v>0.24127630391849861</c:v>
                  </c:pt>
                  <c:pt idx="7">
                    <c:v>0.26483472586538798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HOJA'!$B$62:$B$69</c:f>
              <c:strCache>
                <c:ptCount val="8"/>
                <c:pt idx="0">
                  <c:v>2d</c:v>
                </c:pt>
                <c:pt idx="1">
                  <c:v>3d</c:v>
                </c:pt>
                <c:pt idx="2">
                  <c:v>4d</c:v>
                </c:pt>
                <c:pt idx="3">
                  <c:v>5d</c:v>
                </c:pt>
                <c:pt idx="4">
                  <c:v>6d</c:v>
                </c:pt>
                <c:pt idx="5">
                  <c:v>7d</c:v>
                </c:pt>
                <c:pt idx="6">
                  <c:v>8d</c:v>
                </c:pt>
                <c:pt idx="7">
                  <c:v>9d</c:v>
                </c:pt>
              </c:strCache>
            </c:strRef>
          </c:cat>
          <c:val>
            <c:numRef>
              <c:f>'Genes HOJA'!$C$62:$C$69</c:f>
              <c:numCache>
                <c:formatCode>General</c:formatCode>
                <c:ptCount val="8"/>
                <c:pt idx="0">
                  <c:v>1.0134078301194931</c:v>
                </c:pt>
                <c:pt idx="1">
                  <c:v>1.0301827262051952</c:v>
                </c:pt>
                <c:pt idx="2">
                  <c:v>1.1246896723175543</c:v>
                </c:pt>
                <c:pt idx="3">
                  <c:v>1.0320329624271209</c:v>
                </c:pt>
                <c:pt idx="4">
                  <c:v>1.0736935472686724</c:v>
                </c:pt>
                <c:pt idx="5">
                  <c:v>1.0835690863377503</c:v>
                </c:pt>
                <c:pt idx="6">
                  <c:v>1.064452184469618</c:v>
                </c:pt>
                <c:pt idx="7">
                  <c:v>1.0752576790513684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C8-44D2-BA3D-1ADB24B9AFB3}"/>
            </c:ext>
          </c:extLst>
        </c:ser>
        <c:ser>
          <c:idx val="1"/>
          <c:order val="1"/>
          <c:tx>
            <c:strRef>
              <c:f>'Genes HOJA'!$E$61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HOJA'!$F$62:$F$69</c:f>
                <c:numCache>
                  <c:formatCode>General</c:formatCode>
                  <c:ptCount val="8"/>
                  <c:pt idx="0">
                    <c:v>1.1951304494545858</c:v>
                  </c:pt>
                  <c:pt idx="1">
                    <c:v>5.403770823172914E-2</c:v>
                  </c:pt>
                  <c:pt idx="2">
                    <c:v>0.45882469810117238</c:v>
                  </c:pt>
                  <c:pt idx="3">
                    <c:v>0.32768127172650197</c:v>
                  </c:pt>
                  <c:pt idx="4">
                    <c:v>0.54139442922757675</c:v>
                  </c:pt>
                  <c:pt idx="5">
                    <c:v>0.10516625164445431</c:v>
                  </c:pt>
                  <c:pt idx="6">
                    <c:v>0.15469594796128847</c:v>
                  </c:pt>
                  <c:pt idx="7">
                    <c:v>0.26483472586538798</c:v>
                  </c:pt>
                </c:numCache>
              </c:numRef>
            </c:plus>
            <c:minus>
              <c:numRef>
                <c:f>'Genes HOJA'!$F$62:$F$69</c:f>
                <c:numCache>
                  <c:formatCode>General</c:formatCode>
                  <c:ptCount val="8"/>
                  <c:pt idx="0">
                    <c:v>1.1951304494545858</c:v>
                  </c:pt>
                  <c:pt idx="1">
                    <c:v>5.403770823172914E-2</c:v>
                  </c:pt>
                  <c:pt idx="2">
                    <c:v>0.45882469810117238</c:v>
                  </c:pt>
                  <c:pt idx="3">
                    <c:v>0.32768127172650197</c:v>
                  </c:pt>
                  <c:pt idx="4">
                    <c:v>0.54139442922757675</c:v>
                  </c:pt>
                  <c:pt idx="5">
                    <c:v>0.10516625164445431</c:v>
                  </c:pt>
                  <c:pt idx="6">
                    <c:v>0.15469594796128847</c:v>
                  </c:pt>
                  <c:pt idx="7">
                    <c:v>0.26483472586538798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HOJA'!$B$62:$B$69</c:f>
              <c:strCache>
                <c:ptCount val="8"/>
                <c:pt idx="0">
                  <c:v>2d</c:v>
                </c:pt>
                <c:pt idx="1">
                  <c:v>3d</c:v>
                </c:pt>
                <c:pt idx="2">
                  <c:v>4d</c:v>
                </c:pt>
                <c:pt idx="3">
                  <c:v>5d</c:v>
                </c:pt>
                <c:pt idx="4">
                  <c:v>6d</c:v>
                </c:pt>
                <c:pt idx="5">
                  <c:v>7d</c:v>
                </c:pt>
                <c:pt idx="6">
                  <c:v>8d</c:v>
                </c:pt>
                <c:pt idx="7">
                  <c:v>9d</c:v>
                </c:pt>
              </c:strCache>
            </c:strRef>
          </c:cat>
          <c:val>
            <c:numRef>
              <c:f>'Genes HOJA'!$E$62:$E$69</c:f>
              <c:numCache>
                <c:formatCode>General</c:formatCode>
                <c:ptCount val="8"/>
                <c:pt idx="0">
                  <c:v>2.0404566473191275</c:v>
                </c:pt>
                <c:pt idx="1">
                  <c:v>0.26223011201150204</c:v>
                </c:pt>
                <c:pt idx="2">
                  <c:v>1.1402177968992646</c:v>
                </c:pt>
                <c:pt idx="3">
                  <c:v>1.3113925150357066</c:v>
                </c:pt>
                <c:pt idx="4">
                  <c:v>1.0736935472686724</c:v>
                </c:pt>
                <c:pt idx="5">
                  <c:v>1.6566555306332864</c:v>
                </c:pt>
                <c:pt idx="6">
                  <c:v>0.67872600441840725</c:v>
                </c:pt>
                <c:pt idx="7">
                  <c:v>1.0752576790513684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C8-44D2-BA3D-1ADB24B9A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702975"/>
        <c:axId val="353703935"/>
      </c:lineChart>
      <c:catAx>
        <c:axId val="35370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3703935"/>
        <c:crosses val="autoZero"/>
        <c:auto val="1"/>
        <c:lblAlgn val="ctr"/>
        <c:lblOffset val="100"/>
        <c:noMultiLvlLbl val="0"/>
      </c:catAx>
      <c:valAx>
        <c:axId val="35370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370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HOJA'!$O$61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HOJA'!$P$62:$P$69</c:f>
                <c:numCache>
                  <c:formatCode>General</c:formatCode>
                  <c:ptCount val="8"/>
                  <c:pt idx="0">
                    <c:v>0.31475355385244108</c:v>
                  </c:pt>
                  <c:pt idx="1">
                    <c:v>0.59258315868738209</c:v>
                  </c:pt>
                  <c:pt idx="2">
                    <c:v>0.21122776045041755</c:v>
                  </c:pt>
                  <c:pt idx="3">
                    <c:v>0.12047882944744778</c:v>
                  </c:pt>
                  <c:pt idx="4">
                    <c:v>0.23461615528604365</c:v>
                  </c:pt>
                  <c:pt idx="5">
                    <c:v>0.1301029224780938</c:v>
                  </c:pt>
                  <c:pt idx="6">
                    <c:v>0.18733095398947749</c:v>
                  </c:pt>
                  <c:pt idx="7">
                    <c:v>0.50926525056971028</c:v>
                  </c:pt>
                </c:numCache>
              </c:numRef>
            </c:plus>
            <c:minus>
              <c:numRef>
                <c:f>'Genes HOJA'!$P$62:$P$69</c:f>
                <c:numCache>
                  <c:formatCode>General</c:formatCode>
                  <c:ptCount val="8"/>
                  <c:pt idx="0">
                    <c:v>0.31475355385244108</c:v>
                  </c:pt>
                  <c:pt idx="1">
                    <c:v>0.59258315868738209</c:v>
                  </c:pt>
                  <c:pt idx="2">
                    <c:v>0.21122776045041755</c:v>
                  </c:pt>
                  <c:pt idx="3">
                    <c:v>0.12047882944744778</c:v>
                  </c:pt>
                  <c:pt idx="4">
                    <c:v>0.23461615528604365</c:v>
                  </c:pt>
                  <c:pt idx="5">
                    <c:v>0.1301029224780938</c:v>
                  </c:pt>
                  <c:pt idx="6">
                    <c:v>0.18733095398947749</c:v>
                  </c:pt>
                  <c:pt idx="7">
                    <c:v>0.50926525056971028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HOJA'!$N$62:$N$69</c:f>
              <c:strCache>
                <c:ptCount val="8"/>
                <c:pt idx="0">
                  <c:v>2d</c:v>
                </c:pt>
                <c:pt idx="1">
                  <c:v>3d</c:v>
                </c:pt>
                <c:pt idx="2">
                  <c:v>4d</c:v>
                </c:pt>
                <c:pt idx="3">
                  <c:v>5d</c:v>
                </c:pt>
                <c:pt idx="4">
                  <c:v>6d</c:v>
                </c:pt>
                <c:pt idx="5">
                  <c:v>7d</c:v>
                </c:pt>
                <c:pt idx="6">
                  <c:v>8d</c:v>
                </c:pt>
                <c:pt idx="7">
                  <c:v>9d</c:v>
                </c:pt>
              </c:strCache>
            </c:strRef>
          </c:cat>
          <c:val>
            <c:numRef>
              <c:f>'Genes HOJA'!$O$62:$O$69</c:f>
              <c:numCache>
                <c:formatCode>General</c:formatCode>
                <c:ptCount val="8"/>
                <c:pt idx="0">
                  <c:v>1.0883413882050366</c:v>
                </c:pt>
                <c:pt idx="1">
                  <c:v>1.2358354891367915</c:v>
                </c:pt>
                <c:pt idx="2">
                  <c:v>1.0504997259857465</c:v>
                </c:pt>
                <c:pt idx="3">
                  <c:v>1.013985487437294</c:v>
                </c:pt>
                <c:pt idx="4">
                  <c:v>1.0502137865478776</c:v>
                </c:pt>
                <c:pt idx="5">
                  <c:v>0.52450411002253183</c:v>
                </c:pt>
                <c:pt idx="6">
                  <c:v>1.0368828189751473</c:v>
                </c:pt>
                <c:pt idx="7">
                  <c:v>1.1834517467088601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9F-47F3-939F-42D7D4C6CEB9}"/>
            </c:ext>
          </c:extLst>
        </c:ser>
        <c:ser>
          <c:idx val="1"/>
          <c:order val="1"/>
          <c:tx>
            <c:strRef>
              <c:f>'Genes HOJA'!$Q$61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HOJA'!$R$62:$R$69</c:f>
                <c:numCache>
                  <c:formatCode>General</c:formatCode>
                  <c:ptCount val="8"/>
                  <c:pt idx="0">
                    <c:v>0.69402335345115818</c:v>
                  </c:pt>
                  <c:pt idx="1">
                    <c:v>6.8516881503726063E-2</c:v>
                  </c:pt>
                  <c:pt idx="2">
                    <c:v>0.71660998539716225</c:v>
                  </c:pt>
                  <c:pt idx="3">
                    <c:v>0.31699384251984403</c:v>
                  </c:pt>
                  <c:pt idx="4">
                    <c:v>0.47403073691084407</c:v>
                  </c:pt>
                  <c:pt idx="5">
                    <c:v>0.71090593492595433</c:v>
                  </c:pt>
                  <c:pt idx="6">
                    <c:v>6.8069202344585578E-2</c:v>
                  </c:pt>
                  <c:pt idx="7">
                    <c:v>0.50926525056971028</c:v>
                  </c:pt>
                </c:numCache>
              </c:numRef>
            </c:plus>
            <c:minus>
              <c:numRef>
                <c:f>'Genes HOJA'!$R$62:$R$69</c:f>
                <c:numCache>
                  <c:formatCode>General</c:formatCode>
                  <c:ptCount val="8"/>
                  <c:pt idx="0">
                    <c:v>0.69402335345115818</c:v>
                  </c:pt>
                  <c:pt idx="1">
                    <c:v>6.8516881503726063E-2</c:v>
                  </c:pt>
                  <c:pt idx="2">
                    <c:v>0.71660998539716225</c:v>
                  </c:pt>
                  <c:pt idx="3">
                    <c:v>0.31699384251984403</c:v>
                  </c:pt>
                  <c:pt idx="4">
                    <c:v>0.47403073691084407</c:v>
                  </c:pt>
                  <c:pt idx="5">
                    <c:v>0.71090593492595433</c:v>
                  </c:pt>
                  <c:pt idx="6">
                    <c:v>6.8069202344585578E-2</c:v>
                  </c:pt>
                  <c:pt idx="7">
                    <c:v>0.50926525056971028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HOJA'!$N$62:$N$69</c:f>
              <c:strCache>
                <c:ptCount val="8"/>
                <c:pt idx="0">
                  <c:v>2d</c:v>
                </c:pt>
                <c:pt idx="1">
                  <c:v>3d</c:v>
                </c:pt>
                <c:pt idx="2">
                  <c:v>4d</c:v>
                </c:pt>
                <c:pt idx="3">
                  <c:v>5d</c:v>
                </c:pt>
                <c:pt idx="4">
                  <c:v>6d</c:v>
                </c:pt>
                <c:pt idx="5">
                  <c:v>7d</c:v>
                </c:pt>
                <c:pt idx="6">
                  <c:v>8d</c:v>
                </c:pt>
                <c:pt idx="7">
                  <c:v>9d</c:v>
                </c:pt>
              </c:strCache>
            </c:strRef>
          </c:cat>
          <c:val>
            <c:numRef>
              <c:f>'Genes HOJA'!$Q$62:$Q$69</c:f>
              <c:numCache>
                <c:formatCode>General</c:formatCode>
                <c:ptCount val="8"/>
                <c:pt idx="0">
                  <c:v>2.1556885313922627</c:v>
                </c:pt>
                <c:pt idx="1">
                  <c:v>0.4809866553511859</c:v>
                </c:pt>
                <c:pt idx="2">
                  <c:v>1.5261467046943986</c:v>
                </c:pt>
                <c:pt idx="3">
                  <c:v>0.63504803753548311</c:v>
                </c:pt>
                <c:pt idx="4">
                  <c:v>1.0502137865478776</c:v>
                </c:pt>
                <c:pt idx="5">
                  <c:v>1.4604038686902083</c:v>
                </c:pt>
                <c:pt idx="6">
                  <c:v>0.56771158243132136</c:v>
                </c:pt>
                <c:pt idx="7">
                  <c:v>1.1834517467088601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9F-47F3-939F-42D7D4C6C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034687"/>
        <c:axId val="592041887"/>
      </c:lineChart>
      <c:catAx>
        <c:axId val="59203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2041887"/>
        <c:crosses val="autoZero"/>
        <c:auto val="1"/>
        <c:lblAlgn val="ctr"/>
        <c:lblOffset val="100"/>
        <c:noMultiLvlLbl val="0"/>
      </c:catAx>
      <c:valAx>
        <c:axId val="59204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203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LOXD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hoja norm ambos const'!$C$62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 norm ambos const'!$D$63:$D$70</c:f>
                <c:numCache>
                  <c:formatCode>General</c:formatCode>
                  <c:ptCount val="8"/>
                  <c:pt idx="0">
                    <c:v>0.43341130297787439</c:v>
                  </c:pt>
                  <c:pt idx="1">
                    <c:v>0.21111553160358065</c:v>
                  </c:pt>
                  <c:pt idx="2">
                    <c:v>0.20047943022587561</c:v>
                  </c:pt>
                  <c:pt idx="3">
                    <c:v>0.10224447151654557</c:v>
                  </c:pt>
                  <c:pt idx="4">
                    <c:v>0.18984315118400028</c:v>
                  </c:pt>
                  <c:pt idx="5">
                    <c:v>0.2943265162051894</c:v>
                  </c:pt>
                  <c:pt idx="6">
                    <c:v>0.27224863723143317</c:v>
                  </c:pt>
                  <c:pt idx="7">
                    <c:v>0.20262726387259483</c:v>
                  </c:pt>
                </c:numCache>
              </c:numRef>
            </c:plus>
            <c:minus>
              <c:numRef>
                <c:f>'Genes hoja norm ambos const'!$D$63:$D$70</c:f>
                <c:numCache>
                  <c:formatCode>General</c:formatCode>
                  <c:ptCount val="8"/>
                  <c:pt idx="0">
                    <c:v>0.43341130297787439</c:v>
                  </c:pt>
                  <c:pt idx="1">
                    <c:v>0.21111553160358065</c:v>
                  </c:pt>
                  <c:pt idx="2">
                    <c:v>0.20047943022587561</c:v>
                  </c:pt>
                  <c:pt idx="3">
                    <c:v>0.10224447151654557</c:v>
                  </c:pt>
                  <c:pt idx="4">
                    <c:v>0.18984315118400028</c:v>
                  </c:pt>
                  <c:pt idx="5">
                    <c:v>0.2943265162051894</c:v>
                  </c:pt>
                  <c:pt idx="6">
                    <c:v>0.27224863723143317</c:v>
                  </c:pt>
                  <c:pt idx="7">
                    <c:v>0.20262726387259483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 norm ambos const'!$B$63:$B$70</c:f>
              <c:strCache>
                <c:ptCount val="8"/>
                <c:pt idx="0">
                  <c:v>2d</c:v>
                </c:pt>
                <c:pt idx="1">
                  <c:v>3d</c:v>
                </c:pt>
                <c:pt idx="2">
                  <c:v>4d</c:v>
                </c:pt>
                <c:pt idx="3">
                  <c:v>5d</c:v>
                </c:pt>
                <c:pt idx="4">
                  <c:v>6d</c:v>
                </c:pt>
                <c:pt idx="5">
                  <c:v>7d</c:v>
                </c:pt>
                <c:pt idx="6">
                  <c:v>8d</c:v>
                </c:pt>
                <c:pt idx="7">
                  <c:v>9d</c:v>
                </c:pt>
              </c:strCache>
            </c:strRef>
          </c:cat>
          <c:val>
            <c:numRef>
              <c:f>'Genes hoja norm ambos const'!$C$63:$C$70</c:f>
              <c:numCache>
                <c:formatCode>General</c:formatCode>
                <c:ptCount val="8"/>
                <c:pt idx="0">
                  <c:v>1.1979503969243317</c:v>
                </c:pt>
                <c:pt idx="1">
                  <c:v>1.0399900372949828</c:v>
                </c:pt>
                <c:pt idx="2">
                  <c:v>1.0452978633422378</c:v>
                </c:pt>
                <c:pt idx="3">
                  <c:v>1.0108814188976394</c:v>
                </c:pt>
                <c:pt idx="4">
                  <c:v>1.040105293517634</c:v>
                </c:pt>
                <c:pt idx="5">
                  <c:v>1.0785175432356018</c:v>
                </c:pt>
                <c:pt idx="6">
                  <c:v>1.0861977029248082</c:v>
                </c:pt>
                <c:pt idx="7">
                  <c:v>1.0450017278051533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37-4EAA-A6EC-E9445076AF32}"/>
            </c:ext>
          </c:extLst>
        </c:ser>
        <c:ser>
          <c:idx val="1"/>
          <c:order val="1"/>
          <c:tx>
            <c:strRef>
              <c:f>'Genes hoja norm ambos const'!$E$62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 norm ambos const'!$F$63:$F$70</c:f>
                <c:numCache>
                  <c:formatCode>General</c:formatCode>
                  <c:ptCount val="8"/>
                  <c:pt idx="0">
                    <c:v>0.7400557186486012</c:v>
                  </c:pt>
                  <c:pt idx="1">
                    <c:v>7.4558373043780629E-2</c:v>
                  </c:pt>
                  <c:pt idx="2">
                    <c:v>0.41798760213934388</c:v>
                  </c:pt>
                  <c:pt idx="3">
                    <c:v>0.5945602394491547</c:v>
                  </c:pt>
                  <c:pt idx="4">
                    <c:v>0.2902327863874723</c:v>
                  </c:pt>
                  <c:pt idx="5">
                    <c:v>0.15801406142866437</c:v>
                  </c:pt>
                  <c:pt idx="6">
                    <c:v>9.1138211016437723E-2</c:v>
                  </c:pt>
                  <c:pt idx="7">
                    <c:v>0.45513661047309428</c:v>
                  </c:pt>
                </c:numCache>
              </c:numRef>
            </c:plus>
            <c:minus>
              <c:numRef>
                <c:f>'Genes hoja norm ambos const'!$F$63:$F$70</c:f>
                <c:numCache>
                  <c:formatCode>General</c:formatCode>
                  <c:ptCount val="8"/>
                  <c:pt idx="0">
                    <c:v>0.7400557186486012</c:v>
                  </c:pt>
                  <c:pt idx="1">
                    <c:v>7.4558373043780629E-2</c:v>
                  </c:pt>
                  <c:pt idx="2">
                    <c:v>0.41798760213934388</c:v>
                  </c:pt>
                  <c:pt idx="3">
                    <c:v>0.5945602394491547</c:v>
                  </c:pt>
                  <c:pt idx="4">
                    <c:v>0.2902327863874723</c:v>
                  </c:pt>
                  <c:pt idx="5">
                    <c:v>0.15801406142866437</c:v>
                  </c:pt>
                  <c:pt idx="6">
                    <c:v>9.1138211016437723E-2</c:v>
                  </c:pt>
                  <c:pt idx="7">
                    <c:v>0.45513661047309428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 norm ambos const'!$B$63:$B$70</c:f>
              <c:strCache>
                <c:ptCount val="8"/>
                <c:pt idx="0">
                  <c:v>2d</c:v>
                </c:pt>
                <c:pt idx="1">
                  <c:v>3d</c:v>
                </c:pt>
                <c:pt idx="2">
                  <c:v>4d</c:v>
                </c:pt>
                <c:pt idx="3">
                  <c:v>5d</c:v>
                </c:pt>
                <c:pt idx="4">
                  <c:v>6d</c:v>
                </c:pt>
                <c:pt idx="5">
                  <c:v>7d</c:v>
                </c:pt>
                <c:pt idx="6">
                  <c:v>8d</c:v>
                </c:pt>
                <c:pt idx="7">
                  <c:v>9d</c:v>
                </c:pt>
              </c:strCache>
            </c:strRef>
          </c:cat>
          <c:val>
            <c:numRef>
              <c:f>'Genes hoja norm ambos const'!$E$63:$E$70</c:f>
              <c:numCache>
                <c:formatCode>General</c:formatCode>
                <c:ptCount val="8"/>
                <c:pt idx="0">
                  <c:v>1.7268864713567302</c:v>
                </c:pt>
                <c:pt idx="1">
                  <c:v>0.3061414127737932</c:v>
                </c:pt>
                <c:pt idx="2">
                  <c:v>1.1268012557537257</c:v>
                </c:pt>
                <c:pt idx="3">
                  <c:v>2.0907932327961043</c:v>
                </c:pt>
                <c:pt idx="4">
                  <c:v>1.040105293517634</c:v>
                </c:pt>
                <c:pt idx="5">
                  <c:v>1.7819961831112658</c:v>
                </c:pt>
                <c:pt idx="6">
                  <c:v>0.74465157095454426</c:v>
                </c:pt>
                <c:pt idx="7">
                  <c:v>1.273165540328848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37-4EAA-A6EC-E9445076A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357200"/>
        <c:axId val="2020357680"/>
      </c:lineChart>
      <c:catAx>
        <c:axId val="202035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20357680"/>
        <c:crosses val="autoZero"/>
        <c:auto val="1"/>
        <c:lblAlgn val="ctr"/>
        <c:lblOffset val="100"/>
        <c:noMultiLvlLbl val="0"/>
      </c:catAx>
      <c:valAx>
        <c:axId val="202035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2035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hoja norm ambos const'!$Q$62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 norm ambos const'!$R$63:$R$70</c:f>
                <c:numCache>
                  <c:formatCode>General</c:formatCode>
                  <c:ptCount val="8"/>
                  <c:pt idx="0">
                    <c:v>5.6608029057806361E-2</c:v>
                  </c:pt>
                  <c:pt idx="1">
                    <c:v>0.34419929081961115</c:v>
                  </c:pt>
                  <c:pt idx="2">
                    <c:v>8.4176096389176905E-2</c:v>
                  </c:pt>
                  <c:pt idx="3">
                    <c:v>0.1791012673586215</c:v>
                  </c:pt>
                  <c:pt idx="4">
                    <c:v>0.13364215767692292</c:v>
                  </c:pt>
                  <c:pt idx="5">
                    <c:v>0.31408849866214172</c:v>
                  </c:pt>
                  <c:pt idx="6">
                    <c:v>0.23768590730835976</c:v>
                  </c:pt>
                  <c:pt idx="7">
                    <c:v>0.41728811848323905</c:v>
                  </c:pt>
                </c:numCache>
              </c:numRef>
            </c:plus>
            <c:minus>
              <c:numRef>
                <c:f>'Genes hoja norm ambos const'!$R$63:$R$70</c:f>
                <c:numCache>
                  <c:formatCode>General</c:formatCode>
                  <c:ptCount val="8"/>
                  <c:pt idx="0">
                    <c:v>5.6608029057806361E-2</c:v>
                  </c:pt>
                  <c:pt idx="1">
                    <c:v>0.34419929081961115</c:v>
                  </c:pt>
                  <c:pt idx="2">
                    <c:v>8.4176096389176905E-2</c:v>
                  </c:pt>
                  <c:pt idx="3">
                    <c:v>0.1791012673586215</c:v>
                  </c:pt>
                  <c:pt idx="4">
                    <c:v>0.13364215767692292</c:v>
                  </c:pt>
                  <c:pt idx="5">
                    <c:v>0.31408849866214172</c:v>
                  </c:pt>
                  <c:pt idx="6">
                    <c:v>0.23768590730835976</c:v>
                  </c:pt>
                  <c:pt idx="7">
                    <c:v>0.41728811848323905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 norm ambos const'!$P$63:$P$70</c:f>
              <c:strCache>
                <c:ptCount val="8"/>
                <c:pt idx="0">
                  <c:v>2d</c:v>
                </c:pt>
                <c:pt idx="1">
                  <c:v>3d</c:v>
                </c:pt>
                <c:pt idx="2">
                  <c:v>4d</c:v>
                </c:pt>
                <c:pt idx="3">
                  <c:v>5d</c:v>
                </c:pt>
                <c:pt idx="4">
                  <c:v>6d</c:v>
                </c:pt>
                <c:pt idx="5">
                  <c:v>7d</c:v>
                </c:pt>
                <c:pt idx="6">
                  <c:v>8d</c:v>
                </c:pt>
                <c:pt idx="7">
                  <c:v>9d</c:v>
                </c:pt>
              </c:strCache>
            </c:strRef>
          </c:cat>
          <c:val>
            <c:numRef>
              <c:f>'Genes hoja norm ambos const'!$Q$63:$Q$70</c:f>
              <c:numCache>
                <c:formatCode>General</c:formatCode>
                <c:ptCount val="8"/>
                <c:pt idx="0">
                  <c:v>1.0033090847028741</c:v>
                </c:pt>
                <c:pt idx="1">
                  <c:v>1.096040063223928</c:v>
                </c:pt>
                <c:pt idx="2">
                  <c:v>1.007323647788178</c:v>
                </c:pt>
                <c:pt idx="3">
                  <c:v>1.034945414574505</c:v>
                </c:pt>
                <c:pt idx="4">
                  <c:v>1.0183861794651587</c:v>
                </c:pt>
                <c:pt idx="5">
                  <c:v>1.1923212478950318</c:v>
                </c:pt>
                <c:pt idx="6">
                  <c:v>1.0531667696763245</c:v>
                </c:pt>
                <c:pt idx="7">
                  <c:v>1.1322942411735857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6-48C7-9D2A-1D2C62619967}"/>
            </c:ext>
          </c:extLst>
        </c:ser>
        <c:ser>
          <c:idx val="1"/>
          <c:order val="1"/>
          <c:tx>
            <c:strRef>
              <c:f>'Genes hoja norm ambos const'!$S$62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 norm ambos const'!$T$63:$T$70</c:f>
                <c:numCache>
                  <c:formatCode>General</c:formatCode>
                  <c:ptCount val="8"/>
                  <c:pt idx="0">
                    <c:v>0.34063446275985915</c:v>
                  </c:pt>
                  <c:pt idx="1">
                    <c:v>6.6852605778732727E-2</c:v>
                  </c:pt>
                  <c:pt idx="2">
                    <c:v>0.74057014321898629</c:v>
                  </c:pt>
                  <c:pt idx="3">
                    <c:v>0.37871042944180489</c:v>
                  </c:pt>
                  <c:pt idx="4">
                    <c:v>0.25350674054180211</c:v>
                  </c:pt>
                  <c:pt idx="5">
                    <c:v>1.6510382790243803</c:v>
                  </c:pt>
                  <c:pt idx="6">
                    <c:v>0.10268590302852143</c:v>
                  </c:pt>
                  <c:pt idx="7">
                    <c:v>0.41728811848323905</c:v>
                  </c:pt>
                </c:numCache>
              </c:numRef>
            </c:plus>
            <c:minus>
              <c:numRef>
                <c:f>'Genes hoja norm ambos const'!$T$63:$T$70</c:f>
                <c:numCache>
                  <c:formatCode>General</c:formatCode>
                  <c:ptCount val="8"/>
                  <c:pt idx="0">
                    <c:v>0.34063446275985915</c:v>
                  </c:pt>
                  <c:pt idx="1">
                    <c:v>6.6852605778732727E-2</c:v>
                  </c:pt>
                  <c:pt idx="2">
                    <c:v>0.74057014321898629</c:v>
                  </c:pt>
                  <c:pt idx="3">
                    <c:v>0.37871042944180489</c:v>
                  </c:pt>
                  <c:pt idx="4">
                    <c:v>0.25350674054180211</c:v>
                  </c:pt>
                  <c:pt idx="5">
                    <c:v>1.6510382790243803</c:v>
                  </c:pt>
                  <c:pt idx="6">
                    <c:v>0.10268590302852143</c:v>
                  </c:pt>
                  <c:pt idx="7">
                    <c:v>0.41728811848323905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 norm ambos const'!$P$63:$P$70</c:f>
              <c:strCache>
                <c:ptCount val="8"/>
                <c:pt idx="0">
                  <c:v>2d</c:v>
                </c:pt>
                <c:pt idx="1">
                  <c:v>3d</c:v>
                </c:pt>
                <c:pt idx="2">
                  <c:v>4d</c:v>
                </c:pt>
                <c:pt idx="3">
                  <c:v>5d</c:v>
                </c:pt>
                <c:pt idx="4">
                  <c:v>6d</c:v>
                </c:pt>
                <c:pt idx="5">
                  <c:v>7d</c:v>
                </c:pt>
                <c:pt idx="6">
                  <c:v>8d</c:v>
                </c:pt>
                <c:pt idx="7">
                  <c:v>9d</c:v>
                </c:pt>
              </c:strCache>
            </c:strRef>
          </c:cat>
          <c:val>
            <c:numRef>
              <c:f>'Genes hoja norm ambos const'!$S$63:$S$70</c:f>
              <c:numCache>
                <c:formatCode>General</c:formatCode>
                <c:ptCount val="8"/>
                <c:pt idx="0">
                  <c:v>1.8830738296119069</c:v>
                </c:pt>
                <c:pt idx="1">
                  <c:v>0.54376424358643261</c:v>
                </c:pt>
                <c:pt idx="2">
                  <c:v>1.5383307356171148</c:v>
                </c:pt>
                <c:pt idx="3">
                  <c:v>0.80630752895150104</c:v>
                </c:pt>
                <c:pt idx="4">
                  <c:v>1.0183861794651587</c:v>
                </c:pt>
                <c:pt idx="5">
                  <c:v>3.3541551699287608</c:v>
                </c:pt>
                <c:pt idx="6">
                  <c:v>0.66025526753875674</c:v>
                </c:pt>
                <c:pt idx="7">
                  <c:v>1.1322942411735857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6-48C7-9D2A-1D2C62619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0075999"/>
        <c:axId val="250075039"/>
      </c:lineChart>
      <c:catAx>
        <c:axId val="25007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50075039"/>
        <c:crosses val="autoZero"/>
        <c:auto val="1"/>
        <c:lblAlgn val="ctr"/>
        <c:lblOffset val="100"/>
        <c:noMultiLvlLbl val="0"/>
      </c:catAx>
      <c:valAx>
        <c:axId val="25007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5007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hoja norm ambos const'!$AE$41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 norm ambos const'!$AF$42:$AF$46</c:f>
                <c:numCache>
                  <c:formatCode>General</c:formatCode>
                  <c:ptCount val="5"/>
                  <c:pt idx="0">
                    <c:v>0.11729585312728648</c:v>
                  </c:pt>
                  <c:pt idx="1">
                    <c:v>6.0609888851571966E-2</c:v>
                  </c:pt>
                  <c:pt idx="2">
                    <c:v>0.14534577680172611</c:v>
                  </c:pt>
                  <c:pt idx="3">
                    <c:v>0.18593508714715812</c:v>
                  </c:pt>
                  <c:pt idx="4">
                    <c:v>0.22698300691277029</c:v>
                  </c:pt>
                </c:numCache>
              </c:numRef>
            </c:plus>
            <c:minus>
              <c:numRef>
                <c:f>'Genes hoja norm ambos const'!$AF$42:$AF$46</c:f>
                <c:numCache>
                  <c:formatCode>General</c:formatCode>
                  <c:ptCount val="5"/>
                  <c:pt idx="0">
                    <c:v>0.11729585312728648</c:v>
                  </c:pt>
                  <c:pt idx="1">
                    <c:v>6.0609888851571966E-2</c:v>
                  </c:pt>
                  <c:pt idx="2">
                    <c:v>0.14534577680172611</c:v>
                  </c:pt>
                  <c:pt idx="3">
                    <c:v>0.18593508714715812</c:v>
                  </c:pt>
                  <c:pt idx="4">
                    <c:v>0.22698300691277029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 norm ambos const'!$AD$42:$AD$46</c:f>
              <c:strCache>
                <c:ptCount val="5"/>
                <c:pt idx="0">
                  <c:v>1d</c:v>
                </c:pt>
                <c:pt idx="1">
                  <c:v>3d</c:v>
                </c:pt>
                <c:pt idx="2">
                  <c:v>5d</c:v>
                </c:pt>
                <c:pt idx="3">
                  <c:v>7d</c:v>
                </c:pt>
                <c:pt idx="4">
                  <c:v>9d</c:v>
                </c:pt>
              </c:strCache>
            </c:strRef>
          </c:cat>
          <c:val>
            <c:numRef>
              <c:f>'Genes hoja norm ambos const'!$AE$42:$AE$46</c:f>
              <c:numCache>
                <c:formatCode>General</c:formatCode>
                <c:ptCount val="5"/>
                <c:pt idx="0">
                  <c:v>1.013939731737034</c:v>
                </c:pt>
                <c:pt idx="1">
                  <c:v>1.0035832038036869</c:v>
                </c:pt>
                <c:pt idx="2">
                  <c:v>1.0231214523924905</c:v>
                </c:pt>
                <c:pt idx="3">
                  <c:v>1.2688573973764781</c:v>
                </c:pt>
                <c:pt idx="4">
                  <c:v>1.057918877965222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4B-47F8-9DAC-3C431C1F3B4C}"/>
            </c:ext>
          </c:extLst>
        </c:ser>
        <c:ser>
          <c:idx val="1"/>
          <c:order val="1"/>
          <c:tx>
            <c:strRef>
              <c:f>'Genes hoja norm ambos const'!$AG$41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 norm ambos const'!$AH$42:$AH$46</c:f>
                <c:numCache>
                  <c:formatCode>General</c:formatCode>
                  <c:ptCount val="5"/>
                  <c:pt idx="0">
                    <c:v>0.38498851466966139</c:v>
                  </c:pt>
                  <c:pt idx="1">
                    <c:v>0.14873944553272686</c:v>
                  </c:pt>
                  <c:pt idx="2">
                    <c:v>0.71396562783244155</c:v>
                  </c:pt>
                  <c:pt idx="3">
                    <c:v>0.28414876999651484</c:v>
                  </c:pt>
                  <c:pt idx="4">
                    <c:v>0.1169509863364505</c:v>
                  </c:pt>
                </c:numCache>
              </c:numRef>
            </c:plus>
            <c:minus>
              <c:numRef>
                <c:f>'Genes hoja norm ambos const'!$AH$42:$AH$46</c:f>
                <c:numCache>
                  <c:formatCode>General</c:formatCode>
                  <c:ptCount val="5"/>
                  <c:pt idx="0">
                    <c:v>0.38498851466966139</c:v>
                  </c:pt>
                  <c:pt idx="1">
                    <c:v>0.14873944553272686</c:v>
                  </c:pt>
                  <c:pt idx="2">
                    <c:v>0.71396562783244155</c:v>
                  </c:pt>
                  <c:pt idx="3">
                    <c:v>0.28414876999651484</c:v>
                  </c:pt>
                  <c:pt idx="4">
                    <c:v>0.1169509863364505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 norm ambos const'!$AD$42:$AD$46</c:f>
              <c:strCache>
                <c:ptCount val="5"/>
                <c:pt idx="0">
                  <c:v>1d</c:v>
                </c:pt>
                <c:pt idx="1">
                  <c:v>3d</c:v>
                </c:pt>
                <c:pt idx="2">
                  <c:v>5d</c:v>
                </c:pt>
                <c:pt idx="3">
                  <c:v>7d</c:v>
                </c:pt>
                <c:pt idx="4">
                  <c:v>9d</c:v>
                </c:pt>
              </c:strCache>
            </c:strRef>
          </c:cat>
          <c:val>
            <c:numRef>
              <c:f>'Genes hoja norm ambos const'!$AG$42:$AG$46</c:f>
              <c:numCache>
                <c:formatCode>General</c:formatCode>
                <c:ptCount val="5"/>
                <c:pt idx="0">
                  <c:v>1.2567404009963938</c:v>
                </c:pt>
                <c:pt idx="1">
                  <c:v>0.75580362659571032</c:v>
                </c:pt>
                <c:pt idx="2">
                  <c:v>1.383827988551823</c:v>
                </c:pt>
                <c:pt idx="3">
                  <c:v>1.8825207041234062</c:v>
                </c:pt>
                <c:pt idx="4">
                  <c:v>1.3024169636015452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4B-47F8-9DAC-3C431C1F3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382831"/>
        <c:axId val="264381871"/>
      </c:lineChart>
      <c:catAx>
        <c:axId val="26438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4381871"/>
        <c:crosses val="autoZero"/>
        <c:auto val="1"/>
        <c:lblAlgn val="ctr"/>
        <c:lblOffset val="100"/>
        <c:noMultiLvlLbl val="0"/>
      </c:catAx>
      <c:valAx>
        <c:axId val="26438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438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RAIZ'!$AD$40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RAIZ'!$AE$41:$AE$45</c:f>
                <c:numCache>
                  <c:formatCode>General</c:formatCode>
                  <c:ptCount val="5"/>
                  <c:pt idx="0">
                    <c:v>0.27075405228618749</c:v>
                  </c:pt>
                  <c:pt idx="1">
                    <c:v>0.89746884932314253</c:v>
                  </c:pt>
                  <c:pt idx="2">
                    <c:v>0.29072131179286836</c:v>
                  </c:pt>
                  <c:pt idx="3">
                    <c:v>0.43666872845666033</c:v>
                  </c:pt>
                  <c:pt idx="4">
                    <c:v>0.42399267285505288</c:v>
                  </c:pt>
                </c:numCache>
              </c:numRef>
            </c:plus>
            <c:minus>
              <c:numRef>
                <c:f>'Genes RAIZ'!$AE$41:$AE$45</c:f>
                <c:numCache>
                  <c:formatCode>General</c:formatCode>
                  <c:ptCount val="5"/>
                  <c:pt idx="0">
                    <c:v>0.27075405228618749</c:v>
                  </c:pt>
                  <c:pt idx="1">
                    <c:v>0.89746884932314253</c:v>
                  </c:pt>
                  <c:pt idx="2">
                    <c:v>0.29072131179286836</c:v>
                  </c:pt>
                  <c:pt idx="3">
                    <c:v>0.43666872845666033</c:v>
                  </c:pt>
                  <c:pt idx="4">
                    <c:v>0.42399267285505288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HOJA'!$AC$41:$AC$70</c:f>
              <c:strCache>
                <c:ptCount val="5"/>
                <c:pt idx="0">
                  <c:v>1d</c:v>
                </c:pt>
                <c:pt idx="1">
                  <c:v>3d</c:v>
                </c:pt>
                <c:pt idx="2">
                  <c:v>5d</c:v>
                </c:pt>
                <c:pt idx="3">
                  <c:v>7d</c:v>
                </c:pt>
                <c:pt idx="4">
                  <c:v>10d</c:v>
                </c:pt>
              </c:strCache>
            </c:strRef>
          </c:cat>
          <c:val>
            <c:numRef>
              <c:f>'Genes RAIZ'!$AD$41:$AD$45</c:f>
              <c:numCache>
                <c:formatCode>General</c:formatCode>
                <c:ptCount val="5"/>
                <c:pt idx="0">
                  <c:v>1.084002486914186</c:v>
                </c:pt>
                <c:pt idx="1">
                  <c:v>1.4550191743972585</c:v>
                </c:pt>
                <c:pt idx="2">
                  <c:v>1.0793332541058946</c:v>
                </c:pt>
                <c:pt idx="3">
                  <c:v>2.3785550488506999</c:v>
                </c:pt>
                <c:pt idx="4">
                  <c:v>1.1460646756638595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1-4632-8FAE-B9554B7948EE}"/>
            </c:ext>
          </c:extLst>
        </c:ser>
        <c:ser>
          <c:idx val="1"/>
          <c:order val="1"/>
          <c:tx>
            <c:strRef>
              <c:f>'Genes RAIZ'!$AF$40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RAIZ'!$AG$41:$AG$45</c:f>
                <c:numCache>
                  <c:formatCode>General</c:formatCode>
                  <c:ptCount val="5"/>
                  <c:pt idx="0">
                    <c:v>0.90877506075560821</c:v>
                  </c:pt>
                  <c:pt idx="1">
                    <c:v>0.6171025022868617</c:v>
                  </c:pt>
                  <c:pt idx="2">
                    <c:v>1.4067685750863825</c:v>
                  </c:pt>
                  <c:pt idx="3">
                    <c:v>7.5902747381610763E-2</c:v>
                  </c:pt>
                  <c:pt idx="4">
                    <c:v>3.0278455702406846</c:v>
                  </c:pt>
                </c:numCache>
              </c:numRef>
            </c:plus>
            <c:minus>
              <c:numRef>
                <c:f>'Genes RAIZ'!$AG$41:$AG$45</c:f>
                <c:numCache>
                  <c:formatCode>General</c:formatCode>
                  <c:ptCount val="5"/>
                  <c:pt idx="0">
                    <c:v>0.90877506075560821</c:v>
                  </c:pt>
                  <c:pt idx="1">
                    <c:v>0.6171025022868617</c:v>
                  </c:pt>
                  <c:pt idx="2">
                    <c:v>1.4067685750863825</c:v>
                  </c:pt>
                  <c:pt idx="3">
                    <c:v>7.5902747381610763E-2</c:v>
                  </c:pt>
                  <c:pt idx="4">
                    <c:v>3.0278455702406846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HOJA'!$AC$41:$AC$70</c:f>
              <c:strCache>
                <c:ptCount val="5"/>
                <c:pt idx="0">
                  <c:v>1d</c:v>
                </c:pt>
                <c:pt idx="1">
                  <c:v>3d</c:v>
                </c:pt>
                <c:pt idx="2">
                  <c:v>5d</c:v>
                </c:pt>
                <c:pt idx="3">
                  <c:v>7d</c:v>
                </c:pt>
                <c:pt idx="4">
                  <c:v>10d</c:v>
                </c:pt>
              </c:strCache>
            </c:strRef>
          </c:cat>
          <c:val>
            <c:numRef>
              <c:f>'Genes RAIZ'!$AF$41:$AF$45</c:f>
              <c:numCache>
                <c:formatCode>General</c:formatCode>
                <c:ptCount val="5"/>
                <c:pt idx="0">
                  <c:v>4.0155761920538504</c:v>
                </c:pt>
                <c:pt idx="1">
                  <c:v>0.77761095161918459</c:v>
                </c:pt>
                <c:pt idx="2">
                  <c:v>3.327708472194574</c:v>
                </c:pt>
                <c:pt idx="3">
                  <c:v>0.27152545844773712</c:v>
                </c:pt>
                <c:pt idx="4">
                  <c:v>6.6003328211291405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71-4632-8FAE-B9554B794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015871"/>
        <c:axId val="663026911"/>
      </c:lineChart>
      <c:catAx>
        <c:axId val="66301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3026911"/>
        <c:crosses val="autoZero"/>
        <c:auto val="1"/>
        <c:lblAlgn val="ctr"/>
        <c:lblOffset val="100"/>
        <c:noMultiLvlLbl val="0"/>
      </c:catAx>
      <c:valAx>
        <c:axId val="66302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301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MYC2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9822903934344871E-2"/>
          <c:y val="0.17959397334251728"/>
          <c:w val="0.89808015733703395"/>
          <c:h val="0.67395989945923884"/>
        </c:manualLayout>
      </c:layout>
      <c:lineChart>
        <c:grouping val="standard"/>
        <c:varyColors val="0"/>
        <c:ser>
          <c:idx val="0"/>
          <c:order val="0"/>
          <c:tx>
            <c:strRef>
              <c:f>'Genes RAIZ'!$AQ$29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HOJA'!$AQ$30:$AQ$32</c:f>
                <c:numCache>
                  <c:formatCode>General</c:formatCode>
                  <c:ptCount val="3"/>
                  <c:pt idx="0">
                    <c:v>7.561293683330998</c:v>
                  </c:pt>
                  <c:pt idx="1">
                    <c:v>8.2478362514930588</c:v>
                  </c:pt>
                  <c:pt idx="2">
                    <c:v>0.10950421137089351</c:v>
                  </c:pt>
                </c:numCache>
              </c:numRef>
            </c:plus>
            <c:minus>
              <c:numRef>
                <c:f>'Genes HOJA'!$AQ$30:$AQ$32</c:f>
                <c:numCache>
                  <c:formatCode>General</c:formatCode>
                  <c:ptCount val="3"/>
                  <c:pt idx="0">
                    <c:v>7.561293683330998</c:v>
                  </c:pt>
                  <c:pt idx="1">
                    <c:v>8.2478362514930588</c:v>
                  </c:pt>
                  <c:pt idx="2">
                    <c:v>0.10950421137089351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HOJA'!$AO$30:$AO$32</c:f>
              <c:strCache>
                <c:ptCount val="3"/>
                <c:pt idx="0">
                  <c:v>7d</c:v>
                </c:pt>
                <c:pt idx="1">
                  <c:v>8d</c:v>
                </c:pt>
                <c:pt idx="2">
                  <c:v>9d</c:v>
                </c:pt>
              </c:strCache>
            </c:strRef>
          </c:cat>
          <c:val>
            <c:numRef>
              <c:f>'Genes RAIZ'!$AQ$30:$AQ$32</c:f>
              <c:numCache>
                <c:formatCode>General</c:formatCode>
                <c:ptCount val="3"/>
                <c:pt idx="0">
                  <c:v>0.16296447217258445</c:v>
                </c:pt>
                <c:pt idx="1">
                  <c:v>5.2730861895745385E-2</c:v>
                </c:pt>
                <c:pt idx="2">
                  <c:v>11.27045132310954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A-4955-A0AD-20DAF95B7292}"/>
            </c:ext>
          </c:extLst>
        </c:ser>
        <c:ser>
          <c:idx val="1"/>
          <c:order val="1"/>
          <c:tx>
            <c:strRef>
              <c:f>'Genes RAIZ'!$AS$29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HOJA'!$AS$30:$AS$32</c:f>
                <c:numCache>
                  <c:formatCode>General</c:formatCode>
                  <c:ptCount val="3"/>
                  <c:pt idx="0">
                    <c:v>4.8175638167236743</c:v>
                  </c:pt>
                  <c:pt idx="1">
                    <c:v>3.5721723958490061</c:v>
                  </c:pt>
                  <c:pt idx="2">
                    <c:v>9.0287897376110537E-2</c:v>
                  </c:pt>
                </c:numCache>
              </c:numRef>
            </c:plus>
            <c:minus>
              <c:numRef>
                <c:f>'Genes HOJA'!$AS$30:$AS$32</c:f>
                <c:numCache>
                  <c:formatCode>General</c:formatCode>
                  <c:ptCount val="3"/>
                  <c:pt idx="0">
                    <c:v>4.8175638167236743</c:v>
                  </c:pt>
                  <c:pt idx="1">
                    <c:v>3.5721723958490061</c:v>
                  </c:pt>
                  <c:pt idx="2">
                    <c:v>9.0287897376110537E-2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HOJA'!$AO$30:$AO$32</c:f>
              <c:strCache>
                <c:ptCount val="3"/>
                <c:pt idx="0">
                  <c:v>7d</c:v>
                </c:pt>
                <c:pt idx="1">
                  <c:v>8d</c:v>
                </c:pt>
                <c:pt idx="2">
                  <c:v>9d</c:v>
                </c:pt>
              </c:strCache>
            </c:strRef>
          </c:cat>
          <c:val>
            <c:numRef>
              <c:f>'Genes RAIZ'!$AS$30:$AS$32</c:f>
              <c:numCache>
                <c:formatCode>General</c:formatCode>
                <c:ptCount val="3"/>
                <c:pt idx="0">
                  <c:v>7.3962145608497135E-2</c:v>
                </c:pt>
                <c:pt idx="1">
                  <c:v>6.0872963878910981E-2</c:v>
                </c:pt>
                <c:pt idx="2">
                  <c:v>11.448137033032367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7A-4955-A0AD-20DAF95B7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385183"/>
        <c:axId val="655389503"/>
      </c:lineChart>
      <c:catAx>
        <c:axId val="65538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5389503"/>
        <c:crosses val="autoZero"/>
        <c:auto val="1"/>
        <c:lblAlgn val="ctr"/>
        <c:lblOffset val="100"/>
        <c:noMultiLvlLbl val="0"/>
      </c:catAx>
      <c:valAx>
        <c:axId val="65538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538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MYC2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9822903934344871E-2"/>
          <c:y val="0.17959397334251728"/>
          <c:w val="0.89808015733703395"/>
          <c:h val="0.67395989945923884"/>
        </c:manualLayout>
      </c:layout>
      <c:lineChart>
        <c:grouping val="standard"/>
        <c:varyColors val="0"/>
        <c:ser>
          <c:idx val="0"/>
          <c:order val="0"/>
          <c:tx>
            <c:strRef>
              <c:f>'Genes RAIZ'!$AQ$29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HOJA'!$AQ$104:$AQ$106</c:f>
                <c:numCache>
                  <c:formatCode>General</c:formatCode>
                  <c:ptCount val="3"/>
                  <c:pt idx="0">
                    <c:v>51.404779229264555</c:v>
                  </c:pt>
                  <c:pt idx="1">
                    <c:v>56.017894856591766</c:v>
                  </c:pt>
                  <c:pt idx="2">
                    <c:v>0.74869947019811767</c:v>
                  </c:pt>
                </c:numCache>
              </c:numRef>
            </c:plus>
            <c:minus>
              <c:numRef>
                <c:f>'Genes HOJA'!$AQ$104:$AQ$106</c:f>
                <c:numCache>
                  <c:formatCode>General</c:formatCode>
                  <c:ptCount val="3"/>
                  <c:pt idx="0">
                    <c:v>51.404779229264555</c:v>
                  </c:pt>
                  <c:pt idx="1">
                    <c:v>56.017894856591766</c:v>
                  </c:pt>
                  <c:pt idx="2">
                    <c:v>0.74869947019811767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HOJA'!$AO$30:$AO$32</c:f>
              <c:strCache>
                <c:ptCount val="3"/>
                <c:pt idx="0">
                  <c:v>7d</c:v>
                </c:pt>
                <c:pt idx="1">
                  <c:v>8d</c:v>
                </c:pt>
                <c:pt idx="2">
                  <c:v>9d</c:v>
                </c:pt>
              </c:strCache>
            </c:strRef>
          </c:cat>
          <c:val>
            <c:numRef>
              <c:f>'Genes RAIZ'!$AR$97:$AR$99</c:f>
              <c:numCache>
                <c:formatCode>General</c:formatCode>
                <c:ptCount val="3"/>
                <c:pt idx="0">
                  <c:v>3.6360239109307018</c:v>
                </c:pt>
                <c:pt idx="1">
                  <c:v>0.63525037984124133</c:v>
                </c:pt>
                <c:pt idx="2">
                  <c:v>301.22885907486653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3-4DDC-8F96-D6789C49521A}"/>
            </c:ext>
          </c:extLst>
        </c:ser>
        <c:ser>
          <c:idx val="1"/>
          <c:order val="1"/>
          <c:tx>
            <c:strRef>
              <c:f>'Genes RAIZ'!$AS$29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HOJA'!$AS$104:$AS$106</c:f>
                <c:numCache>
                  <c:formatCode>General</c:formatCode>
                  <c:ptCount val="3"/>
                  <c:pt idx="0">
                    <c:v>44.394813268383288</c:v>
                  </c:pt>
                  <c:pt idx="1">
                    <c:v>11.325799242045685</c:v>
                  </c:pt>
                  <c:pt idx="2">
                    <c:v>3.1040866568426946</c:v>
                  </c:pt>
                </c:numCache>
              </c:numRef>
            </c:plus>
            <c:minus>
              <c:numRef>
                <c:f>'Genes HOJA'!$AS$104:$AS$106</c:f>
                <c:numCache>
                  <c:formatCode>General</c:formatCode>
                  <c:ptCount val="3"/>
                  <c:pt idx="0">
                    <c:v>44.394813268383288</c:v>
                  </c:pt>
                  <c:pt idx="1">
                    <c:v>11.325799242045685</c:v>
                  </c:pt>
                  <c:pt idx="2">
                    <c:v>3.1040866568426946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HOJA'!$AO$30:$AO$32</c:f>
              <c:strCache>
                <c:ptCount val="3"/>
                <c:pt idx="0">
                  <c:v>7d</c:v>
                </c:pt>
                <c:pt idx="1">
                  <c:v>8d</c:v>
                </c:pt>
                <c:pt idx="2">
                  <c:v>9d</c:v>
                </c:pt>
              </c:strCache>
            </c:strRef>
          </c:cat>
          <c:val>
            <c:numRef>
              <c:f>'Genes RAIZ'!$AT$97:$AT$99</c:f>
              <c:numCache>
                <c:formatCode>General</c:formatCode>
                <c:ptCount val="3"/>
                <c:pt idx="0">
                  <c:v>5.0260589402828488</c:v>
                </c:pt>
                <c:pt idx="1">
                  <c:v>0.64793194279212118</c:v>
                </c:pt>
                <c:pt idx="2">
                  <c:v>379.66598742670857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3-4DDC-8F96-D6789C495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385183"/>
        <c:axId val="655389503"/>
      </c:lineChart>
      <c:catAx>
        <c:axId val="65538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5389503"/>
        <c:crosses val="autoZero"/>
        <c:auto val="1"/>
        <c:lblAlgn val="ctr"/>
        <c:lblOffset val="100"/>
        <c:noMultiLvlLbl val="0"/>
      </c:catAx>
      <c:valAx>
        <c:axId val="65538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538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RAIZ'!$AD$40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RAIZ'!$AF$108:$AF$112</c:f>
                <c:numCache>
                  <c:formatCode>General</c:formatCode>
                  <c:ptCount val="5"/>
                  <c:pt idx="0">
                    <c:v>0.25398739102088097</c:v>
                  </c:pt>
                  <c:pt idx="1">
                    <c:v>0.51668843754771576</c:v>
                  </c:pt>
                  <c:pt idx="2">
                    <c:v>2.6404976158733153</c:v>
                  </c:pt>
                  <c:pt idx="3">
                    <c:v>24.971784569457636</c:v>
                  </c:pt>
                  <c:pt idx="4">
                    <c:v>10.664848475682021</c:v>
                  </c:pt>
                </c:numCache>
              </c:numRef>
            </c:plus>
            <c:minus>
              <c:numRef>
                <c:f>'Genes RAIZ'!$AF$108:$AF$112</c:f>
                <c:numCache>
                  <c:formatCode>General</c:formatCode>
                  <c:ptCount val="5"/>
                  <c:pt idx="0">
                    <c:v>0.25398739102088097</c:v>
                  </c:pt>
                  <c:pt idx="1">
                    <c:v>0.51668843754771576</c:v>
                  </c:pt>
                  <c:pt idx="2">
                    <c:v>2.6404976158733153</c:v>
                  </c:pt>
                  <c:pt idx="3">
                    <c:v>24.971784569457636</c:v>
                  </c:pt>
                  <c:pt idx="4">
                    <c:v>10.664848475682021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HOJA'!$AC$41:$AC$70</c:f>
              <c:strCache>
                <c:ptCount val="5"/>
                <c:pt idx="0">
                  <c:v>1d</c:v>
                </c:pt>
                <c:pt idx="1">
                  <c:v>3d</c:v>
                </c:pt>
                <c:pt idx="2">
                  <c:v>5d</c:v>
                </c:pt>
                <c:pt idx="3">
                  <c:v>7d</c:v>
                </c:pt>
                <c:pt idx="4">
                  <c:v>10d</c:v>
                </c:pt>
              </c:strCache>
            </c:strRef>
          </c:cat>
          <c:val>
            <c:numRef>
              <c:f>'Genes RAIZ'!$AE$108:$AE$112</c:f>
              <c:numCache>
                <c:formatCode>General</c:formatCode>
                <c:ptCount val="5"/>
                <c:pt idx="0">
                  <c:v>0.77392989123811917</c:v>
                </c:pt>
                <c:pt idx="1">
                  <c:v>1.3995858309468912</c:v>
                </c:pt>
                <c:pt idx="2">
                  <c:v>12.684265039716882</c:v>
                </c:pt>
                <c:pt idx="3">
                  <c:v>66.688096909315064</c:v>
                </c:pt>
                <c:pt idx="4">
                  <c:v>30.302884550183975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6-450F-ACF0-38C890A8C5A0}"/>
            </c:ext>
          </c:extLst>
        </c:ser>
        <c:ser>
          <c:idx val="1"/>
          <c:order val="1"/>
          <c:tx>
            <c:strRef>
              <c:f>'Genes RAIZ'!$AG$107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RAIZ'!$AH$108:$AH$112</c:f>
                <c:numCache>
                  <c:formatCode>General</c:formatCode>
                  <c:ptCount val="5"/>
                  <c:pt idx="0">
                    <c:v>0.16949184679371904</c:v>
                  </c:pt>
                  <c:pt idx="1">
                    <c:v>0.82023729065087625</c:v>
                  </c:pt>
                  <c:pt idx="2">
                    <c:v>26.639766174033856</c:v>
                  </c:pt>
                  <c:pt idx="3">
                    <c:v>6.0809747949381112</c:v>
                  </c:pt>
                  <c:pt idx="4">
                    <c:v>113.7020191219889</c:v>
                  </c:pt>
                </c:numCache>
              </c:numRef>
            </c:plus>
            <c:minus>
              <c:numRef>
                <c:f>'Genes RAIZ'!$AH$108:$AH$112</c:f>
                <c:numCache>
                  <c:formatCode>General</c:formatCode>
                  <c:ptCount val="5"/>
                  <c:pt idx="0">
                    <c:v>0.16949184679371904</c:v>
                  </c:pt>
                  <c:pt idx="1">
                    <c:v>0.82023729065087625</c:v>
                  </c:pt>
                  <c:pt idx="2">
                    <c:v>26.639766174033856</c:v>
                  </c:pt>
                  <c:pt idx="3">
                    <c:v>6.0809747949381112</c:v>
                  </c:pt>
                  <c:pt idx="4">
                    <c:v>113.7020191219889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HOJA'!$AC$41:$AC$70</c:f>
              <c:strCache>
                <c:ptCount val="5"/>
                <c:pt idx="0">
                  <c:v>1d</c:v>
                </c:pt>
                <c:pt idx="1">
                  <c:v>3d</c:v>
                </c:pt>
                <c:pt idx="2">
                  <c:v>5d</c:v>
                </c:pt>
                <c:pt idx="3">
                  <c:v>7d</c:v>
                </c:pt>
                <c:pt idx="4">
                  <c:v>10d</c:v>
                </c:pt>
              </c:strCache>
            </c:strRef>
          </c:cat>
          <c:val>
            <c:numRef>
              <c:f>'Genes RAIZ'!$AG$108:$AG$112</c:f>
              <c:numCache>
                <c:formatCode>General</c:formatCode>
                <c:ptCount val="5"/>
                <c:pt idx="0">
                  <c:v>0.48594411180412989</c:v>
                </c:pt>
                <c:pt idx="1">
                  <c:v>1.6736399941111977</c:v>
                </c:pt>
                <c:pt idx="2">
                  <c:v>56.874023431359717</c:v>
                </c:pt>
                <c:pt idx="3">
                  <c:v>14.19724061087021</c:v>
                </c:pt>
                <c:pt idx="4">
                  <c:v>231.87359078114059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06-450F-ACF0-38C890A8C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015871"/>
        <c:axId val="663026911"/>
      </c:lineChart>
      <c:catAx>
        <c:axId val="66301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3026911"/>
        <c:crosses val="autoZero"/>
        <c:auto val="1"/>
        <c:lblAlgn val="ctr"/>
        <c:lblOffset val="100"/>
        <c:noMultiLvlLbl val="0"/>
      </c:catAx>
      <c:valAx>
        <c:axId val="66302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301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RAIZ'!$D$125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'Genes RAIZ'!$C$126:$C$130</c:f>
              <c:strCache>
                <c:ptCount val="5"/>
                <c:pt idx="0">
                  <c:v>3d</c:v>
                </c:pt>
                <c:pt idx="1">
                  <c:v>4d</c:v>
                </c:pt>
                <c:pt idx="2">
                  <c:v>5d</c:v>
                </c:pt>
                <c:pt idx="3">
                  <c:v>6d</c:v>
                </c:pt>
                <c:pt idx="4">
                  <c:v>7d</c:v>
                </c:pt>
              </c:strCache>
            </c:strRef>
          </c:cat>
          <c:val>
            <c:numRef>
              <c:f>'Genes RAIZ'!$D$126:$D$130</c:f>
              <c:numCache>
                <c:formatCode>General</c:formatCode>
                <c:ptCount val="5"/>
                <c:pt idx="0">
                  <c:v>1.0442259882186875</c:v>
                </c:pt>
                <c:pt idx="1">
                  <c:v>1.3395786696941094</c:v>
                </c:pt>
                <c:pt idx="2">
                  <c:v>1.0844452572258179</c:v>
                </c:pt>
                <c:pt idx="3">
                  <c:v>1.0300255160544147</c:v>
                </c:pt>
                <c:pt idx="4">
                  <c:v>2.3322421098669666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7-4D24-9DD6-DD4D07755454}"/>
            </c:ext>
          </c:extLst>
        </c:ser>
        <c:ser>
          <c:idx val="1"/>
          <c:order val="1"/>
          <c:tx>
            <c:strRef>
              <c:f>'Genes RAIZ'!$F$125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'Genes RAIZ'!$C$126:$C$130</c:f>
              <c:strCache>
                <c:ptCount val="5"/>
                <c:pt idx="0">
                  <c:v>3d</c:v>
                </c:pt>
                <c:pt idx="1">
                  <c:v>4d</c:v>
                </c:pt>
                <c:pt idx="2">
                  <c:v>5d</c:v>
                </c:pt>
                <c:pt idx="3">
                  <c:v>6d</c:v>
                </c:pt>
                <c:pt idx="4">
                  <c:v>7d</c:v>
                </c:pt>
              </c:strCache>
            </c:strRef>
          </c:cat>
          <c:val>
            <c:numRef>
              <c:f>'Genes RAIZ'!$F$126:$F$130</c:f>
              <c:numCache>
                <c:formatCode>General</c:formatCode>
                <c:ptCount val="5"/>
                <c:pt idx="0">
                  <c:v>0.60805323285786528</c:v>
                </c:pt>
                <c:pt idx="1">
                  <c:v>0.87753993763389226</c:v>
                </c:pt>
                <c:pt idx="2">
                  <c:v>4.6972397510679116</c:v>
                </c:pt>
                <c:pt idx="3">
                  <c:v>0.35317798008935397</c:v>
                </c:pt>
                <c:pt idx="4">
                  <c:v>0.56415597296043418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47-4D24-9DD6-DD4D07755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625040"/>
        <c:axId val="2017623600"/>
      </c:lineChart>
      <c:catAx>
        <c:axId val="201762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7623600"/>
        <c:crosses val="autoZero"/>
        <c:auto val="1"/>
        <c:lblAlgn val="ctr"/>
        <c:lblOffset val="100"/>
        <c:noMultiLvlLbl val="0"/>
      </c:catAx>
      <c:valAx>
        <c:axId val="201762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762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RAIZ'!$P$125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RAIZ'!$Q$126:$Q$132</c:f>
                <c:numCache>
                  <c:formatCode>General</c:formatCode>
                  <c:ptCount val="7"/>
                  <c:pt idx="0">
                    <c:v>0.25208939646915263</c:v>
                  </c:pt>
                  <c:pt idx="1">
                    <c:v>0.19755089782820959</c:v>
                  </c:pt>
                  <c:pt idx="2">
                    <c:v>0.18786534774454061</c:v>
                  </c:pt>
                  <c:pt idx="3">
                    <c:v>0.91953578865159424</c:v>
                  </c:pt>
                  <c:pt idx="4">
                    <c:v>0.21392620402422932</c:v>
                  </c:pt>
                  <c:pt idx="5">
                    <c:v>1.3820130703193116</c:v>
                  </c:pt>
                  <c:pt idx="6">
                    <c:v>6.6520879620000171E-3</c:v>
                  </c:pt>
                </c:numCache>
              </c:numRef>
            </c:plus>
            <c:minus>
              <c:numRef>
                <c:f>'Genes RAIZ'!$Q$126:$Q$132</c:f>
                <c:numCache>
                  <c:formatCode>General</c:formatCode>
                  <c:ptCount val="7"/>
                  <c:pt idx="0">
                    <c:v>0.25208939646915263</c:v>
                  </c:pt>
                  <c:pt idx="1">
                    <c:v>0.19755089782820959</c:v>
                  </c:pt>
                  <c:pt idx="2">
                    <c:v>0.18786534774454061</c:v>
                  </c:pt>
                  <c:pt idx="3">
                    <c:v>0.91953578865159424</c:v>
                  </c:pt>
                  <c:pt idx="4">
                    <c:v>0.21392620402422932</c:v>
                  </c:pt>
                  <c:pt idx="5">
                    <c:v>1.3820130703193116</c:v>
                  </c:pt>
                  <c:pt idx="6">
                    <c:v>6.6520879620000171E-3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RAIZ'!$O$126:$O$132</c:f>
              <c:strCache>
                <c:ptCount val="7"/>
                <c:pt idx="0">
                  <c:v>3d</c:v>
                </c:pt>
                <c:pt idx="1">
                  <c:v>4d</c:v>
                </c:pt>
                <c:pt idx="2">
                  <c:v>5d</c:v>
                </c:pt>
                <c:pt idx="3">
                  <c:v>6d</c:v>
                </c:pt>
                <c:pt idx="4">
                  <c:v>7d</c:v>
                </c:pt>
                <c:pt idx="5">
                  <c:v>8d</c:v>
                </c:pt>
                <c:pt idx="6">
                  <c:v>9d</c:v>
                </c:pt>
              </c:strCache>
            </c:strRef>
          </c:cat>
          <c:val>
            <c:numRef>
              <c:f>'Genes RAIZ'!$P$126:$P$132</c:f>
              <c:numCache>
                <c:formatCode>General</c:formatCode>
                <c:ptCount val="7"/>
                <c:pt idx="0">
                  <c:v>1.0548998552594082</c:v>
                </c:pt>
                <c:pt idx="1">
                  <c:v>1.0436529102616312</c:v>
                </c:pt>
                <c:pt idx="2">
                  <c:v>1.0395041010817518</c:v>
                </c:pt>
                <c:pt idx="3">
                  <c:v>1.4703028698432441</c:v>
                </c:pt>
                <c:pt idx="4">
                  <c:v>1.0405551715258154</c:v>
                </c:pt>
                <c:pt idx="5">
                  <c:v>2.9384198080005746</c:v>
                </c:pt>
                <c:pt idx="6">
                  <c:v>1.0000443026777763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5-40A6-BE69-81595E7118F4}"/>
            </c:ext>
          </c:extLst>
        </c:ser>
        <c:ser>
          <c:idx val="1"/>
          <c:order val="1"/>
          <c:tx>
            <c:strRef>
              <c:f>'Genes RAIZ'!$R$125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RAIZ'!$S$126:$S$132</c:f>
                <c:numCache>
                  <c:formatCode>General</c:formatCode>
                  <c:ptCount val="7"/>
                  <c:pt idx="0">
                    <c:v>0.16920951300430068</c:v>
                  </c:pt>
                  <c:pt idx="1">
                    <c:v>0.28262456520381879</c:v>
                  </c:pt>
                  <c:pt idx="2">
                    <c:v>0.66564606148390393</c:v>
                  </c:pt>
                  <c:pt idx="3">
                    <c:v>4.3714470426132961E-2</c:v>
                  </c:pt>
                  <c:pt idx="4">
                    <c:v>1.1081096310999528</c:v>
                  </c:pt>
                  <c:pt idx="5">
                    <c:v>1.1796480595827263</c:v>
                  </c:pt>
                  <c:pt idx="6">
                    <c:v>0.42062043131839016</c:v>
                  </c:pt>
                </c:numCache>
              </c:numRef>
            </c:plus>
            <c:minus>
              <c:numRef>
                <c:f>'Genes RAIZ'!$S$126:$S$132</c:f>
                <c:numCache>
                  <c:formatCode>General</c:formatCode>
                  <c:ptCount val="7"/>
                  <c:pt idx="0">
                    <c:v>0.16920951300430068</c:v>
                  </c:pt>
                  <c:pt idx="1">
                    <c:v>0.28262456520381879</c:v>
                  </c:pt>
                  <c:pt idx="2">
                    <c:v>0.66564606148390393</c:v>
                  </c:pt>
                  <c:pt idx="3">
                    <c:v>4.3714470426132961E-2</c:v>
                  </c:pt>
                  <c:pt idx="4">
                    <c:v>1.1081096310999528</c:v>
                  </c:pt>
                  <c:pt idx="5">
                    <c:v>1.1796480595827263</c:v>
                  </c:pt>
                  <c:pt idx="6">
                    <c:v>0.42062043131839016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RAIZ'!$O$126:$O$132</c:f>
              <c:strCache>
                <c:ptCount val="7"/>
                <c:pt idx="0">
                  <c:v>3d</c:v>
                </c:pt>
                <c:pt idx="1">
                  <c:v>4d</c:v>
                </c:pt>
                <c:pt idx="2">
                  <c:v>5d</c:v>
                </c:pt>
                <c:pt idx="3">
                  <c:v>6d</c:v>
                </c:pt>
                <c:pt idx="4">
                  <c:v>7d</c:v>
                </c:pt>
                <c:pt idx="5">
                  <c:v>8d</c:v>
                </c:pt>
                <c:pt idx="6">
                  <c:v>9d</c:v>
                </c:pt>
              </c:strCache>
            </c:strRef>
          </c:cat>
          <c:val>
            <c:numRef>
              <c:f>'Genes RAIZ'!$R$126:$R$132</c:f>
              <c:numCache>
                <c:formatCode>General</c:formatCode>
                <c:ptCount val="7"/>
                <c:pt idx="0">
                  <c:v>1.0064082859116514</c:v>
                </c:pt>
                <c:pt idx="1">
                  <c:v>0.59387555491620703</c:v>
                </c:pt>
                <c:pt idx="2">
                  <c:v>1.9625849388730436</c:v>
                </c:pt>
                <c:pt idx="3">
                  <c:v>0.17840989657954084</c:v>
                </c:pt>
                <c:pt idx="4">
                  <c:v>1.8371504448491465</c:v>
                </c:pt>
                <c:pt idx="5">
                  <c:v>1.6628618092212208</c:v>
                </c:pt>
                <c:pt idx="6">
                  <c:v>0.65754665660093348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5-40A6-BE69-81595E711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759935"/>
        <c:axId val="197753215"/>
      </c:lineChart>
      <c:catAx>
        <c:axId val="19775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753215"/>
        <c:crosses val="autoZero"/>
        <c:auto val="1"/>
        <c:lblAlgn val="ctr"/>
        <c:lblOffset val="100"/>
        <c:noMultiLvlLbl val="0"/>
      </c:catAx>
      <c:valAx>
        <c:axId val="19775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75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RAIZ'!$C$48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'Genes RAIZ'!$B$49:$B$54</c:f>
              <c:strCache>
                <c:ptCount val="6"/>
                <c:pt idx="0">
                  <c:v>3d</c:v>
                </c:pt>
                <c:pt idx="1">
                  <c:v>4d</c:v>
                </c:pt>
                <c:pt idx="2">
                  <c:v>5d</c:v>
                </c:pt>
                <c:pt idx="3">
                  <c:v>6d</c:v>
                </c:pt>
                <c:pt idx="4">
                  <c:v>7d</c:v>
                </c:pt>
                <c:pt idx="5">
                  <c:v>10d</c:v>
                </c:pt>
              </c:strCache>
            </c:strRef>
          </c:cat>
          <c:val>
            <c:numRef>
              <c:f>'Genes RAIZ'!$C$49:$C$54</c:f>
              <c:numCache>
                <c:formatCode>General</c:formatCode>
                <c:ptCount val="6"/>
                <c:pt idx="0">
                  <c:v>1.0719239638958564</c:v>
                </c:pt>
                <c:pt idx="1">
                  <c:v>1.1336037171522071</c:v>
                </c:pt>
                <c:pt idx="2">
                  <c:v>1.0730798075093804</c:v>
                </c:pt>
                <c:pt idx="3">
                  <c:v>1.4961464234819513</c:v>
                </c:pt>
                <c:pt idx="4">
                  <c:v>1.7341120841345752</c:v>
                </c:pt>
                <c:pt idx="5">
                  <c:v>1.122310567684736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7F-4B53-8AE4-A91B774AD4A0}"/>
            </c:ext>
          </c:extLst>
        </c:ser>
        <c:ser>
          <c:idx val="1"/>
          <c:order val="1"/>
          <c:tx>
            <c:strRef>
              <c:f>'Genes RAIZ'!$E$48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'Genes RAIZ'!$B$49:$B$54</c:f>
              <c:strCache>
                <c:ptCount val="6"/>
                <c:pt idx="0">
                  <c:v>3d</c:v>
                </c:pt>
                <c:pt idx="1">
                  <c:v>4d</c:v>
                </c:pt>
                <c:pt idx="2">
                  <c:v>5d</c:v>
                </c:pt>
                <c:pt idx="3">
                  <c:v>6d</c:v>
                </c:pt>
                <c:pt idx="4">
                  <c:v>7d</c:v>
                </c:pt>
                <c:pt idx="5">
                  <c:v>10d</c:v>
                </c:pt>
              </c:strCache>
            </c:strRef>
          </c:cat>
          <c:val>
            <c:numRef>
              <c:f>'Genes RAIZ'!$E$49:$E$54</c:f>
              <c:numCache>
                <c:formatCode>General</c:formatCode>
                <c:ptCount val="6"/>
                <c:pt idx="0">
                  <c:v>0.54100198371470454</c:v>
                </c:pt>
                <c:pt idx="1">
                  <c:v>2.7102683960858394</c:v>
                </c:pt>
                <c:pt idx="2">
                  <c:v>2.615538963714608</c:v>
                </c:pt>
                <c:pt idx="3">
                  <c:v>1.628049527779849</c:v>
                </c:pt>
                <c:pt idx="4">
                  <c:v>0.27839683699015366</c:v>
                </c:pt>
                <c:pt idx="5">
                  <c:v>0.27839683699015366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7F-4B53-8AE4-A91B774AD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236592"/>
        <c:axId val="647237072"/>
      </c:lineChart>
      <c:catAx>
        <c:axId val="64723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7237072"/>
        <c:crosses val="autoZero"/>
        <c:auto val="1"/>
        <c:lblAlgn val="ctr"/>
        <c:lblOffset val="100"/>
        <c:noMultiLvlLbl val="0"/>
      </c:catAx>
      <c:valAx>
        <c:axId val="64723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72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RAIZ'!$O$52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RAIZ'!$P$53:$P$59</c:f>
                <c:numCache>
                  <c:formatCode>General</c:formatCode>
                  <c:ptCount val="7"/>
                  <c:pt idx="0">
                    <c:v>0.3063437542716812</c:v>
                  </c:pt>
                  <c:pt idx="1">
                    <c:v>0.12384791338204784</c:v>
                  </c:pt>
                  <c:pt idx="2">
                    <c:v>0.16366018239346361</c:v>
                  </c:pt>
                  <c:pt idx="3">
                    <c:v>0.19770931204673339</c:v>
                  </c:pt>
                  <c:pt idx="4">
                    <c:v>0.17370838279107015</c:v>
                  </c:pt>
                  <c:pt idx="5">
                    <c:v>8.855548867380568E-2</c:v>
                  </c:pt>
                  <c:pt idx="6">
                    <c:v>0.19050275627862368</c:v>
                  </c:pt>
                </c:numCache>
              </c:numRef>
            </c:plus>
            <c:minus>
              <c:numRef>
                <c:f>'Genes RAIZ'!$P$53:$P$59</c:f>
                <c:numCache>
                  <c:formatCode>General</c:formatCode>
                  <c:ptCount val="7"/>
                  <c:pt idx="0">
                    <c:v>0.3063437542716812</c:v>
                  </c:pt>
                  <c:pt idx="1">
                    <c:v>0.12384791338204784</c:v>
                  </c:pt>
                  <c:pt idx="2">
                    <c:v>0.16366018239346361</c:v>
                  </c:pt>
                  <c:pt idx="3">
                    <c:v>0.19770931204673339</c:v>
                  </c:pt>
                  <c:pt idx="4">
                    <c:v>0.17370838279107015</c:v>
                  </c:pt>
                  <c:pt idx="5">
                    <c:v>8.855548867380568E-2</c:v>
                  </c:pt>
                  <c:pt idx="6">
                    <c:v>0.19050275627862368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RAIZ'!$N$53:$N$59</c:f>
              <c:strCache>
                <c:ptCount val="7"/>
                <c:pt idx="0">
                  <c:v>3d</c:v>
                </c:pt>
                <c:pt idx="1">
                  <c:v>4d</c:v>
                </c:pt>
                <c:pt idx="2">
                  <c:v>5d</c:v>
                </c:pt>
                <c:pt idx="3">
                  <c:v>6d</c:v>
                </c:pt>
                <c:pt idx="4">
                  <c:v>7d</c:v>
                </c:pt>
                <c:pt idx="5">
                  <c:v>8d</c:v>
                </c:pt>
                <c:pt idx="6">
                  <c:v>9d</c:v>
                </c:pt>
              </c:strCache>
            </c:strRef>
          </c:cat>
          <c:val>
            <c:numRef>
              <c:f>'Genes RAIZ'!$O$53:$O$59</c:f>
              <c:numCache>
                <c:formatCode>General</c:formatCode>
                <c:ptCount val="7"/>
                <c:pt idx="0">
                  <c:v>1.0783917235238645</c:v>
                </c:pt>
                <c:pt idx="1">
                  <c:v>1.0154288685129043</c:v>
                </c:pt>
                <c:pt idx="2">
                  <c:v>1.0295805457281095</c:v>
                </c:pt>
                <c:pt idx="3">
                  <c:v>1.0346290333910682</c:v>
                </c:pt>
                <c:pt idx="4">
                  <c:v>1.0269701476872879</c:v>
                </c:pt>
                <c:pt idx="5">
                  <c:v>1.0082079842616241</c:v>
                </c:pt>
                <c:pt idx="6">
                  <c:v>1.0360744982436383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9-460A-BC6D-8DAECC6B34CB}"/>
            </c:ext>
          </c:extLst>
        </c:ser>
        <c:ser>
          <c:idx val="1"/>
          <c:order val="1"/>
          <c:tx>
            <c:strRef>
              <c:f>'Genes RAIZ'!$Q$52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RAIZ'!$R$53:$R$59</c:f>
                <c:numCache>
                  <c:formatCode>General</c:formatCode>
                  <c:ptCount val="7"/>
                  <c:pt idx="0">
                    <c:v>0.11708357041911512</c:v>
                  </c:pt>
                  <c:pt idx="1">
                    <c:v>1.2324135388688355</c:v>
                  </c:pt>
                  <c:pt idx="2">
                    <c:v>0.14893176639210248</c:v>
                  </c:pt>
                  <c:pt idx="3">
                    <c:v>0.16869554987127558</c:v>
                  </c:pt>
                  <c:pt idx="4">
                    <c:v>0.41040140150306509</c:v>
                  </c:pt>
                  <c:pt idx="5">
                    <c:v>0.2451700744359373</c:v>
                  </c:pt>
                  <c:pt idx="6">
                    <c:v>2.6179360561495366E-2</c:v>
                  </c:pt>
                </c:numCache>
              </c:numRef>
            </c:plus>
            <c:minus>
              <c:numRef>
                <c:f>'Genes RAIZ'!$R$53:$R$60</c:f>
                <c:numCache>
                  <c:formatCode>General</c:formatCode>
                  <c:ptCount val="8"/>
                  <c:pt idx="0">
                    <c:v>0.11708357041911512</c:v>
                  </c:pt>
                  <c:pt idx="1">
                    <c:v>1.2324135388688355</c:v>
                  </c:pt>
                  <c:pt idx="2">
                    <c:v>0.14893176639210248</c:v>
                  </c:pt>
                  <c:pt idx="3">
                    <c:v>0.16869554987127558</c:v>
                  </c:pt>
                  <c:pt idx="4">
                    <c:v>0.41040140150306509</c:v>
                  </c:pt>
                  <c:pt idx="5">
                    <c:v>0.2451700744359373</c:v>
                  </c:pt>
                  <c:pt idx="6">
                    <c:v>2.6179360561495366E-2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RAIZ'!$N$53:$N$59</c:f>
              <c:strCache>
                <c:ptCount val="7"/>
                <c:pt idx="0">
                  <c:v>3d</c:v>
                </c:pt>
                <c:pt idx="1">
                  <c:v>4d</c:v>
                </c:pt>
                <c:pt idx="2">
                  <c:v>5d</c:v>
                </c:pt>
                <c:pt idx="3">
                  <c:v>6d</c:v>
                </c:pt>
                <c:pt idx="4">
                  <c:v>7d</c:v>
                </c:pt>
                <c:pt idx="5">
                  <c:v>8d</c:v>
                </c:pt>
                <c:pt idx="6">
                  <c:v>9d</c:v>
                </c:pt>
              </c:strCache>
            </c:strRef>
          </c:cat>
          <c:val>
            <c:numRef>
              <c:f>'Genes RAIZ'!$Q$53:$Q$59</c:f>
              <c:numCache>
                <c:formatCode>General</c:formatCode>
                <c:ptCount val="7"/>
                <c:pt idx="0">
                  <c:v>0.76071064253694232</c:v>
                </c:pt>
                <c:pt idx="1">
                  <c:v>3.0060053426534545</c:v>
                </c:pt>
                <c:pt idx="2">
                  <c:v>1.1007732133051915</c:v>
                </c:pt>
                <c:pt idx="3">
                  <c:v>0.86983009162946445</c:v>
                </c:pt>
                <c:pt idx="4">
                  <c:v>0.71452082039614895</c:v>
                </c:pt>
                <c:pt idx="5">
                  <c:v>0.71452082039614895</c:v>
                </c:pt>
                <c:pt idx="6">
                  <c:v>0.69190430683930904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9-460A-BC6D-8DAECC6B3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137007"/>
        <c:axId val="265135567"/>
      </c:lineChart>
      <c:catAx>
        <c:axId val="26513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5135567"/>
        <c:crosses val="autoZero"/>
        <c:auto val="1"/>
        <c:lblAlgn val="ctr"/>
        <c:lblOffset val="100"/>
        <c:noMultiLvlLbl val="0"/>
      </c:catAx>
      <c:valAx>
        <c:axId val="26513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513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LOXD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raiz norm ambos const'!$B$65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raiz norm ambos const'!$C$66:$C$72</c:f>
                <c:numCache>
                  <c:formatCode>General</c:formatCode>
                  <c:ptCount val="7"/>
                  <c:pt idx="0">
                    <c:v>0.11392069592084371</c:v>
                  </c:pt>
                  <c:pt idx="1">
                    <c:v>0.46506526847410462</c:v>
                  </c:pt>
                  <c:pt idx="2">
                    <c:v>0.30010853249520114</c:v>
                  </c:pt>
                  <c:pt idx="3">
                    <c:v>0.40721969806125297</c:v>
                  </c:pt>
                  <c:pt idx="4">
                    <c:v>0.97122251812665494</c:v>
                  </c:pt>
                  <c:pt idx="5">
                    <c:v>0.45108482086971424</c:v>
                  </c:pt>
                  <c:pt idx="6">
                    <c:v>0.70755792653116856</c:v>
                  </c:pt>
                </c:numCache>
              </c:numRef>
            </c:plus>
            <c:minus>
              <c:numRef>
                <c:f>'Genes raiz norm ambos const'!$C$66:$C$72</c:f>
                <c:numCache>
                  <c:formatCode>General</c:formatCode>
                  <c:ptCount val="7"/>
                  <c:pt idx="0">
                    <c:v>0.11392069592084371</c:v>
                  </c:pt>
                  <c:pt idx="1">
                    <c:v>0.46506526847410462</c:v>
                  </c:pt>
                  <c:pt idx="2">
                    <c:v>0.30010853249520114</c:v>
                  </c:pt>
                  <c:pt idx="3">
                    <c:v>0.40721969806125297</c:v>
                  </c:pt>
                  <c:pt idx="4">
                    <c:v>0.97122251812665494</c:v>
                  </c:pt>
                  <c:pt idx="5">
                    <c:v>0.45108482086971424</c:v>
                  </c:pt>
                  <c:pt idx="6">
                    <c:v>0.70755792653116856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raiz norm ambos const'!$A$66:$A$70</c:f>
              <c:strCache>
                <c:ptCount val="5"/>
                <c:pt idx="0">
                  <c:v>3d</c:v>
                </c:pt>
                <c:pt idx="1">
                  <c:v>4d</c:v>
                </c:pt>
                <c:pt idx="2">
                  <c:v>5d</c:v>
                </c:pt>
                <c:pt idx="3">
                  <c:v>6d</c:v>
                </c:pt>
                <c:pt idx="4">
                  <c:v>7d</c:v>
                </c:pt>
              </c:strCache>
            </c:strRef>
          </c:cat>
          <c:val>
            <c:numRef>
              <c:f>'Genes raiz norm ambos const'!$B$66:$B$72</c:f>
              <c:numCache>
                <c:formatCode>General</c:formatCode>
                <c:ptCount val="7"/>
                <c:pt idx="0">
                  <c:v>1.0130095808073107</c:v>
                </c:pt>
                <c:pt idx="1">
                  <c:v>1.2183206022424256</c:v>
                </c:pt>
                <c:pt idx="2">
                  <c:v>1.0784671924957505</c:v>
                </c:pt>
                <c:pt idx="3">
                  <c:v>1.1370828082666717</c:v>
                </c:pt>
                <c:pt idx="4">
                  <c:v>2.0518094093255193</c:v>
                </c:pt>
                <c:pt idx="5">
                  <c:v>1.163108344433742</c:v>
                </c:pt>
                <c:pt idx="6">
                  <c:v>1.4256105698274959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9-461C-94C9-01055CCFF3E5}"/>
            </c:ext>
          </c:extLst>
        </c:ser>
        <c:ser>
          <c:idx val="1"/>
          <c:order val="1"/>
          <c:tx>
            <c:strRef>
              <c:f>'Genes raiz norm ambos const'!$D$65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raiz norm ambos const'!$E$66:$E$72</c:f>
                <c:numCache>
                  <c:formatCode>General</c:formatCode>
                  <c:ptCount val="7"/>
                  <c:pt idx="0">
                    <c:v>0.19520588547046086</c:v>
                  </c:pt>
                  <c:pt idx="1">
                    <c:v>0.44196983659817785</c:v>
                  </c:pt>
                  <c:pt idx="2">
                    <c:v>0.94418524301063389</c:v>
                  </c:pt>
                  <c:pt idx="3">
                    <c:v>0.39206527903585625</c:v>
                  </c:pt>
                  <c:pt idx="4">
                    <c:v>0.19009038999323635</c:v>
                  </c:pt>
                  <c:pt idx="5">
                    <c:v>0.58384156451235958</c:v>
                  </c:pt>
                  <c:pt idx="6">
                    <c:v>0.88315137307393232</c:v>
                  </c:pt>
                </c:numCache>
              </c:numRef>
            </c:plus>
            <c:minus>
              <c:numRef>
                <c:f>'Genes raiz norm ambos const'!$E$66:$E$72</c:f>
                <c:numCache>
                  <c:formatCode>General</c:formatCode>
                  <c:ptCount val="7"/>
                  <c:pt idx="0">
                    <c:v>0.19520588547046086</c:v>
                  </c:pt>
                  <c:pt idx="1">
                    <c:v>0.44196983659817785</c:v>
                  </c:pt>
                  <c:pt idx="2">
                    <c:v>0.94418524301063389</c:v>
                  </c:pt>
                  <c:pt idx="3">
                    <c:v>0.39206527903585625</c:v>
                  </c:pt>
                  <c:pt idx="4">
                    <c:v>0.19009038999323635</c:v>
                  </c:pt>
                  <c:pt idx="5">
                    <c:v>0.58384156451235958</c:v>
                  </c:pt>
                  <c:pt idx="6">
                    <c:v>0.88315137307393232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raiz norm ambos const'!$A$66:$A$70</c:f>
              <c:strCache>
                <c:ptCount val="5"/>
                <c:pt idx="0">
                  <c:v>3d</c:v>
                </c:pt>
                <c:pt idx="1">
                  <c:v>4d</c:v>
                </c:pt>
                <c:pt idx="2">
                  <c:v>5d</c:v>
                </c:pt>
                <c:pt idx="3">
                  <c:v>6d</c:v>
                </c:pt>
                <c:pt idx="4">
                  <c:v>7d</c:v>
                </c:pt>
              </c:strCache>
            </c:strRef>
          </c:cat>
          <c:val>
            <c:numRef>
              <c:f>'Genes raiz norm ambos const'!$D$66:$D$72</c:f>
              <c:numCache>
                <c:formatCode>General</c:formatCode>
                <c:ptCount val="7"/>
                <c:pt idx="0">
                  <c:v>0.56470471865511529</c:v>
                </c:pt>
                <c:pt idx="1">
                  <c:v>1.3976221937217648</c:v>
                </c:pt>
                <c:pt idx="2">
                  <c:v>3.302399064724455</c:v>
                </c:pt>
                <c:pt idx="3">
                  <c:v>0.75734486040305027</c:v>
                </c:pt>
                <c:pt idx="4">
                  <c:v>0.42564207327947007</c:v>
                </c:pt>
                <c:pt idx="5">
                  <c:v>1.3550265562810562</c:v>
                </c:pt>
                <c:pt idx="6">
                  <c:v>1.3706136953416781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69-461C-94C9-01055CCFF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2381663"/>
        <c:axId val="322372063"/>
      </c:lineChart>
      <c:catAx>
        <c:axId val="32238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2372063"/>
        <c:crosses val="autoZero"/>
        <c:auto val="1"/>
        <c:lblAlgn val="ctr"/>
        <c:lblOffset val="100"/>
        <c:noMultiLvlLbl val="0"/>
      </c:catAx>
      <c:valAx>
        <c:axId val="32237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238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raiz norm ambos const'!$P$63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raiz norm ambos const'!$Q$64:$Q$70</c:f>
                <c:numCache>
                  <c:formatCode>General</c:formatCode>
                  <c:ptCount val="7"/>
                  <c:pt idx="0">
                    <c:v>0.11942933852770864</c:v>
                  </c:pt>
                  <c:pt idx="1">
                    <c:v>0.21910883956991598</c:v>
                  </c:pt>
                  <c:pt idx="2">
                    <c:v>0.17563173845709604</c:v>
                  </c:pt>
                  <c:pt idx="3">
                    <c:v>0.54446816173136314</c:v>
                  </c:pt>
                  <c:pt idx="4">
                    <c:v>0.24262939011365028</c:v>
                  </c:pt>
                  <c:pt idx="5">
                    <c:v>0.38081223220084109</c:v>
                  </c:pt>
                  <c:pt idx="6">
                    <c:v>9.6508381746160748E-2</c:v>
                  </c:pt>
                </c:numCache>
              </c:numRef>
            </c:plus>
            <c:minus>
              <c:numRef>
                <c:f>'Genes raiz norm ambos const'!$Q$64:$Q$70</c:f>
                <c:numCache>
                  <c:formatCode>General</c:formatCode>
                  <c:ptCount val="7"/>
                  <c:pt idx="0">
                    <c:v>0.11942933852770864</c:v>
                  </c:pt>
                  <c:pt idx="1">
                    <c:v>0.21910883956991598</c:v>
                  </c:pt>
                  <c:pt idx="2">
                    <c:v>0.17563173845709604</c:v>
                  </c:pt>
                  <c:pt idx="3">
                    <c:v>0.54446816173136314</c:v>
                  </c:pt>
                  <c:pt idx="4">
                    <c:v>0.24262939011365028</c:v>
                  </c:pt>
                  <c:pt idx="5">
                    <c:v>0.38081223220084109</c:v>
                  </c:pt>
                  <c:pt idx="6">
                    <c:v>9.6508381746160748E-2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raiz norm ambos const'!$O$64:$O$70</c:f>
              <c:strCache>
                <c:ptCount val="7"/>
                <c:pt idx="0">
                  <c:v>3d</c:v>
                </c:pt>
                <c:pt idx="1">
                  <c:v>4d</c:v>
                </c:pt>
                <c:pt idx="2">
                  <c:v>5d</c:v>
                </c:pt>
                <c:pt idx="3">
                  <c:v>6d</c:v>
                </c:pt>
                <c:pt idx="4">
                  <c:v>7d</c:v>
                </c:pt>
                <c:pt idx="5">
                  <c:v>8d</c:v>
                </c:pt>
                <c:pt idx="6">
                  <c:v>9d</c:v>
                </c:pt>
              </c:strCache>
            </c:strRef>
          </c:cat>
          <c:val>
            <c:numRef>
              <c:f>'Genes raiz norm ambos const'!$P$64:$P$70</c:f>
              <c:numCache>
                <c:formatCode>General</c:formatCode>
                <c:ptCount val="7"/>
                <c:pt idx="0">
                  <c:v>1.015287462934521</c:v>
                </c:pt>
                <c:pt idx="1">
                  <c:v>1.0426206462049274</c:v>
                </c:pt>
                <c:pt idx="2">
                  <c:v>1.0343246731672808</c:v>
                </c:pt>
                <c:pt idx="3">
                  <c:v>1.2054819062582904</c:v>
                </c:pt>
                <c:pt idx="4">
                  <c:v>1.0503597225791175</c:v>
                </c:pt>
                <c:pt idx="5">
                  <c:v>1.1607891624972801</c:v>
                </c:pt>
                <c:pt idx="6">
                  <c:v>1.009416064948008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88-42CF-A133-A5F647C22D88}"/>
            </c:ext>
          </c:extLst>
        </c:ser>
        <c:ser>
          <c:idx val="1"/>
          <c:order val="1"/>
          <c:tx>
            <c:strRef>
              <c:f>'Genes raiz norm ambos const'!$R$63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raiz norm ambos const'!$S$64:$S$70</c:f>
                <c:numCache>
                  <c:formatCode>General</c:formatCode>
                  <c:ptCount val="7"/>
                  <c:pt idx="0">
                    <c:v>8.6851443535701719E-2</c:v>
                  </c:pt>
                  <c:pt idx="1">
                    <c:v>0.26566706901647691</c:v>
                  </c:pt>
                  <c:pt idx="2">
                    <c:v>0.12449407001494425</c:v>
                  </c:pt>
                  <c:pt idx="3">
                    <c:v>6.6967568644918277E-2</c:v>
                  </c:pt>
                  <c:pt idx="4">
                    <c:v>0.64987999062508672</c:v>
                  </c:pt>
                  <c:pt idx="5">
                    <c:v>0.42384862674001311</c:v>
                  </c:pt>
                  <c:pt idx="6">
                    <c:v>9.6508381746160748E-2</c:v>
                  </c:pt>
                </c:numCache>
              </c:numRef>
            </c:plus>
            <c:minus>
              <c:numRef>
                <c:f>'Genes raiz norm ambos const'!$S$64:$S$70</c:f>
                <c:numCache>
                  <c:formatCode>General</c:formatCode>
                  <c:ptCount val="7"/>
                  <c:pt idx="0">
                    <c:v>8.6851443535701719E-2</c:v>
                  </c:pt>
                  <c:pt idx="1">
                    <c:v>0.26566706901647691</c:v>
                  </c:pt>
                  <c:pt idx="2">
                    <c:v>0.12449407001494425</c:v>
                  </c:pt>
                  <c:pt idx="3">
                    <c:v>6.6967568644918277E-2</c:v>
                  </c:pt>
                  <c:pt idx="4">
                    <c:v>0.64987999062508672</c:v>
                  </c:pt>
                  <c:pt idx="5">
                    <c:v>0.42384862674001311</c:v>
                  </c:pt>
                  <c:pt idx="6">
                    <c:v>9.6508381746160748E-2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raiz norm ambos const'!$O$64:$O$70</c:f>
              <c:strCache>
                <c:ptCount val="7"/>
                <c:pt idx="0">
                  <c:v>3d</c:v>
                </c:pt>
                <c:pt idx="1">
                  <c:v>4d</c:v>
                </c:pt>
                <c:pt idx="2">
                  <c:v>5d</c:v>
                </c:pt>
                <c:pt idx="3">
                  <c:v>6d</c:v>
                </c:pt>
                <c:pt idx="4">
                  <c:v>7d</c:v>
                </c:pt>
                <c:pt idx="5">
                  <c:v>8d</c:v>
                </c:pt>
                <c:pt idx="6">
                  <c:v>9d</c:v>
                </c:pt>
              </c:strCache>
            </c:strRef>
          </c:cat>
          <c:val>
            <c:numRef>
              <c:f>'Genes raiz norm ambos const'!$R$64:$R$70</c:f>
              <c:numCache>
                <c:formatCode>General</c:formatCode>
                <c:ptCount val="7"/>
                <c:pt idx="0">
                  <c:v>0.86183789756981699</c:v>
                </c:pt>
                <c:pt idx="1">
                  <c:v>0.47627757569575485</c:v>
                </c:pt>
                <c:pt idx="2">
                  <c:v>1.3921375314781939</c:v>
                </c:pt>
                <c:pt idx="3">
                  <c:v>1.2054819062582904</c:v>
                </c:pt>
                <c:pt idx="4">
                  <c:v>1.1015201199877511</c:v>
                </c:pt>
                <c:pt idx="5">
                  <c:v>0.942968315083208</c:v>
                </c:pt>
                <c:pt idx="6">
                  <c:v>1.009416064948008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88-42CF-A133-A5F647C22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893887"/>
        <c:axId val="524883807"/>
      </c:lineChart>
      <c:catAx>
        <c:axId val="52489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4883807"/>
        <c:crosses val="autoZero"/>
        <c:auto val="1"/>
        <c:lblAlgn val="ctr"/>
        <c:lblOffset val="100"/>
        <c:noMultiLvlLbl val="0"/>
      </c:catAx>
      <c:valAx>
        <c:axId val="52488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489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'Genes raiz norm ambos const'!$AD$41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raiz norm ambos const'!$AE$42:$AE$46</c:f>
                <c:numCache>
                  <c:formatCode>General</c:formatCode>
                  <c:ptCount val="5"/>
                  <c:pt idx="0">
                    <c:v>0.20334422786628678</c:v>
                  </c:pt>
                  <c:pt idx="1">
                    <c:v>1.6410066383538546</c:v>
                  </c:pt>
                  <c:pt idx="2">
                    <c:v>0.30753526848721657</c:v>
                  </c:pt>
                  <c:pt idx="3">
                    <c:v>0.34051656484216292</c:v>
                  </c:pt>
                  <c:pt idx="4">
                    <c:v>0.89204361442780367</c:v>
                  </c:pt>
                </c:numCache>
              </c:numRef>
            </c:plus>
            <c:minus>
              <c:numRef>
                <c:f>'Genes raiz norm ambos const'!$AE$42:$AE$46</c:f>
                <c:numCache>
                  <c:formatCode>General</c:formatCode>
                  <c:ptCount val="5"/>
                  <c:pt idx="0">
                    <c:v>0.20334422786628678</c:v>
                  </c:pt>
                  <c:pt idx="1">
                    <c:v>1.6410066383538546</c:v>
                  </c:pt>
                  <c:pt idx="2">
                    <c:v>0.30753526848721657</c:v>
                  </c:pt>
                  <c:pt idx="3">
                    <c:v>0.34051656484216292</c:v>
                  </c:pt>
                  <c:pt idx="4">
                    <c:v>0.89204361442780367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raiz norm ambos const'!$AC$42:$AC$46</c:f>
              <c:strCache>
                <c:ptCount val="5"/>
                <c:pt idx="0">
                  <c:v>1d</c:v>
                </c:pt>
                <c:pt idx="1">
                  <c:v>3d</c:v>
                </c:pt>
                <c:pt idx="2">
                  <c:v>5d</c:v>
                </c:pt>
                <c:pt idx="3">
                  <c:v>7d</c:v>
                </c:pt>
                <c:pt idx="4">
                  <c:v>9d</c:v>
                </c:pt>
              </c:strCache>
            </c:strRef>
          </c:cat>
          <c:val>
            <c:numRef>
              <c:f>'Genes raiz norm ambos const'!$AD$42:$AD$46</c:f>
              <c:numCache>
                <c:formatCode>General</c:formatCode>
                <c:ptCount val="5"/>
                <c:pt idx="0">
                  <c:v>1.0362252289521381</c:v>
                </c:pt>
                <c:pt idx="1">
                  <c:v>2.1018600370524858</c:v>
                </c:pt>
                <c:pt idx="2">
                  <c:v>1.0883270965915666</c:v>
                </c:pt>
                <c:pt idx="3">
                  <c:v>1.9189598711394467</c:v>
                </c:pt>
                <c:pt idx="4">
                  <c:v>1.4537338692549062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05-4587-8E8F-D6D1A474545C}"/>
            </c:ext>
          </c:extLst>
        </c:ser>
        <c:ser>
          <c:idx val="1"/>
          <c:order val="1"/>
          <c:tx>
            <c:strRef>
              <c:f>'Genes raiz norm ambos const'!$AF$41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'Genes raiz norm ambos const'!$AG$42:$AG$46</c:f>
                <c:numCache>
                  <c:formatCode>General</c:formatCode>
                  <c:ptCount val="5"/>
                  <c:pt idx="0">
                    <c:v>0.3577727862913142</c:v>
                  </c:pt>
                  <c:pt idx="1">
                    <c:v>0.48342592037518844</c:v>
                  </c:pt>
                  <c:pt idx="2">
                    <c:v>2.1664694882156628</c:v>
                  </c:pt>
                  <c:pt idx="3">
                    <c:v>7.498412524632378E-2</c:v>
                  </c:pt>
                  <c:pt idx="4">
                    <c:v>0.90677995533011446</c:v>
                  </c:pt>
                </c:numCache>
              </c:numRef>
            </c:plus>
            <c:minus>
              <c:numRef>
                <c:f>'Genes raiz norm ambos const'!$AG$42:$AG$46</c:f>
                <c:numCache>
                  <c:formatCode>General</c:formatCode>
                  <c:ptCount val="5"/>
                  <c:pt idx="0">
                    <c:v>0.3577727862913142</c:v>
                  </c:pt>
                  <c:pt idx="1">
                    <c:v>0.48342592037518844</c:v>
                  </c:pt>
                  <c:pt idx="2">
                    <c:v>2.1664694882156628</c:v>
                  </c:pt>
                  <c:pt idx="3">
                    <c:v>7.498412524632378E-2</c:v>
                  </c:pt>
                  <c:pt idx="4">
                    <c:v>0.90677995533011446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'Genes raiz norm ambos const'!$AC$42:$AC$46</c:f>
              <c:strCache>
                <c:ptCount val="5"/>
                <c:pt idx="0">
                  <c:v>1d</c:v>
                </c:pt>
                <c:pt idx="1">
                  <c:v>3d</c:v>
                </c:pt>
                <c:pt idx="2">
                  <c:v>5d</c:v>
                </c:pt>
                <c:pt idx="3">
                  <c:v>7d</c:v>
                </c:pt>
                <c:pt idx="4">
                  <c:v>9d</c:v>
                </c:pt>
              </c:strCache>
            </c:strRef>
          </c:cat>
          <c:val>
            <c:numRef>
              <c:f>'Genes raiz norm ambos const'!$AF$42:$AF$46</c:f>
              <c:numCache>
                <c:formatCode>General</c:formatCode>
                <c:ptCount val="5"/>
                <c:pt idx="0">
                  <c:v>0.95075139780468942</c:v>
                </c:pt>
                <c:pt idx="1">
                  <c:v>0.66680038092141736</c:v>
                </c:pt>
                <c:pt idx="2">
                  <c:v>4.9778532310602026</c:v>
                </c:pt>
                <c:pt idx="3">
                  <c:v>0.34694036484871055</c:v>
                </c:pt>
                <c:pt idx="4">
                  <c:v>3.094600824584258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05-4587-8E8F-D6D1A4745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900127"/>
        <c:axId val="524907807"/>
      </c:lineChart>
      <c:catAx>
        <c:axId val="52490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4907807"/>
        <c:crosses val="autoZero"/>
        <c:auto val="1"/>
        <c:lblAlgn val="ctr"/>
        <c:lblOffset val="100"/>
        <c:noMultiLvlLbl val="0"/>
      </c:catAx>
      <c:valAx>
        <c:axId val="52490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490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67312</xdr:colOff>
      <xdr:row>38</xdr:row>
      <xdr:rowOff>38551</xdr:rowOff>
    </xdr:from>
    <xdr:to>
      <xdr:col>37</xdr:col>
      <xdr:colOff>191193</xdr:colOff>
      <xdr:row>50</xdr:row>
      <xdr:rowOff>85151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80D6E89-8DCF-CCD2-7E2D-8FF2A0D0E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376116</xdr:colOff>
      <xdr:row>29</xdr:row>
      <xdr:rowOff>17124</xdr:rowOff>
    </xdr:from>
    <xdr:to>
      <xdr:col>51</xdr:col>
      <xdr:colOff>163729</xdr:colOff>
      <xdr:row>44</xdr:row>
      <xdr:rowOff>65807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F89713-BF2F-401E-BB39-B77FB312E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464194</xdr:colOff>
      <xdr:row>109</xdr:row>
      <xdr:rowOff>120569</xdr:rowOff>
    </xdr:from>
    <xdr:to>
      <xdr:col>36</xdr:col>
      <xdr:colOff>671100</xdr:colOff>
      <xdr:row>125</xdr:row>
      <xdr:rowOff>983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C86FBAC-674D-44EC-96DA-0887F1CFC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102</xdr:row>
      <xdr:rowOff>0</xdr:rowOff>
    </xdr:from>
    <xdr:to>
      <xdr:col>51</xdr:col>
      <xdr:colOff>551964</xdr:colOff>
      <xdr:row>117</xdr:row>
      <xdr:rowOff>48683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0B414BE-69A6-4C08-B9A0-EDB6284CA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428625</xdr:colOff>
      <xdr:row>135</xdr:row>
      <xdr:rowOff>57150</xdr:rowOff>
    </xdr:from>
    <xdr:to>
      <xdr:col>20</xdr:col>
      <xdr:colOff>1512094</xdr:colOff>
      <xdr:row>150</xdr:row>
      <xdr:rowOff>121444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DF0D1A8-70AA-EF37-811A-A2AF76514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809625</xdr:colOff>
      <xdr:row>135</xdr:row>
      <xdr:rowOff>83511</xdr:rowOff>
    </xdr:from>
    <xdr:to>
      <xdr:col>8</xdr:col>
      <xdr:colOff>1894794</xdr:colOff>
      <xdr:row>150</xdr:row>
      <xdr:rowOff>147806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013BB4F-74C3-E450-E1CD-A86D29985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868615</xdr:colOff>
      <xdr:row>60</xdr:row>
      <xdr:rowOff>73866</xdr:rowOff>
    </xdr:from>
    <xdr:to>
      <xdr:col>8</xdr:col>
      <xdr:colOff>1053704</xdr:colOff>
      <xdr:row>72</xdr:row>
      <xdr:rowOff>107154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D62974-DAD8-98BF-6380-3B7F988C8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686403</xdr:colOff>
      <xdr:row>60</xdr:row>
      <xdr:rowOff>6877</xdr:rowOff>
    </xdr:from>
    <xdr:to>
      <xdr:col>20</xdr:col>
      <xdr:colOff>1765147</xdr:colOff>
      <xdr:row>75</xdr:row>
      <xdr:rowOff>28648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341B99E-95B6-197D-7236-7B1A5B08D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316365</xdr:colOff>
      <xdr:row>61</xdr:row>
      <xdr:rowOff>91166</xdr:rowOff>
    </xdr:from>
    <xdr:to>
      <xdr:col>10</xdr:col>
      <xdr:colOff>649739</xdr:colOff>
      <xdr:row>76</xdr:row>
      <xdr:rowOff>78920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A403C7-3088-7BE5-36AB-31B55C686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472280</xdr:colOff>
      <xdr:row>61</xdr:row>
      <xdr:rowOff>128584</xdr:rowOff>
    </xdr:from>
    <xdr:to>
      <xdr:col>25</xdr:col>
      <xdr:colOff>130967</xdr:colOff>
      <xdr:row>76</xdr:row>
      <xdr:rowOff>133347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B7CA9BD-C305-E85A-4082-92D26FCFC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95247</xdr:colOff>
      <xdr:row>37</xdr:row>
      <xdr:rowOff>113845</xdr:rowOff>
    </xdr:from>
    <xdr:to>
      <xdr:col>43</xdr:col>
      <xdr:colOff>108854</xdr:colOff>
      <xdr:row>52</xdr:row>
      <xdr:rowOff>135616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CB77F4B-5B59-F411-9DE4-7AE5E8491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921274</xdr:colOff>
      <xdr:row>32</xdr:row>
      <xdr:rowOff>89958</xdr:rowOff>
    </xdr:from>
    <xdr:to>
      <xdr:col>37</xdr:col>
      <xdr:colOff>190499</xdr:colOff>
      <xdr:row>47</xdr:row>
      <xdr:rowOff>31217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7C447A-4E04-478B-9A10-5109115D1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452475</xdr:colOff>
      <xdr:row>27</xdr:row>
      <xdr:rowOff>162002</xdr:rowOff>
    </xdr:from>
    <xdr:to>
      <xdr:col>52</xdr:col>
      <xdr:colOff>232915</xdr:colOff>
      <xdr:row>43</xdr:row>
      <xdr:rowOff>37004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116B066-2A17-4D13-A221-1ED3DDC1A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452475</xdr:colOff>
      <xdr:row>94</xdr:row>
      <xdr:rowOff>162002</xdr:rowOff>
    </xdr:from>
    <xdr:to>
      <xdr:col>53</xdr:col>
      <xdr:colOff>232915</xdr:colOff>
      <xdr:row>110</xdr:row>
      <xdr:rowOff>37004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8CAC47A-4A66-4150-983B-A14C52206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555623</xdr:colOff>
      <xdr:row>101</xdr:row>
      <xdr:rowOff>63500</xdr:rowOff>
    </xdr:from>
    <xdr:to>
      <xdr:col>37</xdr:col>
      <xdr:colOff>753004</xdr:colOff>
      <xdr:row>116</xdr:row>
      <xdr:rowOff>113240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D8027A4-6178-4F44-910A-D9658B4C30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280458</xdr:colOff>
      <xdr:row>126</xdr:row>
      <xdr:rowOff>79198</xdr:rowOff>
    </xdr:from>
    <xdr:to>
      <xdr:col>9</xdr:col>
      <xdr:colOff>1763</xdr:colOff>
      <xdr:row>141</xdr:row>
      <xdr:rowOff>44272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CD3730-D0FF-1A53-886C-0B603E7F6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739070</xdr:colOff>
      <xdr:row>132</xdr:row>
      <xdr:rowOff>114476</xdr:rowOff>
    </xdr:from>
    <xdr:to>
      <xdr:col>21</xdr:col>
      <xdr:colOff>460376</xdr:colOff>
      <xdr:row>147</xdr:row>
      <xdr:rowOff>79550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4910C37-49E0-ADAF-A22F-F436A02A4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477356</xdr:colOff>
      <xdr:row>48</xdr:row>
      <xdr:rowOff>134679</xdr:rowOff>
    </xdr:from>
    <xdr:to>
      <xdr:col>8</xdr:col>
      <xdr:colOff>1560546</xdr:colOff>
      <xdr:row>64</xdr:row>
      <xdr:rowOff>42530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865E292-1636-7418-DE85-A65E034A1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510581</xdr:colOff>
      <xdr:row>50</xdr:row>
      <xdr:rowOff>79302</xdr:rowOff>
    </xdr:from>
    <xdr:to>
      <xdr:col>24</xdr:col>
      <xdr:colOff>486216</xdr:colOff>
      <xdr:row>65</xdr:row>
      <xdr:rowOff>164363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499F15D-2FBB-3FB6-4570-513F38B54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551655</xdr:colOff>
      <xdr:row>66</xdr:row>
      <xdr:rowOff>31352</xdr:rowOff>
    </xdr:from>
    <xdr:to>
      <xdr:col>9</xdr:col>
      <xdr:colOff>885030</xdr:colOff>
      <xdr:row>81</xdr:row>
      <xdr:rowOff>36113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912792A-22CC-3B3F-E1A2-8FCA1CD35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688577</xdr:colOff>
      <xdr:row>60</xdr:row>
      <xdr:rowOff>172243</xdr:rowOff>
    </xdr:from>
    <xdr:to>
      <xdr:col>23</xdr:col>
      <xdr:colOff>347264</xdr:colOff>
      <xdr:row>75</xdr:row>
      <xdr:rowOff>177005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5EC04A5-4366-C00F-12DB-14B0C249D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408779</xdr:colOff>
      <xdr:row>40</xdr:row>
      <xdr:rowOff>168274</xdr:rowOff>
    </xdr:from>
    <xdr:to>
      <xdr:col>39</xdr:col>
      <xdr:colOff>408779</xdr:colOff>
      <xdr:row>55</xdr:row>
      <xdr:rowOff>173036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9EBFA12-F8CF-5A89-5163-113F58B74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88"/>
  <sheetViews>
    <sheetView topLeftCell="Y66" zoomScale="80" zoomScaleNormal="80" workbookViewId="0">
      <selection activeCell="AK55" sqref="AK55"/>
    </sheetView>
  </sheetViews>
  <sheetFormatPr baseColWidth="10" defaultRowHeight="14.25" x14ac:dyDescent="0.45"/>
  <cols>
    <col min="5" max="6" width="16.1328125" customWidth="1"/>
    <col min="7" max="7" width="13.1328125" customWidth="1"/>
    <col min="8" max="8" width="35.6640625" customWidth="1"/>
    <col min="9" max="9" width="32.19921875" customWidth="1"/>
    <col min="17" max="18" width="16.1328125" customWidth="1"/>
    <col min="19" max="19" width="13.1328125" customWidth="1"/>
    <col min="20" max="20" width="35.6640625" customWidth="1"/>
    <col min="21" max="21" width="32.19921875" customWidth="1"/>
    <col min="26" max="26" width="11.796875" customWidth="1"/>
    <col min="34" max="34" width="13.53125" customWidth="1"/>
    <col min="35" max="35" width="36.796875" customWidth="1"/>
  </cols>
  <sheetData>
    <row r="1" spans="1:80" x14ac:dyDescent="0.45">
      <c r="E1" t="s">
        <v>6</v>
      </c>
      <c r="G1" t="s">
        <v>58</v>
      </c>
      <c r="Q1" t="s">
        <v>6</v>
      </c>
      <c r="S1" t="s">
        <v>14</v>
      </c>
      <c r="AF1" t="s">
        <v>6</v>
      </c>
      <c r="AG1" t="s">
        <v>15</v>
      </c>
      <c r="AR1" t="s">
        <v>6</v>
      </c>
      <c r="AT1" t="s">
        <v>63</v>
      </c>
    </row>
    <row r="2" spans="1:80" ht="14.65" thickBot="1" x14ac:dyDescent="0.5">
      <c r="C2" s="1" t="s">
        <v>5</v>
      </c>
      <c r="D2" s="2" t="s">
        <v>0</v>
      </c>
      <c r="E2" s="2" t="s">
        <v>0</v>
      </c>
      <c r="F2" s="3" t="s">
        <v>1</v>
      </c>
      <c r="G2" s="3" t="s">
        <v>1</v>
      </c>
      <c r="H2" s="4" t="s">
        <v>2</v>
      </c>
      <c r="I2" s="4" t="s">
        <v>3</v>
      </c>
      <c r="J2" s="5" t="s">
        <v>4</v>
      </c>
      <c r="K2" s="7" t="s">
        <v>67</v>
      </c>
      <c r="L2" s="7"/>
      <c r="O2" s="1" t="s">
        <v>5</v>
      </c>
      <c r="P2" s="1"/>
      <c r="Q2" s="2" t="s">
        <v>0</v>
      </c>
      <c r="R2" s="2"/>
      <c r="S2" s="3" t="s">
        <v>1</v>
      </c>
      <c r="T2" s="4" t="s">
        <v>2</v>
      </c>
      <c r="U2" s="4" t="s">
        <v>3</v>
      </c>
      <c r="V2" s="5" t="s">
        <v>4</v>
      </c>
      <c r="W2" s="7" t="s">
        <v>67</v>
      </c>
      <c r="X2" s="7"/>
      <c r="Z2" s="7"/>
      <c r="AD2" s="1" t="s">
        <v>5</v>
      </c>
      <c r="AE2" s="2" t="s">
        <v>0</v>
      </c>
      <c r="AF2" s="2" t="s">
        <v>0</v>
      </c>
      <c r="AG2" s="3" t="s">
        <v>1</v>
      </c>
      <c r="AH2" s="3" t="s">
        <v>1</v>
      </c>
      <c r="AI2" s="4" t="s">
        <v>2</v>
      </c>
      <c r="AJ2" s="4" t="s">
        <v>3</v>
      </c>
      <c r="AK2" s="5" t="s">
        <v>4</v>
      </c>
      <c r="AL2" s="17" t="s">
        <v>67</v>
      </c>
      <c r="AP2" s="1" t="s">
        <v>5</v>
      </c>
      <c r="AQ2" s="2" t="s">
        <v>0</v>
      </c>
      <c r="AR2" s="2" t="s">
        <v>0</v>
      </c>
      <c r="AS2" s="3" t="s">
        <v>1</v>
      </c>
      <c r="AT2" s="3" t="s">
        <v>1</v>
      </c>
      <c r="AU2" s="4" t="s">
        <v>2</v>
      </c>
      <c r="AV2" s="4" t="s">
        <v>3</v>
      </c>
      <c r="AW2" s="5" t="s">
        <v>4</v>
      </c>
      <c r="AX2" s="17" t="s">
        <v>67</v>
      </c>
    </row>
    <row r="3" spans="1:80" x14ac:dyDescent="0.45">
      <c r="B3" t="s">
        <v>68</v>
      </c>
      <c r="C3">
        <v>7</v>
      </c>
      <c r="D3">
        <v>18.562854766845703</v>
      </c>
      <c r="E3">
        <v>17.553821563720703</v>
      </c>
      <c r="F3">
        <v>28.257272720336914</v>
      </c>
      <c r="G3">
        <v>28.309553146362305</v>
      </c>
      <c r="H3">
        <f t="shared" ref="H3:H50" si="0">(AVERAGE(F3:G3)-AVERAGE(D3:E3))</f>
        <v>10.225074768066406</v>
      </c>
      <c r="I3">
        <f t="shared" ref="I3:I8" si="1">H3-$H$52</f>
        <v>0.25481605529785156</v>
      </c>
      <c r="J3">
        <f t="shared" ref="J3:J50" si="2">2^-I3</f>
        <v>0.83809398546914515</v>
      </c>
      <c r="N3" t="s">
        <v>68</v>
      </c>
      <c r="O3">
        <v>7</v>
      </c>
      <c r="P3">
        <v>18.562854766845703</v>
      </c>
      <c r="Q3">
        <v>17.553821563720703</v>
      </c>
      <c r="R3">
        <v>19.769683837890625</v>
      </c>
      <c r="S3">
        <v>21.700658798217773</v>
      </c>
      <c r="T3">
        <f t="shared" ref="T3:T20" si="3">(AVERAGE(R3:S3)-AVERAGE(P3:Q3))</f>
        <v>2.6768331527709961</v>
      </c>
      <c r="U3">
        <f>T3-$T$52</f>
        <v>-0.75192483266194676</v>
      </c>
      <c r="V3">
        <f t="shared" ref="V3:V20" si="4">2^-U3</f>
        <v>1.6840381631267571</v>
      </c>
      <c r="AC3" s="9" t="s">
        <v>16</v>
      </c>
      <c r="AD3">
        <v>1</v>
      </c>
      <c r="AE3">
        <v>21.186721801757813</v>
      </c>
      <c r="AF3">
        <v>20.250463485717773</v>
      </c>
      <c r="AG3">
        <v>27.545726776123047</v>
      </c>
      <c r="AH3">
        <v>28.015464782714844</v>
      </c>
      <c r="AI3">
        <f>(AVERAGE(AG3:AH3)-AVERAGE(AE3:AF3))</f>
        <v>7.0620031356811523</v>
      </c>
      <c r="AJ3">
        <f>AI3-$AG$35</f>
        <v>0.3290106455485029</v>
      </c>
      <c r="AK3">
        <f>2^-AJ3</f>
        <v>0.79608222452056132</v>
      </c>
      <c r="AL3">
        <f>LOG(AK3,2)</f>
        <v>-0.32901064554850284</v>
      </c>
      <c r="AO3" s="12" t="s">
        <v>34</v>
      </c>
      <c r="AP3" s="13">
        <v>37</v>
      </c>
      <c r="AQ3">
        <v>20.929424285888672</v>
      </c>
      <c r="AR3">
        <v>22.087041854858398</v>
      </c>
      <c r="AS3">
        <v>27.063175201416016</v>
      </c>
      <c r="AT3">
        <v>25.749963760375977</v>
      </c>
      <c r="AU3">
        <f t="shared" ref="AU3:AU10" si="5">(AVERAGE(AS3:AT3)-AVERAGE(AQ3:AR3))</f>
        <v>4.8983364105224609</v>
      </c>
      <c r="AV3">
        <f t="shared" ref="AV3:AV8" si="6">AU3-$H$55</f>
        <v>-2.6981684366861982</v>
      </c>
      <c r="AW3">
        <f t="shared" ref="AW3:AW20" si="7">2^-AV3</f>
        <v>6.4897748907833064</v>
      </c>
      <c r="AX3">
        <f>LOG(AW3,2)</f>
        <v>2.6981684366861982</v>
      </c>
    </row>
    <row r="4" spans="1:80" x14ac:dyDescent="0.45">
      <c r="B4" t="s">
        <v>69</v>
      </c>
      <c r="C4">
        <v>8</v>
      </c>
      <c r="D4">
        <v>17.049051284790039</v>
      </c>
      <c r="E4">
        <v>17.679023742675781</v>
      </c>
      <c r="F4">
        <v>27.076267242431641</v>
      </c>
      <c r="G4">
        <v>26.972845077514648</v>
      </c>
      <c r="H4">
        <f t="shared" si="0"/>
        <v>9.6605186462402344</v>
      </c>
      <c r="I4">
        <f t="shared" si="1"/>
        <v>-0.30974006652832031</v>
      </c>
      <c r="J4">
        <f t="shared" si="2"/>
        <v>1.2394843592540534</v>
      </c>
      <c r="N4" t="s">
        <v>69</v>
      </c>
      <c r="O4">
        <v>8</v>
      </c>
      <c r="P4">
        <v>17.049051284790039</v>
      </c>
      <c r="Q4">
        <v>17.679023742675781</v>
      </c>
      <c r="R4">
        <v>21.201501846313477</v>
      </c>
      <c r="S4">
        <v>20.481643676757813</v>
      </c>
      <c r="T4">
        <f t="shared" si="3"/>
        <v>3.4775352478027344</v>
      </c>
      <c r="U4">
        <f t="shared" ref="U4:U8" si="8">T4-$T$52</f>
        <v>4.8777262369791519E-2</v>
      </c>
      <c r="V4">
        <f t="shared" si="4"/>
        <v>0.96675534286273546</v>
      </c>
      <c r="AC4" s="10" t="s">
        <v>17</v>
      </c>
      <c r="AD4">
        <v>2</v>
      </c>
      <c r="AE4">
        <v>22.722829818725586</v>
      </c>
      <c r="AF4">
        <v>22.412008285522461</v>
      </c>
      <c r="AG4">
        <v>29.003444671630859</v>
      </c>
      <c r="AH4">
        <v>27.833126068115234</v>
      </c>
      <c r="AI4">
        <f t="shared" ref="AI4:AI32" si="9">(AVERAGE(AG4:AH4)-AVERAGE(AE4:AF4))</f>
        <v>5.8508663177490234</v>
      </c>
      <c r="AJ4">
        <f t="shared" ref="AJ4:AJ8" si="10">AI4-$AG$35</f>
        <v>-0.88212617238362601</v>
      </c>
      <c r="AK4">
        <f t="shared" ref="AK4:AK32" si="11">2^-AJ4</f>
        <v>1.8430895546481492</v>
      </c>
      <c r="AL4">
        <f t="shared" ref="AL4:AL32" si="12">LOG(AK4,2)</f>
        <v>0.88212617238362612</v>
      </c>
      <c r="AO4" s="14" t="s">
        <v>35</v>
      </c>
      <c r="AP4" s="13">
        <v>38</v>
      </c>
      <c r="AQ4">
        <v>21.836921691894531</v>
      </c>
      <c r="AS4">
        <v>25.081184387207031</v>
      </c>
      <c r="AT4">
        <v>24.23503303527832</v>
      </c>
      <c r="AU4">
        <f t="shared" si="5"/>
        <v>2.8211870193481445</v>
      </c>
      <c r="AV4">
        <f t="shared" si="6"/>
        <v>-4.7753178278605146</v>
      </c>
      <c r="AW4">
        <f t="shared" si="7"/>
        <v>27.385073129644461</v>
      </c>
      <c r="AX4">
        <f t="shared" ref="AX4:AX20" si="13">LOG(AW4,2)</f>
        <v>4.7753178278605146</v>
      </c>
    </row>
    <row r="5" spans="1:80" x14ac:dyDescent="0.45">
      <c r="B5" t="s">
        <v>70</v>
      </c>
      <c r="C5">
        <v>9</v>
      </c>
      <c r="E5">
        <v>18.180505752563477</v>
      </c>
      <c r="G5">
        <v>28.2056884765625</v>
      </c>
      <c r="H5">
        <f t="shared" si="0"/>
        <v>10.025182723999023</v>
      </c>
      <c r="I5">
        <f t="shared" si="1"/>
        <v>5.492401123046875E-2</v>
      </c>
      <c r="J5">
        <f t="shared" si="2"/>
        <v>0.96264514563528092</v>
      </c>
      <c r="N5" t="s">
        <v>70</v>
      </c>
      <c r="O5">
        <v>9</v>
      </c>
      <c r="P5">
        <v>16.207496643066406</v>
      </c>
      <c r="Q5">
        <v>18.180505752563477</v>
      </c>
      <c r="R5">
        <v>21.847816467285156</v>
      </c>
      <c r="S5">
        <v>20.803997039794922</v>
      </c>
      <c r="T5">
        <f t="shared" si="3"/>
        <v>4.1319055557250977</v>
      </c>
      <c r="U5">
        <f t="shared" si="8"/>
        <v>0.7031475702921548</v>
      </c>
      <c r="V5">
        <f t="shared" si="4"/>
        <v>0.61423065862561677</v>
      </c>
      <c r="AC5" s="10" t="s">
        <v>18</v>
      </c>
      <c r="AD5">
        <v>3</v>
      </c>
      <c r="AE5">
        <v>20.909297943115234</v>
      </c>
      <c r="AF5">
        <v>21.094396591186523</v>
      </c>
      <c r="AG5">
        <v>29.036283493041992</v>
      </c>
      <c r="AH5">
        <v>27.539627075195313</v>
      </c>
      <c r="AI5">
        <f t="shared" si="9"/>
        <v>7.2861080169677734</v>
      </c>
      <c r="AJ5">
        <f t="shared" si="10"/>
        <v>0.55311552683512399</v>
      </c>
      <c r="AK5">
        <f t="shared" si="11"/>
        <v>0.68154672517074311</v>
      </c>
      <c r="AL5">
        <f t="shared" si="12"/>
        <v>-0.5531155268351241</v>
      </c>
      <c r="AO5" s="14" t="s">
        <v>36</v>
      </c>
      <c r="AP5" s="13">
        <v>39</v>
      </c>
      <c r="AQ5">
        <v>31.127038955688477</v>
      </c>
      <c r="AR5">
        <v>30.850795745849609</v>
      </c>
      <c r="AS5" t="s">
        <v>64</v>
      </c>
      <c r="AT5">
        <v>36.880977630615234</v>
      </c>
      <c r="AU5">
        <f>(AVERAGE(AS5:AT5)-AVERAGE(AQ5:AR5))</f>
        <v>5.8920602798461914</v>
      </c>
      <c r="AV5">
        <f t="shared" si="6"/>
        <v>-1.7044445673624677</v>
      </c>
      <c r="AW5">
        <f t="shared" si="7"/>
        <v>3.259034371005042</v>
      </c>
      <c r="AX5">
        <f t="shared" si="13"/>
        <v>1.7044445673624675</v>
      </c>
    </row>
    <row r="6" spans="1:80" x14ac:dyDescent="0.45">
      <c r="B6" t="s">
        <v>71</v>
      </c>
      <c r="C6">
        <v>10</v>
      </c>
      <c r="D6">
        <v>17.392562866210938</v>
      </c>
      <c r="E6">
        <v>18.265811920166016</v>
      </c>
      <c r="F6">
        <v>25.615421295166016</v>
      </c>
      <c r="G6">
        <v>25.747678756713867</v>
      </c>
      <c r="H6">
        <f t="shared" si="0"/>
        <v>7.8523626327514648</v>
      </c>
      <c r="I6">
        <f t="shared" si="1"/>
        <v>-2.1178960800170898</v>
      </c>
      <c r="J6">
        <f t="shared" si="2"/>
        <v>4.3406048145009475</v>
      </c>
      <c r="N6" t="s">
        <v>71</v>
      </c>
      <c r="O6">
        <v>10</v>
      </c>
      <c r="P6">
        <v>17.392562866210938</v>
      </c>
      <c r="Q6">
        <v>18.265811920166016</v>
      </c>
      <c r="R6">
        <v>19.66438102722168</v>
      </c>
      <c r="S6">
        <v>19.619451522827148</v>
      </c>
      <c r="T6">
        <f t="shared" si="3"/>
        <v>1.8127288818359375</v>
      </c>
      <c r="U6">
        <f t="shared" si="8"/>
        <v>-1.6160291035970054</v>
      </c>
      <c r="V6">
        <f t="shared" si="4"/>
        <v>3.0653017563577865</v>
      </c>
      <c r="AC6" s="10" t="s">
        <v>19</v>
      </c>
      <c r="AD6">
        <v>4</v>
      </c>
      <c r="AE6">
        <v>21.390375137329102</v>
      </c>
      <c r="AF6">
        <v>21.52454948425293</v>
      </c>
      <c r="AG6">
        <v>27.416526794433594</v>
      </c>
      <c r="AH6">
        <v>27.122838973999023</v>
      </c>
      <c r="AI6">
        <f t="shared" si="9"/>
        <v>5.812220573425293</v>
      </c>
      <c r="AJ6">
        <f t="shared" si="10"/>
        <v>-0.92077191670735647</v>
      </c>
      <c r="AK6">
        <f t="shared" si="11"/>
        <v>1.8931279441999751</v>
      </c>
      <c r="AL6">
        <f t="shared" si="12"/>
        <v>0.92077191670735659</v>
      </c>
      <c r="AO6" s="14" t="s">
        <v>37</v>
      </c>
      <c r="AP6" s="13">
        <v>40</v>
      </c>
      <c r="AQ6">
        <v>22.484401702880859</v>
      </c>
      <c r="AR6">
        <v>22.659547805786133</v>
      </c>
      <c r="AS6">
        <v>27.326215744018555</v>
      </c>
      <c r="AT6">
        <v>26.961587905883789</v>
      </c>
      <c r="AU6">
        <f t="shared" si="5"/>
        <v>4.5719270706176758</v>
      </c>
      <c r="AV6">
        <f t="shared" si="6"/>
        <v>-3.0245777765909834</v>
      </c>
      <c r="AW6">
        <f t="shared" si="7"/>
        <v>8.1374556563901574</v>
      </c>
      <c r="AX6">
        <f t="shared" si="13"/>
        <v>3.0245777765909834</v>
      </c>
    </row>
    <row r="7" spans="1:80" x14ac:dyDescent="0.45">
      <c r="B7" t="s">
        <v>72</v>
      </c>
      <c r="C7">
        <v>11</v>
      </c>
      <c r="D7">
        <v>18.30067253112793</v>
      </c>
      <c r="F7">
        <v>28.114885330200195</v>
      </c>
      <c r="G7">
        <v>27.348094940185547</v>
      </c>
      <c r="H7">
        <f t="shared" si="0"/>
        <v>9.4308176040649414</v>
      </c>
      <c r="I7">
        <f t="shared" si="1"/>
        <v>-0.53944110870361328</v>
      </c>
      <c r="J7">
        <f t="shared" si="2"/>
        <v>1.4534093662857381</v>
      </c>
      <c r="N7" t="s">
        <v>72</v>
      </c>
      <c r="O7">
        <v>11</v>
      </c>
      <c r="P7">
        <v>18.30067253112793</v>
      </c>
      <c r="Q7">
        <v>15.549868583679199</v>
      </c>
      <c r="R7">
        <v>20.584335327148438</v>
      </c>
      <c r="S7">
        <v>20.793354034423828</v>
      </c>
      <c r="T7">
        <f t="shared" si="3"/>
        <v>3.7635741233825684</v>
      </c>
      <c r="U7">
        <f t="shared" si="8"/>
        <v>0.3348161379496255</v>
      </c>
      <c r="V7">
        <f t="shared" si="4"/>
        <v>0.79288517820354565</v>
      </c>
      <c r="AC7" s="10" t="s">
        <v>20</v>
      </c>
      <c r="AD7">
        <v>5</v>
      </c>
      <c r="AE7">
        <v>20.659856796264648</v>
      </c>
      <c r="AF7">
        <v>20.828536987304688</v>
      </c>
      <c r="AG7">
        <v>28.11756706237793</v>
      </c>
      <c r="AH7">
        <v>27.720127105712891</v>
      </c>
      <c r="AI7">
        <f t="shared" si="9"/>
        <v>7.1746501922607422</v>
      </c>
      <c r="AJ7">
        <f t="shared" si="10"/>
        <v>0.44165770212809274</v>
      </c>
      <c r="AK7">
        <f t="shared" si="11"/>
        <v>0.73628810414230739</v>
      </c>
      <c r="AL7">
        <f t="shared" si="12"/>
        <v>-0.44165770212809274</v>
      </c>
      <c r="AO7" s="14" t="s">
        <v>38</v>
      </c>
      <c r="AP7" s="13">
        <v>41</v>
      </c>
      <c r="AQ7">
        <v>22.053213119506836</v>
      </c>
      <c r="AR7">
        <v>22.400588989257813</v>
      </c>
      <c r="AS7">
        <v>25.647228240966797</v>
      </c>
      <c r="AT7">
        <v>25.25175666809082</v>
      </c>
      <c r="AU7">
        <f t="shared" si="5"/>
        <v>3.2225914001464844</v>
      </c>
      <c r="AV7">
        <f t="shared" si="6"/>
        <v>-4.3739134470621748</v>
      </c>
      <c r="AW7">
        <f t="shared" si="7"/>
        <v>20.733811506890451</v>
      </c>
      <c r="AX7">
        <f t="shared" si="13"/>
        <v>4.3739134470621748</v>
      </c>
    </row>
    <row r="8" spans="1:80" s="6" customFormat="1" ht="14.65" thickBot="1" x14ac:dyDescent="0.5">
      <c r="A8"/>
      <c r="B8" s="6" t="s">
        <v>73</v>
      </c>
      <c r="C8" s="6">
        <v>12</v>
      </c>
      <c r="E8" s="6">
        <v>18.047630310058594</v>
      </c>
      <c r="F8" s="6">
        <v>29.924150466918945</v>
      </c>
      <c r="G8" s="6">
        <v>29.333765029907227</v>
      </c>
      <c r="H8" s="6">
        <f t="shared" si="0"/>
        <v>11.581327438354492</v>
      </c>
      <c r="I8" s="6">
        <f t="shared" si="1"/>
        <v>1.6110687255859375</v>
      </c>
      <c r="J8">
        <f t="shared" si="2"/>
        <v>0.32735576117069609</v>
      </c>
      <c r="L8"/>
      <c r="M8"/>
      <c r="N8" s="6" t="s">
        <v>73</v>
      </c>
      <c r="O8" s="6">
        <v>12</v>
      </c>
      <c r="P8" s="6">
        <v>16.539882659912109</v>
      </c>
      <c r="Q8" s="6">
        <v>18.047630310058594</v>
      </c>
      <c r="R8">
        <v>19.513595581054688</v>
      </c>
      <c r="S8">
        <v>19.164573669433594</v>
      </c>
      <c r="T8" s="6">
        <f t="shared" si="3"/>
        <v>2.0453281402587891</v>
      </c>
      <c r="U8">
        <f t="shared" si="8"/>
        <v>-1.3834298451741538</v>
      </c>
      <c r="V8" s="6">
        <f t="shared" si="4"/>
        <v>2.6088786596154563</v>
      </c>
      <c r="X8"/>
      <c r="Y8"/>
      <c r="Z8"/>
      <c r="AA8"/>
      <c r="AB8"/>
      <c r="AC8" s="11" t="s">
        <v>21</v>
      </c>
      <c r="AD8" s="6">
        <v>6</v>
      </c>
      <c r="AE8" s="6">
        <v>20.913986206054688</v>
      </c>
      <c r="AF8" s="6">
        <v>20.401960372924805</v>
      </c>
      <c r="AG8" s="6">
        <v>27.685565948486328</v>
      </c>
      <c r="AH8" s="6">
        <v>28.737001419067383</v>
      </c>
      <c r="AI8" s="6">
        <f t="shared" si="9"/>
        <v>7.5533103942871094</v>
      </c>
      <c r="AJ8">
        <f t="shared" si="10"/>
        <v>0.82031790415445993</v>
      </c>
      <c r="AK8">
        <f t="shared" si="11"/>
        <v>0.56631713844249987</v>
      </c>
      <c r="AL8">
        <f t="shared" si="12"/>
        <v>-0.82031790415445993</v>
      </c>
      <c r="AM8"/>
      <c r="AN8"/>
      <c r="AO8" s="15" t="s">
        <v>39</v>
      </c>
      <c r="AP8" s="13">
        <v>42</v>
      </c>
      <c r="AQ8">
        <v>22.666315078735352</v>
      </c>
      <c r="AR8">
        <v>21.813253402709961</v>
      </c>
      <c r="AS8">
        <v>25.663143157958984</v>
      </c>
      <c r="AT8">
        <v>24.849615097045898</v>
      </c>
      <c r="AU8">
        <f t="shared" si="5"/>
        <v>3.0165948867797852</v>
      </c>
      <c r="AV8">
        <f t="shared" si="6"/>
        <v>-4.579909960428874</v>
      </c>
      <c r="AW8">
        <f t="shared" si="7"/>
        <v>23.916095311931791</v>
      </c>
      <c r="AX8">
        <f t="shared" si="13"/>
        <v>4.579909960428874</v>
      </c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</row>
    <row r="9" spans="1:80" x14ac:dyDescent="0.45">
      <c r="B9" t="s">
        <v>22</v>
      </c>
      <c r="C9">
        <v>13</v>
      </c>
      <c r="D9">
        <v>22.738323211669922</v>
      </c>
      <c r="E9">
        <v>21.647027969360352</v>
      </c>
      <c r="G9">
        <v>27.195425033569336</v>
      </c>
      <c r="H9">
        <f t="shared" si="0"/>
        <v>5.0027494430541992</v>
      </c>
      <c r="I9">
        <f t="shared" ref="I9:I14" si="14">H9-$H$53</f>
        <v>-2.8846740722653585E-2</v>
      </c>
      <c r="J9">
        <f t="shared" si="2"/>
        <v>1.0201962767803259</v>
      </c>
      <c r="N9" t="s">
        <v>22</v>
      </c>
      <c r="O9">
        <v>13</v>
      </c>
      <c r="P9">
        <v>22.738323211669922</v>
      </c>
      <c r="Q9">
        <v>21.647027969360352</v>
      </c>
      <c r="R9">
        <v>19.567888259887695</v>
      </c>
      <c r="S9">
        <v>19.636451721191406</v>
      </c>
      <c r="T9">
        <f t="shared" si="3"/>
        <v>-2.5905055999755859</v>
      </c>
      <c r="U9">
        <f>T9-$T$53</f>
        <v>-1.2752745946248349</v>
      </c>
      <c r="V9">
        <f t="shared" si="4"/>
        <v>2.4204488294918383</v>
      </c>
      <c r="AC9" s="9" t="s">
        <v>22</v>
      </c>
      <c r="AD9">
        <v>13</v>
      </c>
      <c r="AE9">
        <v>22.738323211669922</v>
      </c>
      <c r="AF9">
        <v>21.647027969360352</v>
      </c>
      <c r="AG9">
        <v>29.119991302490234</v>
      </c>
      <c r="AH9">
        <v>26.842111587524414</v>
      </c>
      <c r="AI9">
        <f t="shared" si="9"/>
        <v>5.7883758544921875</v>
      </c>
      <c r="AJ9">
        <f>AI9-$AG$36</f>
        <v>-0.31721687316894265</v>
      </c>
      <c r="AK9">
        <f t="shared" si="11"/>
        <v>1.2459246951544014</v>
      </c>
      <c r="AL9">
        <f t="shared" si="12"/>
        <v>0.31721687316894265</v>
      </c>
      <c r="AO9" s="12" t="s">
        <v>40</v>
      </c>
      <c r="AP9" s="13">
        <v>43</v>
      </c>
      <c r="AQ9">
        <v>21.288450241088867</v>
      </c>
      <c r="AR9">
        <v>21.822668075561523</v>
      </c>
      <c r="AS9">
        <v>25.981977462768555</v>
      </c>
      <c r="AT9">
        <v>24.964626312255859</v>
      </c>
      <c r="AU9">
        <f t="shared" si="5"/>
        <v>3.9177427291870117</v>
      </c>
      <c r="AV9">
        <f t="shared" ref="AV9:AV14" si="15">AU9-$H$57</f>
        <v>-4.1639102300008144</v>
      </c>
      <c r="AW9">
        <f t="shared" si="7"/>
        <v>17.925112023427925</v>
      </c>
      <c r="AX9">
        <f t="shared" si="13"/>
        <v>4.1639102300008144</v>
      </c>
    </row>
    <row r="10" spans="1:80" x14ac:dyDescent="0.45">
      <c r="B10" t="s">
        <v>23</v>
      </c>
      <c r="C10">
        <v>14</v>
      </c>
      <c r="D10">
        <v>21.063808441162109</v>
      </c>
      <c r="E10">
        <v>19.41679573059082</v>
      </c>
      <c r="F10">
        <v>25.147491455078125</v>
      </c>
      <c r="G10">
        <v>26.293025970458984</v>
      </c>
      <c r="H10">
        <f t="shared" si="0"/>
        <v>5.4799566268920898</v>
      </c>
      <c r="I10">
        <f t="shared" si="14"/>
        <v>0.44836044311523704</v>
      </c>
      <c r="J10">
        <f t="shared" si="2"/>
        <v>0.73287525407155396</v>
      </c>
      <c r="N10" t="s">
        <v>23</v>
      </c>
      <c r="O10">
        <v>14</v>
      </c>
      <c r="P10">
        <v>21.063808441162109</v>
      </c>
      <c r="Q10">
        <v>19.41679573059082</v>
      </c>
      <c r="R10">
        <v>19.332746505737305</v>
      </c>
      <c r="S10">
        <v>19.651994705200195</v>
      </c>
      <c r="T10">
        <f t="shared" si="3"/>
        <v>-0.74793148040771484</v>
      </c>
      <c r="U10">
        <f t="shared" ref="U10:U14" si="16">T10-$T$53</f>
        <v>0.56729952494303615</v>
      </c>
      <c r="V10">
        <f t="shared" si="4"/>
        <v>0.6748788631281184</v>
      </c>
      <c r="AC10" s="10" t="s">
        <v>23</v>
      </c>
      <c r="AD10">
        <v>14</v>
      </c>
      <c r="AE10">
        <v>21.063808441162109</v>
      </c>
      <c r="AF10">
        <v>19.41679573059082</v>
      </c>
      <c r="AG10">
        <v>27.531896591186523</v>
      </c>
      <c r="AH10">
        <v>25.885597229003906</v>
      </c>
      <c r="AI10">
        <f t="shared" si="9"/>
        <v>6.46844482421875</v>
      </c>
      <c r="AJ10">
        <f t="shared" ref="AJ10:AJ14" si="17">AI10-$AG$36</f>
        <v>0.36285209655761985</v>
      </c>
      <c r="AK10">
        <f t="shared" si="11"/>
        <v>0.77762575309734117</v>
      </c>
      <c r="AL10">
        <f t="shared" si="12"/>
        <v>-0.36285209655761985</v>
      </c>
      <c r="AO10" s="14" t="s">
        <v>41</v>
      </c>
      <c r="AP10" s="13">
        <v>44</v>
      </c>
      <c r="AQ10">
        <v>20.931123733520508</v>
      </c>
      <c r="AR10">
        <v>20.001276016235352</v>
      </c>
      <c r="AS10">
        <v>24.728597640991211</v>
      </c>
      <c r="AT10">
        <v>24.967601776123047</v>
      </c>
      <c r="AU10">
        <f t="shared" si="5"/>
        <v>4.3818998336791992</v>
      </c>
      <c r="AV10">
        <f t="shared" si="15"/>
        <v>-3.6997531255086269</v>
      </c>
      <c r="AW10">
        <f t="shared" si="7"/>
        <v>12.99381464523603</v>
      </c>
      <c r="AX10">
        <f t="shared" si="13"/>
        <v>3.6997531255086269</v>
      </c>
    </row>
    <row r="11" spans="1:80" x14ac:dyDescent="0.45">
      <c r="B11" t="s">
        <v>24</v>
      </c>
      <c r="C11">
        <v>15</v>
      </c>
      <c r="D11">
        <v>20.229660034179702</v>
      </c>
      <c r="E11">
        <v>20.158309936523438</v>
      </c>
      <c r="F11">
        <v>24.454448699951172</v>
      </c>
      <c r="G11">
        <v>25.157686233520508</v>
      </c>
      <c r="H11">
        <f t="shared" si="0"/>
        <v>4.6120824813842702</v>
      </c>
      <c r="I11">
        <f t="shared" si="14"/>
        <v>-0.41951370239258257</v>
      </c>
      <c r="J11">
        <f t="shared" si="2"/>
        <v>1.3374766477637055</v>
      </c>
      <c r="N11" t="s">
        <v>24</v>
      </c>
      <c r="O11">
        <v>15</v>
      </c>
      <c r="P11">
        <v>20.229660034179702</v>
      </c>
      <c r="Q11">
        <v>20.158309936523438</v>
      </c>
      <c r="R11">
        <v>19.744747161865234</v>
      </c>
      <c r="S11">
        <v>19.4287109375</v>
      </c>
      <c r="T11">
        <f t="shared" si="3"/>
        <v>-0.60725593566895242</v>
      </c>
      <c r="U11">
        <f t="shared" si="16"/>
        <v>0.70797506968179857</v>
      </c>
      <c r="V11">
        <f t="shared" si="4"/>
        <v>0.6121787747904176</v>
      </c>
      <c r="AC11" s="10" t="s">
        <v>24</v>
      </c>
      <c r="AD11">
        <v>15</v>
      </c>
      <c r="AE11">
        <v>20.229660034179702</v>
      </c>
      <c r="AF11">
        <v>20.158309936523438</v>
      </c>
      <c r="AG11">
        <v>26.582962036132813</v>
      </c>
      <c r="AH11">
        <v>25.924922943115234</v>
      </c>
      <c r="AI11">
        <f t="shared" si="9"/>
        <v>6.0599575042724538</v>
      </c>
      <c r="AJ11">
        <f t="shared" si="17"/>
        <v>-4.5635223388676316E-2</v>
      </c>
      <c r="AK11">
        <f t="shared" si="11"/>
        <v>1.0321375328300135</v>
      </c>
      <c r="AL11">
        <f t="shared" si="12"/>
        <v>4.5635223388676378E-2</v>
      </c>
      <c r="AO11" s="14" t="s">
        <v>42</v>
      </c>
      <c r="AP11" s="13">
        <v>45</v>
      </c>
      <c r="AQ11">
        <v>21.440744400024414</v>
      </c>
      <c r="AR11">
        <v>22.393072128295898</v>
      </c>
      <c r="AS11">
        <v>24.63322639465332</v>
      </c>
      <c r="AT11">
        <v>24.732210159301758</v>
      </c>
      <c r="AU11">
        <f>(AVERAGE(AS11:AT11)-AVERAGE(AQ11:AR11))</f>
        <v>2.7658100128173828</v>
      </c>
      <c r="AV11">
        <f t="shared" si="15"/>
        <v>-5.3158429463704433</v>
      </c>
      <c r="AW11">
        <f t="shared" si="7"/>
        <v>39.831639172957182</v>
      </c>
      <c r="AX11">
        <f t="shared" si="13"/>
        <v>5.3158429463704433</v>
      </c>
    </row>
    <row r="12" spans="1:80" x14ac:dyDescent="0.45">
      <c r="B12" t="s">
        <v>25</v>
      </c>
      <c r="C12">
        <v>16</v>
      </c>
      <c r="D12">
        <v>18.852619171142578</v>
      </c>
      <c r="E12">
        <v>18.145896911621094</v>
      </c>
      <c r="F12">
        <v>25.562408447265625</v>
      </c>
      <c r="G12">
        <v>25.229314804077148</v>
      </c>
      <c r="H12">
        <f t="shared" si="0"/>
        <v>6.8966035842895508</v>
      </c>
      <c r="I12">
        <f t="shared" si="14"/>
        <v>1.865007400512698</v>
      </c>
      <c r="J12">
        <f t="shared" si="2"/>
        <v>0.27452179524393044</v>
      </c>
      <c r="N12" t="s">
        <v>25</v>
      </c>
      <c r="O12">
        <v>16</v>
      </c>
      <c r="P12">
        <v>18.852619171142578</v>
      </c>
      <c r="Q12">
        <v>18.145896911621094</v>
      </c>
      <c r="R12">
        <v>18.730783462524414</v>
      </c>
      <c r="S12">
        <v>18.329362869262695</v>
      </c>
      <c r="T12">
        <f t="shared" si="3"/>
        <v>3.081512451171875E-2</v>
      </c>
      <c r="U12">
        <f t="shared" si="16"/>
        <v>1.3460461298624697</v>
      </c>
      <c r="V12">
        <f t="shared" si="4"/>
        <v>0.39336864459820653</v>
      </c>
      <c r="AC12" s="10" t="s">
        <v>25</v>
      </c>
      <c r="AD12">
        <v>16</v>
      </c>
      <c r="AE12">
        <v>18.852619171142578</v>
      </c>
      <c r="AF12">
        <v>18.145896911621094</v>
      </c>
      <c r="AG12">
        <v>25.170755386352539</v>
      </c>
      <c r="AH12">
        <v>24.975912094116211</v>
      </c>
      <c r="AI12">
        <f t="shared" si="9"/>
        <v>6.5740756988525391</v>
      </c>
      <c r="AJ12">
        <f t="shared" si="17"/>
        <v>0.46848297119140891</v>
      </c>
      <c r="AK12">
        <f t="shared" si="11"/>
        <v>0.72272416031653341</v>
      </c>
      <c r="AL12">
        <f t="shared" si="12"/>
        <v>-0.46848297119140886</v>
      </c>
      <c r="AO12" s="14" t="s">
        <v>43</v>
      </c>
      <c r="AP12" s="13">
        <v>46</v>
      </c>
      <c r="AQ12">
        <v>21.826499938964844</v>
      </c>
      <c r="AR12">
        <v>21.449644088745117</v>
      </c>
      <c r="AS12">
        <v>25.820693969726563</v>
      </c>
      <c r="AT12">
        <v>25.477470397949219</v>
      </c>
      <c r="AU12">
        <f t="shared" ref="AU12:AU20" si="18">(AVERAGE(AS12:AT12)-AVERAGE(AQ12:AR12))</f>
        <v>4.0110101699829102</v>
      </c>
      <c r="AV12">
        <f t="shared" si="15"/>
        <v>-4.070642789204916</v>
      </c>
      <c r="AW12">
        <f t="shared" si="7"/>
        <v>16.802951783999372</v>
      </c>
      <c r="AX12">
        <f t="shared" si="13"/>
        <v>4.070642789204916</v>
      </c>
    </row>
    <row r="13" spans="1:80" x14ac:dyDescent="0.45">
      <c r="B13" t="s">
        <v>26</v>
      </c>
      <c r="C13">
        <v>17</v>
      </c>
      <c r="D13">
        <v>21.78004264831543</v>
      </c>
      <c r="E13">
        <v>20.533334732055664</v>
      </c>
      <c r="F13">
        <v>29.693943023681641</v>
      </c>
      <c r="G13">
        <v>27.915048599243164</v>
      </c>
      <c r="H13">
        <f t="shared" si="0"/>
        <v>7.6478071212768555</v>
      </c>
      <c r="I13">
        <f t="shared" si="14"/>
        <v>2.6162109375000027</v>
      </c>
      <c r="J13">
        <f t="shared" si="2"/>
        <v>0.16309552040208866</v>
      </c>
      <c r="N13" t="s">
        <v>26</v>
      </c>
      <c r="O13">
        <v>17</v>
      </c>
      <c r="P13">
        <v>21.78004264831543</v>
      </c>
      <c r="Q13">
        <v>20.533334732055664</v>
      </c>
      <c r="R13">
        <v>21.182231903076172</v>
      </c>
      <c r="S13">
        <v>20.912151336669922</v>
      </c>
      <c r="T13">
        <f t="shared" si="3"/>
        <v>-0.1094970703125</v>
      </c>
      <c r="U13">
        <f t="shared" si="16"/>
        <v>1.205733935038251</v>
      </c>
      <c r="V13">
        <f t="shared" si="4"/>
        <v>0.43354873038612918</v>
      </c>
      <c r="AC13" s="10" t="s">
        <v>26</v>
      </c>
      <c r="AD13">
        <v>17</v>
      </c>
      <c r="AE13">
        <v>21.78004264831543</v>
      </c>
      <c r="AF13">
        <v>20.533334732055664</v>
      </c>
      <c r="AG13">
        <v>27.996984481811523</v>
      </c>
      <c r="AH13">
        <v>28.276325225830078</v>
      </c>
      <c r="AI13">
        <f t="shared" si="9"/>
        <v>6.9799661636352539</v>
      </c>
      <c r="AJ13">
        <f t="shared" si="17"/>
        <v>0.87437343597412376</v>
      </c>
      <c r="AK13">
        <f t="shared" si="11"/>
        <v>0.54549072210963834</v>
      </c>
      <c r="AL13">
        <f t="shared" si="12"/>
        <v>-0.87437343597412376</v>
      </c>
      <c r="AO13" s="14" t="s">
        <v>44</v>
      </c>
      <c r="AP13" s="13">
        <v>47</v>
      </c>
      <c r="AQ13">
        <v>20.932346343994141</v>
      </c>
      <c r="AR13">
        <v>21.078363418579102</v>
      </c>
      <c r="AS13">
        <v>27.391304016113281</v>
      </c>
      <c r="AT13">
        <v>26.178730010986328</v>
      </c>
      <c r="AU13">
        <f t="shared" si="18"/>
        <v>5.7796621322631836</v>
      </c>
      <c r="AV13">
        <f t="shared" si="15"/>
        <v>-2.3019908269246425</v>
      </c>
      <c r="AW13">
        <f t="shared" si="7"/>
        <v>4.9313779466179444</v>
      </c>
      <c r="AX13">
        <f t="shared" si="13"/>
        <v>2.3019908269246425</v>
      </c>
    </row>
    <row r="14" spans="1:80" s="6" customFormat="1" ht="14.65" thickBot="1" x14ac:dyDescent="0.5">
      <c r="A14"/>
      <c r="B14" s="6" t="s">
        <v>27</v>
      </c>
      <c r="C14" s="6">
        <v>18</v>
      </c>
      <c r="D14" s="6">
        <v>22.374340057373047</v>
      </c>
      <c r="E14" s="6">
        <v>21.154541015625</v>
      </c>
      <c r="F14" s="6">
        <v>27.968839645385742</v>
      </c>
      <c r="G14" s="6">
        <v>28.660032272338867</v>
      </c>
      <c r="H14" s="6">
        <f t="shared" si="0"/>
        <v>6.5499954223632813</v>
      </c>
      <c r="I14" s="6">
        <f t="shared" si="14"/>
        <v>1.5183992385864284</v>
      </c>
      <c r="J14">
        <f t="shared" si="2"/>
        <v>0.34907302038848698</v>
      </c>
      <c r="L14"/>
      <c r="M14"/>
      <c r="N14" s="6" t="s">
        <v>27</v>
      </c>
      <c r="O14" s="6">
        <v>18</v>
      </c>
      <c r="P14" s="6">
        <v>22.374340057373047</v>
      </c>
      <c r="Q14" s="6">
        <v>21.154541015625</v>
      </c>
      <c r="R14">
        <v>20.808403015136719</v>
      </c>
      <c r="S14">
        <v>21.487812042236328</v>
      </c>
      <c r="T14" s="6">
        <f t="shared" si="3"/>
        <v>-0.6163330078125</v>
      </c>
      <c r="U14">
        <f t="shared" si="16"/>
        <v>0.69889799753825099</v>
      </c>
      <c r="V14" s="6">
        <f t="shared" si="4"/>
        <v>0.6160425910692221</v>
      </c>
      <c r="X14"/>
      <c r="Y14"/>
      <c r="Z14"/>
      <c r="AA14"/>
      <c r="AB14"/>
      <c r="AC14" s="11" t="s">
        <v>27</v>
      </c>
      <c r="AD14" s="6">
        <v>18</v>
      </c>
      <c r="AE14" s="6">
        <v>22.374340057373047</v>
      </c>
      <c r="AF14" s="6">
        <v>21.154541015625</v>
      </c>
      <c r="AG14" s="6">
        <v>29.282314300537109</v>
      </c>
      <c r="AH14" s="6">
        <v>27.616252899169922</v>
      </c>
      <c r="AI14" s="6">
        <f t="shared" si="9"/>
        <v>6.6848430633544922</v>
      </c>
      <c r="AJ14">
        <f t="shared" si="17"/>
        <v>0.57925033569336204</v>
      </c>
      <c r="AK14">
        <f t="shared" si="11"/>
        <v>0.66931147983251482</v>
      </c>
      <c r="AL14">
        <f t="shared" si="12"/>
        <v>-0.57925033569336204</v>
      </c>
      <c r="AM14"/>
      <c r="AN14"/>
      <c r="AO14" s="15" t="s">
        <v>45</v>
      </c>
      <c r="AP14" s="13">
        <v>48</v>
      </c>
      <c r="AQ14">
        <v>20.47349739074707</v>
      </c>
      <c r="AR14">
        <v>20.242290496826172</v>
      </c>
      <c r="AS14">
        <v>25.398391723632813</v>
      </c>
      <c r="AT14">
        <v>25.537736892700195</v>
      </c>
      <c r="AU14" s="6">
        <f t="shared" si="18"/>
        <v>5.1101703643798828</v>
      </c>
      <c r="AV14">
        <f t="shared" si="15"/>
        <v>-2.9714825948079433</v>
      </c>
      <c r="AW14">
        <f t="shared" si="7"/>
        <v>7.8434185798721145</v>
      </c>
      <c r="AX14">
        <f t="shared" si="13"/>
        <v>2.9714825948079429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</row>
    <row r="15" spans="1:80" x14ac:dyDescent="0.45">
      <c r="B15" t="s">
        <v>74</v>
      </c>
      <c r="C15">
        <v>19</v>
      </c>
      <c r="D15">
        <v>17.98077392578125</v>
      </c>
      <c r="E15">
        <v>17.505638122558594</v>
      </c>
      <c r="F15">
        <v>27.745231628417969</v>
      </c>
      <c r="G15">
        <v>26.26824951171875</v>
      </c>
      <c r="H15">
        <f t="shared" si="0"/>
        <v>9.2635345458984375</v>
      </c>
      <c r="I15">
        <f t="shared" ref="I15:I20" si="19">H15-$H$54</f>
        <v>1.0642922719319667</v>
      </c>
      <c r="J15">
        <f t="shared" si="2"/>
        <v>0.47820719044931626</v>
      </c>
      <c r="N15" t="s">
        <v>74</v>
      </c>
      <c r="O15">
        <v>19</v>
      </c>
      <c r="P15">
        <v>17.98077392578125</v>
      </c>
      <c r="Q15">
        <v>17.505638122558594</v>
      </c>
      <c r="R15">
        <v>21.42803955078125</v>
      </c>
      <c r="S15">
        <v>20.940526962280273</v>
      </c>
      <c r="T15">
        <f t="shared" si="3"/>
        <v>3.4410772323608398</v>
      </c>
      <c r="U15">
        <f>T15-$T$54</f>
        <v>0.67002487182617188</v>
      </c>
      <c r="V15">
        <f t="shared" si="4"/>
        <v>0.6284958520019831</v>
      </c>
      <c r="AC15" s="12" t="s">
        <v>28</v>
      </c>
      <c r="AD15" s="13">
        <v>25</v>
      </c>
      <c r="AE15">
        <v>21.003396987915039</v>
      </c>
      <c r="AF15">
        <v>20.653541564941406</v>
      </c>
      <c r="AG15">
        <v>26.526416778564453</v>
      </c>
      <c r="AH15">
        <v>26.960851669311523</v>
      </c>
      <c r="AI15">
        <f t="shared" si="9"/>
        <v>5.9151649475097656</v>
      </c>
      <c r="AJ15">
        <f>AI15-$AG$37</f>
        <v>-0.17626412709554007</v>
      </c>
      <c r="AK15">
        <f t="shared" si="11"/>
        <v>1.129954066440255</v>
      </c>
      <c r="AL15">
        <f t="shared" si="12"/>
        <v>0.17626412709554004</v>
      </c>
      <c r="AO15" s="12" t="s">
        <v>46</v>
      </c>
      <c r="AP15" s="13">
        <v>49</v>
      </c>
      <c r="AQ15">
        <v>22.816856384277344</v>
      </c>
      <c r="AR15">
        <v>22.344205856323242</v>
      </c>
      <c r="AS15">
        <v>24.871076583862305</v>
      </c>
      <c r="AT15">
        <v>25.215930938720703</v>
      </c>
      <c r="AU15">
        <f t="shared" si="18"/>
        <v>2.4629726409912109</v>
      </c>
      <c r="AV15">
        <f t="shared" ref="AV15:AV20" si="20">AU15-$H$58</f>
        <v>1.1174027125040691</v>
      </c>
      <c r="AW15">
        <f t="shared" si="7"/>
        <v>0.46092287942882165</v>
      </c>
      <c r="AX15">
        <f t="shared" si="13"/>
        <v>-1.1174027125040691</v>
      </c>
    </row>
    <row r="16" spans="1:80" x14ac:dyDescent="0.45">
      <c r="B16" t="s">
        <v>75</v>
      </c>
      <c r="C16">
        <v>20</v>
      </c>
      <c r="D16">
        <v>19.637100219726563</v>
      </c>
      <c r="E16">
        <v>17.468639373779297</v>
      </c>
      <c r="F16">
        <v>26.417819976806641</v>
      </c>
      <c r="G16">
        <v>26.168132781982422</v>
      </c>
      <c r="H16">
        <f t="shared" si="0"/>
        <v>7.7401065826416016</v>
      </c>
      <c r="I16">
        <f t="shared" si="19"/>
        <v>-0.4591356913248692</v>
      </c>
      <c r="J16">
        <f t="shared" si="2"/>
        <v>1.3747179872987703</v>
      </c>
      <c r="N16" t="s">
        <v>75</v>
      </c>
      <c r="O16">
        <v>20</v>
      </c>
      <c r="P16">
        <v>19.637100219726563</v>
      </c>
      <c r="Q16">
        <v>17.468639373779297</v>
      </c>
      <c r="R16">
        <v>21.311576843261719</v>
      </c>
      <c r="S16">
        <v>20.704929351806641</v>
      </c>
      <c r="T16">
        <f t="shared" si="3"/>
        <v>2.45538330078125</v>
      </c>
      <c r="U16">
        <f t="shared" ref="U16:U19" si="21">T16-$T$54</f>
        <v>-0.31566905975341797</v>
      </c>
      <c r="V16">
        <f t="shared" si="4"/>
        <v>1.244588706059363</v>
      </c>
      <c r="AC16" s="14" t="s">
        <v>29</v>
      </c>
      <c r="AD16" s="13">
        <v>26</v>
      </c>
      <c r="AE16">
        <v>19.556295394897461</v>
      </c>
      <c r="AF16">
        <v>20.136720657348633</v>
      </c>
      <c r="AG16">
        <v>26.340370178222656</v>
      </c>
      <c r="AH16">
        <v>26.882698059082031</v>
      </c>
      <c r="AI16">
        <f t="shared" si="9"/>
        <v>6.7650260925292969</v>
      </c>
      <c r="AJ16">
        <f t="shared" ref="AJ16:AJ20" si="22">AI16-$AG$37</f>
        <v>0.67359701792399118</v>
      </c>
      <c r="AK16">
        <f t="shared" si="11"/>
        <v>0.62694160678687405</v>
      </c>
      <c r="AL16">
        <f t="shared" si="12"/>
        <v>-0.67359701792399129</v>
      </c>
      <c r="AO16" s="14" t="s">
        <v>47</v>
      </c>
      <c r="AP16" s="13">
        <v>50</v>
      </c>
      <c r="AQ16">
        <v>20.805057525634766</v>
      </c>
      <c r="AR16">
        <v>21.153970718383789</v>
      </c>
      <c r="AS16">
        <v>25.806184768676758</v>
      </c>
      <c r="AT16">
        <v>24.489181518554688</v>
      </c>
      <c r="AU16">
        <f t="shared" si="18"/>
        <v>4.1681690216064453</v>
      </c>
      <c r="AV16">
        <f t="shared" si="20"/>
        <v>2.8225990931193037</v>
      </c>
      <c r="AW16">
        <f t="shared" si="7"/>
        <v>0.14135559638285525</v>
      </c>
      <c r="AX16">
        <f t="shared" si="13"/>
        <v>-2.8225990931193037</v>
      </c>
    </row>
    <row r="17" spans="1:80" x14ac:dyDescent="0.45">
      <c r="B17" t="s">
        <v>76</v>
      </c>
      <c r="C17">
        <v>21</v>
      </c>
      <c r="D17">
        <v>19.177871704101563</v>
      </c>
      <c r="E17">
        <v>19.094779968261719</v>
      </c>
      <c r="F17">
        <v>26.379051208496094</v>
      </c>
      <c r="G17">
        <v>27.081771850585938</v>
      </c>
      <c r="H17">
        <f t="shared" si="0"/>
        <v>7.594085693359375</v>
      </c>
      <c r="I17">
        <f t="shared" si="19"/>
        <v>-0.60515658060709576</v>
      </c>
      <c r="J17">
        <f t="shared" si="2"/>
        <v>1.5211438392045764</v>
      </c>
      <c r="N17" t="s">
        <v>76</v>
      </c>
      <c r="O17">
        <v>21</v>
      </c>
      <c r="P17">
        <v>19.177871704101563</v>
      </c>
      <c r="Q17">
        <v>19.094779968261719</v>
      </c>
      <c r="R17">
        <v>21.310850143432617</v>
      </c>
      <c r="S17">
        <v>21.795194625854492</v>
      </c>
      <c r="T17">
        <f t="shared" si="3"/>
        <v>2.4166965484619141</v>
      </c>
      <c r="U17">
        <f t="shared" si="21"/>
        <v>-0.35435581207275391</v>
      </c>
      <c r="V17">
        <f t="shared" si="4"/>
        <v>1.2784146198958932</v>
      </c>
      <c r="AC17" s="14" t="s">
        <v>30</v>
      </c>
      <c r="AD17" s="13">
        <v>27</v>
      </c>
      <c r="AE17">
        <v>20.998573303222656</v>
      </c>
      <c r="AF17">
        <v>20.286203384399414</v>
      </c>
      <c r="AG17">
        <v>26.332502365112305</v>
      </c>
      <c r="AH17">
        <v>26.140466690063477</v>
      </c>
      <c r="AI17">
        <f t="shared" si="9"/>
        <v>5.5940961837768555</v>
      </c>
      <c r="AJ17">
        <f t="shared" si="22"/>
        <v>-0.49733289082845022</v>
      </c>
      <c r="AK17">
        <f t="shared" si="11"/>
        <v>1.4116015220705043</v>
      </c>
      <c r="AL17">
        <f t="shared" si="12"/>
        <v>0.49733289082845028</v>
      </c>
      <c r="AO17" s="14" t="s">
        <v>48</v>
      </c>
      <c r="AP17" s="13">
        <v>51</v>
      </c>
      <c r="AQ17">
        <v>21.749000549316406</v>
      </c>
      <c r="AR17">
        <v>21.121328353881836</v>
      </c>
      <c r="AS17">
        <v>26.659938812255859</v>
      </c>
      <c r="AT17">
        <v>24.921409606933594</v>
      </c>
      <c r="AU17">
        <f t="shared" si="18"/>
        <v>4.3555097579956055</v>
      </c>
      <c r="AV17">
        <f t="shared" si="20"/>
        <v>3.0099398295084638</v>
      </c>
      <c r="AW17">
        <f t="shared" si="7"/>
        <v>0.12414173940200006</v>
      </c>
      <c r="AX17">
        <f t="shared" si="13"/>
        <v>-3.0099398295084638</v>
      </c>
    </row>
    <row r="18" spans="1:80" x14ac:dyDescent="0.45">
      <c r="B18" t="s">
        <v>77</v>
      </c>
      <c r="C18">
        <v>22</v>
      </c>
      <c r="D18">
        <v>16.797828674316406</v>
      </c>
      <c r="E18">
        <v>16.115530014038086</v>
      </c>
      <c r="F18">
        <v>26.722024917602539</v>
      </c>
      <c r="H18">
        <f t="shared" si="0"/>
        <v>10.265345573425293</v>
      </c>
      <c r="I18">
        <f t="shared" si="19"/>
        <v>2.0661032994588222</v>
      </c>
      <c r="J18">
        <f t="shared" si="2"/>
        <v>0.23880363473039334</v>
      </c>
      <c r="N18" t="s">
        <v>77</v>
      </c>
      <c r="O18">
        <v>22</v>
      </c>
      <c r="P18">
        <v>16.797828674316406</v>
      </c>
      <c r="Q18">
        <v>16.115530014038086</v>
      </c>
      <c r="R18">
        <v>20.856464385986328</v>
      </c>
      <c r="S18">
        <v>21.362583160400391</v>
      </c>
      <c r="T18">
        <f t="shared" si="3"/>
        <v>4.6528444290161133</v>
      </c>
      <c r="U18">
        <f t="shared" si="21"/>
        <v>1.8817920684814453</v>
      </c>
      <c r="V18">
        <f t="shared" si="4"/>
        <v>0.27134644854145784</v>
      </c>
      <c r="AC18" s="14" t="s">
        <v>31</v>
      </c>
      <c r="AD18" s="13">
        <v>28</v>
      </c>
      <c r="AE18">
        <v>24.93695068359375</v>
      </c>
      <c r="AF18">
        <v>22.591632843017578</v>
      </c>
      <c r="AG18">
        <v>28.518455505371094</v>
      </c>
      <c r="AH18">
        <v>28.635410308837891</v>
      </c>
      <c r="AI18">
        <f t="shared" si="9"/>
        <v>4.8126411437988281</v>
      </c>
      <c r="AJ18">
        <f t="shared" si="22"/>
        <v>-1.2787879308064776</v>
      </c>
      <c r="AK18">
        <f t="shared" si="11"/>
        <v>2.42635043250361</v>
      </c>
      <c r="AL18">
        <f t="shared" si="12"/>
        <v>1.2787879308064776</v>
      </c>
      <c r="AO18" s="14" t="s">
        <v>49</v>
      </c>
      <c r="AP18" s="13">
        <v>52</v>
      </c>
      <c r="AQ18">
        <v>21.736330032348633</v>
      </c>
      <c r="AR18">
        <v>21.520866394042969</v>
      </c>
      <c r="AS18">
        <v>25.434700012207031</v>
      </c>
      <c r="AT18">
        <v>25.374286651611328</v>
      </c>
      <c r="AU18">
        <f t="shared" si="18"/>
        <v>3.7758951187133789</v>
      </c>
      <c r="AV18">
        <f t="shared" si="20"/>
        <v>2.4303251902262373</v>
      </c>
      <c r="AW18">
        <f t="shared" si="7"/>
        <v>0.18552362372069517</v>
      </c>
      <c r="AX18">
        <f t="shared" si="13"/>
        <v>-2.4303251902262373</v>
      </c>
    </row>
    <row r="19" spans="1:80" x14ac:dyDescent="0.45">
      <c r="B19" t="s">
        <v>78</v>
      </c>
      <c r="C19">
        <v>23</v>
      </c>
      <c r="D19">
        <v>17.172258377075195</v>
      </c>
      <c r="E19">
        <v>16.408842086791992</v>
      </c>
      <c r="F19">
        <v>22.914772033691406</v>
      </c>
      <c r="G19">
        <v>25.467048645019531</v>
      </c>
      <c r="H19">
        <f t="shared" si="0"/>
        <v>7.400360107421875</v>
      </c>
      <c r="I19">
        <f t="shared" si="19"/>
        <v>-0.79888216654459576</v>
      </c>
      <c r="J19">
        <f t="shared" si="2"/>
        <v>1.7397526037069007</v>
      </c>
      <c r="N19" t="s">
        <v>78</v>
      </c>
      <c r="O19">
        <v>23</v>
      </c>
      <c r="P19">
        <v>17.172258377075195</v>
      </c>
      <c r="Q19">
        <v>16.408842086791992</v>
      </c>
      <c r="R19">
        <v>17.852876663208008</v>
      </c>
      <c r="S19">
        <v>18.348011016845703</v>
      </c>
      <c r="T19">
        <f t="shared" si="3"/>
        <v>1.3098936080932617</v>
      </c>
      <c r="U19">
        <f t="shared" si="21"/>
        <v>-1.4611587524414063</v>
      </c>
      <c r="V19">
        <f t="shared" si="4"/>
        <v>2.7532941557174979</v>
      </c>
      <c r="AC19" s="14" t="s">
        <v>32</v>
      </c>
      <c r="AD19" s="13">
        <v>29</v>
      </c>
      <c r="AE19">
        <v>19.469219207763672</v>
      </c>
      <c r="AF19">
        <v>19.481897354125977</v>
      </c>
      <c r="AG19">
        <v>27.761569976806641</v>
      </c>
      <c r="AH19">
        <v>27.959573745727539</v>
      </c>
      <c r="AI19">
        <f t="shared" si="9"/>
        <v>8.3850135803222656</v>
      </c>
      <c r="AJ19">
        <f t="shared" si="22"/>
        <v>2.2935845057169599</v>
      </c>
      <c r="AK19">
        <f t="shared" si="11"/>
        <v>0.2039681074245849</v>
      </c>
      <c r="AL19">
        <f t="shared" si="12"/>
        <v>-2.2935845057169599</v>
      </c>
      <c r="AO19" s="14" t="s">
        <v>50</v>
      </c>
      <c r="AP19" s="13">
        <v>53</v>
      </c>
      <c r="AQ19">
        <v>21.967372894287109</v>
      </c>
      <c r="AR19">
        <v>21.547496795654297</v>
      </c>
      <c r="AS19">
        <v>25.434700012207031</v>
      </c>
      <c r="AU19">
        <f t="shared" si="18"/>
        <v>3.6772651672363281</v>
      </c>
      <c r="AV19">
        <f t="shared" si="20"/>
        <v>2.3316952387491865</v>
      </c>
      <c r="AW19">
        <f t="shared" si="7"/>
        <v>0.1986505594106065</v>
      </c>
      <c r="AX19">
        <f t="shared" si="13"/>
        <v>-2.3316952387491865</v>
      </c>
    </row>
    <row r="20" spans="1:80" s="6" customFormat="1" ht="14.65" thickBot="1" x14ac:dyDescent="0.5">
      <c r="A20"/>
      <c r="B20" s="6" t="s">
        <v>79</v>
      </c>
      <c r="C20" s="6">
        <v>24</v>
      </c>
      <c r="D20" s="6">
        <v>18.612457275390625</v>
      </c>
      <c r="E20" s="6">
        <v>18.162099838256836</v>
      </c>
      <c r="F20" s="6">
        <v>24.519018173217773</v>
      </c>
      <c r="G20" s="6">
        <v>27.597686767578125</v>
      </c>
      <c r="H20" s="6">
        <f t="shared" si="0"/>
        <v>7.6710739135742188</v>
      </c>
      <c r="I20" s="6">
        <f t="shared" si="19"/>
        <v>-0.52816836039225201</v>
      </c>
      <c r="J20">
        <f t="shared" si="2"/>
        <v>1.4420971522604999</v>
      </c>
      <c r="L20"/>
      <c r="M20"/>
      <c r="N20" s="6" t="s">
        <v>79</v>
      </c>
      <c r="O20" s="6">
        <v>24</v>
      </c>
      <c r="P20" s="6">
        <v>18.612457275390625</v>
      </c>
      <c r="Q20" s="6">
        <v>18.162099838256836</v>
      </c>
      <c r="R20">
        <v>20.812446594238281</v>
      </c>
      <c r="S20">
        <v>20.232614517211914</v>
      </c>
      <c r="T20" s="6">
        <f t="shared" si="3"/>
        <v>2.1352519989013672</v>
      </c>
      <c r="U20">
        <f>T20-$T$54</f>
        <v>-0.63580036163330078</v>
      </c>
      <c r="V20" s="6">
        <f t="shared" si="4"/>
        <v>1.5537995098242405</v>
      </c>
      <c r="X20"/>
      <c r="Y20"/>
      <c r="Z20"/>
      <c r="AA20"/>
      <c r="AB20"/>
      <c r="AC20" s="15" t="s">
        <v>33</v>
      </c>
      <c r="AD20" s="16">
        <v>30</v>
      </c>
      <c r="AE20" s="6">
        <v>22.262863159179688</v>
      </c>
      <c r="AF20" s="6">
        <v>21.694347381591797</v>
      </c>
      <c r="AG20" s="6">
        <v>28.47454833984375</v>
      </c>
      <c r="AH20" s="6">
        <v>27.829439163208008</v>
      </c>
      <c r="AI20" s="6">
        <f t="shared" si="9"/>
        <v>6.1733884811401367</v>
      </c>
      <c r="AJ20">
        <f t="shared" si="22"/>
        <v>8.1959406534831025E-2</v>
      </c>
      <c r="AK20">
        <f t="shared" si="11"/>
        <v>0.94477362395102515</v>
      </c>
      <c r="AL20">
        <f t="shared" si="12"/>
        <v>-8.1959406534830928E-2</v>
      </c>
      <c r="AM20"/>
      <c r="AN20"/>
      <c r="AO20" s="15" t="s">
        <v>51</v>
      </c>
      <c r="AP20" s="13">
        <v>54</v>
      </c>
      <c r="AQ20">
        <v>21.499488830566406</v>
      </c>
      <c r="AR20">
        <v>22.336282730102539</v>
      </c>
      <c r="AS20">
        <v>25.434700012207031</v>
      </c>
      <c r="AT20">
        <v>23.315837860107422</v>
      </c>
      <c r="AU20">
        <f t="shared" si="18"/>
        <v>2.4573831558227539</v>
      </c>
      <c r="AV20">
        <f t="shared" si="20"/>
        <v>1.1118132273356121</v>
      </c>
      <c r="AW20">
        <f t="shared" si="7"/>
        <v>0.46271211328931977</v>
      </c>
      <c r="AX20">
        <f t="shared" si="13"/>
        <v>-1.1118132273356121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</row>
    <row r="21" spans="1:80" x14ac:dyDescent="0.45">
      <c r="B21" s="12" t="s">
        <v>28</v>
      </c>
      <c r="C21" s="13">
        <v>25</v>
      </c>
      <c r="D21">
        <v>21.003396987915039</v>
      </c>
      <c r="E21">
        <v>20.653541564941406</v>
      </c>
      <c r="F21">
        <v>28.430086135864258</v>
      </c>
      <c r="G21">
        <v>28.078693389892578</v>
      </c>
      <c r="H21">
        <f>(AVERAGE(F21:G21)-AVERAGE(D21:E21))</f>
        <v>7.4259204864501953</v>
      </c>
      <c r="I21">
        <f t="shared" ref="I21:I26" si="23">H21-$H$55</f>
        <v>-0.17058436075846384</v>
      </c>
      <c r="J21">
        <f t="shared" si="2"/>
        <v>1.1255142796947943</v>
      </c>
      <c r="K21">
        <f t="shared" ref="K21:K26" si="24">LOG(J21,2)</f>
        <v>0.17058436075846398</v>
      </c>
      <c r="N21" s="12" t="s">
        <v>28</v>
      </c>
      <c r="O21" s="13">
        <v>25</v>
      </c>
      <c r="P21">
        <v>21.003396987915039</v>
      </c>
      <c r="Q21">
        <v>20.653541564941406</v>
      </c>
      <c r="R21">
        <v>25.87269401550293</v>
      </c>
      <c r="S21">
        <v>25.804256439208984</v>
      </c>
      <c r="T21">
        <f t="shared" ref="T21:T32" si="25">(AVERAGE(R21:S21)-AVERAGE(P21:Q21))</f>
        <v>5.0100059509277344</v>
      </c>
      <c r="U21">
        <f>T21-$T$55</f>
        <v>-0.30932648976643851</v>
      </c>
      <c r="V21">
        <f t="shared" ref="V21:V32" si="26">2^-U21</f>
        <v>1.2391290877353718</v>
      </c>
      <c r="W21">
        <f t="shared" ref="W21:W26" si="27">LOG(V21,2)</f>
        <v>0.30932648976643856</v>
      </c>
      <c r="AC21" s="12" t="s">
        <v>34</v>
      </c>
      <c r="AD21" s="13">
        <v>37</v>
      </c>
      <c r="AE21">
        <v>20.929424285888672</v>
      </c>
      <c r="AF21">
        <v>22.087041854858398</v>
      </c>
      <c r="AG21">
        <v>28.71278190612793</v>
      </c>
      <c r="AH21">
        <v>28.749774932861328</v>
      </c>
      <c r="AI21">
        <f t="shared" si="9"/>
        <v>7.2230453491210938</v>
      </c>
      <c r="AJ21">
        <f>AI21-$AG$38</f>
        <v>1.5190909703572588</v>
      </c>
      <c r="AK21">
        <f t="shared" si="11"/>
        <v>0.34890568979322523</v>
      </c>
      <c r="AL21">
        <f t="shared" si="12"/>
        <v>-1.5190909703572588</v>
      </c>
    </row>
    <row r="22" spans="1:80" x14ac:dyDescent="0.45">
      <c r="B22" s="14" t="s">
        <v>29</v>
      </c>
      <c r="C22" s="13">
        <v>26</v>
      </c>
      <c r="D22">
        <v>19.556295394897461</v>
      </c>
      <c r="E22">
        <v>20.136720657348633</v>
      </c>
      <c r="F22">
        <v>28.015542984008789</v>
      </c>
      <c r="G22">
        <v>27.90631103515625</v>
      </c>
      <c r="H22">
        <f t="shared" si="0"/>
        <v>8.1144189834594727</v>
      </c>
      <c r="I22">
        <f t="shared" si="23"/>
        <v>0.51791413625081351</v>
      </c>
      <c r="J22">
        <f t="shared" si="2"/>
        <v>0.69838082998091866</v>
      </c>
      <c r="K22">
        <f t="shared" si="24"/>
        <v>-0.51791413625081362</v>
      </c>
      <c r="N22" s="14" t="s">
        <v>29</v>
      </c>
      <c r="O22" s="13">
        <v>26</v>
      </c>
      <c r="P22">
        <v>19.556295394897461</v>
      </c>
      <c r="Q22">
        <v>20.136720657348633</v>
      </c>
      <c r="R22">
        <v>24.92292594909668</v>
      </c>
      <c r="S22">
        <v>25.479541778564453</v>
      </c>
      <c r="T22">
        <f t="shared" si="25"/>
        <v>5.3547258377075195</v>
      </c>
      <c r="U22">
        <f t="shared" ref="U22:U25" si="28">T22-$T$55</f>
        <v>3.539339701334665E-2</v>
      </c>
      <c r="V22">
        <f t="shared" si="26"/>
        <v>0.97576565073708699</v>
      </c>
      <c r="W22">
        <f t="shared" si="27"/>
        <v>-3.5393397013346622E-2</v>
      </c>
      <c r="AC22" s="14" t="s">
        <v>35</v>
      </c>
      <c r="AD22" s="13">
        <v>38</v>
      </c>
      <c r="AE22">
        <v>21.836921691894531</v>
      </c>
      <c r="AG22">
        <v>27.684017181396484</v>
      </c>
      <c r="AH22">
        <v>28.15631103515625</v>
      </c>
      <c r="AI22">
        <f t="shared" si="9"/>
        <v>6.0832424163818359</v>
      </c>
      <c r="AJ22">
        <f t="shared" ref="AJ22:AJ26" si="29">AI22-$AG$38</f>
        <v>0.37928803761800101</v>
      </c>
      <c r="AK22">
        <f t="shared" si="11"/>
        <v>0.76881690412280856</v>
      </c>
      <c r="AL22">
        <f t="shared" si="12"/>
        <v>-0.37928803761800084</v>
      </c>
    </row>
    <row r="23" spans="1:80" x14ac:dyDescent="0.45">
      <c r="B23" s="14" t="s">
        <v>30</v>
      </c>
      <c r="C23" s="13">
        <v>27</v>
      </c>
      <c r="D23">
        <v>20.998573303222656</v>
      </c>
      <c r="E23">
        <v>20.286203384399414</v>
      </c>
      <c r="F23">
        <v>27.990287780761719</v>
      </c>
      <c r="G23">
        <v>27.792839050292969</v>
      </c>
      <c r="H23">
        <f t="shared" si="0"/>
        <v>7.2491750717163086</v>
      </c>
      <c r="I23">
        <f t="shared" si="23"/>
        <v>-0.34732977549235056</v>
      </c>
      <c r="J23">
        <f t="shared" si="2"/>
        <v>1.2722037776056494</v>
      </c>
      <c r="K23">
        <f t="shared" si="24"/>
        <v>0.34732977549235067</v>
      </c>
      <c r="N23" s="14" t="s">
        <v>30</v>
      </c>
      <c r="O23" s="13">
        <v>27</v>
      </c>
      <c r="P23">
        <v>20.998573303222656</v>
      </c>
      <c r="Q23">
        <v>20.286203384399414</v>
      </c>
      <c r="R23">
        <v>26.363191604614258</v>
      </c>
      <c r="S23">
        <v>26.108116149902344</v>
      </c>
      <c r="T23">
        <f t="shared" si="25"/>
        <v>5.5932655334472656</v>
      </c>
      <c r="U23">
        <f t="shared" si="28"/>
        <v>0.27393309275309274</v>
      </c>
      <c r="V23">
        <f t="shared" si="26"/>
        <v>0.827061723839423</v>
      </c>
      <c r="W23">
        <f t="shared" si="27"/>
        <v>-0.27393309275309274</v>
      </c>
      <c r="AC23" s="14" t="s">
        <v>36</v>
      </c>
      <c r="AD23" s="13">
        <v>39</v>
      </c>
      <c r="AE23">
        <v>31.127038955688477</v>
      </c>
      <c r="AF23">
        <v>30.850795745849609</v>
      </c>
      <c r="AG23">
        <v>33.640972137451172</v>
      </c>
      <c r="AH23">
        <v>35.948013305664063</v>
      </c>
      <c r="AI23">
        <f t="shared" si="9"/>
        <v>3.8055753707885742</v>
      </c>
      <c r="AJ23">
        <f t="shared" si="29"/>
        <v>-1.8983790079752607</v>
      </c>
      <c r="AK23">
        <f>AVERAGE(AK21:AK22)</f>
        <v>0.5588612969580169</v>
      </c>
      <c r="AL23">
        <f t="shared" si="12"/>
        <v>-0.8394378279563135</v>
      </c>
    </row>
    <row r="24" spans="1:80" x14ac:dyDescent="0.45">
      <c r="B24" s="14" t="s">
        <v>31</v>
      </c>
      <c r="C24" s="13">
        <v>28</v>
      </c>
      <c r="E24">
        <v>22.591632843017578</v>
      </c>
      <c r="F24">
        <v>30.052396774291992</v>
      </c>
      <c r="G24">
        <v>29.633871078491211</v>
      </c>
      <c r="H24">
        <f t="shared" si="0"/>
        <v>7.2515010833740234</v>
      </c>
      <c r="I24">
        <f t="shared" si="23"/>
        <v>-0.34500376383463571</v>
      </c>
      <c r="J24">
        <f t="shared" si="2"/>
        <v>1.2701542962290437</v>
      </c>
      <c r="K24">
        <f t="shared" si="24"/>
        <v>0.34500376383463566</v>
      </c>
      <c r="N24" s="14" t="s">
        <v>31</v>
      </c>
      <c r="O24" s="13">
        <v>28</v>
      </c>
      <c r="P24">
        <v>24.93695068359375</v>
      </c>
      <c r="Q24">
        <v>22.591632843017578</v>
      </c>
      <c r="R24">
        <v>28.340200424194336</v>
      </c>
      <c r="S24">
        <v>29.149803161621094</v>
      </c>
      <c r="T24">
        <f t="shared" si="25"/>
        <v>4.9807100296020508</v>
      </c>
      <c r="U24">
        <f t="shared" si="28"/>
        <v>-0.3386224110921221</v>
      </c>
      <c r="V24">
        <f t="shared" si="26"/>
        <v>1.2645485354699664</v>
      </c>
      <c r="W24">
        <f t="shared" si="27"/>
        <v>0.33862241109212221</v>
      </c>
      <c r="AC24" s="14" t="s">
        <v>37</v>
      </c>
      <c r="AD24" s="13">
        <v>40</v>
      </c>
      <c r="AE24">
        <v>22.484401702880859</v>
      </c>
      <c r="AF24">
        <v>22.659547805786133</v>
      </c>
      <c r="AG24">
        <v>29.828554153442383</v>
      </c>
      <c r="AH24">
        <v>27.761817932128906</v>
      </c>
      <c r="AI24">
        <f t="shared" si="9"/>
        <v>6.2232112884521484</v>
      </c>
      <c r="AJ24">
        <f t="shared" si="29"/>
        <v>0.51925690968831351</v>
      </c>
      <c r="AK24">
        <f t="shared" si="11"/>
        <v>0.69773112167251206</v>
      </c>
      <c r="AL24">
        <f t="shared" si="12"/>
        <v>-0.51925690968831351</v>
      </c>
    </row>
    <row r="25" spans="1:80" x14ac:dyDescent="0.45">
      <c r="B25" s="14" t="s">
        <v>32</v>
      </c>
      <c r="C25" s="13">
        <v>29</v>
      </c>
      <c r="D25">
        <v>19.469219207763672</v>
      </c>
      <c r="E25">
        <v>19.481897354125977</v>
      </c>
      <c r="F25">
        <v>27.80265998840332</v>
      </c>
      <c r="G25">
        <v>27.112232208251953</v>
      </c>
      <c r="H25">
        <f t="shared" si="0"/>
        <v>7.9818878173828125</v>
      </c>
      <c r="I25">
        <f t="shared" si="23"/>
        <v>0.38538297017415335</v>
      </c>
      <c r="J25">
        <f t="shared" si="2"/>
        <v>0.76557574589396127</v>
      </c>
      <c r="K25">
        <f t="shared" si="24"/>
        <v>-0.38538297017415329</v>
      </c>
      <c r="N25" s="14" t="s">
        <v>32</v>
      </c>
      <c r="O25" s="13">
        <v>29</v>
      </c>
      <c r="P25">
        <v>19.469219207763672</v>
      </c>
      <c r="Q25">
        <v>19.481897354125977</v>
      </c>
      <c r="R25">
        <v>25.755611419677734</v>
      </c>
      <c r="S25">
        <v>27.776020050048828</v>
      </c>
      <c r="T25">
        <f t="shared" si="25"/>
        <v>7.290257453918457</v>
      </c>
      <c r="U25">
        <f t="shared" si="28"/>
        <v>1.9709250132242842</v>
      </c>
      <c r="V25">
        <f t="shared" si="26"/>
        <v>0.25508942321788791</v>
      </c>
      <c r="W25">
        <f t="shared" si="27"/>
        <v>-1.9709250132242839</v>
      </c>
      <c r="AC25" s="14" t="s">
        <v>38</v>
      </c>
      <c r="AD25" s="13">
        <v>41</v>
      </c>
      <c r="AE25">
        <v>22.053213119506836</v>
      </c>
      <c r="AF25">
        <v>22.400588989257813</v>
      </c>
      <c r="AG25">
        <v>28.315805435180664</v>
      </c>
      <c r="AH25">
        <v>27.887474060058594</v>
      </c>
      <c r="AI25">
        <f t="shared" si="9"/>
        <v>5.8747386932373047</v>
      </c>
      <c r="AJ25">
        <f t="shared" si="29"/>
        <v>0.17078431447346976</v>
      </c>
      <c r="AK25">
        <f t="shared" si="11"/>
        <v>0.88835959728694258</v>
      </c>
      <c r="AL25">
        <f t="shared" si="12"/>
        <v>-0.17078431447346981</v>
      </c>
      <c r="AT25" t="s">
        <v>9</v>
      </c>
      <c r="AU25">
        <f>AVERAGE(AU3:AU5)</f>
        <v>4.5371945699055987</v>
      </c>
    </row>
    <row r="26" spans="1:80" s="6" customFormat="1" ht="14.65" thickBot="1" x14ac:dyDescent="0.5">
      <c r="A26"/>
      <c r="B26" s="15" t="s">
        <v>33</v>
      </c>
      <c r="C26" s="16">
        <v>30</v>
      </c>
      <c r="D26" s="6">
        <v>22.262863159179688</v>
      </c>
      <c r="E26" s="6">
        <v>21.694347381591797</v>
      </c>
      <c r="F26">
        <f>AVERAGE(F24:F25)</f>
        <v>28.927528381347656</v>
      </c>
      <c r="G26">
        <f>AVERAGE(G24:G25)</f>
        <v>28.373051643371582</v>
      </c>
      <c r="H26" s="6">
        <f>(AVERAGE(F26:G26)-AVERAGE(D26:E26))</f>
        <v>6.671684741973877</v>
      </c>
      <c r="I26" s="6">
        <f t="shared" si="23"/>
        <v>-0.9248201052347822</v>
      </c>
      <c r="J26">
        <f t="shared" si="2"/>
        <v>1.8984475029841148</v>
      </c>
      <c r="K26">
        <f t="shared" si="24"/>
        <v>0.9248201052347822</v>
      </c>
      <c r="L26"/>
      <c r="M26"/>
      <c r="N26" s="15" t="s">
        <v>33</v>
      </c>
      <c r="O26" s="13">
        <v>30</v>
      </c>
      <c r="P26">
        <v>22.262863159179688</v>
      </c>
      <c r="Q26">
        <v>21.694347381591797</v>
      </c>
      <c r="R26">
        <v>28.626880645751953</v>
      </c>
      <c r="S26">
        <v>28.719343185424805</v>
      </c>
      <c r="T26">
        <f t="shared" si="25"/>
        <v>6.6945066452026367</v>
      </c>
      <c r="U26">
        <f>T26-$T$55</f>
        <v>1.3751742045084638</v>
      </c>
      <c r="V26">
        <f t="shared" si="26"/>
        <v>0.38550615391859494</v>
      </c>
      <c r="W26">
        <f t="shared" si="27"/>
        <v>-1.3751742045084638</v>
      </c>
      <c r="X26"/>
      <c r="Y26"/>
      <c r="Z26"/>
      <c r="AA26"/>
      <c r="AB26"/>
      <c r="AC26" s="15" t="s">
        <v>39</v>
      </c>
      <c r="AD26" s="16">
        <v>42</v>
      </c>
      <c r="AE26" s="6">
        <v>22.666315078735352</v>
      </c>
      <c r="AF26" s="6">
        <v>21.813253402709961</v>
      </c>
      <c r="AG26" s="6">
        <v>27.418607711791992</v>
      </c>
      <c r="AH26" s="6">
        <f>AVERAGE(AG25:AH25)</f>
        <v>28.101639747619629</v>
      </c>
      <c r="AI26" s="6">
        <f t="shared" si="9"/>
        <v>5.5203394889831543</v>
      </c>
      <c r="AJ26">
        <f t="shared" si="29"/>
        <v>-0.18361488978068063</v>
      </c>
      <c r="AK26">
        <f t="shared" si="11"/>
        <v>1.1357260558063533</v>
      </c>
      <c r="AL26">
        <f t="shared" si="12"/>
        <v>0.18361488978068058</v>
      </c>
      <c r="AM26"/>
      <c r="AN26"/>
      <c r="AO26"/>
      <c r="AP26"/>
      <c r="AQ26"/>
      <c r="AR26"/>
      <c r="AS26"/>
      <c r="AT26" t="s">
        <v>10</v>
      </c>
      <c r="AU26">
        <f>AVERAGE(AU9:AU11)</f>
        <v>3.6884841918945313</v>
      </c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</row>
    <row r="27" spans="1:80" x14ac:dyDescent="0.45">
      <c r="B27" t="s">
        <v>80</v>
      </c>
      <c r="C27">
        <v>31</v>
      </c>
      <c r="D27">
        <v>17.807966232299805</v>
      </c>
      <c r="E27">
        <v>17.894079208374023</v>
      </c>
      <c r="F27">
        <v>29.313188552856445</v>
      </c>
      <c r="G27">
        <v>28.990728378295898</v>
      </c>
      <c r="H27">
        <f t="shared" si="0"/>
        <v>11.300935745239258</v>
      </c>
      <c r="I27">
        <f t="shared" ref="I27:I32" si="30">H27-$H$56</f>
        <v>0.73332405090332031</v>
      </c>
      <c r="J27">
        <f t="shared" si="2"/>
        <v>0.60151638823930187</v>
      </c>
      <c r="N27" t="s">
        <v>80</v>
      </c>
      <c r="O27">
        <v>31</v>
      </c>
      <c r="P27">
        <v>17.807966232299805</v>
      </c>
      <c r="Q27">
        <v>17.894079208374023</v>
      </c>
      <c r="R27">
        <v>20.822639465332031</v>
      </c>
      <c r="S27">
        <v>20.710474014282227</v>
      </c>
      <c r="T27">
        <f t="shared" si="25"/>
        <v>2.9155340194702148</v>
      </c>
      <c r="U27">
        <f>T27-$T$56</f>
        <v>0.51237456003824855</v>
      </c>
      <c r="V27">
        <f>2^-U27</f>
        <v>0.70106758685472215</v>
      </c>
      <c r="AC27" s="9" t="s">
        <v>46</v>
      </c>
      <c r="AD27">
        <v>49</v>
      </c>
      <c r="AE27">
        <v>22.816856384277344</v>
      </c>
      <c r="AF27">
        <v>22.344205856323242</v>
      </c>
      <c r="AG27">
        <v>27.895034790039063</v>
      </c>
      <c r="AH27">
        <v>27.14161491394043</v>
      </c>
      <c r="AI27">
        <f t="shared" si="9"/>
        <v>4.9377937316894531</v>
      </c>
      <c r="AJ27">
        <f>AI27-$AG$39</f>
        <v>-0.5952911376953125</v>
      </c>
      <c r="AK27">
        <f t="shared" si="11"/>
        <v>1.5107774316110367</v>
      </c>
      <c r="AL27">
        <f t="shared" si="12"/>
        <v>0.5952911376953125</v>
      </c>
      <c r="AT27" t="s">
        <v>59</v>
      </c>
      <c r="AU27">
        <f>AVERAGE(AU15:AU17)</f>
        <v>3.6622171401977539</v>
      </c>
    </row>
    <row r="28" spans="1:80" x14ac:dyDescent="0.45">
      <c r="B28" t="s">
        <v>81</v>
      </c>
      <c r="C28">
        <v>32</v>
      </c>
      <c r="D28">
        <v>18.269285202026367</v>
      </c>
      <c r="E28">
        <v>16.487997055053711</v>
      </c>
      <c r="G28">
        <v>27.835988998413086</v>
      </c>
      <c r="H28">
        <f t="shared" si="0"/>
        <v>10.457347869873047</v>
      </c>
      <c r="I28">
        <f t="shared" si="30"/>
        <v>-0.11026382446289063</v>
      </c>
      <c r="J28">
        <f t="shared" si="2"/>
        <v>1.0794256121363024</v>
      </c>
      <c r="N28" t="s">
        <v>81</v>
      </c>
      <c r="O28">
        <v>32</v>
      </c>
      <c r="P28">
        <v>18.269285202026367</v>
      </c>
      <c r="Q28">
        <v>16.487997055053711</v>
      </c>
      <c r="R28">
        <v>19.944881439208984</v>
      </c>
      <c r="S28">
        <v>19.756725311279297</v>
      </c>
      <c r="T28">
        <f t="shared" si="25"/>
        <v>2.4721622467041016</v>
      </c>
      <c r="U28">
        <f t="shared" ref="U28:U32" si="31">T28-$T$56</f>
        <v>6.9002787272135269E-2</v>
      </c>
      <c r="V28">
        <f t="shared" si="26"/>
        <v>0.95329670352685114</v>
      </c>
      <c r="AC28" s="10" t="s">
        <v>47</v>
      </c>
      <c r="AD28">
        <v>50</v>
      </c>
      <c r="AE28">
        <v>20.805057525634766</v>
      </c>
      <c r="AF28">
        <v>21.153970718383789</v>
      </c>
      <c r="AG28">
        <v>27.48222541809082</v>
      </c>
      <c r="AH28">
        <v>27.300201416015625</v>
      </c>
      <c r="AI28">
        <f t="shared" si="9"/>
        <v>6.4116992950439453</v>
      </c>
      <c r="AJ28">
        <f t="shared" ref="AJ28:AJ32" si="32">AI28-$AG$39</f>
        <v>0.87861442565917969</v>
      </c>
      <c r="AK28">
        <f t="shared" si="11"/>
        <v>0.54388953579549859</v>
      </c>
      <c r="AL28">
        <f t="shared" si="12"/>
        <v>-0.8786144256591798</v>
      </c>
    </row>
    <row r="29" spans="1:80" x14ac:dyDescent="0.45">
      <c r="B29" t="s">
        <v>82</v>
      </c>
      <c r="C29">
        <v>33</v>
      </c>
      <c r="D29">
        <v>19.378028869628906</v>
      </c>
      <c r="E29">
        <v>18.377132415771484</v>
      </c>
      <c r="F29">
        <v>28.126972198486328</v>
      </c>
      <c r="G29">
        <v>29.517292022705078</v>
      </c>
      <c r="H29">
        <f t="shared" si="0"/>
        <v>9.9445514678955078</v>
      </c>
      <c r="I29">
        <f t="shared" si="30"/>
        <v>-0.62306022644042969</v>
      </c>
      <c r="J29">
        <f t="shared" si="2"/>
        <v>1.540138641430413</v>
      </c>
      <c r="N29" t="s">
        <v>82</v>
      </c>
      <c r="O29">
        <v>33</v>
      </c>
      <c r="P29">
        <v>19.378028869628906</v>
      </c>
      <c r="Q29">
        <v>18.377132415771484</v>
      </c>
      <c r="R29">
        <v>21.453163146972656</v>
      </c>
      <c r="S29">
        <v>19.945562362670898</v>
      </c>
      <c r="T29">
        <f t="shared" si="25"/>
        <v>1.821782112121582</v>
      </c>
      <c r="U29">
        <f t="shared" si="31"/>
        <v>-0.58137734731038426</v>
      </c>
      <c r="V29">
        <f t="shared" si="26"/>
        <v>1.4962770692620597</v>
      </c>
      <c r="AC29" s="10" t="s">
        <v>48</v>
      </c>
      <c r="AD29">
        <v>51</v>
      </c>
      <c r="AE29">
        <v>21.749000549316406</v>
      </c>
      <c r="AF29">
        <v>21.121328353881836</v>
      </c>
      <c r="AG29">
        <v>26.816686630249023</v>
      </c>
      <c r="AH29">
        <v>26.553165435791016</v>
      </c>
      <c r="AI29">
        <f t="shared" si="9"/>
        <v>5.2497615814208984</v>
      </c>
      <c r="AJ29">
        <f t="shared" si="32"/>
        <v>-0.28332328796386719</v>
      </c>
      <c r="AK29">
        <f t="shared" si="11"/>
        <v>1.2169950398025673</v>
      </c>
      <c r="AL29">
        <f t="shared" si="12"/>
        <v>0.28332328796386713</v>
      </c>
      <c r="AP29" t="s">
        <v>12</v>
      </c>
      <c r="AQ29" t="s">
        <v>7</v>
      </c>
      <c r="AR29" t="s">
        <v>13</v>
      </c>
      <c r="AS29" t="s">
        <v>7</v>
      </c>
    </row>
    <row r="30" spans="1:80" x14ac:dyDescent="0.45">
      <c r="B30" t="s">
        <v>83</v>
      </c>
      <c r="C30">
        <v>34</v>
      </c>
      <c r="D30">
        <v>16.629741668701172</v>
      </c>
      <c r="E30">
        <v>14.342350006103516</v>
      </c>
      <c r="F30">
        <v>26.632623672485352</v>
      </c>
      <c r="H30">
        <f t="shared" si="0"/>
        <v>11.146577835083008</v>
      </c>
      <c r="I30">
        <f t="shared" si="30"/>
        <v>0.57896614074707031</v>
      </c>
      <c r="J30">
        <f t="shared" si="2"/>
        <v>0.66944333976896742</v>
      </c>
      <c r="N30" t="s">
        <v>83</v>
      </c>
      <c r="O30">
        <v>34</v>
      </c>
      <c r="P30">
        <v>16.629741668701172</v>
      </c>
      <c r="Q30">
        <v>14.342350006103516</v>
      </c>
      <c r="R30">
        <v>19.224399566650391</v>
      </c>
      <c r="S30">
        <v>19.603775024414063</v>
      </c>
      <c r="T30">
        <f t="shared" si="25"/>
        <v>3.9280414581298828</v>
      </c>
      <c r="U30">
        <f t="shared" si="31"/>
        <v>1.5248819986979165</v>
      </c>
      <c r="V30">
        <f t="shared" si="26"/>
        <v>0.34750797726445454</v>
      </c>
      <c r="AC30" s="10" t="s">
        <v>49</v>
      </c>
      <c r="AD30">
        <v>52</v>
      </c>
      <c r="AE30">
        <v>21.736330032348633</v>
      </c>
      <c r="AF30">
        <v>21.520866394042969</v>
      </c>
      <c r="AG30">
        <v>27.075428009033203</v>
      </c>
      <c r="AH30">
        <v>27.218669891357422</v>
      </c>
      <c r="AI30">
        <f t="shared" si="9"/>
        <v>5.5184507369995117</v>
      </c>
      <c r="AJ30">
        <f t="shared" si="32"/>
        <v>-1.4634132385253906E-2</v>
      </c>
      <c r="AK30">
        <f t="shared" si="11"/>
        <v>1.0101952283830538</v>
      </c>
      <c r="AL30">
        <f t="shared" si="12"/>
        <v>1.4634132385254021E-2</v>
      </c>
      <c r="AO30" t="s">
        <v>10</v>
      </c>
      <c r="AP30">
        <f>AVERAGE(AW3:AW5)</f>
        <v>12.37796079714427</v>
      </c>
      <c r="AQ30">
        <f>_xlfn.STDEV.S(AW3:AW5)/SQRT(3)</f>
        <v>7.561293683330998</v>
      </c>
      <c r="AR30">
        <f>AVERAGE(AW6:AW8)</f>
        <v>17.595787491737465</v>
      </c>
      <c r="AS30">
        <f>_xlfn.STDEV.S(AW6:AW8)/SQRT(3)</f>
        <v>4.8175638167236743</v>
      </c>
    </row>
    <row r="31" spans="1:80" x14ac:dyDescent="0.45">
      <c r="B31" t="s">
        <v>84</v>
      </c>
      <c r="C31">
        <v>35</v>
      </c>
      <c r="D31">
        <v>19.288745880126953</v>
      </c>
      <c r="E31">
        <v>18.920383453369141</v>
      </c>
      <c r="F31">
        <v>28.197559356689453</v>
      </c>
      <c r="G31">
        <v>28.608381271362305</v>
      </c>
      <c r="H31">
        <f t="shared" si="0"/>
        <v>9.298405647277832</v>
      </c>
      <c r="I31">
        <f t="shared" si="30"/>
        <v>-1.2692060470581055</v>
      </c>
      <c r="J31">
        <f t="shared" si="2"/>
        <v>2.4102888451206606</v>
      </c>
      <c r="N31" t="s">
        <v>84</v>
      </c>
      <c r="O31">
        <v>35</v>
      </c>
      <c r="P31">
        <v>19.288745880126953</v>
      </c>
      <c r="Q31">
        <v>18.920383453369141</v>
      </c>
      <c r="R31">
        <v>20.783790588378906</v>
      </c>
      <c r="S31">
        <v>20.592550277709961</v>
      </c>
      <c r="T31">
        <f t="shared" si="25"/>
        <v>1.5836057662963867</v>
      </c>
      <c r="U31">
        <f t="shared" si="31"/>
        <v>-0.81955369313557958</v>
      </c>
      <c r="V31">
        <f t="shared" si="26"/>
        <v>1.7648599375036234</v>
      </c>
      <c r="AC31" s="10" t="s">
        <v>50</v>
      </c>
      <c r="AD31">
        <v>53</v>
      </c>
      <c r="AE31">
        <v>21.967372894287109</v>
      </c>
      <c r="AF31">
        <v>21.547496795654297</v>
      </c>
      <c r="AG31">
        <v>26.602540969848633</v>
      </c>
      <c r="AH31">
        <v>26.820648193359375</v>
      </c>
      <c r="AI31">
        <f t="shared" si="9"/>
        <v>4.9541597366333008</v>
      </c>
      <c r="AJ31">
        <f t="shared" si="32"/>
        <v>-0.57892513275146484</v>
      </c>
      <c r="AK31">
        <f t="shared" si="11"/>
        <v>1.4937359391349563</v>
      </c>
      <c r="AL31">
        <f t="shared" si="12"/>
        <v>0.57892513275146484</v>
      </c>
      <c r="AO31" t="s">
        <v>11</v>
      </c>
      <c r="AP31">
        <f>AVERAGE(AW9:AW11)</f>
        <v>23.583521947207046</v>
      </c>
      <c r="AQ31">
        <f>_xlfn.STDEV.S(AW9:AW11)/SQRT(3)</f>
        <v>8.2478362514930588</v>
      </c>
      <c r="AR31">
        <f>AVERAGE(AW12:AW14)</f>
        <v>9.8592494368298116</v>
      </c>
      <c r="AS31">
        <f>_xlfn.STDEV.S(AW12:AW14)/SQRT(3)</f>
        <v>3.5721723958490061</v>
      </c>
    </row>
    <row r="32" spans="1:80" s="6" customFormat="1" ht="14.65" thickBot="1" x14ac:dyDescent="0.5">
      <c r="A32"/>
      <c r="B32" s="6" t="s">
        <v>85</v>
      </c>
      <c r="C32" s="6">
        <v>36</v>
      </c>
      <c r="D32" s="6">
        <v>17.951269149780273</v>
      </c>
      <c r="E32" s="6">
        <v>15.451587677001953</v>
      </c>
      <c r="F32" s="6">
        <v>26.734798431396484</v>
      </c>
      <c r="G32" s="6">
        <v>27.995166778564453</v>
      </c>
      <c r="H32" s="6">
        <f t="shared" si="0"/>
        <v>10.663554191589355</v>
      </c>
      <c r="I32">
        <f t="shared" si="30"/>
        <v>9.5942497253417969E-2</v>
      </c>
      <c r="J32">
        <f t="shared" si="2"/>
        <v>0.93566079053122675</v>
      </c>
      <c r="L32"/>
      <c r="M32"/>
      <c r="N32" s="6" t="s">
        <v>85</v>
      </c>
      <c r="O32" s="6">
        <v>36</v>
      </c>
      <c r="P32" s="6">
        <v>17.951269149780273</v>
      </c>
      <c r="Q32" s="6">
        <v>15.451587677001953</v>
      </c>
      <c r="R32">
        <v>20.501607894897461</v>
      </c>
      <c r="S32">
        <v>20.836742401123047</v>
      </c>
      <c r="T32" s="6">
        <f t="shared" si="25"/>
        <v>3.9677467346191406</v>
      </c>
      <c r="U32">
        <f t="shared" si="31"/>
        <v>1.5645872751871743</v>
      </c>
      <c r="V32" s="6">
        <f t="shared" si="26"/>
        <v>0.33807441042704423</v>
      </c>
      <c r="X32"/>
      <c r="Y32"/>
      <c r="Z32"/>
      <c r="AA32"/>
      <c r="AB32"/>
      <c r="AC32" s="11" t="s">
        <v>51</v>
      </c>
      <c r="AD32" s="6">
        <v>54</v>
      </c>
      <c r="AE32" s="6">
        <v>21.499488830566406</v>
      </c>
      <c r="AF32" s="6">
        <v>22.336282730102539</v>
      </c>
      <c r="AG32" s="6">
        <v>26.542110443115234</v>
      </c>
      <c r="AH32" s="6">
        <v>26.60728645324707</v>
      </c>
      <c r="AI32" s="6">
        <f t="shared" si="9"/>
        <v>4.6568126678466797</v>
      </c>
      <c r="AJ32">
        <f t="shared" si="32"/>
        <v>-0.87627220153808594</v>
      </c>
      <c r="AK32">
        <f t="shared" si="11"/>
        <v>1.8356260700383167</v>
      </c>
      <c r="AL32">
        <f t="shared" si="12"/>
        <v>0.87627220153808594</v>
      </c>
      <c r="AM32"/>
      <c r="AN32"/>
      <c r="AO32" t="s">
        <v>61</v>
      </c>
      <c r="AP32">
        <f>AVERAGE(AW15:AW17)</f>
        <v>0.24214007173789232</v>
      </c>
      <c r="AQ32">
        <f>_xlfn.STDEV.S(AW15:AW17)/SQRT(3)</f>
        <v>0.10950421137089351</v>
      </c>
      <c r="AR32">
        <f>AVERAGE(AW18:AW20)</f>
        <v>0.28229543214020714</v>
      </c>
      <c r="AS32">
        <f>_xlfn.STDEV.S(AW18:AW20)/SQRT(3)</f>
        <v>9.0287897376110537E-2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  <row r="33" spans="1:80" x14ac:dyDescent="0.45">
      <c r="B33" s="12" t="s">
        <v>34</v>
      </c>
      <c r="C33" s="13">
        <v>37</v>
      </c>
      <c r="D33">
        <v>20.929424285888672</v>
      </c>
      <c r="E33">
        <v>22.087041854858398</v>
      </c>
      <c r="F33">
        <v>30.311624526977539</v>
      </c>
      <c r="G33">
        <v>30.221290588378906</v>
      </c>
      <c r="H33">
        <f t="shared" si="0"/>
        <v>8.7582244873046875</v>
      </c>
      <c r="I33">
        <f t="shared" ref="I33:I38" si="33">H33-$H$57</f>
        <v>0.67657152811686139</v>
      </c>
      <c r="J33">
        <f t="shared" si="2"/>
        <v>0.62565032690830225</v>
      </c>
      <c r="K33">
        <f t="shared" ref="K33:K44" si="34">LOG(J33,2)</f>
        <v>-0.6765715281168615</v>
      </c>
      <c r="N33" s="12" t="s">
        <v>34</v>
      </c>
      <c r="O33" s="13">
        <v>37</v>
      </c>
      <c r="P33">
        <v>20.929424285888672</v>
      </c>
      <c r="Q33">
        <v>22.087041854858398</v>
      </c>
      <c r="R33">
        <v>27.530616760253906</v>
      </c>
      <c r="S33">
        <v>26.812742233276367</v>
      </c>
      <c r="T33">
        <f>(AVERAGE(R33:S33)-AVERAGE(P33:Q33))</f>
        <v>5.6634464263916016</v>
      </c>
      <c r="U33">
        <f>T33-$T$57</f>
        <v>1.7410144805908203</v>
      </c>
      <c r="V33">
        <f>2^-U33</f>
        <v>0.29915923807727851</v>
      </c>
      <c r="W33">
        <f t="shared" ref="W33:W50" si="35">LOG(V33,2)</f>
        <v>-1.7410144805908203</v>
      </c>
    </row>
    <row r="34" spans="1:80" x14ac:dyDescent="0.45">
      <c r="B34" s="14" t="s">
        <v>35</v>
      </c>
      <c r="C34" s="13">
        <v>38</v>
      </c>
      <c r="D34">
        <v>21.836921691894531</v>
      </c>
      <c r="E34">
        <f>AVERAGE(D33:D34)</f>
        <v>21.383172988891602</v>
      </c>
      <c r="F34">
        <v>28.98643684387207</v>
      </c>
      <c r="G34">
        <v>28.925531387329102</v>
      </c>
      <c r="H34">
        <f t="shared" si="0"/>
        <v>7.3459367752075195</v>
      </c>
      <c r="I34">
        <f t="shared" si="33"/>
        <v>-0.73571618398030658</v>
      </c>
      <c r="J34">
        <f t="shared" si="2"/>
        <v>1.6652239162397156</v>
      </c>
      <c r="K34">
        <f t="shared" si="34"/>
        <v>0.73571618398030647</v>
      </c>
      <c r="N34" s="14" t="s">
        <v>35</v>
      </c>
      <c r="O34" s="13">
        <v>38</v>
      </c>
      <c r="P34">
        <v>21.836921691894531</v>
      </c>
      <c r="R34">
        <v>26.449069976806641</v>
      </c>
      <c r="S34">
        <v>25.900293350219727</v>
      </c>
      <c r="T34">
        <f t="shared" ref="T34:T50" si="36">(AVERAGE(R34:S34)-AVERAGE(P34:Q34))</f>
        <v>4.3377599716186523</v>
      </c>
      <c r="U34">
        <f t="shared" ref="U34:U38" si="37">T34-$T$57</f>
        <v>0.41532802581787109</v>
      </c>
      <c r="V34">
        <f t="shared" ref="V34:V50" si="38">2^-U34</f>
        <v>0.74984898196778527</v>
      </c>
      <c r="W34">
        <f t="shared" si="35"/>
        <v>-0.41532802581787109</v>
      </c>
    </row>
    <row r="35" spans="1:80" x14ac:dyDescent="0.45">
      <c r="B35" s="14" t="s">
        <v>36</v>
      </c>
      <c r="C35" s="13">
        <v>39</v>
      </c>
      <c r="D35">
        <f>AVERAGE(D33:E33)</f>
        <v>21.508233070373535</v>
      </c>
      <c r="F35">
        <f>AVERAGE(F33:F34)</f>
        <v>29.649030685424805</v>
      </c>
      <c r="H35">
        <f t="shared" si="0"/>
        <v>8.1407976150512695</v>
      </c>
      <c r="I35">
        <f t="shared" si="33"/>
        <v>5.9144655863443418E-2</v>
      </c>
      <c r="J35">
        <f t="shared" si="2"/>
        <v>0.95983301586523351</v>
      </c>
      <c r="K35">
        <f t="shared" si="34"/>
        <v>-5.9144655863443578E-2</v>
      </c>
      <c r="N35" s="14" t="s">
        <v>36</v>
      </c>
      <c r="O35" s="13">
        <v>39</v>
      </c>
      <c r="P35">
        <v>31.127038955688477</v>
      </c>
      <c r="Q35">
        <v>30.850795745849609</v>
      </c>
      <c r="R35">
        <v>32.638004302978516</v>
      </c>
      <c r="S35">
        <v>32.87200927734375</v>
      </c>
      <c r="T35">
        <f t="shared" si="36"/>
        <v>1.7660894393920898</v>
      </c>
      <c r="U35">
        <f t="shared" si="37"/>
        <v>-2.1563425064086914</v>
      </c>
      <c r="V35">
        <f>AVERAGE(V33:V34)</f>
        <v>0.52450411002253183</v>
      </c>
      <c r="W35">
        <f t="shared" si="35"/>
        <v>-0.93097401705928529</v>
      </c>
      <c r="AD35" s="8"/>
      <c r="AF35" t="s">
        <v>60</v>
      </c>
      <c r="AG35">
        <f>AVERAGE(AI3:AI5)</f>
        <v>6.7329924901326494</v>
      </c>
    </row>
    <row r="36" spans="1:80" x14ac:dyDescent="0.45">
      <c r="B36" s="14" t="s">
        <v>37</v>
      </c>
      <c r="C36" s="13">
        <v>40</v>
      </c>
      <c r="D36">
        <v>22.484401702880859</v>
      </c>
      <c r="E36">
        <v>22.659547805786133</v>
      </c>
      <c r="F36">
        <v>30.039825439453125</v>
      </c>
      <c r="G36">
        <v>30.180965423583984</v>
      </c>
      <c r="H36">
        <f t="shared" si="0"/>
        <v>7.5384206771850586</v>
      </c>
      <c r="I36">
        <f t="shared" si="33"/>
        <v>-0.54323228200276752</v>
      </c>
      <c r="J36">
        <f t="shared" si="2"/>
        <v>1.4572337178226227</v>
      </c>
      <c r="K36">
        <f t="shared" si="34"/>
        <v>0.54323228200276763</v>
      </c>
      <c r="N36" s="14" t="s">
        <v>37</v>
      </c>
      <c r="O36" s="13">
        <v>40</v>
      </c>
      <c r="P36">
        <v>22.484401702880859</v>
      </c>
      <c r="Q36">
        <v>22.659547805786133</v>
      </c>
      <c r="R36">
        <v>26.208106994628906</v>
      </c>
      <c r="S36">
        <v>26.198566436767578</v>
      </c>
      <c r="T36">
        <f t="shared" si="36"/>
        <v>3.6313619613647461</v>
      </c>
      <c r="U36">
        <f t="shared" si="37"/>
        <v>-0.29106998443603516</v>
      </c>
      <c r="V36">
        <f t="shared" si="38"/>
        <v>1.2235473933823264</v>
      </c>
      <c r="W36">
        <f t="shared" si="35"/>
        <v>0.2910699844360351</v>
      </c>
      <c r="AF36" t="s">
        <v>8</v>
      </c>
      <c r="AG36">
        <f>AVERAGE(AI9:AI11)</f>
        <v>6.1055927276611301</v>
      </c>
    </row>
    <row r="37" spans="1:80" x14ac:dyDescent="0.45">
      <c r="B37" s="14" t="s">
        <v>38</v>
      </c>
      <c r="C37" s="13">
        <v>41</v>
      </c>
      <c r="D37">
        <v>22.053213119506836</v>
      </c>
      <c r="E37">
        <v>22.400588989257813</v>
      </c>
      <c r="F37">
        <v>29.964874267578125</v>
      </c>
      <c r="G37">
        <v>28.933452606201172</v>
      </c>
      <c r="H37">
        <f t="shared" si="0"/>
        <v>7.2222623825073242</v>
      </c>
      <c r="I37">
        <f t="shared" si="33"/>
        <v>-0.85939057668050189</v>
      </c>
      <c r="J37">
        <f t="shared" si="2"/>
        <v>1.8142717639638286</v>
      </c>
      <c r="K37">
        <f t="shared" si="34"/>
        <v>0.85939057668050189</v>
      </c>
      <c r="N37" s="14" t="s">
        <v>38</v>
      </c>
      <c r="O37" s="13">
        <v>41</v>
      </c>
      <c r="P37">
        <v>22.053213119506836</v>
      </c>
      <c r="Q37">
        <v>22.400588989257813</v>
      </c>
      <c r="R37">
        <v>28.0369873046875</v>
      </c>
      <c r="S37">
        <v>27.172014236450195</v>
      </c>
      <c r="T37">
        <f t="shared" si="36"/>
        <v>5.3775997161865234</v>
      </c>
      <c r="U37">
        <f t="shared" si="37"/>
        <v>1.4551677703857422</v>
      </c>
      <c r="V37">
        <f t="shared" si="38"/>
        <v>0.3647126713142263</v>
      </c>
      <c r="W37">
        <f t="shared" si="35"/>
        <v>-1.4551677703857417</v>
      </c>
      <c r="AF37" t="s">
        <v>9</v>
      </c>
      <c r="AG37">
        <f>AVERAGE(AI15:AI17)</f>
        <v>6.0914290746053057</v>
      </c>
    </row>
    <row r="38" spans="1:80" s="6" customFormat="1" ht="14.65" thickBot="1" x14ac:dyDescent="0.5">
      <c r="A38"/>
      <c r="B38" s="15" t="s">
        <v>39</v>
      </c>
      <c r="C38" s="16">
        <v>42</v>
      </c>
      <c r="D38" s="6">
        <v>22.666315078735352</v>
      </c>
      <c r="E38" s="6">
        <v>21.813253402709961</v>
      </c>
      <c r="F38" s="6">
        <f>AVERAGE(G36:G37)</f>
        <v>29.557209014892578</v>
      </c>
      <c r="H38" s="6">
        <f t="shared" si="0"/>
        <v>7.3174247741699219</v>
      </c>
      <c r="I38" s="6">
        <f t="shared" si="33"/>
        <v>-0.76422818501790424</v>
      </c>
      <c r="J38">
        <f t="shared" si="2"/>
        <v>1.6984611101134084</v>
      </c>
      <c r="K38">
        <f t="shared" si="34"/>
        <v>0.76422818501790424</v>
      </c>
      <c r="L38"/>
      <c r="M38"/>
      <c r="N38" s="15" t="s">
        <v>39</v>
      </c>
      <c r="O38" s="13">
        <v>42</v>
      </c>
      <c r="P38">
        <v>22.666315078735352</v>
      </c>
      <c r="Q38">
        <v>21.813253402709961</v>
      </c>
      <c r="R38">
        <v>24.569787979125977</v>
      </c>
      <c r="S38">
        <v>24.79106330871582</v>
      </c>
      <c r="T38">
        <f t="shared" si="36"/>
        <v>2.4406414031982422</v>
      </c>
      <c r="U38">
        <f t="shared" si="37"/>
        <v>-1.4817905426025391</v>
      </c>
      <c r="V38">
        <f>2^-U38</f>
        <v>2.7929515413740726</v>
      </c>
      <c r="W38">
        <f t="shared" si="35"/>
        <v>1.4817905426025391</v>
      </c>
      <c r="X38"/>
      <c r="Y38"/>
      <c r="Z38"/>
      <c r="AA38"/>
      <c r="AB38"/>
      <c r="AC38"/>
      <c r="AD38"/>
      <c r="AE38"/>
      <c r="AF38" t="s">
        <v>10</v>
      </c>
      <c r="AG38">
        <f>AVERAGE(AI21:AI23)</f>
        <v>5.7039543787638349</v>
      </c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</row>
    <row r="39" spans="1:80" x14ac:dyDescent="0.45">
      <c r="B39" s="9" t="s">
        <v>155</v>
      </c>
      <c r="C39" s="18">
        <v>43</v>
      </c>
      <c r="D39">
        <v>21.288450241088867</v>
      </c>
      <c r="E39">
        <v>21.822668075561523</v>
      </c>
      <c r="F39">
        <v>22.864215850830078</v>
      </c>
      <c r="G39">
        <v>22.431516647338867</v>
      </c>
      <c r="H39">
        <f t="shared" si="0"/>
        <v>1.0923070907592773</v>
      </c>
      <c r="I39">
        <f t="shared" ref="I39:I44" si="39">H39-$H$58</f>
        <v>-0.25326283772786451</v>
      </c>
      <c r="J39">
        <f t="shared" si="2"/>
        <v>1.1918997013160408</v>
      </c>
      <c r="K39">
        <f t="shared" si="34"/>
        <v>0.25326283772786451</v>
      </c>
      <c r="N39" s="12" t="s">
        <v>40</v>
      </c>
      <c r="O39" s="13">
        <v>43</v>
      </c>
      <c r="P39">
        <v>21.288450241088867</v>
      </c>
      <c r="Q39">
        <v>21.822668075561523</v>
      </c>
      <c r="R39">
        <v>26.138162612915039</v>
      </c>
      <c r="S39">
        <v>25.741388320922852</v>
      </c>
      <c r="T39">
        <f t="shared" si="36"/>
        <v>4.38421630859375</v>
      </c>
      <c r="U39">
        <f>T39-$T$58</f>
        <v>-0.41183090209960938</v>
      </c>
      <c r="V39">
        <f t="shared" si="38"/>
        <v>1.3303730992663005</v>
      </c>
      <c r="W39">
        <f t="shared" si="35"/>
        <v>0.41183090209960932</v>
      </c>
      <c r="AF39" t="s">
        <v>59</v>
      </c>
      <c r="AG39">
        <f>AVERAGE(AI27:AI29)</f>
        <v>5.5330848693847656</v>
      </c>
    </row>
    <row r="40" spans="1:80" x14ac:dyDescent="0.45">
      <c r="B40" s="10" t="s">
        <v>156</v>
      </c>
      <c r="C40" s="18">
        <v>44</v>
      </c>
      <c r="D40">
        <v>20.931123733520508</v>
      </c>
      <c r="E40">
        <v>20.001276016235352</v>
      </c>
      <c r="F40">
        <v>21.227573394775391</v>
      </c>
      <c r="G40">
        <v>21.417306900024414</v>
      </c>
      <c r="H40">
        <f t="shared" si="0"/>
        <v>0.85624027252197266</v>
      </c>
      <c r="I40">
        <f t="shared" si="39"/>
        <v>-0.4893296559651692</v>
      </c>
      <c r="J40">
        <f t="shared" si="2"/>
        <v>1.4037924561148007</v>
      </c>
      <c r="K40">
        <f t="shared" si="34"/>
        <v>0.48932965596516914</v>
      </c>
      <c r="N40" s="14" t="s">
        <v>41</v>
      </c>
      <c r="O40" s="13">
        <v>44</v>
      </c>
      <c r="P40">
        <v>20.931123733520508</v>
      </c>
      <c r="Q40">
        <v>20.001276016235352</v>
      </c>
      <c r="R40">
        <v>26.622062683105469</v>
      </c>
      <c r="S40">
        <v>24.97956657409668</v>
      </c>
      <c r="T40">
        <f t="shared" si="36"/>
        <v>5.3346147537231445</v>
      </c>
      <c r="U40">
        <f t="shared" ref="U40:U44" si="40">T40-$T$58</f>
        <v>0.53856754302978516</v>
      </c>
      <c r="V40">
        <f t="shared" si="38"/>
        <v>0.68845413835393221</v>
      </c>
      <c r="W40">
        <f t="shared" si="35"/>
        <v>-0.53856754302978516</v>
      </c>
      <c r="AD40" t="s">
        <v>12</v>
      </c>
      <c r="AE40" t="s">
        <v>7</v>
      </c>
      <c r="AF40" t="s">
        <v>13</v>
      </c>
      <c r="AG40" t="s">
        <v>7</v>
      </c>
    </row>
    <row r="41" spans="1:80" x14ac:dyDescent="0.45">
      <c r="B41" s="10" t="s">
        <v>157</v>
      </c>
      <c r="C41" s="18">
        <v>45</v>
      </c>
      <c r="D41">
        <v>21.440744400024414</v>
      </c>
      <c r="E41">
        <v>22.393072128295898</v>
      </c>
      <c r="F41">
        <v>24.081638336181641</v>
      </c>
      <c r="G41">
        <v>23.928503036499023</v>
      </c>
      <c r="H41">
        <f t="shared" si="0"/>
        <v>2.0881624221801758</v>
      </c>
      <c r="I41">
        <f t="shared" si="39"/>
        <v>0.74259249369303393</v>
      </c>
      <c r="J41">
        <f t="shared" si="2"/>
        <v>0.59766439597801269</v>
      </c>
      <c r="K41">
        <f t="shared" si="34"/>
        <v>-0.74259249369303382</v>
      </c>
      <c r="N41" s="14" t="s">
        <v>42</v>
      </c>
      <c r="O41" s="13">
        <v>45</v>
      </c>
      <c r="P41">
        <v>21.440744400024414</v>
      </c>
      <c r="Q41">
        <v>22.393072128295898</v>
      </c>
      <c r="R41">
        <v>27.236717224121094</v>
      </c>
      <c r="S41">
        <v>25.935720443725586</v>
      </c>
      <c r="T41">
        <f t="shared" si="36"/>
        <v>4.6693105697631836</v>
      </c>
      <c r="U41">
        <f t="shared" si="40"/>
        <v>-0.12673664093017578</v>
      </c>
      <c r="V41">
        <f t="shared" si="38"/>
        <v>1.091821219305209</v>
      </c>
      <c r="W41">
        <f t="shared" si="35"/>
        <v>0.12673664093017567</v>
      </c>
      <c r="AC41" t="s">
        <v>60</v>
      </c>
      <c r="AD41">
        <f>AVERAGE(AK3:AK5)</f>
        <v>1.1069061681131511</v>
      </c>
      <c r="AE41">
        <f>_xlfn.STDEV.S(AK3:AK5)/SQRT(3)</f>
        <v>0.36957366388422586</v>
      </c>
      <c r="AF41">
        <f>AVERAGE(AK6:AK8)</f>
        <v>1.0652443955949276</v>
      </c>
      <c r="AG41">
        <f>_xlfn.STDEV.S(AK6:AK8)/SQRT(3)</f>
        <v>0.41683966135409733</v>
      </c>
      <c r="AH41" s="8"/>
      <c r="AI41" s="8"/>
      <c r="AK41" s="8"/>
    </row>
    <row r="42" spans="1:80" x14ac:dyDescent="0.45">
      <c r="B42" s="10" t="s">
        <v>158</v>
      </c>
      <c r="C42" s="18">
        <v>46</v>
      </c>
      <c r="D42">
        <v>21.826499938964844</v>
      </c>
      <c r="E42">
        <v>21.449644088745117</v>
      </c>
      <c r="F42">
        <v>23.411544799804688</v>
      </c>
      <c r="G42">
        <v>22.810640335083008</v>
      </c>
      <c r="H42">
        <f t="shared" si="0"/>
        <v>1.4730205535888672</v>
      </c>
      <c r="I42">
        <f t="shared" si="39"/>
        <v>0.12745062510172533</v>
      </c>
      <c r="J42">
        <f t="shared" si="2"/>
        <v>0.91544770210772597</v>
      </c>
      <c r="K42">
        <f t="shared" si="34"/>
        <v>-0.12745062510172531</v>
      </c>
      <c r="N42" s="14" t="s">
        <v>43</v>
      </c>
      <c r="O42" s="13">
        <v>46</v>
      </c>
      <c r="P42">
        <v>21.826499938964844</v>
      </c>
      <c r="Q42">
        <v>21.449644088745117</v>
      </c>
      <c r="R42">
        <v>27.772562026977539</v>
      </c>
      <c r="S42">
        <v>27.07887077331543</v>
      </c>
      <c r="T42">
        <f t="shared" si="36"/>
        <v>5.7876443862915039</v>
      </c>
      <c r="U42">
        <f t="shared" si="40"/>
        <v>0.99159717559814453</v>
      </c>
      <c r="V42">
        <f t="shared" si="38"/>
        <v>0.50292069440228937</v>
      </c>
      <c r="W42">
        <f t="shared" si="35"/>
        <v>-0.99159717559814442</v>
      </c>
      <c r="AC42" t="s">
        <v>8</v>
      </c>
      <c r="AD42">
        <f>AVERAGE(AK9:AK11)</f>
        <v>1.0185626603605853</v>
      </c>
      <c r="AE42">
        <f>_xlfn.STDEV.S(AK9:AK11)/SQRT(3)</f>
        <v>0.13535654479295445</v>
      </c>
      <c r="AF42">
        <f>AVERAGE(AK12:AK14)</f>
        <v>0.64584212075289549</v>
      </c>
      <c r="AG42">
        <f>_xlfn.STDEV.S(AK12:AK14)/SQRT(3)</f>
        <v>5.2491367596222784E-2</v>
      </c>
    </row>
    <row r="43" spans="1:80" x14ac:dyDescent="0.45">
      <c r="B43" s="10" t="s">
        <v>159</v>
      </c>
      <c r="C43" s="18">
        <v>47</v>
      </c>
      <c r="D43">
        <v>20.932346343994141</v>
      </c>
      <c r="E43">
        <v>21.078363418579102</v>
      </c>
      <c r="F43">
        <v>23.516290664672852</v>
      </c>
      <c r="G43">
        <v>23.918485641479492</v>
      </c>
      <c r="H43">
        <f t="shared" si="0"/>
        <v>2.7120332717895508</v>
      </c>
      <c r="I43">
        <f t="shared" si="39"/>
        <v>1.3664633433024089</v>
      </c>
      <c r="J43">
        <f t="shared" si="2"/>
        <v>0.38784084618738862</v>
      </c>
      <c r="K43">
        <f t="shared" si="34"/>
        <v>-1.3664633433024089</v>
      </c>
      <c r="N43" s="14" t="s">
        <v>44</v>
      </c>
      <c r="O43" s="13">
        <v>47</v>
      </c>
      <c r="P43">
        <v>20.932346343994141</v>
      </c>
      <c r="Q43">
        <v>21.078363418579102</v>
      </c>
      <c r="R43">
        <v>27.037506103515625</v>
      </c>
      <c r="S43">
        <v>26.586055755615234</v>
      </c>
      <c r="T43">
        <f t="shared" si="36"/>
        <v>5.8064260482788086</v>
      </c>
      <c r="U43">
        <f t="shared" si="40"/>
        <v>1.0103788375854492</v>
      </c>
      <c r="V43">
        <f t="shared" si="38"/>
        <v>0.49641587665574399</v>
      </c>
      <c r="W43">
        <f t="shared" si="35"/>
        <v>-1.010378837585449</v>
      </c>
      <c r="AC43" t="s">
        <v>9</v>
      </c>
      <c r="AD43">
        <f>AVERAGE(AK15:AK17)</f>
        <v>1.0561657317658779</v>
      </c>
      <c r="AE43">
        <f>_xlfn.STDEV.S(AK15:AK17)/SQRT(3)</f>
        <v>0.22949679330638564</v>
      </c>
      <c r="AF43">
        <f>AVERAGE(AK18:AK20)</f>
        <v>1.1916973879597401</v>
      </c>
      <c r="AG43">
        <f>_xlfn.STDEV.S(AK18:AK20)/SQRT(3)</f>
        <v>0.65331827583756019</v>
      </c>
    </row>
    <row r="44" spans="1:80" ht="14.65" thickBot="1" x14ac:dyDescent="0.5">
      <c r="B44" s="11" t="s">
        <v>160</v>
      </c>
      <c r="C44" s="18">
        <v>48</v>
      </c>
      <c r="D44">
        <v>20.47349739074707</v>
      </c>
      <c r="E44">
        <v>20.242290496826172</v>
      </c>
      <c r="F44">
        <v>21.872303009033203</v>
      </c>
      <c r="G44">
        <v>22.431289672851563</v>
      </c>
      <c r="H44">
        <f t="shared" si="0"/>
        <v>1.7939023971557617</v>
      </c>
      <c r="I44">
        <f t="shared" si="39"/>
        <v>0.44833246866861987</v>
      </c>
      <c r="J44">
        <f t="shared" si="2"/>
        <v>0.7328894649601071</v>
      </c>
      <c r="K44">
        <f t="shared" si="34"/>
        <v>-0.44833246866862009</v>
      </c>
      <c r="N44" s="15" t="s">
        <v>45</v>
      </c>
      <c r="O44" s="13">
        <v>48</v>
      </c>
      <c r="P44">
        <v>20.47349739074707</v>
      </c>
      <c r="Q44">
        <v>20.242290496826172</v>
      </c>
      <c r="R44">
        <v>25.613557815551758</v>
      </c>
      <c r="S44">
        <v>25.707857131958008</v>
      </c>
      <c r="T44">
        <f t="shared" si="36"/>
        <v>5.3028135299682617</v>
      </c>
      <c r="U44">
        <f t="shared" si="40"/>
        <v>0.50676631927490234</v>
      </c>
      <c r="V44">
        <f t="shared" si="38"/>
        <v>0.70379817623593055</v>
      </c>
      <c r="W44">
        <f t="shared" si="35"/>
        <v>-0.50676631927490234</v>
      </c>
      <c r="AC44" t="s">
        <v>10</v>
      </c>
      <c r="AD44">
        <f>AVERAGE(AK21:AK23)</f>
        <v>0.5588612969580169</v>
      </c>
      <c r="AE44">
        <f>_xlfn.STDEV.S(AK21:AK23)/SQRT(3)</f>
        <v>0.12121792631446386</v>
      </c>
      <c r="AF44">
        <f>AVERAGE(AK24:AK26)</f>
        <v>0.90727225825526936</v>
      </c>
      <c r="AG44">
        <f>_xlfn.STDEV.S(AK24:AK26)/SQRT(3)</f>
        <v>0.12679137344525712</v>
      </c>
    </row>
    <row r="45" spans="1:80" x14ac:dyDescent="0.45">
      <c r="B45" s="9" t="s">
        <v>161</v>
      </c>
      <c r="C45" s="18">
        <v>49</v>
      </c>
      <c r="D45">
        <v>22.816856384277344</v>
      </c>
      <c r="E45">
        <v>22.344205856323242</v>
      </c>
      <c r="F45">
        <v>23.890520095825195</v>
      </c>
      <c r="G45">
        <v>23.609437942504883</v>
      </c>
      <c r="H45">
        <f t="shared" si="0"/>
        <v>1.1694478988647461</v>
      </c>
      <c r="I45">
        <f>H45-$H$59</f>
        <v>-0.57204373677571607</v>
      </c>
      <c r="J45">
        <f t="shared" si="2"/>
        <v>1.4866280523977644</v>
      </c>
      <c r="N45" s="9" t="s">
        <v>46</v>
      </c>
      <c r="O45">
        <v>49</v>
      </c>
      <c r="P45">
        <v>22.816856384277344</v>
      </c>
      <c r="Q45">
        <v>22.344205856323242</v>
      </c>
      <c r="R45">
        <v>25.998386383056641</v>
      </c>
      <c r="S45">
        <v>26.751369476318359</v>
      </c>
      <c r="T45">
        <f t="shared" si="36"/>
        <v>3.794346809387207</v>
      </c>
      <c r="U45">
        <f>T45-$T$59</f>
        <v>-1.1385609308878584</v>
      </c>
      <c r="V45">
        <f t="shared" si="38"/>
        <v>2.2016130563715528</v>
      </c>
      <c r="W45">
        <f t="shared" si="35"/>
        <v>1.1385609308878584</v>
      </c>
      <c r="AC45" t="s">
        <v>59</v>
      </c>
      <c r="AD45">
        <f>AVERAGE(AK27:AK29)</f>
        <v>1.0905540024030342</v>
      </c>
      <c r="AE45">
        <f>_xlfn.STDEV.S(AK27:AK29)/SQRT(3)</f>
        <v>0.28618674132033228</v>
      </c>
      <c r="AF45">
        <f>AVERAGE(AK30:AK32)</f>
        <v>1.4465190791854423</v>
      </c>
      <c r="AG45">
        <f>_xlfn.STDEV.S(AK30:AK32)/SQRT(3)</f>
        <v>0.2394480406313291</v>
      </c>
    </row>
    <row r="46" spans="1:80" x14ac:dyDescent="0.45">
      <c r="B46" s="10" t="s">
        <v>162</v>
      </c>
      <c r="C46" s="18">
        <v>50</v>
      </c>
      <c r="D46">
        <v>20.805057525634766</v>
      </c>
      <c r="E46">
        <v>21.153970718383789</v>
      </c>
      <c r="F46">
        <v>23.312969207763672</v>
      </c>
      <c r="G46">
        <v>23.69770622253418</v>
      </c>
      <c r="H46">
        <f t="shared" si="0"/>
        <v>2.5258235931396484</v>
      </c>
      <c r="I46">
        <f t="shared" ref="I46:I50" si="41">H46-$H$59</f>
        <v>0.78433195749918627</v>
      </c>
      <c r="J46">
        <f t="shared" si="2"/>
        <v>0.58062075242455613</v>
      </c>
      <c r="N46" s="10" t="s">
        <v>47</v>
      </c>
      <c r="O46">
        <v>50</v>
      </c>
      <c r="P46">
        <v>20.805057525634766</v>
      </c>
      <c r="Q46">
        <v>21.153970718383789</v>
      </c>
      <c r="R46">
        <v>26.885889053344727</v>
      </c>
      <c r="S46">
        <v>25.975866317749023</v>
      </c>
      <c r="T46">
        <f t="shared" si="36"/>
        <v>5.4513635635375977</v>
      </c>
      <c r="U46">
        <f t="shared" ref="U46:U50" si="42">T46-$T$59</f>
        <v>0.51845582326253226</v>
      </c>
      <c r="V46">
        <f t="shared" si="38"/>
        <v>0.69811865897294001</v>
      </c>
      <c r="W46">
        <f t="shared" si="35"/>
        <v>-0.51845582326253248</v>
      </c>
    </row>
    <row r="47" spans="1:80" x14ac:dyDescent="0.45">
      <c r="B47" s="10" t="s">
        <v>163</v>
      </c>
      <c r="C47" s="18">
        <v>51</v>
      </c>
      <c r="D47">
        <v>21.749000549316406</v>
      </c>
      <c r="E47">
        <v>21.121328353881836</v>
      </c>
      <c r="F47">
        <v>22.911785125732422</v>
      </c>
      <c r="G47">
        <v>23.016950607299805</v>
      </c>
      <c r="H47">
        <f t="shared" si="0"/>
        <v>1.5292034149169922</v>
      </c>
      <c r="I47">
        <f t="shared" si="41"/>
        <v>-0.21228822072346998</v>
      </c>
      <c r="J47">
        <f t="shared" si="2"/>
        <v>1.1585242323317841</v>
      </c>
      <c r="N47" s="10" t="s">
        <v>48</v>
      </c>
      <c r="O47">
        <v>51</v>
      </c>
      <c r="P47">
        <v>21.749000549316406</v>
      </c>
      <c r="Q47">
        <v>21.121328353881836</v>
      </c>
      <c r="R47">
        <v>27.027044296264648</v>
      </c>
      <c r="S47">
        <v>26.949310302734375</v>
      </c>
      <c r="T47">
        <f t="shared" si="36"/>
        <v>5.5530128479003906</v>
      </c>
      <c r="U47">
        <f t="shared" si="42"/>
        <v>0.62010510762532522</v>
      </c>
      <c r="V47">
        <f t="shared" si="38"/>
        <v>0.65062352478208696</v>
      </c>
      <c r="W47">
        <f t="shared" si="35"/>
        <v>-0.62010510762532522</v>
      </c>
    </row>
    <row r="48" spans="1:80" x14ac:dyDescent="0.45">
      <c r="B48" s="10" t="s">
        <v>164</v>
      </c>
      <c r="C48" s="18">
        <v>52</v>
      </c>
      <c r="D48">
        <v>21.736330032348633</v>
      </c>
      <c r="E48">
        <v>21.520866394042969</v>
      </c>
      <c r="F48">
        <v>24.348720550537109</v>
      </c>
      <c r="G48">
        <v>24.603399276733398</v>
      </c>
      <c r="H48">
        <f t="shared" si="0"/>
        <v>2.8474617004394531</v>
      </c>
      <c r="I48">
        <f t="shared" si="41"/>
        <v>1.105970064798991</v>
      </c>
      <c r="J48">
        <f t="shared" si="2"/>
        <v>0.46458997703525629</v>
      </c>
      <c r="N48" s="10" t="s">
        <v>49</v>
      </c>
      <c r="O48">
        <v>52</v>
      </c>
      <c r="P48">
        <v>21.736330032348633</v>
      </c>
      <c r="Q48">
        <v>21.520866394042969</v>
      </c>
      <c r="R48">
        <v>26.449821472167969</v>
      </c>
      <c r="S48">
        <v>26.935834884643555</v>
      </c>
      <c r="T48">
        <f t="shared" si="36"/>
        <v>5.0642299652099609</v>
      </c>
      <c r="U48">
        <f t="shared" si="42"/>
        <v>0.13132222493489554</v>
      </c>
      <c r="V48">
        <f t="shared" si="38"/>
        <v>0.91299431059311809</v>
      </c>
      <c r="W48">
        <f t="shared" si="35"/>
        <v>-0.13132222493489545</v>
      </c>
    </row>
    <row r="49" spans="2:23" x14ac:dyDescent="0.45">
      <c r="B49" s="10" t="s">
        <v>165</v>
      </c>
      <c r="C49" s="18">
        <v>53</v>
      </c>
      <c r="D49">
        <v>21.967372894287109</v>
      </c>
      <c r="E49">
        <v>21.547496795654297</v>
      </c>
      <c r="F49">
        <v>23.168128967285156</v>
      </c>
      <c r="G49">
        <v>23.550487518310547</v>
      </c>
      <c r="H49">
        <f t="shared" si="0"/>
        <v>1.6018733978271484</v>
      </c>
      <c r="I49">
        <f t="shared" si="41"/>
        <v>-0.13961823781331373</v>
      </c>
      <c r="J49">
        <f t="shared" si="2"/>
        <v>1.1016135712037474</v>
      </c>
      <c r="N49" s="10" t="s">
        <v>50</v>
      </c>
      <c r="O49">
        <v>53</v>
      </c>
      <c r="P49">
        <v>21.967372894287109</v>
      </c>
      <c r="Q49">
        <v>21.547496795654297</v>
      </c>
      <c r="R49">
        <v>26.666339874267578</v>
      </c>
      <c r="S49">
        <v>26.411584854125977</v>
      </c>
      <c r="T49">
        <f t="shared" si="36"/>
        <v>4.7815275192260742</v>
      </c>
      <c r="U49">
        <f t="shared" si="42"/>
        <v>-0.15138022104899118</v>
      </c>
      <c r="V49">
        <f t="shared" si="38"/>
        <v>1.1106315010467722</v>
      </c>
      <c r="W49">
        <f t="shared" si="35"/>
        <v>0.15138022104899132</v>
      </c>
    </row>
    <row r="50" spans="2:23" ht="14.65" thickBot="1" x14ac:dyDescent="0.5">
      <c r="B50" s="11" t="s">
        <v>166</v>
      </c>
      <c r="C50" s="18">
        <v>54</v>
      </c>
      <c r="D50">
        <v>21.499488830566406</v>
      </c>
      <c r="E50">
        <v>22.336282730102539</v>
      </c>
      <c r="F50">
        <v>21.800167083740234</v>
      </c>
      <c r="G50">
        <v>21.980472564697266</v>
      </c>
      <c r="H50">
        <f t="shared" si="0"/>
        <v>-2.7565956115722656E-2</v>
      </c>
      <c r="I50">
        <f t="shared" si="41"/>
        <v>-1.7690575917561848</v>
      </c>
      <c r="J50">
        <f t="shared" si="2"/>
        <v>3.4083124359282566</v>
      </c>
      <c r="N50" s="11" t="s">
        <v>51</v>
      </c>
      <c r="O50">
        <v>54</v>
      </c>
      <c r="P50">
        <v>21.499488830566406</v>
      </c>
      <c r="Q50">
        <v>22.336282730102539</v>
      </c>
      <c r="R50">
        <v>25.973711013793945</v>
      </c>
      <c r="S50">
        <v>25.410907745361328</v>
      </c>
      <c r="T50">
        <f t="shared" si="36"/>
        <v>3.7744235992431641</v>
      </c>
      <c r="U50">
        <f t="shared" si="42"/>
        <v>-1.1584841410319013</v>
      </c>
      <c r="V50">
        <f t="shared" si="38"/>
        <v>2.2322276121280615</v>
      </c>
      <c r="W50">
        <f t="shared" si="35"/>
        <v>1.1584841410319013</v>
      </c>
    </row>
    <row r="52" spans="2:23" x14ac:dyDescent="0.45">
      <c r="G52" t="s">
        <v>86</v>
      </c>
      <c r="H52">
        <f>AVERAGE(H3:H5)</f>
        <v>9.9702587127685547</v>
      </c>
      <c r="S52" t="s">
        <v>86</v>
      </c>
      <c r="T52">
        <f>AVERAGE(T3:T5)</f>
        <v>3.4287579854329429</v>
      </c>
    </row>
    <row r="53" spans="2:23" x14ac:dyDescent="0.45">
      <c r="G53" t="s">
        <v>8</v>
      </c>
      <c r="H53">
        <f>AVERAGE(H9:H11)</f>
        <v>5.0315961837768528</v>
      </c>
      <c r="S53" t="s">
        <v>8</v>
      </c>
      <c r="T53">
        <f>AVERAGE(T9:T11)</f>
        <v>-1.315231005350751</v>
      </c>
    </row>
    <row r="54" spans="2:23" x14ac:dyDescent="0.45">
      <c r="G54" t="s">
        <v>87</v>
      </c>
      <c r="H54">
        <f>AVERAGE(H15:H17)</f>
        <v>8.1992422739664708</v>
      </c>
      <c r="S54" t="s">
        <v>87</v>
      </c>
      <c r="T54">
        <f>AVERAGE(T15:T17)</f>
        <v>2.771052360534668</v>
      </c>
    </row>
    <row r="55" spans="2:23" x14ac:dyDescent="0.45">
      <c r="G55" t="s">
        <v>9</v>
      </c>
      <c r="H55">
        <f>AVERAGE(H21:H23)</f>
        <v>7.5965048472086592</v>
      </c>
      <c r="S55" t="s">
        <v>9</v>
      </c>
      <c r="T55">
        <f>AVERAGE(T21:T23)</f>
        <v>5.3193324406941729</v>
      </c>
    </row>
    <row r="56" spans="2:23" x14ac:dyDescent="0.45">
      <c r="G56" t="s">
        <v>88</v>
      </c>
      <c r="H56">
        <f>AVERAGE(H27:H29)</f>
        <v>10.567611694335938</v>
      </c>
      <c r="S56" t="s">
        <v>88</v>
      </c>
      <c r="T56">
        <f>AVERAGE(T27:T29)</f>
        <v>2.4031594594319663</v>
      </c>
    </row>
    <row r="57" spans="2:23" x14ac:dyDescent="0.45">
      <c r="G57" t="s">
        <v>10</v>
      </c>
      <c r="H57">
        <f>AVERAGE(H33:H35)</f>
        <v>8.0816529591878261</v>
      </c>
      <c r="S57" t="s">
        <v>10</v>
      </c>
      <c r="T57">
        <f>AVERAGE(T33:T35)</f>
        <v>3.9224319458007813</v>
      </c>
    </row>
    <row r="58" spans="2:23" x14ac:dyDescent="0.45">
      <c r="G58" t="s">
        <v>11</v>
      </c>
      <c r="H58">
        <f>AVERAGE(H39:H41)</f>
        <v>1.3455699284871419</v>
      </c>
      <c r="O58" s="8"/>
      <c r="S58" t="s">
        <v>11</v>
      </c>
      <c r="T58">
        <f>AVERAGE(T39:T41)</f>
        <v>4.7960472106933594</v>
      </c>
      <c r="W58" s="8"/>
    </row>
    <row r="59" spans="2:23" x14ac:dyDescent="0.45">
      <c r="G59" t="s">
        <v>61</v>
      </c>
      <c r="H59">
        <f>AVERAGE(H45:H47)</f>
        <v>1.7414916356404622</v>
      </c>
      <c r="S59" t="s">
        <v>61</v>
      </c>
      <c r="T59">
        <f>AVERAGE(T45:T47)</f>
        <v>4.9329077402750654</v>
      </c>
    </row>
    <row r="61" spans="2:23" x14ac:dyDescent="0.45">
      <c r="C61" t="s">
        <v>12</v>
      </c>
      <c r="D61" t="s">
        <v>7</v>
      </c>
      <c r="E61" t="s">
        <v>13</v>
      </c>
      <c r="F61" t="s">
        <v>7</v>
      </c>
      <c r="O61" t="s">
        <v>12</v>
      </c>
      <c r="P61" t="s">
        <v>7</v>
      </c>
      <c r="Q61" t="s">
        <v>13</v>
      </c>
      <c r="R61" t="s">
        <v>7</v>
      </c>
    </row>
    <row r="62" spans="2:23" x14ac:dyDescent="0.45">
      <c r="B62" t="s">
        <v>86</v>
      </c>
      <c r="C62">
        <f>AVERAGE(J3:J5)</f>
        <v>1.0134078301194931</v>
      </c>
      <c r="D62">
        <f>_xlfn.STDEV.S(J3:J5)/SQRT(3)</f>
        <v>0.1186187107835157</v>
      </c>
      <c r="E62">
        <f>AVERAGE(J6:J8)</f>
        <v>2.0404566473191275</v>
      </c>
      <c r="F62">
        <f>_xlfn.STDEV.S(J6:J8)/SQRT(3)</f>
        <v>1.1951304494545858</v>
      </c>
      <c r="N62" t="s">
        <v>86</v>
      </c>
      <c r="O62">
        <f>AVERAGE(V3:V5)</f>
        <v>1.0883413882050366</v>
      </c>
      <c r="P62">
        <f>_xlfn.STDEV.S(V3:V5)/SQRT(3)</f>
        <v>0.31475355385244108</v>
      </c>
      <c r="Q62">
        <f>AVERAGE(V6:V8)</f>
        <v>2.1556885313922627</v>
      </c>
      <c r="R62">
        <f>_xlfn.STDEV.S(V6:V8)/SQRT(3)</f>
        <v>0.69402335345115818</v>
      </c>
    </row>
    <row r="63" spans="2:23" x14ac:dyDescent="0.45">
      <c r="B63" t="s">
        <v>8</v>
      </c>
      <c r="C63">
        <f>AVERAGE(J9:J11)</f>
        <v>1.0301827262051952</v>
      </c>
      <c r="D63">
        <f>_xlfn.STDEV.S(J9:J11)/SQRT(3)</f>
        <v>0.174604799659793</v>
      </c>
      <c r="E63">
        <f>AVERAGE(J12:J14)</f>
        <v>0.26223011201150204</v>
      </c>
      <c r="F63">
        <f>_xlfn.STDEV.S(J12:J14)/SQRT(3)</f>
        <v>5.403770823172914E-2</v>
      </c>
      <c r="N63" t="s">
        <v>8</v>
      </c>
      <c r="O63">
        <f>AVERAGE(V9:V11)</f>
        <v>1.2358354891367915</v>
      </c>
      <c r="P63">
        <f>_xlfn.STDEV.S(V9:V11)/SQRT(3)</f>
        <v>0.59258315868738209</v>
      </c>
      <c r="Q63">
        <f>AVERAGE(V12:V14)</f>
        <v>0.4809866553511859</v>
      </c>
      <c r="R63">
        <f>_xlfn.STDEV.S(V12:V14)/SQRT(3)</f>
        <v>6.8516881503726063E-2</v>
      </c>
    </row>
    <row r="64" spans="2:23" x14ac:dyDescent="0.45">
      <c r="B64" t="s">
        <v>87</v>
      </c>
      <c r="C64">
        <f>AVERAGE(J15:J17)</f>
        <v>1.1246896723175543</v>
      </c>
      <c r="D64">
        <f>_xlfn.STDEV.S(J15:J17)/SQRT(3)</f>
        <v>0.32599326784893029</v>
      </c>
      <c r="E64">
        <f>AVERAGE(J18:J20)</f>
        <v>1.1402177968992646</v>
      </c>
      <c r="F64">
        <f>_xlfn.STDEV.S(J18:J20)/SQRT(3)</f>
        <v>0.45882469810117238</v>
      </c>
      <c r="N64" t="s">
        <v>87</v>
      </c>
      <c r="O64">
        <f>AVERAGE(V15:V17)</f>
        <v>1.0504997259857465</v>
      </c>
      <c r="P64">
        <f>_xlfn.STDEV.S(V15:V17)/SQRT(3)</f>
        <v>0.21122776045041755</v>
      </c>
      <c r="Q64">
        <f>AVERAGE(V18:V20)</f>
        <v>1.5261467046943986</v>
      </c>
      <c r="R64">
        <f>_xlfn.STDEV.S(V18:V20)/SQRT(3)</f>
        <v>0.71660998539716225</v>
      </c>
      <c r="S64" s="8"/>
      <c r="T64" s="8"/>
      <c r="V64" s="8"/>
    </row>
    <row r="65" spans="2:50" x14ac:dyDescent="0.45">
      <c r="B65" t="s">
        <v>9</v>
      </c>
      <c r="C65">
        <f>AVERAGE(J21:J23)</f>
        <v>1.0320329624271209</v>
      </c>
      <c r="D65">
        <f>_xlfn.STDEV.S(J21:J23)/SQRT(3)</f>
        <v>0.1721164928314135</v>
      </c>
      <c r="E65">
        <f>AVERAGE(J24:J26)</f>
        <v>1.3113925150357066</v>
      </c>
      <c r="F65">
        <f>_xlfn.STDEV.S(J24:J26)/SQRT(3)</f>
        <v>0.32768127172650197</v>
      </c>
      <c r="N65" t="s">
        <v>9</v>
      </c>
      <c r="O65">
        <f>AVERAGE(V21:V23)</f>
        <v>1.013985487437294</v>
      </c>
      <c r="P65">
        <f>_xlfn.STDEV.S(V21:V23)/SQRT(3)</f>
        <v>0.12047882944744778</v>
      </c>
      <c r="Q65">
        <f>AVERAGE(V24:V26)</f>
        <v>0.63504803753548311</v>
      </c>
      <c r="R65">
        <f>_xlfn.STDEV.S(V24:V26)/SQRT(3)</f>
        <v>0.31699384251984403</v>
      </c>
    </row>
    <row r="66" spans="2:50" x14ac:dyDescent="0.45">
      <c r="B66" t="s">
        <v>88</v>
      </c>
      <c r="C66">
        <f>AVERAGE(J27:J29)</f>
        <v>1.0736935472686724</v>
      </c>
      <c r="D66">
        <f>_xlfn.STDEV.S(J27:J29)/SQRT(3)</f>
        <v>0.27097206250345229</v>
      </c>
      <c r="E66">
        <f>AVERAGE(J27:J29)</f>
        <v>1.0736935472686724</v>
      </c>
      <c r="F66">
        <f>_xlfn.STDEV.S(J30:J32)/SQRT(3)</f>
        <v>0.54139442922757675</v>
      </c>
      <c r="N66" t="s">
        <v>88</v>
      </c>
      <c r="O66">
        <f>AVERAGE(V27:V29)</f>
        <v>1.0502137865478776</v>
      </c>
      <c r="P66">
        <f>_xlfn.STDEV.S(V27:V29)/SQRT(3)</f>
        <v>0.23461615528604365</v>
      </c>
      <c r="Q66">
        <f>AVERAGE(V27:V29)</f>
        <v>1.0502137865478776</v>
      </c>
      <c r="R66">
        <f>_xlfn.STDEV.S(V30:V32)/SQRT(3)</f>
        <v>0.47403073691084407</v>
      </c>
    </row>
    <row r="67" spans="2:50" x14ac:dyDescent="0.45">
      <c r="B67" t="s">
        <v>10</v>
      </c>
      <c r="C67">
        <f>AVERAGE(J33:J35)</f>
        <v>1.0835690863377503</v>
      </c>
      <c r="D67">
        <f>_xlfn.STDEV.S(J33:J35)/SQRT(3)</f>
        <v>0.3064100048740982</v>
      </c>
      <c r="E67">
        <f>AVERAGE(J36:J38)</f>
        <v>1.6566555306332864</v>
      </c>
      <c r="F67">
        <f>_xlfn.STDEV.S(J36:J38)/SQRT(3)</f>
        <v>0.10516625164445431</v>
      </c>
      <c r="N67" t="s">
        <v>10</v>
      </c>
      <c r="O67">
        <f>AVERAGE(V33:V35)</f>
        <v>0.52450411002253183</v>
      </c>
      <c r="P67">
        <f>_xlfn.STDEV.S(V33:V35)/SQRT(3)</f>
        <v>0.1301029224780938</v>
      </c>
      <c r="Q67">
        <f>AVERAGE(V36:V38)</f>
        <v>1.4604038686902083</v>
      </c>
      <c r="R67">
        <f>_xlfn.STDEV.S(V36:V38)/SQRT(3)</f>
        <v>0.71090593492595433</v>
      </c>
    </row>
    <row r="68" spans="2:50" x14ac:dyDescent="0.45">
      <c r="B68" t="s">
        <v>11</v>
      </c>
      <c r="C68">
        <f>AVERAGE(J39:J41)</f>
        <v>1.064452184469618</v>
      </c>
      <c r="D68">
        <f>_xlfn.STDEV.S(J39:J41)/SQRT(3)</f>
        <v>0.24127630391849861</v>
      </c>
      <c r="E68">
        <f>AVERAGE(J42:J44)</f>
        <v>0.67872600441840725</v>
      </c>
      <c r="F68">
        <f>_xlfn.STDEV.S(J42:J44)/SQRT(3)</f>
        <v>0.15469594796128847</v>
      </c>
      <c r="N68" t="s">
        <v>11</v>
      </c>
      <c r="O68">
        <f>AVERAGE(V39:V41)</f>
        <v>1.0368828189751473</v>
      </c>
      <c r="P68">
        <f>_xlfn.STDEV.S(V39:V41)/SQRT(3)</f>
        <v>0.18733095398947749</v>
      </c>
      <c r="Q68">
        <f>AVERAGE(V42:V44)</f>
        <v>0.56771158243132136</v>
      </c>
      <c r="R68">
        <f>_xlfn.STDEV.S(V42:V44)/SQRT(3)</f>
        <v>6.8069202344585578E-2</v>
      </c>
    </row>
    <row r="69" spans="2:50" x14ac:dyDescent="0.45">
      <c r="B69" t="s">
        <v>61</v>
      </c>
      <c r="C69">
        <f>AVERAGE(J45:J47)</f>
        <v>1.0752576790513684</v>
      </c>
      <c r="D69">
        <f>_xlfn.STDEV.S(J45:J47)/SQRT(3)</f>
        <v>0.26483472586538798</v>
      </c>
      <c r="E69">
        <f>AVERAGE(J45:J47)</f>
        <v>1.0752576790513684</v>
      </c>
      <c r="F69">
        <f>_xlfn.STDEV.S(J45:J47)/SQRT(3)</f>
        <v>0.26483472586538798</v>
      </c>
      <c r="N69" t="s">
        <v>61</v>
      </c>
      <c r="O69">
        <f>AVERAGE(V45:V47)</f>
        <v>1.1834517467088601</v>
      </c>
      <c r="P69">
        <f>_xlfn.STDEV.S(V45:V47)/SQRT(3)</f>
        <v>0.50926525056971028</v>
      </c>
      <c r="Q69">
        <f>AVERAGE(V45:V47)</f>
        <v>1.1834517467088601</v>
      </c>
      <c r="R69">
        <f>_xlfn.STDEV.S(V45:V47)/SQRT(3)</f>
        <v>0.50926525056971028</v>
      </c>
    </row>
    <row r="75" spans="2:50" x14ac:dyDescent="0.45">
      <c r="E75" t="s">
        <v>65</v>
      </c>
      <c r="G75" t="s">
        <v>58</v>
      </c>
      <c r="Q75" t="s">
        <v>65</v>
      </c>
      <c r="S75" t="s">
        <v>14</v>
      </c>
      <c r="AF75" t="s">
        <v>65</v>
      </c>
      <c r="AG75" t="s">
        <v>15</v>
      </c>
      <c r="AR75" t="s">
        <v>65</v>
      </c>
      <c r="AT75" t="s">
        <v>63</v>
      </c>
    </row>
    <row r="76" spans="2:50" ht="14.65" thickBot="1" x14ac:dyDescent="0.5">
      <c r="C76" s="1" t="s">
        <v>5</v>
      </c>
      <c r="D76" s="2" t="s">
        <v>0</v>
      </c>
      <c r="E76" s="2" t="s">
        <v>0</v>
      </c>
      <c r="F76" s="3" t="s">
        <v>1</v>
      </c>
      <c r="G76" s="3" t="s">
        <v>1</v>
      </c>
      <c r="H76" s="4" t="s">
        <v>2</v>
      </c>
      <c r="I76" s="4" t="s">
        <v>3</v>
      </c>
      <c r="J76" s="5" t="s">
        <v>4</v>
      </c>
      <c r="K76" s="7" t="s">
        <v>67</v>
      </c>
      <c r="L76" s="7"/>
      <c r="O76" s="1" t="s">
        <v>5</v>
      </c>
      <c r="P76" s="1"/>
      <c r="Q76" s="2" t="s">
        <v>0</v>
      </c>
      <c r="R76" s="2"/>
      <c r="S76" s="3" t="s">
        <v>1</v>
      </c>
      <c r="T76" s="4" t="s">
        <v>2</v>
      </c>
      <c r="U76" s="4" t="s">
        <v>3</v>
      </c>
      <c r="V76" s="5" t="s">
        <v>4</v>
      </c>
      <c r="W76" s="7" t="s">
        <v>67</v>
      </c>
      <c r="X76" s="7"/>
      <c r="Z76" s="7"/>
      <c r="AD76" s="1" t="s">
        <v>5</v>
      </c>
      <c r="AE76" s="2" t="s">
        <v>0</v>
      </c>
      <c r="AF76" s="2" t="s">
        <v>0</v>
      </c>
      <c r="AG76" s="3" t="s">
        <v>1</v>
      </c>
      <c r="AH76" s="3" t="s">
        <v>1</v>
      </c>
      <c r="AI76" s="4" t="s">
        <v>2</v>
      </c>
      <c r="AJ76" s="4" t="s">
        <v>3</v>
      </c>
      <c r="AK76" s="5" t="s">
        <v>4</v>
      </c>
      <c r="AL76" s="17" t="s">
        <v>67</v>
      </c>
      <c r="AP76" s="1" t="s">
        <v>5</v>
      </c>
      <c r="AQ76" s="2" t="s">
        <v>0</v>
      </c>
      <c r="AR76" s="2" t="s">
        <v>0</v>
      </c>
      <c r="AS76" s="3" t="s">
        <v>1</v>
      </c>
      <c r="AT76" s="3" t="s">
        <v>1</v>
      </c>
      <c r="AU76" s="4" t="s">
        <v>2</v>
      </c>
      <c r="AV76" s="4" t="s">
        <v>3</v>
      </c>
      <c r="AW76" s="5" t="s">
        <v>4</v>
      </c>
      <c r="AX76" s="17" t="s">
        <v>67</v>
      </c>
    </row>
    <row r="77" spans="2:50" x14ac:dyDescent="0.45">
      <c r="B77" s="9" t="s">
        <v>137</v>
      </c>
      <c r="C77" s="21">
        <v>7</v>
      </c>
      <c r="D77">
        <v>20.58441162109375</v>
      </c>
      <c r="E77">
        <v>20.713361740112305</v>
      </c>
      <c r="F77">
        <v>28.257272720336914</v>
      </c>
      <c r="G77">
        <v>28.309553146362305</v>
      </c>
      <c r="H77">
        <f t="shared" ref="H77:H124" si="43">(AVERAGE(F77:G77)-AVERAGE(D77:E77))</f>
        <v>7.634526252746582</v>
      </c>
      <c r="I77">
        <f>H77-$H$126</f>
        <v>1.7602898279825849</v>
      </c>
      <c r="J77">
        <f t="shared" ref="J77:J112" si="44">2^-I77</f>
        <v>0.29518885789258015</v>
      </c>
      <c r="N77" s="9" t="s">
        <v>137</v>
      </c>
      <c r="O77" s="21">
        <v>7</v>
      </c>
      <c r="P77">
        <v>20.58441162109375</v>
      </c>
      <c r="Q77">
        <v>20.713361740112305</v>
      </c>
      <c r="R77">
        <v>19.769683837890625</v>
      </c>
      <c r="S77">
        <v>21.700658798217773</v>
      </c>
      <c r="T77">
        <f>(AVERAGE(R77:S77)-AVERAGE(P77:Q77))</f>
        <v>8.6284637451171875E-2</v>
      </c>
      <c r="U77">
        <f>T77-$T$126</f>
        <v>1.0823837916056314</v>
      </c>
      <c r="V77">
        <f t="shared" ref="V77:V94" si="45">2^-U77</f>
        <v>0.47224787448559208</v>
      </c>
      <c r="AC77" s="9" t="s">
        <v>16</v>
      </c>
      <c r="AD77">
        <v>1</v>
      </c>
      <c r="AE77">
        <v>24.55467414855957</v>
      </c>
      <c r="AF77">
        <v>23.712543487548828</v>
      </c>
      <c r="AG77">
        <v>27.545726776123047</v>
      </c>
      <c r="AH77">
        <v>28.015464782714844</v>
      </c>
      <c r="AI77">
        <f t="shared" ref="AI77:AI106" si="46">(AVERAGE(AG77:AH77)-AVERAGE(AE77:AF77))</f>
        <v>3.6469869613647461</v>
      </c>
      <c r="AJ77">
        <f>AI77-$AG$35</f>
        <v>-3.0860055287679033</v>
      </c>
      <c r="AK77">
        <f>2^-AJ77</f>
        <v>8.4914182127724676</v>
      </c>
      <c r="AL77">
        <f>LOG(AK77,2)</f>
        <v>3.0860055287679033</v>
      </c>
      <c r="AO77" s="12" t="s">
        <v>34</v>
      </c>
      <c r="AP77" s="13">
        <v>37</v>
      </c>
      <c r="AQ77">
        <v>24.712625503540039</v>
      </c>
      <c r="AR77">
        <v>22.974302291870117</v>
      </c>
      <c r="AS77">
        <v>27.063175201416016</v>
      </c>
      <c r="AT77">
        <v>25.749963760375977</v>
      </c>
      <c r="AU77">
        <f t="shared" ref="AU77:AU78" si="47">(AVERAGE(AS77:AT77)-AVERAGE(AQ77:AR77))</f>
        <v>2.563105583190918</v>
      </c>
      <c r="AV77">
        <f t="shared" ref="AV77:AV82" si="48">AU77-$H$55</f>
        <v>-5.0333992640177412</v>
      </c>
      <c r="AW77">
        <f t="shared" ref="AW77:AW94" si="49">2^-AV77</f>
        <v>32.749461149201366</v>
      </c>
      <c r="AX77">
        <f>LOG(AW77,2)</f>
        <v>5.0333992640177412</v>
      </c>
    </row>
    <row r="78" spans="2:50" x14ac:dyDescent="0.45">
      <c r="B78" s="10" t="s">
        <v>138</v>
      </c>
      <c r="C78" s="21">
        <v>8</v>
      </c>
      <c r="D78">
        <v>22.173370361328125</v>
      </c>
      <c r="E78">
        <v>22.022058486938477</v>
      </c>
      <c r="F78">
        <v>27.076267242431641</v>
      </c>
      <c r="G78">
        <v>26.972845077514648</v>
      </c>
      <c r="H78">
        <f t="shared" si="43"/>
        <v>4.9268417358398438</v>
      </c>
      <c r="I78">
        <f t="shared" ref="I78:I82" si="50">H78-$H$126</f>
        <v>-0.94739468892415335</v>
      </c>
      <c r="J78">
        <f t="shared" si="44"/>
        <v>1.9283871066756857</v>
      </c>
      <c r="N78" s="10" t="s">
        <v>138</v>
      </c>
      <c r="O78" s="21">
        <v>8</v>
      </c>
      <c r="P78">
        <v>22.173370361328125</v>
      </c>
      <c r="Q78">
        <v>22.022058486938477</v>
      </c>
      <c r="R78">
        <v>21.201501846313477</v>
      </c>
      <c r="S78">
        <v>20.481643676757813</v>
      </c>
      <c r="T78">
        <f t="shared" ref="T78:T124" si="51">(AVERAGE(R78:S78)-AVERAGE(P78:Q78))</f>
        <v>-1.2561416625976563</v>
      </c>
      <c r="U78">
        <f t="shared" ref="U78:U82" si="52">T78-$T$126</f>
        <v>-0.26004250844319665</v>
      </c>
      <c r="V78">
        <f t="shared" si="45"/>
        <v>1.1975139883788204</v>
      </c>
      <c r="AC78" s="10" t="s">
        <v>17</v>
      </c>
      <c r="AD78">
        <v>2</v>
      </c>
      <c r="AE78">
        <v>23.81157112121582</v>
      </c>
      <c r="AF78">
        <v>24.252681732177734</v>
      </c>
      <c r="AG78">
        <v>29.003444671630859</v>
      </c>
      <c r="AH78">
        <v>27.833126068115234</v>
      </c>
      <c r="AI78">
        <f t="shared" si="46"/>
        <v>4.3861589431762695</v>
      </c>
      <c r="AJ78">
        <f t="shared" ref="AJ78:AJ82" si="53">AI78-$AG$35</f>
        <v>-2.3468335469563799</v>
      </c>
      <c r="AK78">
        <f t="shared" ref="AK78:AK96" si="54">2^-AJ78</f>
        <v>5.0870650655659064</v>
      </c>
      <c r="AL78">
        <f t="shared" ref="AL78:AL106" si="55">LOG(AK78,2)</f>
        <v>2.3468335469563799</v>
      </c>
      <c r="AO78" s="14" t="s">
        <v>35</v>
      </c>
      <c r="AP78" s="13">
        <v>38</v>
      </c>
      <c r="AQ78">
        <v>24.994482040405273</v>
      </c>
      <c r="AR78">
        <v>23.902042388916016</v>
      </c>
      <c r="AS78">
        <v>25.081184387207031</v>
      </c>
      <c r="AT78">
        <v>24.23503303527832</v>
      </c>
      <c r="AU78">
        <f t="shared" si="47"/>
        <v>0.20984649658203125</v>
      </c>
      <c r="AV78">
        <f t="shared" si="48"/>
        <v>-7.3866583506266279</v>
      </c>
      <c r="AW78">
        <f t="shared" si="49"/>
        <v>167.34229903796469</v>
      </c>
      <c r="AX78">
        <f t="shared" ref="AX78:AX94" si="56">LOG(AW78,2)</f>
        <v>7.3866583506266279</v>
      </c>
    </row>
    <row r="79" spans="2:50" x14ac:dyDescent="0.45">
      <c r="B79" s="10" t="s">
        <v>139</v>
      </c>
      <c r="C79" s="21">
        <v>9</v>
      </c>
      <c r="D79">
        <v>23.045595169067383</v>
      </c>
      <c r="E79">
        <v>23.243099212646484</v>
      </c>
      <c r="G79">
        <v>28.2056884765625</v>
      </c>
      <c r="H79">
        <f t="shared" si="43"/>
        <v>5.0613412857055664</v>
      </c>
      <c r="I79">
        <f t="shared" si="50"/>
        <v>-0.81289513905843069</v>
      </c>
      <c r="J79">
        <f t="shared" si="44"/>
        <v>1.7567332453210767</v>
      </c>
      <c r="N79" s="10" t="s">
        <v>139</v>
      </c>
      <c r="O79" s="21">
        <v>9</v>
      </c>
      <c r="P79">
        <v>23.045595169067383</v>
      </c>
      <c r="Q79">
        <v>23.243099212646484</v>
      </c>
      <c r="R79">
        <v>21.847816467285156</v>
      </c>
      <c r="S79">
        <v>20.803997039794922</v>
      </c>
      <c r="T79">
        <f t="shared" si="51"/>
        <v>-1.8184404373168945</v>
      </c>
      <c r="U79">
        <f t="shared" si="52"/>
        <v>-0.82234128316243493</v>
      </c>
      <c r="V79">
        <f t="shared" si="45"/>
        <v>1.7682733144382252</v>
      </c>
      <c r="AC79" s="10" t="s">
        <v>18</v>
      </c>
      <c r="AD79">
        <v>3</v>
      </c>
      <c r="AE79">
        <v>24.243972778320313</v>
      </c>
      <c r="AF79">
        <v>24.073686599731445</v>
      </c>
      <c r="AG79">
        <v>29.036283493041992</v>
      </c>
      <c r="AH79">
        <v>27.539627075195313</v>
      </c>
      <c r="AI79">
        <f t="shared" si="46"/>
        <v>4.1291255950927734</v>
      </c>
      <c r="AJ79">
        <f t="shared" si="53"/>
        <v>-2.603866895039876</v>
      </c>
      <c r="AK79">
        <f t="shared" si="54"/>
        <v>6.0791385303391268</v>
      </c>
      <c r="AL79">
        <f t="shared" si="55"/>
        <v>2.603866895039876</v>
      </c>
      <c r="AO79" s="14" t="s">
        <v>36</v>
      </c>
      <c r="AP79" s="13">
        <v>39</v>
      </c>
      <c r="AQ79">
        <v>36.971157073974609</v>
      </c>
      <c r="AR79">
        <v>36.900169372558594</v>
      </c>
      <c r="AS79" t="s">
        <v>64</v>
      </c>
      <c r="AT79">
        <v>36.880977630615234</v>
      </c>
      <c r="AU79">
        <f>(AVERAGE(AS79:AT79)-AVERAGE(AQ79:AR79))</f>
        <v>-5.4685592651367188E-2</v>
      </c>
      <c r="AV79">
        <f t="shared" si="48"/>
        <v>-7.6511904398600263</v>
      </c>
      <c r="AW79">
        <f t="shared" si="49"/>
        <v>201.01933175426294</v>
      </c>
      <c r="AX79">
        <f t="shared" si="56"/>
        <v>7.6511904398600263</v>
      </c>
    </row>
    <row r="80" spans="2:50" x14ac:dyDescent="0.45">
      <c r="B80" s="10" t="s">
        <v>140</v>
      </c>
      <c r="C80" s="21">
        <v>10</v>
      </c>
      <c r="D80">
        <v>21.155014038085938</v>
      </c>
      <c r="E80">
        <v>21.247476577758789</v>
      </c>
      <c r="F80">
        <v>25.615421295166016</v>
      </c>
      <c r="G80">
        <v>25.747678756713867</v>
      </c>
      <c r="H80">
        <f t="shared" si="43"/>
        <v>4.4803047180175781</v>
      </c>
      <c r="I80">
        <f t="shared" si="50"/>
        <v>-1.393931706746419</v>
      </c>
      <c r="J80">
        <f t="shared" si="44"/>
        <v>2.6279388518871372</v>
      </c>
      <c r="N80" s="10" t="s">
        <v>140</v>
      </c>
      <c r="O80" s="21">
        <v>10</v>
      </c>
      <c r="P80">
        <v>21.155014038085938</v>
      </c>
      <c r="Q80">
        <v>21.247476577758789</v>
      </c>
      <c r="R80">
        <v>19.66438102722168</v>
      </c>
      <c r="S80">
        <v>19.619451522827148</v>
      </c>
      <c r="T80">
        <f t="shared" si="51"/>
        <v>-1.5593290328979492</v>
      </c>
      <c r="U80">
        <f t="shared" si="52"/>
        <v>-0.56322987874348962</v>
      </c>
      <c r="V80">
        <f t="shared" si="45"/>
        <v>1.4775734810936505</v>
      </c>
      <c r="AC80" s="10" t="s">
        <v>19</v>
      </c>
      <c r="AD80">
        <v>4</v>
      </c>
      <c r="AE80">
        <v>24.691946029663086</v>
      </c>
      <c r="AF80">
        <v>23.844991683959961</v>
      </c>
      <c r="AG80">
        <v>27.416526794433594</v>
      </c>
      <c r="AH80">
        <v>27.122838973999023</v>
      </c>
      <c r="AI80">
        <f t="shared" si="46"/>
        <v>3.0012140274047852</v>
      </c>
      <c r="AJ80">
        <f t="shared" si="53"/>
        <v>-3.7317784627278643</v>
      </c>
      <c r="AK80">
        <f t="shared" si="54"/>
        <v>13.285480137907182</v>
      </c>
      <c r="AL80">
        <f t="shared" si="55"/>
        <v>3.7317784627278643</v>
      </c>
      <c r="AO80" s="14" t="s">
        <v>37</v>
      </c>
      <c r="AP80" s="13">
        <v>40</v>
      </c>
      <c r="AQ80">
        <v>25.086938858032227</v>
      </c>
      <c r="AR80">
        <v>24.758943557739258</v>
      </c>
      <c r="AS80">
        <v>27.326215744018555</v>
      </c>
      <c r="AT80">
        <v>26.961587905883789</v>
      </c>
      <c r="AU80">
        <f t="shared" ref="AU80:AU84" si="57">(AVERAGE(AS80:AT80)-AVERAGE(AQ80:AR80))</f>
        <v>2.2209606170654297</v>
      </c>
      <c r="AV80">
        <f t="shared" si="48"/>
        <v>-5.3755442301432295</v>
      </c>
      <c r="AW80">
        <f t="shared" si="49"/>
        <v>41.514523385006981</v>
      </c>
      <c r="AX80">
        <f t="shared" si="56"/>
        <v>5.3755442301432295</v>
      </c>
    </row>
    <row r="81" spans="1:80" x14ac:dyDescent="0.45">
      <c r="B81" s="10" t="s">
        <v>141</v>
      </c>
      <c r="C81" s="21">
        <v>11</v>
      </c>
      <c r="D81">
        <v>22.501272201538086</v>
      </c>
      <c r="E81">
        <v>22.638418197631836</v>
      </c>
      <c r="F81">
        <v>28.114885330200195</v>
      </c>
      <c r="G81">
        <v>27.348094940185547</v>
      </c>
      <c r="H81">
        <f t="shared" si="43"/>
        <v>5.1616449356079102</v>
      </c>
      <c r="I81">
        <f t="shared" si="50"/>
        <v>-0.71259148915608694</v>
      </c>
      <c r="J81">
        <f t="shared" si="44"/>
        <v>1.6387451255515721</v>
      </c>
      <c r="N81" s="10" t="s">
        <v>141</v>
      </c>
      <c r="O81" s="21">
        <v>11</v>
      </c>
      <c r="P81">
        <v>22.501272201538086</v>
      </c>
      <c r="Q81">
        <v>22.638418197631836</v>
      </c>
      <c r="R81">
        <v>20.584335327148438</v>
      </c>
      <c r="S81">
        <v>20.793354034423828</v>
      </c>
      <c r="T81">
        <f t="shared" si="51"/>
        <v>-1.8810005187988281</v>
      </c>
      <c r="U81">
        <f t="shared" si="52"/>
        <v>-0.88490136464436853</v>
      </c>
      <c r="V81">
        <f t="shared" si="45"/>
        <v>1.8466383646593416</v>
      </c>
      <c r="AC81" s="10" t="s">
        <v>20</v>
      </c>
      <c r="AD81">
        <v>5</v>
      </c>
      <c r="AE81">
        <v>24.91339111328125</v>
      </c>
      <c r="AF81">
        <v>24.346113204956055</v>
      </c>
      <c r="AG81">
        <v>28.11756706237793</v>
      </c>
      <c r="AH81">
        <v>27.720127105712891</v>
      </c>
      <c r="AI81">
        <f t="shared" si="46"/>
        <v>3.2890949249267578</v>
      </c>
      <c r="AJ81">
        <f t="shared" si="53"/>
        <v>-3.4438975652058916</v>
      </c>
      <c r="AK81">
        <f t="shared" si="54"/>
        <v>10.882194130038743</v>
      </c>
      <c r="AL81">
        <f t="shared" si="55"/>
        <v>3.4438975652058912</v>
      </c>
      <c r="AO81" s="14" t="s">
        <v>38</v>
      </c>
      <c r="AP81" s="13">
        <v>41</v>
      </c>
      <c r="AQ81">
        <v>25.350627899169922</v>
      </c>
      <c r="AR81">
        <v>25.481233596801758</v>
      </c>
      <c r="AS81">
        <v>25.647228240966797</v>
      </c>
      <c r="AT81">
        <v>25.25175666809082</v>
      </c>
      <c r="AU81">
        <f t="shared" si="57"/>
        <v>3.356170654296875E-2</v>
      </c>
      <c r="AV81">
        <f t="shared" si="48"/>
        <v>-7.5629431406656904</v>
      </c>
      <c r="AW81">
        <f t="shared" si="49"/>
        <v>189.09181952623402</v>
      </c>
      <c r="AX81">
        <f t="shared" si="56"/>
        <v>7.5629431406656904</v>
      </c>
    </row>
    <row r="82" spans="1:80" s="6" customFormat="1" ht="14.65" thickBot="1" x14ac:dyDescent="0.5">
      <c r="A82"/>
      <c r="B82" s="11" t="s">
        <v>142</v>
      </c>
      <c r="C82" s="21">
        <v>12</v>
      </c>
      <c r="D82">
        <v>21.447052001953125</v>
      </c>
      <c r="E82">
        <v>21.290519714355469</v>
      </c>
      <c r="F82" s="6">
        <v>29.924150466918945</v>
      </c>
      <c r="G82" s="6">
        <v>29.333765029907227</v>
      </c>
      <c r="H82">
        <f t="shared" si="43"/>
        <v>8.2601718902587891</v>
      </c>
      <c r="I82">
        <f t="shared" si="50"/>
        <v>2.385935465494792</v>
      </c>
      <c r="J82">
        <f t="shared" si="44"/>
        <v>0.19132065417477293</v>
      </c>
      <c r="L82"/>
      <c r="M82"/>
      <c r="N82" s="11" t="s">
        <v>142</v>
      </c>
      <c r="O82" s="21">
        <v>12</v>
      </c>
      <c r="P82">
        <v>21.447052001953125</v>
      </c>
      <c r="Q82">
        <v>21.290519714355469</v>
      </c>
      <c r="R82">
        <v>19.513595581054688</v>
      </c>
      <c r="S82">
        <v>19.164573669433594</v>
      </c>
      <c r="T82">
        <f t="shared" si="51"/>
        <v>-2.0297012329101563</v>
      </c>
      <c r="U82">
        <f t="shared" si="52"/>
        <v>-1.0336020787556968</v>
      </c>
      <c r="V82">
        <f t="shared" si="45"/>
        <v>2.0471290879540862</v>
      </c>
      <c r="Y82"/>
      <c r="Z82"/>
      <c r="AA82"/>
      <c r="AB82"/>
      <c r="AC82" s="11" t="s">
        <v>21</v>
      </c>
      <c r="AD82" s="6">
        <v>6</v>
      </c>
      <c r="AE82" s="6">
        <v>23.177377700805664</v>
      </c>
      <c r="AF82" s="6">
        <v>24.465053558349609</v>
      </c>
      <c r="AG82" s="6">
        <v>27.685565948486328</v>
      </c>
      <c r="AH82" s="6">
        <v>28.737001419067383</v>
      </c>
      <c r="AI82">
        <f t="shared" si="46"/>
        <v>4.3900680541992188</v>
      </c>
      <c r="AJ82">
        <f t="shared" si="53"/>
        <v>-2.3429244359334307</v>
      </c>
      <c r="AK82">
        <f t="shared" si="54"/>
        <v>5.0732998660174262</v>
      </c>
      <c r="AL82">
        <f t="shared" si="55"/>
        <v>2.3429244359334307</v>
      </c>
      <c r="AM82"/>
      <c r="AN82"/>
      <c r="AO82" s="15" t="s">
        <v>39</v>
      </c>
      <c r="AP82" s="13">
        <v>42</v>
      </c>
      <c r="AQ82">
        <v>23.420566558837891</v>
      </c>
      <c r="AR82">
        <v>24.463907241821289</v>
      </c>
      <c r="AS82">
        <v>25.663143157958984</v>
      </c>
      <c r="AT82">
        <v>24.849615097045898</v>
      </c>
      <c r="AU82">
        <f t="shared" si="57"/>
        <v>1.3141422271728516</v>
      </c>
      <c r="AV82">
        <f t="shared" si="48"/>
        <v>-6.2823626200358076</v>
      </c>
      <c r="AW82">
        <f t="shared" si="49"/>
        <v>77.835835628996591</v>
      </c>
      <c r="AX82">
        <f t="shared" si="56"/>
        <v>6.2823626200358076</v>
      </c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</row>
    <row r="83" spans="1:80" x14ac:dyDescent="0.45">
      <c r="B83" s="9" t="s">
        <v>22</v>
      </c>
      <c r="C83" s="18">
        <v>13</v>
      </c>
      <c r="D83">
        <v>23.345695495605469</v>
      </c>
      <c r="E83">
        <v>22.647109985351563</v>
      </c>
      <c r="F83">
        <v>29.66132926940918</v>
      </c>
      <c r="G83">
        <v>27.195425033569336</v>
      </c>
      <c r="H83">
        <f t="shared" si="43"/>
        <v>5.4319744110107422</v>
      </c>
      <c r="I83">
        <f>H83-$H$127</f>
        <v>1.6861375172932944</v>
      </c>
      <c r="J83">
        <f t="shared" si="44"/>
        <v>0.3107577944669524</v>
      </c>
      <c r="N83" s="9" t="s">
        <v>22</v>
      </c>
      <c r="O83" s="18">
        <v>13</v>
      </c>
      <c r="P83">
        <v>23.345695495605469</v>
      </c>
      <c r="Q83">
        <v>22.647109985351563</v>
      </c>
      <c r="R83">
        <v>19.567888259887695</v>
      </c>
      <c r="S83">
        <v>19.636451721191406</v>
      </c>
      <c r="T83">
        <f t="shared" si="51"/>
        <v>-3.3942327499389648</v>
      </c>
      <c r="U83">
        <f>T83-$T$127</f>
        <v>-0.38225841522216797</v>
      </c>
      <c r="V83">
        <f t="shared" si="45"/>
        <v>1.3033805897037287</v>
      </c>
      <c r="AC83" s="9" t="s">
        <v>22</v>
      </c>
      <c r="AD83">
        <v>13</v>
      </c>
      <c r="AE83">
        <v>24.701892852783203</v>
      </c>
      <c r="AF83">
        <v>22.304712295532227</v>
      </c>
      <c r="AG83">
        <v>29.119991302490234</v>
      </c>
      <c r="AH83">
        <v>26.842111587524414</v>
      </c>
      <c r="AI83">
        <f t="shared" si="46"/>
        <v>4.4777488708496094</v>
      </c>
      <c r="AJ83">
        <f>AI83-$AG$36</f>
        <v>-1.6278438568115208</v>
      </c>
      <c r="AK83">
        <f t="shared" si="54"/>
        <v>3.0905076941911345</v>
      </c>
      <c r="AL83">
        <f t="shared" si="55"/>
        <v>1.6278438568115208</v>
      </c>
      <c r="AO83" s="12" t="s">
        <v>40</v>
      </c>
      <c r="AP83" s="13">
        <v>43</v>
      </c>
      <c r="AQ83">
        <v>25.386190414428711</v>
      </c>
      <c r="AR83">
        <v>22.608343124389648</v>
      </c>
      <c r="AS83">
        <v>25.981977462768555</v>
      </c>
      <c r="AT83">
        <v>24.964626312255859</v>
      </c>
      <c r="AU83">
        <f t="shared" si="57"/>
        <v>1.4760351181030273</v>
      </c>
      <c r="AV83">
        <f t="shared" ref="AV83:AV88" si="58">AU83-$H$57</f>
        <v>-6.6056178410847988</v>
      </c>
      <c r="AW83">
        <f t="shared" si="49"/>
        <v>97.384336588618979</v>
      </c>
      <c r="AX83">
        <f t="shared" si="56"/>
        <v>6.6056178410847979</v>
      </c>
    </row>
    <row r="84" spans="1:80" x14ac:dyDescent="0.45">
      <c r="B84" s="10" t="s">
        <v>23</v>
      </c>
      <c r="C84" s="18">
        <v>14</v>
      </c>
      <c r="D84">
        <v>22.612710952758789</v>
      </c>
      <c r="E84">
        <v>22.579959869384766</v>
      </c>
      <c r="F84">
        <v>25.147491455078125</v>
      </c>
      <c r="G84">
        <v>26.293025970458984</v>
      </c>
      <c r="H84">
        <f t="shared" si="43"/>
        <v>3.1239233016967773</v>
      </c>
      <c r="I84">
        <f t="shared" ref="I84:I88" si="59">H84-$H$127</f>
        <v>-0.62191359202067042</v>
      </c>
      <c r="J84">
        <f t="shared" si="44"/>
        <v>1.5389150464734316</v>
      </c>
      <c r="N84" s="10" t="s">
        <v>23</v>
      </c>
      <c r="O84" s="18">
        <v>14</v>
      </c>
      <c r="P84">
        <v>22.612710952758789</v>
      </c>
      <c r="Q84">
        <v>22.579959869384766</v>
      </c>
      <c r="R84">
        <v>19.332746505737305</v>
      </c>
      <c r="S84">
        <v>19.651994705200195</v>
      </c>
      <c r="T84">
        <f t="shared" si="51"/>
        <v>-3.1039648056030273</v>
      </c>
      <c r="U84">
        <f t="shared" ref="U84:U88" si="60">T84-$T$127</f>
        <v>-9.1990470886230469E-2</v>
      </c>
      <c r="V84">
        <f t="shared" si="45"/>
        <v>1.0658396960899994</v>
      </c>
      <c r="AC84" s="10" t="s">
        <v>23</v>
      </c>
      <c r="AD84">
        <v>14</v>
      </c>
      <c r="AE84">
        <v>23.136051177978516</v>
      </c>
      <c r="AF84">
        <v>23.194328308105469</v>
      </c>
      <c r="AG84">
        <v>27.531896591186523</v>
      </c>
      <c r="AH84">
        <v>25.885597229003906</v>
      </c>
      <c r="AI84">
        <f t="shared" si="46"/>
        <v>3.5435571670532227</v>
      </c>
      <c r="AJ84">
        <f t="shared" ref="AJ84:AJ88" si="61">AI84-$AG$36</f>
        <v>-2.5620355606079075</v>
      </c>
      <c r="AK84">
        <f t="shared" si="54"/>
        <v>5.9054031816561459</v>
      </c>
      <c r="AL84">
        <f t="shared" si="55"/>
        <v>2.5620355606079075</v>
      </c>
      <c r="AO84" s="14" t="s">
        <v>41</v>
      </c>
      <c r="AP84" s="13">
        <v>44</v>
      </c>
      <c r="AQ84">
        <v>24.845529556274414</v>
      </c>
      <c r="AR84">
        <v>22.396036148071289</v>
      </c>
      <c r="AS84">
        <v>24.728597640991211</v>
      </c>
      <c r="AT84">
        <v>24.967601776123047</v>
      </c>
      <c r="AU84">
        <f t="shared" si="57"/>
        <v>1.2273168563842773</v>
      </c>
      <c r="AV84">
        <f t="shared" si="58"/>
        <v>-6.8543361028035488</v>
      </c>
      <c r="AW84">
        <f t="shared" si="49"/>
        <v>115.70730206538538</v>
      </c>
      <c r="AX84">
        <f t="shared" si="56"/>
        <v>6.8543361028035497</v>
      </c>
    </row>
    <row r="85" spans="1:80" x14ac:dyDescent="0.45">
      <c r="B85" s="10" t="s">
        <v>24</v>
      </c>
      <c r="C85" s="18">
        <v>15</v>
      </c>
      <c r="D85">
        <v>22.042751312255859</v>
      </c>
      <c r="E85">
        <v>22.206157684326172</v>
      </c>
      <c r="F85">
        <v>24.454448699951172</v>
      </c>
      <c r="G85">
        <v>25.157686233520508</v>
      </c>
      <c r="H85">
        <f t="shared" si="43"/>
        <v>2.6816129684448242</v>
      </c>
      <c r="I85">
        <f t="shared" si="59"/>
        <v>-1.0642239252726235</v>
      </c>
      <c r="J85">
        <f t="shared" si="44"/>
        <v>2.0910447329083013</v>
      </c>
      <c r="N85" s="10" t="s">
        <v>24</v>
      </c>
      <c r="O85" s="18">
        <v>15</v>
      </c>
      <c r="P85">
        <v>22.042751312255859</v>
      </c>
      <c r="Q85">
        <v>22.206157684326172</v>
      </c>
      <c r="R85">
        <v>19.744747161865234</v>
      </c>
      <c r="S85">
        <v>19.4287109375</v>
      </c>
      <c r="T85">
        <f t="shared" si="51"/>
        <v>-2.5377254486083984</v>
      </c>
      <c r="U85">
        <f t="shared" si="60"/>
        <v>0.47424888610839844</v>
      </c>
      <c r="V85">
        <f t="shared" si="45"/>
        <v>0.71984146530746707</v>
      </c>
      <c r="AC85" s="10" t="s">
        <v>24</v>
      </c>
      <c r="AD85">
        <v>15</v>
      </c>
      <c r="AE85">
        <v>21.450613021850586</v>
      </c>
      <c r="AF85">
        <v>22.982784271240234</v>
      </c>
      <c r="AG85">
        <v>26.582962036132813</v>
      </c>
      <c r="AH85">
        <v>25.924922943115234</v>
      </c>
      <c r="AI85">
        <f t="shared" si="46"/>
        <v>4.0372438430786133</v>
      </c>
      <c r="AJ85">
        <f t="shared" si="61"/>
        <v>-2.0683488845825169</v>
      </c>
      <c r="AK85">
        <f t="shared" si="54"/>
        <v>4.1940640230853612</v>
      </c>
      <c r="AL85">
        <f t="shared" si="55"/>
        <v>2.0683488845825169</v>
      </c>
      <c r="AO85" s="14" t="s">
        <v>42</v>
      </c>
      <c r="AP85" s="13">
        <v>45</v>
      </c>
      <c r="AQ85">
        <v>24.714645385742188</v>
      </c>
      <c r="AR85">
        <v>24.681955337524414</v>
      </c>
      <c r="AS85">
        <v>24.63322639465332</v>
      </c>
      <c r="AT85">
        <v>24.732210159301758</v>
      </c>
      <c r="AU85">
        <f>(AVERAGE(AS85:AT85)-AVERAGE(AQ85:AR85))</f>
        <v>-1.5582084655761719E-2</v>
      </c>
      <c r="AV85">
        <f t="shared" si="58"/>
        <v>-8.0972350438435878</v>
      </c>
      <c r="AW85">
        <f t="shared" si="49"/>
        <v>273.84866628299528</v>
      </c>
      <c r="AX85">
        <f t="shared" si="56"/>
        <v>8.0972350438435878</v>
      </c>
    </row>
    <row r="86" spans="1:80" x14ac:dyDescent="0.45">
      <c r="B86" s="10" t="s">
        <v>25</v>
      </c>
      <c r="C86" s="18">
        <v>16</v>
      </c>
      <c r="D86">
        <v>21.01249885559082</v>
      </c>
      <c r="E86">
        <v>21.453140258789063</v>
      </c>
      <c r="F86">
        <v>25.562408447265625</v>
      </c>
      <c r="G86">
        <v>25.229314804077148</v>
      </c>
      <c r="H86">
        <f t="shared" si="43"/>
        <v>4.1630420684814453</v>
      </c>
      <c r="I86">
        <f t="shared" si="59"/>
        <v>0.41720517476399754</v>
      </c>
      <c r="J86">
        <f t="shared" si="44"/>
        <v>0.74887395754827624</v>
      </c>
      <c r="N86" s="10" t="s">
        <v>25</v>
      </c>
      <c r="O86" s="18">
        <v>16</v>
      </c>
      <c r="P86">
        <v>21.01249885559082</v>
      </c>
      <c r="Q86">
        <v>21.453140258789063</v>
      </c>
      <c r="R86">
        <v>18.730783462524414</v>
      </c>
      <c r="S86">
        <v>18.329362869262695</v>
      </c>
      <c r="T86">
        <f t="shared" si="51"/>
        <v>-2.7027463912963867</v>
      </c>
      <c r="U86">
        <f t="shared" si="60"/>
        <v>0.30922794342041016</v>
      </c>
      <c r="V86">
        <f t="shared" si="45"/>
        <v>0.8070735481503466</v>
      </c>
      <c r="AC86" s="10" t="s">
        <v>25</v>
      </c>
      <c r="AD86">
        <v>16</v>
      </c>
      <c r="AE86">
        <v>21.721784591674805</v>
      </c>
      <c r="AF86">
        <v>21.585964202880859</v>
      </c>
      <c r="AG86">
        <v>25.170755386352539</v>
      </c>
      <c r="AH86">
        <v>24.975912094116211</v>
      </c>
      <c r="AI86">
        <f t="shared" si="46"/>
        <v>3.419459342956543</v>
      </c>
      <c r="AJ86">
        <f t="shared" si="61"/>
        <v>-2.6861333847045872</v>
      </c>
      <c r="AK86">
        <f t="shared" si="54"/>
        <v>6.4358619691403218</v>
      </c>
      <c r="AL86">
        <f t="shared" si="55"/>
        <v>2.6861333847045872</v>
      </c>
      <c r="AO86" s="14" t="s">
        <v>43</v>
      </c>
      <c r="AP86" s="13">
        <v>46</v>
      </c>
      <c r="AQ86">
        <v>23.949363708496094</v>
      </c>
      <c r="AR86">
        <v>24.393825531005859</v>
      </c>
      <c r="AS86">
        <v>25.820693969726563</v>
      </c>
      <c r="AT86">
        <v>25.477470397949219</v>
      </c>
      <c r="AU86">
        <f t="shared" ref="AU86:AU94" si="62">(AVERAGE(AS86:AT86)-AVERAGE(AQ86:AR86))</f>
        <v>1.4774875640869141</v>
      </c>
      <c r="AV86">
        <f t="shared" si="58"/>
        <v>-6.6041653951009121</v>
      </c>
      <c r="AW86">
        <f t="shared" si="49"/>
        <v>97.286343383052454</v>
      </c>
      <c r="AX86">
        <f t="shared" si="56"/>
        <v>6.6041653951009121</v>
      </c>
    </row>
    <row r="87" spans="1:80" x14ac:dyDescent="0.45">
      <c r="B87" s="10" t="s">
        <v>26</v>
      </c>
      <c r="C87" s="18">
        <v>17</v>
      </c>
      <c r="D87">
        <v>22.834577560424805</v>
      </c>
      <c r="E87">
        <v>22.680688858032227</v>
      </c>
      <c r="F87">
        <v>29.693943023681641</v>
      </c>
      <c r="G87">
        <v>27.915048599243164</v>
      </c>
      <c r="H87">
        <f t="shared" si="43"/>
        <v>6.0468626022338867</v>
      </c>
      <c r="I87">
        <f t="shared" si="59"/>
        <v>2.301025708516439</v>
      </c>
      <c r="J87">
        <f t="shared" si="44"/>
        <v>0.20291877924294377</v>
      </c>
      <c r="N87" s="10" t="s">
        <v>26</v>
      </c>
      <c r="O87" s="18">
        <v>17</v>
      </c>
      <c r="P87">
        <v>22.834577560424805</v>
      </c>
      <c r="Q87">
        <v>22.680688858032227</v>
      </c>
      <c r="R87">
        <v>21.182231903076172</v>
      </c>
      <c r="S87">
        <v>20.912151336669922</v>
      </c>
      <c r="T87">
        <f t="shared" si="51"/>
        <v>-1.7104415893554688</v>
      </c>
      <c r="U87">
        <f t="shared" si="60"/>
        <v>1.3015327453613281</v>
      </c>
      <c r="V87">
        <f t="shared" si="45"/>
        <v>0.40569495146656825</v>
      </c>
      <c r="AC87" s="10" t="s">
        <v>26</v>
      </c>
      <c r="AD87">
        <v>17</v>
      </c>
      <c r="AE87">
        <v>24.920629501342773</v>
      </c>
      <c r="AF87">
        <v>24.463403701782227</v>
      </c>
      <c r="AG87">
        <v>27.996984481811523</v>
      </c>
      <c r="AH87">
        <v>28.276325225830078</v>
      </c>
      <c r="AI87">
        <f t="shared" si="46"/>
        <v>3.4446382522583008</v>
      </c>
      <c r="AJ87">
        <f t="shared" si="61"/>
        <v>-2.6609544754028294</v>
      </c>
      <c r="AK87">
        <f t="shared" si="54"/>
        <v>6.3245133581068016</v>
      </c>
      <c r="AL87">
        <f t="shared" si="55"/>
        <v>2.6609544754028294</v>
      </c>
      <c r="AO87" s="14" t="s">
        <v>44</v>
      </c>
      <c r="AP87" s="13">
        <v>47</v>
      </c>
      <c r="AQ87">
        <v>25.380649566650391</v>
      </c>
      <c r="AR87">
        <v>24.714565277099609</v>
      </c>
      <c r="AS87">
        <v>27.391304016113281</v>
      </c>
      <c r="AT87">
        <v>26.178730010986328</v>
      </c>
      <c r="AU87">
        <f t="shared" si="62"/>
        <v>1.7374095916748047</v>
      </c>
      <c r="AV87">
        <f t="shared" si="58"/>
        <v>-6.3442433675130214</v>
      </c>
      <c r="AW87">
        <f t="shared" si="49"/>
        <v>81.247041072524638</v>
      </c>
      <c r="AX87">
        <f t="shared" si="56"/>
        <v>6.3442433675130214</v>
      </c>
    </row>
    <row r="88" spans="1:80" s="6" customFormat="1" ht="14.65" thickBot="1" x14ac:dyDescent="0.5">
      <c r="A88"/>
      <c r="B88" s="11" t="s">
        <v>27</v>
      </c>
      <c r="C88" s="19">
        <v>18</v>
      </c>
      <c r="D88">
        <v>23.832172393798828</v>
      </c>
      <c r="E88">
        <v>23.386062622070313</v>
      </c>
      <c r="F88" s="6">
        <v>27.968839645385742</v>
      </c>
      <c r="G88" s="6">
        <v>28.660032272338867</v>
      </c>
      <c r="H88">
        <f t="shared" si="43"/>
        <v>4.7053184509277344</v>
      </c>
      <c r="I88">
        <f t="shared" si="59"/>
        <v>0.95948155721028661</v>
      </c>
      <c r="J88">
        <f t="shared" si="44"/>
        <v>0.51424167655544828</v>
      </c>
      <c r="L88"/>
      <c r="M88"/>
      <c r="N88" s="11" t="s">
        <v>27</v>
      </c>
      <c r="O88" s="19">
        <v>18</v>
      </c>
      <c r="P88">
        <v>23.832172393798828</v>
      </c>
      <c r="Q88">
        <v>23.386062622070313</v>
      </c>
      <c r="R88">
        <v>20.808403015136719</v>
      </c>
      <c r="S88">
        <v>21.487812042236328</v>
      </c>
      <c r="T88">
        <f t="shared" si="51"/>
        <v>-2.4610099792480469</v>
      </c>
      <c r="U88">
        <f t="shared" si="60"/>
        <v>0.55096435546875</v>
      </c>
      <c r="V88">
        <f t="shared" si="45"/>
        <v>0.68256372277222421</v>
      </c>
      <c r="X88"/>
      <c r="Y88"/>
      <c r="Z88"/>
      <c r="AA88"/>
      <c r="AB88"/>
      <c r="AC88" s="11" t="s">
        <v>27</v>
      </c>
      <c r="AD88" s="6">
        <v>18</v>
      </c>
      <c r="AE88">
        <v>24.734025955200195</v>
      </c>
      <c r="AF88">
        <v>23.998565673828125</v>
      </c>
      <c r="AG88" s="6">
        <v>29.282314300537109</v>
      </c>
      <c r="AH88" s="6">
        <v>27.616252899169922</v>
      </c>
      <c r="AI88">
        <f t="shared" si="46"/>
        <v>4.0829877853393555</v>
      </c>
      <c r="AJ88">
        <f t="shared" si="61"/>
        <v>-2.0226049423217747</v>
      </c>
      <c r="AK88">
        <f t="shared" si="54"/>
        <v>4.0631677897274834</v>
      </c>
      <c r="AL88">
        <f t="shared" si="55"/>
        <v>2.0226049423217747</v>
      </c>
      <c r="AM88"/>
      <c r="AN88"/>
      <c r="AO88" s="15" t="s">
        <v>45</v>
      </c>
      <c r="AP88" s="13">
        <v>48</v>
      </c>
      <c r="AQ88">
        <v>24.290847778320313</v>
      </c>
      <c r="AR88">
        <v>24.302362442016602</v>
      </c>
      <c r="AS88">
        <v>25.398391723632813</v>
      </c>
      <c r="AT88">
        <v>25.537736892700195</v>
      </c>
      <c r="AU88" s="6">
        <f t="shared" si="62"/>
        <v>1.1714591979980469</v>
      </c>
      <c r="AV88">
        <f t="shared" si="58"/>
        <v>-6.9101937611897792</v>
      </c>
      <c r="AW88">
        <f t="shared" si="49"/>
        <v>120.27506435990368</v>
      </c>
      <c r="AX88">
        <f t="shared" si="56"/>
        <v>6.9101937611897801</v>
      </c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</row>
    <row r="89" spans="1:80" x14ac:dyDescent="0.45">
      <c r="B89" s="9" t="s">
        <v>143</v>
      </c>
      <c r="C89" s="18">
        <v>19</v>
      </c>
      <c r="D89">
        <v>23.756629943847656</v>
      </c>
      <c r="E89">
        <v>23.712858200073242</v>
      </c>
      <c r="F89">
        <v>27.745231628417969</v>
      </c>
      <c r="G89">
        <v>26.26824951171875</v>
      </c>
      <c r="H89">
        <f t="shared" si="43"/>
        <v>3.2719964981079102</v>
      </c>
      <c r="I89">
        <f>H89-$H$128</f>
        <v>0.2037884394327798</v>
      </c>
      <c r="J89">
        <f t="shared" si="44"/>
        <v>0.86826754328518418</v>
      </c>
      <c r="N89" s="9" t="s">
        <v>89</v>
      </c>
      <c r="O89" s="18" t="s">
        <v>90</v>
      </c>
      <c r="P89">
        <v>23.756629943847656</v>
      </c>
      <c r="Q89">
        <v>23.712858200073242</v>
      </c>
      <c r="R89">
        <v>21.42803955078125</v>
      </c>
      <c r="S89">
        <v>20.940526962280273</v>
      </c>
      <c r="T89">
        <f t="shared" si="51"/>
        <v>-2.5504608154296875</v>
      </c>
      <c r="U89">
        <f>T89-$T$128</f>
        <v>-0.19047896067301417</v>
      </c>
      <c r="V89">
        <f t="shared" si="45"/>
        <v>1.1411425011613821</v>
      </c>
      <c r="AC89" s="12" t="s">
        <v>28</v>
      </c>
      <c r="AD89" s="13">
        <v>25</v>
      </c>
      <c r="AE89">
        <v>22.722635269165039</v>
      </c>
      <c r="AF89">
        <v>23.399139404296875</v>
      </c>
      <c r="AG89">
        <v>26.526416778564453</v>
      </c>
      <c r="AH89">
        <v>26.960851669311523</v>
      </c>
      <c r="AI89">
        <f t="shared" si="46"/>
        <v>3.6827468872070313</v>
      </c>
      <c r="AJ89">
        <f>AI89-$AG$37</f>
        <v>-2.4086821873982744</v>
      </c>
      <c r="AK89">
        <f t="shared" si="54"/>
        <v>5.3098907840142635</v>
      </c>
      <c r="AL89">
        <f t="shared" si="55"/>
        <v>2.4086821873982744</v>
      </c>
      <c r="AO89" s="12" t="s">
        <v>46</v>
      </c>
      <c r="AP89" s="13">
        <v>49</v>
      </c>
      <c r="AQ89">
        <v>25.373407363891602</v>
      </c>
      <c r="AR89">
        <v>26.233261108398438</v>
      </c>
      <c r="AS89">
        <v>24.871076583862305</v>
      </c>
      <c r="AT89">
        <v>25.215930938720703</v>
      </c>
      <c r="AU89">
        <f t="shared" si="62"/>
        <v>-0.75983047485351563</v>
      </c>
      <c r="AV89">
        <f t="shared" ref="AV89:AV94" si="63">AU89-$H$58</f>
        <v>-2.1054004033406573</v>
      </c>
      <c r="AW89">
        <f t="shared" si="49"/>
        <v>4.3031716917004124</v>
      </c>
      <c r="AX89">
        <f t="shared" si="56"/>
        <v>2.1054004033406573</v>
      </c>
    </row>
    <row r="90" spans="1:80" x14ac:dyDescent="0.45">
      <c r="B90" s="10" t="s">
        <v>144</v>
      </c>
      <c r="C90" s="18">
        <v>20</v>
      </c>
      <c r="D90">
        <v>23.130977630615234</v>
      </c>
      <c r="E90">
        <v>23.688138961791992</v>
      </c>
      <c r="F90">
        <v>26.417819976806641</v>
      </c>
      <c r="G90">
        <v>26.168132781982422</v>
      </c>
      <c r="H90">
        <f t="shared" si="43"/>
        <v>2.883418083190918</v>
      </c>
      <c r="I90">
        <f t="shared" ref="I90:I94" si="64">H90-$H$128</f>
        <v>-0.18478997548421239</v>
      </c>
      <c r="J90">
        <f t="shared" si="44"/>
        <v>1.1366514898529212</v>
      </c>
      <c r="N90" s="10" t="s">
        <v>91</v>
      </c>
      <c r="O90" s="18" t="s">
        <v>92</v>
      </c>
      <c r="P90">
        <v>23.130977630615234</v>
      </c>
      <c r="Q90">
        <v>23.688138961791992</v>
      </c>
      <c r="R90">
        <v>21.311576843261719</v>
      </c>
      <c r="S90">
        <v>20.704929351806641</v>
      </c>
      <c r="T90">
        <f t="shared" si="51"/>
        <v>-2.4013051986694336</v>
      </c>
      <c r="U90">
        <f t="shared" ref="U90:U94" si="65">T90-$T$128</f>
        <v>-4.1323343912760269E-2</v>
      </c>
      <c r="V90">
        <f t="shared" si="45"/>
        <v>1.0290573194406318</v>
      </c>
      <c r="AC90" s="14" t="s">
        <v>29</v>
      </c>
      <c r="AD90" s="13">
        <v>26</v>
      </c>
      <c r="AE90">
        <v>23.47401237487793</v>
      </c>
      <c r="AF90">
        <v>23.209365844726563</v>
      </c>
      <c r="AG90">
        <v>26.340370178222656</v>
      </c>
      <c r="AH90">
        <v>26.882698059082031</v>
      </c>
      <c r="AI90">
        <f t="shared" si="46"/>
        <v>3.2698450088500977</v>
      </c>
      <c r="AJ90">
        <f t="shared" ref="AJ90:AJ94" si="66">AI90-$AG$37</f>
        <v>-2.821584065755208</v>
      </c>
      <c r="AK90">
        <f t="shared" si="54"/>
        <v>7.0693818261040029</v>
      </c>
      <c r="AL90">
        <f t="shared" si="55"/>
        <v>2.821584065755208</v>
      </c>
      <c r="AO90" s="14" t="s">
        <v>47</v>
      </c>
      <c r="AP90" s="13">
        <v>50</v>
      </c>
      <c r="AQ90">
        <v>24.160923004150391</v>
      </c>
      <c r="AR90">
        <f>AVERAGE(AQ89:AR89)</f>
        <v>25.80333423614502</v>
      </c>
      <c r="AS90">
        <v>25.806184768676758</v>
      </c>
      <c r="AT90">
        <v>24.489181518554688</v>
      </c>
      <c r="AU90">
        <f t="shared" si="62"/>
        <v>0.16555452346801758</v>
      </c>
      <c r="AV90">
        <f t="shared" si="63"/>
        <v>-1.1800154050191243</v>
      </c>
      <c r="AW90">
        <f t="shared" si="49"/>
        <v>2.2657919644657016</v>
      </c>
      <c r="AX90">
        <f t="shared" si="56"/>
        <v>1.1800154050191243</v>
      </c>
    </row>
    <row r="91" spans="1:80" x14ac:dyDescent="0.45">
      <c r="B91" s="10" t="s">
        <v>145</v>
      </c>
      <c r="C91" s="18">
        <v>21</v>
      </c>
      <c r="D91">
        <v>23.851402282714844</v>
      </c>
      <c r="E91">
        <v>23.511001586914063</v>
      </c>
      <c r="F91">
        <v>26.379051208496094</v>
      </c>
      <c r="G91">
        <v>27.081771850585938</v>
      </c>
      <c r="H91">
        <f t="shared" si="43"/>
        <v>3.0492095947265625</v>
      </c>
      <c r="I91">
        <f t="shared" si="64"/>
        <v>-1.8998463948567856E-2</v>
      </c>
      <c r="J91">
        <f t="shared" si="44"/>
        <v>1.0132558213351901</v>
      </c>
      <c r="N91" s="10" t="s">
        <v>93</v>
      </c>
      <c r="O91" s="18" t="s">
        <v>94</v>
      </c>
      <c r="P91">
        <v>23.851402282714844</v>
      </c>
      <c r="Q91">
        <v>23.511001586914063</v>
      </c>
      <c r="R91">
        <v>21.310850143432617</v>
      </c>
      <c r="S91">
        <v>21.795194625854492</v>
      </c>
      <c r="T91">
        <f t="shared" si="51"/>
        <v>-2.1281795501708984</v>
      </c>
      <c r="U91">
        <f t="shared" si="65"/>
        <v>0.23180230458577489</v>
      </c>
      <c r="V91">
        <f t="shared" si="45"/>
        <v>0.85157039216415353</v>
      </c>
      <c r="AC91" s="14" t="s">
        <v>30</v>
      </c>
      <c r="AD91" s="13">
        <v>27</v>
      </c>
      <c r="AE91">
        <v>22.996782302856445</v>
      </c>
      <c r="AF91">
        <v>22.667919158935547</v>
      </c>
      <c r="AG91">
        <v>26.332502365112305</v>
      </c>
      <c r="AH91">
        <v>26.140466690063477</v>
      </c>
      <c r="AI91">
        <f t="shared" si="46"/>
        <v>3.4041337966918945</v>
      </c>
      <c r="AJ91">
        <f t="shared" si="66"/>
        <v>-2.6872952779134112</v>
      </c>
      <c r="AK91">
        <f t="shared" si="54"/>
        <v>6.4410472619962515</v>
      </c>
      <c r="AL91">
        <f t="shared" si="55"/>
        <v>2.6872952779134112</v>
      </c>
      <c r="AO91" s="14" t="s">
        <v>48</v>
      </c>
      <c r="AP91" s="13">
        <v>51</v>
      </c>
      <c r="AQ91">
        <v>25.945684432983398</v>
      </c>
      <c r="AR91">
        <v>24.788311004638672</v>
      </c>
      <c r="AS91">
        <v>26.659938812255859</v>
      </c>
      <c r="AT91">
        <v>24.921409606933594</v>
      </c>
      <c r="AU91">
        <f t="shared" si="62"/>
        <v>0.42367649078369141</v>
      </c>
      <c r="AV91">
        <f t="shared" si="63"/>
        <v>-0.92189343770345045</v>
      </c>
      <c r="AW91">
        <f t="shared" si="49"/>
        <v>1.8946001945026114</v>
      </c>
      <c r="AX91">
        <f t="shared" si="56"/>
        <v>0.92189343770345056</v>
      </c>
    </row>
    <row r="92" spans="1:80" x14ac:dyDescent="0.45">
      <c r="B92" s="10" t="s">
        <v>146</v>
      </c>
      <c r="C92" s="18">
        <v>22</v>
      </c>
      <c r="D92">
        <v>22.788944244384766</v>
      </c>
      <c r="E92">
        <v>23.788051605224609</v>
      </c>
      <c r="F92">
        <v>26.722024917602539</v>
      </c>
      <c r="G92">
        <v>28.587310791015625</v>
      </c>
      <c r="H92">
        <f t="shared" si="43"/>
        <v>4.3661699295043945</v>
      </c>
      <c r="I92">
        <f t="shared" si="64"/>
        <v>1.2979618708292642</v>
      </c>
      <c r="J92">
        <f t="shared" si="44"/>
        <v>0.4067003476592419</v>
      </c>
      <c r="N92" s="10" t="s">
        <v>95</v>
      </c>
      <c r="O92" s="18" t="s">
        <v>96</v>
      </c>
      <c r="P92">
        <v>22.788944244384766</v>
      </c>
      <c r="Q92">
        <v>23.788051605224609</v>
      </c>
      <c r="R92">
        <v>20.856464385986328</v>
      </c>
      <c r="S92">
        <v>21.362583160400391</v>
      </c>
      <c r="T92">
        <f t="shared" si="51"/>
        <v>-2.1789741516113281</v>
      </c>
      <c r="U92">
        <f t="shared" si="65"/>
        <v>0.1810077031453452</v>
      </c>
      <c r="V92">
        <f t="shared" si="45"/>
        <v>0.8820866553592267</v>
      </c>
      <c r="AC92" s="14" t="s">
        <v>31</v>
      </c>
      <c r="AD92" s="13">
        <v>28</v>
      </c>
      <c r="AE92">
        <v>27.122432708740234</v>
      </c>
      <c r="AF92">
        <v>26.841650009155273</v>
      </c>
      <c r="AG92">
        <v>28.518455505371094</v>
      </c>
      <c r="AH92">
        <v>28.635410308837891</v>
      </c>
      <c r="AI92">
        <f t="shared" si="46"/>
        <v>1.5948915481567383</v>
      </c>
      <c r="AJ92">
        <f t="shared" si="66"/>
        <v>-4.4965375264485674</v>
      </c>
      <c r="AK92">
        <f t="shared" si="54"/>
        <v>22.573176226707819</v>
      </c>
      <c r="AL92">
        <f t="shared" si="55"/>
        <v>4.4965375264485674</v>
      </c>
      <c r="AO92" s="14" t="s">
        <v>49</v>
      </c>
      <c r="AP92" s="13">
        <v>52</v>
      </c>
      <c r="AQ92">
        <v>25.981357574462891</v>
      </c>
      <c r="AR92">
        <f>AVERAGE(AR93:AR94)</f>
        <v>26.75277042388916</v>
      </c>
      <c r="AS92">
        <v>25.434700012207031</v>
      </c>
      <c r="AT92">
        <v>25.374286651611328</v>
      </c>
      <c r="AU92">
        <f t="shared" si="62"/>
        <v>-0.9625706672668457</v>
      </c>
      <c r="AV92">
        <f t="shared" si="63"/>
        <v>-2.3081405957539873</v>
      </c>
      <c r="AW92">
        <f t="shared" si="49"/>
        <v>4.9524437730625985</v>
      </c>
      <c r="AX92">
        <f t="shared" si="56"/>
        <v>2.3081405957539873</v>
      </c>
    </row>
    <row r="93" spans="1:80" x14ac:dyDescent="0.45">
      <c r="B93" s="10" t="s">
        <v>147</v>
      </c>
      <c r="C93" s="18">
        <v>23</v>
      </c>
      <c r="D93">
        <v>22.090873718261719</v>
      </c>
      <c r="E93">
        <v>22.186307907104492</v>
      </c>
      <c r="F93">
        <v>22.914772033691406</v>
      </c>
      <c r="G93">
        <v>25.467048645019531</v>
      </c>
      <c r="H93">
        <f t="shared" si="43"/>
        <v>2.0523195266723633</v>
      </c>
      <c r="I93">
        <f t="shared" si="64"/>
        <v>-1.0158885320027671</v>
      </c>
      <c r="J93">
        <f t="shared" si="44"/>
        <v>2.0221479169800185</v>
      </c>
      <c r="N93" s="10" t="s">
        <v>97</v>
      </c>
      <c r="O93" s="18" t="s">
        <v>98</v>
      </c>
      <c r="P93">
        <v>22.090873718261719</v>
      </c>
      <c r="Q93">
        <v>22.186307907104492</v>
      </c>
      <c r="R93">
        <v>17.852876663208008</v>
      </c>
      <c r="S93">
        <v>18.348011016845703</v>
      </c>
      <c r="T93">
        <f t="shared" si="51"/>
        <v>-4.03814697265625</v>
      </c>
      <c r="U93">
        <f t="shared" si="65"/>
        <v>-1.6781651178995767</v>
      </c>
      <c r="V93">
        <f t="shared" si="45"/>
        <v>3.2002067592567731</v>
      </c>
      <c r="AC93" s="14" t="s">
        <v>32</v>
      </c>
      <c r="AD93" s="13">
        <v>29</v>
      </c>
      <c r="AE93">
        <v>23.151887893676758</v>
      </c>
      <c r="AF93">
        <v>22.310262680053711</v>
      </c>
      <c r="AG93">
        <v>27.761569976806641</v>
      </c>
      <c r="AH93">
        <v>27.959573745727539</v>
      </c>
      <c r="AI93">
        <f t="shared" si="46"/>
        <v>5.1294965744018555</v>
      </c>
      <c r="AJ93">
        <f t="shared" si="66"/>
        <v>-0.96193250020345022</v>
      </c>
      <c r="AK93">
        <f t="shared" si="54"/>
        <v>1.9479173971711035</v>
      </c>
      <c r="AL93">
        <f t="shared" si="55"/>
        <v>0.96193250020345022</v>
      </c>
      <c r="AO93" s="14" t="s">
        <v>50</v>
      </c>
      <c r="AP93" s="13">
        <v>53</v>
      </c>
      <c r="AQ93">
        <v>26.068656921386719</v>
      </c>
      <c r="AR93">
        <v>26.559715270996094</v>
      </c>
      <c r="AS93">
        <v>25.434700012207031</v>
      </c>
      <c r="AU93">
        <f t="shared" si="62"/>
        <v>-0.879486083984375</v>
      </c>
      <c r="AV93">
        <f t="shared" si="63"/>
        <v>-2.2250560124715166</v>
      </c>
      <c r="AW93">
        <f t="shared" si="49"/>
        <v>4.6752905083456398</v>
      </c>
      <c r="AX93">
        <f t="shared" si="56"/>
        <v>2.2250560124715166</v>
      </c>
    </row>
    <row r="94" spans="1:80" s="6" customFormat="1" ht="14.65" thickBot="1" x14ac:dyDescent="0.5">
      <c r="A94"/>
      <c r="B94" s="11" t="s">
        <v>148</v>
      </c>
      <c r="C94" s="18">
        <v>24</v>
      </c>
      <c r="D94">
        <v>22.689151763916016</v>
      </c>
      <c r="E94">
        <v>22.647850036621094</v>
      </c>
      <c r="F94" s="6">
        <v>24.519018173217773</v>
      </c>
      <c r="G94" s="6">
        <v>27.597686767578125</v>
      </c>
      <c r="H94">
        <f t="shared" si="43"/>
        <v>3.3898515701293945</v>
      </c>
      <c r="I94">
        <f t="shared" si="64"/>
        <v>0.32164351145426417</v>
      </c>
      <c r="J94">
        <f t="shared" si="44"/>
        <v>0.80015782212877207</v>
      </c>
      <c r="L94"/>
      <c r="M94"/>
      <c r="N94" s="11" t="s">
        <v>99</v>
      </c>
      <c r="O94" s="18" t="s">
        <v>100</v>
      </c>
      <c r="P94">
        <v>22.689151763916016</v>
      </c>
      <c r="Q94">
        <v>22.647850036621094</v>
      </c>
      <c r="R94">
        <v>20.812446594238281</v>
      </c>
      <c r="S94">
        <v>20.232614517211914</v>
      </c>
      <c r="T94">
        <f t="shared" si="51"/>
        <v>-2.145970344543457</v>
      </c>
      <c r="U94">
        <f t="shared" si="65"/>
        <v>0.21401151021321629</v>
      </c>
      <c r="V94">
        <f t="shared" si="45"/>
        <v>0.86213666662946886</v>
      </c>
      <c r="X94"/>
      <c r="Y94"/>
      <c r="Z94"/>
      <c r="AA94"/>
      <c r="AB94"/>
      <c r="AC94" s="15" t="s">
        <v>33</v>
      </c>
      <c r="AD94" s="16">
        <v>30</v>
      </c>
      <c r="AE94">
        <v>24.104555130004883</v>
      </c>
      <c r="AF94">
        <v>24.11619758605957</v>
      </c>
      <c r="AG94" s="6">
        <v>28.47454833984375</v>
      </c>
      <c r="AH94" s="6">
        <v>27.829439163208008</v>
      </c>
      <c r="AI94" s="6">
        <f t="shared" si="46"/>
        <v>4.0416173934936523</v>
      </c>
      <c r="AJ94">
        <f t="shared" si="66"/>
        <v>-2.0498116811116533</v>
      </c>
      <c r="AK94">
        <f t="shared" si="54"/>
        <v>4.1405191869134628</v>
      </c>
      <c r="AL94">
        <f t="shared" si="55"/>
        <v>2.0498116811116533</v>
      </c>
      <c r="AM94"/>
      <c r="AN94"/>
      <c r="AO94" s="15" t="s">
        <v>51</v>
      </c>
      <c r="AP94" s="13">
        <v>54</v>
      </c>
      <c r="AQ94">
        <v>26.753528594970703</v>
      </c>
      <c r="AR94">
        <v>26.945825576782227</v>
      </c>
      <c r="AS94">
        <v>25.434700012207031</v>
      </c>
      <c r="AT94">
        <v>23.315837860107422</v>
      </c>
      <c r="AU94">
        <f t="shared" si="62"/>
        <v>-2.4744081497192383</v>
      </c>
      <c r="AV94">
        <f t="shared" si="63"/>
        <v>-3.8199780782063799</v>
      </c>
      <c r="AW94">
        <f t="shared" si="49"/>
        <v>14.123033339112666</v>
      </c>
      <c r="AX94">
        <f t="shared" si="56"/>
        <v>3.8199780782063804</v>
      </c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</row>
    <row r="95" spans="1:80" x14ac:dyDescent="0.45">
      <c r="B95" s="12" t="s">
        <v>28</v>
      </c>
      <c r="C95" s="20">
        <v>25</v>
      </c>
      <c r="D95">
        <v>22.130222320556641</v>
      </c>
      <c r="E95">
        <v>21.650995254516602</v>
      </c>
      <c r="F95">
        <v>28.430086135864258</v>
      </c>
      <c r="G95">
        <v>28.078693389892578</v>
      </c>
      <c r="H95">
        <f>(AVERAGE(F95:G95)-AVERAGE(D95:E95))</f>
        <v>6.3637809753417969</v>
      </c>
      <c r="I95">
        <f>H95-$H$129</f>
        <v>-0.26200389862060547</v>
      </c>
      <c r="J95">
        <f t="shared" ref="J95" si="67">2^-I95</f>
        <v>1.1991431542527218</v>
      </c>
      <c r="N95" s="12" t="s">
        <v>28</v>
      </c>
      <c r="O95" s="20">
        <v>25</v>
      </c>
      <c r="P95">
        <v>22.130222320556641</v>
      </c>
      <c r="Q95">
        <v>21.650995254516602</v>
      </c>
      <c r="R95">
        <v>25.87269401550293</v>
      </c>
      <c r="S95">
        <v>25.804256439208984</v>
      </c>
      <c r="T95">
        <f>(AVERAGE(R95:S95)-AVERAGE(P95:Q95))</f>
        <v>3.9478664398193359</v>
      </c>
      <c r="U95">
        <f>T95-$T$129</f>
        <v>-0.40074602762858103</v>
      </c>
      <c r="V95">
        <f>2^-U95</f>
        <v>1.320190413929019</v>
      </c>
      <c r="W95">
        <f t="shared" ref="W95:W100" si="68">LOG(V95,2)</f>
        <v>0.40074602762858114</v>
      </c>
      <c r="AC95" s="12" t="s">
        <v>34</v>
      </c>
      <c r="AD95" s="13">
        <v>37</v>
      </c>
      <c r="AE95">
        <v>24.712625503540039</v>
      </c>
      <c r="AF95">
        <v>22.974302291870117</v>
      </c>
      <c r="AG95">
        <v>28.71278190612793</v>
      </c>
      <c r="AH95">
        <v>28.749774932861328</v>
      </c>
      <c r="AI95">
        <f t="shared" si="46"/>
        <v>4.8878145217895508</v>
      </c>
      <c r="AJ95">
        <f>AI95-$AG$38</f>
        <v>-0.81613985697428415</v>
      </c>
      <c r="AK95">
        <f t="shared" si="54"/>
        <v>1.7606887025998792</v>
      </c>
      <c r="AL95">
        <f t="shared" si="55"/>
        <v>0.81613985697428426</v>
      </c>
    </row>
    <row r="96" spans="1:80" x14ac:dyDescent="0.45">
      <c r="B96" s="14" t="s">
        <v>29</v>
      </c>
      <c r="C96" s="20">
        <v>26</v>
      </c>
      <c r="D96">
        <v>21.242998123168945</v>
      </c>
      <c r="E96">
        <v>21.288978576660156</v>
      </c>
      <c r="F96">
        <v>28.015542984008789</v>
      </c>
      <c r="G96">
        <v>27.90631103515625</v>
      </c>
      <c r="H96">
        <f t="shared" si="43"/>
        <v>6.6949386596679688</v>
      </c>
      <c r="I96">
        <f t="shared" ref="I96:I100" si="69">H96-$H$129</f>
        <v>6.9153785705566406E-2</v>
      </c>
      <c r="J96">
        <f t="shared" si="44"/>
        <v>0.95319693277003659</v>
      </c>
      <c r="N96" s="14" t="s">
        <v>29</v>
      </c>
      <c r="O96" s="20">
        <v>26</v>
      </c>
      <c r="P96">
        <v>21.242998123168945</v>
      </c>
      <c r="Q96">
        <v>21.288978576660156</v>
      </c>
      <c r="R96">
        <v>24.92292594909668</v>
      </c>
      <c r="S96">
        <v>25.479541778564453</v>
      </c>
      <c r="T96">
        <f t="shared" si="51"/>
        <v>3.9352455139160156</v>
      </c>
      <c r="U96">
        <f t="shared" ref="U96:U100" si="70">T96-$T$129</f>
        <v>-0.41336695353190134</v>
      </c>
      <c r="V96">
        <f>2^-U96</f>
        <v>1.3317903147633119</v>
      </c>
      <c r="W96">
        <f t="shared" si="68"/>
        <v>0.41336695353190134</v>
      </c>
      <c r="AC96" s="14" t="s">
        <v>35</v>
      </c>
      <c r="AD96" s="13">
        <v>38</v>
      </c>
      <c r="AE96">
        <v>24.994482040405273</v>
      </c>
      <c r="AF96">
        <v>23.902042388916016</v>
      </c>
      <c r="AG96">
        <v>27.684017181396484</v>
      </c>
      <c r="AH96">
        <v>28.15631103515625</v>
      </c>
      <c r="AI96">
        <f t="shared" si="46"/>
        <v>3.4719018936157227</v>
      </c>
      <c r="AJ96">
        <f t="shared" ref="AJ96:AJ100" si="71">AI96-$AG$38</f>
        <v>-2.2320524851481123</v>
      </c>
      <c r="AK96">
        <f t="shared" si="54"/>
        <v>4.6980187953520929</v>
      </c>
      <c r="AL96">
        <f t="shared" si="55"/>
        <v>2.2320524851481123</v>
      </c>
    </row>
    <row r="97" spans="1:80" x14ac:dyDescent="0.45">
      <c r="B97" s="14" t="s">
        <v>30</v>
      </c>
      <c r="C97" s="20">
        <v>27</v>
      </c>
      <c r="D97">
        <v>20.672460556030273</v>
      </c>
      <c r="E97">
        <v>21.473396301269531</v>
      </c>
      <c r="F97">
        <v>27.990287780761719</v>
      </c>
      <c r="G97">
        <v>27.792839050292969</v>
      </c>
      <c r="H97">
        <f t="shared" si="43"/>
        <v>6.8186349868774414</v>
      </c>
      <c r="I97">
        <f t="shared" si="69"/>
        <v>0.19285011291503906</v>
      </c>
      <c r="J97">
        <f t="shared" si="44"/>
        <v>0.87487565434962133</v>
      </c>
      <c r="N97" s="14" t="s">
        <v>30</v>
      </c>
      <c r="O97" s="20">
        <v>27</v>
      </c>
      <c r="P97">
        <v>20.672460556030273</v>
      </c>
      <c r="Q97">
        <v>21.473396301269531</v>
      </c>
      <c r="R97">
        <v>26.363191604614258</v>
      </c>
      <c r="S97">
        <v>26.108116149902344</v>
      </c>
      <c r="T97">
        <f t="shared" si="51"/>
        <v>5.1627254486083984</v>
      </c>
      <c r="U97">
        <f t="shared" si="70"/>
        <v>0.81411298116048147</v>
      </c>
      <c r="V97">
        <f>2^-U97</f>
        <v>0.56875807128426215</v>
      </c>
      <c r="W97">
        <f t="shared" si="68"/>
        <v>-0.81411298116048147</v>
      </c>
      <c r="AC97" s="14" t="s">
        <v>36</v>
      </c>
      <c r="AD97" s="13">
        <v>39</v>
      </c>
      <c r="AE97">
        <v>36.971157073974609</v>
      </c>
      <c r="AF97">
        <v>36.900169372558594</v>
      </c>
      <c r="AG97">
        <v>33.640972137451172</v>
      </c>
      <c r="AH97">
        <v>35.948013305664063</v>
      </c>
      <c r="AI97">
        <f t="shared" si="46"/>
        <v>-2.1411705017089844</v>
      </c>
      <c r="AJ97">
        <f t="shared" si="71"/>
        <v>-7.8451248804728193</v>
      </c>
      <c r="AK97">
        <f>AVERAGE(AK95:AK96)</f>
        <v>3.2293537489759858</v>
      </c>
      <c r="AL97">
        <f t="shared" si="55"/>
        <v>1.6912454849097571</v>
      </c>
    </row>
    <row r="98" spans="1:80" x14ac:dyDescent="0.45">
      <c r="B98" s="14" t="s">
        <v>31</v>
      </c>
      <c r="C98" s="20">
        <v>28</v>
      </c>
      <c r="D98">
        <v>25.482093811035156</v>
      </c>
      <c r="E98">
        <v>25.213163375854492</v>
      </c>
      <c r="F98">
        <v>30.052396774291992</v>
      </c>
      <c r="G98">
        <v>29.633871078491211</v>
      </c>
      <c r="H98">
        <f t="shared" si="43"/>
        <v>4.4955053329467773</v>
      </c>
      <c r="I98">
        <f>H98-$H$129</f>
        <v>-2.130279541015625</v>
      </c>
      <c r="J98">
        <f>2^-I98</f>
        <v>4.3780230220311482</v>
      </c>
      <c r="N98" s="14" t="s">
        <v>31</v>
      </c>
      <c r="O98" s="20">
        <v>28</v>
      </c>
      <c r="P98">
        <v>25.482093811035156</v>
      </c>
      <c r="Q98">
        <v>25.213163375854492</v>
      </c>
      <c r="R98">
        <v>28.340200424194336</v>
      </c>
      <c r="S98">
        <v>29.149803161621094</v>
      </c>
      <c r="T98">
        <f t="shared" si="51"/>
        <v>3.3973731994628906</v>
      </c>
      <c r="U98">
        <f t="shared" si="70"/>
        <v>-0.95123926798502634</v>
      </c>
      <c r="V98">
        <f>2^-U98</f>
        <v>1.9335328399575726</v>
      </c>
      <c r="W98">
        <f t="shared" si="68"/>
        <v>0.95123926798502645</v>
      </c>
      <c r="AC98" s="14" t="s">
        <v>37</v>
      </c>
      <c r="AD98" s="13">
        <v>40</v>
      </c>
      <c r="AE98">
        <v>25.086938858032227</v>
      </c>
      <c r="AF98">
        <v>24.758943557739258</v>
      </c>
      <c r="AG98">
        <v>29.828554153442383</v>
      </c>
      <c r="AH98">
        <v>27.761817932128906</v>
      </c>
      <c r="AI98">
        <f t="shared" si="46"/>
        <v>3.8722448348999023</v>
      </c>
      <c r="AJ98">
        <f t="shared" si="71"/>
        <v>-1.8317095438639326</v>
      </c>
      <c r="AK98">
        <f t="shared" ref="AK98:AK106" si="72">2^-AJ98</f>
        <v>3.5595862134590361</v>
      </c>
      <c r="AL98">
        <f t="shared" si="55"/>
        <v>1.8317095438639326</v>
      </c>
    </row>
    <row r="99" spans="1:80" x14ac:dyDescent="0.45">
      <c r="B99" s="14" t="s">
        <v>32</v>
      </c>
      <c r="C99" s="20">
        <v>29</v>
      </c>
      <c r="D99">
        <v>21.397426605224609</v>
      </c>
      <c r="E99">
        <v>22.360267639160156</v>
      </c>
      <c r="F99">
        <v>27.80265998840332</v>
      </c>
      <c r="G99">
        <v>27.112232208251953</v>
      </c>
      <c r="H99">
        <f t="shared" si="43"/>
        <v>5.5785989761352539</v>
      </c>
      <c r="I99">
        <f t="shared" si="69"/>
        <v>-1.0471858978271484</v>
      </c>
      <c r="J99">
        <f t="shared" si="44"/>
        <v>2.0664950355111955</v>
      </c>
      <c r="N99" s="14" t="s">
        <v>32</v>
      </c>
      <c r="O99" s="20">
        <v>29</v>
      </c>
      <c r="P99">
        <v>21.397426605224609</v>
      </c>
      <c r="Q99">
        <v>22.360267639160156</v>
      </c>
      <c r="R99">
        <v>25.755611419677734</v>
      </c>
      <c r="S99">
        <v>27.776020050048828</v>
      </c>
      <c r="T99">
        <f t="shared" si="51"/>
        <v>4.8869686126708984</v>
      </c>
      <c r="U99">
        <f t="shared" si="70"/>
        <v>0.53835614522298147</v>
      </c>
      <c r="V99">
        <f>2^-U99</f>
        <v>0.68855502478809383</v>
      </c>
      <c r="W99">
        <f t="shared" si="68"/>
        <v>-0.53835614522298159</v>
      </c>
      <c r="AC99" s="14" t="s">
        <v>38</v>
      </c>
      <c r="AD99" s="13">
        <v>41</v>
      </c>
      <c r="AE99">
        <v>25.350627899169922</v>
      </c>
      <c r="AF99">
        <v>25.481233596801758</v>
      </c>
      <c r="AG99">
        <v>28.315805435180664</v>
      </c>
      <c r="AH99">
        <v>27.887474060058594</v>
      </c>
      <c r="AI99">
        <f t="shared" si="46"/>
        <v>2.6857089996337891</v>
      </c>
      <c r="AJ99">
        <f t="shared" si="71"/>
        <v>-3.0182453791300459</v>
      </c>
      <c r="AK99">
        <f t="shared" si="72"/>
        <v>8.1018163297546746</v>
      </c>
      <c r="AL99">
        <f t="shared" si="55"/>
        <v>3.0182453791300459</v>
      </c>
      <c r="AT99" t="s">
        <v>9</v>
      </c>
      <c r="AU99">
        <f>AVERAGE(AU77:AU79)</f>
        <v>0.90608882904052734</v>
      </c>
    </row>
    <row r="100" spans="1:80" s="6" customFormat="1" ht="14.65" thickBot="1" x14ac:dyDescent="0.5">
      <c r="A100"/>
      <c r="B100" s="15" t="s">
        <v>33</v>
      </c>
      <c r="C100" s="20">
        <v>30</v>
      </c>
      <c r="D100">
        <v>23.315301895141602</v>
      </c>
      <c r="E100">
        <v>23.295766830444336</v>
      </c>
      <c r="F100">
        <f>AVERAGE(F98:F99)</f>
        <v>28.927528381347656</v>
      </c>
      <c r="G100">
        <f>AVERAGE(G98:G99)</f>
        <v>28.373051643371582</v>
      </c>
      <c r="H100">
        <f t="shared" si="43"/>
        <v>5.3447556495666504</v>
      </c>
      <c r="I100">
        <f t="shared" si="69"/>
        <v>-1.281029224395752</v>
      </c>
      <c r="J100">
        <f t="shared" si="44"/>
        <v>2.4301228098414556</v>
      </c>
      <c r="K100"/>
      <c r="L100"/>
      <c r="M100"/>
      <c r="N100" s="15" t="s">
        <v>33</v>
      </c>
      <c r="O100" s="20">
        <v>30</v>
      </c>
      <c r="P100">
        <v>23.315301895141602</v>
      </c>
      <c r="Q100">
        <v>23.295766830444336</v>
      </c>
      <c r="R100">
        <v>28.626880645751953</v>
      </c>
      <c r="S100">
        <v>28.719343185424805</v>
      </c>
      <c r="T100">
        <f t="shared" si="51"/>
        <v>5.3675775527954102</v>
      </c>
      <c r="U100">
        <f t="shared" si="70"/>
        <v>1.0189650853474932</v>
      </c>
      <c r="V100">
        <f t="shared" ref="V100:V124" si="73">2^-U100</f>
        <v>0.4934702152676107</v>
      </c>
      <c r="W100">
        <f t="shared" si="68"/>
        <v>-1.0189650853474932</v>
      </c>
      <c r="X100"/>
      <c r="Y100"/>
      <c r="Z100"/>
      <c r="AA100"/>
      <c r="AB100"/>
      <c r="AC100" s="15" t="s">
        <v>39</v>
      </c>
      <c r="AD100" s="16">
        <v>42</v>
      </c>
      <c r="AE100">
        <v>23.420566558837891</v>
      </c>
      <c r="AF100">
        <v>24.463907241821289</v>
      </c>
      <c r="AG100" s="6">
        <v>27.418607711791992</v>
      </c>
      <c r="AH100" s="6">
        <f>AVERAGE(AG99:AH99)</f>
        <v>28.101639747619629</v>
      </c>
      <c r="AI100" s="6">
        <f t="shared" si="46"/>
        <v>3.8178868293762207</v>
      </c>
      <c r="AJ100">
        <f t="shared" si="71"/>
        <v>-1.8860675493876142</v>
      </c>
      <c r="AK100">
        <f t="shared" si="72"/>
        <v>3.6962633509496374</v>
      </c>
      <c r="AL100">
        <f t="shared" si="55"/>
        <v>1.8860675493876142</v>
      </c>
      <c r="AM100"/>
      <c r="AN100"/>
      <c r="AO100"/>
      <c r="AP100"/>
      <c r="AQ100"/>
      <c r="AR100"/>
      <c r="AS100"/>
      <c r="AT100" t="s">
        <v>10</v>
      </c>
      <c r="AU100">
        <f>AVERAGE(AU83:AU85)</f>
        <v>0.89592329661051429</v>
      </c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</row>
    <row r="101" spans="1:80" x14ac:dyDescent="0.45">
      <c r="B101" s="9" t="s">
        <v>149</v>
      </c>
      <c r="C101" s="18">
        <v>31</v>
      </c>
      <c r="D101">
        <v>23.186012268066406</v>
      </c>
      <c r="E101">
        <v>23.13775634765625</v>
      </c>
      <c r="F101">
        <v>29.313188552856445</v>
      </c>
      <c r="G101">
        <v>28.990728378295898</v>
      </c>
      <c r="H101">
        <f t="shared" si="43"/>
        <v>5.9900741577148438</v>
      </c>
      <c r="I101">
        <f>H101-$H$130</f>
        <v>0.45106124877929688</v>
      </c>
      <c r="J101">
        <f t="shared" si="44"/>
        <v>0.73150455409232273</v>
      </c>
      <c r="N101" s="9" t="s">
        <v>101</v>
      </c>
      <c r="O101" s="18" t="s">
        <v>102</v>
      </c>
      <c r="P101">
        <v>23.186012268066406</v>
      </c>
      <c r="Q101">
        <v>23.13775634765625</v>
      </c>
      <c r="R101">
        <v>20.822639465332031</v>
      </c>
      <c r="S101">
        <v>20.710474014282227</v>
      </c>
      <c r="T101">
        <f t="shared" si="51"/>
        <v>-2.3953275680541992</v>
      </c>
      <c r="U101">
        <f>T101-$T$130</f>
        <v>0.23011175791422511</v>
      </c>
      <c r="V101">
        <f t="shared" si="73"/>
        <v>0.8525688452343928</v>
      </c>
      <c r="AC101" s="9" t="s">
        <v>46</v>
      </c>
      <c r="AD101">
        <v>49</v>
      </c>
      <c r="AE101">
        <v>25.373407363891602</v>
      </c>
      <c r="AF101">
        <v>26.233261108398438</v>
      </c>
      <c r="AG101">
        <v>27.895034790039063</v>
      </c>
      <c r="AH101">
        <v>27.14161491394043</v>
      </c>
      <c r="AI101">
        <f t="shared" si="46"/>
        <v>1.7149906158447266</v>
      </c>
      <c r="AJ101">
        <f>AI101-$AG$39</f>
        <v>-3.8180942535400391</v>
      </c>
      <c r="AK101">
        <f t="shared" si="72"/>
        <v>14.104603972414466</v>
      </c>
      <c r="AL101">
        <f t="shared" si="55"/>
        <v>3.8180942535400395</v>
      </c>
      <c r="AT101" t="s">
        <v>59</v>
      </c>
      <c r="AU101">
        <f>AVERAGE(AU89:AU91)</f>
        <v>-5.6866486867268883E-2</v>
      </c>
    </row>
    <row r="102" spans="1:80" x14ac:dyDescent="0.45">
      <c r="B102" s="10" t="s">
        <v>150</v>
      </c>
      <c r="C102" s="18">
        <v>32</v>
      </c>
      <c r="D102">
        <v>22.721122741699219</v>
      </c>
      <c r="E102">
        <v>22.645586013793945</v>
      </c>
      <c r="G102">
        <v>27.835988998413086</v>
      </c>
      <c r="H102">
        <f t="shared" si="43"/>
        <v>5.1526346206665039</v>
      </c>
      <c r="I102">
        <f t="shared" ref="I102:I106" si="74">H102-$H$130</f>
        <v>-0.38637828826904297</v>
      </c>
      <c r="J102">
        <f t="shared" si="44"/>
        <v>1.3071079450143814</v>
      </c>
      <c r="N102" s="10" t="s">
        <v>103</v>
      </c>
      <c r="O102" s="18" t="s">
        <v>104</v>
      </c>
      <c r="P102">
        <v>22.721122741699219</v>
      </c>
      <c r="Q102">
        <v>22.645586013793945</v>
      </c>
      <c r="R102">
        <v>19.944881439208984</v>
      </c>
      <c r="S102">
        <v>19.756725311279297</v>
      </c>
      <c r="T102">
        <f t="shared" si="51"/>
        <v>-2.8325510025024414</v>
      </c>
      <c r="U102">
        <f t="shared" ref="U102:U106" si="75">T102-$T$130</f>
        <v>-0.20711167653401708</v>
      </c>
      <c r="V102">
        <f t="shared" si="73"/>
        <v>1.1543747722178586</v>
      </c>
      <c r="AC102" s="10" t="s">
        <v>47</v>
      </c>
      <c r="AD102">
        <v>50</v>
      </c>
      <c r="AE102">
        <v>24.160923004150391</v>
      </c>
      <c r="AF102">
        <v>23.747823715209961</v>
      </c>
      <c r="AG102">
        <v>27.48222541809082</v>
      </c>
      <c r="AH102">
        <v>27.300201416015625</v>
      </c>
      <c r="AI102">
        <f t="shared" si="46"/>
        <v>3.4368400573730469</v>
      </c>
      <c r="AJ102">
        <f t="shared" ref="AJ102:AJ106" si="76">AI102-$AG$39</f>
        <v>-2.0962448120117188</v>
      </c>
      <c r="AK102">
        <f t="shared" si="72"/>
        <v>4.2759494923852879</v>
      </c>
      <c r="AL102">
        <f t="shared" si="55"/>
        <v>2.0962448120117188</v>
      </c>
    </row>
    <row r="103" spans="1:80" x14ac:dyDescent="0.45">
      <c r="B103" s="10" t="s">
        <v>151</v>
      </c>
      <c r="C103" s="18">
        <v>33</v>
      </c>
      <c r="D103">
        <v>23.384021759033203</v>
      </c>
      <c r="E103">
        <v>23.311582565307617</v>
      </c>
      <c r="F103">
        <v>28.126972198486328</v>
      </c>
      <c r="G103">
        <v>29.517292022705078</v>
      </c>
      <c r="H103">
        <f t="shared" si="43"/>
        <v>5.474329948425293</v>
      </c>
      <c r="I103">
        <f t="shared" si="74"/>
        <v>-6.4682960510253906E-2</v>
      </c>
      <c r="J103">
        <f t="shared" si="44"/>
        <v>1.0458550826238899</v>
      </c>
      <c r="N103" s="10" t="s">
        <v>105</v>
      </c>
      <c r="O103" s="18" t="s">
        <v>106</v>
      </c>
      <c r="P103">
        <v>23.384021759033203</v>
      </c>
      <c r="Q103">
        <v>23.311582565307617</v>
      </c>
      <c r="R103">
        <v>21.453163146972656</v>
      </c>
      <c r="S103">
        <v>19.945562362670898</v>
      </c>
      <c r="T103">
        <f t="shared" si="51"/>
        <v>-2.6484394073486328</v>
      </c>
      <c r="U103">
        <f t="shared" si="75"/>
        <v>-2.3000081380208481E-2</v>
      </c>
      <c r="V103">
        <f t="shared" si="73"/>
        <v>1.0160702003086577</v>
      </c>
      <c r="AC103" s="10" t="s">
        <v>48</v>
      </c>
      <c r="AD103">
        <v>51</v>
      </c>
      <c r="AE103">
        <v>25.945684432983398</v>
      </c>
      <c r="AF103">
        <v>24.788311004638672</v>
      </c>
      <c r="AG103">
        <v>26.816686630249023</v>
      </c>
      <c r="AH103">
        <v>26.553165435791016</v>
      </c>
      <c r="AI103">
        <f t="shared" si="46"/>
        <v>1.3179283142089844</v>
      </c>
      <c r="AJ103">
        <f t="shared" si="76"/>
        <v>-4.2151565551757813</v>
      </c>
      <c r="AK103">
        <f t="shared" si="72"/>
        <v>18.573278014513701</v>
      </c>
      <c r="AL103">
        <f t="shared" si="55"/>
        <v>4.2151565551757813</v>
      </c>
      <c r="AP103" t="s">
        <v>12</v>
      </c>
      <c r="AQ103" t="s">
        <v>7</v>
      </c>
      <c r="AR103" t="s">
        <v>13</v>
      </c>
      <c r="AS103" t="s">
        <v>7</v>
      </c>
    </row>
    <row r="104" spans="1:80" x14ac:dyDescent="0.45">
      <c r="B104" s="10" t="s">
        <v>152</v>
      </c>
      <c r="C104" s="18">
        <v>34</v>
      </c>
      <c r="D104">
        <v>19.924440383911133</v>
      </c>
      <c r="E104">
        <v>20.117538452148438</v>
      </c>
      <c r="F104">
        <v>26.632623672485352</v>
      </c>
      <c r="H104">
        <f t="shared" si="43"/>
        <v>6.6116342544555664</v>
      </c>
      <c r="I104">
        <f t="shared" si="74"/>
        <v>1.0726213455200195</v>
      </c>
      <c r="J104">
        <f t="shared" si="44"/>
        <v>0.47545432354375866</v>
      </c>
      <c r="N104" s="10" t="s">
        <v>107</v>
      </c>
      <c r="O104" s="18" t="s">
        <v>108</v>
      </c>
      <c r="P104">
        <v>19.924440383911133</v>
      </c>
      <c r="Q104">
        <v>20.117538452148438</v>
      </c>
      <c r="R104">
        <v>19.224399566650391</v>
      </c>
      <c r="S104">
        <v>19.603775024414063</v>
      </c>
      <c r="T104">
        <f t="shared" si="51"/>
        <v>-0.60690212249755859</v>
      </c>
      <c r="U104">
        <f t="shared" si="75"/>
        <v>2.0185372034708657</v>
      </c>
      <c r="V104">
        <f t="shared" si="73"/>
        <v>0.24680829644724206</v>
      </c>
      <c r="AC104" s="10" t="s">
        <v>49</v>
      </c>
      <c r="AD104">
        <v>52</v>
      </c>
      <c r="AE104">
        <v>25.981357574462891</v>
      </c>
      <c r="AF104">
        <v>23.337320327758789</v>
      </c>
      <c r="AG104">
        <v>27.075428009033203</v>
      </c>
      <c r="AH104">
        <v>27.218669891357422</v>
      </c>
      <c r="AI104">
        <f t="shared" si="46"/>
        <v>2.4877099990844727</v>
      </c>
      <c r="AJ104">
        <f t="shared" si="76"/>
        <v>-3.045374870300293</v>
      </c>
      <c r="AK104">
        <f t="shared" si="72"/>
        <v>8.2556102959257327</v>
      </c>
      <c r="AL104">
        <f t="shared" si="55"/>
        <v>3.045374870300293</v>
      </c>
      <c r="AO104" t="s">
        <v>10</v>
      </c>
      <c r="AP104">
        <f>AVERAGE(AW77:AW79)</f>
        <v>133.70369731380967</v>
      </c>
      <c r="AQ104">
        <f>_xlfn.STDEV.S(AW77:AW79)/SQRT(3)</f>
        <v>51.404779229264555</v>
      </c>
      <c r="AR104">
        <f>AVERAGE(AW80:AW82)</f>
        <v>102.81405951341253</v>
      </c>
      <c r="AS104">
        <f>_xlfn.STDEV.S(AW80:AW82)/SQRT(3)</f>
        <v>44.394813268383288</v>
      </c>
    </row>
    <row r="105" spans="1:80" x14ac:dyDescent="0.45">
      <c r="B105" s="10" t="s">
        <v>153</v>
      </c>
      <c r="C105" s="18">
        <v>35</v>
      </c>
      <c r="D105">
        <v>22.764436721801758</v>
      </c>
      <c r="E105">
        <v>22.895998001098633</v>
      </c>
      <c r="F105">
        <v>28.197559356689453</v>
      </c>
      <c r="G105">
        <v>28.608381271362305</v>
      </c>
      <c r="H105">
        <f t="shared" si="43"/>
        <v>5.5727529525756836</v>
      </c>
      <c r="I105">
        <f t="shared" si="74"/>
        <v>3.3740043640136719E-2</v>
      </c>
      <c r="J105">
        <f t="shared" si="44"/>
        <v>0.97688453599283764</v>
      </c>
      <c r="N105" s="10" t="s">
        <v>109</v>
      </c>
      <c r="O105" s="18" t="s">
        <v>110</v>
      </c>
      <c r="P105">
        <v>22.764436721801758</v>
      </c>
      <c r="Q105">
        <v>22.895998001098633</v>
      </c>
      <c r="R105">
        <v>20.783790588378906</v>
      </c>
      <c r="S105">
        <v>20.592550277709961</v>
      </c>
      <c r="T105">
        <f t="shared" si="51"/>
        <v>-2.1420469284057617</v>
      </c>
      <c r="U105">
        <f t="shared" si="75"/>
        <v>0.48339239756266261</v>
      </c>
      <c r="V105">
        <f t="shared" si="73"/>
        <v>0.71529368134891214</v>
      </c>
      <c r="AC105" s="10" t="s">
        <v>50</v>
      </c>
      <c r="AD105">
        <v>53</v>
      </c>
      <c r="AE105">
        <v>26.068656921386719</v>
      </c>
      <c r="AF105">
        <v>26.559715270996094</v>
      </c>
      <c r="AG105">
        <v>26.602540969848633</v>
      </c>
      <c r="AH105">
        <v>26.820648193359375</v>
      </c>
      <c r="AI105">
        <f t="shared" si="46"/>
        <v>0.39740848541259766</v>
      </c>
      <c r="AJ105">
        <f t="shared" si="76"/>
        <v>-5.135676383972168</v>
      </c>
      <c r="AK105">
        <f t="shared" si="72"/>
        <v>35.155448234995234</v>
      </c>
      <c r="AL105">
        <f t="shared" si="55"/>
        <v>5.135676383972168</v>
      </c>
      <c r="AO105" t="s">
        <v>11</v>
      </c>
      <c r="AP105">
        <f>AVERAGE(AW83:AW85)</f>
        <v>162.31343497899988</v>
      </c>
      <c r="AQ105">
        <f>_xlfn.STDEV.S(AW83:AW85)/SQRT(3)</f>
        <v>56.017894856591766</v>
      </c>
      <c r="AR105">
        <f>AVERAGE(AW86:AW88)</f>
        <v>99.602816271826939</v>
      </c>
      <c r="AS105">
        <f>_xlfn.STDEV.S(AW86:AW88)/SQRT(3)</f>
        <v>11.325799242045685</v>
      </c>
    </row>
    <row r="106" spans="1:80" s="6" customFormat="1" ht="14.65" thickBot="1" x14ac:dyDescent="0.5">
      <c r="A106"/>
      <c r="B106" s="11" t="s">
        <v>154</v>
      </c>
      <c r="C106" s="18">
        <v>36</v>
      </c>
      <c r="D106">
        <v>22.755031585693359</v>
      </c>
      <c r="E106">
        <v>22.501596450805664</v>
      </c>
      <c r="F106" s="6">
        <v>26.734798431396484</v>
      </c>
      <c r="G106" s="6">
        <v>27.995166778564453</v>
      </c>
      <c r="H106">
        <f t="shared" si="43"/>
        <v>4.736668586730957</v>
      </c>
      <c r="I106">
        <f t="shared" si="74"/>
        <v>-0.80234432220458984</v>
      </c>
      <c r="J106">
        <f t="shared" si="44"/>
        <v>1.7439326467782041</v>
      </c>
      <c r="L106"/>
      <c r="M106"/>
      <c r="N106" s="11" t="s">
        <v>111</v>
      </c>
      <c r="O106" s="18" t="s">
        <v>112</v>
      </c>
      <c r="P106">
        <v>22.755031585693359</v>
      </c>
      <c r="Q106">
        <v>22.501596450805664</v>
      </c>
      <c r="R106">
        <v>20.501607894897461</v>
      </c>
      <c r="S106">
        <v>20.836742401123047</v>
      </c>
      <c r="T106">
        <f t="shared" si="51"/>
        <v>-1.9591388702392578</v>
      </c>
      <c r="U106">
        <f t="shared" si="75"/>
        <v>0.66630045572916652</v>
      </c>
      <c r="V106">
        <f t="shared" si="73"/>
        <v>0.63012045321390397</v>
      </c>
      <c r="X106"/>
      <c r="Y106"/>
      <c r="Z106"/>
      <c r="AA106"/>
      <c r="AB106"/>
      <c r="AC106" s="11" t="s">
        <v>51</v>
      </c>
      <c r="AD106" s="6">
        <v>54</v>
      </c>
      <c r="AE106">
        <v>26.753528594970703</v>
      </c>
      <c r="AF106">
        <v>26.945825576782227</v>
      </c>
      <c r="AG106" s="6">
        <v>26.542110443115234</v>
      </c>
      <c r="AH106" s="6">
        <v>26.60728645324707</v>
      </c>
      <c r="AI106" s="6">
        <f t="shared" si="46"/>
        <v>-0.2749786376953125</v>
      </c>
      <c r="AJ106">
        <f t="shared" si="76"/>
        <v>-5.8080635070800781</v>
      </c>
      <c r="AK106">
        <f t="shared" si="72"/>
        <v>56.027511363389856</v>
      </c>
      <c r="AL106">
        <f t="shared" si="55"/>
        <v>5.8080635070800772</v>
      </c>
      <c r="AM106"/>
      <c r="AN106"/>
      <c r="AO106" t="s">
        <v>61</v>
      </c>
      <c r="AP106">
        <f>AVERAGE(AW89:AW91)</f>
        <v>2.8211879502229085</v>
      </c>
      <c r="AQ106">
        <f>_xlfn.STDEV.S(AW89:AW91)/SQRT(3)</f>
        <v>0.74869947019811767</v>
      </c>
      <c r="AR106">
        <f>AVERAGE(AW92:AW94)</f>
        <v>7.9169225401736343</v>
      </c>
      <c r="AS106">
        <f>_xlfn.STDEV.S(AW92:AW94)/SQRT(3)</f>
        <v>3.1040866568426946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</row>
    <row r="107" spans="1:80" x14ac:dyDescent="0.45">
      <c r="B107" s="12" t="s">
        <v>34</v>
      </c>
      <c r="C107" s="20">
        <v>37</v>
      </c>
      <c r="D107">
        <v>23.398689270019531</v>
      </c>
      <c r="E107">
        <v>23.143154144287109</v>
      </c>
      <c r="F107">
        <v>30.311624526977539</v>
      </c>
      <c r="G107">
        <v>30.221290588378906</v>
      </c>
      <c r="H107">
        <f t="shared" si="43"/>
        <v>6.9955358505249023</v>
      </c>
      <c r="I107">
        <f>H107-$H$131</f>
        <v>0.66423479715983103</v>
      </c>
      <c r="J107">
        <f t="shared" si="44"/>
        <v>0.63102330929273598</v>
      </c>
      <c r="N107" s="12" t="s">
        <v>34</v>
      </c>
      <c r="O107" s="20">
        <v>37</v>
      </c>
      <c r="P107">
        <v>23.398689270019531</v>
      </c>
      <c r="Q107">
        <v>23.143154144287109</v>
      </c>
      <c r="R107">
        <v>27.530616760253906</v>
      </c>
      <c r="S107">
        <v>26.812742233276367</v>
      </c>
      <c r="T107">
        <f t="shared" si="51"/>
        <v>3.9007577896118164</v>
      </c>
      <c r="U107">
        <f>T107-$T$131</f>
        <v>-1.5071751276652021</v>
      </c>
      <c r="V107">
        <f t="shared" si="73"/>
        <v>2.8425291178909928</v>
      </c>
    </row>
    <row r="108" spans="1:80" x14ac:dyDescent="0.45">
      <c r="B108" s="14" t="s">
        <v>35</v>
      </c>
      <c r="C108" s="20">
        <v>38</v>
      </c>
      <c r="D108">
        <v>23.209871292114258</v>
      </c>
      <c r="E108">
        <v>23.394863128662109</v>
      </c>
      <c r="F108">
        <v>28.98643684387207</v>
      </c>
      <c r="G108">
        <v>28.925531387329102</v>
      </c>
      <c r="H108">
        <f t="shared" si="43"/>
        <v>5.6536169052124023</v>
      </c>
      <c r="I108">
        <f t="shared" ref="I108:I112" si="77">H108-$H$131</f>
        <v>-0.67768414815266897</v>
      </c>
      <c r="J108">
        <f t="shared" si="44"/>
        <v>1.5995700215561384</v>
      </c>
      <c r="N108" s="14" t="s">
        <v>35</v>
      </c>
      <c r="O108" s="20">
        <v>38</v>
      </c>
      <c r="P108">
        <v>23.209871292114258</v>
      </c>
      <c r="Q108">
        <v>23.394863128662109</v>
      </c>
      <c r="R108">
        <v>26.449069976806641</v>
      </c>
      <c r="S108">
        <v>25.900293350219727</v>
      </c>
      <c r="T108">
        <f t="shared" si="51"/>
        <v>2.872314453125</v>
      </c>
      <c r="U108">
        <f t="shared" ref="U108:U112" si="78">T108-$T$131</f>
        <v>-2.5356184641520185</v>
      </c>
      <c r="V108">
        <f t="shared" si="73"/>
        <v>5.798253719672231</v>
      </c>
    </row>
    <row r="109" spans="1:80" x14ac:dyDescent="0.45">
      <c r="B109" s="14" t="s">
        <v>36</v>
      </c>
      <c r="C109" s="20">
        <v>39</v>
      </c>
      <c r="D109">
        <f>AVERAGE(D107:D108)</f>
        <v>23.304280281066895</v>
      </c>
      <c r="F109">
        <f>AVERAGE(F107:F108)</f>
        <v>29.649030685424805</v>
      </c>
      <c r="H109">
        <f t="shared" si="43"/>
        <v>6.3447504043579102</v>
      </c>
      <c r="I109">
        <f t="shared" si="77"/>
        <v>1.3449350992838838E-2</v>
      </c>
      <c r="J109">
        <f t="shared" si="44"/>
        <v>0.99072093894525604</v>
      </c>
      <c r="N109" s="14" t="s">
        <v>36</v>
      </c>
      <c r="O109" s="20">
        <v>39</v>
      </c>
      <c r="P109">
        <f>AVERAGE(P107:P108)</f>
        <v>23.304280281066895</v>
      </c>
      <c r="R109">
        <v>32.638004302978516</v>
      </c>
      <c r="S109">
        <v>32.87200927734375</v>
      </c>
      <c r="T109">
        <f t="shared" si="51"/>
        <v>9.4507265090942383</v>
      </c>
      <c r="U109">
        <f t="shared" si="78"/>
        <v>4.0427935918172198</v>
      </c>
      <c r="V109">
        <f t="shared" si="73"/>
        <v>6.0673334349436753E-2</v>
      </c>
      <c r="AD109" s="8"/>
      <c r="AF109" t="s">
        <v>60</v>
      </c>
      <c r="AG109">
        <f>AVERAGE(AI77:AI79)</f>
        <v>4.0540904998779297</v>
      </c>
    </row>
    <row r="110" spans="1:80" x14ac:dyDescent="0.45">
      <c r="B110" s="14" t="s">
        <v>37</v>
      </c>
      <c r="C110" s="20">
        <v>40</v>
      </c>
      <c r="D110">
        <v>24.254467010498047</v>
      </c>
      <c r="E110">
        <v>24.51203727722168</v>
      </c>
      <c r="F110">
        <v>30.039825439453125</v>
      </c>
      <c r="G110">
        <v>30.180965423583984</v>
      </c>
      <c r="H110">
        <f t="shared" si="43"/>
        <v>5.7271432876586914</v>
      </c>
      <c r="I110">
        <f t="shared" si="77"/>
        <v>-0.60415776570637991</v>
      </c>
      <c r="J110">
        <f t="shared" si="44"/>
        <v>1.5200910766514693</v>
      </c>
      <c r="N110" s="14" t="s">
        <v>37</v>
      </c>
      <c r="O110" s="20">
        <v>40</v>
      </c>
      <c r="P110">
        <v>24.254467010498047</v>
      </c>
      <c r="Q110">
        <v>24.51203727722168</v>
      </c>
      <c r="R110">
        <v>26.208106994628906</v>
      </c>
      <c r="S110">
        <v>26.198566436767578</v>
      </c>
      <c r="T110">
        <f t="shared" si="51"/>
        <v>1.8200845718383789</v>
      </c>
      <c r="U110">
        <f t="shared" si="78"/>
        <v>-3.5878483454386396</v>
      </c>
      <c r="V110">
        <f t="shared" si="73"/>
        <v>12.024027805132764</v>
      </c>
      <c r="AF110" t="s">
        <v>8</v>
      </c>
      <c r="AG110">
        <f>AVERAGE(AI83:AI85)</f>
        <v>4.0195166269938154</v>
      </c>
    </row>
    <row r="111" spans="1:80" x14ac:dyDescent="0.45">
      <c r="B111" s="14" t="s">
        <v>38</v>
      </c>
      <c r="C111" s="20">
        <v>41</v>
      </c>
      <c r="D111">
        <v>24.466396331787109</v>
      </c>
      <c r="E111">
        <v>24.136327743530273</v>
      </c>
      <c r="F111">
        <v>29.964874267578125</v>
      </c>
      <c r="G111">
        <v>28.933452606201172</v>
      </c>
      <c r="H111">
        <f t="shared" si="43"/>
        <v>5.147801399230957</v>
      </c>
      <c r="I111">
        <f t="shared" si="77"/>
        <v>-1.1834996541341143</v>
      </c>
      <c r="J111">
        <f t="shared" si="44"/>
        <v>2.2712706860225289</v>
      </c>
      <c r="N111" s="14" t="s">
        <v>38</v>
      </c>
      <c r="O111" s="20">
        <v>41</v>
      </c>
      <c r="P111">
        <v>24.466396331787109</v>
      </c>
      <c r="Q111">
        <v>24.136327743530273</v>
      </c>
      <c r="R111">
        <v>28.0369873046875</v>
      </c>
      <c r="S111">
        <v>27.172014236450195</v>
      </c>
      <c r="T111">
        <f t="shared" si="51"/>
        <v>3.3031387329101563</v>
      </c>
      <c r="U111">
        <f t="shared" si="78"/>
        <v>-2.1047941843668623</v>
      </c>
      <c r="V111">
        <f t="shared" si="73"/>
        <v>4.3013638832233534</v>
      </c>
      <c r="AF111" t="s">
        <v>9</v>
      </c>
      <c r="AG111">
        <f>AVERAGE(AI89:AI91)</f>
        <v>3.4522418975830078</v>
      </c>
    </row>
    <row r="112" spans="1:80" s="6" customFormat="1" ht="14.65" thickBot="1" x14ac:dyDescent="0.5">
      <c r="A112"/>
      <c r="B112" s="15" t="s">
        <v>39</v>
      </c>
      <c r="C112" s="20">
        <v>42</v>
      </c>
      <c r="D112">
        <v>24.173578262329102</v>
      </c>
      <c r="E112">
        <v>24.22991943359375</v>
      </c>
      <c r="F112" s="6">
        <f>AVERAGE(G110:G111)</f>
        <v>29.557209014892578</v>
      </c>
      <c r="H112">
        <f t="shared" si="43"/>
        <v>5.3554601669311523</v>
      </c>
      <c r="I112">
        <f t="shared" si="77"/>
        <v>-0.97584088643391897</v>
      </c>
      <c r="J112">
        <f t="shared" si="44"/>
        <v>1.9667872208591008</v>
      </c>
      <c r="L112"/>
      <c r="M112"/>
      <c r="N112" s="15" t="s">
        <v>39</v>
      </c>
      <c r="O112" s="20">
        <v>42</v>
      </c>
      <c r="P112">
        <v>24.173578262329102</v>
      </c>
      <c r="Q112">
        <v>24.22991943359375</v>
      </c>
      <c r="R112">
        <f>AVERAGE(R110:R111)</f>
        <v>27.122547149658203</v>
      </c>
      <c r="S112"/>
      <c r="T112">
        <f t="shared" si="51"/>
        <v>2.9207983016967773</v>
      </c>
      <c r="U112">
        <f t="shared" si="78"/>
        <v>-2.4871346155802412</v>
      </c>
      <c r="V112">
        <f t="shared" si="73"/>
        <v>5.6066329179192653</v>
      </c>
      <c r="X112"/>
      <c r="Y112"/>
      <c r="Z112"/>
      <c r="AA112"/>
      <c r="AB112"/>
      <c r="AC112"/>
      <c r="AD112"/>
      <c r="AE112"/>
      <c r="AF112" t="s">
        <v>10</v>
      </c>
      <c r="AG112">
        <f>AVERAGE(AI95:AI97)</f>
        <v>2.0728486378987632</v>
      </c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</row>
    <row r="113" spans="2:37" x14ac:dyDescent="0.45">
      <c r="B113" s="9" t="s">
        <v>155</v>
      </c>
      <c r="C113" s="18">
        <v>43</v>
      </c>
      <c r="D113">
        <v>24.43058967590332</v>
      </c>
      <c r="E113">
        <v>24.573453903198242</v>
      </c>
      <c r="F113">
        <v>22.864215850830078</v>
      </c>
      <c r="G113">
        <v>22.431516647338867</v>
      </c>
      <c r="H113">
        <f t="shared" si="43"/>
        <v>-1.8541555404663086</v>
      </c>
      <c r="I113">
        <f>H113-$H$132</f>
        <v>-0.58518791198730469</v>
      </c>
      <c r="J113">
        <f t="shared" ref="J113:J124" si="79">2^-I113</f>
        <v>1.5002343830852989</v>
      </c>
      <c r="K113">
        <f t="shared" ref="K113:K124" si="80">LOG(J113,2)</f>
        <v>0.58518791198730469</v>
      </c>
      <c r="N113" s="9" t="s">
        <v>113</v>
      </c>
      <c r="O113" s="18" t="s">
        <v>114</v>
      </c>
      <c r="P113">
        <v>24.43058967590332</v>
      </c>
      <c r="Q113">
        <v>24.573453903198242</v>
      </c>
      <c r="R113">
        <v>26.138162612915039</v>
      </c>
      <c r="S113">
        <v>25.741388320922852</v>
      </c>
      <c r="T113">
        <f t="shared" si="51"/>
        <v>1.4377536773681641</v>
      </c>
      <c r="U113">
        <f>T113-$T$132</f>
        <v>-0.74375597635904933</v>
      </c>
      <c r="V113">
        <f t="shared" si="73"/>
        <v>1.6745297139073914</v>
      </c>
      <c r="W113">
        <f t="shared" ref="W113:W124" si="81">LOG(V113,2)</f>
        <v>0.74375597635904933</v>
      </c>
      <c r="AF113" t="s">
        <v>59</v>
      </c>
      <c r="AG113">
        <f>AVERAGE(AI101:AI103)</f>
        <v>2.1565863291422525</v>
      </c>
    </row>
    <row r="114" spans="2:37" x14ac:dyDescent="0.45">
      <c r="B114" s="10" t="s">
        <v>156</v>
      </c>
      <c r="C114" s="18">
        <v>44</v>
      </c>
      <c r="D114">
        <v>23.01765251159668</v>
      </c>
      <c r="E114">
        <v>23.041599273681641</v>
      </c>
      <c r="F114">
        <v>21.227573394775391</v>
      </c>
      <c r="G114">
        <v>21.417306900024414</v>
      </c>
      <c r="H114">
        <f t="shared" si="43"/>
        <v>-1.7071857452392578</v>
      </c>
      <c r="I114">
        <f t="shared" ref="I114:I118" si="82">H114-$H$132</f>
        <v>-0.43821811676025391</v>
      </c>
      <c r="J114">
        <f t="shared" si="79"/>
        <v>1.354929809797718</v>
      </c>
      <c r="K114">
        <f t="shared" si="80"/>
        <v>0.43821811676025402</v>
      </c>
      <c r="N114" s="10" t="s">
        <v>115</v>
      </c>
      <c r="O114" s="18" t="s">
        <v>116</v>
      </c>
      <c r="P114">
        <v>23.01765251159668</v>
      </c>
      <c r="Q114">
        <v>23.041599273681641</v>
      </c>
      <c r="R114">
        <v>26.622062683105469</v>
      </c>
      <c r="S114">
        <v>24.97956657409668</v>
      </c>
      <c r="T114">
        <f t="shared" si="51"/>
        <v>2.7711887359619141</v>
      </c>
      <c r="U114">
        <f t="shared" ref="U114:U118" si="83">T114-$T$132</f>
        <v>0.58967908223470067</v>
      </c>
      <c r="V114">
        <f t="shared" si="73"/>
        <v>0.66449070207716021</v>
      </c>
      <c r="W114">
        <f t="shared" si="81"/>
        <v>-0.58967908223470056</v>
      </c>
    </row>
    <row r="115" spans="2:37" x14ac:dyDescent="0.45">
      <c r="B115" s="10" t="s">
        <v>157</v>
      </c>
      <c r="C115" s="18">
        <v>45</v>
      </c>
      <c r="D115">
        <v>24.347553253173828</v>
      </c>
      <c r="E115">
        <v>24.153711318969727</v>
      </c>
      <c r="F115">
        <v>24.081638336181641</v>
      </c>
      <c r="G115">
        <v>23.928503036499023</v>
      </c>
      <c r="H115">
        <f t="shared" si="43"/>
        <v>-0.24556159973144531</v>
      </c>
      <c r="I115">
        <f t="shared" si="82"/>
        <v>1.0234060287475586</v>
      </c>
      <c r="J115">
        <f t="shared" si="79"/>
        <v>0.49195353726896662</v>
      </c>
      <c r="K115">
        <f t="shared" si="80"/>
        <v>-1.0234060287475586</v>
      </c>
      <c r="N115" s="10" t="s">
        <v>117</v>
      </c>
      <c r="O115" s="18" t="s">
        <v>118</v>
      </c>
      <c r="P115">
        <v>24.347553253173828</v>
      </c>
      <c r="Q115">
        <v>24.153711318969727</v>
      </c>
      <c r="R115">
        <v>27.236717224121094</v>
      </c>
      <c r="S115">
        <v>25.935720443725586</v>
      </c>
      <c r="T115">
        <f t="shared" si="51"/>
        <v>2.3355865478515625</v>
      </c>
      <c r="U115">
        <f t="shared" si="83"/>
        <v>0.15407689412434911</v>
      </c>
      <c r="V115">
        <f t="shared" si="73"/>
        <v>0.89870722518708279</v>
      </c>
      <c r="W115">
        <f t="shared" si="81"/>
        <v>-0.1540768941243493</v>
      </c>
      <c r="AD115" t="s">
        <v>12</v>
      </c>
      <c r="AE115" t="s">
        <v>7</v>
      </c>
      <c r="AF115" t="s">
        <v>13</v>
      </c>
      <c r="AG115" t="s">
        <v>7</v>
      </c>
      <c r="AH115" s="8"/>
      <c r="AI115" s="8"/>
      <c r="AK115" s="8"/>
    </row>
    <row r="116" spans="2:37" x14ac:dyDescent="0.45">
      <c r="B116" s="10" t="s">
        <v>158</v>
      </c>
      <c r="C116" s="18">
        <v>46</v>
      </c>
      <c r="D116">
        <v>24.04878044128418</v>
      </c>
      <c r="E116">
        <v>23.944890975952148</v>
      </c>
      <c r="F116">
        <v>23.411544799804688</v>
      </c>
      <c r="G116">
        <v>22.810640335083008</v>
      </c>
      <c r="H116">
        <f t="shared" si="43"/>
        <v>-0.88574314117431641</v>
      </c>
      <c r="I116">
        <f t="shared" si="82"/>
        <v>0.3832244873046875</v>
      </c>
      <c r="J116">
        <f t="shared" si="79"/>
        <v>0.76672201650568395</v>
      </c>
      <c r="K116">
        <f t="shared" si="80"/>
        <v>-0.38322448730468756</v>
      </c>
      <c r="N116" s="10" t="s">
        <v>119</v>
      </c>
      <c r="O116" s="18" t="s">
        <v>120</v>
      </c>
      <c r="P116">
        <v>24.04878044128418</v>
      </c>
      <c r="Q116">
        <v>23.944890975952148</v>
      </c>
      <c r="R116">
        <v>27.772562026977539</v>
      </c>
      <c r="S116">
        <v>27.07887077331543</v>
      </c>
      <c r="T116">
        <f t="shared" si="51"/>
        <v>3.4288806915283203</v>
      </c>
      <c r="U116">
        <f t="shared" si="83"/>
        <v>1.2473710378011069</v>
      </c>
      <c r="V116">
        <f t="shared" si="73"/>
        <v>0.42121507112504203</v>
      </c>
      <c r="W116">
        <f t="shared" si="81"/>
        <v>-1.2473710378011069</v>
      </c>
      <c r="AC116" t="s">
        <v>60</v>
      </c>
      <c r="AD116">
        <f>AVERAGE(AK77:AK79)</f>
        <v>6.5525406028925</v>
      </c>
      <c r="AE116">
        <f>_xlfn.STDEV.S(AK77:AK79)/SQRT(3)</f>
        <v>1.0108556160413764</v>
      </c>
      <c r="AF116">
        <f>AVERAGE(AK80:AK82)</f>
        <v>9.7469913779877846</v>
      </c>
      <c r="AG116">
        <f>_xlfn.STDEV.S(AK80:AK82)/SQRT(3)</f>
        <v>2.4376553058695478</v>
      </c>
    </row>
    <row r="117" spans="2:37" x14ac:dyDescent="0.45">
      <c r="B117" s="10" t="s">
        <v>159</v>
      </c>
      <c r="C117" s="18">
        <v>47</v>
      </c>
      <c r="D117">
        <v>24.922677993774414</v>
      </c>
      <c r="E117">
        <v>24.461530685424805</v>
      </c>
      <c r="F117">
        <v>23.516290664672852</v>
      </c>
      <c r="G117">
        <v>23.918485641479492</v>
      </c>
      <c r="H117">
        <f t="shared" si="43"/>
        <v>-0.9747161865234375</v>
      </c>
      <c r="I117">
        <f t="shared" si="82"/>
        <v>0.29425144195556641</v>
      </c>
      <c r="J117">
        <f t="shared" si="79"/>
        <v>0.81549535129943029</v>
      </c>
      <c r="K117">
        <f t="shared" si="80"/>
        <v>-0.29425144195556624</v>
      </c>
      <c r="N117" s="10" t="s">
        <v>121</v>
      </c>
      <c r="O117" s="18" t="s">
        <v>122</v>
      </c>
      <c r="P117">
        <v>24.922677993774414</v>
      </c>
      <c r="Q117">
        <v>24.461530685424805</v>
      </c>
      <c r="R117">
        <v>27.037506103515625</v>
      </c>
      <c r="S117">
        <v>26.586055755615234</v>
      </c>
      <c r="T117">
        <f t="shared" si="51"/>
        <v>2.1196765899658203</v>
      </c>
      <c r="U117">
        <f t="shared" si="83"/>
        <v>-6.1833063761393081E-2</v>
      </c>
      <c r="V117">
        <f t="shared" si="73"/>
        <v>1.0437911419170014</v>
      </c>
      <c r="W117">
        <f t="shared" si="81"/>
        <v>6.1833063761393157E-2</v>
      </c>
      <c r="AC117" t="s">
        <v>8</v>
      </c>
      <c r="AD117">
        <f>AVERAGE(AK83:AK85)</f>
        <v>4.396658299644213</v>
      </c>
      <c r="AE117">
        <f>_xlfn.STDEV.S(AK83:AK85)/SQRT(3)</f>
        <v>0.81887982065105891</v>
      </c>
      <c r="AF117">
        <f>AVERAGE(AK86:AK88)</f>
        <v>5.6078477056582017</v>
      </c>
      <c r="AG117">
        <f>_xlfn.STDEV.S(AK86:AK88)/SQRT(3)</f>
        <v>0.77300855111798628</v>
      </c>
    </row>
    <row r="118" spans="2:37" ht="14.65" thickBot="1" x14ac:dyDescent="0.5">
      <c r="B118" s="11" t="s">
        <v>160</v>
      </c>
      <c r="C118" s="18">
        <v>48</v>
      </c>
      <c r="D118">
        <v>23.295032501220703</v>
      </c>
      <c r="E118">
        <v>23.394071578979492</v>
      </c>
      <c r="F118">
        <v>21.872303009033203</v>
      </c>
      <c r="G118">
        <v>22.431289672851563</v>
      </c>
      <c r="H118">
        <f t="shared" si="43"/>
        <v>-1.1927556991577148</v>
      </c>
      <c r="I118">
        <f t="shared" si="82"/>
        <v>7.6211929321289063E-2</v>
      </c>
      <c r="J118">
        <f t="shared" si="79"/>
        <v>0.94854496534662203</v>
      </c>
      <c r="K118">
        <f t="shared" si="80"/>
        <v>-7.621192932128909E-2</v>
      </c>
      <c r="N118" s="11" t="s">
        <v>123</v>
      </c>
      <c r="O118" s="18" t="s">
        <v>124</v>
      </c>
      <c r="P118">
        <v>23.295032501220703</v>
      </c>
      <c r="Q118">
        <v>23.394071578979492</v>
      </c>
      <c r="R118">
        <v>25.613557815551758</v>
      </c>
      <c r="S118">
        <v>25.707857131958008</v>
      </c>
      <c r="T118">
        <f t="shared" si="51"/>
        <v>2.3161554336547852</v>
      </c>
      <c r="U118">
        <f t="shared" si="83"/>
        <v>0.13464577992757176</v>
      </c>
      <c r="V118">
        <f t="shared" si="73"/>
        <v>0.91089345475182215</v>
      </c>
      <c r="W118">
        <f t="shared" si="81"/>
        <v>-0.13464577992757157</v>
      </c>
      <c r="AC118" t="s">
        <v>9</v>
      </c>
      <c r="AD118">
        <f>AVERAGE(AK89:AK91)</f>
        <v>6.2734399573715054</v>
      </c>
      <c r="AE118">
        <f>_xlfn.STDEV.S(AK89:AK91)/SQRT(3)</f>
        <v>0.5147884155071859</v>
      </c>
      <c r="AF118">
        <f>AVERAGE(AK92:AK94)</f>
        <v>9.5538709369307941</v>
      </c>
      <c r="AG118">
        <f>_xlfn.STDEV.S(AK92:AK94)/SQRT(3)</f>
        <v>6.5403518846059905</v>
      </c>
    </row>
    <row r="119" spans="2:37" x14ac:dyDescent="0.45">
      <c r="B119" s="9" t="s">
        <v>161</v>
      </c>
      <c r="C119" s="18">
        <v>49</v>
      </c>
      <c r="D119">
        <v>25.075950622558594</v>
      </c>
      <c r="E119">
        <v>25.552391052246094</v>
      </c>
      <c r="F119">
        <v>23.890520095825195</v>
      </c>
      <c r="G119">
        <v>23.609437942504883</v>
      </c>
      <c r="H119">
        <f t="shared" si="43"/>
        <v>-1.5641918182373047</v>
      </c>
      <c r="I119">
        <f>H119-$H$133</f>
        <v>-0.24151452382405592</v>
      </c>
      <c r="J119">
        <f t="shared" si="79"/>
        <v>1.1822331042443985</v>
      </c>
      <c r="K119">
        <f t="shared" si="80"/>
        <v>0.24151452382405589</v>
      </c>
      <c r="N119" s="9" t="s">
        <v>125</v>
      </c>
      <c r="O119" s="18" t="s">
        <v>126</v>
      </c>
      <c r="P119">
        <v>25.075950622558594</v>
      </c>
      <c r="Q119">
        <v>25.552391052246094</v>
      </c>
      <c r="R119">
        <v>25.998386383056641</v>
      </c>
      <c r="S119">
        <v>26.751369476318359</v>
      </c>
      <c r="T119">
        <f t="shared" si="51"/>
        <v>1.0607070922851563</v>
      </c>
      <c r="U119">
        <f>T119-$T$133</f>
        <v>-0.80803171793619799</v>
      </c>
      <c r="V119">
        <f t="shared" si="73"/>
        <v>1.7508211511151577</v>
      </c>
      <c r="W119">
        <f t="shared" si="81"/>
        <v>0.80803171793619799</v>
      </c>
      <c r="AC119" t="s">
        <v>10</v>
      </c>
      <c r="AD119">
        <f>AVERAGE(AK95:AK97)</f>
        <v>3.2293537489759863</v>
      </c>
      <c r="AE119">
        <f>_xlfn.STDEV.S(AK95:AK97)/SQRT(3)</f>
        <v>0.84793415987463894</v>
      </c>
      <c r="AF119">
        <f>AVERAGE(AK98:AK100)</f>
        <v>5.1192219647211159</v>
      </c>
      <c r="AG119">
        <f>_xlfn.STDEV.S(AK98:AK100)/SQRT(3)</f>
        <v>1.4918190260803099</v>
      </c>
    </row>
    <row r="120" spans="2:37" x14ac:dyDescent="0.45">
      <c r="B120" s="10" t="s">
        <v>162</v>
      </c>
      <c r="C120" s="18">
        <v>50</v>
      </c>
      <c r="D120">
        <v>24.325229644775391</v>
      </c>
      <c r="E120">
        <v>24.426992416381836</v>
      </c>
      <c r="F120">
        <v>23.312969207763672</v>
      </c>
      <c r="G120">
        <v>23.69770622253418</v>
      </c>
      <c r="H120">
        <f t="shared" si="43"/>
        <v>-0.8707733154296875</v>
      </c>
      <c r="I120">
        <f t="shared" ref="I120:I124" si="84">H120-$H$133</f>
        <v>0.45190397898356127</v>
      </c>
      <c r="J120">
        <f t="shared" si="79"/>
        <v>0.73107738067636852</v>
      </c>
      <c r="K120">
        <f t="shared" si="80"/>
        <v>-0.45190397898356111</v>
      </c>
      <c r="N120" s="10" t="s">
        <v>127</v>
      </c>
      <c r="O120" s="18" t="s">
        <v>128</v>
      </c>
      <c r="P120">
        <v>24.325229644775391</v>
      </c>
      <c r="Q120">
        <v>24.426992416381836</v>
      </c>
      <c r="R120">
        <v>26.885889053344727</v>
      </c>
      <c r="S120">
        <v>25.975866317749023</v>
      </c>
      <c r="T120">
        <f t="shared" si="51"/>
        <v>2.0547666549682617</v>
      </c>
      <c r="U120">
        <f t="shared" ref="U120:U124" si="85">T120-$T$133</f>
        <v>0.18602784474690748</v>
      </c>
      <c r="V120">
        <f t="shared" si="73"/>
        <v>0.87902259516559866</v>
      </c>
      <c r="W120">
        <f t="shared" si="81"/>
        <v>-0.18602784474690739</v>
      </c>
      <c r="AC120" t="s">
        <v>59</v>
      </c>
      <c r="AD120">
        <f>AVERAGE(AK101:AK103)</f>
        <v>12.317943826437817</v>
      </c>
      <c r="AE120">
        <f>_xlfn.STDEV.S(AK101:AK103)/SQRT(3)</f>
        <v>4.2228551390156506</v>
      </c>
      <c r="AF120">
        <f>AVERAGE(AK104:AK106)</f>
        <v>33.146189964770279</v>
      </c>
      <c r="AG120">
        <f>_xlfn.STDEV.S(AK104:AK106)/SQRT(3)</f>
        <v>13.827104686053469</v>
      </c>
    </row>
    <row r="121" spans="2:37" x14ac:dyDescent="0.45">
      <c r="B121" s="10" t="s">
        <v>163</v>
      </c>
      <c r="C121" s="18">
        <v>51</v>
      </c>
      <c r="D121">
        <v>24.58940315246582</v>
      </c>
      <c r="E121">
        <v>24.405466079711914</v>
      </c>
      <c r="F121">
        <v>22.911785125732422</v>
      </c>
      <c r="G121">
        <v>23.016950607299805</v>
      </c>
      <c r="H121">
        <f t="shared" si="43"/>
        <v>-1.5330667495727539</v>
      </c>
      <c r="I121">
        <f t="shared" si="84"/>
        <v>-0.21038945515950513</v>
      </c>
      <c r="J121">
        <f t="shared" si="79"/>
        <v>1.1570004737358464</v>
      </c>
      <c r="K121">
        <f t="shared" si="80"/>
        <v>0.21038945515950513</v>
      </c>
      <c r="N121" s="10" t="s">
        <v>129</v>
      </c>
      <c r="O121" s="18" t="s">
        <v>130</v>
      </c>
      <c r="P121">
        <v>24.58940315246582</v>
      </c>
      <c r="Q121">
        <v>24.405466079711914</v>
      </c>
      <c r="R121">
        <v>27.027044296264648</v>
      </c>
      <c r="S121">
        <v>26.949310302734375</v>
      </c>
      <c r="T121">
        <f t="shared" si="51"/>
        <v>2.4907426834106445</v>
      </c>
      <c r="U121">
        <f t="shared" si="85"/>
        <v>0.62200387318929029</v>
      </c>
      <c r="V121">
        <f t="shared" si="73"/>
        <v>0.64976778680014524</v>
      </c>
      <c r="W121">
        <f t="shared" si="81"/>
        <v>-0.62200387318929029</v>
      </c>
    </row>
    <row r="122" spans="2:37" x14ac:dyDescent="0.45">
      <c r="B122" s="10" t="s">
        <v>164</v>
      </c>
      <c r="C122" s="18">
        <v>52</v>
      </c>
      <c r="D122">
        <v>25.208461761474609</v>
      </c>
      <c r="E122">
        <v>25.326751708984375</v>
      </c>
      <c r="F122">
        <v>24.348720550537109</v>
      </c>
      <c r="G122">
        <v>24.603399276733398</v>
      </c>
      <c r="H122">
        <f t="shared" si="43"/>
        <v>-0.79154682159423828</v>
      </c>
      <c r="I122">
        <f t="shared" si="84"/>
        <v>0.53113047281901049</v>
      </c>
      <c r="J122">
        <f t="shared" si="79"/>
        <v>0.692012271774197</v>
      </c>
      <c r="K122">
        <f t="shared" si="80"/>
        <v>-0.53113047281901038</v>
      </c>
      <c r="N122" s="10" t="s">
        <v>131</v>
      </c>
      <c r="O122" s="18" t="s">
        <v>132</v>
      </c>
      <c r="P122">
        <v>25.208461761474609</v>
      </c>
      <c r="Q122">
        <v>25.326751708984375</v>
      </c>
      <c r="R122">
        <v>26.449821472167969</v>
      </c>
      <c r="S122">
        <v>26.935834884643555</v>
      </c>
      <c r="T122">
        <f t="shared" si="51"/>
        <v>1.4252214431762695</v>
      </c>
      <c r="U122">
        <f t="shared" si="85"/>
        <v>-0.44351736704508471</v>
      </c>
      <c r="V122">
        <f t="shared" si="73"/>
        <v>1.3599158359426138</v>
      </c>
      <c r="W122">
        <f t="shared" si="81"/>
        <v>0.44351736704508465</v>
      </c>
    </row>
    <row r="123" spans="2:37" x14ac:dyDescent="0.45">
      <c r="B123" s="10" t="s">
        <v>165</v>
      </c>
      <c r="C123" s="18">
        <v>53</v>
      </c>
      <c r="D123">
        <v>24.768926620483398</v>
      </c>
      <c r="E123">
        <v>25.014923095703125</v>
      </c>
      <c r="F123">
        <v>23.168128967285156</v>
      </c>
      <c r="G123">
        <v>23.550487518310547</v>
      </c>
      <c r="H123">
        <f t="shared" si="43"/>
        <v>-1.5326166152954102</v>
      </c>
      <c r="I123">
        <f t="shared" si="84"/>
        <v>-0.20993932088216138</v>
      </c>
      <c r="J123">
        <f t="shared" si="79"/>
        <v>1.156639535132933</v>
      </c>
      <c r="K123">
        <f t="shared" si="80"/>
        <v>0.20993932088216147</v>
      </c>
      <c r="N123" s="10" t="s">
        <v>133</v>
      </c>
      <c r="O123" s="18" t="s">
        <v>134</v>
      </c>
      <c r="P123">
        <v>24.768926620483398</v>
      </c>
      <c r="Q123">
        <v>25.014923095703125</v>
      </c>
      <c r="R123">
        <v>26.666339874267578</v>
      </c>
      <c r="S123">
        <v>26.411584854125977</v>
      </c>
      <c r="T123">
        <f t="shared" si="51"/>
        <v>1.6470375061035156</v>
      </c>
      <c r="U123">
        <f t="shared" si="85"/>
        <v>-0.22170130411783862</v>
      </c>
      <c r="V123">
        <f t="shared" si="73"/>
        <v>1.1661079135681223</v>
      </c>
      <c r="W123">
        <f t="shared" si="81"/>
        <v>0.22170130411783859</v>
      </c>
    </row>
    <row r="124" spans="2:37" ht="14.65" thickBot="1" x14ac:dyDescent="0.5">
      <c r="B124" s="11" t="s">
        <v>166</v>
      </c>
      <c r="C124" s="18">
        <v>54</v>
      </c>
      <c r="D124">
        <v>25.063751220703125</v>
      </c>
      <c r="E124">
        <v>24.466693878173828</v>
      </c>
      <c r="F124">
        <v>21.800167083740234</v>
      </c>
      <c r="G124">
        <v>21.980472564697266</v>
      </c>
      <c r="H124">
        <f t="shared" si="43"/>
        <v>-2.8749027252197266</v>
      </c>
      <c r="I124">
        <f t="shared" si="84"/>
        <v>-1.5522254308064778</v>
      </c>
      <c r="J124">
        <f t="shared" si="79"/>
        <v>2.93269173139169</v>
      </c>
      <c r="K124">
        <f t="shared" si="80"/>
        <v>1.5522254308064778</v>
      </c>
      <c r="N124" s="11" t="s">
        <v>135</v>
      </c>
      <c r="O124" s="18" t="s">
        <v>136</v>
      </c>
      <c r="P124">
        <v>25.063751220703125</v>
      </c>
      <c r="Q124">
        <v>24.466693878173828</v>
      </c>
      <c r="R124">
        <v>25.973711013793945</v>
      </c>
      <c r="S124">
        <v>25.410907745361328</v>
      </c>
      <c r="T124">
        <f t="shared" si="51"/>
        <v>0.92708683013916016</v>
      </c>
      <c r="U124">
        <f t="shared" si="85"/>
        <v>-0.94165198008219408</v>
      </c>
      <c r="V124">
        <f t="shared" si="73"/>
        <v>1.9207263370763294</v>
      </c>
      <c r="W124">
        <f t="shared" si="81"/>
        <v>0.94165198008219408</v>
      </c>
    </row>
    <row r="126" spans="2:37" x14ac:dyDescent="0.45">
      <c r="G126" t="s">
        <v>86</v>
      </c>
      <c r="H126">
        <f>AVERAGE(H77:H79)</f>
        <v>5.8742364247639971</v>
      </c>
      <c r="S126" t="s">
        <v>86</v>
      </c>
      <c r="T126">
        <f>AVERAGE(T77:T79)</f>
        <v>-0.9960991541544596</v>
      </c>
    </row>
    <row r="127" spans="2:37" x14ac:dyDescent="0.45">
      <c r="G127" t="s">
        <v>8</v>
      </c>
      <c r="H127">
        <f>AVERAGE(H83:H85)</f>
        <v>3.7458368937174478</v>
      </c>
      <c r="S127" t="s">
        <v>8</v>
      </c>
      <c r="T127">
        <f>AVERAGE(T83:T85)</f>
        <v>-3.0119743347167969</v>
      </c>
    </row>
    <row r="128" spans="2:37" x14ac:dyDescent="0.45">
      <c r="G128" t="s">
        <v>87</v>
      </c>
      <c r="H128">
        <f>AVERAGE(H89:H91)</f>
        <v>3.0682080586751304</v>
      </c>
      <c r="S128" t="s">
        <v>87</v>
      </c>
      <c r="T128">
        <f>AVERAGE(T89:T91)</f>
        <v>-2.3599818547566733</v>
      </c>
    </row>
    <row r="129" spans="2:20" x14ac:dyDescent="0.45">
      <c r="G129" t="s">
        <v>9</v>
      </c>
      <c r="H129">
        <f>AVERAGE(H95:H97)</f>
        <v>6.6257848739624023</v>
      </c>
      <c r="S129" t="s">
        <v>9</v>
      </c>
      <c r="T129">
        <f>AVERAGE(T95:T97)</f>
        <v>4.348612467447917</v>
      </c>
    </row>
    <row r="130" spans="2:20" x14ac:dyDescent="0.45">
      <c r="G130" t="s">
        <v>88</v>
      </c>
      <c r="H130">
        <f>AVERAGE(H101:H103)</f>
        <v>5.5390129089355469</v>
      </c>
      <c r="S130" t="s">
        <v>88</v>
      </c>
      <c r="T130">
        <f>AVERAGE(T101:T103)</f>
        <v>-2.6254393259684243</v>
      </c>
    </row>
    <row r="131" spans="2:20" x14ac:dyDescent="0.45">
      <c r="G131" t="s">
        <v>10</v>
      </c>
      <c r="H131">
        <f>AVERAGE(H107:H109)</f>
        <v>6.3313010533650713</v>
      </c>
      <c r="S131" t="s">
        <v>10</v>
      </c>
      <c r="T131">
        <f>AVERAGE(T107:T109)</f>
        <v>5.4079329172770185</v>
      </c>
    </row>
    <row r="132" spans="2:20" x14ac:dyDescent="0.45">
      <c r="G132" t="s">
        <v>11</v>
      </c>
      <c r="H132">
        <f>AVERAGE(H113:H115)</f>
        <v>-1.2689676284790039</v>
      </c>
      <c r="S132" t="s">
        <v>11</v>
      </c>
      <c r="T132">
        <f>AVERAGE(T113:T115)</f>
        <v>2.1815096537272134</v>
      </c>
    </row>
    <row r="133" spans="2:20" x14ac:dyDescent="0.45">
      <c r="G133" t="s">
        <v>61</v>
      </c>
      <c r="H133">
        <f>AVERAGE(H119:H121)</f>
        <v>-1.3226772944132488</v>
      </c>
      <c r="S133" t="s">
        <v>61</v>
      </c>
      <c r="T133">
        <f>AVERAGE(T119:T121)</f>
        <v>1.8687388102213542</v>
      </c>
    </row>
    <row r="137" spans="2:20" x14ac:dyDescent="0.45">
      <c r="C137" t="s">
        <v>12</v>
      </c>
      <c r="D137" t="s">
        <v>7</v>
      </c>
      <c r="E137" t="s">
        <v>13</v>
      </c>
      <c r="F137" t="s">
        <v>7</v>
      </c>
      <c r="O137" t="s">
        <v>12</v>
      </c>
      <c r="P137" t="s">
        <v>7</v>
      </c>
      <c r="Q137" t="s">
        <v>13</v>
      </c>
      <c r="R137" t="s">
        <v>7</v>
      </c>
    </row>
    <row r="138" spans="2:20" x14ac:dyDescent="0.45">
      <c r="B138" t="s">
        <v>86</v>
      </c>
      <c r="C138">
        <f>AVERAGE(J77:J79)</f>
        <v>1.3267697366297808</v>
      </c>
      <c r="D138">
        <f>_xlfn.STDEV.S(J77:J79)/SQRT(3)</f>
        <v>0.51816522270464027</v>
      </c>
      <c r="E138">
        <f>AVERAGE(J80:J82)</f>
        <v>1.4860015438711607</v>
      </c>
      <c r="F138">
        <f>_xlfn.STDEV.S(J80:J82)/SQRT(3)</f>
        <v>0.70752503175133519</v>
      </c>
      <c r="N138" t="s">
        <v>86</v>
      </c>
      <c r="O138">
        <f>AVERAGE(V77:V79)</f>
        <v>1.146011725767546</v>
      </c>
      <c r="P138">
        <f>_xlfn.STDEV.S(V77:V79)/SQRT(3)</f>
        <v>0.37501548747647945</v>
      </c>
      <c r="Q138">
        <f>AVERAGE(V80:V82)</f>
        <v>1.7904469779023593</v>
      </c>
      <c r="R138">
        <f>_xlfn.STDEV.S(V80:V82)/SQRT(3)</f>
        <v>0.16679978146048394</v>
      </c>
    </row>
    <row r="139" spans="2:20" x14ac:dyDescent="0.45">
      <c r="B139" t="s">
        <v>8</v>
      </c>
      <c r="C139">
        <f>AVERAGE(J83:J85)</f>
        <v>1.3135725246162284</v>
      </c>
      <c r="D139">
        <f>_xlfn.STDEV.S(J83:J85)/SQRT(3)</f>
        <v>0.52613047650240441</v>
      </c>
      <c r="E139">
        <f>AVERAGE(J86:J88)</f>
        <v>0.48867813778222274</v>
      </c>
      <c r="F139">
        <f>_xlfn.STDEV.S(J86:J88)/SQRT(3)</f>
        <v>0.15812114033820132</v>
      </c>
      <c r="N139" t="s">
        <v>8</v>
      </c>
      <c r="O139">
        <f>AVERAGE(V83:V85)</f>
        <v>1.0296872503670651</v>
      </c>
      <c r="P139">
        <f>_xlfn.STDEV.S(V83:V85)/SQRT(3)</f>
        <v>0.16942031256031193</v>
      </c>
      <c r="Q139">
        <f>AVERAGE(V86:V88)</f>
        <v>0.63177740746304634</v>
      </c>
      <c r="R139">
        <f>_xlfn.STDEV.S(V86:V88)/SQRT(3)</f>
        <v>0.11861791859576193</v>
      </c>
    </row>
    <row r="140" spans="2:20" x14ac:dyDescent="0.45">
      <c r="B140" t="s">
        <v>87</v>
      </c>
      <c r="C140">
        <f>AVERAGE(J89:J91)</f>
        <v>1.0060582848244317</v>
      </c>
      <c r="D140">
        <f>_xlfn.STDEV.S(J89:J91)/SQRT(3)</f>
        <v>7.7559308688440451E-2</v>
      </c>
      <c r="E140">
        <f>AVERAGE(J92:J94)</f>
        <v>1.0763353622560108</v>
      </c>
      <c r="F140">
        <f>_xlfn.STDEV.S(J92:J94)/SQRT(3)</f>
        <v>0.48635489016394562</v>
      </c>
      <c r="N140" t="s">
        <v>87</v>
      </c>
      <c r="O140">
        <f>AVERAGE(V89:V91)</f>
        <v>1.0072567375887225</v>
      </c>
      <c r="P140">
        <f>_xlfn.STDEV.S(V89:V91)/SQRT(3)</f>
        <v>8.4299961652990973E-2</v>
      </c>
      <c r="Q140">
        <f>AVERAGE(V92:V94)</f>
        <v>1.6481433604151563</v>
      </c>
      <c r="R140">
        <f>_xlfn.STDEV.S(V92:V94)/SQRT(3)</f>
        <v>0.77605306863865597</v>
      </c>
    </row>
    <row r="141" spans="2:20" x14ac:dyDescent="0.45">
      <c r="B141" t="s">
        <v>9</v>
      </c>
      <c r="C141">
        <f>AVERAGE(J95:J97)</f>
        <v>1.0090719137907933</v>
      </c>
      <c r="D141">
        <f>_xlfn.STDEV.S(J95:J97)/SQRT(3)</f>
        <v>9.7688046012812293E-2</v>
      </c>
      <c r="E141">
        <f>AVERAGE(J98:J100)</f>
        <v>2.9582136224612667</v>
      </c>
      <c r="F141">
        <f>_xlfn.STDEV.S(J98:J100)/SQRT(3)</f>
        <v>0.71762347088528644</v>
      </c>
      <c r="N141" t="s">
        <v>9</v>
      </c>
      <c r="O141">
        <f>AVERAGE(V95:V97)</f>
        <v>1.0735795999921978</v>
      </c>
      <c r="P141">
        <f>_xlfn.STDEV.S(V95:V97)/SQRT(3)</f>
        <v>0.25243297546748517</v>
      </c>
      <c r="Q141">
        <f>AVERAGE(V98:V100)</f>
        <v>1.0385193600044258</v>
      </c>
      <c r="R141">
        <f>_xlfn.STDEV.S(V98:V100)/SQRT(3)</f>
        <v>0.45103635023494965</v>
      </c>
    </row>
    <row r="142" spans="2:20" x14ac:dyDescent="0.45">
      <c r="B142" t="s">
        <v>88</v>
      </c>
      <c r="C142">
        <f>AVERAGE(J101:J103)</f>
        <v>1.0281558605768646</v>
      </c>
      <c r="D142">
        <f>_xlfn.STDEV.S(J101:J103)/SQRT(3)</f>
        <v>0.16639787934951344</v>
      </c>
      <c r="E142">
        <f>AVERAGE(J104:J106)</f>
        <v>1.0654238354382668</v>
      </c>
      <c r="F142">
        <f>_xlfn.STDEV.S(J104:J106)/SQRT(3)</f>
        <v>0.3688444657705256</v>
      </c>
      <c r="N142" t="s">
        <v>88</v>
      </c>
      <c r="O142">
        <f>AVERAGE(V101:V103)</f>
        <v>1.0076712725869696</v>
      </c>
      <c r="P142">
        <f>_xlfn.STDEV.S(V101:V103)/SQRT(3)</f>
        <v>8.7225017207876093E-2</v>
      </c>
      <c r="Q142">
        <f>AVERAGE(V104:V106)</f>
        <v>0.53074081033668608</v>
      </c>
      <c r="R142">
        <f>_xlfn.STDEV.S(V104:V106)/SQRT(3)</f>
        <v>0.1440796932608468</v>
      </c>
    </row>
    <row r="143" spans="2:20" x14ac:dyDescent="0.45">
      <c r="B143" t="s">
        <v>10</v>
      </c>
      <c r="C143">
        <f>AVERAGE(J107:J109)</f>
        <v>1.0737714232647102</v>
      </c>
      <c r="D143">
        <f>_xlfn.STDEV.S(J107:J109)/SQRT(3)</f>
        <v>0.28266217803138133</v>
      </c>
      <c r="E143">
        <f>AVERAGE(J110:J112)</f>
        <v>1.919382994511033</v>
      </c>
      <c r="F143">
        <f>_xlfn.STDEV.S(J110:J112)/SQRT(3)</f>
        <v>0.21813839024073597</v>
      </c>
      <c r="N143" t="s">
        <v>10</v>
      </c>
      <c r="O143">
        <f>AVERAGE(V107:V109)</f>
        <v>2.9004853906375536</v>
      </c>
      <c r="P143">
        <f>_xlfn.STDEV.S(V107:V109)/SQRT(3)</f>
        <v>1.656550267541276</v>
      </c>
      <c r="Q143">
        <f>AVERAGE(V110:V112)</f>
        <v>7.3106748687584613</v>
      </c>
      <c r="R143">
        <f>_xlfn.STDEV.S(V110:V112)/SQRT(3)</f>
        <v>2.3866087334930008</v>
      </c>
    </row>
    <row r="144" spans="2:20" x14ac:dyDescent="0.45">
      <c r="B144" t="s">
        <v>11</v>
      </c>
      <c r="C144">
        <f>AVERAGE(J113:J115)</f>
        <v>1.1157059100506612</v>
      </c>
      <c r="D144">
        <f>_xlfn.STDEV.S(J113:J115)/SQRT(3)</f>
        <v>0.3146842977057413</v>
      </c>
      <c r="E144">
        <f>AVERAGE(J116:J118)</f>
        <v>0.8435874443839122</v>
      </c>
      <c r="F144">
        <f>_xlfn.STDEV.S(J116:J118)/SQRT(3)</f>
        <v>5.4334674170686464E-2</v>
      </c>
      <c r="N144" t="s">
        <v>11</v>
      </c>
      <c r="O144">
        <f>AVERAGE(V113:V115)</f>
        <v>1.0792425470572113</v>
      </c>
      <c r="P144">
        <f>_xlfn.STDEV.S(V113:V115)/SQRT(3)</f>
        <v>0.30522639312856015</v>
      </c>
      <c r="Q144">
        <f>AVERAGE(V116:V118)</f>
        <v>0.79196655593128851</v>
      </c>
      <c r="R144">
        <f>_xlfn.STDEV.S(V116:V118)/SQRT(3)</f>
        <v>0.18930394117044586</v>
      </c>
    </row>
    <row r="145" spans="2:24" x14ac:dyDescent="0.45">
      <c r="B145" t="s">
        <v>61</v>
      </c>
      <c r="C145">
        <f>AVERAGE(J119:J121)</f>
        <v>1.0234369862188712</v>
      </c>
      <c r="D145">
        <f>_xlfn.STDEV.S(J119:J121)/SQRT(3)</f>
        <v>0.14636116928716753</v>
      </c>
      <c r="E145">
        <f>AVERAGE(J122:J124)</f>
        <v>1.5937811794329402</v>
      </c>
      <c r="F145">
        <f>_xlfn.STDEV.S(J122:J124)/SQRT(3)</f>
        <v>0.68275928483224602</v>
      </c>
      <c r="N145" t="s">
        <v>61</v>
      </c>
      <c r="O145">
        <f>AVERAGE(V119:V121)</f>
        <v>1.0932038443603005</v>
      </c>
      <c r="P145">
        <f>_xlfn.STDEV.S(V119:V121)/SQRT(3)</f>
        <v>0.33540266019482923</v>
      </c>
      <c r="Q145">
        <f>AVERAGE(V122:V124)</f>
        <v>1.482250028862355</v>
      </c>
      <c r="R145">
        <f>_xlfn.STDEV.S(V122:V124)/SQRT(3)</f>
        <v>0.22626421306553457</v>
      </c>
    </row>
    <row r="155" spans="2:24" x14ac:dyDescent="0.45">
      <c r="O155" s="8"/>
      <c r="P155" s="8"/>
      <c r="Q155" s="8"/>
      <c r="R155" s="8"/>
      <c r="S155" s="8"/>
      <c r="T155" s="8"/>
      <c r="U155" s="8"/>
      <c r="V155" s="7"/>
      <c r="W155" s="7"/>
      <c r="X155" s="7"/>
    </row>
    <row r="182" spans="15:23" x14ac:dyDescent="0.45">
      <c r="O182" s="8"/>
      <c r="W182" s="8"/>
    </row>
    <row r="188" spans="15:23" x14ac:dyDescent="0.45">
      <c r="S188" s="8"/>
      <c r="T188" s="8"/>
      <c r="V188" s="8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41BFC-77A8-4C6A-9E68-C655F7F83955}">
  <dimension ref="B2:AN70"/>
  <sheetViews>
    <sheetView zoomScale="42" zoomScaleNormal="60" workbookViewId="0">
      <selection activeCell="AD1" sqref="AD1:AE1048576"/>
    </sheetView>
  </sheetViews>
  <sheetFormatPr baseColWidth="10" defaultRowHeight="14.25" x14ac:dyDescent="0.45"/>
  <cols>
    <col min="2" max="2" width="10.6640625" style="32" customWidth="1"/>
    <col min="3" max="3" width="10.6640625" style="32"/>
    <col min="9" max="9" width="13.06640625" bestFit="1" customWidth="1"/>
    <col min="10" max="10" width="35.59765625" bestFit="1" customWidth="1"/>
    <col min="11" max="11" width="32.19921875" bestFit="1" customWidth="1"/>
    <col min="16" max="17" width="10.6640625" style="32"/>
    <col min="24" max="24" width="36.73046875" bestFit="1" customWidth="1"/>
    <col min="30" max="31" width="10.6640625" style="32"/>
  </cols>
  <sheetData>
    <row r="2" spans="2:40" x14ac:dyDescent="0.45">
      <c r="D2" s="25" t="s">
        <v>168</v>
      </c>
      <c r="E2" s="25"/>
      <c r="F2" s="26" t="s">
        <v>6</v>
      </c>
      <c r="G2" s="26"/>
      <c r="H2" s="27" t="s">
        <v>58</v>
      </c>
      <c r="I2" s="27"/>
      <c r="R2" s="25" t="s">
        <v>168</v>
      </c>
      <c r="S2" s="25"/>
      <c r="T2" s="26" t="s">
        <v>6</v>
      </c>
      <c r="U2" s="26"/>
      <c r="V2" s="27" t="s">
        <v>14</v>
      </c>
      <c r="W2" s="27"/>
      <c r="AF2" s="25" t="s">
        <v>168</v>
      </c>
      <c r="AG2" s="25"/>
      <c r="AH2" s="26" t="s">
        <v>6</v>
      </c>
      <c r="AI2" s="26"/>
      <c r="AJ2" s="27" t="s">
        <v>15</v>
      </c>
      <c r="AK2" s="27"/>
    </row>
    <row r="3" spans="2:40" ht="14.65" thickBot="1" x14ac:dyDescent="0.5">
      <c r="C3" s="33" t="s">
        <v>5</v>
      </c>
      <c r="D3" s="1"/>
      <c r="E3" s="1"/>
      <c r="F3" s="2" t="s">
        <v>0</v>
      </c>
      <c r="G3" s="2" t="s">
        <v>0</v>
      </c>
      <c r="H3" s="3" t="s">
        <v>1</v>
      </c>
      <c r="I3" s="3" t="s">
        <v>1</v>
      </c>
      <c r="J3" s="4" t="s">
        <v>2</v>
      </c>
      <c r="K3" s="4" t="s">
        <v>3</v>
      </c>
      <c r="L3" s="5" t="s">
        <v>4</v>
      </c>
      <c r="M3" s="7"/>
      <c r="Q3" s="33" t="s">
        <v>5</v>
      </c>
      <c r="R3" s="28" t="s">
        <v>0</v>
      </c>
      <c r="S3" s="28"/>
      <c r="T3" s="28"/>
      <c r="U3" s="29"/>
      <c r="V3" s="30" t="s">
        <v>1</v>
      </c>
      <c r="W3" s="31"/>
      <c r="X3" s="4" t="s">
        <v>2</v>
      </c>
      <c r="Y3" s="4" t="s">
        <v>3</v>
      </c>
      <c r="Z3" s="5" t="s">
        <v>4</v>
      </c>
      <c r="AA3" s="7"/>
      <c r="AE3" s="33" t="s">
        <v>5</v>
      </c>
      <c r="AF3" s="28" t="s">
        <v>0</v>
      </c>
      <c r="AG3" s="28"/>
      <c r="AH3" s="28"/>
      <c r="AI3" s="29"/>
      <c r="AJ3" s="30" t="s">
        <v>1</v>
      </c>
      <c r="AK3" s="31"/>
      <c r="AL3" s="4" t="s">
        <v>2</v>
      </c>
      <c r="AM3" s="4" t="s">
        <v>3</v>
      </c>
      <c r="AN3" s="5" t="s">
        <v>4</v>
      </c>
    </row>
    <row r="4" spans="2:40" x14ac:dyDescent="0.45">
      <c r="B4" s="32" t="s">
        <v>68</v>
      </c>
      <c r="C4" s="32">
        <v>7</v>
      </c>
      <c r="D4">
        <v>20.58441162109375</v>
      </c>
      <c r="E4">
        <v>20.713361740112305</v>
      </c>
      <c r="F4">
        <v>18.562854766845703</v>
      </c>
      <c r="G4">
        <v>17.553821563720703</v>
      </c>
      <c r="H4">
        <v>28.257272720336914</v>
      </c>
      <c r="I4">
        <v>28.309553146362305</v>
      </c>
      <c r="J4">
        <f>(AVERAGE(H4:I4)-AVERAGE(D4:G4))</f>
        <v>8.9298005104064941</v>
      </c>
      <c r="K4">
        <f>J4-$J$53</f>
        <v>1.2833219104342994</v>
      </c>
      <c r="L4">
        <f t="shared" ref="L4:L51" si="0">2^-K4</f>
        <v>0.41084841027512392</v>
      </c>
      <c r="P4" s="32" t="s">
        <v>68</v>
      </c>
      <c r="Q4" s="32">
        <v>7</v>
      </c>
      <c r="R4">
        <v>20.58441162109375</v>
      </c>
      <c r="S4">
        <v>20.713361740112305</v>
      </c>
      <c r="T4">
        <v>18.562854766845703</v>
      </c>
      <c r="U4">
        <v>17.553821563720703</v>
      </c>
      <c r="V4">
        <v>19.769683837890625</v>
      </c>
      <c r="W4">
        <v>21.700658798217773</v>
      </c>
      <c r="X4">
        <f>(AVERAGE(V4:W4)-AVERAGE(R4:U4))</f>
        <v>1.381558895111084</v>
      </c>
      <c r="Y4">
        <f>X4-$X$53</f>
        <v>0.16522947947184252</v>
      </c>
      <c r="Z4">
        <f t="shared" ref="Z4:Z33" si="1">2^-Y4</f>
        <v>0.89178665783315669</v>
      </c>
      <c r="AD4" s="35" t="s">
        <v>16</v>
      </c>
      <c r="AE4" s="32">
        <v>1</v>
      </c>
      <c r="AF4">
        <v>24.55467414855957</v>
      </c>
      <c r="AG4">
        <v>23.712543487548828</v>
      </c>
      <c r="AH4">
        <v>21.186721801757813</v>
      </c>
      <c r="AI4">
        <v>20.250463485717773</v>
      </c>
      <c r="AJ4">
        <v>27.545726776123047</v>
      </c>
      <c r="AK4">
        <v>28.015464782714844</v>
      </c>
      <c r="AL4">
        <f>(AVERAGE(AJ4:AK4)-AVERAGE(AF4:AI4))</f>
        <v>5.3544950485229492</v>
      </c>
      <c r="AM4">
        <f>AL4-$AJ$36</f>
        <v>-3.9046446482340791E-2</v>
      </c>
      <c r="AN4">
        <f>2^-AM4</f>
        <v>1.0274345163284289</v>
      </c>
    </row>
    <row r="5" spans="2:40" x14ac:dyDescent="0.45">
      <c r="B5" s="32" t="s">
        <v>69</v>
      </c>
      <c r="C5" s="32">
        <v>8</v>
      </c>
      <c r="D5">
        <v>22.173370361328125</v>
      </c>
      <c r="E5">
        <v>22.022058486938477</v>
      </c>
      <c r="F5">
        <v>17.049051284790039</v>
      </c>
      <c r="G5">
        <v>17.679023742675781</v>
      </c>
      <c r="H5">
        <v>27.076267242431641</v>
      </c>
      <c r="I5">
        <v>26.972845077514648</v>
      </c>
      <c r="J5">
        <f t="shared" ref="J5:J51" si="2">(AVERAGE(H5:I5)-AVERAGE(D5:G5))</f>
        <v>7.2936801910400391</v>
      </c>
      <c r="K5">
        <f t="shared" ref="K5:K9" si="3">J5-$J$53</f>
        <v>-0.35279840893215564</v>
      </c>
      <c r="L5">
        <f t="shared" si="0"/>
        <v>1.2770353036726729</v>
      </c>
      <c r="P5" s="32" t="s">
        <v>69</v>
      </c>
      <c r="Q5" s="32">
        <v>8</v>
      </c>
      <c r="R5">
        <v>22.173370361328125</v>
      </c>
      <c r="S5">
        <v>22.022058486938477</v>
      </c>
      <c r="T5">
        <v>17.049051284790039</v>
      </c>
      <c r="U5">
        <v>17.679023742675781</v>
      </c>
      <c r="V5">
        <v>21.201501846313477</v>
      </c>
      <c r="W5">
        <v>20.481643676757813</v>
      </c>
      <c r="X5">
        <f t="shared" ref="X5:X51" si="4">(AVERAGE(V5:W5)-AVERAGE(R5:U5))</f>
        <v>1.1106967926025391</v>
      </c>
      <c r="Y5">
        <f t="shared" ref="Y5:Y9" si="5">X5-$X$53</f>
        <v>-0.1056326230367024</v>
      </c>
      <c r="Z5">
        <f t="shared" si="1"/>
        <v>1.0759660991026103</v>
      </c>
      <c r="AD5" s="36" t="s">
        <v>17</v>
      </c>
      <c r="AE5" s="32">
        <v>2</v>
      </c>
      <c r="AF5">
        <v>23.81157112121582</v>
      </c>
      <c r="AG5">
        <v>24.252681732177734</v>
      </c>
      <c r="AH5">
        <v>22.722829818725586</v>
      </c>
      <c r="AI5">
        <v>22.412008285522461</v>
      </c>
      <c r="AJ5">
        <v>29.003444671630859</v>
      </c>
      <c r="AK5">
        <v>27.833126068115234</v>
      </c>
      <c r="AL5">
        <f t="shared" ref="AL5:AL33" si="6">(AVERAGE(AJ5:AK5)-AVERAGE(AF5:AI5))</f>
        <v>5.1185126304626465</v>
      </c>
      <c r="AM5">
        <f t="shared" ref="AM5:AM9" si="7">AL5-$AJ$36</f>
        <v>-0.27502886454264353</v>
      </c>
      <c r="AN5">
        <f t="shared" ref="AN5:AN33" si="8">2^-AM5</f>
        <v>1.2100182982685976</v>
      </c>
    </row>
    <row r="6" spans="2:40" x14ac:dyDescent="0.45">
      <c r="B6" s="32" t="s">
        <v>70</v>
      </c>
      <c r="C6" s="32">
        <v>9</v>
      </c>
      <c r="D6">
        <v>23.045595169067383</v>
      </c>
      <c r="E6">
        <v>23.243099212646484</v>
      </c>
      <c r="G6">
        <v>18.180505752563477</v>
      </c>
      <c r="I6">
        <v>28.2056884765625</v>
      </c>
      <c r="J6">
        <f t="shared" si="2"/>
        <v>6.7159550984700509</v>
      </c>
      <c r="K6">
        <f t="shared" si="3"/>
        <v>-0.9305235015021438</v>
      </c>
      <c r="L6">
        <f t="shared" si="0"/>
        <v>1.9059674768251982</v>
      </c>
      <c r="P6" s="32" t="s">
        <v>70</v>
      </c>
      <c r="Q6" s="32">
        <v>9</v>
      </c>
      <c r="R6">
        <v>23.045595169067383</v>
      </c>
      <c r="S6">
        <v>23.243099212646484</v>
      </c>
      <c r="T6">
        <v>16.207496643066406</v>
      </c>
      <c r="U6">
        <v>18.180505752563477</v>
      </c>
      <c r="V6">
        <v>21.847816467285156</v>
      </c>
      <c r="W6">
        <v>20.803997039794922</v>
      </c>
      <c r="X6">
        <f t="shared" si="4"/>
        <v>1.1567325592041016</v>
      </c>
      <c r="Y6">
        <f t="shared" si="5"/>
        <v>-5.95968564351399E-2</v>
      </c>
      <c r="Z6">
        <f t="shared" si="1"/>
        <v>1.042174497172855</v>
      </c>
      <c r="AD6" s="36" t="s">
        <v>18</v>
      </c>
      <c r="AE6" s="32">
        <v>3</v>
      </c>
      <c r="AF6">
        <v>24.243972778320313</v>
      </c>
      <c r="AG6">
        <v>24.073686599731445</v>
      </c>
      <c r="AH6">
        <v>20.909297943115234</v>
      </c>
      <c r="AI6">
        <v>21.094396591186523</v>
      </c>
      <c r="AJ6">
        <v>29.036283493041992</v>
      </c>
      <c r="AK6">
        <v>27.539627075195313</v>
      </c>
      <c r="AL6">
        <f t="shared" si="6"/>
        <v>5.7076168060302734</v>
      </c>
      <c r="AM6">
        <f t="shared" si="7"/>
        <v>0.31407531102498343</v>
      </c>
      <c r="AN6">
        <f t="shared" si="8"/>
        <v>0.80436638061407584</v>
      </c>
    </row>
    <row r="7" spans="2:40" x14ac:dyDescent="0.45">
      <c r="B7" s="32" t="s">
        <v>71</v>
      </c>
      <c r="C7" s="32">
        <v>10</v>
      </c>
      <c r="D7">
        <v>21.155014038085938</v>
      </c>
      <c r="E7">
        <v>21.247476577758789</v>
      </c>
      <c r="F7">
        <v>17.392562866210938</v>
      </c>
      <c r="G7">
        <v>18.265811920166016</v>
      </c>
      <c r="H7">
        <v>25.615421295166016</v>
      </c>
      <c r="I7">
        <v>25.747678756713867</v>
      </c>
      <c r="J7">
        <f t="shared" si="2"/>
        <v>6.1663336753845215</v>
      </c>
      <c r="K7">
        <f t="shared" si="3"/>
        <v>-1.4801449245876732</v>
      </c>
      <c r="L7">
        <f t="shared" si="0"/>
        <v>2.789767562129609</v>
      </c>
      <c r="P7" s="32" t="s">
        <v>71</v>
      </c>
      <c r="Q7" s="32">
        <v>10</v>
      </c>
      <c r="R7">
        <v>21.155014038085938</v>
      </c>
      <c r="S7">
        <v>21.247476577758789</v>
      </c>
      <c r="T7">
        <v>17.392562866210938</v>
      </c>
      <c r="U7">
        <v>18.265811920166016</v>
      </c>
      <c r="V7">
        <v>19.66438102722168</v>
      </c>
      <c r="W7">
        <v>19.619451522827148</v>
      </c>
      <c r="X7">
        <f t="shared" si="4"/>
        <v>0.12669992446899414</v>
      </c>
      <c r="Y7">
        <f t="shared" si="5"/>
        <v>-1.0896294911702473</v>
      </c>
      <c r="Z7">
        <f t="shared" si="1"/>
        <v>2.1281937380661695</v>
      </c>
      <c r="AD7" s="36" t="s">
        <v>19</v>
      </c>
      <c r="AE7" s="32">
        <v>4</v>
      </c>
      <c r="AF7">
        <v>24.691946029663086</v>
      </c>
      <c r="AG7">
        <v>23.844991683959961</v>
      </c>
      <c r="AH7">
        <v>21.390375137329102</v>
      </c>
      <c r="AI7">
        <v>21.52454948425293</v>
      </c>
      <c r="AJ7">
        <v>27.416526794433594</v>
      </c>
      <c r="AK7">
        <v>27.122838973999023</v>
      </c>
      <c r="AL7">
        <f t="shared" si="6"/>
        <v>4.4067173004150391</v>
      </c>
      <c r="AM7">
        <f t="shared" si="7"/>
        <v>-0.98682419459025095</v>
      </c>
      <c r="AN7">
        <f t="shared" si="8"/>
        <v>1.9818176094531179</v>
      </c>
    </row>
    <row r="8" spans="2:40" x14ac:dyDescent="0.45">
      <c r="B8" s="32" t="s">
        <v>72</v>
      </c>
      <c r="C8" s="32">
        <v>11</v>
      </c>
      <c r="D8">
        <v>22.501272201538086</v>
      </c>
      <c r="E8">
        <v>22.638418197631836</v>
      </c>
      <c r="F8">
        <v>18.30067253112793</v>
      </c>
      <c r="H8">
        <v>28.114885330200195</v>
      </c>
      <c r="I8">
        <v>27.348094940185547</v>
      </c>
      <c r="J8">
        <f t="shared" si="2"/>
        <v>6.5847024917602539</v>
      </c>
      <c r="K8">
        <f t="shared" si="3"/>
        <v>-1.0617761082119408</v>
      </c>
      <c r="L8">
        <f t="shared" si="0"/>
        <v>2.087499870679681</v>
      </c>
      <c r="P8" s="32" t="s">
        <v>72</v>
      </c>
      <c r="Q8" s="32">
        <v>11</v>
      </c>
      <c r="R8">
        <v>22.501272201538086</v>
      </c>
      <c r="S8">
        <v>22.638418197631836</v>
      </c>
      <c r="T8">
        <v>18.30067253112793</v>
      </c>
      <c r="U8">
        <v>15.549868583679199</v>
      </c>
      <c r="V8">
        <v>20.584335327148438</v>
      </c>
      <c r="W8">
        <v>20.793354034423828</v>
      </c>
      <c r="X8">
        <f t="shared" si="4"/>
        <v>0.94128680229187012</v>
      </c>
      <c r="Y8">
        <f t="shared" si="5"/>
        <v>-0.27504261334737135</v>
      </c>
      <c r="Z8">
        <f t="shared" si="1"/>
        <v>1.2100298297316583</v>
      </c>
      <c r="AD8" s="36" t="s">
        <v>20</v>
      </c>
      <c r="AE8" s="32">
        <v>5</v>
      </c>
      <c r="AF8">
        <v>24.91339111328125</v>
      </c>
      <c r="AG8">
        <v>24.346113204956055</v>
      </c>
      <c r="AH8">
        <v>20.659856796264648</v>
      </c>
      <c r="AI8">
        <v>20.828536987304688</v>
      </c>
      <c r="AJ8">
        <v>28.11756706237793</v>
      </c>
      <c r="AK8">
        <v>27.720127105712891</v>
      </c>
      <c r="AL8">
        <f t="shared" si="6"/>
        <v>5.23187255859375</v>
      </c>
      <c r="AM8">
        <f t="shared" si="7"/>
        <v>-0.16166893641154001</v>
      </c>
      <c r="AN8">
        <f t="shared" si="8"/>
        <v>1.1185803844610411</v>
      </c>
    </row>
    <row r="9" spans="2:40" ht="14.65" thickBot="1" x14ac:dyDescent="0.5">
      <c r="B9" s="34" t="s">
        <v>73</v>
      </c>
      <c r="C9" s="34">
        <v>12</v>
      </c>
      <c r="D9">
        <v>21.447052001953125</v>
      </c>
      <c r="E9">
        <v>21.290519714355469</v>
      </c>
      <c r="F9" s="6"/>
      <c r="G9" s="6">
        <v>18.047630310058594</v>
      </c>
      <c r="H9" s="6">
        <v>29.924150466918945</v>
      </c>
      <c r="I9" s="6">
        <v>29.333765029907227</v>
      </c>
      <c r="J9">
        <f t="shared" si="2"/>
        <v>9.3672237396240234</v>
      </c>
      <c r="K9">
        <f t="shared" si="3"/>
        <v>1.7207451396518287</v>
      </c>
      <c r="L9">
        <f t="shared" si="0"/>
        <v>0.30339198126090083</v>
      </c>
      <c r="M9" s="6"/>
      <c r="P9" s="34" t="s">
        <v>73</v>
      </c>
      <c r="Q9" s="34">
        <v>12</v>
      </c>
      <c r="R9">
        <v>21.447052001953125</v>
      </c>
      <c r="S9">
        <v>21.290519714355469</v>
      </c>
      <c r="T9" s="6">
        <v>16.539882659912109</v>
      </c>
      <c r="U9" s="6">
        <v>18.047630310058594</v>
      </c>
      <c r="V9">
        <v>19.513595581054688</v>
      </c>
      <c r="W9">
        <v>19.164573669433594</v>
      </c>
      <c r="X9">
        <f t="shared" si="4"/>
        <v>7.8134536743164063E-3</v>
      </c>
      <c r="Y9">
        <f t="shared" si="5"/>
        <v>-1.2085159619649251</v>
      </c>
      <c r="Z9" s="6">
        <f t="shared" si="1"/>
        <v>2.3109979210378935</v>
      </c>
      <c r="AA9" s="6"/>
      <c r="AD9" s="37" t="s">
        <v>21</v>
      </c>
      <c r="AE9" s="34">
        <v>6</v>
      </c>
      <c r="AF9" s="6">
        <v>23.177377700805664</v>
      </c>
      <c r="AG9" s="6">
        <v>24.465053558349609</v>
      </c>
      <c r="AH9" s="6">
        <v>20.913986206054688</v>
      </c>
      <c r="AI9" s="6">
        <v>20.401960372924805</v>
      </c>
      <c r="AJ9" s="6">
        <v>27.685565948486328</v>
      </c>
      <c r="AK9" s="6">
        <v>28.737001419067383</v>
      </c>
      <c r="AL9">
        <f t="shared" si="6"/>
        <v>5.9716892242431641</v>
      </c>
      <c r="AM9">
        <f t="shared" si="7"/>
        <v>0.57814772923787405</v>
      </c>
      <c r="AN9">
        <f t="shared" si="8"/>
        <v>0.66982320907502202</v>
      </c>
    </row>
    <row r="10" spans="2:40" x14ac:dyDescent="0.45">
      <c r="B10" s="32" t="s">
        <v>22</v>
      </c>
      <c r="C10" s="32">
        <v>13</v>
      </c>
      <c r="D10">
        <v>23.345695495605469</v>
      </c>
      <c r="E10">
        <v>22.647109985351563</v>
      </c>
      <c r="F10">
        <v>22.738323211669922</v>
      </c>
      <c r="G10">
        <v>21.647027969360352</v>
      </c>
      <c r="I10">
        <v>27.195425033569336</v>
      </c>
      <c r="J10">
        <f t="shared" si="2"/>
        <v>4.6008858680725098</v>
      </c>
      <c r="K10">
        <f>J10-$J$54</f>
        <v>0.41766134897867957</v>
      </c>
      <c r="L10">
        <f t="shared" si="0"/>
        <v>0.7486372041273861</v>
      </c>
      <c r="P10" s="32" t="s">
        <v>22</v>
      </c>
      <c r="Q10" s="32">
        <v>13</v>
      </c>
      <c r="R10">
        <v>23.345695495605469</v>
      </c>
      <c r="S10">
        <v>22.647109985351563</v>
      </c>
      <c r="T10">
        <v>22.738323211669922</v>
      </c>
      <c r="U10">
        <v>21.647027969360352</v>
      </c>
      <c r="V10">
        <v>19.567888259887695</v>
      </c>
      <c r="W10">
        <v>19.636451721191406</v>
      </c>
      <c r="X10">
        <f t="shared" si="4"/>
        <v>-2.9923691749572754</v>
      </c>
      <c r="Y10">
        <f>X10-$X$54</f>
        <v>-0.82876650492350157</v>
      </c>
      <c r="Z10">
        <f t="shared" si="1"/>
        <v>1.7761661022355912</v>
      </c>
      <c r="AD10" s="35" t="s">
        <v>22</v>
      </c>
      <c r="AE10" s="32">
        <v>13</v>
      </c>
      <c r="AF10">
        <v>23.345695495605469</v>
      </c>
      <c r="AG10">
        <v>22.647109985351563</v>
      </c>
      <c r="AH10">
        <v>22.738323211669922</v>
      </c>
      <c r="AI10">
        <v>21.647027969360352</v>
      </c>
      <c r="AJ10">
        <v>29.119991302490234</v>
      </c>
      <c r="AK10">
        <v>26.842111587524414</v>
      </c>
      <c r="AL10">
        <f t="shared" si="6"/>
        <v>5.386512279510498</v>
      </c>
      <c r="AM10">
        <f>AL10-$AJ$37</f>
        <v>0.12929121653239051</v>
      </c>
      <c r="AN10">
        <f t="shared" si="8"/>
        <v>0.91428051793851106</v>
      </c>
    </row>
    <row r="11" spans="2:40" x14ac:dyDescent="0.45">
      <c r="B11" s="32" t="s">
        <v>23</v>
      </c>
      <c r="C11" s="32">
        <v>14</v>
      </c>
      <c r="D11">
        <v>22.612710952758789</v>
      </c>
      <c r="E11">
        <v>22.579959869384766</v>
      </c>
      <c r="F11">
        <v>21.063808441162109</v>
      </c>
      <c r="G11">
        <v>19.41679573059082</v>
      </c>
      <c r="H11">
        <v>25.147491455078125</v>
      </c>
      <c r="I11">
        <v>26.293025970458984</v>
      </c>
      <c r="J11">
        <f t="shared" si="2"/>
        <v>4.3019399642944336</v>
      </c>
      <c r="K11">
        <f t="shared" ref="K11:K15" si="9">J11-$J$54</f>
        <v>0.1187154452006034</v>
      </c>
      <c r="L11">
        <f t="shared" si="0"/>
        <v>0.92100733726516792</v>
      </c>
      <c r="P11" s="32" t="s">
        <v>23</v>
      </c>
      <c r="Q11" s="32">
        <v>14</v>
      </c>
      <c r="R11">
        <v>22.612710952758789</v>
      </c>
      <c r="S11">
        <v>22.579959869384766</v>
      </c>
      <c r="T11">
        <v>21.063808441162109</v>
      </c>
      <c r="U11">
        <v>19.41679573059082</v>
      </c>
      <c r="V11">
        <v>19.332746505737305</v>
      </c>
      <c r="W11">
        <v>19.651994705200195</v>
      </c>
      <c r="X11">
        <f t="shared" si="4"/>
        <v>-1.9259481430053711</v>
      </c>
      <c r="Y11">
        <f t="shared" ref="Y11:Y15" si="10">X11-$X$54</f>
        <v>0.23765452702840273</v>
      </c>
      <c r="Z11">
        <f t="shared" si="1"/>
        <v>0.84812303492714913</v>
      </c>
      <c r="AD11" s="36" t="s">
        <v>23</v>
      </c>
      <c r="AE11" s="32">
        <v>14</v>
      </c>
      <c r="AF11">
        <v>22.612710952758789</v>
      </c>
      <c r="AG11">
        <v>22.579959869384766</v>
      </c>
      <c r="AH11">
        <v>21.063808441162109</v>
      </c>
      <c r="AI11">
        <v>19.41679573059082</v>
      </c>
      <c r="AJ11">
        <v>27.531896591186523</v>
      </c>
      <c r="AK11">
        <v>25.885597229003906</v>
      </c>
      <c r="AL11">
        <f t="shared" si="6"/>
        <v>5.2904281616210938</v>
      </c>
      <c r="AM11">
        <f t="shared" ref="AM11:AM15" si="11">AL11-$AJ$37</f>
        <v>3.320709864298621E-2</v>
      </c>
      <c r="AN11">
        <f t="shared" si="8"/>
        <v>0.97724547290974173</v>
      </c>
    </row>
    <row r="12" spans="2:40" x14ac:dyDescent="0.45">
      <c r="B12" s="32" t="s">
        <v>24</v>
      </c>
      <c r="C12" s="32">
        <v>15</v>
      </c>
      <c r="D12">
        <v>22.042751312255859</v>
      </c>
      <c r="E12">
        <v>22.206157684326172</v>
      </c>
      <c r="F12">
        <v>20.229660034179702</v>
      </c>
      <c r="G12">
        <v>20.158309936523438</v>
      </c>
      <c r="H12">
        <v>24.454448699951172</v>
      </c>
      <c r="I12">
        <v>25.157686233520508</v>
      </c>
      <c r="J12">
        <f t="shared" si="2"/>
        <v>3.6468477249145472</v>
      </c>
      <c r="K12">
        <f t="shared" si="9"/>
        <v>-0.53637679417928297</v>
      </c>
      <c r="L12">
        <f t="shared" si="0"/>
        <v>1.450325570492395</v>
      </c>
      <c r="P12" s="32" t="s">
        <v>24</v>
      </c>
      <c r="Q12" s="32">
        <v>15</v>
      </c>
      <c r="R12">
        <v>22.042751312255859</v>
      </c>
      <c r="S12">
        <v>22.206157684326172</v>
      </c>
      <c r="T12">
        <v>20.229660034179702</v>
      </c>
      <c r="U12">
        <v>20.158309936523438</v>
      </c>
      <c r="V12">
        <v>19.744747161865234</v>
      </c>
      <c r="W12">
        <v>19.4287109375</v>
      </c>
      <c r="X12">
        <f t="shared" si="4"/>
        <v>-1.5724906921386754</v>
      </c>
      <c r="Y12">
        <f t="shared" si="10"/>
        <v>0.59111197789509839</v>
      </c>
      <c r="Z12">
        <f t="shared" si="1"/>
        <v>0.66383105250904328</v>
      </c>
      <c r="AD12" s="36" t="s">
        <v>24</v>
      </c>
      <c r="AE12" s="32">
        <v>15</v>
      </c>
      <c r="AF12">
        <v>22.042751312255859</v>
      </c>
      <c r="AG12">
        <v>22.206157684326172</v>
      </c>
      <c r="AH12">
        <v>20.229660034179702</v>
      </c>
      <c r="AI12">
        <v>20.158309936523438</v>
      </c>
      <c r="AJ12">
        <v>26.582962036132813</v>
      </c>
      <c r="AK12">
        <v>25.924922943115234</v>
      </c>
      <c r="AL12">
        <f t="shared" si="6"/>
        <v>5.0947227478027308</v>
      </c>
      <c r="AM12">
        <f t="shared" si="11"/>
        <v>-0.16249831517537672</v>
      </c>
      <c r="AN12">
        <f t="shared" si="8"/>
        <v>1.1192236205628083</v>
      </c>
    </row>
    <row r="13" spans="2:40" x14ac:dyDescent="0.45">
      <c r="B13" s="32" t="s">
        <v>25</v>
      </c>
      <c r="C13" s="32">
        <v>16</v>
      </c>
      <c r="D13">
        <v>21.01249885559082</v>
      </c>
      <c r="E13">
        <v>21.453140258789063</v>
      </c>
      <c r="F13">
        <v>18.852619171142578</v>
      </c>
      <c r="G13">
        <v>18.145896911621094</v>
      </c>
      <c r="H13">
        <v>25.562408447265625</v>
      </c>
      <c r="I13">
        <v>25.229314804077148</v>
      </c>
      <c r="J13">
        <f t="shared" si="2"/>
        <v>5.529822826385498</v>
      </c>
      <c r="K13">
        <f t="shared" si="9"/>
        <v>1.3465983072916679</v>
      </c>
      <c r="L13">
        <f t="shared" si="0"/>
        <v>0.39321811540202645</v>
      </c>
      <c r="P13" s="32" t="s">
        <v>25</v>
      </c>
      <c r="Q13" s="32">
        <v>16</v>
      </c>
      <c r="R13">
        <v>21.01249885559082</v>
      </c>
      <c r="S13">
        <v>21.453140258789063</v>
      </c>
      <c r="T13">
        <v>18.852619171142578</v>
      </c>
      <c r="U13">
        <v>18.145896911621094</v>
      </c>
      <c r="V13">
        <v>18.730783462524414</v>
      </c>
      <c r="W13">
        <v>18.329362869262695</v>
      </c>
      <c r="X13">
        <f t="shared" si="4"/>
        <v>-1.335965633392334</v>
      </c>
      <c r="Y13">
        <f t="shared" si="10"/>
        <v>0.82763703664143984</v>
      </c>
      <c r="Z13">
        <f t="shared" si="1"/>
        <v>0.56345135346981567</v>
      </c>
      <c r="AD13" s="36" t="s">
        <v>25</v>
      </c>
      <c r="AE13" s="32">
        <v>16</v>
      </c>
      <c r="AF13">
        <v>21.01249885559082</v>
      </c>
      <c r="AG13">
        <v>21.453140258789063</v>
      </c>
      <c r="AH13">
        <v>18.852619171142578</v>
      </c>
      <c r="AI13">
        <v>18.145896911621094</v>
      </c>
      <c r="AJ13">
        <v>25.170755386352539</v>
      </c>
      <c r="AK13">
        <v>24.975912094116211</v>
      </c>
      <c r="AL13">
        <f t="shared" si="6"/>
        <v>5.2072949409484863</v>
      </c>
      <c r="AM13">
        <f t="shared" si="11"/>
        <v>-4.9926122029621212E-2</v>
      </c>
      <c r="AN13">
        <f t="shared" si="8"/>
        <v>1.0352119110348217</v>
      </c>
    </row>
    <row r="14" spans="2:40" x14ac:dyDescent="0.45">
      <c r="B14" s="32" t="s">
        <v>26</v>
      </c>
      <c r="C14" s="32">
        <v>17</v>
      </c>
      <c r="D14">
        <v>22.834577560424805</v>
      </c>
      <c r="E14">
        <v>22.680688858032227</v>
      </c>
      <c r="F14">
        <v>21.78004264831543</v>
      </c>
      <c r="G14">
        <v>20.533334732055664</v>
      </c>
      <c r="H14">
        <v>29.693943023681641</v>
      </c>
      <c r="I14">
        <v>27.915048599243164</v>
      </c>
      <c r="J14">
        <f t="shared" si="2"/>
        <v>6.8473348617553711</v>
      </c>
      <c r="K14">
        <f t="shared" si="9"/>
        <v>2.6641103426615409</v>
      </c>
      <c r="L14">
        <f t="shared" si="0"/>
        <v>0.15776943676152758</v>
      </c>
      <c r="P14" s="32" t="s">
        <v>26</v>
      </c>
      <c r="Q14" s="32">
        <v>17</v>
      </c>
      <c r="R14">
        <v>22.834577560424805</v>
      </c>
      <c r="S14">
        <v>22.680688858032227</v>
      </c>
      <c r="T14">
        <v>21.78004264831543</v>
      </c>
      <c r="U14">
        <v>20.533334732055664</v>
      </c>
      <c r="V14">
        <v>21.182231903076172</v>
      </c>
      <c r="W14">
        <v>20.912151336669922</v>
      </c>
      <c r="X14">
        <f t="shared" si="4"/>
        <v>-0.90996932983398438</v>
      </c>
      <c r="Y14">
        <f t="shared" si="10"/>
        <v>1.2536333401997894</v>
      </c>
      <c r="Z14">
        <f t="shared" si="1"/>
        <v>0.41939066648221079</v>
      </c>
      <c r="AD14" s="36" t="s">
        <v>26</v>
      </c>
      <c r="AE14" s="32">
        <v>17</v>
      </c>
      <c r="AF14">
        <v>22.834577560424805</v>
      </c>
      <c r="AG14">
        <v>22.680688858032227</v>
      </c>
      <c r="AH14">
        <v>21.78004264831543</v>
      </c>
      <c r="AI14">
        <v>20.533334732055664</v>
      </c>
      <c r="AJ14">
        <v>27.996984481811523</v>
      </c>
      <c r="AK14">
        <v>28.276325225830078</v>
      </c>
      <c r="AL14">
        <f t="shared" si="6"/>
        <v>6.1794939041137695</v>
      </c>
      <c r="AM14">
        <f t="shared" si="11"/>
        <v>0.92227284113566199</v>
      </c>
      <c r="AN14">
        <f t="shared" si="8"/>
        <v>0.52767705559112621</v>
      </c>
    </row>
    <row r="15" spans="2:40" ht="14.65" thickBot="1" x14ac:dyDescent="0.5">
      <c r="B15" s="34" t="s">
        <v>27</v>
      </c>
      <c r="C15" s="34">
        <v>18</v>
      </c>
      <c r="D15">
        <v>23.832172393798828</v>
      </c>
      <c r="E15">
        <v>23.386062622070313</v>
      </c>
      <c r="F15" s="6">
        <v>22.374340057373047</v>
      </c>
      <c r="G15" s="6">
        <v>21.154541015625</v>
      </c>
      <c r="H15" s="6">
        <v>27.968839645385742</v>
      </c>
      <c r="I15" s="6">
        <v>28.660032272338867</v>
      </c>
      <c r="J15">
        <f t="shared" si="2"/>
        <v>5.6276569366455078</v>
      </c>
      <c r="K15">
        <f t="shared" si="9"/>
        <v>1.4444324175516776</v>
      </c>
      <c r="L15">
        <f t="shared" si="0"/>
        <v>0.3674366861578256</v>
      </c>
      <c r="M15" s="6"/>
      <c r="P15" s="34" t="s">
        <v>27</v>
      </c>
      <c r="Q15" s="34">
        <v>18</v>
      </c>
      <c r="R15">
        <v>23.832172393798828</v>
      </c>
      <c r="S15">
        <v>23.386062622070313</v>
      </c>
      <c r="T15" s="6">
        <v>22.374340057373047</v>
      </c>
      <c r="U15" s="6">
        <v>21.154541015625</v>
      </c>
      <c r="V15">
        <v>20.808403015136719</v>
      </c>
      <c r="W15">
        <v>21.487812042236328</v>
      </c>
      <c r="X15">
        <f t="shared" si="4"/>
        <v>-1.5386714935302734</v>
      </c>
      <c r="Y15">
        <f t="shared" si="10"/>
        <v>0.62493117650350039</v>
      </c>
      <c r="Z15" s="6">
        <f t="shared" si="1"/>
        <v>0.64845071080727112</v>
      </c>
      <c r="AA15" s="6"/>
      <c r="AD15" s="37" t="s">
        <v>27</v>
      </c>
      <c r="AE15" s="34">
        <v>18</v>
      </c>
      <c r="AF15">
        <v>23.832172393798828</v>
      </c>
      <c r="AG15">
        <v>23.386062622070313</v>
      </c>
      <c r="AH15" s="6">
        <v>22.374340057373047</v>
      </c>
      <c r="AI15" s="6">
        <v>21.154541015625</v>
      </c>
      <c r="AJ15" s="6">
        <v>29.282314300537109</v>
      </c>
      <c r="AK15" s="6">
        <v>27.616252899169922</v>
      </c>
      <c r="AL15">
        <f t="shared" si="6"/>
        <v>5.7625045776367188</v>
      </c>
      <c r="AM15">
        <f t="shared" si="11"/>
        <v>0.50528351465861121</v>
      </c>
      <c r="AN15">
        <f t="shared" si="8"/>
        <v>0.7045219131611834</v>
      </c>
    </row>
    <row r="16" spans="2:40" x14ac:dyDescent="0.45">
      <c r="B16" s="32" t="s">
        <v>74</v>
      </c>
      <c r="C16" s="32">
        <v>19</v>
      </c>
      <c r="D16">
        <v>23.756629943847656</v>
      </c>
      <c r="E16">
        <v>23.712858200073242</v>
      </c>
      <c r="F16">
        <v>17.98077392578125</v>
      </c>
      <c r="G16">
        <v>17.505638122558594</v>
      </c>
      <c r="H16">
        <v>27.745231628417969</v>
      </c>
      <c r="I16">
        <v>26.26824951171875</v>
      </c>
      <c r="J16">
        <f t="shared" si="2"/>
        <v>6.2677655220031738</v>
      </c>
      <c r="K16">
        <f>J16-$J$55</f>
        <v>0.63404035568237305</v>
      </c>
      <c r="L16">
        <f t="shared" si="0"/>
        <v>0.64436929041717861</v>
      </c>
      <c r="P16" s="32" t="s">
        <v>74</v>
      </c>
      <c r="Q16" s="32">
        <v>19</v>
      </c>
      <c r="R16">
        <v>23.756629943847656</v>
      </c>
      <c r="S16">
        <v>23.712858200073242</v>
      </c>
      <c r="T16">
        <v>17.98077392578125</v>
      </c>
      <c r="U16">
        <v>17.505638122558594</v>
      </c>
      <c r="V16">
        <v>21.42803955078125</v>
      </c>
      <c r="W16">
        <v>20.940526962280273</v>
      </c>
      <c r="X16">
        <f t="shared" si="4"/>
        <v>0.44530820846557617</v>
      </c>
      <c r="Y16">
        <f>X16-$X$55</f>
        <v>0.23977295557657877</v>
      </c>
      <c r="Z16">
        <f t="shared" si="1"/>
        <v>0.84687857956326695</v>
      </c>
      <c r="AD16" s="35" t="s">
        <v>28</v>
      </c>
      <c r="AE16" s="32">
        <v>25</v>
      </c>
      <c r="AF16">
        <v>22.130222320556641</v>
      </c>
      <c r="AG16">
        <v>21.650995254516602</v>
      </c>
      <c r="AH16">
        <v>21.003396987915039</v>
      </c>
      <c r="AI16">
        <v>20.653541564941406</v>
      </c>
      <c r="AJ16">
        <v>26.526416778564453</v>
      </c>
      <c r="AK16">
        <v>26.960851669311523</v>
      </c>
      <c r="AL16">
        <f t="shared" si="6"/>
        <v>5.3840951919555664</v>
      </c>
      <c r="AM16">
        <f>AL16-$AJ$38</f>
        <v>-0.22197389602661133</v>
      </c>
      <c r="AN16">
        <f t="shared" si="8"/>
        <v>1.1663282661757126</v>
      </c>
    </row>
    <row r="17" spans="2:40" x14ac:dyDescent="0.45">
      <c r="B17" s="32" t="s">
        <v>75</v>
      </c>
      <c r="C17" s="32">
        <v>20</v>
      </c>
      <c r="D17">
        <v>23.130977630615234</v>
      </c>
      <c r="E17">
        <v>23.688138961791992</v>
      </c>
      <c r="F17">
        <v>19.637100219726563</v>
      </c>
      <c r="G17">
        <v>17.468639373779297</v>
      </c>
      <c r="H17">
        <v>26.417819976806641</v>
      </c>
      <c r="I17">
        <v>26.168132781982422</v>
      </c>
      <c r="J17">
        <f t="shared" si="2"/>
        <v>5.3117623329162598</v>
      </c>
      <c r="K17">
        <f t="shared" ref="K17:K21" si="12">J17-$J$55</f>
        <v>-0.32196283340454102</v>
      </c>
      <c r="L17">
        <f t="shared" si="0"/>
        <v>1.250030098993923</v>
      </c>
      <c r="P17" s="32" t="s">
        <v>75</v>
      </c>
      <c r="Q17" s="32">
        <v>20</v>
      </c>
      <c r="R17">
        <v>23.130977630615234</v>
      </c>
      <c r="S17">
        <v>23.688138961791992</v>
      </c>
      <c r="T17">
        <v>19.637100219726563</v>
      </c>
      <c r="U17">
        <v>17.468639373779297</v>
      </c>
      <c r="V17">
        <v>21.311576843261719</v>
      </c>
      <c r="W17">
        <v>20.704929351806641</v>
      </c>
      <c r="X17">
        <f t="shared" si="4"/>
        <v>2.7039051055908203E-2</v>
      </c>
      <c r="Y17">
        <f t="shared" ref="Y17:Y21" si="13">X17-$X$55</f>
        <v>-0.1784962018330892</v>
      </c>
      <c r="Z17">
        <f t="shared" si="1"/>
        <v>1.1317036350845273</v>
      </c>
      <c r="AD17" s="36" t="s">
        <v>29</v>
      </c>
      <c r="AE17" s="32">
        <v>26</v>
      </c>
      <c r="AF17">
        <v>21.242998123168945</v>
      </c>
      <c r="AG17">
        <v>21.288978576660156</v>
      </c>
      <c r="AH17">
        <v>19.556295394897461</v>
      </c>
      <c r="AI17">
        <v>20.136720657348633</v>
      </c>
      <c r="AJ17">
        <v>26.340370178222656</v>
      </c>
      <c r="AK17">
        <v>26.882698059082031</v>
      </c>
      <c r="AL17">
        <f t="shared" si="6"/>
        <v>6.0552859306335449</v>
      </c>
      <c r="AM17">
        <f t="shared" ref="AM17:AM21" si="14">AL17-$AJ$38</f>
        <v>0.44921684265136719</v>
      </c>
      <c r="AN17">
        <f t="shared" si="8"/>
        <v>0.73244034041240058</v>
      </c>
    </row>
    <row r="18" spans="2:40" x14ac:dyDescent="0.45">
      <c r="B18" s="32" t="s">
        <v>76</v>
      </c>
      <c r="C18" s="32">
        <v>21</v>
      </c>
      <c r="D18">
        <v>23.851402282714844</v>
      </c>
      <c r="E18">
        <v>23.511001586914063</v>
      </c>
      <c r="F18">
        <v>19.177871704101563</v>
      </c>
      <c r="G18">
        <v>19.094779968261719</v>
      </c>
      <c r="H18">
        <v>26.379051208496094</v>
      </c>
      <c r="I18">
        <v>27.081771850585938</v>
      </c>
      <c r="J18">
        <f t="shared" si="2"/>
        <v>5.3216476440429688</v>
      </c>
      <c r="K18">
        <f t="shared" si="12"/>
        <v>-0.31207752227783203</v>
      </c>
      <c r="L18">
        <f t="shared" si="0"/>
        <v>1.241494200615612</v>
      </c>
      <c r="P18" s="32" t="s">
        <v>76</v>
      </c>
      <c r="Q18" s="32">
        <v>21</v>
      </c>
      <c r="R18">
        <v>23.851402282714844</v>
      </c>
      <c r="S18">
        <v>23.511001586914063</v>
      </c>
      <c r="T18">
        <v>19.177871704101563</v>
      </c>
      <c r="U18">
        <v>19.094779968261719</v>
      </c>
      <c r="V18">
        <v>21.310850143432617</v>
      </c>
      <c r="W18">
        <v>21.795194625854492</v>
      </c>
      <c r="X18">
        <f t="shared" si="4"/>
        <v>0.14425849914550781</v>
      </c>
      <c r="Y18">
        <f t="shared" si="13"/>
        <v>-6.1276753743489593E-2</v>
      </c>
      <c r="Z18">
        <f t="shared" si="1"/>
        <v>1.0433887287167392</v>
      </c>
      <c r="AD18" s="36" t="s">
        <v>30</v>
      </c>
      <c r="AE18" s="32">
        <v>27</v>
      </c>
      <c r="AF18">
        <v>20.672460556030273</v>
      </c>
      <c r="AG18">
        <v>21.473396301269531</v>
      </c>
      <c r="AH18">
        <v>20.998573303222656</v>
      </c>
      <c r="AI18">
        <v>20.286203384399414</v>
      </c>
      <c r="AJ18">
        <v>26.332502365112305</v>
      </c>
      <c r="AK18">
        <v>26.140466690063477</v>
      </c>
      <c r="AL18">
        <f t="shared" si="6"/>
        <v>5.3788261413574219</v>
      </c>
      <c r="AM18">
        <f t="shared" si="14"/>
        <v>-0.22724294662475586</v>
      </c>
      <c r="AN18">
        <f t="shared" si="8"/>
        <v>1.1705957505893583</v>
      </c>
    </row>
    <row r="19" spans="2:40" x14ac:dyDescent="0.45">
      <c r="B19" s="32" t="s">
        <v>77</v>
      </c>
      <c r="C19" s="32">
        <v>22</v>
      </c>
      <c r="D19">
        <v>22.788944244384766</v>
      </c>
      <c r="E19">
        <v>23.788051605224609</v>
      </c>
      <c r="F19">
        <v>16.797828674316406</v>
      </c>
      <c r="G19">
        <v>16.115530014038086</v>
      </c>
      <c r="H19">
        <v>26.722024917602539</v>
      </c>
      <c r="J19">
        <f t="shared" si="2"/>
        <v>6.8494362831115723</v>
      </c>
      <c r="K19">
        <f t="shared" si="12"/>
        <v>1.2157111167907715</v>
      </c>
      <c r="L19">
        <f t="shared" si="0"/>
        <v>0.4305608004223912</v>
      </c>
      <c r="P19" s="32" t="s">
        <v>77</v>
      </c>
      <c r="Q19" s="32">
        <v>22</v>
      </c>
      <c r="R19">
        <v>22.788944244384766</v>
      </c>
      <c r="S19">
        <v>23.788051605224609</v>
      </c>
      <c r="T19">
        <v>16.797828674316406</v>
      </c>
      <c r="U19">
        <v>16.115530014038086</v>
      </c>
      <c r="V19">
        <v>20.856464385986328</v>
      </c>
      <c r="W19">
        <v>21.362583160400391</v>
      </c>
      <c r="X19">
        <f t="shared" si="4"/>
        <v>1.2369351387023926</v>
      </c>
      <c r="Y19">
        <f t="shared" si="13"/>
        <v>1.0313998858133953</v>
      </c>
      <c r="Z19">
        <f t="shared" si="1"/>
        <v>0.48923520032550716</v>
      </c>
      <c r="AD19" s="36" t="s">
        <v>31</v>
      </c>
      <c r="AE19" s="32">
        <v>28</v>
      </c>
      <c r="AF19">
        <v>25.482093811035156</v>
      </c>
      <c r="AG19">
        <v>25.213163375854492</v>
      </c>
      <c r="AI19">
        <v>22.591632843017578</v>
      </c>
      <c r="AJ19">
        <v>28.518455505371094</v>
      </c>
      <c r="AK19">
        <v>28.635410308837891</v>
      </c>
      <c r="AL19">
        <f t="shared" si="6"/>
        <v>4.1479695638020821</v>
      </c>
      <c r="AM19">
        <f t="shared" si="14"/>
        <v>-1.4580995241800956</v>
      </c>
      <c r="AN19">
        <f t="shared" si="8"/>
        <v>2.7474619937260867</v>
      </c>
    </row>
    <row r="20" spans="2:40" x14ac:dyDescent="0.45">
      <c r="B20" s="32" t="s">
        <v>78</v>
      </c>
      <c r="C20" s="32">
        <v>23</v>
      </c>
      <c r="D20">
        <v>22.090873718261719</v>
      </c>
      <c r="E20">
        <v>22.186307907104492</v>
      </c>
      <c r="F20">
        <v>17.172258377075195</v>
      </c>
      <c r="G20">
        <v>16.408842086791992</v>
      </c>
      <c r="H20">
        <v>22.914772033691406</v>
      </c>
      <c r="I20">
        <v>25.467048645019531</v>
      </c>
      <c r="J20">
        <f t="shared" si="2"/>
        <v>4.7263398170471191</v>
      </c>
      <c r="K20">
        <f t="shared" si="12"/>
        <v>-0.90738534927368164</v>
      </c>
      <c r="L20">
        <f t="shared" si="0"/>
        <v>1.8756431173457475</v>
      </c>
      <c r="P20" s="32" t="s">
        <v>78</v>
      </c>
      <c r="Q20" s="32">
        <v>23</v>
      </c>
      <c r="R20">
        <v>22.090873718261719</v>
      </c>
      <c r="S20">
        <v>22.186307907104492</v>
      </c>
      <c r="T20">
        <v>17.172258377075195</v>
      </c>
      <c r="U20">
        <v>16.408842086791992</v>
      </c>
      <c r="V20">
        <v>17.852876663208008</v>
      </c>
      <c r="W20">
        <v>18.348011016845703</v>
      </c>
      <c r="X20">
        <f t="shared" si="4"/>
        <v>-1.3641266822814941</v>
      </c>
      <c r="Y20">
        <f t="shared" si="13"/>
        <v>-1.5696619351704915</v>
      </c>
      <c r="Z20">
        <f t="shared" si="1"/>
        <v>2.9683514898591956</v>
      </c>
      <c r="AD20" s="36" t="s">
        <v>32</v>
      </c>
      <c r="AE20" s="32">
        <v>29</v>
      </c>
      <c r="AF20">
        <v>21.397426605224609</v>
      </c>
      <c r="AG20">
        <v>22.360267639160156</v>
      </c>
      <c r="AH20">
        <v>19.469219207763672</v>
      </c>
      <c r="AI20">
        <v>19.481897354125977</v>
      </c>
      <c r="AJ20">
        <v>27.761569976806641</v>
      </c>
      <c r="AK20">
        <v>27.959573745727539</v>
      </c>
      <c r="AL20">
        <f t="shared" si="6"/>
        <v>7.1833691596984863</v>
      </c>
      <c r="AM20">
        <f t="shared" si="14"/>
        <v>1.5773000717163086</v>
      </c>
      <c r="AN20">
        <f t="shared" si="8"/>
        <v>0.3351084401465762</v>
      </c>
    </row>
    <row r="21" spans="2:40" ht="14.65" thickBot="1" x14ac:dyDescent="0.5">
      <c r="B21" s="34" t="s">
        <v>79</v>
      </c>
      <c r="C21" s="34">
        <v>24</v>
      </c>
      <c r="D21">
        <v>22.689151763916016</v>
      </c>
      <c r="E21">
        <v>22.647850036621094</v>
      </c>
      <c r="F21" s="6">
        <v>18.612457275390625</v>
      </c>
      <c r="G21" s="6">
        <v>18.162099838256836</v>
      </c>
      <c r="H21" s="6">
        <v>24.519018173217773</v>
      </c>
      <c r="I21" s="6">
        <v>27.597686767578125</v>
      </c>
      <c r="J21">
        <f t="shared" si="2"/>
        <v>5.5304627418518066</v>
      </c>
      <c r="K21">
        <f t="shared" si="12"/>
        <v>-0.10326242446899414</v>
      </c>
      <c r="L21">
        <f t="shared" si="0"/>
        <v>1.0741998494930383</v>
      </c>
      <c r="M21" s="6"/>
      <c r="P21" s="34" t="s">
        <v>79</v>
      </c>
      <c r="Q21" s="34">
        <v>24</v>
      </c>
      <c r="R21">
        <v>22.689151763916016</v>
      </c>
      <c r="S21">
        <v>22.647850036621094</v>
      </c>
      <c r="T21" s="6">
        <v>18.612457275390625</v>
      </c>
      <c r="U21" s="6">
        <v>18.162099838256836</v>
      </c>
      <c r="V21">
        <v>20.812446594238281</v>
      </c>
      <c r="W21">
        <v>20.232614517211914</v>
      </c>
      <c r="X21">
        <f t="shared" si="4"/>
        <v>-5.3591728210449219E-3</v>
      </c>
      <c r="Y21">
        <f t="shared" si="13"/>
        <v>-0.21089442571004233</v>
      </c>
      <c r="Z21" s="6">
        <f t="shared" si="1"/>
        <v>1.1574055166666408</v>
      </c>
      <c r="AA21" s="6"/>
      <c r="AD21" s="37" t="s">
        <v>33</v>
      </c>
      <c r="AE21" s="34">
        <v>30</v>
      </c>
      <c r="AF21">
        <v>23.315301895141602</v>
      </c>
      <c r="AG21">
        <v>23.295766830444336</v>
      </c>
      <c r="AH21" s="6">
        <v>22.262863159179688</v>
      </c>
      <c r="AI21" s="6">
        <v>21.694347381591797</v>
      </c>
      <c r="AJ21" s="6">
        <v>28.47454833984375</v>
      </c>
      <c r="AK21" s="6">
        <v>27.829439163208008</v>
      </c>
      <c r="AL21">
        <f t="shared" si="6"/>
        <v>5.5099239349365234</v>
      </c>
      <c r="AM21">
        <f t="shared" si="14"/>
        <v>-9.6145153045654297E-2</v>
      </c>
      <c r="AN21">
        <f t="shared" si="8"/>
        <v>1.0689135317828062</v>
      </c>
    </row>
    <row r="22" spans="2:40" x14ac:dyDescent="0.45">
      <c r="B22" s="35" t="s">
        <v>28</v>
      </c>
      <c r="C22" s="32">
        <v>25</v>
      </c>
      <c r="D22">
        <v>22.130222320556641</v>
      </c>
      <c r="E22">
        <v>21.650995254516602</v>
      </c>
      <c r="F22">
        <v>21.003396987915039</v>
      </c>
      <c r="G22">
        <v>20.653541564941406</v>
      </c>
      <c r="H22">
        <v>28.430086135864258</v>
      </c>
      <c r="I22">
        <v>28.078693389892578</v>
      </c>
      <c r="J22">
        <f t="shared" si="2"/>
        <v>6.8948507308959961</v>
      </c>
      <c r="K22">
        <f>J22-$J$56</f>
        <v>-0.21629412968953421</v>
      </c>
      <c r="L22">
        <f t="shared" si="0"/>
        <v>1.161745558850859</v>
      </c>
      <c r="P22" s="35" t="s">
        <v>28</v>
      </c>
      <c r="Q22" s="32">
        <v>25</v>
      </c>
      <c r="R22">
        <v>22.130222320556641</v>
      </c>
      <c r="S22">
        <v>21.650995254516602</v>
      </c>
      <c r="T22">
        <v>21.003396987915039</v>
      </c>
      <c r="U22">
        <v>20.653541564941406</v>
      </c>
      <c r="V22">
        <v>25.87269401550293</v>
      </c>
      <c r="W22">
        <v>25.804256439208984</v>
      </c>
      <c r="X22">
        <f t="shared" si="4"/>
        <v>4.4789361953735352</v>
      </c>
      <c r="Y22">
        <f>X22-$X$56</f>
        <v>-0.35503625869750977</v>
      </c>
      <c r="Z22">
        <f t="shared" si="1"/>
        <v>1.279017725932228</v>
      </c>
      <c r="AD22" s="35" t="s">
        <v>34</v>
      </c>
      <c r="AE22" s="32">
        <v>37</v>
      </c>
      <c r="AF22">
        <v>23.398689270019531</v>
      </c>
      <c r="AG22">
        <v>23.143154144287109</v>
      </c>
      <c r="AI22">
        <v>22.087041854858398</v>
      </c>
      <c r="AJ22">
        <v>28.71278190612793</v>
      </c>
      <c r="AK22">
        <v>28.749774932861328</v>
      </c>
      <c r="AL22">
        <f t="shared" si="6"/>
        <v>5.8549833297729492</v>
      </c>
      <c r="AM22">
        <f>AL22-$AJ$39</f>
        <v>7.8855620490180911E-2</v>
      </c>
      <c r="AN22">
        <f t="shared" si="8"/>
        <v>0.94680837952785302</v>
      </c>
    </row>
    <row r="23" spans="2:40" x14ac:dyDescent="0.45">
      <c r="B23" s="36" t="s">
        <v>29</v>
      </c>
      <c r="C23" s="32">
        <v>26</v>
      </c>
      <c r="D23">
        <v>21.242998123168945</v>
      </c>
      <c r="E23">
        <v>21.288978576660156</v>
      </c>
      <c r="F23">
        <v>19.556295394897461</v>
      </c>
      <c r="G23">
        <v>20.136720657348633</v>
      </c>
      <c r="H23">
        <v>28.015542984008789</v>
      </c>
      <c r="I23">
        <v>27.90631103515625</v>
      </c>
      <c r="J23">
        <f t="shared" si="2"/>
        <v>7.4046788215637207</v>
      </c>
      <c r="K23">
        <f t="shared" ref="K23:K27" si="15">J23-$J$56</f>
        <v>0.2935339609781904</v>
      </c>
      <c r="L23">
        <f t="shared" si="0"/>
        <v>0.81590101424327444</v>
      </c>
      <c r="P23" s="36" t="s">
        <v>29</v>
      </c>
      <c r="Q23" s="32">
        <v>26</v>
      </c>
      <c r="R23">
        <v>21.242998123168945</v>
      </c>
      <c r="S23">
        <v>21.288978576660156</v>
      </c>
      <c r="T23">
        <v>19.556295394897461</v>
      </c>
      <c r="U23">
        <v>20.136720657348633</v>
      </c>
      <c r="V23">
        <v>24.92292594909668</v>
      </c>
      <c r="W23">
        <v>25.479541778564453</v>
      </c>
      <c r="X23">
        <f t="shared" si="4"/>
        <v>4.6449856758117676</v>
      </c>
      <c r="Y23">
        <f t="shared" ref="Y23:Y27" si="16">X23-$X$56</f>
        <v>-0.18898677825927734</v>
      </c>
      <c r="Z23">
        <f t="shared" si="1"/>
        <v>1.139962825328253</v>
      </c>
      <c r="AD23" s="36" t="s">
        <v>35</v>
      </c>
      <c r="AE23" s="32">
        <v>38</v>
      </c>
      <c r="AF23">
        <v>23.209871292114258</v>
      </c>
      <c r="AG23">
        <v>23.394863128662109</v>
      </c>
      <c r="AH23">
        <v>21.836921691894531</v>
      </c>
      <c r="AJ23">
        <v>27.684017181396484</v>
      </c>
      <c r="AK23">
        <v>28.15631103515625</v>
      </c>
      <c r="AL23">
        <f t="shared" si="6"/>
        <v>5.1062787373860665</v>
      </c>
      <c r="AM23">
        <f t="shared" ref="AM23:AM27" si="17">AL23-$AJ$39</f>
        <v>-0.66984897189670178</v>
      </c>
      <c r="AN23">
        <f t="shared" si="8"/>
        <v>1.5909064152251031</v>
      </c>
    </row>
    <row r="24" spans="2:40" x14ac:dyDescent="0.45">
      <c r="B24" s="36" t="s">
        <v>30</v>
      </c>
      <c r="C24" s="32">
        <v>27</v>
      </c>
      <c r="D24">
        <v>20.672460556030273</v>
      </c>
      <c r="E24">
        <v>21.473396301269531</v>
      </c>
      <c r="F24">
        <v>20.998573303222656</v>
      </c>
      <c r="G24">
        <v>20.286203384399414</v>
      </c>
      <c r="H24">
        <v>27.990287780761719</v>
      </c>
      <c r="I24">
        <v>27.792839050292969</v>
      </c>
      <c r="J24">
        <f t="shared" si="2"/>
        <v>7.033905029296875</v>
      </c>
      <c r="K24">
        <f t="shared" si="15"/>
        <v>-7.7239831288655303E-2</v>
      </c>
      <c r="L24">
        <f t="shared" si="0"/>
        <v>1.0549976835987849</v>
      </c>
      <c r="P24" s="36" t="s">
        <v>30</v>
      </c>
      <c r="Q24" s="32">
        <v>27</v>
      </c>
      <c r="R24">
        <v>20.672460556030273</v>
      </c>
      <c r="S24">
        <v>21.473396301269531</v>
      </c>
      <c r="T24">
        <v>20.998573303222656</v>
      </c>
      <c r="U24">
        <v>20.286203384399414</v>
      </c>
      <c r="V24">
        <v>26.363191604614258</v>
      </c>
      <c r="W24">
        <v>26.108116149902344</v>
      </c>
      <c r="X24">
        <f t="shared" si="4"/>
        <v>5.377995491027832</v>
      </c>
      <c r="Y24">
        <f t="shared" si="16"/>
        <v>0.54402303695678711</v>
      </c>
      <c r="Z24">
        <f t="shared" si="1"/>
        <v>0.68585569246303357</v>
      </c>
      <c r="AD24" s="36" t="s">
        <v>36</v>
      </c>
      <c r="AE24" s="32">
        <v>39</v>
      </c>
      <c r="AF24">
        <f>AVERAGE(AF22:AF23)</f>
        <v>23.304280281066895</v>
      </c>
      <c r="AH24">
        <v>31.127038955688477</v>
      </c>
      <c r="AI24">
        <v>30.850795745849609</v>
      </c>
      <c r="AJ24">
        <v>33.640972137451172</v>
      </c>
      <c r="AK24">
        <v>35.948013305664063</v>
      </c>
      <c r="AL24">
        <f t="shared" si="6"/>
        <v>6.3671210606892892</v>
      </c>
      <c r="AM24">
        <f t="shared" si="17"/>
        <v>0.59099335140652087</v>
      </c>
      <c r="AN24">
        <f>AVERAGE(AN22:AN23)</f>
        <v>1.2688573973764781</v>
      </c>
    </row>
    <row r="25" spans="2:40" x14ac:dyDescent="0.45">
      <c r="B25" s="36" t="s">
        <v>31</v>
      </c>
      <c r="C25" s="32">
        <v>28</v>
      </c>
      <c r="D25">
        <v>25.482093811035156</v>
      </c>
      <c r="E25">
        <v>25.213163375854492</v>
      </c>
      <c r="G25">
        <v>22.591632843017578</v>
      </c>
      <c r="H25">
        <v>30.052396774291992</v>
      </c>
      <c r="I25">
        <v>29.633871078491211</v>
      </c>
      <c r="J25">
        <f t="shared" si="2"/>
        <v>5.4141705830891915</v>
      </c>
      <c r="K25">
        <f t="shared" si="15"/>
        <v>-1.6969742774963388</v>
      </c>
      <c r="L25">
        <f t="shared" si="0"/>
        <v>3.2422026722353157</v>
      </c>
      <c r="P25" s="36" t="s">
        <v>31</v>
      </c>
      <c r="Q25" s="32">
        <v>28</v>
      </c>
      <c r="R25">
        <v>25.482093811035156</v>
      </c>
      <c r="S25">
        <v>25.213163375854492</v>
      </c>
      <c r="T25">
        <v>24.93695068359375</v>
      </c>
      <c r="U25">
        <v>22.591632843017578</v>
      </c>
      <c r="V25">
        <v>28.340200424194336</v>
      </c>
      <c r="W25">
        <v>29.149803161621094</v>
      </c>
      <c r="X25">
        <f t="shared" si="4"/>
        <v>4.1890416145324707</v>
      </c>
      <c r="Y25">
        <f t="shared" si="16"/>
        <v>-0.64493083953857422</v>
      </c>
      <c r="Z25">
        <f t="shared" si="1"/>
        <v>1.5636643249276467</v>
      </c>
      <c r="AD25" s="36" t="s">
        <v>37</v>
      </c>
      <c r="AE25" s="32">
        <v>40</v>
      </c>
      <c r="AF25">
        <v>24.254467010498047</v>
      </c>
      <c r="AG25">
        <v>24.51203727722168</v>
      </c>
      <c r="AH25">
        <v>22.484401702880859</v>
      </c>
      <c r="AI25">
        <v>22.659547805786133</v>
      </c>
      <c r="AJ25">
        <v>29.828554153442383</v>
      </c>
      <c r="AK25">
        <v>27.761817932128906</v>
      </c>
      <c r="AL25">
        <f t="shared" si="6"/>
        <v>5.3175725936889648</v>
      </c>
      <c r="AM25">
        <f t="shared" si="17"/>
        <v>-0.45855511559380346</v>
      </c>
      <c r="AN25">
        <f t="shared" si="8"/>
        <v>1.3741648784945353</v>
      </c>
    </row>
    <row r="26" spans="2:40" x14ac:dyDescent="0.45">
      <c r="B26" s="36" t="s">
        <v>32</v>
      </c>
      <c r="C26" s="32">
        <v>29</v>
      </c>
      <c r="D26">
        <v>21.397426605224609</v>
      </c>
      <c r="E26">
        <v>22.360267639160156</v>
      </c>
      <c r="F26">
        <v>19.469219207763672</v>
      </c>
      <c r="G26">
        <v>19.481897354125977</v>
      </c>
      <c r="H26">
        <v>27.80265998840332</v>
      </c>
      <c r="I26">
        <v>27.112232208251953</v>
      </c>
      <c r="J26">
        <f t="shared" si="2"/>
        <v>6.7802433967590332</v>
      </c>
      <c r="K26">
        <f t="shared" si="15"/>
        <v>-0.3309014638264971</v>
      </c>
      <c r="L26">
        <f t="shared" si="0"/>
        <v>1.2577990611372114</v>
      </c>
      <c r="P26" s="36" t="s">
        <v>32</v>
      </c>
      <c r="Q26" s="32">
        <v>29</v>
      </c>
      <c r="R26">
        <v>21.397426605224609</v>
      </c>
      <c r="S26">
        <v>22.360267639160156</v>
      </c>
      <c r="T26">
        <v>19.469219207763672</v>
      </c>
      <c r="U26">
        <v>19.481897354125977</v>
      </c>
      <c r="V26">
        <v>25.755611419677734</v>
      </c>
      <c r="W26">
        <v>27.776020050048828</v>
      </c>
      <c r="X26">
        <f t="shared" si="4"/>
        <v>6.0886130332946777</v>
      </c>
      <c r="Y26">
        <f t="shared" si="16"/>
        <v>1.2546405792236328</v>
      </c>
      <c r="Z26">
        <f t="shared" si="1"/>
        <v>0.41909796483277439</v>
      </c>
      <c r="AD26" s="36" t="s">
        <v>38</v>
      </c>
      <c r="AE26" s="32">
        <v>41</v>
      </c>
      <c r="AF26">
        <v>24.466396331787109</v>
      </c>
      <c r="AG26">
        <v>24.136327743530273</v>
      </c>
      <c r="AH26">
        <v>22.053213119506836</v>
      </c>
      <c r="AI26">
        <v>22.400588989257813</v>
      </c>
      <c r="AJ26">
        <v>28.315805435180664</v>
      </c>
      <c r="AK26">
        <v>27.887474060058594</v>
      </c>
      <c r="AL26">
        <f t="shared" si="6"/>
        <v>4.8375082015991211</v>
      </c>
      <c r="AM26">
        <f t="shared" si="17"/>
        <v>-0.93861950768364721</v>
      </c>
      <c r="AN26">
        <f t="shared" si="8"/>
        <v>1.9166933070394478</v>
      </c>
    </row>
    <row r="27" spans="2:40" ht="14.65" thickBot="1" x14ac:dyDescent="0.5">
      <c r="B27" s="37" t="s">
        <v>33</v>
      </c>
      <c r="C27" s="34">
        <v>30</v>
      </c>
      <c r="D27">
        <v>23.315301895141602</v>
      </c>
      <c r="E27">
        <v>23.295766830444336</v>
      </c>
      <c r="F27" s="6">
        <v>22.262863159179688</v>
      </c>
      <c r="G27" s="6">
        <v>21.694347381591797</v>
      </c>
      <c r="H27">
        <f>AVERAGE(H25:H26)</f>
        <v>28.927528381347656</v>
      </c>
      <c r="J27">
        <f t="shared" si="2"/>
        <v>6.2854585647583008</v>
      </c>
      <c r="K27">
        <f t="shared" si="15"/>
        <v>-0.82568629582722952</v>
      </c>
      <c r="L27">
        <f t="shared" si="0"/>
        <v>1.7723779650157854</v>
      </c>
      <c r="P27" s="37" t="s">
        <v>33</v>
      </c>
      <c r="Q27" s="32">
        <v>30</v>
      </c>
      <c r="R27">
        <v>23.315301895141602</v>
      </c>
      <c r="S27">
        <v>23.295766830444336</v>
      </c>
      <c r="T27">
        <v>22.262863159179688</v>
      </c>
      <c r="U27">
        <v>21.694347381591797</v>
      </c>
      <c r="V27">
        <v>28.626880645751953</v>
      </c>
      <c r="W27">
        <v>28.719343185424805</v>
      </c>
      <c r="X27">
        <f t="shared" si="4"/>
        <v>6.0310420989990234</v>
      </c>
      <c r="Y27">
        <f t="shared" si="16"/>
        <v>1.1970696449279785</v>
      </c>
      <c r="Z27">
        <f t="shared" si="1"/>
        <v>0.43616029709408183</v>
      </c>
      <c r="AD27" s="37" t="s">
        <v>39</v>
      </c>
      <c r="AE27" s="34">
        <v>42</v>
      </c>
      <c r="AF27">
        <v>24.173578262329102</v>
      </c>
      <c r="AG27">
        <v>24.22991943359375</v>
      </c>
      <c r="AH27" s="6">
        <v>22.666315078735352</v>
      </c>
      <c r="AI27" s="6">
        <v>21.813253402709961</v>
      </c>
      <c r="AJ27" s="6">
        <v>27.418607711791992</v>
      </c>
      <c r="AK27" s="6">
        <f>AVERAGE(AJ26:AK26)</f>
        <v>28.101639747619629</v>
      </c>
      <c r="AL27">
        <f t="shared" si="6"/>
        <v>4.5393571853637695</v>
      </c>
      <c r="AM27">
        <f t="shared" si="17"/>
        <v>-1.2367705239189988</v>
      </c>
      <c r="AN27">
        <f t="shared" si="8"/>
        <v>2.3567039268362358</v>
      </c>
    </row>
    <row r="28" spans="2:40" x14ac:dyDescent="0.45">
      <c r="B28" s="32" t="s">
        <v>80</v>
      </c>
      <c r="C28" s="32">
        <v>31</v>
      </c>
      <c r="D28">
        <v>23.186012268066406</v>
      </c>
      <c r="E28">
        <v>23.13775634765625</v>
      </c>
      <c r="F28">
        <v>17.807966232299805</v>
      </c>
      <c r="G28">
        <v>17.894079208374023</v>
      </c>
      <c r="H28">
        <v>29.313188552856445</v>
      </c>
      <c r="I28">
        <v>28.990728378295898</v>
      </c>
      <c r="J28">
        <f t="shared" si="2"/>
        <v>8.6455049514770508</v>
      </c>
      <c r="K28">
        <f>J28-$J$57</f>
        <v>0.59219264984130859</v>
      </c>
      <c r="L28">
        <f t="shared" si="0"/>
        <v>0.66333398628309026</v>
      </c>
      <c r="P28" s="32" t="s">
        <v>80</v>
      </c>
      <c r="Q28" s="32">
        <v>31</v>
      </c>
      <c r="R28">
        <v>23.186012268066406</v>
      </c>
      <c r="S28">
        <v>23.13775634765625</v>
      </c>
      <c r="T28">
        <v>17.807966232299805</v>
      </c>
      <c r="U28">
        <v>17.894079208374023</v>
      </c>
      <c r="V28">
        <v>20.822639465332031</v>
      </c>
      <c r="W28">
        <v>20.710474014282227</v>
      </c>
      <c r="X28">
        <f t="shared" si="4"/>
        <v>0.26010322570800781</v>
      </c>
      <c r="Y28">
        <f>X28-$X$57</f>
        <v>0.371243158976237</v>
      </c>
      <c r="Z28">
        <f>2^-Y28</f>
        <v>0.77311602166556648</v>
      </c>
      <c r="AD28" s="35" t="s">
        <v>46</v>
      </c>
      <c r="AE28" s="32">
        <v>49</v>
      </c>
      <c r="AF28">
        <v>25.075950622558594</v>
      </c>
      <c r="AG28">
        <v>25.552391052246094</v>
      </c>
      <c r="AH28">
        <v>22.816856384277344</v>
      </c>
      <c r="AI28">
        <v>22.344205856323242</v>
      </c>
      <c r="AJ28">
        <v>27.895034790039063</v>
      </c>
      <c r="AK28">
        <v>27.14161491394043</v>
      </c>
      <c r="AL28">
        <f t="shared" si="6"/>
        <v>3.5709738731384277</v>
      </c>
      <c r="AM28">
        <f>AL28-$AJ$40</f>
        <v>-0.43002653121948242</v>
      </c>
      <c r="AN28">
        <f t="shared" si="8"/>
        <v>1.347258352772847</v>
      </c>
    </row>
    <row r="29" spans="2:40" x14ac:dyDescent="0.45">
      <c r="B29" s="32" t="s">
        <v>81</v>
      </c>
      <c r="C29" s="32">
        <v>32</v>
      </c>
      <c r="D29">
        <v>22.721122741699219</v>
      </c>
      <c r="E29">
        <v>22.645586013793945</v>
      </c>
      <c r="F29">
        <v>18.269285202026367</v>
      </c>
      <c r="G29">
        <v>16.487997055053711</v>
      </c>
      <c r="I29">
        <v>27.835988998413086</v>
      </c>
      <c r="J29">
        <f t="shared" si="2"/>
        <v>7.8049912452697754</v>
      </c>
      <c r="K29">
        <f t="shared" ref="K29:K33" si="18">J29-$J$57</f>
        <v>-0.2483210563659668</v>
      </c>
      <c r="L29">
        <f t="shared" si="0"/>
        <v>1.1878239741962497</v>
      </c>
      <c r="P29" s="32" t="s">
        <v>81</v>
      </c>
      <c r="Q29" s="32">
        <v>32</v>
      </c>
      <c r="R29">
        <v>22.721122741699219</v>
      </c>
      <c r="S29">
        <v>22.645586013793945</v>
      </c>
      <c r="T29">
        <v>18.269285202026367</v>
      </c>
      <c r="U29">
        <v>16.487997055053711</v>
      </c>
      <c r="V29">
        <v>19.944881439208984</v>
      </c>
      <c r="W29">
        <v>19.756725311279297</v>
      </c>
      <c r="X29">
        <f t="shared" si="4"/>
        <v>-0.18019437789916992</v>
      </c>
      <c r="Y29">
        <f t="shared" ref="Y29:Y33" si="19">X29-$X$57</f>
        <v>-6.9054444630940751E-2</v>
      </c>
      <c r="Z29">
        <f t="shared" si="1"/>
        <v>1.0490289152305785</v>
      </c>
      <c r="AD29" s="36" t="s">
        <v>47</v>
      </c>
      <c r="AE29" s="32">
        <v>50</v>
      </c>
      <c r="AF29">
        <v>24.325229644775391</v>
      </c>
      <c r="AG29">
        <v>24.426992416381836</v>
      </c>
      <c r="AH29">
        <v>20.805057525634766</v>
      </c>
      <c r="AI29">
        <v>21.153970718383789</v>
      </c>
      <c r="AJ29">
        <v>27.48222541809082</v>
      </c>
      <c r="AK29">
        <v>27.300201416015625</v>
      </c>
      <c r="AL29">
        <f t="shared" si="6"/>
        <v>4.7134008407592773</v>
      </c>
      <c r="AM29">
        <f t="shared" ref="AM29:AM33" si="20">AL29-$AJ$40</f>
        <v>0.71240043640136719</v>
      </c>
      <c r="AN29">
        <f t="shared" si="8"/>
        <v>0.61030383605905625</v>
      </c>
    </row>
    <row r="30" spans="2:40" x14ac:dyDescent="0.45">
      <c r="B30" s="32" t="s">
        <v>82</v>
      </c>
      <c r="C30" s="32">
        <v>33</v>
      </c>
      <c r="D30">
        <v>23.384021759033203</v>
      </c>
      <c r="E30">
        <v>23.311582565307617</v>
      </c>
      <c r="F30">
        <v>19.378028869628906</v>
      </c>
      <c r="G30">
        <v>18.377132415771484</v>
      </c>
      <c r="H30">
        <v>28.126972198486328</v>
      </c>
      <c r="I30">
        <v>29.517292022705078</v>
      </c>
      <c r="J30">
        <f t="shared" si="2"/>
        <v>7.7094407081604004</v>
      </c>
      <c r="K30">
        <f t="shared" si="18"/>
        <v>-0.3438715934753418</v>
      </c>
      <c r="L30">
        <f t="shared" si="0"/>
        <v>1.2691579200735621</v>
      </c>
      <c r="P30" s="32" t="s">
        <v>82</v>
      </c>
      <c r="Q30" s="32">
        <v>33</v>
      </c>
      <c r="R30">
        <v>23.384021759033203</v>
      </c>
      <c r="S30">
        <v>23.311582565307617</v>
      </c>
      <c r="T30">
        <v>19.378028869628906</v>
      </c>
      <c r="U30">
        <v>18.377132415771484</v>
      </c>
      <c r="V30">
        <v>21.453163146972656</v>
      </c>
      <c r="W30">
        <v>19.945562362670898</v>
      </c>
      <c r="X30">
        <f t="shared" si="4"/>
        <v>-0.41332864761352539</v>
      </c>
      <c r="Y30">
        <f t="shared" si="19"/>
        <v>-0.30218871434529621</v>
      </c>
      <c r="Z30">
        <f t="shared" si="1"/>
        <v>1.2330136014993314</v>
      </c>
      <c r="AD30" s="36" t="s">
        <v>48</v>
      </c>
      <c r="AE30" s="32">
        <v>51</v>
      </c>
      <c r="AF30">
        <v>24.58940315246582</v>
      </c>
      <c r="AG30">
        <v>24.405466079711914</v>
      </c>
      <c r="AH30">
        <v>21.749000549316406</v>
      </c>
      <c r="AI30">
        <v>21.121328353881836</v>
      </c>
      <c r="AJ30">
        <v>26.816686630249023</v>
      </c>
      <c r="AK30">
        <v>26.553165435791016</v>
      </c>
      <c r="AL30">
        <f t="shared" si="6"/>
        <v>3.7186264991760254</v>
      </c>
      <c r="AM30">
        <f t="shared" si="20"/>
        <v>-0.28237390518188477</v>
      </c>
      <c r="AN30">
        <f t="shared" si="8"/>
        <v>1.2161944450637627</v>
      </c>
    </row>
    <row r="31" spans="2:40" x14ac:dyDescent="0.45">
      <c r="B31" s="32" t="s">
        <v>83</v>
      </c>
      <c r="C31" s="32">
        <v>34</v>
      </c>
      <c r="D31">
        <v>19.924440383911133</v>
      </c>
      <c r="E31">
        <v>20.117538452148438</v>
      </c>
      <c r="F31">
        <v>16.629741668701172</v>
      </c>
      <c r="G31">
        <v>14.342350006103516</v>
      </c>
      <c r="H31">
        <v>26.632623672485352</v>
      </c>
      <c r="J31">
        <f t="shared" si="2"/>
        <v>8.8791060447692871</v>
      </c>
      <c r="K31">
        <f t="shared" si="18"/>
        <v>0.82579374313354492</v>
      </c>
      <c r="L31">
        <f t="shared" si="0"/>
        <v>0.56417172054324827</v>
      </c>
      <c r="P31" s="32" t="s">
        <v>83</v>
      </c>
      <c r="Q31" s="32">
        <v>34</v>
      </c>
      <c r="R31">
        <v>19.924440383911133</v>
      </c>
      <c r="S31">
        <v>20.117538452148438</v>
      </c>
      <c r="T31">
        <v>16.629741668701172</v>
      </c>
      <c r="U31">
        <v>14.342350006103516</v>
      </c>
      <c r="V31">
        <v>19.224399566650391</v>
      </c>
      <c r="W31">
        <v>19.603775024414063</v>
      </c>
      <c r="X31">
        <f t="shared" si="4"/>
        <v>1.6605696678161621</v>
      </c>
      <c r="Y31">
        <f>X31-$X$57</f>
        <v>1.7717096010843914</v>
      </c>
      <c r="Z31">
        <f t="shared" si="1"/>
        <v>0.29286148922394512</v>
      </c>
      <c r="AD31" s="36" t="s">
        <v>49</v>
      </c>
      <c r="AE31" s="32">
        <v>52</v>
      </c>
      <c r="AF31">
        <v>25.208461761474609</v>
      </c>
      <c r="AG31">
        <v>25.326751708984375</v>
      </c>
      <c r="AH31">
        <v>21.736330032348633</v>
      </c>
      <c r="AI31">
        <v>21.520866394042969</v>
      </c>
      <c r="AJ31">
        <v>27.075428009033203</v>
      </c>
      <c r="AK31">
        <v>27.218669891357422</v>
      </c>
      <c r="AL31">
        <f t="shared" si="6"/>
        <v>3.698946475982666</v>
      </c>
      <c r="AM31">
        <f t="shared" si="20"/>
        <v>-0.30205392837524414</v>
      </c>
      <c r="AN31">
        <f t="shared" si="8"/>
        <v>1.2328984107164673</v>
      </c>
    </row>
    <row r="32" spans="2:40" x14ac:dyDescent="0.45">
      <c r="B32" s="32" t="s">
        <v>84</v>
      </c>
      <c r="C32" s="32">
        <v>35</v>
      </c>
      <c r="D32">
        <v>22.764436721801758</v>
      </c>
      <c r="E32">
        <v>22.895998001098633</v>
      </c>
      <c r="F32">
        <v>19.288745880126953</v>
      </c>
      <c r="G32">
        <v>18.920383453369141</v>
      </c>
      <c r="H32">
        <v>28.197559356689453</v>
      </c>
      <c r="I32">
        <v>28.608381271362305</v>
      </c>
      <c r="J32">
        <f t="shared" si="2"/>
        <v>7.4355792999267578</v>
      </c>
      <c r="K32">
        <f t="shared" si="18"/>
        <v>-0.61773300170898438</v>
      </c>
      <c r="L32">
        <f t="shared" si="0"/>
        <v>1.5344620881841327</v>
      </c>
      <c r="P32" s="32" t="s">
        <v>84</v>
      </c>
      <c r="Q32" s="32">
        <v>35</v>
      </c>
      <c r="R32">
        <v>22.764436721801758</v>
      </c>
      <c r="S32">
        <v>22.895998001098633</v>
      </c>
      <c r="T32">
        <v>19.288745880126953</v>
      </c>
      <c r="U32">
        <v>18.920383453369141</v>
      </c>
      <c r="V32">
        <v>20.783790588378906</v>
      </c>
      <c r="W32">
        <v>20.592550277709961</v>
      </c>
      <c r="X32">
        <f t="shared" si="4"/>
        <v>-0.2792205810546875</v>
      </c>
      <c r="Y32">
        <f t="shared" si="19"/>
        <v>-0.16808064778645831</v>
      </c>
      <c r="Z32">
        <f t="shared" si="1"/>
        <v>1.1235627093145168</v>
      </c>
      <c r="AD32" s="36" t="s">
        <v>50</v>
      </c>
      <c r="AE32" s="32">
        <v>53</v>
      </c>
      <c r="AF32">
        <v>24.768926620483398</v>
      </c>
      <c r="AG32">
        <v>25.014923095703125</v>
      </c>
      <c r="AH32">
        <v>21.967372894287109</v>
      </c>
      <c r="AI32">
        <v>21.547496795654297</v>
      </c>
      <c r="AJ32">
        <v>26.602540969848633</v>
      </c>
      <c r="AK32">
        <v>26.820648193359375</v>
      </c>
      <c r="AL32">
        <f t="shared" si="6"/>
        <v>3.3869147300720215</v>
      </c>
      <c r="AM32">
        <f t="shared" si="20"/>
        <v>-0.61408567428588867</v>
      </c>
      <c r="AN32">
        <f t="shared" si="8"/>
        <v>1.5305876609032971</v>
      </c>
    </row>
    <row r="33" spans="2:40" ht="14.65" thickBot="1" x14ac:dyDescent="0.5">
      <c r="B33" s="34" t="s">
        <v>85</v>
      </c>
      <c r="C33" s="34">
        <v>36</v>
      </c>
      <c r="D33">
        <v>22.755031585693359</v>
      </c>
      <c r="E33">
        <v>22.501596450805664</v>
      </c>
      <c r="F33" s="6">
        <v>17.951269149780273</v>
      </c>
      <c r="G33" s="6">
        <v>15.451587677001953</v>
      </c>
      <c r="H33" s="6">
        <v>26.734798431396484</v>
      </c>
      <c r="I33" s="6">
        <v>27.995166778564453</v>
      </c>
      <c r="J33">
        <f t="shared" si="2"/>
        <v>7.7001113891601563</v>
      </c>
      <c r="K33">
        <f t="shared" si="18"/>
        <v>-0.35320091247558594</v>
      </c>
      <c r="L33">
        <f t="shared" si="0"/>
        <v>1.2773916388162674</v>
      </c>
      <c r="M33" s="6"/>
      <c r="P33" s="34" t="s">
        <v>85</v>
      </c>
      <c r="Q33" s="34">
        <v>36</v>
      </c>
      <c r="R33">
        <v>22.755031585693359</v>
      </c>
      <c r="S33">
        <v>22.501596450805664</v>
      </c>
      <c r="T33" s="6">
        <v>17.951269149780273</v>
      </c>
      <c r="U33" s="6">
        <v>15.451587677001953</v>
      </c>
      <c r="V33">
        <v>20.501607894897461</v>
      </c>
      <c r="W33">
        <v>20.836742401123047</v>
      </c>
      <c r="X33">
        <f t="shared" si="4"/>
        <v>1.0043039321899414</v>
      </c>
      <c r="Y33">
        <f t="shared" si="19"/>
        <v>1.1154438654581706</v>
      </c>
      <c r="Z33" s="6">
        <f t="shared" si="1"/>
        <v>0.46154913142406889</v>
      </c>
      <c r="AA33" s="6"/>
      <c r="AD33" s="37" t="s">
        <v>51</v>
      </c>
      <c r="AE33" s="34">
        <v>54</v>
      </c>
      <c r="AG33">
        <v>24.466693878173828</v>
      </c>
      <c r="AH33" s="6">
        <v>21.499488830566406</v>
      </c>
      <c r="AI33" s="6">
        <v>22.336282730102539</v>
      </c>
      <c r="AJ33" s="6">
        <v>26.542110443115234</v>
      </c>
      <c r="AK33" s="6">
        <v>26.60728645324707</v>
      </c>
      <c r="AL33">
        <f t="shared" si="6"/>
        <v>3.8072099685668945</v>
      </c>
      <c r="AM33">
        <f t="shared" si="20"/>
        <v>-0.19379043579101563</v>
      </c>
      <c r="AN33">
        <f t="shared" si="8"/>
        <v>1.1437648191848713</v>
      </c>
    </row>
    <row r="34" spans="2:40" x14ac:dyDescent="0.45">
      <c r="B34" s="35" t="s">
        <v>34</v>
      </c>
      <c r="C34" s="32">
        <v>37</v>
      </c>
      <c r="D34">
        <v>23.398689270019531</v>
      </c>
      <c r="E34">
        <v>23.143154144287109</v>
      </c>
      <c r="F34">
        <v>20.929424285888672</v>
      </c>
      <c r="G34">
        <v>22.087041854858398</v>
      </c>
      <c r="H34">
        <v>30.311624526977539</v>
      </c>
      <c r="I34">
        <v>30.221290588378906</v>
      </c>
      <c r="J34">
        <f t="shared" si="2"/>
        <v>7.8768801689147949</v>
      </c>
      <c r="K34">
        <f>J34-$J$58</f>
        <v>0.67040316263834665</v>
      </c>
      <c r="L34">
        <f t="shared" si="0"/>
        <v>0.62833107494835772</v>
      </c>
      <c r="P34" s="35" t="s">
        <v>34</v>
      </c>
      <c r="Q34" s="32">
        <v>37</v>
      </c>
      <c r="R34">
        <v>23.398689270019531</v>
      </c>
      <c r="S34">
        <v>23.143154144287109</v>
      </c>
      <c r="T34">
        <v>20.929424285888672</v>
      </c>
      <c r="U34">
        <v>22.087041854858398</v>
      </c>
      <c r="V34">
        <v>27.530616760253906</v>
      </c>
      <c r="W34">
        <v>26.812742233276367</v>
      </c>
      <c r="X34">
        <f t="shared" si="4"/>
        <v>4.782102108001709</v>
      </c>
      <c r="Y34">
        <f>X34-$X$58</f>
        <v>0.62525759802924341</v>
      </c>
      <c r="Z34">
        <f>2^-Y34</f>
        <v>0.64830401013917327</v>
      </c>
    </row>
    <row r="35" spans="2:40" x14ac:dyDescent="0.45">
      <c r="B35" s="36" t="s">
        <v>35</v>
      </c>
      <c r="C35" s="32">
        <v>38</v>
      </c>
      <c r="D35">
        <v>23.209871292114258</v>
      </c>
      <c r="E35">
        <v>23.394863128662109</v>
      </c>
      <c r="F35">
        <v>21.836921691894531</v>
      </c>
      <c r="G35">
        <f>AVERAGE(F34:F35)</f>
        <v>21.383172988891602</v>
      </c>
      <c r="H35">
        <v>28.98643684387207</v>
      </c>
      <c r="I35">
        <v>28.925531387329102</v>
      </c>
      <c r="J35">
        <f t="shared" si="2"/>
        <v>6.4997768402099609</v>
      </c>
      <c r="K35">
        <f t="shared" ref="K35:K39" si="21">J35-$J$58</f>
        <v>-0.70670016606648733</v>
      </c>
      <c r="L35">
        <f t="shared" si="0"/>
        <v>1.6320668661532705</v>
      </c>
      <c r="P35" s="36" t="s">
        <v>35</v>
      </c>
      <c r="Q35" s="32">
        <v>38</v>
      </c>
      <c r="R35">
        <v>23.209871292114258</v>
      </c>
      <c r="S35">
        <v>23.394863128662109</v>
      </c>
      <c r="T35">
        <v>21.836921691894531</v>
      </c>
      <c r="V35">
        <v>26.449069976806641</v>
      </c>
      <c r="W35">
        <v>25.900293350219727</v>
      </c>
      <c r="X35">
        <f t="shared" si="4"/>
        <v>3.3607962926228829</v>
      </c>
      <c r="Y35">
        <f t="shared" ref="Y35:Y39" si="22">X35-$X$58</f>
        <v>-0.79604821734958264</v>
      </c>
      <c r="Z35">
        <f t="shared" ref="Z35:Z51" si="23">2^-Y35</f>
        <v>1.7363384856508906</v>
      </c>
    </row>
    <row r="36" spans="2:40" x14ac:dyDescent="0.45">
      <c r="B36" s="36" t="s">
        <v>36</v>
      </c>
      <c r="C36" s="32">
        <v>39</v>
      </c>
      <c r="D36">
        <f>AVERAGE(D34:D35)</f>
        <v>23.304280281066895</v>
      </c>
      <c r="F36">
        <f>AVERAGE(F34:G34)</f>
        <v>21.508233070373535</v>
      </c>
      <c r="H36">
        <f>AVERAGE(H34:H35)</f>
        <v>29.649030685424805</v>
      </c>
      <c r="J36">
        <f t="shared" si="2"/>
        <v>7.2427740097045898</v>
      </c>
      <c r="K36">
        <f t="shared" si="21"/>
        <v>3.6297003428141572E-2</v>
      </c>
      <c r="L36">
        <f t="shared" si="0"/>
        <v>0.97515468860517751</v>
      </c>
      <c r="P36" s="36" t="s">
        <v>36</v>
      </c>
      <c r="Q36" s="32">
        <v>39</v>
      </c>
      <c r="R36">
        <f>AVERAGE(R34:R35)</f>
        <v>23.304280281066895</v>
      </c>
      <c r="T36">
        <v>31.127038955688477</v>
      </c>
      <c r="U36">
        <v>30.850795745849609</v>
      </c>
      <c r="V36">
        <v>32.638004302978516</v>
      </c>
      <c r="W36">
        <v>32.87200927734375</v>
      </c>
      <c r="X36">
        <f t="shared" si="4"/>
        <v>4.3276351292928048</v>
      </c>
      <c r="Y36">
        <f t="shared" si="22"/>
        <v>0.17079061932033923</v>
      </c>
      <c r="Z36">
        <f>AVERAGE(Z34:Z35)</f>
        <v>1.1923212478950318</v>
      </c>
      <c r="AE36" s="39"/>
      <c r="AF36" s="8"/>
      <c r="AG36" s="8"/>
      <c r="AI36" t="s">
        <v>60</v>
      </c>
      <c r="AJ36">
        <f>AVERAGE(AL4:AL6)</f>
        <v>5.39354149500529</v>
      </c>
    </row>
    <row r="37" spans="2:40" x14ac:dyDescent="0.45">
      <c r="B37" s="36" t="s">
        <v>37</v>
      </c>
      <c r="C37" s="32">
        <v>40</v>
      </c>
      <c r="D37">
        <v>24.254467010498047</v>
      </c>
      <c r="E37">
        <v>24.51203727722168</v>
      </c>
      <c r="F37">
        <v>22.484401702880859</v>
      </c>
      <c r="G37">
        <v>22.659547805786133</v>
      </c>
      <c r="H37">
        <v>30.039825439453125</v>
      </c>
      <c r="I37">
        <v>30.180965423583984</v>
      </c>
      <c r="J37">
        <f t="shared" si="2"/>
        <v>6.632781982421875</v>
      </c>
      <c r="K37">
        <f t="shared" si="21"/>
        <v>-0.57369502385457327</v>
      </c>
      <c r="L37">
        <f t="shared" si="0"/>
        <v>1.4883305987104518</v>
      </c>
      <c r="P37" s="36" t="s">
        <v>37</v>
      </c>
      <c r="Q37" s="32">
        <v>40</v>
      </c>
      <c r="R37">
        <v>24.254467010498047</v>
      </c>
      <c r="S37">
        <v>24.51203727722168</v>
      </c>
      <c r="T37">
        <v>22.484401702880859</v>
      </c>
      <c r="U37">
        <v>22.659547805786133</v>
      </c>
      <c r="V37">
        <v>26.208106994628906</v>
      </c>
      <c r="W37">
        <v>26.198566436767578</v>
      </c>
      <c r="X37">
        <f t="shared" si="4"/>
        <v>2.7257232666015625</v>
      </c>
      <c r="Y37">
        <f t="shared" si="22"/>
        <v>-1.4311212433709031</v>
      </c>
      <c r="Z37">
        <f t="shared" si="23"/>
        <v>2.6965620716820782</v>
      </c>
      <c r="AI37" t="s">
        <v>8</v>
      </c>
      <c r="AJ37">
        <f>AVERAGE(AL10:AL12)</f>
        <v>5.2572210629781075</v>
      </c>
    </row>
    <row r="38" spans="2:40" x14ac:dyDescent="0.45">
      <c r="B38" s="36" t="s">
        <v>38</v>
      </c>
      <c r="C38" s="32">
        <v>41</v>
      </c>
      <c r="D38">
        <v>24.466396331787109</v>
      </c>
      <c r="E38">
        <v>24.136327743530273</v>
      </c>
      <c r="F38">
        <v>22.053213119506836</v>
      </c>
      <c r="G38">
        <v>22.400588989257813</v>
      </c>
      <c r="H38">
        <v>29.964874267578125</v>
      </c>
      <c r="I38">
        <v>28.933452606201172</v>
      </c>
      <c r="J38">
        <f t="shared" si="2"/>
        <v>6.1850318908691406</v>
      </c>
      <c r="K38">
        <f t="shared" si="21"/>
        <v>-1.0214451154073076</v>
      </c>
      <c r="L38">
        <f t="shared" si="0"/>
        <v>2.0299512984230499</v>
      </c>
      <c r="P38" s="36" t="s">
        <v>38</v>
      </c>
      <c r="Q38" s="32">
        <v>41</v>
      </c>
      <c r="R38">
        <v>24.466396331787109</v>
      </c>
      <c r="S38">
        <v>24.136327743530273</v>
      </c>
      <c r="T38">
        <v>22.053213119506836</v>
      </c>
      <c r="U38">
        <v>22.400588989257813</v>
      </c>
      <c r="V38">
        <v>28.0369873046875</v>
      </c>
      <c r="W38">
        <v>27.172014236450195</v>
      </c>
      <c r="X38">
        <f t="shared" si="4"/>
        <v>4.3403692245483398</v>
      </c>
      <c r="Y38">
        <f t="shared" si="22"/>
        <v>0.18352471457587427</v>
      </c>
      <c r="Z38">
        <f t="shared" si="23"/>
        <v>0.88054905628839608</v>
      </c>
      <c r="AI38" t="s">
        <v>9</v>
      </c>
      <c r="AJ38">
        <f>AVERAGE(AL16:AL18)</f>
        <v>5.6060690879821777</v>
      </c>
    </row>
    <row r="39" spans="2:40" ht="14.65" thickBot="1" x14ac:dyDescent="0.5">
      <c r="B39" s="37" t="s">
        <v>39</v>
      </c>
      <c r="C39" s="34">
        <v>42</v>
      </c>
      <c r="D39">
        <v>24.173578262329102</v>
      </c>
      <c r="E39">
        <v>24.22991943359375</v>
      </c>
      <c r="F39" s="6">
        <v>22.666315078735352</v>
      </c>
      <c r="G39" s="6">
        <v>21.813253402709961</v>
      </c>
      <c r="H39" s="6">
        <f>AVERAGE(I37:I38)</f>
        <v>29.557209014892578</v>
      </c>
      <c r="I39" s="6"/>
      <c r="J39">
        <f t="shared" si="2"/>
        <v>6.3364424705505371</v>
      </c>
      <c r="K39">
        <f t="shared" si="21"/>
        <v>-0.87003453572591116</v>
      </c>
      <c r="L39">
        <f t="shared" si="0"/>
        <v>1.8277066522002956</v>
      </c>
      <c r="P39" s="37" t="s">
        <v>39</v>
      </c>
      <c r="Q39" s="32">
        <v>42</v>
      </c>
      <c r="R39">
        <v>24.173578262329102</v>
      </c>
      <c r="S39">
        <v>24.22991943359375</v>
      </c>
      <c r="T39">
        <v>22.666315078735352</v>
      </c>
      <c r="U39">
        <v>21.813253402709961</v>
      </c>
      <c r="V39">
        <v>24.569787979125977</v>
      </c>
      <c r="W39">
        <v>24.79106330871582</v>
      </c>
      <c r="X39">
        <f t="shared" si="4"/>
        <v>1.4596590995788574</v>
      </c>
      <c r="Y39">
        <f t="shared" si="22"/>
        <v>-2.6971854103936082</v>
      </c>
      <c r="Z39">
        <f>2^-Y39</f>
        <v>6.4853543818158075</v>
      </c>
      <c r="AI39" t="s">
        <v>10</v>
      </c>
      <c r="AJ39">
        <f>AVERAGE(AL22:AL24)</f>
        <v>5.7761277092827683</v>
      </c>
    </row>
    <row r="40" spans="2:40" x14ac:dyDescent="0.45">
      <c r="B40" s="35" t="s">
        <v>155</v>
      </c>
      <c r="C40" s="38">
        <v>43</v>
      </c>
      <c r="D40">
        <v>24.43058967590332</v>
      </c>
      <c r="E40">
        <v>24.573453903198242</v>
      </c>
      <c r="F40">
        <v>21.288450241088867</v>
      </c>
      <c r="G40">
        <v>21.822668075561523</v>
      </c>
      <c r="H40">
        <v>22.864215850830078</v>
      </c>
      <c r="I40">
        <v>22.431516647338867</v>
      </c>
      <c r="J40">
        <f>(AVERAGE(H40:I40)-AVERAGE(D40:G40))</f>
        <v>-0.38092422485351563</v>
      </c>
      <c r="K40">
        <f>J40-$J$59</f>
        <v>-0.41922537485758465</v>
      </c>
      <c r="L40">
        <f t="shared" si="0"/>
        <v>1.3372093751927641</v>
      </c>
      <c r="P40" s="35" t="s">
        <v>40</v>
      </c>
      <c r="Q40" s="32">
        <v>43</v>
      </c>
      <c r="R40">
        <v>24.43058967590332</v>
      </c>
      <c r="S40">
        <v>24.573453903198242</v>
      </c>
      <c r="T40">
        <v>21.288450241088867</v>
      </c>
      <c r="U40">
        <v>21.822668075561523</v>
      </c>
      <c r="V40">
        <v>26.138162612915039</v>
      </c>
      <c r="W40">
        <v>25.741388320922852</v>
      </c>
      <c r="X40">
        <f t="shared" si="4"/>
        <v>2.910984992980957</v>
      </c>
      <c r="Y40">
        <f>X40-$X$59</f>
        <v>-0.57779343922932958</v>
      </c>
      <c r="Z40">
        <f t="shared" si="23"/>
        <v>1.4925646670427679</v>
      </c>
      <c r="AI40" t="s">
        <v>61</v>
      </c>
      <c r="AJ40">
        <f>AVERAGE(AL28:AL30)</f>
        <v>4.0010004043579102</v>
      </c>
    </row>
    <row r="41" spans="2:40" x14ac:dyDescent="0.45">
      <c r="B41" s="36" t="s">
        <v>156</v>
      </c>
      <c r="C41" s="38">
        <v>44</v>
      </c>
      <c r="D41">
        <v>23.01765251159668</v>
      </c>
      <c r="E41">
        <v>23.041599273681641</v>
      </c>
      <c r="F41">
        <v>20.931123733520508</v>
      </c>
      <c r="G41">
        <v>20.001276016235352</v>
      </c>
      <c r="H41">
        <v>21.227573394775391</v>
      </c>
      <c r="I41">
        <v>21.417306900024414</v>
      </c>
      <c r="J41">
        <f t="shared" si="2"/>
        <v>-0.42547273635864258</v>
      </c>
      <c r="K41">
        <f t="shared" ref="K41:K45" si="24">J41-$J$59</f>
        <v>-0.46377388636271161</v>
      </c>
      <c r="L41">
        <f t="shared" si="0"/>
        <v>1.379144751488798</v>
      </c>
      <c r="P41" s="36" t="s">
        <v>41</v>
      </c>
      <c r="Q41" s="32">
        <v>44</v>
      </c>
      <c r="R41">
        <v>23.01765251159668</v>
      </c>
      <c r="S41">
        <v>23.041599273681641</v>
      </c>
      <c r="T41">
        <v>20.931123733520508</v>
      </c>
      <c r="U41">
        <v>20.001276016235352</v>
      </c>
      <c r="V41">
        <v>26.622062683105469</v>
      </c>
      <c r="W41">
        <v>24.97956657409668</v>
      </c>
      <c r="X41">
        <f t="shared" si="4"/>
        <v>4.0529017448425293</v>
      </c>
      <c r="Y41">
        <f t="shared" ref="Y41:Y45" si="25">X41-$X$59</f>
        <v>0.56412331263224269</v>
      </c>
      <c r="Z41">
        <f t="shared" si="23"/>
        <v>0.67636630145412402</v>
      </c>
      <c r="AE41" s="32" t="s">
        <v>12</v>
      </c>
      <c r="AF41" t="s">
        <v>7</v>
      </c>
      <c r="AG41" t="s">
        <v>13</v>
      </c>
      <c r="AH41" t="s">
        <v>7</v>
      </c>
    </row>
    <row r="42" spans="2:40" x14ac:dyDescent="0.45">
      <c r="B42" s="36" t="s">
        <v>157</v>
      </c>
      <c r="C42" s="38">
        <v>45</v>
      </c>
      <c r="D42">
        <v>24.347553253173828</v>
      </c>
      <c r="E42">
        <v>24.153711318969727</v>
      </c>
      <c r="F42">
        <v>21.440744400024414</v>
      </c>
      <c r="G42">
        <v>22.393072128295898</v>
      </c>
      <c r="H42">
        <v>24.081638336181641</v>
      </c>
      <c r="I42">
        <v>23.928503036499023</v>
      </c>
      <c r="J42">
        <f t="shared" si="2"/>
        <v>0.92130041122436523</v>
      </c>
      <c r="K42">
        <f t="shared" si="24"/>
        <v>0.88299926122029626</v>
      </c>
      <c r="L42">
        <f t="shared" si="0"/>
        <v>0.54223898209286259</v>
      </c>
      <c r="P42" s="36" t="s">
        <v>42</v>
      </c>
      <c r="Q42" s="32">
        <v>45</v>
      </c>
      <c r="R42">
        <v>24.347553253173828</v>
      </c>
      <c r="S42">
        <v>24.153711318969727</v>
      </c>
      <c r="T42">
        <v>21.440744400024414</v>
      </c>
      <c r="U42">
        <v>22.393072128295898</v>
      </c>
      <c r="V42">
        <v>27.236717224121094</v>
      </c>
      <c r="W42">
        <v>25.935720443725586</v>
      </c>
      <c r="X42">
        <f t="shared" si="4"/>
        <v>3.502448558807373</v>
      </c>
      <c r="Y42">
        <f t="shared" si="25"/>
        <v>1.3670126597086441E-2</v>
      </c>
      <c r="Z42">
        <f t="shared" si="23"/>
        <v>0.99056934053208134</v>
      </c>
      <c r="AD42" s="32" t="s">
        <v>60</v>
      </c>
      <c r="AE42" s="32">
        <f>AVERAGE(AN4:AN6)</f>
        <v>1.013939731737034</v>
      </c>
      <c r="AF42">
        <f>_xlfn.STDEV.S(AN4:AN6)/SQRT(3)</f>
        <v>0.11729585312728648</v>
      </c>
      <c r="AG42">
        <f>AVERAGE(AN7:AN9)</f>
        <v>1.2567404009963938</v>
      </c>
      <c r="AH42">
        <f>_xlfn.STDEV.S(AN7:AN9)/SQRT(3)</f>
        <v>0.38498851466966139</v>
      </c>
      <c r="AK42" s="8"/>
      <c r="AL42" s="8"/>
      <c r="AN42" s="8"/>
    </row>
    <row r="43" spans="2:40" x14ac:dyDescent="0.45">
      <c r="B43" s="36" t="s">
        <v>158</v>
      </c>
      <c r="C43" s="38">
        <v>46</v>
      </c>
      <c r="D43">
        <v>24.04878044128418</v>
      </c>
      <c r="E43">
        <v>23.944890975952148</v>
      </c>
      <c r="F43">
        <v>21.826499938964844</v>
      </c>
      <c r="G43">
        <v>21.449644088745117</v>
      </c>
      <c r="H43">
        <v>23.411544799804688</v>
      </c>
      <c r="I43">
        <v>22.810640335083008</v>
      </c>
      <c r="J43">
        <f t="shared" si="2"/>
        <v>0.29363870620727539</v>
      </c>
      <c r="K43">
        <f t="shared" si="24"/>
        <v>0.25533755620320636</v>
      </c>
      <c r="L43">
        <f t="shared" si="0"/>
        <v>0.83779108861668505</v>
      </c>
      <c r="P43" s="36" t="s">
        <v>43</v>
      </c>
      <c r="Q43" s="32">
        <v>46</v>
      </c>
      <c r="R43">
        <v>24.04878044128418</v>
      </c>
      <c r="S43">
        <v>23.944890975952148</v>
      </c>
      <c r="T43">
        <v>21.826499938964844</v>
      </c>
      <c r="U43">
        <v>21.449644088745117</v>
      </c>
      <c r="V43">
        <v>27.772562026977539</v>
      </c>
      <c r="W43">
        <v>27.07887077331543</v>
      </c>
      <c r="X43">
        <f t="shared" si="4"/>
        <v>4.6082625389099121</v>
      </c>
      <c r="Y43">
        <f t="shared" si="25"/>
        <v>1.1194841066996255</v>
      </c>
      <c r="Z43">
        <f t="shared" si="23"/>
        <v>0.46025837967702005</v>
      </c>
      <c r="AD43" s="32" t="s">
        <v>8</v>
      </c>
      <c r="AE43" s="32">
        <f>AVERAGE(AN10:AN12)</f>
        <v>1.0035832038036869</v>
      </c>
      <c r="AF43">
        <f>_xlfn.STDEV.S(AN10:AN12)/SQRT(3)</f>
        <v>6.0609888851571966E-2</v>
      </c>
      <c r="AG43">
        <f>AVERAGE(AN13:AN15)</f>
        <v>0.75580362659571032</v>
      </c>
      <c r="AH43">
        <f>_xlfn.STDEV.S(AN13:AN15)/SQRT(3)</f>
        <v>0.14873944553272686</v>
      </c>
    </row>
    <row r="44" spans="2:40" x14ac:dyDescent="0.45">
      <c r="B44" s="36" t="s">
        <v>159</v>
      </c>
      <c r="C44" s="38">
        <v>47</v>
      </c>
      <c r="D44">
        <v>24.922677993774414</v>
      </c>
      <c r="E44">
        <v>24.461530685424805</v>
      </c>
      <c r="F44">
        <v>20.932346343994141</v>
      </c>
      <c r="G44">
        <v>21.078363418579102</v>
      </c>
      <c r="H44">
        <v>23.516290664672852</v>
      </c>
      <c r="I44">
        <v>23.918485641479492</v>
      </c>
      <c r="J44">
        <f t="shared" si="2"/>
        <v>0.86865854263305664</v>
      </c>
      <c r="K44">
        <f t="shared" si="24"/>
        <v>0.83035739262898767</v>
      </c>
      <c r="L44">
        <f t="shared" si="0"/>
        <v>0.56238990665716326</v>
      </c>
      <c r="P44" s="36" t="s">
        <v>44</v>
      </c>
      <c r="Q44" s="32">
        <v>47</v>
      </c>
      <c r="R44">
        <v>24.922677993774414</v>
      </c>
      <c r="S44">
        <v>24.461530685424805</v>
      </c>
      <c r="T44">
        <v>20.932346343994141</v>
      </c>
      <c r="U44">
        <v>21.078363418579102</v>
      </c>
      <c r="V44">
        <v>27.037506103515625</v>
      </c>
      <c r="W44">
        <v>26.586055755615234</v>
      </c>
      <c r="X44">
        <f t="shared" si="4"/>
        <v>3.9630513191223145</v>
      </c>
      <c r="Y44">
        <f t="shared" si="25"/>
        <v>0.47427288691202785</v>
      </c>
      <c r="Z44">
        <f t="shared" si="23"/>
        <v>0.71982949006013119</v>
      </c>
      <c r="AD44" s="32" t="s">
        <v>9</v>
      </c>
      <c r="AE44" s="32">
        <f>AVERAGE(AN16:AN18)</f>
        <v>1.0231214523924905</v>
      </c>
      <c r="AF44">
        <f>_xlfn.STDEV.S(AN16:AN18)/SQRT(3)</f>
        <v>0.14534577680172611</v>
      </c>
      <c r="AG44">
        <f>AVERAGE(AN19:AN21)</f>
        <v>1.383827988551823</v>
      </c>
      <c r="AH44">
        <f>_xlfn.STDEV.S(AN19:AN21)/SQRT(3)</f>
        <v>0.71396562783244155</v>
      </c>
    </row>
    <row r="45" spans="2:40" ht="14.65" thickBot="1" x14ac:dyDescent="0.5">
      <c r="B45" s="37" t="s">
        <v>160</v>
      </c>
      <c r="C45" s="38">
        <v>48</v>
      </c>
      <c r="D45">
        <v>23.295032501220703</v>
      </c>
      <c r="E45">
        <v>23.394071578979492</v>
      </c>
      <c r="F45">
        <v>20.47349739074707</v>
      </c>
      <c r="G45">
        <v>20.242290496826172</v>
      </c>
      <c r="H45">
        <v>21.872303009033203</v>
      </c>
      <c r="I45">
        <v>22.431289672851563</v>
      </c>
      <c r="J45">
        <f t="shared" si="2"/>
        <v>0.30057334899902344</v>
      </c>
      <c r="K45">
        <f t="shared" si="24"/>
        <v>0.26227219899495441</v>
      </c>
      <c r="L45">
        <f t="shared" si="0"/>
        <v>0.83377371758978425</v>
      </c>
      <c r="P45" s="37" t="s">
        <v>45</v>
      </c>
      <c r="Q45" s="32">
        <v>48</v>
      </c>
      <c r="R45">
        <v>23.295032501220703</v>
      </c>
      <c r="S45">
        <v>23.394071578979492</v>
      </c>
      <c r="T45">
        <v>20.47349739074707</v>
      </c>
      <c r="U45">
        <v>20.242290496826172</v>
      </c>
      <c r="V45">
        <v>25.613557815551758</v>
      </c>
      <c r="W45">
        <v>25.707857131958008</v>
      </c>
      <c r="X45">
        <f t="shared" si="4"/>
        <v>3.8094844818115234</v>
      </c>
      <c r="Y45">
        <f t="shared" si="25"/>
        <v>0.32070604960123683</v>
      </c>
      <c r="Z45">
        <f t="shared" si="23"/>
        <v>0.80067793287911881</v>
      </c>
      <c r="AD45" s="32" t="s">
        <v>10</v>
      </c>
      <c r="AE45" s="32">
        <f>AVERAGE(AN22:AN24)</f>
        <v>1.2688573973764781</v>
      </c>
      <c r="AF45">
        <f>_xlfn.STDEV.S(AN22:AN24)/SQRT(3)</f>
        <v>0.18593508714715812</v>
      </c>
      <c r="AG45">
        <f>AVERAGE(AN25:AN27)</f>
        <v>1.8825207041234062</v>
      </c>
      <c r="AH45">
        <f>_xlfn.STDEV.S(AN25:AN27)/SQRT(3)</f>
        <v>0.28414876999651484</v>
      </c>
    </row>
    <row r="46" spans="2:40" x14ac:dyDescent="0.45">
      <c r="B46" s="35" t="s">
        <v>161</v>
      </c>
      <c r="C46" s="38">
        <v>49</v>
      </c>
      <c r="D46">
        <v>25.075950622558594</v>
      </c>
      <c r="E46">
        <v>25.552391052246094</v>
      </c>
      <c r="F46">
        <v>22.816856384277344</v>
      </c>
      <c r="G46">
        <v>22.344205856323242</v>
      </c>
      <c r="H46">
        <v>23.890520095825195</v>
      </c>
      <c r="I46">
        <v>23.609437942504883</v>
      </c>
      <c r="J46">
        <f t="shared" si="2"/>
        <v>-0.1973719596862793</v>
      </c>
      <c r="K46">
        <f>J46-$J$60</f>
        <v>-0.4067791302998861</v>
      </c>
      <c r="L46">
        <f t="shared" si="0"/>
        <v>1.3257227829538925</v>
      </c>
      <c r="P46" s="35" t="s">
        <v>46</v>
      </c>
      <c r="Q46" s="32">
        <v>49</v>
      </c>
      <c r="R46">
        <v>25.075950622558594</v>
      </c>
      <c r="S46">
        <v>25.552391052246094</v>
      </c>
      <c r="T46">
        <v>22.816856384277344</v>
      </c>
      <c r="U46">
        <v>22.344205856323242</v>
      </c>
      <c r="V46">
        <v>25.998386383056641</v>
      </c>
      <c r="W46">
        <v>26.751369476318359</v>
      </c>
      <c r="X46">
        <f t="shared" si="4"/>
        <v>2.4275269508361816</v>
      </c>
      <c r="Y46">
        <f>X46-$X$60</f>
        <v>-0.97329632441202785</v>
      </c>
      <c r="Z46">
        <f t="shared" si="23"/>
        <v>1.9633213454925307</v>
      </c>
      <c r="AD46" s="32" t="s">
        <v>61</v>
      </c>
      <c r="AE46" s="32">
        <f>AVERAGE(AN28:AN30)</f>
        <v>1.057918877965222</v>
      </c>
      <c r="AF46">
        <f>_xlfn.STDEV.S(AN28:AN30)/SQRT(3)</f>
        <v>0.22698300691277029</v>
      </c>
      <c r="AG46">
        <f>AVERAGE(AN31:AN33)</f>
        <v>1.3024169636015452</v>
      </c>
      <c r="AH46">
        <f>_xlfn.STDEV.S(AN31:AN33)/SQRT(3)</f>
        <v>0.1169509863364505</v>
      </c>
    </row>
    <row r="47" spans="2:40" x14ac:dyDescent="0.45">
      <c r="B47" s="36" t="s">
        <v>162</v>
      </c>
      <c r="C47" s="38">
        <v>50</v>
      </c>
      <c r="D47">
        <v>24.325229644775391</v>
      </c>
      <c r="E47">
        <v>24.426992416381836</v>
      </c>
      <c r="F47">
        <v>20.805057525634766</v>
      </c>
      <c r="G47">
        <v>21.153970718383789</v>
      </c>
      <c r="H47">
        <v>23.312969207763672</v>
      </c>
      <c r="I47">
        <v>23.69770622253418</v>
      </c>
      <c r="J47">
        <f t="shared" si="2"/>
        <v>0.82752513885498047</v>
      </c>
      <c r="K47">
        <f t="shared" ref="K47:K51" si="26">J47-$J$60</f>
        <v>0.61811796824137366</v>
      </c>
      <c r="L47">
        <f t="shared" si="0"/>
        <v>0.65152029810964962</v>
      </c>
      <c r="P47" s="36" t="s">
        <v>47</v>
      </c>
      <c r="Q47" s="32">
        <v>50</v>
      </c>
      <c r="R47">
        <v>24.325229644775391</v>
      </c>
      <c r="S47">
        <v>24.426992416381836</v>
      </c>
      <c r="T47">
        <v>20.805057525634766</v>
      </c>
      <c r="U47">
        <v>21.153970718383789</v>
      </c>
      <c r="V47">
        <v>26.885889053344727</v>
      </c>
      <c r="W47">
        <v>25.975866317749023</v>
      </c>
      <c r="X47">
        <f t="shared" si="4"/>
        <v>3.7530651092529297</v>
      </c>
      <c r="Y47">
        <f t="shared" ref="Y47:Y51" si="27">X47-$X$60</f>
        <v>0.3522418340047202</v>
      </c>
      <c r="Z47">
        <f t="shared" si="23"/>
        <v>0.78336586301926703</v>
      </c>
    </row>
    <row r="48" spans="2:40" x14ac:dyDescent="0.45">
      <c r="B48" s="36" t="s">
        <v>163</v>
      </c>
      <c r="C48" s="38">
        <v>51</v>
      </c>
      <c r="D48">
        <v>24.58940315246582</v>
      </c>
      <c r="E48">
        <v>24.405466079711914</v>
      </c>
      <c r="F48">
        <v>21.749000549316406</v>
      </c>
      <c r="G48">
        <v>21.121328353881836</v>
      </c>
      <c r="H48">
        <v>22.911785125732422</v>
      </c>
      <c r="I48">
        <v>23.016950607299805</v>
      </c>
      <c r="J48">
        <f t="shared" si="2"/>
        <v>-1.9316673278808594E-3</v>
      </c>
      <c r="K48">
        <f t="shared" si="26"/>
        <v>-0.21133883794148764</v>
      </c>
      <c r="L48">
        <f t="shared" si="0"/>
        <v>1.1577621023519176</v>
      </c>
      <c r="P48" s="36" t="s">
        <v>48</v>
      </c>
      <c r="Q48" s="32">
        <v>51</v>
      </c>
      <c r="R48">
        <v>24.58940315246582</v>
      </c>
      <c r="S48">
        <v>24.405466079711914</v>
      </c>
      <c r="T48">
        <v>21.749000549316406</v>
      </c>
      <c r="U48">
        <v>21.121328353881836</v>
      </c>
      <c r="V48">
        <v>27.027044296264648</v>
      </c>
      <c r="W48">
        <v>26.949310302734375</v>
      </c>
      <c r="X48">
        <f t="shared" si="4"/>
        <v>4.0218777656555176</v>
      </c>
      <c r="Y48">
        <f t="shared" si="27"/>
        <v>0.62105449040730809</v>
      </c>
      <c r="Z48">
        <f t="shared" si="23"/>
        <v>0.65019551500895933</v>
      </c>
    </row>
    <row r="49" spans="2:27" x14ac:dyDescent="0.45">
      <c r="B49" s="36" t="s">
        <v>164</v>
      </c>
      <c r="C49" s="38">
        <v>52</v>
      </c>
      <c r="D49">
        <v>25.208461761474609</v>
      </c>
      <c r="E49">
        <v>25.326751708984375</v>
      </c>
      <c r="F49">
        <v>21.736330032348633</v>
      </c>
      <c r="G49">
        <v>21.520866394042969</v>
      </c>
      <c r="H49">
        <v>24.348720550537109</v>
      </c>
      <c r="I49">
        <v>24.603399276733398</v>
      </c>
      <c r="J49">
        <f t="shared" si="2"/>
        <v>1.0279574394226074</v>
      </c>
      <c r="K49">
        <f t="shared" si="26"/>
        <v>0.81855026880900061</v>
      </c>
      <c r="L49">
        <f t="shared" si="0"/>
        <v>0.56701143326364223</v>
      </c>
      <c r="P49" s="36" t="s">
        <v>49</v>
      </c>
      <c r="Q49" s="32">
        <v>52</v>
      </c>
      <c r="R49">
        <v>25.208461761474609</v>
      </c>
      <c r="S49">
        <v>25.326751708984375</v>
      </c>
      <c r="T49">
        <v>21.736330032348633</v>
      </c>
      <c r="U49">
        <v>21.520866394042969</v>
      </c>
      <c r="V49">
        <v>26.449821472167969</v>
      </c>
      <c r="W49">
        <v>26.935834884643555</v>
      </c>
      <c r="X49">
        <f t="shared" si="4"/>
        <v>3.2447257041931152</v>
      </c>
      <c r="Y49">
        <f t="shared" si="27"/>
        <v>-0.15609757105509425</v>
      </c>
      <c r="Z49">
        <f t="shared" si="23"/>
        <v>1.1142690075116914</v>
      </c>
    </row>
    <row r="50" spans="2:27" x14ac:dyDescent="0.45">
      <c r="B50" s="36" t="s">
        <v>165</v>
      </c>
      <c r="C50" s="38">
        <v>53</v>
      </c>
      <c r="D50">
        <v>24.768926620483398</v>
      </c>
      <c r="E50">
        <v>25.014923095703125</v>
      </c>
      <c r="F50">
        <v>21.967372894287109</v>
      </c>
      <c r="G50">
        <v>21.547496795654297</v>
      </c>
      <c r="H50">
        <v>23.168128967285156</v>
      </c>
      <c r="I50">
        <v>23.550487518310547</v>
      </c>
      <c r="J50">
        <f t="shared" si="2"/>
        <v>3.4628391265869141E-2</v>
      </c>
      <c r="K50">
        <f t="shared" si="26"/>
        <v>-0.17477877934773764</v>
      </c>
      <c r="L50">
        <f t="shared" si="0"/>
        <v>1.1287913044018512</v>
      </c>
      <c r="P50" s="36" t="s">
        <v>50</v>
      </c>
      <c r="Q50" s="32">
        <v>53</v>
      </c>
      <c r="R50">
        <v>24.768926620483398</v>
      </c>
      <c r="S50">
        <v>25.014923095703125</v>
      </c>
      <c r="T50">
        <v>21.967372894287109</v>
      </c>
      <c r="U50">
        <v>21.547496795654297</v>
      </c>
      <c r="V50">
        <v>26.666339874267578</v>
      </c>
      <c r="W50">
        <v>26.411584854125977</v>
      </c>
      <c r="X50">
        <f t="shared" si="4"/>
        <v>3.2142825126647949</v>
      </c>
      <c r="Y50">
        <f t="shared" si="27"/>
        <v>-0.18654076258341457</v>
      </c>
      <c r="Z50">
        <f t="shared" si="23"/>
        <v>1.1380317141576868</v>
      </c>
    </row>
    <row r="51" spans="2:27" ht="14.65" thickBot="1" x14ac:dyDescent="0.5">
      <c r="B51" s="37" t="s">
        <v>166</v>
      </c>
      <c r="C51" s="38">
        <v>54</v>
      </c>
      <c r="E51">
        <v>24.466693878173828</v>
      </c>
      <c r="F51">
        <v>21.499488830566406</v>
      </c>
      <c r="G51">
        <v>22.336282730102539</v>
      </c>
      <c r="H51">
        <v>21.800167083740234</v>
      </c>
      <c r="I51">
        <v>21.980472564697266</v>
      </c>
      <c r="J51">
        <f t="shared" si="2"/>
        <v>-0.87716865539550781</v>
      </c>
      <c r="K51">
        <f t="shared" si="26"/>
        <v>-1.0865758260091145</v>
      </c>
      <c r="L51">
        <f t="shared" si="0"/>
        <v>2.1236938833210504</v>
      </c>
      <c r="P51" s="37" t="s">
        <v>51</v>
      </c>
      <c r="Q51" s="32">
        <v>54</v>
      </c>
      <c r="S51">
        <v>24.466693878173828</v>
      </c>
      <c r="T51">
        <v>21.499488830566406</v>
      </c>
      <c r="U51">
        <v>22.336282730102539</v>
      </c>
      <c r="V51">
        <v>25.973711013793945</v>
      </c>
      <c r="W51">
        <v>25.410907745361328</v>
      </c>
      <c r="X51">
        <f t="shared" si="4"/>
        <v>2.9248208999633789</v>
      </c>
      <c r="Y51">
        <f t="shared" si="27"/>
        <v>-0.47600237528483058</v>
      </c>
      <c r="Z51">
        <f t="shared" si="23"/>
        <v>1.3908842616905277</v>
      </c>
    </row>
    <row r="53" spans="2:27" x14ac:dyDescent="0.45">
      <c r="I53" t="s">
        <v>86</v>
      </c>
      <c r="J53">
        <f>AVERAGE(J4:J6)</f>
        <v>7.6464785999721947</v>
      </c>
      <c r="W53" t="s">
        <v>86</v>
      </c>
      <c r="X53">
        <f>AVERAGE(X4:X6)</f>
        <v>1.2163294156392415</v>
      </c>
    </row>
    <row r="54" spans="2:27" x14ac:dyDescent="0.45">
      <c r="I54" t="s">
        <v>8</v>
      </c>
      <c r="J54">
        <f>AVERAGE(J10:J12)</f>
        <v>4.1832245190938302</v>
      </c>
      <c r="W54" t="s">
        <v>8</v>
      </c>
      <c r="X54">
        <f>AVERAGE(X10:X12)</f>
        <v>-2.1636026700337738</v>
      </c>
    </row>
    <row r="55" spans="2:27" x14ac:dyDescent="0.45">
      <c r="I55" t="s">
        <v>87</v>
      </c>
      <c r="J55">
        <f>AVERAGE(J16:J18)</f>
        <v>5.6337251663208008</v>
      </c>
      <c r="W55" t="s">
        <v>87</v>
      </c>
      <c r="X55">
        <f>AVERAGE(X16:X18)</f>
        <v>0.20553525288899741</v>
      </c>
    </row>
    <row r="56" spans="2:27" x14ac:dyDescent="0.45">
      <c r="I56" t="s">
        <v>9</v>
      </c>
      <c r="J56">
        <f>AVERAGE(J22:J24)</f>
        <v>7.1111448605855303</v>
      </c>
      <c r="W56" t="s">
        <v>9</v>
      </c>
      <c r="X56">
        <f>AVERAGE(X22:X24)</f>
        <v>4.8339724540710449</v>
      </c>
    </row>
    <row r="57" spans="2:27" x14ac:dyDescent="0.45">
      <c r="I57" t="s">
        <v>88</v>
      </c>
      <c r="J57">
        <f>AVERAGE(J28:J30)</f>
        <v>8.0533123016357422</v>
      </c>
      <c r="W57" t="s">
        <v>88</v>
      </c>
      <c r="X57">
        <f>AVERAGE(X28:X30)</f>
        <v>-0.11113993326822917</v>
      </c>
    </row>
    <row r="58" spans="2:27" x14ac:dyDescent="0.45">
      <c r="I58" t="s">
        <v>10</v>
      </c>
      <c r="J58">
        <f>AVERAGE(J34:J36)</f>
        <v>7.2064770062764483</v>
      </c>
      <c r="W58" t="s">
        <v>10</v>
      </c>
      <c r="X58">
        <f>AVERAGE(X34:X36)</f>
        <v>4.1568445099724656</v>
      </c>
    </row>
    <row r="59" spans="2:27" x14ac:dyDescent="0.45">
      <c r="I59" t="s">
        <v>11</v>
      </c>
      <c r="J59">
        <f>AVERAGE(J40:J42)</f>
        <v>3.8301150004069008E-2</v>
      </c>
      <c r="Q59" s="39"/>
      <c r="R59" s="8"/>
      <c r="S59" s="8"/>
      <c r="W59" t="s">
        <v>11</v>
      </c>
      <c r="X59">
        <f>AVERAGE(X40:X42)</f>
        <v>3.4887784322102866</v>
      </c>
      <c r="AA59" s="8"/>
    </row>
    <row r="60" spans="2:27" x14ac:dyDescent="0.45">
      <c r="I60" t="s">
        <v>61</v>
      </c>
      <c r="J60">
        <f>AVERAGE(J46:J48)</f>
        <v>0.20940717061360678</v>
      </c>
      <c r="W60" t="s">
        <v>61</v>
      </c>
      <c r="X60">
        <f>AVERAGE(X46:X48)</f>
        <v>3.4008232752482095</v>
      </c>
    </row>
    <row r="62" spans="2:27" x14ac:dyDescent="0.45">
      <c r="C62" s="32" t="s">
        <v>12</v>
      </c>
      <c r="D62" t="s">
        <v>7</v>
      </c>
      <c r="E62" t="s">
        <v>13</v>
      </c>
      <c r="F62" t="s">
        <v>7</v>
      </c>
      <c r="Q62" s="32" t="s">
        <v>12</v>
      </c>
      <c r="R62" t="s">
        <v>7</v>
      </c>
      <c r="S62" t="s">
        <v>13</v>
      </c>
      <c r="T62" t="s">
        <v>7</v>
      </c>
    </row>
    <row r="63" spans="2:27" x14ac:dyDescent="0.45">
      <c r="B63" s="32" t="s">
        <v>86</v>
      </c>
      <c r="C63" s="32">
        <f>AVERAGE(L4:L6)</f>
        <v>1.1979503969243317</v>
      </c>
      <c r="D63">
        <f>_xlfn.STDEV.S(L4:L6)/SQRT(3)</f>
        <v>0.43341130297787439</v>
      </c>
      <c r="E63">
        <f>AVERAGE(L7:L9)</f>
        <v>1.7268864713567302</v>
      </c>
      <c r="F63">
        <f>_xlfn.STDEV.S(L7:L9)/SQRT(3)</f>
        <v>0.7400557186486012</v>
      </c>
      <c r="P63" s="32" t="s">
        <v>86</v>
      </c>
      <c r="Q63" s="32">
        <f>AVERAGE(Z4:Z6)</f>
        <v>1.0033090847028741</v>
      </c>
      <c r="R63">
        <f>_xlfn.STDEV.S(Z4:Z6)/SQRT(3)</f>
        <v>5.6608029057806361E-2</v>
      </c>
      <c r="S63">
        <f>AVERAGE(Z7:Z9)</f>
        <v>1.8830738296119069</v>
      </c>
      <c r="T63">
        <f>_xlfn.STDEV.S(Z7:Z9)/SQRT(3)</f>
        <v>0.34063446275985915</v>
      </c>
    </row>
    <row r="64" spans="2:27" x14ac:dyDescent="0.45">
      <c r="B64" s="32" t="s">
        <v>8</v>
      </c>
      <c r="C64" s="32">
        <f>AVERAGE(L10:L12)</f>
        <v>1.0399900372949828</v>
      </c>
      <c r="D64">
        <f>_xlfn.STDEV.S(L10:L12)/SQRT(3)</f>
        <v>0.21111553160358065</v>
      </c>
      <c r="E64">
        <f>AVERAGE(L13:L15)</f>
        <v>0.3061414127737932</v>
      </c>
      <c r="F64">
        <f>_xlfn.STDEV.S(L13:L15)/SQRT(3)</f>
        <v>7.4558373043780629E-2</v>
      </c>
      <c r="P64" s="32" t="s">
        <v>8</v>
      </c>
      <c r="Q64" s="32">
        <f>AVERAGE(Z10:Z12)</f>
        <v>1.096040063223928</v>
      </c>
      <c r="R64">
        <f>_xlfn.STDEV.S(Z10:Z12)/SQRT(3)</f>
        <v>0.34419929081961115</v>
      </c>
      <c r="S64">
        <f>AVERAGE(Z13:Z15)</f>
        <v>0.54376424358643261</v>
      </c>
      <c r="T64">
        <f>_xlfn.STDEV.S(Z13:Z15)/SQRT(3)</f>
        <v>6.6852605778732727E-2</v>
      </c>
    </row>
    <row r="65" spans="2:26" x14ac:dyDescent="0.45">
      <c r="B65" s="32" t="s">
        <v>87</v>
      </c>
      <c r="C65" s="32">
        <f>AVERAGE(L16:L18)</f>
        <v>1.0452978633422378</v>
      </c>
      <c r="D65">
        <f>_xlfn.STDEV.S(L16:L18)/SQRT(3)</f>
        <v>0.20047943022587561</v>
      </c>
      <c r="E65">
        <f>AVERAGE(L19:L21)</f>
        <v>1.1268012557537257</v>
      </c>
      <c r="F65">
        <f>_xlfn.STDEV.S(L19:L21)/SQRT(3)</f>
        <v>0.41798760213934388</v>
      </c>
      <c r="P65" s="32" t="s">
        <v>87</v>
      </c>
      <c r="Q65" s="32">
        <f>AVERAGE(Z16:Z18)</f>
        <v>1.007323647788178</v>
      </c>
      <c r="R65">
        <f>_xlfn.STDEV.S(Z16:Z18)/SQRT(3)</f>
        <v>8.4176096389176905E-2</v>
      </c>
      <c r="S65">
        <f>AVERAGE(Z19:Z21)</f>
        <v>1.5383307356171148</v>
      </c>
      <c r="T65">
        <f>_xlfn.STDEV.S(Z19:Z21)/SQRT(3)</f>
        <v>0.74057014321898629</v>
      </c>
      <c r="W65" s="8"/>
      <c r="X65" s="8"/>
      <c r="Z65" s="8"/>
    </row>
    <row r="66" spans="2:26" x14ac:dyDescent="0.45">
      <c r="B66" s="32" t="s">
        <v>9</v>
      </c>
      <c r="C66" s="32">
        <f>AVERAGE(L22:L24)</f>
        <v>1.0108814188976394</v>
      </c>
      <c r="D66">
        <f>_xlfn.STDEV.S(L22:L24)/SQRT(3)</f>
        <v>0.10224447151654557</v>
      </c>
      <c r="E66">
        <f>AVERAGE(L25:L27)</f>
        <v>2.0907932327961043</v>
      </c>
      <c r="F66">
        <f>_xlfn.STDEV.S(L25:L27)/SQRT(3)</f>
        <v>0.5945602394491547</v>
      </c>
      <c r="P66" s="32" t="s">
        <v>9</v>
      </c>
      <c r="Q66" s="32">
        <f>AVERAGE(Z22:Z24)</f>
        <v>1.034945414574505</v>
      </c>
      <c r="R66">
        <f>_xlfn.STDEV.S(Z22:Z24)/SQRT(3)</f>
        <v>0.1791012673586215</v>
      </c>
      <c r="S66">
        <f>AVERAGE(Z25:Z27)</f>
        <v>0.80630752895150104</v>
      </c>
      <c r="T66">
        <f>_xlfn.STDEV.S(Z25:Z27)/SQRT(3)</f>
        <v>0.37871042944180489</v>
      </c>
    </row>
    <row r="67" spans="2:26" x14ac:dyDescent="0.45">
      <c r="B67" s="32" t="s">
        <v>88</v>
      </c>
      <c r="C67" s="32">
        <f>AVERAGE(L28:L30)</f>
        <v>1.040105293517634</v>
      </c>
      <c r="D67">
        <f>_xlfn.STDEV.S(L28:L30)/SQRT(3)</f>
        <v>0.18984315118400028</v>
      </c>
      <c r="E67">
        <f>AVERAGE(L28:L30)</f>
        <v>1.040105293517634</v>
      </c>
      <c r="F67">
        <f>_xlfn.STDEV.S(L31:L33)/SQRT(3)</f>
        <v>0.2902327863874723</v>
      </c>
      <c r="P67" s="32" t="s">
        <v>88</v>
      </c>
      <c r="Q67" s="32">
        <f>AVERAGE(Z28:Z30)</f>
        <v>1.0183861794651587</v>
      </c>
      <c r="R67">
        <f>_xlfn.STDEV.S(Z28:Z30)/SQRT(3)</f>
        <v>0.13364215767692292</v>
      </c>
      <c r="S67">
        <f>AVERAGE(Z28:Z30)</f>
        <v>1.0183861794651587</v>
      </c>
      <c r="T67">
        <f>_xlfn.STDEV.S(Z31:Z33)/SQRT(3)</f>
        <v>0.25350674054180211</v>
      </c>
    </row>
    <row r="68" spans="2:26" x14ac:dyDescent="0.45">
      <c r="B68" s="32" t="s">
        <v>10</v>
      </c>
      <c r="C68" s="32">
        <f>AVERAGE(L34:L36)</f>
        <v>1.0785175432356018</v>
      </c>
      <c r="D68">
        <f>_xlfn.STDEV.S(L34:L36)/SQRT(3)</f>
        <v>0.2943265162051894</v>
      </c>
      <c r="E68">
        <f>AVERAGE(L37:L39)</f>
        <v>1.7819961831112658</v>
      </c>
      <c r="F68">
        <f>_xlfn.STDEV.S(L37:L39)/SQRT(3)</f>
        <v>0.15801406142866437</v>
      </c>
      <c r="P68" s="32" t="s">
        <v>10</v>
      </c>
      <c r="Q68" s="32">
        <f>AVERAGE(Z34:Z36)</f>
        <v>1.1923212478950318</v>
      </c>
      <c r="R68">
        <f>_xlfn.STDEV.S(Z34:Z36)/SQRT(3)</f>
        <v>0.31408849866214172</v>
      </c>
      <c r="S68">
        <f>AVERAGE(Z37:Z39)</f>
        <v>3.3541551699287608</v>
      </c>
      <c r="T68">
        <f>_xlfn.STDEV.S(Z37:Z39)/SQRT(3)</f>
        <v>1.6510382790243803</v>
      </c>
    </row>
    <row r="69" spans="2:26" x14ac:dyDescent="0.45">
      <c r="B69" s="32" t="s">
        <v>11</v>
      </c>
      <c r="C69" s="32">
        <f>AVERAGE(L40:L42)</f>
        <v>1.0861977029248082</v>
      </c>
      <c r="D69">
        <f>_xlfn.STDEV.S(L40:L42)/SQRT(3)</f>
        <v>0.27224863723143317</v>
      </c>
      <c r="E69">
        <f>AVERAGE(L43:L45)</f>
        <v>0.74465157095454426</v>
      </c>
      <c r="F69">
        <f>_xlfn.STDEV.S(L43:L45)/SQRT(3)</f>
        <v>9.1138211016437723E-2</v>
      </c>
      <c r="P69" s="32" t="s">
        <v>11</v>
      </c>
      <c r="Q69" s="32">
        <f>AVERAGE(Z40:Z42)</f>
        <v>1.0531667696763245</v>
      </c>
      <c r="R69">
        <f>_xlfn.STDEV.S(Z40:Z42)/SQRT(3)</f>
        <v>0.23768590730835976</v>
      </c>
      <c r="S69">
        <f>AVERAGE(Z43:Z45)</f>
        <v>0.66025526753875674</v>
      </c>
      <c r="T69">
        <f>_xlfn.STDEV.S(Z43:Z45)/SQRT(3)</f>
        <v>0.10268590302852143</v>
      </c>
    </row>
    <row r="70" spans="2:26" x14ac:dyDescent="0.45">
      <c r="B70" s="32" t="s">
        <v>61</v>
      </c>
      <c r="C70" s="32">
        <f>AVERAGE(L46:L48)</f>
        <v>1.0450017278051533</v>
      </c>
      <c r="D70">
        <f>_xlfn.STDEV.S(L46:L48)/SQRT(3)</f>
        <v>0.20262726387259483</v>
      </c>
      <c r="E70">
        <f>AVERAGE(L49:L51)</f>
        <v>1.273165540328848</v>
      </c>
      <c r="F70">
        <f>_xlfn.STDEV.S(L49:L51)/SQRT(3)</f>
        <v>0.45513661047309428</v>
      </c>
      <c r="P70" s="32" t="s">
        <v>61</v>
      </c>
      <c r="Q70" s="32">
        <f>AVERAGE(Z46:Z48)</f>
        <v>1.1322942411735857</v>
      </c>
      <c r="R70">
        <f>_xlfn.STDEV.S(Z46:Z48)/SQRT(3)</f>
        <v>0.41728811848323905</v>
      </c>
      <c r="S70">
        <f>AVERAGE(Z46:Z48)</f>
        <v>1.1322942411735857</v>
      </c>
      <c r="T70">
        <f>_xlfn.STDEV.S(Z46:Z48)/SQRT(3)</f>
        <v>0.41728811848323905</v>
      </c>
    </row>
  </sheetData>
  <mergeCells count="13">
    <mergeCell ref="R3:U3"/>
    <mergeCell ref="V3:W3"/>
    <mergeCell ref="AF2:AG2"/>
    <mergeCell ref="AH2:AI2"/>
    <mergeCell ref="AJ2:AK2"/>
    <mergeCell ref="AF3:AI3"/>
    <mergeCell ref="AJ3:AK3"/>
    <mergeCell ref="V2:W2"/>
    <mergeCell ref="D2:E2"/>
    <mergeCell ref="F2:G2"/>
    <mergeCell ref="H2:I2"/>
    <mergeCell ref="R2:S2"/>
    <mergeCell ref="T2:U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2B5C-FBD5-4A7C-8006-9603E74B0736}">
  <dimension ref="A1:CT132"/>
  <sheetViews>
    <sheetView zoomScale="43" zoomScaleNormal="30" workbookViewId="0">
      <selection activeCell="J53" sqref="J53"/>
    </sheetView>
  </sheetViews>
  <sheetFormatPr baseColWidth="10" defaultRowHeight="14.25" x14ac:dyDescent="0.45"/>
  <cols>
    <col min="5" max="6" width="16.1328125" customWidth="1"/>
    <col min="7" max="7" width="13.1328125" customWidth="1"/>
    <col min="8" max="8" width="35.6640625" customWidth="1"/>
    <col min="9" max="9" width="32.19921875" customWidth="1"/>
    <col min="17" max="18" width="16.1328125" customWidth="1"/>
    <col min="19" max="19" width="13.1328125" customWidth="1"/>
    <col min="20" max="20" width="35.6640625" customWidth="1"/>
    <col min="21" max="21" width="32.19921875" customWidth="1"/>
    <col min="26" max="26" width="11.796875" customWidth="1"/>
    <col min="34" max="34" width="13.53125" customWidth="1"/>
    <col min="35" max="35" width="36.796875" customWidth="1"/>
  </cols>
  <sheetData>
    <row r="1" spans="1:98" x14ac:dyDescent="0.45">
      <c r="E1" t="s">
        <v>6</v>
      </c>
      <c r="G1" t="s">
        <v>62</v>
      </c>
      <c r="Q1" t="s">
        <v>6</v>
      </c>
      <c r="S1" t="s">
        <v>14</v>
      </c>
      <c r="AF1" t="s">
        <v>6</v>
      </c>
      <c r="AG1" t="s">
        <v>15</v>
      </c>
      <c r="AS1" t="s">
        <v>6</v>
      </c>
      <c r="AU1" t="s">
        <v>63</v>
      </c>
    </row>
    <row r="2" spans="1:98" ht="14.65" thickBot="1" x14ac:dyDescent="0.5">
      <c r="C2" s="1" t="s">
        <v>5</v>
      </c>
      <c r="D2" s="1"/>
      <c r="E2" s="2" t="s">
        <v>0</v>
      </c>
      <c r="F2" s="3" t="s">
        <v>1</v>
      </c>
      <c r="G2" s="3" t="s">
        <v>1</v>
      </c>
      <c r="H2" s="4" t="s">
        <v>2</v>
      </c>
      <c r="I2" s="4" t="s">
        <v>3</v>
      </c>
      <c r="J2" s="5" t="s">
        <v>4</v>
      </c>
      <c r="K2" s="7" t="s">
        <v>67</v>
      </c>
      <c r="L2" s="7"/>
      <c r="O2" s="1" t="s">
        <v>5</v>
      </c>
      <c r="P2" s="1"/>
      <c r="Q2" s="2" t="s">
        <v>0</v>
      </c>
      <c r="R2" s="2"/>
      <c r="S2" s="3" t="s">
        <v>1</v>
      </c>
      <c r="T2" s="4" t="s">
        <v>2</v>
      </c>
      <c r="U2" s="4" t="s">
        <v>3</v>
      </c>
      <c r="V2" s="5" t="s">
        <v>4</v>
      </c>
      <c r="W2" s="7" t="s">
        <v>67</v>
      </c>
      <c r="X2" s="7"/>
      <c r="Z2" s="7"/>
      <c r="AD2" s="1" t="s">
        <v>5</v>
      </c>
      <c r="AE2" s="2" t="s">
        <v>0</v>
      </c>
      <c r="AF2" s="2" t="s">
        <v>0</v>
      </c>
      <c r="AG2" s="3" t="s">
        <v>1</v>
      </c>
      <c r="AH2" s="3" t="s">
        <v>1</v>
      </c>
      <c r="AI2" s="4" t="s">
        <v>2</v>
      </c>
      <c r="AJ2" s="4" t="s">
        <v>3</v>
      </c>
      <c r="AK2" s="5" t="s">
        <v>4</v>
      </c>
      <c r="AL2" s="17" t="s">
        <v>67</v>
      </c>
      <c r="AQ2" s="1" t="s">
        <v>5</v>
      </c>
      <c r="AR2" s="2" t="s">
        <v>0</v>
      </c>
      <c r="AS2" s="2" t="s">
        <v>0</v>
      </c>
      <c r="AT2" s="3" t="s">
        <v>1</v>
      </c>
      <c r="AU2" s="3" t="s">
        <v>1</v>
      </c>
      <c r="AV2" s="4" t="s">
        <v>2</v>
      </c>
      <c r="AW2" s="4" t="s">
        <v>3</v>
      </c>
      <c r="AX2" s="5" t="s">
        <v>4</v>
      </c>
      <c r="AY2" s="17" t="s">
        <v>67</v>
      </c>
    </row>
    <row r="3" spans="1:98" x14ac:dyDescent="0.45">
      <c r="B3" s="9" t="s">
        <v>22</v>
      </c>
      <c r="C3">
        <v>13</v>
      </c>
      <c r="D3">
        <v>23.071939468383789</v>
      </c>
      <c r="E3">
        <v>22.264886856079102</v>
      </c>
      <c r="F3">
        <v>23.373025894165039</v>
      </c>
      <c r="G3">
        <v>23.521110534667969</v>
      </c>
      <c r="H3">
        <f t="shared" ref="H3:H32" si="0">(AVERAGE(F3:G3)-AVERAGE(D3:E3))</f>
        <v>0.77865505218505859</v>
      </c>
      <c r="I3">
        <f>H3-$H$41</f>
        <v>-0.62745793660481763</v>
      </c>
      <c r="J3">
        <f>2^-I3</f>
        <v>1.5448405477403058</v>
      </c>
      <c r="N3" s="9" t="s">
        <v>22</v>
      </c>
      <c r="O3">
        <v>13</v>
      </c>
      <c r="P3">
        <v>23.071939468383789</v>
      </c>
      <c r="Q3">
        <v>22.264886856079102</v>
      </c>
      <c r="R3">
        <v>19.613838195800781</v>
      </c>
      <c r="S3">
        <v>19.181236267089844</v>
      </c>
      <c r="T3">
        <f t="shared" ref="T3:T26" si="1">(AVERAGE(R3:S3)-AVERAGE(P3:Q3))</f>
        <v>-3.2708759307861328</v>
      </c>
      <c r="U3">
        <f>T3-$T$47</f>
        <v>-0.7496868769327798</v>
      </c>
      <c r="V3">
        <f t="shared" ref="V3:V26" si="2">2^-U3</f>
        <v>1.6814278531760345</v>
      </c>
      <c r="AC3" s="9" t="s">
        <v>16</v>
      </c>
      <c r="AD3">
        <v>1</v>
      </c>
      <c r="AE3">
        <f>AVERAGE(AE4:AE5)</f>
        <v>24.916069030761719</v>
      </c>
      <c r="AF3">
        <f>AVERAGE(AF4:AF5)</f>
        <v>24.364872932434082</v>
      </c>
      <c r="AG3">
        <v>29.597381591796875</v>
      </c>
      <c r="AH3">
        <v>28.577678680419922</v>
      </c>
      <c r="AI3">
        <f>(AVERAGE(AG3:AH3)-AVERAGE(AE3:AF3))</f>
        <v>4.447059154510498</v>
      </c>
      <c r="AJ3">
        <f>AI3-$AG$35</f>
        <v>0.86470667521158839</v>
      </c>
      <c r="AK3">
        <f>2^-AJ3</f>
        <v>0.54915804884812158</v>
      </c>
      <c r="AL3">
        <f>LOG(AK3,2)</f>
        <v>-0.86470667521158828</v>
      </c>
      <c r="AP3" s="12" t="s">
        <v>34</v>
      </c>
      <c r="AQ3" s="13">
        <v>37</v>
      </c>
      <c r="AR3">
        <f>AVERAGE(AS3:AS4)</f>
        <v>22.803471565246582</v>
      </c>
      <c r="AS3">
        <v>23.644309997558594</v>
      </c>
      <c r="AT3">
        <v>26.918275833129883</v>
      </c>
      <c r="AU3">
        <v>26.943851470947266</v>
      </c>
      <c r="AV3">
        <f t="shared" ref="AV3:AV10" si="3">(AVERAGE(AT3:AU3)-AVERAGE(AR3:AS3))</f>
        <v>3.7071728706359863</v>
      </c>
      <c r="AW3">
        <f t="shared" ref="AW3:AW8" si="4">AV3-$H$25</f>
        <v>3.5554366111755371</v>
      </c>
      <c r="AX3">
        <f t="shared" ref="AX3:AX19" si="5">2^-AW3</f>
        <v>8.5056387277471918E-2</v>
      </c>
      <c r="AY3">
        <f>LOG(AX3,2)</f>
        <v>-3.5554366111755371</v>
      </c>
    </row>
    <row r="4" spans="1:98" x14ac:dyDescent="0.45">
      <c r="B4" s="10" t="s">
        <v>23</v>
      </c>
      <c r="C4">
        <v>14</v>
      </c>
      <c r="D4">
        <f>AVERAGE(D3:E3)</f>
        <v>22.668413162231445</v>
      </c>
      <c r="E4">
        <v>24.496122360229492</v>
      </c>
      <c r="F4">
        <v>26.720930099487305</v>
      </c>
      <c r="G4">
        <v>24.680517196655273</v>
      </c>
      <c r="H4">
        <f t="shared" si="0"/>
        <v>2.1184558868408203</v>
      </c>
      <c r="I4">
        <f t="shared" ref="I4:I8" si="6">H4-$H$41</f>
        <v>0.71234289805094408</v>
      </c>
      <c r="J4">
        <f t="shared" ref="J4:J38" si="7">2^-I4</f>
        <v>0.61032817701487374</v>
      </c>
      <c r="N4" s="10" t="s">
        <v>23</v>
      </c>
      <c r="O4">
        <v>14</v>
      </c>
      <c r="P4">
        <f>AVERAGE(P3:Q3)</f>
        <v>22.668413162231445</v>
      </c>
      <c r="Q4">
        <v>24.496122360229492</v>
      </c>
      <c r="R4">
        <v>21.626813888549805</v>
      </c>
      <c r="S4">
        <v>20.894906997680664</v>
      </c>
      <c r="T4">
        <f t="shared" si="1"/>
        <v>-2.3214073181152344</v>
      </c>
      <c r="U4">
        <f t="shared" ref="U4:U8" si="8">T4-$T$47</f>
        <v>0.19978173573811864</v>
      </c>
      <c r="V4">
        <f t="shared" si="2"/>
        <v>0.87068227820794486</v>
      </c>
      <c r="AC4" s="10" t="s">
        <v>17</v>
      </c>
      <c r="AD4">
        <v>2</v>
      </c>
      <c r="AE4">
        <v>25.264202117919922</v>
      </c>
      <c r="AF4">
        <v>24.607383728027344</v>
      </c>
      <c r="AG4">
        <v>28.978958129882813</v>
      </c>
      <c r="AH4">
        <v>27.349374771118164</v>
      </c>
      <c r="AI4">
        <f t="shared" ref="AI4:AI32" si="9">(AVERAGE(AG4:AH4)-AVERAGE(AE4:AF4))</f>
        <v>3.2283735275268555</v>
      </c>
      <c r="AJ4">
        <f t="shared" ref="AJ4:AJ8" si="10">AI4-$AG$35</f>
        <v>-0.35397895177205418</v>
      </c>
      <c r="AK4">
        <f t="shared" ref="AK4:AK32" si="11">2^-AJ4</f>
        <v>1.2780807164830372</v>
      </c>
      <c r="AL4">
        <f t="shared" ref="AL4:AL31" si="12">LOG(AK4,2)</f>
        <v>0.35397895177205424</v>
      </c>
      <c r="AP4" s="14" t="s">
        <v>35</v>
      </c>
      <c r="AQ4" s="13">
        <v>38</v>
      </c>
      <c r="AR4">
        <v>22.447786331176758</v>
      </c>
      <c r="AS4">
        <v>21.96263313293457</v>
      </c>
      <c r="AT4">
        <v>24.149679183959961</v>
      </c>
      <c r="AU4">
        <v>24.083375930786133</v>
      </c>
      <c r="AV4">
        <f t="shared" si="3"/>
        <v>1.9113178253173828</v>
      </c>
      <c r="AW4">
        <f t="shared" si="4"/>
        <v>1.7595815658569336</v>
      </c>
      <c r="AX4">
        <f t="shared" si="5"/>
        <v>0.29533381050561025</v>
      </c>
      <c r="AY4">
        <f t="shared" ref="AY4:AY19" si="13">LOG(AX4,2)</f>
        <v>-1.7595815658569334</v>
      </c>
    </row>
    <row r="5" spans="1:98" x14ac:dyDescent="0.45">
      <c r="B5" s="10" t="s">
        <v>24</v>
      </c>
      <c r="C5">
        <v>15</v>
      </c>
      <c r="D5">
        <v>21.682107925415039</v>
      </c>
      <c r="E5">
        <v>21.740228652954102</v>
      </c>
      <c r="F5">
        <v>23.224050521850586</v>
      </c>
      <c r="G5">
        <v>22.840742111206055</v>
      </c>
      <c r="H5">
        <f t="shared" si="0"/>
        <v>1.32122802734375</v>
      </c>
      <c r="I5">
        <f t="shared" si="6"/>
        <v>-8.4884961446126228E-2</v>
      </c>
      <c r="J5">
        <f t="shared" si="7"/>
        <v>1.0606031669323899</v>
      </c>
      <c r="N5" s="10" t="s">
        <v>24</v>
      </c>
      <c r="O5">
        <v>15</v>
      </c>
      <c r="P5">
        <v>21.682107925415039</v>
      </c>
      <c r="Q5">
        <v>21.740228652954102</v>
      </c>
      <c r="R5">
        <v>19.684675216674805</v>
      </c>
      <c r="S5">
        <v>19.795093536376953</v>
      </c>
      <c r="T5">
        <f t="shared" si="1"/>
        <v>-1.9712839126586914</v>
      </c>
      <c r="U5">
        <f t="shared" si="8"/>
        <v>0.54990514119466161</v>
      </c>
      <c r="V5">
        <f t="shared" si="2"/>
        <v>0.68306503918761385</v>
      </c>
      <c r="AC5" s="10" t="s">
        <v>18</v>
      </c>
      <c r="AD5">
        <v>3</v>
      </c>
      <c r="AE5">
        <v>24.567935943603516</v>
      </c>
      <c r="AF5">
        <v>24.12236213684082</v>
      </c>
      <c r="AG5">
        <v>26.972911834716797</v>
      </c>
      <c r="AH5">
        <v>27.860635757446289</v>
      </c>
      <c r="AI5">
        <f t="shared" si="9"/>
        <v>3.071624755859375</v>
      </c>
      <c r="AJ5">
        <f t="shared" si="10"/>
        <v>-0.51072772343953465</v>
      </c>
      <c r="AK5">
        <f t="shared" si="11"/>
        <v>1.4247686954113987</v>
      </c>
      <c r="AL5">
        <f t="shared" si="12"/>
        <v>0.51072772343953465</v>
      </c>
      <c r="AP5" s="14" t="s">
        <v>36</v>
      </c>
      <c r="AQ5" s="13">
        <v>39</v>
      </c>
      <c r="AR5">
        <v>20.822649002075195</v>
      </c>
      <c r="AS5">
        <v>20.741495132446289</v>
      </c>
      <c r="AT5">
        <v>24.111957550048828</v>
      </c>
      <c r="AU5">
        <v>24.164039611816406</v>
      </c>
      <c r="AV5">
        <f>(AVERAGE(AT5:AU5)-AVERAGE(AR5:AS5))</f>
        <v>3.355926513671875</v>
      </c>
      <c r="AW5">
        <f t="shared" si="4"/>
        <v>3.2041902542114258</v>
      </c>
      <c r="AX5">
        <f t="shared" si="5"/>
        <v>0.10850321873467121</v>
      </c>
      <c r="AY5">
        <f t="shared" si="13"/>
        <v>-3.2041902542114262</v>
      </c>
    </row>
    <row r="6" spans="1:98" x14ac:dyDescent="0.45">
      <c r="B6" s="10" t="s">
        <v>25</v>
      </c>
      <c r="C6">
        <v>16</v>
      </c>
      <c r="D6">
        <v>22.851814270019531</v>
      </c>
      <c r="E6">
        <v>22.62908935546875</v>
      </c>
      <c r="F6">
        <v>26.621055603027344</v>
      </c>
      <c r="G6">
        <v>26.4608154296875</v>
      </c>
      <c r="H6">
        <f t="shared" si="0"/>
        <v>3.8004837036132813</v>
      </c>
      <c r="I6">
        <f t="shared" si="6"/>
        <v>2.3943707148234052</v>
      </c>
      <c r="J6">
        <f t="shared" si="7"/>
        <v>0.19020529118571525</v>
      </c>
      <c r="N6" s="10" t="s">
        <v>25</v>
      </c>
      <c r="O6">
        <v>16</v>
      </c>
      <c r="P6">
        <v>22.851814270019531</v>
      </c>
      <c r="Q6">
        <v>22.62908935546875</v>
      </c>
      <c r="R6">
        <v>20.653175354003906</v>
      </c>
      <c r="S6">
        <v>20.583921432495117</v>
      </c>
      <c r="T6">
        <f t="shared" si="1"/>
        <v>-2.1219034194946289</v>
      </c>
      <c r="U6">
        <f t="shared" si="8"/>
        <v>0.39928563435872411</v>
      </c>
      <c r="V6">
        <f t="shared" si="2"/>
        <v>0.75823363768718666</v>
      </c>
      <c r="AC6" s="10" t="s">
        <v>19</v>
      </c>
      <c r="AD6">
        <v>4</v>
      </c>
      <c r="AE6">
        <v>26.225223541259766</v>
      </c>
      <c r="AF6">
        <v>26.224079132080078</v>
      </c>
      <c r="AG6">
        <v>28.039314270019531</v>
      </c>
      <c r="AH6">
        <v>28.311746597290039</v>
      </c>
      <c r="AI6">
        <f t="shared" si="9"/>
        <v>1.9508790969848633</v>
      </c>
      <c r="AJ6">
        <f t="shared" si="10"/>
        <v>-1.6314733823140464</v>
      </c>
      <c r="AK6">
        <f t="shared" si="11"/>
        <v>3.0982925676037842</v>
      </c>
      <c r="AL6">
        <f t="shared" si="12"/>
        <v>1.6314733823140464</v>
      </c>
      <c r="AP6" s="14" t="s">
        <v>37</v>
      </c>
      <c r="AQ6" s="13">
        <v>40</v>
      </c>
      <c r="AR6">
        <v>18.585508346557617</v>
      </c>
      <c r="AS6">
        <v>18.453964233398438</v>
      </c>
      <c r="AT6">
        <v>22.913095474243164</v>
      </c>
      <c r="AU6">
        <v>23.036960601806641</v>
      </c>
      <c r="AV6">
        <f t="shared" si="3"/>
        <v>4.455291748046875</v>
      </c>
      <c r="AW6">
        <f t="shared" si="4"/>
        <v>4.3035554885864258</v>
      </c>
      <c r="AX6">
        <f t="shared" si="5"/>
        <v>5.0640817733688698E-2</v>
      </c>
      <c r="AY6">
        <f t="shared" si="13"/>
        <v>-4.3035554885864258</v>
      </c>
    </row>
    <row r="7" spans="1:98" x14ac:dyDescent="0.45">
      <c r="B7" s="10" t="s">
        <v>26</v>
      </c>
      <c r="C7">
        <v>17</v>
      </c>
      <c r="D7">
        <v>21.444099426269531</v>
      </c>
      <c r="E7">
        <v>21.269981384277344</v>
      </c>
      <c r="F7">
        <v>24.655250549316406</v>
      </c>
      <c r="G7">
        <v>23.449985504150391</v>
      </c>
      <c r="H7">
        <f t="shared" si="0"/>
        <v>2.6955776214599609</v>
      </c>
      <c r="I7">
        <f t="shared" si="6"/>
        <v>1.2894646326700847</v>
      </c>
      <c r="J7">
        <f t="shared" si="7"/>
        <v>0.4091028144048463</v>
      </c>
      <c r="N7" s="10" t="s">
        <v>26</v>
      </c>
      <c r="O7">
        <v>17</v>
      </c>
      <c r="P7">
        <v>21.444099426269531</v>
      </c>
      <c r="Q7">
        <v>21.269981384277344</v>
      </c>
      <c r="R7">
        <v>19.605207443237305</v>
      </c>
      <c r="S7">
        <v>19.743799209594727</v>
      </c>
      <c r="T7">
        <f t="shared" si="1"/>
        <v>-1.6825370788574219</v>
      </c>
      <c r="U7">
        <f t="shared" si="8"/>
        <v>0.83865197499593114</v>
      </c>
      <c r="V7">
        <f t="shared" si="2"/>
        <v>0.55916579820599255</v>
      </c>
      <c r="AC7" s="10" t="s">
        <v>20</v>
      </c>
      <c r="AD7">
        <v>5</v>
      </c>
      <c r="AE7">
        <v>28.975690841674805</v>
      </c>
      <c r="AF7">
        <v>27.984882354736328</v>
      </c>
      <c r="AG7">
        <v>30.757711410522461</v>
      </c>
      <c r="AH7">
        <v>30.088790893554688</v>
      </c>
      <c r="AI7">
        <f t="shared" si="9"/>
        <v>1.9429645538330078</v>
      </c>
      <c r="AJ7">
        <f t="shared" si="10"/>
        <v>-1.6393879254659018</v>
      </c>
      <c r="AK7">
        <f t="shared" si="11"/>
        <v>3.1153363326860664</v>
      </c>
      <c r="AL7">
        <f t="shared" si="12"/>
        <v>1.6393879254659018</v>
      </c>
      <c r="AP7" s="14" t="s">
        <v>38</v>
      </c>
      <c r="AQ7" s="13">
        <v>41</v>
      </c>
      <c r="AR7">
        <v>19.966827392578125</v>
      </c>
      <c r="AS7">
        <v>20.117240905761719</v>
      </c>
      <c r="AT7">
        <v>24.1094970703125</v>
      </c>
      <c r="AU7">
        <v>23.957035064697266</v>
      </c>
      <c r="AV7">
        <f t="shared" si="3"/>
        <v>3.9912319183349609</v>
      </c>
      <c r="AW7">
        <f t="shared" si="4"/>
        <v>3.8394956588745117</v>
      </c>
      <c r="AX7">
        <f t="shared" si="5"/>
        <v>6.9854861907885354E-2</v>
      </c>
      <c r="AY7">
        <f t="shared" si="13"/>
        <v>-3.8394956588745117</v>
      </c>
    </row>
    <row r="8" spans="1:98" s="6" customFormat="1" ht="14.65" thickBot="1" x14ac:dyDescent="0.5">
      <c r="A8"/>
      <c r="B8" s="11" t="s">
        <v>27</v>
      </c>
      <c r="C8" s="22">
        <v>18</v>
      </c>
      <c r="D8" s="22">
        <v>24.16185188293457</v>
      </c>
      <c r="E8" s="22">
        <v>24.008493423461914</v>
      </c>
      <c r="F8" s="22">
        <v>25.487449645996094</v>
      </c>
      <c r="G8" s="22">
        <v>25.427541732788086</v>
      </c>
      <c r="H8" s="22">
        <f t="shared" si="0"/>
        <v>1.3723230361938477</v>
      </c>
      <c r="I8" s="22">
        <f t="shared" si="6"/>
        <v>-3.3789952596028572E-2</v>
      </c>
      <c r="J8" s="22">
        <f t="shared" si="7"/>
        <v>1.0236978455535521</v>
      </c>
      <c r="K8"/>
      <c r="L8"/>
      <c r="M8"/>
      <c r="N8" s="11" t="s">
        <v>27</v>
      </c>
      <c r="O8" s="22">
        <v>18</v>
      </c>
      <c r="P8" s="22">
        <v>24.16185188293457</v>
      </c>
      <c r="Q8" s="22">
        <v>24.008493423461914</v>
      </c>
      <c r="R8" s="22">
        <v>21.991939544677734</v>
      </c>
      <c r="S8" s="22">
        <v>21.239625930786133</v>
      </c>
      <c r="T8" s="22">
        <f t="shared" si="1"/>
        <v>-2.4693899154663086</v>
      </c>
      <c r="U8" s="22">
        <f t="shared" si="8"/>
        <v>5.1799138387044419E-2</v>
      </c>
      <c r="V8">
        <f t="shared" si="2"/>
        <v>0.96473249171764786</v>
      </c>
      <c r="X8"/>
      <c r="Y8"/>
      <c r="Z8"/>
      <c r="AA8"/>
      <c r="AB8"/>
      <c r="AC8" s="11" t="s">
        <v>21</v>
      </c>
      <c r="AD8" s="6">
        <v>6</v>
      </c>
      <c r="AE8" s="6">
        <v>27.481815338134766</v>
      </c>
      <c r="AF8" s="6">
        <v>27.595712661743164</v>
      </c>
      <c r="AG8">
        <v>28.538774490356445</v>
      </c>
      <c r="AH8">
        <v>28.614933013916016</v>
      </c>
      <c r="AI8" s="6">
        <f t="shared" si="9"/>
        <v>1.0380897521972656</v>
      </c>
      <c r="AJ8">
        <f t="shared" si="10"/>
        <v>-2.544262727101644</v>
      </c>
      <c r="AK8">
        <f>2^-AJ8</f>
        <v>5.8330996758717015</v>
      </c>
      <c r="AL8">
        <f t="shared" si="12"/>
        <v>2.544262727101644</v>
      </c>
      <c r="AM8"/>
      <c r="AN8"/>
      <c r="AO8"/>
      <c r="AP8" s="15" t="s">
        <v>39</v>
      </c>
      <c r="AQ8" s="13">
        <v>42</v>
      </c>
      <c r="AR8">
        <v>19.546146392822266</v>
      </c>
      <c r="AS8">
        <v>19.319753646850586</v>
      </c>
      <c r="AT8">
        <v>22.925621032714844</v>
      </c>
      <c r="AU8">
        <v>22.847755432128906</v>
      </c>
      <c r="AV8">
        <f t="shared" si="3"/>
        <v>3.4537382125854492</v>
      </c>
      <c r="AW8">
        <f t="shared" si="4"/>
        <v>3.302001953125</v>
      </c>
      <c r="AX8">
        <f t="shared" si="5"/>
        <v>0.10139075718391737</v>
      </c>
      <c r="AY8">
        <f t="shared" si="13"/>
        <v>-3.302001953125</v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</row>
    <row r="9" spans="1:98" x14ac:dyDescent="0.45">
      <c r="B9" s="9" t="s">
        <v>89</v>
      </c>
      <c r="C9" s="18">
        <v>19</v>
      </c>
      <c r="D9">
        <v>19.560247421264648</v>
      </c>
      <c r="E9">
        <v>19.663799285888672</v>
      </c>
      <c r="F9">
        <v>20.57823371887207</v>
      </c>
      <c r="G9">
        <v>19.895570755004883</v>
      </c>
      <c r="H9">
        <f t="shared" si="0"/>
        <v>0.62487888336181641</v>
      </c>
      <c r="I9">
        <f>H9-$H$42</f>
        <v>0.89430395762125658</v>
      </c>
      <c r="J9">
        <f t="shared" si="7"/>
        <v>0.53800669923469835</v>
      </c>
      <c r="N9" s="9" t="s">
        <v>89</v>
      </c>
      <c r="O9" s="18" t="s">
        <v>90</v>
      </c>
      <c r="P9">
        <v>19.560247421264648</v>
      </c>
      <c r="Q9">
        <v>19.663799285888672</v>
      </c>
      <c r="R9">
        <v>17.160327911376953</v>
      </c>
      <c r="S9">
        <v>16.950372695922852</v>
      </c>
      <c r="T9">
        <f t="shared" si="1"/>
        <v>-2.5566730499267578</v>
      </c>
      <c r="U9">
        <f>T9-$T$48</f>
        <v>0.32564322153727199</v>
      </c>
      <c r="V9">
        <f t="shared" si="2"/>
        <v>0.79794254659126651</v>
      </c>
      <c r="AC9" s="9" t="s">
        <v>22</v>
      </c>
      <c r="AD9">
        <v>13</v>
      </c>
      <c r="AE9">
        <v>23.071939468383789</v>
      </c>
      <c r="AF9">
        <v>22.264886856079102</v>
      </c>
      <c r="AG9">
        <v>30.384269714355469</v>
      </c>
      <c r="AH9">
        <v>28.845123291015625</v>
      </c>
      <c r="AI9">
        <f t="shared" si="9"/>
        <v>6.9462833404541016</v>
      </c>
      <c r="AJ9">
        <f>AI9-$AG$36</f>
        <v>1.0103629430135088</v>
      </c>
      <c r="AK9">
        <f t="shared" si="11"/>
        <v>0.49642134583745273</v>
      </c>
      <c r="AL9">
        <f t="shared" si="12"/>
        <v>-1.0103629430135088</v>
      </c>
      <c r="AP9" s="12" t="s">
        <v>40</v>
      </c>
      <c r="AQ9" s="13">
        <v>43</v>
      </c>
      <c r="AR9">
        <v>21.514856338500977</v>
      </c>
      <c r="AS9">
        <v>20.881267547607422</v>
      </c>
      <c r="AT9">
        <v>23.698894500732422</v>
      </c>
      <c r="AU9">
        <v>22.256195068359375</v>
      </c>
      <c r="AV9">
        <f t="shared" si="3"/>
        <v>1.7794828414916992</v>
      </c>
      <c r="AW9">
        <f t="shared" ref="AW9:AW14" si="14">AV9-$H$26</f>
        <v>3.171330451965332</v>
      </c>
      <c r="AX9">
        <f t="shared" si="5"/>
        <v>0.11100292114397772</v>
      </c>
      <c r="AY9">
        <f t="shared" si="13"/>
        <v>-3.171330451965332</v>
      </c>
    </row>
    <row r="10" spans="1:98" x14ac:dyDescent="0.45">
      <c r="B10" s="10" t="s">
        <v>91</v>
      </c>
      <c r="C10" s="18">
        <v>20</v>
      </c>
      <c r="D10">
        <v>20.876609802246094</v>
      </c>
      <c r="E10">
        <v>21.012306213378906</v>
      </c>
      <c r="F10">
        <v>19.618621826171875</v>
      </c>
      <c r="G10">
        <v>19.929195404052734</v>
      </c>
      <c r="H10">
        <f t="shared" si="0"/>
        <v>-1.1705493927001953</v>
      </c>
      <c r="I10">
        <f t="shared" ref="I10:I14" si="15">H10-$H$42</f>
        <v>-0.90112431844075513</v>
      </c>
      <c r="J10">
        <f t="shared" si="7"/>
        <v>1.8675208089893662</v>
      </c>
      <c r="N10" s="10" t="s">
        <v>91</v>
      </c>
      <c r="O10" s="18" t="s">
        <v>92</v>
      </c>
      <c r="P10">
        <v>20.876609802246094</v>
      </c>
      <c r="Q10">
        <v>21.012306213378906</v>
      </c>
      <c r="R10">
        <v>17.818681716918945</v>
      </c>
      <c r="S10">
        <v>17.715719223022461</v>
      </c>
      <c r="T10">
        <f t="shared" si="1"/>
        <v>-3.1772575378417969</v>
      </c>
      <c r="U10">
        <f t="shared" ref="U10:U14" si="16">T10-$T$48</f>
        <v>-0.29494126637776708</v>
      </c>
      <c r="V10">
        <f t="shared" si="2"/>
        <v>1.2268350305014077</v>
      </c>
      <c r="AC10" s="10" t="s">
        <v>23</v>
      </c>
      <c r="AD10">
        <v>14</v>
      </c>
      <c r="AE10">
        <f>AVERAGE(AE9:AF9)</f>
        <v>22.668413162231445</v>
      </c>
      <c r="AF10">
        <v>24.496122360229492</v>
      </c>
      <c r="AG10">
        <v>27.827814102172852</v>
      </c>
      <c r="AH10">
        <v>27.808982849121094</v>
      </c>
      <c r="AI10">
        <f t="shared" si="9"/>
        <v>4.2361307144165039</v>
      </c>
      <c r="AJ10">
        <f t="shared" ref="AJ10:AJ14" si="17">AI10-$AG$36</f>
        <v>-1.6997896830240888</v>
      </c>
      <c r="AK10">
        <f t="shared" si="11"/>
        <v>3.2485359773191225</v>
      </c>
      <c r="AL10">
        <f t="shared" si="12"/>
        <v>1.6997896830240888</v>
      </c>
      <c r="AP10" s="14" t="s">
        <v>41</v>
      </c>
      <c r="AQ10" s="13">
        <v>44</v>
      </c>
      <c r="AR10">
        <v>19.935474395751953</v>
      </c>
      <c r="AS10">
        <v>20.273777008056641</v>
      </c>
      <c r="AT10">
        <v>23.646625518798828</v>
      </c>
      <c r="AU10">
        <v>23.31834602355957</v>
      </c>
      <c r="AV10">
        <f t="shared" si="3"/>
        <v>3.3778600692749023</v>
      </c>
      <c r="AW10">
        <f t="shared" si="14"/>
        <v>4.7697076797485352</v>
      </c>
      <c r="AX10">
        <f t="shared" si="5"/>
        <v>3.6658519195317388E-2</v>
      </c>
      <c r="AY10">
        <f t="shared" si="13"/>
        <v>-4.7697076797485352</v>
      </c>
    </row>
    <row r="11" spans="1:98" x14ac:dyDescent="0.45">
      <c r="B11" s="10" t="s">
        <v>93</v>
      </c>
      <c r="C11" s="18">
        <v>21</v>
      </c>
      <c r="D11">
        <v>20.971982955932617</v>
      </c>
      <c r="E11">
        <v>19.990678787231445</v>
      </c>
      <c r="F11">
        <v>20.230546951293945</v>
      </c>
      <c r="G11">
        <v>20.206905364990234</v>
      </c>
      <c r="H11">
        <f t="shared" si="0"/>
        <v>-0.26260471343994141</v>
      </c>
      <c r="I11">
        <f t="shared" si="15"/>
        <v>6.8203608194987164E-3</v>
      </c>
      <c r="J11">
        <f t="shared" si="7"/>
        <v>0.99528364323255614</v>
      </c>
      <c r="N11" s="10" t="s">
        <v>93</v>
      </c>
      <c r="O11" s="18" t="s">
        <v>94</v>
      </c>
      <c r="P11">
        <v>20.971982955932617</v>
      </c>
      <c r="Q11">
        <v>19.990678787231445</v>
      </c>
      <c r="R11">
        <v>17.797401428222656</v>
      </c>
      <c r="S11">
        <v>17.339223861694336</v>
      </c>
      <c r="T11">
        <f t="shared" si="1"/>
        <v>-2.9130182266235352</v>
      </c>
      <c r="U11">
        <f t="shared" si="16"/>
        <v>-3.0701955159505356E-2</v>
      </c>
      <c r="V11">
        <f t="shared" si="2"/>
        <v>1.0215090284460382</v>
      </c>
      <c r="AC11" s="10" t="s">
        <v>24</v>
      </c>
      <c r="AD11">
        <v>15</v>
      </c>
      <c r="AE11">
        <v>21.682107925415039</v>
      </c>
      <c r="AF11">
        <v>21.740228652954102</v>
      </c>
      <c r="AG11">
        <v>27.69183349609375</v>
      </c>
      <c r="AH11">
        <v>28.981197357177734</v>
      </c>
      <c r="AI11">
        <f t="shared" si="9"/>
        <v>6.6253471374511719</v>
      </c>
      <c r="AJ11">
        <f t="shared" si="17"/>
        <v>0.68942674001057913</v>
      </c>
      <c r="AK11">
        <f t="shared" si="11"/>
        <v>0.62010020003520006</v>
      </c>
      <c r="AL11">
        <f t="shared" si="12"/>
        <v>-0.68942674001057902</v>
      </c>
      <c r="AP11" s="14" t="s">
        <v>42</v>
      </c>
      <c r="AQ11" s="13">
        <v>45</v>
      </c>
      <c r="AR11">
        <v>19.500825881958008</v>
      </c>
      <c r="AS11">
        <v>19.632417678833008</v>
      </c>
      <c r="AT11">
        <v>24.891016006469727</v>
      </c>
      <c r="AU11">
        <v>24.596920013427734</v>
      </c>
      <c r="AV11">
        <f>(AVERAGE(AT11:AU11)-AVERAGE(AR11:AS11))</f>
        <v>5.1773462295532227</v>
      </c>
      <c r="AW11">
        <f t="shared" si="14"/>
        <v>6.5691938400268555</v>
      </c>
      <c r="AX11">
        <f t="shared" si="5"/>
        <v>1.0531145347941039E-2</v>
      </c>
      <c r="AY11">
        <f t="shared" si="13"/>
        <v>-6.5691938400268546</v>
      </c>
    </row>
    <row r="12" spans="1:98" x14ac:dyDescent="0.45">
      <c r="B12" s="10" t="s">
        <v>95</v>
      </c>
      <c r="C12" s="18">
        <v>22</v>
      </c>
      <c r="D12">
        <v>24.447492599487305</v>
      </c>
      <c r="E12">
        <v>23.712411880493164</v>
      </c>
      <c r="F12">
        <v>24.542383193969727</v>
      </c>
      <c r="G12">
        <v>23.92054557800293</v>
      </c>
      <c r="H12">
        <f>(AVERAGE(F12:G12)-AVERAGE(D12:D12))</f>
        <v>-0.21602821350097656</v>
      </c>
      <c r="I12">
        <f t="shared" si="15"/>
        <v>5.339686075846356E-2</v>
      </c>
      <c r="J12">
        <f t="shared" si="7"/>
        <v>0.96366468358573409</v>
      </c>
      <c r="N12" s="10" t="s">
        <v>95</v>
      </c>
      <c r="O12" s="18" t="s">
        <v>96</v>
      </c>
      <c r="P12">
        <v>24.447492599487305</v>
      </c>
      <c r="Q12">
        <v>23.712411880493164</v>
      </c>
      <c r="R12">
        <v>21.46491813659668</v>
      </c>
      <c r="S12">
        <v>22.240808486938477</v>
      </c>
      <c r="T12">
        <f t="shared" si="1"/>
        <v>-2.2270889282226563</v>
      </c>
      <c r="U12">
        <f t="shared" si="16"/>
        <v>0.65522734324137355</v>
      </c>
      <c r="V12">
        <f t="shared" si="2"/>
        <v>0.63497542248054473</v>
      </c>
      <c r="AC12" s="10" t="s">
        <v>25</v>
      </c>
      <c r="AD12">
        <v>16</v>
      </c>
      <c r="AE12">
        <v>22.851814270019531</v>
      </c>
      <c r="AF12">
        <v>22.62908935546875</v>
      </c>
      <c r="AG12">
        <v>33.462390899658203</v>
      </c>
      <c r="AH12">
        <v>31.444431304931641</v>
      </c>
      <c r="AI12">
        <f t="shared" si="9"/>
        <v>9.7129592895507813</v>
      </c>
      <c r="AJ12">
        <f t="shared" si="17"/>
        <v>3.7770388921101885</v>
      </c>
      <c r="AK12">
        <f t="shared" si="11"/>
        <v>7.2945414877825299E-2</v>
      </c>
      <c r="AL12">
        <f t="shared" si="12"/>
        <v>-3.7770388921101881</v>
      </c>
      <c r="AP12" s="14" t="s">
        <v>43</v>
      </c>
      <c r="AQ12" s="13">
        <v>46</v>
      </c>
      <c r="AR12">
        <v>21.100166320800781</v>
      </c>
      <c r="AS12">
        <v>22.047357559204102</v>
      </c>
      <c r="AT12">
        <v>23.441144943237305</v>
      </c>
      <c r="AU12">
        <v>23.850734710693359</v>
      </c>
      <c r="AV12">
        <f t="shared" ref="AV12:AV19" si="18">(AVERAGE(AT12:AU12)-AVERAGE(AR12:AS12))</f>
        <v>2.0721778869628906</v>
      </c>
      <c r="AW12">
        <f t="shared" si="14"/>
        <v>3.4640254974365234</v>
      </c>
      <c r="AX12">
        <f t="shared" si="5"/>
        <v>9.0620075469025035E-2</v>
      </c>
      <c r="AY12">
        <f t="shared" si="13"/>
        <v>-3.4640254974365234</v>
      </c>
    </row>
    <row r="13" spans="1:98" x14ac:dyDescent="0.45">
      <c r="B13" s="10" t="s">
        <v>97</v>
      </c>
      <c r="C13" s="18">
        <v>23</v>
      </c>
      <c r="D13">
        <v>23.247901916503906</v>
      </c>
      <c r="E13">
        <v>23.132987976074219</v>
      </c>
      <c r="F13">
        <v>20.845632553100586</v>
      </c>
      <c r="G13">
        <v>21.118564605712891</v>
      </c>
      <c r="H13">
        <f>(AVERAGE(F13:G13)-AVERAGE(D13:E13))</f>
        <v>-2.2083463668823242</v>
      </c>
      <c r="I13">
        <f t="shared" si="15"/>
        <v>-1.938921292622884</v>
      </c>
      <c r="J13">
        <f t="shared" si="7"/>
        <v>3.83418857105432</v>
      </c>
      <c r="N13" s="10" t="s">
        <v>97</v>
      </c>
      <c r="O13" s="18" t="s">
        <v>98</v>
      </c>
      <c r="P13">
        <v>23.247901916503906</v>
      </c>
      <c r="Q13">
        <v>23.132987976074219</v>
      </c>
      <c r="S13">
        <v>18.456825256347656</v>
      </c>
      <c r="T13">
        <f t="shared" si="1"/>
        <v>-4.7336196899414063</v>
      </c>
      <c r="U13">
        <f t="shared" si="16"/>
        <v>-1.8513034184773765</v>
      </c>
      <c r="V13">
        <f t="shared" si="2"/>
        <v>3.6082603001722258</v>
      </c>
      <c r="AC13" s="10" t="s">
        <v>26</v>
      </c>
      <c r="AD13">
        <v>17</v>
      </c>
      <c r="AE13">
        <v>21.444099426269531</v>
      </c>
      <c r="AF13">
        <v>21.269981384277344</v>
      </c>
      <c r="AG13">
        <v>29.520856857299805</v>
      </c>
      <c r="AH13">
        <v>29.037160873413086</v>
      </c>
      <c r="AI13">
        <f t="shared" si="9"/>
        <v>7.9219684600830078</v>
      </c>
      <c r="AJ13">
        <f t="shared" si="17"/>
        <v>1.9860480626424151</v>
      </c>
      <c r="AK13">
        <f t="shared" si="11"/>
        <v>0.25242941470311991</v>
      </c>
      <c r="AL13">
        <f t="shared" si="12"/>
        <v>-1.9860480626424151</v>
      </c>
      <c r="AP13" s="14" t="s">
        <v>44</v>
      </c>
      <c r="AQ13" s="13">
        <v>47</v>
      </c>
      <c r="AR13">
        <v>20.984155654907227</v>
      </c>
      <c r="AS13">
        <v>20.072259902954102</v>
      </c>
      <c r="AT13">
        <v>23.198938369750977</v>
      </c>
      <c r="AU13">
        <v>22.911041259765625</v>
      </c>
      <c r="AV13">
        <f t="shared" si="18"/>
        <v>2.5267820358276367</v>
      </c>
      <c r="AW13">
        <f t="shared" si="14"/>
        <v>3.9186296463012695</v>
      </c>
      <c r="AX13">
        <f t="shared" si="5"/>
        <v>6.6126408332771558E-2</v>
      </c>
      <c r="AY13">
        <f t="shared" si="13"/>
        <v>-3.9186296463012695</v>
      </c>
    </row>
    <row r="14" spans="1:98" s="6" customFormat="1" ht="14.65" thickBot="1" x14ac:dyDescent="0.5">
      <c r="A14"/>
      <c r="B14" s="11" t="s">
        <v>99</v>
      </c>
      <c r="C14" s="23">
        <v>24</v>
      </c>
      <c r="D14">
        <v>23.886114120483398</v>
      </c>
      <c r="E14">
        <v>24.142057418823242</v>
      </c>
      <c r="F14" s="22">
        <v>22.438375473022461</v>
      </c>
      <c r="G14" s="22">
        <v>21.57734489440918</v>
      </c>
      <c r="H14" s="22">
        <f t="shared" si="0"/>
        <v>-2.0062255859375</v>
      </c>
      <c r="I14" s="22">
        <f t="shared" si="15"/>
        <v>-1.7368005116780598</v>
      </c>
      <c r="J14" s="22">
        <f t="shared" si="7"/>
        <v>3.3329519336174642</v>
      </c>
      <c r="K14"/>
      <c r="L14"/>
      <c r="M14"/>
      <c r="N14" s="11" t="s">
        <v>99</v>
      </c>
      <c r="O14" s="23" t="s">
        <v>100</v>
      </c>
      <c r="P14">
        <v>23.886114120483398</v>
      </c>
      <c r="Q14">
        <v>24.142057418823242</v>
      </c>
      <c r="R14" s="22">
        <v>18.352754592895508</v>
      </c>
      <c r="S14" s="22">
        <v>19.39991569519043</v>
      </c>
      <c r="T14" s="22">
        <f t="shared" si="1"/>
        <v>-5.1377506256103516</v>
      </c>
      <c r="U14" s="22">
        <f t="shared" si="16"/>
        <v>-2.2554343541463218</v>
      </c>
      <c r="V14">
        <f t="shared" si="2"/>
        <v>4.7747803053075932</v>
      </c>
      <c r="Y14"/>
      <c r="Z14"/>
      <c r="AA14"/>
      <c r="AB14"/>
      <c r="AC14" s="11" t="s">
        <v>27</v>
      </c>
      <c r="AD14" s="6">
        <v>18</v>
      </c>
      <c r="AE14">
        <v>24.16185188293457</v>
      </c>
      <c r="AF14">
        <v>24.008493423461914</v>
      </c>
      <c r="AG14">
        <v>29.445468902587891</v>
      </c>
      <c r="AH14">
        <v>28.585977554321289</v>
      </c>
      <c r="AI14" s="6">
        <f t="shared" si="9"/>
        <v>4.9305505752563477</v>
      </c>
      <c r="AJ14">
        <f t="shared" si="17"/>
        <v>-1.0053698221842451</v>
      </c>
      <c r="AK14">
        <f t="shared" si="11"/>
        <v>2.0074580252766085</v>
      </c>
      <c r="AL14">
        <f t="shared" si="12"/>
        <v>1.0053698221842451</v>
      </c>
      <c r="AM14"/>
      <c r="AN14"/>
      <c r="AO14"/>
      <c r="AP14" s="15" t="s">
        <v>45</v>
      </c>
      <c r="AQ14" s="13">
        <v>48</v>
      </c>
      <c r="AR14">
        <v>22.302639007568359</v>
      </c>
      <c r="AS14">
        <v>21.141641616821289</v>
      </c>
      <c r="AT14">
        <v>25.937450408935547</v>
      </c>
      <c r="AU14">
        <v>25.26801872253418</v>
      </c>
      <c r="AV14" s="6">
        <f t="shared" si="18"/>
        <v>3.8805942535400391</v>
      </c>
      <c r="AW14">
        <f t="shared" si="14"/>
        <v>5.2724418640136719</v>
      </c>
      <c r="AX14">
        <f t="shared" si="5"/>
        <v>2.5872407834936356E-2</v>
      </c>
      <c r="AY14">
        <f t="shared" si="13"/>
        <v>-5.2724418640136719</v>
      </c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</row>
    <row r="15" spans="1:98" x14ac:dyDescent="0.45">
      <c r="B15" s="12" t="s">
        <v>28</v>
      </c>
      <c r="C15" s="13">
        <v>25</v>
      </c>
      <c r="D15">
        <v>21.633312225341797</v>
      </c>
      <c r="E15">
        <v>20.965621948242188</v>
      </c>
      <c r="F15">
        <v>29.55335807800293</v>
      </c>
      <c r="G15">
        <v>27.764247894287109</v>
      </c>
      <c r="H15">
        <f t="shared" si="0"/>
        <v>7.3593358993530273</v>
      </c>
      <c r="I15">
        <f>H15-$H$43</f>
        <v>0.62714640299479196</v>
      </c>
      <c r="J15">
        <f t="shared" si="7"/>
        <v>0.64745579304150069</v>
      </c>
      <c r="N15" s="12" t="s">
        <v>28</v>
      </c>
      <c r="O15" s="13">
        <v>25</v>
      </c>
      <c r="P15">
        <v>21.633312225341797</v>
      </c>
      <c r="Q15">
        <v>20.965621948242188</v>
      </c>
      <c r="R15">
        <v>18.270387649536133</v>
      </c>
      <c r="S15">
        <v>18.349540710449219</v>
      </c>
      <c r="T15">
        <f t="shared" si="1"/>
        <v>-2.9895029067993164</v>
      </c>
      <c r="U15">
        <f>T15-$T$49</f>
        <v>-0.27224795023600246</v>
      </c>
      <c r="V15">
        <f t="shared" si="2"/>
        <v>1.207688134188547</v>
      </c>
      <c r="AC15" s="12" t="s">
        <v>28</v>
      </c>
      <c r="AD15" s="13">
        <v>25</v>
      </c>
      <c r="AE15">
        <v>21.633312225341797</v>
      </c>
      <c r="AF15">
        <v>20.965621948242188</v>
      </c>
      <c r="AG15">
        <v>28.414457321166992</v>
      </c>
      <c r="AH15">
        <v>28.175651550292969</v>
      </c>
      <c r="AI15">
        <f t="shared" si="9"/>
        <v>6.9955873489379883</v>
      </c>
      <c r="AJ15">
        <f>AI15-$AG$37</f>
        <v>-2.0028432210286162E-2</v>
      </c>
      <c r="AK15">
        <f t="shared" si="11"/>
        <v>1.0139794628026642</v>
      </c>
      <c r="AL15">
        <f t="shared" si="12"/>
        <v>2.0028432210286013E-2</v>
      </c>
      <c r="AP15" s="12" t="s">
        <v>46</v>
      </c>
      <c r="AQ15" s="13">
        <v>49</v>
      </c>
      <c r="AR15">
        <v>19.839866638183594</v>
      </c>
      <c r="AS15">
        <v>19.958887100219727</v>
      </c>
      <c r="AT15">
        <v>23.540491104125977</v>
      </c>
      <c r="AU15">
        <v>23.180973052978516</v>
      </c>
      <c r="AV15">
        <f t="shared" si="18"/>
        <v>3.4613552093505859</v>
      </c>
      <c r="AW15">
        <f t="shared" ref="AW15:AW20" si="19">AV15-$H$27</f>
        <v>-3.6590967178344727</v>
      </c>
      <c r="AX15">
        <f t="shared" si="5"/>
        <v>12.632749054456157</v>
      </c>
      <c r="AY15">
        <f t="shared" si="13"/>
        <v>3.6590967178344727</v>
      </c>
    </row>
    <row r="16" spans="1:98" x14ac:dyDescent="0.45">
      <c r="B16" s="14" t="s">
        <v>29</v>
      </c>
      <c r="C16" s="13">
        <v>26</v>
      </c>
      <c r="D16">
        <v>20.730085372924805</v>
      </c>
      <c r="E16">
        <v>21.229768753051758</v>
      </c>
      <c r="F16">
        <v>27.973468780517578</v>
      </c>
      <c r="G16">
        <v>27.581432342529297</v>
      </c>
      <c r="H16">
        <f t="shared" si="0"/>
        <v>6.7975234985351563</v>
      </c>
      <c r="I16">
        <f t="shared" ref="I16:I20" si="20">H16-$H$43</f>
        <v>6.5334002176920869E-2</v>
      </c>
      <c r="J16">
        <f t="shared" si="7"/>
        <v>0.95572402975999327</v>
      </c>
      <c r="N16" s="14" t="s">
        <v>29</v>
      </c>
      <c r="O16" s="13">
        <v>26</v>
      </c>
      <c r="P16">
        <v>20.730085372924805</v>
      </c>
      <c r="Q16">
        <v>21.229768753051758</v>
      </c>
      <c r="R16">
        <v>18.824390411376953</v>
      </c>
      <c r="S16">
        <v>18.718997955322266</v>
      </c>
      <c r="T16">
        <f t="shared" si="1"/>
        <v>-2.2082328796386719</v>
      </c>
      <c r="U16">
        <f t="shared" ref="U16:U20" si="21">T16-$T$49</f>
        <v>0.50902207692464208</v>
      </c>
      <c r="V16">
        <f t="shared" si="2"/>
        <v>0.70269859693499837</v>
      </c>
      <c r="AC16" s="14" t="s">
        <v>29</v>
      </c>
      <c r="AD16" s="13">
        <v>26</v>
      </c>
      <c r="AE16">
        <v>20.730085372924805</v>
      </c>
      <c r="AF16">
        <v>21.229768753051758</v>
      </c>
      <c r="AG16">
        <v>28.629373550415039</v>
      </c>
      <c r="AH16">
        <v>28.780122756958008</v>
      </c>
      <c r="AI16">
        <f t="shared" si="9"/>
        <v>7.7248210906982422</v>
      </c>
      <c r="AJ16">
        <f t="shared" ref="AJ16:AJ20" si="22">AI16-$AG$37</f>
        <v>0.70920530954996774</v>
      </c>
      <c r="AK16">
        <f t="shared" si="11"/>
        <v>0.6116569696302937</v>
      </c>
      <c r="AL16">
        <f t="shared" si="12"/>
        <v>-0.70920530954996785</v>
      </c>
      <c r="AP16" s="14" t="s">
        <v>47</v>
      </c>
      <c r="AQ16" s="13">
        <v>50</v>
      </c>
      <c r="AR16">
        <v>20.922845840454102</v>
      </c>
      <c r="AS16">
        <v>20.756574630737305</v>
      </c>
      <c r="AT16">
        <v>24.36235237121582</v>
      </c>
      <c r="AU16">
        <v>24.237541198730469</v>
      </c>
      <c r="AV16">
        <f t="shared" si="18"/>
        <v>3.4602365493774414</v>
      </c>
      <c r="AW16">
        <f t="shared" si="19"/>
        <v>-3.6602153778076172</v>
      </c>
      <c r="AX16">
        <f t="shared" si="5"/>
        <v>12.642548236254958</v>
      </c>
      <c r="AY16">
        <f t="shared" si="13"/>
        <v>3.6602153778076167</v>
      </c>
    </row>
    <row r="17" spans="1:98" x14ac:dyDescent="0.45">
      <c r="B17" s="14" t="s">
        <v>30</v>
      </c>
      <c r="C17" s="13">
        <v>27</v>
      </c>
      <c r="D17">
        <v>22.786979675292969</v>
      </c>
      <c r="E17">
        <v>22.641023635864258</v>
      </c>
      <c r="F17">
        <v>29.353113174438477</v>
      </c>
      <c r="G17">
        <v>28.154308319091797</v>
      </c>
      <c r="H17">
        <f t="shared" si="0"/>
        <v>6.0397090911865234</v>
      </c>
      <c r="I17">
        <f t="shared" si="20"/>
        <v>-0.69248040517171194</v>
      </c>
      <c r="J17">
        <f t="shared" si="7"/>
        <v>1.6160595997266476</v>
      </c>
      <c r="N17" s="14" t="s">
        <v>30</v>
      </c>
      <c r="O17" s="13">
        <v>27</v>
      </c>
      <c r="P17">
        <v>22.786979675292969</v>
      </c>
      <c r="Q17">
        <v>22.641023635864258</v>
      </c>
      <c r="R17">
        <v>19.747772216796875</v>
      </c>
      <c r="S17">
        <v>19.772172927856445</v>
      </c>
      <c r="T17">
        <f t="shared" si="1"/>
        <v>-2.9540290832519531</v>
      </c>
      <c r="U17">
        <f t="shared" si="21"/>
        <v>-0.23677412668863917</v>
      </c>
      <c r="V17">
        <f t="shared" si="2"/>
        <v>1.1783549060607832</v>
      </c>
      <c r="AC17" s="14" t="s">
        <v>30</v>
      </c>
      <c r="AD17" s="13">
        <v>27</v>
      </c>
      <c r="AE17">
        <v>22.786979675292969</v>
      </c>
      <c r="AF17">
        <v>22.641023635864258</v>
      </c>
      <c r="AG17">
        <v>29.827919006347656</v>
      </c>
      <c r="AH17">
        <v>28.252962112426758</v>
      </c>
      <c r="AI17">
        <f t="shared" si="9"/>
        <v>6.3264389038085938</v>
      </c>
      <c r="AJ17">
        <f t="shared" si="22"/>
        <v>-0.68917687733968069</v>
      </c>
      <c r="AK17">
        <f t="shared" si="11"/>
        <v>1.6123633298847262</v>
      </c>
      <c r="AL17">
        <f t="shared" si="12"/>
        <v>0.68917687733968058</v>
      </c>
      <c r="AP17" s="14" t="s">
        <v>48</v>
      </c>
      <c r="AQ17" s="13">
        <v>51</v>
      </c>
      <c r="AR17">
        <v>19.859399795532227</v>
      </c>
      <c r="AS17">
        <v>19.758081436157227</v>
      </c>
      <c r="AT17">
        <v>23.726654052734375</v>
      </c>
      <c r="AU17">
        <v>23.944591522216797</v>
      </c>
      <c r="AV17">
        <f t="shared" si="18"/>
        <v>4.0268821716308594</v>
      </c>
      <c r="AW17">
        <f t="shared" si="19"/>
        <v>-3.0935697555541992</v>
      </c>
      <c r="AX17">
        <f t="shared" si="5"/>
        <v>8.5360566786175056</v>
      </c>
      <c r="AY17">
        <f t="shared" si="13"/>
        <v>3.0935697555541992</v>
      </c>
    </row>
    <row r="18" spans="1:98" x14ac:dyDescent="0.45">
      <c r="B18" s="14" t="s">
        <v>31</v>
      </c>
      <c r="C18" s="13">
        <v>28</v>
      </c>
      <c r="D18">
        <v>21.162612915039063</v>
      </c>
      <c r="E18">
        <v>21.344795227050781</v>
      </c>
      <c r="F18">
        <v>28.178014755249023</v>
      </c>
      <c r="G18">
        <v>27.013545989990234</v>
      </c>
      <c r="H18">
        <f t="shared" si="0"/>
        <v>6.342076301574707</v>
      </c>
      <c r="I18">
        <f t="shared" si="20"/>
        <v>-0.39011319478352835</v>
      </c>
      <c r="J18">
        <f t="shared" si="7"/>
        <v>1.3104962222036523</v>
      </c>
      <c r="N18" s="14" t="s">
        <v>31</v>
      </c>
      <c r="O18" s="13">
        <v>28</v>
      </c>
      <c r="P18">
        <v>21.162612915039063</v>
      </c>
      <c r="Q18">
        <v>21.344795227050781</v>
      </c>
      <c r="R18">
        <v>18.2720947265625</v>
      </c>
      <c r="S18">
        <v>18.367221832275391</v>
      </c>
      <c r="T18">
        <f t="shared" si="1"/>
        <v>-2.9340457916259766</v>
      </c>
      <c r="U18">
        <f t="shared" si="21"/>
        <v>-0.21679083506266261</v>
      </c>
      <c r="V18">
        <f t="shared" si="2"/>
        <v>1.1621456050087571</v>
      </c>
      <c r="AC18" s="14" t="s">
        <v>31</v>
      </c>
      <c r="AD18" s="13">
        <v>28</v>
      </c>
      <c r="AE18">
        <v>21.162612915039063</v>
      </c>
      <c r="AF18">
        <v>21.344795227050781</v>
      </c>
      <c r="AG18">
        <v>30.248966217041016</v>
      </c>
      <c r="AH18">
        <v>28.047704696655273</v>
      </c>
      <c r="AI18">
        <f t="shared" si="9"/>
        <v>7.8946313858032227</v>
      </c>
      <c r="AJ18">
        <f t="shared" si="22"/>
        <v>0.87901560465494821</v>
      </c>
      <c r="AK18">
        <f t="shared" si="11"/>
        <v>0.5437383141466291</v>
      </c>
      <c r="AL18">
        <f t="shared" si="12"/>
        <v>-0.87901560465494843</v>
      </c>
      <c r="AP18" s="14" t="s">
        <v>49</v>
      </c>
      <c r="AQ18" s="13">
        <v>52</v>
      </c>
      <c r="AR18">
        <v>21.173982620239258</v>
      </c>
      <c r="AS18">
        <v>21.189119338989258</v>
      </c>
      <c r="AT18">
        <v>25.402442932128906</v>
      </c>
      <c r="AU18">
        <v>24.688053131103516</v>
      </c>
      <c r="AV18">
        <f t="shared" si="18"/>
        <v>3.8636970520019531</v>
      </c>
      <c r="AW18">
        <f t="shared" si="19"/>
        <v>-3.2567548751831055</v>
      </c>
      <c r="AX18">
        <f t="shared" si="5"/>
        <v>9.5583054723683087</v>
      </c>
      <c r="AY18">
        <f t="shared" si="13"/>
        <v>3.2567548751831055</v>
      </c>
    </row>
    <row r="19" spans="1:98" x14ac:dyDescent="0.45">
      <c r="B19" s="14" t="s">
        <v>32</v>
      </c>
      <c r="C19" s="13">
        <v>29</v>
      </c>
      <c r="D19">
        <v>23.891290664672852</v>
      </c>
      <c r="E19">
        <v>22.611394882202148</v>
      </c>
      <c r="F19">
        <v>28.107156753540039</v>
      </c>
      <c r="G19">
        <v>29.741828918457031</v>
      </c>
      <c r="H19">
        <f t="shared" si="0"/>
        <v>5.6731500625610352</v>
      </c>
      <c r="I19">
        <f t="shared" si="20"/>
        <v>-1.0590394337972002</v>
      </c>
      <c r="J19">
        <f t="shared" si="7"/>
        <v>2.0835438076272506</v>
      </c>
      <c r="N19" s="14" t="s">
        <v>32</v>
      </c>
      <c r="O19" s="13">
        <v>29</v>
      </c>
      <c r="P19">
        <v>23.891290664672852</v>
      </c>
      <c r="Q19">
        <v>22.611394882202148</v>
      </c>
      <c r="R19">
        <v>21.148244857788086</v>
      </c>
      <c r="S19">
        <v>20.500768661499023</v>
      </c>
      <c r="T19">
        <f t="shared" si="1"/>
        <v>-2.4268360137939453</v>
      </c>
      <c r="U19">
        <f t="shared" si="21"/>
        <v>0.29041894276936864</v>
      </c>
      <c r="V19">
        <f t="shared" si="2"/>
        <v>0.81766458327915914</v>
      </c>
      <c r="AC19" s="14" t="s">
        <v>32</v>
      </c>
      <c r="AD19" s="13">
        <v>29</v>
      </c>
      <c r="AE19">
        <v>23.891290664672852</v>
      </c>
      <c r="AF19">
        <v>22.611394882202148</v>
      </c>
      <c r="AG19">
        <v>27.922695159912109</v>
      </c>
      <c r="AH19">
        <v>28.357686996459961</v>
      </c>
      <c r="AI19">
        <f t="shared" si="9"/>
        <v>4.8888483047485352</v>
      </c>
      <c r="AJ19">
        <f t="shared" si="22"/>
        <v>-2.1267674763997393</v>
      </c>
      <c r="AK19">
        <f t="shared" si="11"/>
        <v>4.3673782224637723</v>
      </c>
      <c r="AL19">
        <f t="shared" si="12"/>
        <v>2.1267674763997393</v>
      </c>
      <c r="AP19" s="14" t="s">
        <v>50</v>
      </c>
      <c r="AQ19" s="13">
        <v>53</v>
      </c>
      <c r="AR19">
        <v>21.494962692260742</v>
      </c>
      <c r="AS19">
        <v>20.850429534912109</v>
      </c>
      <c r="AT19">
        <v>23.826967239379883</v>
      </c>
      <c r="AU19">
        <v>23.657016754150391</v>
      </c>
      <c r="AV19">
        <f t="shared" si="18"/>
        <v>2.5692958831787109</v>
      </c>
      <c r="AW19">
        <f t="shared" si="19"/>
        <v>-4.5511560440063477</v>
      </c>
      <c r="AX19">
        <f t="shared" si="5"/>
        <v>23.444149610172584</v>
      </c>
      <c r="AY19">
        <f t="shared" si="13"/>
        <v>4.5511560440063477</v>
      </c>
    </row>
    <row r="20" spans="1:98" s="6" customFormat="1" ht="14.65" thickBot="1" x14ac:dyDescent="0.5">
      <c r="A20"/>
      <c r="B20" s="15" t="s">
        <v>33</v>
      </c>
      <c r="C20" s="24">
        <v>30</v>
      </c>
      <c r="D20" s="22">
        <v>23.328094482421875</v>
      </c>
      <c r="E20" s="22">
        <v>22.834209442138672</v>
      </c>
      <c r="F20" s="22">
        <v>27.537342071533203</v>
      </c>
      <c r="G20" s="22">
        <v>27.780059814453125</v>
      </c>
      <c r="H20" s="22">
        <f t="shared" si="0"/>
        <v>4.5775489807128906</v>
      </c>
      <c r="I20" s="22">
        <f t="shared" si="20"/>
        <v>-2.1546405156453448</v>
      </c>
      <c r="J20" s="22">
        <f t="shared" si="7"/>
        <v>4.4525768613129211</v>
      </c>
      <c r="K20"/>
      <c r="L20"/>
      <c r="M20"/>
      <c r="N20" s="15" t="s">
        <v>33</v>
      </c>
      <c r="O20" s="24">
        <v>30</v>
      </c>
      <c r="P20" s="22">
        <v>23.328094482421875</v>
      </c>
      <c r="Q20" s="22">
        <v>22.834209442138672</v>
      </c>
      <c r="R20" s="22">
        <v>19.995136260986328</v>
      </c>
      <c r="S20" s="22">
        <v>19.926101684570313</v>
      </c>
      <c r="T20" s="22">
        <f t="shared" si="1"/>
        <v>-3.1205329895019531</v>
      </c>
      <c r="U20" s="22">
        <f t="shared" si="21"/>
        <v>-0.40327803293863917</v>
      </c>
      <c r="V20">
        <f t="shared" si="2"/>
        <v>1.3225094516276581</v>
      </c>
      <c r="X20"/>
      <c r="Y20"/>
      <c r="Z20"/>
      <c r="AA20"/>
      <c r="AB20"/>
      <c r="AC20" s="15" t="s">
        <v>33</v>
      </c>
      <c r="AD20" s="16">
        <v>30</v>
      </c>
      <c r="AE20">
        <v>23.328094482421875</v>
      </c>
      <c r="AF20">
        <v>22.834209442138672</v>
      </c>
      <c r="AG20">
        <v>27.968351364135742</v>
      </c>
      <c r="AH20">
        <v>27.540069580078125</v>
      </c>
      <c r="AI20" s="6">
        <f t="shared" si="9"/>
        <v>4.6730585098266602</v>
      </c>
      <c r="AJ20">
        <f t="shared" si="22"/>
        <v>-2.3425572713216143</v>
      </c>
      <c r="AK20">
        <f t="shared" si="11"/>
        <v>5.0720088799733212</v>
      </c>
      <c r="AL20">
        <f t="shared" si="12"/>
        <v>2.3425572713216143</v>
      </c>
      <c r="AM20"/>
      <c r="AN20"/>
      <c r="AO20"/>
      <c r="AP20" s="15" t="s">
        <v>51</v>
      </c>
      <c r="AQ20" s="13">
        <v>54</v>
      </c>
      <c r="AR20">
        <f>AVERAGE(AR18:AR19)</f>
        <v>21.33447265625</v>
      </c>
      <c r="AS20">
        <v>23.420070648193359</v>
      </c>
      <c r="AT20">
        <v>29.151504516601563</v>
      </c>
      <c r="AU20">
        <v>28.995267868041992</v>
      </c>
      <c r="AV20">
        <f>(AVERAGE(AT20:AU20)-AVERAGE(AR20:AS20))</f>
        <v>6.6961145401000977</v>
      </c>
      <c r="AW20">
        <f t="shared" si="19"/>
        <v>-0.42433738708496094</v>
      </c>
      <c r="AX20">
        <f>2^-AW20</f>
        <v>1.341956016556211</v>
      </c>
      <c r="AY20">
        <f>LOG(AX20,2)</f>
        <v>0.42433738708496099</v>
      </c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</row>
    <row r="21" spans="1:98" x14ac:dyDescent="0.45">
      <c r="B21" s="9" t="s">
        <v>101</v>
      </c>
      <c r="C21" s="18" t="s">
        <v>102</v>
      </c>
      <c r="D21">
        <v>19.232830047607422</v>
      </c>
      <c r="E21">
        <v>18.350856781005859</v>
      </c>
      <c r="F21">
        <v>20.757713317871094</v>
      </c>
      <c r="G21">
        <v>21.118783950805664</v>
      </c>
      <c r="H21">
        <f t="shared" si="0"/>
        <v>2.1464052200317383</v>
      </c>
      <c r="I21">
        <f>H21-$H$44</f>
        <v>1.8702090581258137</v>
      </c>
      <c r="J21">
        <f t="shared" si="7"/>
        <v>0.27353378519561466</v>
      </c>
      <c r="N21" s="9" t="s">
        <v>101</v>
      </c>
      <c r="O21" s="18" t="s">
        <v>102</v>
      </c>
      <c r="P21">
        <v>19.232830047607422</v>
      </c>
      <c r="Q21">
        <v>18.350856781005859</v>
      </c>
      <c r="R21">
        <v>17.396368026733398</v>
      </c>
      <c r="S21">
        <v>16.52155876159668</v>
      </c>
      <c r="T21">
        <f t="shared" si="1"/>
        <v>-1.8328800201416016</v>
      </c>
      <c r="U21">
        <f>T21-$T$50</f>
        <v>0.34699376424153661</v>
      </c>
      <c r="V21">
        <f t="shared" si="2"/>
        <v>0.7862206904134178</v>
      </c>
      <c r="AC21" s="12" t="s">
        <v>34</v>
      </c>
      <c r="AD21" s="13">
        <v>37</v>
      </c>
      <c r="AE21">
        <f>AVERAGE(AF21:AF22)</f>
        <v>22.803471565246582</v>
      </c>
      <c r="AF21">
        <v>23.644309997558594</v>
      </c>
      <c r="AG21">
        <v>29.15998649597168</v>
      </c>
      <c r="AH21">
        <v>29.227071762084961</v>
      </c>
      <c r="AI21">
        <f t="shared" si="9"/>
        <v>5.9696383476257324</v>
      </c>
      <c r="AJ21">
        <f>AI21-$AG$38</f>
        <v>-1.6484136581420898</v>
      </c>
      <c r="AK21">
        <f t="shared" si="11"/>
        <v>3.134887472614134</v>
      </c>
      <c r="AL21">
        <f t="shared" si="12"/>
        <v>1.6484136581420896</v>
      </c>
    </row>
    <row r="22" spans="1:98" x14ac:dyDescent="0.45">
      <c r="B22" s="10" t="s">
        <v>103</v>
      </c>
      <c r="C22" s="18" t="s">
        <v>104</v>
      </c>
      <c r="D22">
        <v>19.631061553955078</v>
      </c>
      <c r="E22">
        <v>18.865997314453125</v>
      </c>
      <c r="F22">
        <v>19.275970458984375</v>
      </c>
      <c r="G22">
        <v>19.196958541870117</v>
      </c>
      <c r="H22">
        <f t="shared" si="0"/>
        <v>-1.2064933776855469E-2</v>
      </c>
      <c r="I22">
        <f t="shared" ref="I22:I26" si="23">H22-$H$44</f>
        <v>-0.28826109568277997</v>
      </c>
      <c r="J22">
        <f t="shared" si="7"/>
        <v>1.2211674968012334</v>
      </c>
      <c r="N22" s="10" t="s">
        <v>103</v>
      </c>
      <c r="O22" s="18" t="s">
        <v>104</v>
      </c>
      <c r="P22">
        <v>19.631061553955078</v>
      </c>
      <c r="Q22">
        <v>18.865997314453125</v>
      </c>
      <c r="R22">
        <v>17.689426422119141</v>
      </c>
      <c r="S22">
        <v>16.776361465454102</v>
      </c>
      <c r="T22">
        <f t="shared" si="1"/>
        <v>-2.0156354904174805</v>
      </c>
      <c r="U22">
        <f t="shared" ref="U22:U26" si="24">T22-$T$50</f>
        <v>0.1642382939656577</v>
      </c>
      <c r="V22">
        <f t="shared" si="2"/>
        <v>0.89239955917368519</v>
      </c>
      <c r="AC22" s="14" t="s">
        <v>35</v>
      </c>
      <c r="AD22" s="13">
        <v>38</v>
      </c>
      <c r="AE22">
        <v>22.447786331176758</v>
      </c>
      <c r="AF22">
        <v>21.96263313293457</v>
      </c>
      <c r="AG22">
        <v>29.499912261962891</v>
      </c>
      <c r="AH22">
        <v>28.750667572021484</v>
      </c>
      <c r="AI22">
        <f t="shared" si="9"/>
        <v>6.9200801849365234</v>
      </c>
      <c r="AJ22">
        <f t="shared" ref="AJ22:AJ26" si="25">AI22-$AG$38</f>
        <v>-0.69797182083129883</v>
      </c>
      <c r="AK22">
        <f t="shared" si="11"/>
        <v>1.6222226250872662</v>
      </c>
      <c r="AL22">
        <f t="shared" si="12"/>
        <v>0.69797182083129872</v>
      </c>
    </row>
    <row r="23" spans="1:98" x14ac:dyDescent="0.45">
      <c r="B23" s="10" t="s">
        <v>105</v>
      </c>
      <c r="C23" s="18" t="s">
        <v>106</v>
      </c>
      <c r="D23">
        <v>20.281583786010742</v>
      </c>
      <c r="E23">
        <v>20.795269012451172</v>
      </c>
      <c r="F23">
        <v>19.756816864013672</v>
      </c>
      <c r="G23">
        <v>18.708532333374023</v>
      </c>
      <c r="H23">
        <f t="shared" si="0"/>
        <v>-1.3057518005371094</v>
      </c>
      <c r="I23">
        <f t="shared" si="23"/>
        <v>-1.5819479624430339</v>
      </c>
      <c r="J23">
        <f t="shared" si="7"/>
        <v>2.9937379884490061</v>
      </c>
      <c r="N23" s="10" t="s">
        <v>105</v>
      </c>
      <c r="O23" s="18" t="s">
        <v>106</v>
      </c>
      <c r="P23">
        <v>20.281583786010742</v>
      </c>
      <c r="Q23">
        <v>20.795269012451172</v>
      </c>
      <c r="R23">
        <v>18.305870056152344</v>
      </c>
      <c r="S23">
        <v>17.388771057128906</v>
      </c>
      <c r="T23">
        <f t="shared" si="1"/>
        <v>-2.691105842590332</v>
      </c>
      <c r="U23">
        <f t="shared" si="24"/>
        <v>-0.51123205820719386</v>
      </c>
      <c r="V23">
        <f t="shared" si="2"/>
        <v>1.4252668505861015</v>
      </c>
      <c r="AC23" s="14" t="s">
        <v>36</v>
      </c>
      <c r="AD23" s="13">
        <v>39</v>
      </c>
      <c r="AE23">
        <v>20.822649002075195</v>
      </c>
      <c r="AF23">
        <v>20.741495132446289</v>
      </c>
      <c r="AG23">
        <v>31.566387176513672</v>
      </c>
      <c r="AH23">
        <v>29.926631927490234</v>
      </c>
      <c r="AI23">
        <f t="shared" si="9"/>
        <v>9.9644374847412109</v>
      </c>
      <c r="AJ23">
        <f t="shared" si="25"/>
        <v>2.3463854789733887</v>
      </c>
      <c r="AK23">
        <f>AVERAGE(AK21:AK22)</f>
        <v>2.3785550488506999</v>
      </c>
      <c r="AL23">
        <f t="shared" si="12"/>
        <v>1.2500854151615735</v>
      </c>
    </row>
    <row r="24" spans="1:98" x14ac:dyDescent="0.45">
      <c r="B24" s="10" t="s">
        <v>107</v>
      </c>
      <c r="C24" s="18" t="s">
        <v>108</v>
      </c>
      <c r="D24">
        <v>20.040353775024414</v>
      </c>
      <c r="E24">
        <v>20.383733749389648</v>
      </c>
      <c r="F24">
        <v>20.777484893798828</v>
      </c>
      <c r="G24">
        <v>21.595983505249023</v>
      </c>
      <c r="H24">
        <f t="shared" si="0"/>
        <v>0.97469043731689453</v>
      </c>
      <c r="I24">
        <f t="shared" si="23"/>
        <v>0.69849427541096998</v>
      </c>
      <c r="J24">
        <f t="shared" si="7"/>
        <v>0.61621500784541017</v>
      </c>
      <c r="N24" s="10" t="s">
        <v>107</v>
      </c>
      <c r="O24" s="18" t="s">
        <v>108</v>
      </c>
      <c r="P24">
        <v>20.040353775024414</v>
      </c>
      <c r="Q24">
        <v>20.383733749389648</v>
      </c>
      <c r="R24">
        <v>17.685344696044922</v>
      </c>
      <c r="S24">
        <v>18.469688415527344</v>
      </c>
      <c r="T24">
        <f t="shared" si="1"/>
        <v>-2.1345272064208984</v>
      </c>
      <c r="U24">
        <f t="shared" si="24"/>
        <v>4.5346577962239731E-2</v>
      </c>
      <c r="V24">
        <f t="shared" si="2"/>
        <v>0.96905699285749447</v>
      </c>
      <c r="AC24" s="14" t="s">
        <v>37</v>
      </c>
      <c r="AD24" s="13">
        <v>40</v>
      </c>
      <c r="AE24">
        <v>18.585508346557617</v>
      </c>
      <c r="AF24">
        <v>18.453964233398438</v>
      </c>
      <c r="AG24">
        <v>28.700799942016602</v>
      </c>
      <c r="AH24">
        <v>28.764259338378906</v>
      </c>
      <c r="AI24">
        <f t="shared" si="9"/>
        <v>10.212793350219727</v>
      </c>
      <c r="AJ24">
        <f t="shared" si="25"/>
        <v>2.5947413444519043</v>
      </c>
      <c r="AK24">
        <f t="shared" si="11"/>
        <v>0.1655407903454231</v>
      </c>
      <c r="AL24">
        <f t="shared" si="12"/>
        <v>-2.5947413444519043</v>
      </c>
    </row>
    <row r="25" spans="1:98" x14ac:dyDescent="0.45">
      <c r="B25" s="10" t="s">
        <v>109</v>
      </c>
      <c r="C25" s="18" t="s">
        <v>110</v>
      </c>
      <c r="D25">
        <v>19.423830032348633</v>
      </c>
      <c r="E25">
        <v>18.991331100463867</v>
      </c>
      <c r="F25">
        <v>19.23101806640625</v>
      </c>
      <c r="G25">
        <v>19.487615585327148</v>
      </c>
      <c r="H25">
        <f t="shared" si="0"/>
        <v>0.15173625946044922</v>
      </c>
      <c r="I25">
        <f t="shared" si="23"/>
        <v>-0.12445990244547528</v>
      </c>
      <c r="J25">
        <f t="shared" si="7"/>
        <v>1.0900995588591529</v>
      </c>
      <c r="N25" s="10" t="s">
        <v>109</v>
      </c>
      <c r="O25" s="18" t="s">
        <v>110</v>
      </c>
      <c r="P25">
        <v>19.423830032348633</v>
      </c>
      <c r="Q25">
        <v>18.991331100463867</v>
      </c>
      <c r="R25">
        <v>17.442348480224609</v>
      </c>
      <c r="S25">
        <v>18.385932922363281</v>
      </c>
      <c r="T25">
        <f t="shared" si="1"/>
        <v>-1.2934398651123047</v>
      </c>
      <c r="U25">
        <f t="shared" si="24"/>
        <v>0.88643391927083348</v>
      </c>
      <c r="V25">
        <f t="shared" si="2"/>
        <v>0.54094959642617424</v>
      </c>
      <c r="AC25" s="14" t="s">
        <v>38</v>
      </c>
      <c r="AD25" s="13">
        <v>41</v>
      </c>
      <c r="AE25">
        <v>19.966827392578125</v>
      </c>
      <c r="AF25">
        <v>20.117240905761719</v>
      </c>
      <c r="AG25">
        <v>29.955465316772461</v>
      </c>
      <c r="AH25">
        <v>27.877138137817383</v>
      </c>
      <c r="AI25">
        <f t="shared" si="9"/>
        <v>8.874267578125</v>
      </c>
      <c r="AJ25">
        <f t="shared" si="25"/>
        <v>1.2562155723571777</v>
      </c>
      <c r="AK25">
        <f t="shared" si="11"/>
        <v>0.41864068437787111</v>
      </c>
      <c r="AL25">
        <f t="shared" si="12"/>
        <v>-1.2562155723571775</v>
      </c>
      <c r="AU25" t="s">
        <v>9</v>
      </c>
      <c r="AV25">
        <f>AVERAGE(AV3:AV5)</f>
        <v>2.9914724032084146</v>
      </c>
    </row>
    <row r="26" spans="1:98" s="6" customFormat="1" ht="14.65" thickBot="1" x14ac:dyDescent="0.5">
      <c r="A26"/>
      <c r="B26" s="11" t="s">
        <v>111</v>
      </c>
      <c r="C26" s="23" t="s">
        <v>112</v>
      </c>
      <c r="D26">
        <v>20.472314834594727</v>
      </c>
      <c r="E26">
        <v>20.986730575561523</v>
      </c>
      <c r="F26" s="22">
        <v>19.26392936706543</v>
      </c>
      <c r="G26" s="22">
        <v>19.411420822143555</v>
      </c>
      <c r="H26" s="22">
        <f t="shared" si="0"/>
        <v>-1.3918476104736328</v>
      </c>
      <c r="I26" s="22">
        <f t="shared" si="23"/>
        <v>-1.6680437723795574</v>
      </c>
      <c r="J26" s="22">
        <f t="shared" si="7"/>
        <v>3.1778340166349843</v>
      </c>
      <c r="K26"/>
      <c r="L26"/>
      <c r="M26"/>
      <c r="N26" s="11" t="s">
        <v>111</v>
      </c>
      <c r="O26" s="23" t="s">
        <v>112</v>
      </c>
      <c r="P26">
        <v>20.472314834594727</v>
      </c>
      <c r="Q26">
        <v>20.986730575561523</v>
      </c>
      <c r="R26" s="22">
        <v>17.860683441162109</v>
      </c>
      <c r="S26" s="22">
        <v>18.964962005615234</v>
      </c>
      <c r="T26" s="22">
        <f t="shared" si="1"/>
        <v>-2.3166999816894531</v>
      </c>
      <c r="U26" s="22">
        <f t="shared" si="24"/>
        <v>-0.13682619730631496</v>
      </c>
      <c r="V26">
        <f t="shared" si="2"/>
        <v>1.0994836856047248</v>
      </c>
      <c r="X26"/>
      <c r="Y26"/>
      <c r="Z26"/>
      <c r="AA26"/>
      <c r="AB26"/>
      <c r="AC26" s="15" t="s">
        <v>39</v>
      </c>
      <c r="AD26" s="16">
        <v>42</v>
      </c>
      <c r="AE26">
        <v>19.546146392822266</v>
      </c>
      <c r="AF26">
        <v>19.319753646850586</v>
      </c>
      <c r="AG26">
        <v>29.284336090087891</v>
      </c>
      <c r="AH26">
        <v>29.053306579589844</v>
      </c>
      <c r="AI26" s="6">
        <f t="shared" si="9"/>
        <v>9.7358713150024414</v>
      </c>
      <c r="AJ26">
        <f t="shared" si="25"/>
        <v>2.1178193092346191</v>
      </c>
      <c r="AK26">
        <f t="shared" si="11"/>
        <v>0.23039490061991719</v>
      </c>
      <c r="AL26">
        <f t="shared" si="12"/>
        <v>-2.1178193092346191</v>
      </c>
      <c r="AM26"/>
      <c r="AN26"/>
      <c r="AO26"/>
      <c r="AP26"/>
      <c r="AQ26"/>
      <c r="AR26"/>
      <c r="AS26"/>
      <c r="AT26"/>
      <c r="AU26" t="s">
        <v>10</v>
      </c>
      <c r="AV26">
        <f>AVERAGE(AV9:AV11)</f>
        <v>3.4448963801066079</v>
      </c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</row>
    <row r="27" spans="1:98" x14ac:dyDescent="0.45">
      <c r="B27" s="12" t="s">
        <v>34</v>
      </c>
      <c r="C27" s="13">
        <v>37</v>
      </c>
      <c r="E27">
        <v>23.644309997558594</v>
      </c>
      <c r="F27">
        <v>30.548727035522461</v>
      </c>
      <c r="G27">
        <v>30.980796813964844</v>
      </c>
      <c r="H27">
        <f t="shared" si="0"/>
        <v>7.1204519271850586</v>
      </c>
      <c r="I27">
        <f>H27-$H$45</f>
        <v>2.518874804178874</v>
      </c>
      <c r="J27">
        <f t="shared" si="7"/>
        <v>0.1744789859930056</v>
      </c>
      <c r="N27" s="12" t="s">
        <v>34</v>
      </c>
      <c r="O27" s="13">
        <v>37</v>
      </c>
      <c r="Q27">
        <v>23.644309997558594</v>
      </c>
      <c r="R27">
        <v>27.015241622924805</v>
      </c>
      <c r="S27">
        <v>27.580282211303711</v>
      </c>
      <c r="T27">
        <f t="shared" ref="T27:T28" si="26">(AVERAGE(R27:S27)-AVERAGE(P27:Q27))</f>
        <v>3.6534519195556641</v>
      </c>
      <c r="U27">
        <f>T27-$T$51</f>
        <v>-0.45632839202880859</v>
      </c>
      <c r="V27">
        <f t="shared" ref="V27:V44" si="27">2^-U27</f>
        <v>1.3720455635601621</v>
      </c>
      <c r="W27">
        <f>LOG(V27,2)</f>
        <v>0.45632839202880848</v>
      </c>
      <c r="AC27" s="9" t="s">
        <v>46</v>
      </c>
      <c r="AD27">
        <v>49</v>
      </c>
      <c r="AE27">
        <v>19.839866638183594</v>
      </c>
      <c r="AF27">
        <v>19.958887100219727</v>
      </c>
      <c r="AG27">
        <v>29.994661331176758</v>
      </c>
      <c r="AH27">
        <v>29.422616958618164</v>
      </c>
      <c r="AI27">
        <f t="shared" si="9"/>
        <v>9.8092622756958008</v>
      </c>
      <c r="AJ27">
        <f>AI27-$AG$39</f>
        <v>0.13019975026448627</v>
      </c>
      <c r="AK27">
        <f t="shared" si="11"/>
        <v>0.91370493323688784</v>
      </c>
      <c r="AL27">
        <f t="shared" si="12"/>
        <v>-0.1301997502644863</v>
      </c>
      <c r="AU27" t="s">
        <v>59</v>
      </c>
      <c r="AV27">
        <f>AVERAGE(AV15:AV17)</f>
        <v>3.6494913101196289</v>
      </c>
    </row>
    <row r="28" spans="1:98" x14ac:dyDescent="0.45">
      <c r="B28" s="14" t="s">
        <v>35</v>
      </c>
      <c r="C28" s="13">
        <v>38</v>
      </c>
      <c r="D28">
        <v>22.447786331176758</v>
      </c>
      <c r="E28">
        <v>21.96263313293457</v>
      </c>
      <c r="F28">
        <v>25.081197738647461</v>
      </c>
      <c r="G28">
        <v>25.104053497314453</v>
      </c>
      <c r="H28">
        <f t="shared" si="0"/>
        <v>2.887415885925293</v>
      </c>
      <c r="I28">
        <f t="shared" ref="I28:I32" si="28">H28-$H$45</f>
        <v>-1.7141612370808916</v>
      </c>
      <c r="J28">
        <f t="shared" si="7"/>
        <v>3.2810583187472964</v>
      </c>
      <c r="N28" s="14" t="s">
        <v>35</v>
      </c>
      <c r="O28" s="13">
        <v>38</v>
      </c>
      <c r="P28">
        <v>22.447786331176758</v>
      </c>
      <c r="Q28">
        <v>21.96263313293457</v>
      </c>
      <c r="R28">
        <v>26.9599609375</v>
      </c>
      <c r="S28">
        <v>26.244173049926758</v>
      </c>
      <c r="T28">
        <f t="shared" si="26"/>
        <v>4.3968572616577148</v>
      </c>
      <c r="U28">
        <f t="shared" ref="U28:U32" si="29">T28-$T$51</f>
        <v>0.28707695007324219</v>
      </c>
      <c r="V28">
        <f t="shared" si="27"/>
        <v>0.81956089295710233</v>
      </c>
      <c r="W28">
        <f t="shared" ref="W28:W44" si="30">LOG(V28,2)</f>
        <v>-0.28707695007324219</v>
      </c>
      <c r="AC28" s="10" t="s">
        <v>47</v>
      </c>
      <c r="AD28">
        <v>50</v>
      </c>
      <c r="AE28">
        <v>20.922845840454102</v>
      </c>
      <c r="AF28">
        <v>20.756574630737305</v>
      </c>
      <c r="AG28">
        <v>30.059211730957031</v>
      </c>
      <c r="AH28">
        <v>29.024120330810547</v>
      </c>
      <c r="AI28">
        <f t="shared" si="9"/>
        <v>8.7019557952880859</v>
      </c>
      <c r="AJ28">
        <f t="shared" ref="AJ28:AJ32" si="31">AI28-$AG$39</f>
        <v>-0.97710673014322857</v>
      </c>
      <c r="AK28">
        <f t="shared" si="11"/>
        <v>1.9685136687273448</v>
      </c>
      <c r="AL28">
        <f t="shared" si="12"/>
        <v>0.97710673014322857</v>
      </c>
    </row>
    <row r="29" spans="1:98" x14ac:dyDescent="0.45">
      <c r="B29" s="14" t="s">
        <v>36</v>
      </c>
      <c r="C29" s="13">
        <v>39</v>
      </c>
      <c r="D29">
        <v>20.822649002075195</v>
      </c>
      <c r="E29">
        <v>20.741495132446289</v>
      </c>
      <c r="F29">
        <v>24.143505096435547</v>
      </c>
      <c r="G29">
        <v>25.014366149902344</v>
      </c>
      <c r="H29">
        <f t="shared" si="0"/>
        <v>3.7968635559082031</v>
      </c>
      <c r="I29">
        <f t="shared" si="28"/>
        <v>-0.80471356709798147</v>
      </c>
      <c r="J29">
        <f t="shared" si="7"/>
        <v>1.7467989476634236</v>
      </c>
      <c r="N29" s="14" t="s">
        <v>36</v>
      </c>
      <c r="O29" s="13">
        <v>39</v>
      </c>
      <c r="P29">
        <v>20.822649002075195</v>
      </c>
      <c r="Q29">
        <v>20.741495132446289</v>
      </c>
      <c r="R29">
        <v>26.025209426879883</v>
      </c>
      <c r="S29">
        <v>24.09699821472168</v>
      </c>
      <c r="T29">
        <f>(AVERAGE(R29:S29)-AVERAGE(P29:Q29))</f>
        <v>4.2790317535400391</v>
      </c>
      <c r="U29">
        <f t="shared" si="29"/>
        <v>0.16925144195556641</v>
      </c>
      <c r="V29">
        <f t="shared" si="27"/>
        <v>0.88930398654459941</v>
      </c>
      <c r="W29">
        <f t="shared" si="30"/>
        <v>-0.16925144195556641</v>
      </c>
      <c r="AC29" s="10" t="s">
        <v>48</v>
      </c>
      <c r="AD29">
        <v>51</v>
      </c>
      <c r="AE29">
        <v>19.859399795532227</v>
      </c>
      <c r="AF29">
        <v>19.758081436157227</v>
      </c>
      <c r="AG29">
        <v>29.964704513549805</v>
      </c>
      <c r="AH29">
        <v>30.704715728759766</v>
      </c>
      <c r="AI29">
        <f t="shared" si="9"/>
        <v>10.525969505310059</v>
      </c>
      <c r="AJ29">
        <f t="shared" si="31"/>
        <v>0.84690697987874408</v>
      </c>
      <c r="AK29">
        <f t="shared" si="11"/>
        <v>0.55597542502734598</v>
      </c>
      <c r="AL29">
        <f t="shared" si="12"/>
        <v>-0.84690697987874397</v>
      </c>
      <c r="AQ29" t="s">
        <v>12</v>
      </c>
      <c r="AR29" t="s">
        <v>7</v>
      </c>
      <c r="AS29" t="s">
        <v>13</v>
      </c>
      <c r="AT29" t="s">
        <v>7</v>
      </c>
    </row>
    <row r="30" spans="1:98" x14ac:dyDescent="0.45">
      <c r="B30" s="14" t="s">
        <v>37</v>
      </c>
      <c r="C30" s="13">
        <v>40</v>
      </c>
      <c r="D30">
        <v>18.585508346557617</v>
      </c>
      <c r="E30">
        <v>18.453964233398438</v>
      </c>
      <c r="F30">
        <v>25.764936447143555</v>
      </c>
      <c r="G30">
        <v>25.324113845825195</v>
      </c>
      <c r="H30">
        <f t="shared" si="0"/>
        <v>7.0247888565063477</v>
      </c>
      <c r="I30">
        <f t="shared" si="28"/>
        <v>2.4232117335001631</v>
      </c>
      <c r="J30">
        <f t="shared" si="7"/>
        <v>0.18644063883816117</v>
      </c>
      <c r="N30" s="14" t="s">
        <v>37</v>
      </c>
      <c r="O30" s="13">
        <v>40</v>
      </c>
      <c r="P30">
        <v>18.585508346557617</v>
      </c>
      <c r="Q30">
        <v>18.453964233398438</v>
      </c>
      <c r="R30">
        <v>24.729209899902344</v>
      </c>
      <c r="S30">
        <v>23.254209518432617</v>
      </c>
      <c r="T30">
        <f t="shared" ref="T30:T36" si="32">(AVERAGE(R30:S30)-AVERAGE(P30:Q30))</f>
        <v>5.4719734191894531</v>
      </c>
      <c r="U30">
        <f t="shared" si="29"/>
        <v>1.3621931076049805</v>
      </c>
      <c r="V30">
        <f t="shared" si="27"/>
        <v>0.38899051763727727</v>
      </c>
      <c r="W30">
        <f t="shared" si="30"/>
        <v>-1.3621931076049805</v>
      </c>
      <c r="AC30" s="10" t="s">
        <v>49</v>
      </c>
      <c r="AD30">
        <v>52</v>
      </c>
      <c r="AE30">
        <v>21.173982620239258</v>
      </c>
      <c r="AF30">
        <v>21.189119338989258</v>
      </c>
      <c r="AG30">
        <v>28.864034652709961</v>
      </c>
      <c r="AH30">
        <v>28.610322952270508</v>
      </c>
      <c r="AI30">
        <f t="shared" si="9"/>
        <v>7.5556278228759766</v>
      </c>
      <c r="AJ30">
        <f t="shared" si="31"/>
        <v>-2.1234347025553379</v>
      </c>
      <c r="AK30">
        <f t="shared" si="11"/>
        <v>4.3573007742831402</v>
      </c>
      <c r="AL30">
        <f t="shared" si="12"/>
        <v>2.1234347025553379</v>
      </c>
      <c r="AP30" t="s">
        <v>10</v>
      </c>
      <c r="AQ30">
        <f>AVERAGE(AX3:AX5)</f>
        <v>0.16296447217258445</v>
      </c>
      <c r="AR30">
        <f>_xlfn.STDEV.S(AX3:AX5)/SQRT(3)</f>
        <v>6.6529867414036603E-2</v>
      </c>
      <c r="AS30">
        <f>AVERAGE(AX6:AX8)</f>
        <v>7.3962145608497135E-2</v>
      </c>
      <c r="AT30">
        <f>_xlfn.STDEV.S(AX6:AX8)/SQRT(3)</f>
        <v>1.4793483059537312E-2</v>
      </c>
    </row>
    <row r="31" spans="1:98" x14ac:dyDescent="0.45">
      <c r="B31" s="14" t="s">
        <v>38</v>
      </c>
      <c r="C31" s="13">
        <v>41</v>
      </c>
      <c r="D31">
        <v>19.966827392578125</v>
      </c>
      <c r="E31">
        <v>20.117240905761719</v>
      </c>
      <c r="F31">
        <v>27.327812194824219</v>
      </c>
      <c r="G31">
        <v>27.708196640014648</v>
      </c>
      <c r="H31">
        <f t="shared" si="0"/>
        <v>7.4759702682495117</v>
      </c>
      <c r="I31">
        <f t="shared" si="28"/>
        <v>2.8743931452433271</v>
      </c>
      <c r="J31">
        <f t="shared" si="7"/>
        <v>0.13637081749507304</v>
      </c>
      <c r="N31" s="14" t="s">
        <v>38</v>
      </c>
      <c r="O31" s="13">
        <v>41</v>
      </c>
      <c r="P31">
        <v>19.966827392578125</v>
      </c>
      <c r="Q31">
        <v>20.117240905761719</v>
      </c>
      <c r="R31">
        <v>26.447994232177734</v>
      </c>
      <c r="S31">
        <v>26.162919998168945</v>
      </c>
      <c r="T31">
        <f t="shared" si="32"/>
        <v>6.263422966003418</v>
      </c>
      <c r="U31">
        <f t="shared" si="29"/>
        <v>2.1536426544189453</v>
      </c>
      <c r="V31">
        <f t="shared" si="27"/>
        <v>0.22474444240268115</v>
      </c>
      <c r="W31">
        <f t="shared" si="30"/>
        <v>-2.1536426544189458</v>
      </c>
      <c r="AC31" s="10" t="s">
        <v>50</v>
      </c>
      <c r="AD31">
        <v>53</v>
      </c>
      <c r="AE31">
        <v>21.494962692260742</v>
      </c>
      <c r="AF31">
        <v>20.850429534912109</v>
      </c>
      <c r="AG31">
        <v>29.733160018920898</v>
      </c>
      <c r="AH31">
        <v>28.947938919067383</v>
      </c>
      <c r="AI31">
        <f t="shared" si="9"/>
        <v>8.1678533554077148</v>
      </c>
      <c r="AJ31">
        <f t="shared" si="31"/>
        <v>-1.5112091700235997</v>
      </c>
      <c r="AK31">
        <f t="shared" si="11"/>
        <v>2.8504884781560369</v>
      </c>
      <c r="AL31">
        <f t="shared" si="12"/>
        <v>1.5112091700235994</v>
      </c>
      <c r="AP31" t="s">
        <v>11</v>
      </c>
      <c r="AQ31">
        <f>AVERAGE(AX9:AX11)</f>
        <v>5.2730861895745385E-2</v>
      </c>
      <c r="AR31">
        <f>_xlfn.STDEV.S(AX9:AX11)/SQRT(3)</f>
        <v>3.0096426049240833E-2</v>
      </c>
      <c r="AS31">
        <f>AVERAGE(AX12:AX14)</f>
        <v>6.0872963878910981E-2</v>
      </c>
      <c r="AT31">
        <f>_xlfn.STDEV.S(AX12:AX14)/SQRT(3)</f>
        <v>1.8874710814437694E-2</v>
      </c>
    </row>
    <row r="32" spans="1:98" s="6" customFormat="1" ht="14.65" thickBot="1" x14ac:dyDescent="0.5">
      <c r="A32"/>
      <c r="B32" s="15" t="s">
        <v>39</v>
      </c>
      <c r="C32" s="24">
        <v>42</v>
      </c>
      <c r="D32" s="22">
        <v>19.546146392822266</v>
      </c>
      <c r="E32" s="22">
        <v>19.319753646850586</v>
      </c>
      <c r="F32" s="22">
        <v>25.048927307128906</v>
      </c>
      <c r="G32" s="22">
        <v>24.949560165405273</v>
      </c>
      <c r="H32" s="22">
        <f t="shared" si="0"/>
        <v>5.5662937164306641</v>
      </c>
      <c r="I32" s="22">
        <f t="shared" si="28"/>
        <v>0.96471659342447946</v>
      </c>
      <c r="J32" s="22">
        <f t="shared" si="7"/>
        <v>0.51237905463722666</v>
      </c>
      <c r="K32"/>
      <c r="L32"/>
      <c r="M32"/>
      <c r="N32" s="15" t="s">
        <v>39</v>
      </c>
      <c r="O32" s="24">
        <v>42</v>
      </c>
      <c r="P32" s="22">
        <v>19.546146392822266</v>
      </c>
      <c r="Q32" s="22">
        <v>19.319753646850586</v>
      </c>
      <c r="R32" s="22">
        <v>22.912817001342773</v>
      </c>
      <c r="S32" s="22">
        <v>22.945905685424805</v>
      </c>
      <c r="T32" s="22">
        <f t="shared" si="32"/>
        <v>3.4964113235473633</v>
      </c>
      <c r="U32" s="22">
        <f t="shared" si="29"/>
        <v>-0.61336898803710938</v>
      </c>
      <c r="V32" s="6">
        <f t="shared" si="27"/>
        <v>1.5298275011484883</v>
      </c>
      <c r="W32">
        <f t="shared" si="30"/>
        <v>0.61336898803710926</v>
      </c>
      <c r="X32"/>
      <c r="Y32"/>
      <c r="Z32"/>
      <c r="AA32"/>
      <c r="AB32"/>
      <c r="AC32" s="11" t="s">
        <v>51</v>
      </c>
      <c r="AD32" s="6">
        <v>54</v>
      </c>
      <c r="AE32">
        <f>AVERAGE(AE30:AE31)</f>
        <v>21.33447265625</v>
      </c>
      <c r="AF32">
        <v>23.420070648193359</v>
      </c>
      <c r="AG32">
        <v>28.232904434204102</v>
      </c>
      <c r="AH32">
        <v>28.570615768432617</v>
      </c>
      <c r="AI32" s="6">
        <f t="shared" si="9"/>
        <v>6.0244884490966797</v>
      </c>
      <c r="AJ32">
        <f t="shared" si="31"/>
        <v>-3.6545740763346348</v>
      </c>
      <c r="AK32">
        <f t="shared" si="11"/>
        <v>12.593209210948245</v>
      </c>
      <c r="AL32">
        <f>LOG(AK32,2)</f>
        <v>3.6545740763346344</v>
      </c>
      <c r="AM32"/>
      <c r="AN32"/>
      <c r="AO32"/>
      <c r="AP32" t="s">
        <v>61</v>
      </c>
      <c r="AQ32">
        <f>AVERAGE(AX15:AX17)</f>
        <v>11.27045132310954</v>
      </c>
      <c r="AR32">
        <f>_xlfn.STDEV.S(AX15:AX17)/SQRT(3)</f>
        <v>1.3672002486664743</v>
      </c>
      <c r="AS32">
        <f>AVERAGE(AX18:AX20)</f>
        <v>11.448137033032367</v>
      </c>
      <c r="AT32">
        <f>_xlfn.STDEV.S(AX18:AX20)/SQRT(3)</f>
        <v>6.4499441317525035</v>
      </c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</row>
    <row r="33" spans="1:98" x14ac:dyDescent="0.45">
      <c r="B33" s="9" t="s">
        <v>52</v>
      </c>
      <c r="C33">
        <v>49</v>
      </c>
      <c r="D33">
        <v>19.839866638183594</v>
      </c>
      <c r="E33">
        <v>19.958887100219727</v>
      </c>
      <c r="F33">
        <v>26.045167922973633</v>
      </c>
      <c r="G33">
        <f>AVERAGE(F33:F34)</f>
        <v>26.76175594329834</v>
      </c>
      <c r="H33">
        <f t="shared" ref="H33:H38" si="33">(AVERAGE(F33:G33)-AVERAGE(D33:E33))</f>
        <v>6.5040850639343262</v>
      </c>
      <c r="I33">
        <f>H33-$H$46</f>
        <v>-0.70475260416666696</v>
      </c>
      <c r="J33">
        <f t="shared" si="7"/>
        <v>1.6298651487538105</v>
      </c>
      <c r="N33" s="12" t="s">
        <v>40</v>
      </c>
      <c r="O33" s="13">
        <v>43</v>
      </c>
      <c r="P33">
        <v>21.514856338500977</v>
      </c>
      <c r="Q33">
        <v>20.881267547607422</v>
      </c>
      <c r="R33">
        <v>26.158147811889648</v>
      </c>
      <c r="S33">
        <v>25.983499526977539</v>
      </c>
      <c r="T33">
        <f t="shared" si="32"/>
        <v>4.8727617263793945</v>
      </c>
      <c r="U33">
        <f>T33-$T$52</f>
        <v>0.25978247324625681</v>
      </c>
      <c r="V33">
        <f t="shared" si="27"/>
        <v>0.83521384185442527</v>
      </c>
      <c r="W33">
        <f t="shared" si="30"/>
        <v>-0.25978247324625675</v>
      </c>
    </row>
    <row r="34" spans="1:98" x14ac:dyDescent="0.45">
      <c r="B34" s="10" t="s">
        <v>53</v>
      </c>
      <c r="C34">
        <v>50</v>
      </c>
      <c r="D34">
        <v>20.922845840454102</v>
      </c>
      <c r="E34">
        <v>20.756574630737305</v>
      </c>
      <c r="F34">
        <v>27.478343963623047</v>
      </c>
      <c r="G34">
        <v>27.989313125610352</v>
      </c>
      <c r="H34">
        <f t="shared" si="33"/>
        <v>6.8941183090209961</v>
      </c>
      <c r="I34">
        <f t="shared" ref="I34:I38" si="34">H34-$H$46</f>
        <v>-0.31471935907999704</v>
      </c>
      <c r="J34">
        <f t="shared" si="7"/>
        <v>1.2437696848915891</v>
      </c>
      <c r="N34" s="14" t="s">
        <v>41</v>
      </c>
      <c r="O34" s="13">
        <v>44</v>
      </c>
      <c r="P34">
        <v>19.935474395751953</v>
      </c>
      <c r="Q34">
        <v>20.273777008056641</v>
      </c>
      <c r="R34">
        <v>25.433828353881836</v>
      </c>
      <c r="S34">
        <v>23.828285217285156</v>
      </c>
      <c r="T34">
        <f t="shared" si="32"/>
        <v>4.5264310836791992</v>
      </c>
      <c r="U34">
        <f t="shared" ref="U34:U38" si="35">T34-$T$52</f>
        <v>-8.6548169453938506E-2</v>
      </c>
      <c r="V34">
        <f t="shared" si="27"/>
        <v>1.0618265861826064</v>
      </c>
      <c r="W34">
        <f t="shared" si="30"/>
        <v>8.6548169453938617E-2</v>
      </c>
    </row>
    <row r="35" spans="1:98" x14ac:dyDescent="0.45">
      <c r="B35" s="10" t="s">
        <v>54</v>
      </c>
      <c r="C35">
        <v>51</v>
      </c>
      <c r="D35">
        <v>19.859399795532227</v>
      </c>
      <c r="E35">
        <v>19.758081436157227</v>
      </c>
      <c r="F35">
        <v>27.988876342773438</v>
      </c>
      <c r="G35">
        <v>28.085224151611328</v>
      </c>
      <c r="H35">
        <f t="shared" si="33"/>
        <v>8.2283096313476563</v>
      </c>
      <c r="I35">
        <f t="shared" si="34"/>
        <v>1.0194719632466631</v>
      </c>
      <c r="J35">
        <f t="shared" si="7"/>
        <v>0.49329686940880829</v>
      </c>
      <c r="N35" s="14" t="s">
        <v>42</v>
      </c>
      <c r="O35" s="13">
        <v>45</v>
      </c>
      <c r="P35">
        <v>19.500825881958008</v>
      </c>
      <c r="Q35">
        <v>19.632417678833008</v>
      </c>
      <c r="R35">
        <v>24.336002349853516</v>
      </c>
      <c r="S35">
        <v>23.676731109619141</v>
      </c>
      <c r="T35">
        <f t="shared" si="32"/>
        <v>4.4397449493408203</v>
      </c>
      <c r="U35">
        <f t="shared" si="35"/>
        <v>-0.17323430379231741</v>
      </c>
      <c r="V35">
        <f t="shared" si="27"/>
        <v>1.1275835247478403</v>
      </c>
      <c r="W35">
        <f t="shared" si="30"/>
        <v>0.17323430379231736</v>
      </c>
      <c r="AD35" s="8"/>
      <c r="AF35" t="s">
        <v>60</v>
      </c>
      <c r="AG35">
        <f>AVERAGE(AI3:AI5)</f>
        <v>3.5823524792989097</v>
      </c>
    </row>
    <row r="36" spans="1:98" x14ac:dyDescent="0.45">
      <c r="B36" s="10" t="s">
        <v>55</v>
      </c>
      <c r="C36">
        <v>52</v>
      </c>
      <c r="D36">
        <v>21.173982620239258</v>
      </c>
      <c r="E36">
        <v>21.189119338989258</v>
      </c>
      <c r="F36">
        <v>28.015754699707031</v>
      </c>
      <c r="G36">
        <v>28.238628387451172</v>
      </c>
      <c r="H36">
        <f t="shared" si="33"/>
        <v>6.9456405639648438</v>
      </c>
      <c r="I36">
        <f t="shared" si="34"/>
        <v>-0.26319710413614938</v>
      </c>
      <c r="J36">
        <f t="shared" si="7"/>
        <v>1.2001353362745257</v>
      </c>
      <c r="N36" s="14" t="s">
        <v>43</v>
      </c>
      <c r="O36" s="13">
        <v>46</v>
      </c>
      <c r="P36">
        <v>21.100166320800781</v>
      </c>
      <c r="Q36">
        <v>22.047357559204102</v>
      </c>
      <c r="S36">
        <v>25.624601364135742</v>
      </c>
      <c r="T36">
        <f t="shared" si="32"/>
        <v>4.0508394241333008</v>
      </c>
      <c r="U36">
        <f t="shared" si="35"/>
        <v>-0.56213982899983694</v>
      </c>
      <c r="V36">
        <f t="shared" si="27"/>
        <v>1.4764575000757238</v>
      </c>
      <c r="W36">
        <f t="shared" si="30"/>
        <v>0.56213982899983683</v>
      </c>
      <c r="AF36" t="s">
        <v>8</v>
      </c>
      <c r="AG36">
        <f>AVERAGE(AI9:AI11)</f>
        <v>5.9359203974405927</v>
      </c>
    </row>
    <row r="37" spans="1:98" x14ac:dyDescent="0.45">
      <c r="B37" s="10" t="s">
        <v>56</v>
      </c>
      <c r="C37">
        <v>53</v>
      </c>
      <c r="D37">
        <v>21.494962692260742</v>
      </c>
      <c r="E37">
        <v>20.850429534912109</v>
      </c>
      <c r="F37">
        <v>30.044534683227539</v>
      </c>
      <c r="G37">
        <v>29.614700317382813</v>
      </c>
      <c r="H37">
        <f t="shared" si="33"/>
        <v>8.65692138671875</v>
      </c>
      <c r="I37">
        <f t="shared" si="34"/>
        <v>1.4480837186177569</v>
      </c>
      <c r="J37">
        <f t="shared" si="7"/>
        <v>0.36650792047338665</v>
      </c>
      <c r="N37" s="14" t="s">
        <v>44</v>
      </c>
      <c r="O37" s="13">
        <v>47</v>
      </c>
      <c r="P37">
        <v>20.984155654907227</v>
      </c>
      <c r="Q37">
        <v>20.072259902954102</v>
      </c>
      <c r="R37">
        <v>25.382270812988281</v>
      </c>
      <c r="S37">
        <v>25.655925750732422</v>
      </c>
      <c r="T37">
        <f>(AVERAGE(R37:S37)-AVERAGE(P37:Q37))</f>
        <v>4.9908905029296875</v>
      </c>
      <c r="U37">
        <f t="shared" si="35"/>
        <v>0.37791124979654978</v>
      </c>
      <c r="V37">
        <f t="shared" si="27"/>
        <v>0.76955094905413324</v>
      </c>
      <c r="W37">
        <f t="shared" si="30"/>
        <v>-0.37791124979654966</v>
      </c>
      <c r="AF37" t="s">
        <v>9</v>
      </c>
      <c r="AG37">
        <f>AVERAGE(AI15:AI17)</f>
        <v>7.0156157811482744</v>
      </c>
    </row>
    <row r="38" spans="1:98" s="6" customFormat="1" ht="14.65" thickBot="1" x14ac:dyDescent="0.5">
      <c r="A38"/>
      <c r="B38" s="11" t="s">
        <v>57</v>
      </c>
      <c r="C38" s="22">
        <v>54</v>
      </c>
      <c r="D38" s="22">
        <v>25.072328567504883</v>
      </c>
      <c r="E38" s="22">
        <v>23.420070648193359</v>
      </c>
      <c r="F38" s="22">
        <v>30.970546722412109</v>
      </c>
      <c r="G38" s="22">
        <v>31.195411682128906</v>
      </c>
      <c r="H38" s="22">
        <f t="shared" si="33"/>
        <v>6.8367795944213867</v>
      </c>
      <c r="I38" s="22">
        <f t="shared" si="34"/>
        <v>-0.37205807367960642</v>
      </c>
      <c r="J38" s="22">
        <f t="shared" si="7"/>
        <v>1.2941977495622976</v>
      </c>
      <c r="K38"/>
      <c r="L38"/>
      <c r="M38"/>
      <c r="N38" s="15" t="s">
        <v>45</v>
      </c>
      <c r="O38" s="24">
        <v>48</v>
      </c>
      <c r="P38" s="22">
        <v>22.302639007568359</v>
      </c>
      <c r="Q38" s="22">
        <v>21.141641616821289</v>
      </c>
      <c r="R38" s="22">
        <v>24.791534423828125</v>
      </c>
      <c r="S38" s="22">
        <v>26.650386810302734</v>
      </c>
      <c r="T38" s="22">
        <f t="shared" ref="T38:T44" si="36">(AVERAGE(R38:S38)-AVERAGE(P38:Q38))</f>
        <v>3.9988203048706055</v>
      </c>
      <c r="U38" s="22">
        <f t="shared" si="35"/>
        <v>-0.61415894826253226</v>
      </c>
      <c r="V38" s="6">
        <f t="shared" si="27"/>
        <v>1.5306654008895535</v>
      </c>
      <c r="W38">
        <f t="shared" si="30"/>
        <v>0.61415894826253226</v>
      </c>
      <c r="X38"/>
      <c r="Y38"/>
      <c r="Z38"/>
      <c r="AA38"/>
      <c r="AB38"/>
      <c r="AC38"/>
      <c r="AD38"/>
      <c r="AE38"/>
      <c r="AF38" t="s">
        <v>10</v>
      </c>
      <c r="AG38">
        <f>AVERAGE(AI21:AI23)</f>
        <v>7.6180520057678223</v>
      </c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</row>
    <row r="39" spans="1:98" x14ac:dyDescent="0.45">
      <c r="N39" s="9" t="s">
        <v>46</v>
      </c>
      <c r="O39">
        <v>49</v>
      </c>
      <c r="P39">
        <v>19.839866638183594</v>
      </c>
      <c r="Q39">
        <v>19.958887100219727</v>
      </c>
      <c r="R39">
        <v>24.070642471313477</v>
      </c>
      <c r="S39">
        <v>25.001577377319336</v>
      </c>
      <c r="T39">
        <f t="shared" si="36"/>
        <v>4.6367330551147461</v>
      </c>
      <c r="U39">
        <f>T39-$T$53</f>
        <v>-4.3084780375163056E-2</v>
      </c>
      <c r="V39">
        <f t="shared" si="27"/>
        <v>1.0303144985590336</v>
      </c>
      <c r="W39">
        <f t="shared" si="30"/>
        <v>4.3084780375162932E-2</v>
      </c>
      <c r="AF39" t="s">
        <v>59</v>
      </c>
      <c r="AG39">
        <f>AVERAGE(AI27:AI29)</f>
        <v>9.6790625254313145</v>
      </c>
    </row>
    <row r="40" spans="1:98" x14ac:dyDescent="0.45">
      <c r="N40" s="10" t="s">
        <v>47</v>
      </c>
      <c r="O40">
        <v>50</v>
      </c>
      <c r="P40">
        <v>20.922845840454102</v>
      </c>
      <c r="Q40">
        <v>20.756574630737305</v>
      </c>
      <c r="R40">
        <v>24.590778350830078</v>
      </c>
      <c r="S40">
        <v>25.542291641235352</v>
      </c>
      <c r="T40">
        <f t="shared" si="36"/>
        <v>4.2268247604370117</v>
      </c>
      <c r="U40">
        <f t="shared" ref="U40:U44" si="37">T40-$T$53</f>
        <v>-0.45299307505289743</v>
      </c>
      <c r="V40">
        <f t="shared" si="27"/>
        <v>1.3688772424549567</v>
      </c>
      <c r="W40">
        <f t="shared" si="30"/>
        <v>0.45299307505289738</v>
      </c>
      <c r="AD40" t="s">
        <v>12</v>
      </c>
      <c r="AE40" t="s">
        <v>7</v>
      </c>
      <c r="AF40" t="s">
        <v>13</v>
      </c>
      <c r="AG40" t="s">
        <v>7</v>
      </c>
    </row>
    <row r="41" spans="1:98" x14ac:dyDescent="0.45">
      <c r="G41" t="s">
        <v>8</v>
      </c>
      <c r="H41">
        <f>AVERAGE(H3:H5)</f>
        <v>1.4061129887898762</v>
      </c>
      <c r="N41" s="10" t="s">
        <v>48</v>
      </c>
      <c r="O41">
        <v>51</v>
      </c>
      <c r="P41">
        <v>19.859399795532227</v>
      </c>
      <c r="Q41">
        <v>19.758081436157227</v>
      </c>
      <c r="R41">
        <v>24.443914413452148</v>
      </c>
      <c r="S41">
        <v>25.525358200073242</v>
      </c>
      <c r="T41">
        <f t="shared" si="36"/>
        <v>5.1758956909179688</v>
      </c>
      <c r="U41">
        <f t="shared" si="37"/>
        <v>0.4960778554280596</v>
      </c>
      <c r="V41">
        <f t="shared" si="27"/>
        <v>0.70903175371692417</v>
      </c>
      <c r="W41">
        <f t="shared" si="30"/>
        <v>-0.49607785542805971</v>
      </c>
      <c r="AC41" t="s">
        <v>60</v>
      </c>
      <c r="AD41">
        <f>AVERAGE(AK3:AK5)</f>
        <v>1.084002486914186</v>
      </c>
      <c r="AE41">
        <f>_xlfn.STDEV.S(AK3:AK5)/SQRT(3)</f>
        <v>0.27075405228618749</v>
      </c>
      <c r="AF41">
        <f>AVERAGE(AK6:AK8)</f>
        <v>4.0155761920538504</v>
      </c>
      <c r="AG41">
        <f>_xlfn.STDEV.S(AK6:AK8)/SQRT(3)</f>
        <v>0.90877506075560821</v>
      </c>
      <c r="AH41" s="8"/>
      <c r="AI41" s="8"/>
      <c r="AK41" s="8"/>
    </row>
    <row r="42" spans="1:98" x14ac:dyDescent="0.45">
      <c r="G42" t="s">
        <v>87</v>
      </c>
      <c r="H42">
        <f>AVERAGE(H9:H11)</f>
        <v>-0.26942507425944012</v>
      </c>
      <c r="N42" s="10" t="s">
        <v>49</v>
      </c>
      <c r="O42">
        <v>52</v>
      </c>
      <c r="P42">
        <v>21.173982620239258</v>
      </c>
      <c r="Q42">
        <v>21.189119338989258</v>
      </c>
      <c r="R42">
        <v>26.356880187988281</v>
      </c>
      <c r="S42">
        <v>26.604270935058594</v>
      </c>
      <c r="T42">
        <f t="shared" si="36"/>
        <v>5.2990245819091797</v>
      </c>
      <c r="U42">
        <f t="shared" si="37"/>
        <v>0.61920674641927054</v>
      </c>
      <c r="V42">
        <f t="shared" si="27"/>
        <v>0.6510287919640656</v>
      </c>
      <c r="W42">
        <f t="shared" si="30"/>
        <v>-0.61920674641927043</v>
      </c>
      <c r="AC42" t="s">
        <v>8</v>
      </c>
      <c r="AD42">
        <f>AVERAGE(AK9:AK11)</f>
        <v>1.4550191743972585</v>
      </c>
      <c r="AE42">
        <f>_xlfn.STDEV.S(AK9:AK11)/SQRT(3)</f>
        <v>0.89746884932314253</v>
      </c>
      <c r="AF42">
        <f>AVERAGE(AK12:AK14)</f>
        <v>0.77761095161918459</v>
      </c>
      <c r="AG42">
        <f>_xlfn.STDEV.S(AK12:AK14)/SQRT(3)</f>
        <v>0.6171025022868617</v>
      </c>
    </row>
    <row r="43" spans="1:98" x14ac:dyDescent="0.45">
      <c r="G43" t="s">
        <v>9</v>
      </c>
      <c r="H43">
        <f>AVERAGE(H15:H17)</f>
        <v>6.7321894963582354</v>
      </c>
      <c r="N43" s="10" t="s">
        <v>50</v>
      </c>
      <c r="O43">
        <v>53</v>
      </c>
      <c r="P43">
        <v>21.494962692260742</v>
      </c>
      <c r="Q43">
        <v>20.850429534912109</v>
      </c>
      <c r="R43">
        <v>27.179788589477539</v>
      </c>
      <c r="S43">
        <v>25.391399383544922</v>
      </c>
      <c r="T43">
        <f t="shared" si="36"/>
        <v>5.1128978729248047</v>
      </c>
      <c r="U43">
        <f t="shared" si="37"/>
        <v>0.43308003743489554</v>
      </c>
      <c r="V43">
        <f t="shared" si="27"/>
        <v>0.74067880669713759</v>
      </c>
      <c r="W43">
        <f t="shared" si="30"/>
        <v>-0.43308003743489554</v>
      </c>
      <c r="AC43" t="s">
        <v>9</v>
      </c>
      <c r="AD43">
        <f>AVERAGE(AK15:AK17)</f>
        <v>1.0793332541058946</v>
      </c>
      <c r="AE43">
        <f>_xlfn.STDEV.S(AK15:AK17)/SQRT(3)</f>
        <v>0.29072131179286836</v>
      </c>
      <c r="AF43">
        <f>AVERAGE(AK18:AK20)</f>
        <v>3.327708472194574</v>
      </c>
      <c r="AG43">
        <f>_xlfn.STDEV.S(AK18:AK20)/SQRT(3)</f>
        <v>1.4067685750863825</v>
      </c>
    </row>
    <row r="44" spans="1:98" ht="14.65" thickBot="1" x14ac:dyDescent="0.5">
      <c r="G44" t="s">
        <v>88</v>
      </c>
      <c r="H44">
        <f>AVERAGE(H21:H23)</f>
        <v>0.2761961619059245</v>
      </c>
      <c r="N44" s="11" t="s">
        <v>51</v>
      </c>
      <c r="O44" s="22">
        <v>54</v>
      </c>
      <c r="P44" s="22">
        <v>25.072328567504883</v>
      </c>
      <c r="Q44" s="22">
        <v>23.420070648193359</v>
      </c>
      <c r="R44" s="22">
        <v>29.635795593261719</v>
      </c>
      <c r="S44" s="22">
        <v>29.312080383300781</v>
      </c>
      <c r="T44" s="22">
        <f t="shared" si="36"/>
        <v>5.2277383804321289</v>
      </c>
      <c r="U44" s="22">
        <f t="shared" si="37"/>
        <v>0.54792054494221976</v>
      </c>
      <c r="V44" s="6">
        <f t="shared" si="27"/>
        <v>0.68400532185672369</v>
      </c>
      <c r="W44">
        <f t="shared" si="30"/>
        <v>-0.54792054494221965</v>
      </c>
      <c r="AC44" t="s">
        <v>10</v>
      </c>
      <c r="AD44">
        <f>AVERAGE(AK21:AK23)</f>
        <v>2.3785550488506999</v>
      </c>
      <c r="AE44">
        <f>_xlfn.STDEV.S(AK21:AK23)/SQRT(3)</f>
        <v>0.43666872845666033</v>
      </c>
      <c r="AF44">
        <f>AVERAGE(AK24:AK26)</f>
        <v>0.27152545844773712</v>
      </c>
      <c r="AG44">
        <f>_xlfn.STDEV.S(AK24:AK26)/SQRT(3)</f>
        <v>7.5902747381610763E-2</v>
      </c>
    </row>
    <row r="45" spans="1:98" x14ac:dyDescent="0.45">
      <c r="G45" t="s">
        <v>10</v>
      </c>
      <c r="H45">
        <f>AVERAGE(H27:H29)</f>
        <v>4.6015771230061846</v>
      </c>
      <c r="AC45" t="s">
        <v>59</v>
      </c>
      <c r="AD45">
        <f>AVERAGE(AK27:AK29)</f>
        <v>1.1460646756638595</v>
      </c>
      <c r="AE45">
        <f>_xlfn.STDEV.S(AK27:AK29)/SQRT(3)</f>
        <v>0.42399267285505288</v>
      </c>
      <c r="AF45">
        <f>AVERAGE(AK30:AK32)</f>
        <v>6.6003328211291405</v>
      </c>
      <c r="AG45">
        <f>_xlfn.STDEV.S(AK30:AK32)/SQRT(3)</f>
        <v>3.0278455702406846</v>
      </c>
    </row>
    <row r="46" spans="1:98" x14ac:dyDescent="0.45">
      <c r="G46" t="s">
        <v>59</v>
      </c>
      <c r="H46">
        <f>AVERAGE(H33:H35)</f>
        <v>7.2088376681009931</v>
      </c>
    </row>
    <row r="47" spans="1:98" x14ac:dyDescent="0.45">
      <c r="S47" t="s">
        <v>8</v>
      </c>
      <c r="T47">
        <f>AVERAGE(T3:T5)</f>
        <v>-2.521189053853353</v>
      </c>
    </row>
    <row r="48" spans="1:98" x14ac:dyDescent="0.45">
      <c r="C48" t="s">
        <v>12</v>
      </c>
      <c r="D48" t="s">
        <v>7</v>
      </c>
      <c r="E48" t="s">
        <v>13</v>
      </c>
      <c r="F48" t="s">
        <v>7</v>
      </c>
      <c r="S48" t="s">
        <v>87</v>
      </c>
      <c r="T48">
        <f>AVERAGE(T9:T11)</f>
        <v>-2.8823162714640298</v>
      </c>
    </row>
    <row r="49" spans="2:20" x14ac:dyDescent="0.45">
      <c r="B49" t="s">
        <v>8</v>
      </c>
      <c r="C49">
        <f>AVERAGE(J3:J5)</f>
        <v>1.0719239638958564</v>
      </c>
      <c r="D49">
        <f>_xlfn.STDEV.S(J3:J5)/SQRT(3)</f>
        <v>0.26982986188376379</v>
      </c>
      <c r="E49">
        <f>AVERAGE(J6:J8)</f>
        <v>0.54100198371470454</v>
      </c>
      <c r="F49">
        <f>_xlfn.STDEV.S(J6:J8)/SQRT(3)</f>
        <v>0.24948313416283172</v>
      </c>
      <c r="S49" t="s">
        <v>9</v>
      </c>
      <c r="T49">
        <f>AVERAGE(T15:T17)</f>
        <v>-2.717254956563314</v>
      </c>
    </row>
    <row r="50" spans="2:20" x14ac:dyDescent="0.45">
      <c r="B50" t="s">
        <v>87</v>
      </c>
      <c r="C50">
        <f>AVERAGE(J9:J11)</f>
        <v>1.1336037171522071</v>
      </c>
      <c r="D50">
        <f>_xlfn.STDEV.S(J9:J11)/SQRT(3)</f>
        <v>0.38997917642956265</v>
      </c>
      <c r="E50">
        <f>AVERAGE(J12:J14)</f>
        <v>2.7102683960858394</v>
      </c>
      <c r="F50">
        <f>_xlfn.STDEV.S(J12:J14)/SQRT(3)</f>
        <v>0.88520768524804683</v>
      </c>
      <c r="S50" t="s">
        <v>88</v>
      </c>
      <c r="T50">
        <f>AVERAGE(T21:T23)</f>
        <v>-2.1798737843831382</v>
      </c>
    </row>
    <row r="51" spans="2:20" x14ac:dyDescent="0.45">
      <c r="B51" t="s">
        <v>9</v>
      </c>
      <c r="C51">
        <f>AVERAGE(J15:J17)</f>
        <v>1.0730798075093804</v>
      </c>
      <c r="D51">
        <f>_xlfn.STDEV.S(J15:J17)/SQRT(3)</f>
        <v>0.2857024194913374</v>
      </c>
      <c r="E51">
        <f>AVERAGE(J18:J20)</f>
        <v>2.615538963714608</v>
      </c>
      <c r="F51">
        <f>_xlfn.STDEV.S(J18:J20)/SQRT(3)</f>
        <v>0.94523926781205991</v>
      </c>
      <c r="S51" t="s">
        <v>10</v>
      </c>
      <c r="T51">
        <f>AVERAGE(T27:T29)</f>
        <v>4.1097803115844727</v>
      </c>
    </row>
    <row r="52" spans="2:20" x14ac:dyDescent="0.45">
      <c r="B52" t="s">
        <v>88</v>
      </c>
      <c r="C52">
        <f>AVERAGE(J21:J23)</f>
        <v>1.4961464234819513</v>
      </c>
      <c r="D52">
        <f>_xlfn.STDEV.S(J21:J23)/SQRT(3)</f>
        <v>0.79720089154453722</v>
      </c>
      <c r="E52">
        <f>AVERAGE(J24:J26)</f>
        <v>1.628049527779849</v>
      </c>
      <c r="F52">
        <f>_xlfn.STDEV.S(J24:J26)/SQRT(3)</f>
        <v>0.78687474931833001</v>
      </c>
      <c r="O52" t="s">
        <v>12</v>
      </c>
      <c r="P52" t="s">
        <v>7</v>
      </c>
      <c r="Q52" t="s">
        <v>13</v>
      </c>
      <c r="R52" t="s">
        <v>7</v>
      </c>
      <c r="S52" t="s">
        <v>11</v>
      </c>
      <c r="T52">
        <f>AVERAGE(T33:T35)</f>
        <v>4.6129792531331377</v>
      </c>
    </row>
    <row r="53" spans="2:20" x14ac:dyDescent="0.45">
      <c r="B53" t="s">
        <v>10</v>
      </c>
      <c r="C53">
        <f>AVERAGE(J27:J29)</f>
        <v>1.7341120841345752</v>
      </c>
      <c r="D53">
        <f>_xlfn.STDEV.S(J27:J29)/SQRT(3)</f>
        <v>0.8968146417652636</v>
      </c>
      <c r="E53">
        <f>AVERAGE(J30:J32)</f>
        <v>0.27839683699015366</v>
      </c>
      <c r="F53">
        <f>_xlfn.STDEV.S(J30:J32)/SQRT(3)</f>
        <v>0.11788059691005678</v>
      </c>
      <c r="N53" t="s">
        <v>8</v>
      </c>
      <c r="O53">
        <f>AVERAGE(V3:V5)</f>
        <v>1.0783917235238645</v>
      </c>
      <c r="P53">
        <f>_xlfn.STDEV.S(V3:V5)/SQRT(3)</f>
        <v>0.3063437542716812</v>
      </c>
      <c r="Q53">
        <f>AVERAGE(V6:V8)</f>
        <v>0.76071064253694232</v>
      </c>
      <c r="R53">
        <f>_xlfn.STDEV.S(V6:V8)/SQRT(3)</f>
        <v>0.11708357041911512</v>
      </c>
      <c r="S53" t="s">
        <v>61</v>
      </c>
      <c r="T53">
        <f>AVERAGE(T39:T41)</f>
        <v>4.6798178354899092</v>
      </c>
    </row>
    <row r="54" spans="2:20" x14ac:dyDescent="0.45">
      <c r="B54" t="s">
        <v>59</v>
      </c>
      <c r="C54">
        <f>AVERAGE(J33:J35)</f>
        <v>1.122310567684736</v>
      </c>
      <c r="D54">
        <f>_xlfn.STDEV.S(J33:J35)/SQRT(3)</f>
        <v>0.33367204521196936</v>
      </c>
      <c r="E54">
        <f>AVERAGE(J30:J32)</f>
        <v>0.27839683699015366</v>
      </c>
      <c r="F54">
        <f>_xlfn.STDEV.S(J36:J38)/SQRT(3)</f>
        <v>0.29480604028221469</v>
      </c>
      <c r="N54" t="s">
        <v>87</v>
      </c>
      <c r="O54">
        <f>AVERAGE(V9:V11)</f>
        <v>1.0154288685129043</v>
      </c>
      <c r="P54">
        <f>_xlfn.STDEV.S(V9:V11)/SQRT(3)</f>
        <v>0.12384791338204784</v>
      </c>
      <c r="Q54">
        <f>AVERAGE(V12:V14)</f>
        <v>3.0060053426534545</v>
      </c>
      <c r="R54">
        <f>_xlfn.STDEV.S(V12:V14)/SQRT(3)</f>
        <v>1.2324135388688355</v>
      </c>
    </row>
    <row r="55" spans="2:20" x14ac:dyDescent="0.45">
      <c r="N55" t="s">
        <v>9</v>
      </c>
      <c r="O55">
        <f>AVERAGE(V15:V17)</f>
        <v>1.0295805457281095</v>
      </c>
      <c r="P55">
        <f>_xlfn.STDEV.S(V15:V17)/SQRT(3)</f>
        <v>0.16366018239346361</v>
      </c>
      <c r="Q55">
        <f>AVERAGE(V18:V20)</f>
        <v>1.1007732133051915</v>
      </c>
      <c r="R55">
        <f>_xlfn.STDEV.S(V18:V20)/SQRT(3)</f>
        <v>0.14893176639210248</v>
      </c>
    </row>
    <row r="56" spans="2:20" x14ac:dyDescent="0.45">
      <c r="N56" t="s">
        <v>88</v>
      </c>
      <c r="O56">
        <f>AVERAGE(V21:V23)</f>
        <v>1.0346290333910682</v>
      </c>
      <c r="P56">
        <f>_xlfn.STDEV.S(V21:V23)/SQRT(3)</f>
        <v>0.19770931204673339</v>
      </c>
      <c r="Q56">
        <f>AVERAGE(V24:V26)</f>
        <v>0.86983009162946445</v>
      </c>
      <c r="R56">
        <f>_xlfn.STDEV.S(V24:V26)/SQRT(3)</f>
        <v>0.16869554987127558</v>
      </c>
    </row>
    <row r="57" spans="2:20" x14ac:dyDescent="0.45">
      <c r="N57" t="s">
        <v>10</v>
      </c>
      <c r="O57">
        <f>AVERAGE(V27:V29)</f>
        <v>1.0269701476872879</v>
      </c>
      <c r="P57">
        <f>_xlfn.STDEV.S(V27:V29)/SQRT(3)</f>
        <v>0.17370838279107015</v>
      </c>
      <c r="Q57">
        <f>AVERAGE(V30:V32)</f>
        <v>0.71452082039614895</v>
      </c>
      <c r="R57">
        <f>_xlfn.STDEV.S(V30:V32)/SQRT(3)</f>
        <v>0.41040140150306509</v>
      </c>
    </row>
    <row r="58" spans="2:20" x14ac:dyDescent="0.45">
      <c r="N58" t="s">
        <v>11</v>
      </c>
      <c r="O58">
        <f>AVERAGE(V33:V35)</f>
        <v>1.0082079842616241</v>
      </c>
      <c r="P58">
        <f>_xlfn.STDEV.S(V33:V35)/SQRT(3)</f>
        <v>8.855548867380568E-2</v>
      </c>
      <c r="Q58">
        <f>AVERAGE(V30:V32)</f>
        <v>0.71452082039614895</v>
      </c>
      <c r="R58">
        <f>_xlfn.STDEV.S(V36:V38)/SQRT(3)</f>
        <v>0.2451700744359373</v>
      </c>
    </row>
    <row r="59" spans="2:20" x14ac:dyDescent="0.45">
      <c r="N59" t="s">
        <v>61</v>
      </c>
      <c r="O59">
        <f>AVERAGE(V39:V41)</f>
        <v>1.0360744982436383</v>
      </c>
      <c r="P59">
        <f>_xlfn.STDEV.S(V39:V41)/SQRT(3)</f>
        <v>0.19050275627862368</v>
      </c>
      <c r="Q59">
        <f>AVERAGE(V42:V44)</f>
        <v>0.69190430683930904</v>
      </c>
      <c r="R59">
        <f>_xlfn.STDEV.S(V42:V44)/SQRT(3)</f>
        <v>2.6179360561495366E-2</v>
      </c>
    </row>
    <row r="68" spans="2:98" x14ac:dyDescent="0.45">
      <c r="AG68" t="s">
        <v>65</v>
      </c>
      <c r="AH68" t="s">
        <v>15</v>
      </c>
      <c r="AT68" t="s">
        <v>65</v>
      </c>
      <c r="AV68" t="s">
        <v>63</v>
      </c>
    </row>
    <row r="69" spans="2:98" s="6" customFormat="1" ht="14.65" thickBot="1" x14ac:dyDescent="0.5">
      <c r="B69"/>
      <c r="C69"/>
      <c r="D69"/>
      <c r="E69"/>
      <c r="F69" t="s">
        <v>65</v>
      </c>
      <c r="G69"/>
      <c r="H69" t="s">
        <v>58</v>
      </c>
      <c r="I69"/>
      <c r="J69"/>
      <c r="K69"/>
      <c r="L69"/>
      <c r="M69"/>
      <c r="N69"/>
      <c r="O69"/>
      <c r="P69"/>
      <c r="Q69"/>
      <c r="R69" t="s">
        <v>65</v>
      </c>
      <c r="S69"/>
      <c r="T69" t="s">
        <v>14</v>
      </c>
      <c r="U69"/>
      <c r="V69"/>
      <c r="W69"/>
      <c r="X69"/>
      <c r="Y69"/>
      <c r="Z69"/>
      <c r="AA69" s="7"/>
      <c r="AB69"/>
      <c r="AC69"/>
      <c r="AD69"/>
      <c r="AE69" s="1" t="s">
        <v>5</v>
      </c>
      <c r="AF69" s="2" t="s">
        <v>0</v>
      </c>
      <c r="AG69" s="2" t="s">
        <v>0</v>
      </c>
      <c r="AH69" s="3" t="s">
        <v>1</v>
      </c>
      <c r="AI69" s="3" t="s">
        <v>1</v>
      </c>
      <c r="AJ69" s="4" t="s">
        <v>2</v>
      </c>
      <c r="AK69" s="4" t="s">
        <v>3</v>
      </c>
      <c r="AL69" s="5" t="s">
        <v>4</v>
      </c>
      <c r="AM69" s="17" t="s">
        <v>66</v>
      </c>
      <c r="AN69"/>
      <c r="AO69"/>
      <c r="AP69"/>
      <c r="AQ69"/>
      <c r="AR69" s="1" t="s">
        <v>5</v>
      </c>
      <c r="AS69" s="2" t="s">
        <v>0</v>
      </c>
      <c r="AT69" s="2" t="s">
        <v>0</v>
      </c>
      <c r="AU69" s="3" t="s">
        <v>1</v>
      </c>
      <c r="AV69" s="3" t="s">
        <v>1</v>
      </c>
      <c r="AW69" s="4" t="s">
        <v>2</v>
      </c>
      <c r="AX69" s="4" t="s">
        <v>3</v>
      </c>
      <c r="AY69" s="5" t="s">
        <v>4</v>
      </c>
      <c r="AZ69" s="17" t="s">
        <v>67</v>
      </c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</row>
    <row r="70" spans="2:98" ht="14.65" thickBot="1" x14ac:dyDescent="0.5">
      <c r="D70" s="1" t="s">
        <v>5</v>
      </c>
      <c r="E70" s="2" t="s">
        <v>0</v>
      </c>
      <c r="F70" s="2" t="s">
        <v>0</v>
      </c>
      <c r="G70" s="3" t="s">
        <v>1</v>
      </c>
      <c r="H70" s="3" t="s">
        <v>1</v>
      </c>
      <c r="I70" s="4" t="s">
        <v>2</v>
      </c>
      <c r="J70" s="4" t="s">
        <v>3</v>
      </c>
      <c r="K70" s="5" t="s">
        <v>4</v>
      </c>
      <c r="L70" s="7" t="s">
        <v>67</v>
      </c>
      <c r="M70" s="7"/>
      <c r="P70" s="1" t="s">
        <v>5</v>
      </c>
      <c r="Q70" s="1"/>
      <c r="R70" s="2" t="s">
        <v>0</v>
      </c>
      <c r="S70" s="2"/>
      <c r="T70" s="3" t="s">
        <v>1</v>
      </c>
      <c r="U70" s="4" t="s">
        <v>2</v>
      </c>
      <c r="V70" s="4" t="s">
        <v>3</v>
      </c>
      <c r="W70" s="5" t="s">
        <v>4</v>
      </c>
      <c r="X70" s="7" t="s">
        <v>67</v>
      </c>
      <c r="Y70" s="7"/>
      <c r="AD70" s="9" t="s">
        <v>16</v>
      </c>
      <c r="AE70">
        <v>1</v>
      </c>
      <c r="AF70">
        <v>24.178667068481445</v>
      </c>
      <c r="AG70">
        <v>24.034212112426758</v>
      </c>
      <c r="AH70">
        <v>29.597381591796875</v>
      </c>
      <c r="AI70">
        <v>28.577678680419922</v>
      </c>
      <c r="AJ70">
        <f>(AVERAGE(AH70:AI70)-AVERAGE('Genes HOJA'!AE77:AF77))</f>
        <v>4.9539213180541992</v>
      </c>
      <c r="AK70">
        <f>AJ70-$AG$35</f>
        <v>1.3715688387552896</v>
      </c>
      <c r="AL70">
        <f>2^-AK70</f>
        <v>0.38647075752204385</v>
      </c>
      <c r="AM70">
        <f>LOG(AL70,2)</f>
        <v>-1.3715688387552896</v>
      </c>
      <c r="AQ70" s="12" t="s">
        <v>34</v>
      </c>
      <c r="AR70" s="13">
        <v>37</v>
      </c>
      <c r="AS70">
        <v>28.46466064453125</v>
      </c>
      <c r="AT70">
        <v>28.247451782226563</v>
      </c>
      <c r="AU70">
        <v>26.918275833129883</v>
      </c>
      <c r="AV70">
        <v>26.943851470947266</v>
      </c>
      <c r="AW70">
        <f t="shared" ref="AW70:AW71" si="38">(AVERAGE(AU70:AV70)-AVERAGE(AS70:AT70))</f>
        <v>-1.424992561340332</v>
      </c>
      <c r="AX70">
        <f t="shared" ref="AX70:AX75" si="39">AW70-$H$25</f>
        <v>-1.5767288208007813</v>
      </c>
      <c r="AY70">
        <f t="shared" ref="AY70:AY86" si="40">2^-AX70</f>
        <v>2.9829273084959591</v>
      </c>
      <c r="AZ70">
        <f>LOG(AY70,2)</f>
        <v>1.5767288208007813</v>
      </c>
    </row>
    <row r="71" spans="2:98" x14ac:dyDescent="0.45">
      <c r="C71" s="9" t="s">
        <v>22</v>
      </c>
      <c r="D71" s="18">
        <v>13</v>
      </c>
      <c r="E71">
        <v>21.284868240356445</v>
      </c>
      <c r="F71">
        <v>21.909469604492188</v>
      </c>
      <c r="G71">
        <v>23.373025894165039</v>
      </c>
      <c r="H71">
        <v>23.521110534667969</v>
      </c>
      <c r="I71">
        <f t="shared" ref="I71:I112" si="41">(AVERAGE(G71:H71)-AVERAGE(E71:F71))</f>
        <v>1.8498992919921875</v>
      </c>
      <c r="J71">
        <f t="shared" ref="J71:J76" si="42">I71-$I$115</f>
        <v>0.58297093709309888</v>
      </c>
      <c r="K71">
        <f t="shared" ref="K71:K112" si="43">2^-J71</f>
        <v>0.66758759997923145</v>
      </c>
      <c r="O71" s="9" t="s">
        <v>22</v>
      </c>
      <c r="P71" s="18">
        <v>13</v>
      </c>
      <c r="Q71">
        <v>21.284868240356445</v>
      </c>
      <c r="R71">
        <v>21.909469604492188</v>
      </c>
      <c r="S71">
        <v>19.613838195800781</v>
      </c>
      <c r="T71">
        <v>19.181236267089844</v>
      </c>
      <c r="U71">
        <f>(AVERAGE(S71:T71)-AVERAGE(Q71:R71))</f>
        <v>-2.1996316909790039</v>
      </c>
      <c r="V71">
        <f t="shared" ref="V71:V76" si="44">U71-$U$115</f>
        <v>0.46074199676513672</v>
      </c>
      <c r="W71">
        <f t="shared" ref="W71:W112" si="45">2^-V71</f>
        <v>0.7266124563353431</v>
      </c>
      <c r="AD71" s="10" t="s">
        <v>17</v>
      </c>
      <c r="AE71">
        <v>2</v>
      </c>
      <c r="AF71">
        <v>28.874662399291992</v>
      </c>
      <c r="AG71">
        <v>29.076265335083008</v>
      </c>
      <c r="AH71">
        <v>28.978958129882813</v>
      </c>
      <c r="AI71">
        <v>27.349374771118164</v>
      </c>
      <c r="AJ71">
        <f>(AVERAGE(AH71:AI71)-AVERAGE('Genes HOJA'!AE78:AF78))</f>
        <v>4.1320400238037109</v>
      </c>
      <c r="AK71">
        <f t="shared" ref="AK71:AK75" si="46">AJ71-$AG$35</f>
        <v>0.54968754450480128</v>
      </c>
      <c r="AL71">
        <f t="shared" ref="AL71:AL74" si="47">2^-AK71</f>
        <v>0.68316807128844859</v>
      </c>
      <c r="AM71">
        <f t="shared" ref="AM71:AM99" si="48">LOG(AL71,2)</f>
        <v>-0.5496875445048014</v>
      </c>
      <c r="AQ71" s="14" t="s">
        <v>35</v>
      </c>
      <c r="AR71" s="13">
        <v>38</v>
      </c>
      <c r="AS71">
        <v>26.077716827392578</v>
      </c>
      <c r="AT71">
        <v>26.038030624389648</v>
      </c>
      <c r="AU71">
        <v>24.149679183959961</v>
      </c>
      <c r="AV71">
        <v>24.083375930786133</v>
      </c>
      <c r="AW71">
        <f t="shared" si="38"/>
        <v>-1.9413461685180664</v>
      </c>
      <c r="AX71">
        <f t="shared" si="39"/>
        <v>-2.0930824279785156</v>
      </c>
      <c r="AY71">
        <f t="shared" si="40"/>
        <v>4.266586886614312</v>
      </c>
      <c r="AZ71">
        <f t="shared" ref="AZ71:AZ87" si="49">LOG(AY71,2)</f>
        <v>2.0930824279785156</v>
      </c>
    </row>
    <row r="72" spans="2:98" x14ac:dyDescent="0.45">
      <c r="C72" s="10" t="s">
        <v>23</v>
      </c>
      <c r="D72" s="18">
        <v>14</v>
      </c>
      <c r="E72">
        <v>24.800493240356445</v>
      </c>
      <c r="F72">
        <v>24.307313919067383</v>
      </c>
      <c r="G72">
        <v>26.720930099487305</v>
      </c>
      <c r="H72">
        <v>24.680517196655273</v>
      </c>
      <c r="I72">
        <f t="shared" si="41"/>
        <v>1.146820068359375</v>
      </c>
      <c r="J72">
        <f t="shared" si="42"/>
        <v>-0.12010828653971362</v>
      </c>
      <c r="K72">
        <f t="shared" si="43"/>
        <v>1.086816434286562</v>
      </c>
      <c r="O72" s="10" t="s">
        <v>23</v>
      </c>
      <c r="P72" s="18">
        <v>14</v>
      </c>
      <c r="Q72">
        <v>24.800493240356445</v>
      </c>
      <c r="R72">
        <v>24.307313919067383</v>
      </c>
      <c r="S72">
        <v>21.626813888549805</v>
      </c>
      <c r="T72">
        <v>20.894906997680664</v>
      </c>
      <c r="U72">
        <f t="shared" ref="U72:U82" si="50">(AVERAGE(S72:T72)-AVERAGE(Q72:R72))</f>
        <v>-3.2930431365966797</v>
      </c>
      <c r="V72">
        <f t="shared" si="44"/>
        <v>-0.63266944885253906</v>
      </c>
      <c r="W72">
        <f t="shared" si="45"/>
        <v>1.5504311362891547</v>
      </c>
      <c r="AD72" s="10" t="s">
        <v>18</v>
      </c>
      <c r="AE72">
        <v>3</v>
      </c>
      <c r="AF72">
        <v>28.219648361206055</v>
      </c>
      <c r="AG72">
        <v>28.356605529785156</v>
      </c>
      <c r="AH72">
        <v>26.972911834716797</v>
      </c>
      <c r="AI72">
        <v>27.860635757446289</v>
      </c>
      <c r="AJ72">
        <f>(AVERAGE(AH72:AI72)-AVERAGE('Genes HOJA'!AE79:AF79))</f>
        <v>3.2579441070556641</v>
      </c>
      <c r="AK72">
        <f t="shared" si="46"/>
        <v>-0.32440837224324559</v>
      </c>
      <c r="AL72">
        <f t="shared" si="47"/>
        <v>1.252150844903865</v>
      </c>
      <c r="AM72">
        <f t="shared" si="48"/>
        <v>0.32440837224324559</v>
      </c>
      <c r="AQ72" s="14" t="s">
        <v>36</v>
      </c>
      <c r="AR72" s="13">
        <v>39</v>
      </c>
      <c r="AS72">
        <v>25.821271896362305</v>
      </c>
      <c r="AT72">
        <v>25.893802642822266</v>
      </c>
      <c r="AU72">
        <v>24.111957550048828</v>
      </c>
      <c r="AV72">
        <v>24.164039611816406</v>
      </c>
      <c r="AW72">
        <f>(AVERAGE(AU72:AV72)-AVERAGE(AS72:AT72))</f>
        <v>-1.719538688659668</v>
      </c>
      <c r="AX72">
        <f t="shared" si="39"/>
        <v>-1.8712749481201172</v>
      </c>
      <c r="AY72">
        <f t="shared" si="40"/>
        <v>3.6585575376818351</v>
      </c>
      <c r="AZ72">
        <f t="shared" si="49"/>
        <v>1.8712749481201172</v>
      </c>
    </row>
    <row r="73" spans="2:98" x14ac:dyDescent="0.45">
      <c r="C73" s="10" t="s">
        <v>24</v>
      </c>
      <c r="D73" s="18">
        <v>15</v>
      </c>
      <c r="E73">
        <v>22.700410842895508</v>
      </c>
      <c r="F73">
        <v>21.756250381469727</v>
      </c>
      <c r="G73">
        <v>23.224050521850586</v>
      </c>
      <c r="H73">
        <v>22.840742111206055</v>
      </c>
      <c r="I73">
        <f t="shared" si="41"/>
        <v>0.80406570434570313</v>
      </c>
      <c r="J73">
        <f t="shared" si="42"/>
        <v>-0.46286265055338549</v>
      </c>
      <c r="K73">
        <f t="shared" si="43"/>
        <v>1.3782739303902689</v>
      </c>
      <c r="O73" s="10" t="s">
        <v>24</v>
      </c>
      <c r="P73" s="18">
        <v>15</v>
      </c>
      <c r="Q73">
        <v>22.700410842895508</v>
      </c>
      <c r="R73">
        <v>21.756250381469727</v>
      </c>
      <c r="S73">
        <v>19.684675216674805</v>
      </c>
      <c r="T73">
        <v>19.795093536376953</v>
      </c>
      <c r="U73">
        <f t="shared" si="50"/>
        <v>-2.4884462356567383</v>
      </c>
      <c r="V73">
        <f t="shared" si="44"/>
        <v>0.17192745208740234</v>
      </c>
      <c r="W73">
        <f t="shared" si="45"/>
        <v>0.88765597315372713</v>
      </c>
      <c r="AD73" s="10" t="s">
        <v>19</v>
      </c>
      <c r="AE73">
        <v>4</v>
      </c>
      <c r="AF73">
        <v>29.816877365112305</v>
      </c>
      <c r="AG73">
        <v>29.626153945922852</v>
      </c>
      <c r="AH73">
        <v>28.039314270019531</v>
      </c>
      <c r="AI73">
        <v>28.311746597290039</v>
      </c>
      <c r="AJ73">
        <f>(AVERAGE(AH73:AI73)-AVERAGE('Genes HOJA'!AE80:AF80))</f>
        <v>3.9070615768432617</v>
      </c>
      <c r="AK73">
        <f t="shared" si="46"/>
        <v>0.32470909754435207</v>
      </c>
      <c r="AL73">
        <f t="shared" si="47"/>
        <v>0.79845937004955614</v>
      </c>
      <c r="AM73">
        <f t="shared" si="48"/>
        <v>-0.32470909754435207</v>
      </c>
      <c r="AQ73" s="14" t="s">
        <v>37</v>
      </c>
      <c r="AR73" s="13">
        <v>40</v>
      </c>
      <c r="AS73">
        <v>23.456048965454102</v>
      </c>
      <c r="AT73">
        <v>23.970487594604492</v>
      </c>
      <c r="AU73">
        <v>22.913095474243164</v>
      </c>
      <c r="AV73">
        <v>23.036960601806641</v>
      </c>
      <c r="AW73">
        <f t="shared" ref="AW73:AW77" si="51">(AVERAGE(AU73:AV73)-AVERAGE(AS73:AT73))</f>
        <v>-0.73824024200439453</v>
      </c>
      <c r="AX73">
        <f t="shared" si="39"/>
        <v>-0.88997650146484375</v>
      </c>
      <c r="AY73">
        <f t="shared" si="40"/>
        <v>1.8531459395987639</v>
      </c>
      <c r="AZ73">
        <f t="shared" si="49"/>
        <v>0.88997650146484353</v>
      </c>
    </row>
    <row r="74" spans="2:98" x14ac:dyDescent="0.45">
      <c r="C74" s="10" t="s">
        <v>25</v>
      </c>
      <c r="D74" s="18">
        <v>16</v>
      </c>
      <c r="E74">
        <v>23.723972320556641</v>
      </c>
      <c r="F74">
        <v>23.676177978515625</v>
      </c>
      <c r="G74">
        <v>26.621055603027344</v>
      </c>
      <c r="H74">
        <v>26.4608154296875</v>
      </c>
      <c r="I74">
        <f t="shared" si="41"/>
        <v>2.8408603668212891</v>
      </c>
      <c r="J74">
        <f t="shared" si="42"/>
        <v>1.5739320119222004</v>
      </c>
      <c r="K74">
        <f t="shared" si="43"/>
        <v>0.33589168520306578</v>
      </c>
      <c r="O74" s="10" t="s">
        <v>25</v>
      </c>
      <c r="P74" s="18">
        <v>16</v>
      </c>
      <c r="Q74">
        <v>23.723972320556641</v>
      </c>
      <c r="R74">
        <v>23.676177978515625</v>
      </c>
      <c r="S74">
        <v>20.653175354003906</v>
      </c>
      <c r="T74">
        <v>20.583921432495117</v>
      </c>
      <c r="U74">
        <f t="shared" si="50"/>
        <v>-3.0815267562866211</v>
      </c>
      <c r="V74">
        <f t="shared" si="44"/>
        <v>-0.42115306854248047</v>
      </c>
      <c r="W74">
        <f t="shared" si="45"/>
        <v>1.3389973157567299</v>
      </c>
      <c r="AD74" s="10" t="s">
        <v>20</v>
      </c>
      <c r="AE74">
        <v>5</v>
      </c>
      <c r="AF74">
        <v>32.802696228027344</v>
      </c>
      <c r="AG74">
        <v>32.920795440673828</v>
      </c>
      <c r="AH74">
        <v>30.757711410522461</v>
      </c>
      <c r="AI74">
        <v>30.088790893554688</v>
      </c>
      <c r="AJ74">
        <f>(AVERAGE(AH74:AI74)-AVERAGE('Genes HOJA'!AE81:AF81))</f>
        <v>5.7934989929199219</v>
      </c>
      <c r="AK74">
        <f t="shared" si="46"/>
        <v>2.2111465136210122</v>
      </c>
      <c r="AL74">
        <f t="shared" si="47"/>
        <v>0.21596261354444779</v>
      </c>
      <c r="AM74">
        <f t="shared" si="48"/>
        <v>-2.2111465136210122</v>
      </c>
      <c r="AQ74" s="14" t="s">
        <v>38</v>
      </c>
      <c r="AR74" s="13">
        <v>41</v>
      </c>
      <c r="AS74">
        <v>24.723295211791992</v>
      </c>
      <c r="AT74">
        <v>24.641563415527344</v>
      </c>
      <c r="AU74">
        <v>24.1094970703125</v>
      </c>
      <c r="AV74">
        <v>23.957035064697266</v>
      </c>
      <c r="AW74">
        <f t="shared" si="51"/>
        <v>-0.64916324615478516</v>
      </c>
      <c r="AX74">
        <f t="shared" si="39"/>
        <v>-0.80089950561523438</v>
      </c>
      <c r="AY74">
        <f t="shared" si="40"/>
        <v>1.7421870238402772</v>
      </c>
      <c r="AZ74">
        <f t="shared" si="49"/>
        <v>0.80089950561523449</v>
      </c>
    </row>
    <row r="75" spans="2:98" s="6" customFormat="1" ht="14.65" thickBot="1" x14ac:dyDescent="0.5">
      <c r="B75"/>
      <c r="C75" s="10" t="s">
        <v>26</v>
      </c>
      <c r="D75" s="18">
        <v>17</v>
      </c>
      <c r="E75">
        <v>22.567632675170898</v>
      </c>
      <c r="F75">
        <v>21.779718399047852</v>
      </c>
      <c r="G75">
        <v>24.655250549316406</v>
      </c>
      <c r="H75">
        <v>23.449985504150391</v>
      </c>
      <c r="I75">
        <f t="shared" si="41"/>
        <v>1.8789424896240234</v>
      </c>
      <c r="J75">
        <f t="shared" si="42"/>
        <v>0.61201413472493482</v>
      </c>
      <c r="K75">
        <f t="shared" si="43"/>
        <v>0.65428262539823834</v>
      </c>
      <c r="L75"/>
      <c r="M75"/>
      <c r="N75"/>
      <c r="O75" s="10" t="s">
        <v>26</v>
      </c>
      <c r="P75" s="18">
        <v>17</v>
      </c>
      <c r="Q75">
        <v>22.567632675170898</v>
      </c>
      <c r="R75">
        <v>21.779718399047852</v>
      </c>
      <c r="S75">
        <v>19.605207443237305</v>
      </c>
      <c r="T75">
        <v>19.743799209594727</v>
      </c>
      <c r="U75">
        <f t="shared" si="50"/>
        <v>-2.4991722106933594</v>
      </c>
      <c r="V75">
        <f t="shared" si="44"/>
        <v>0.16120147705078125</v>
      </c>
      <c r="W75">
        <f t="shared" si="45"/>
        <v>0.89428000395292417</v>
      </c>
      <c r="X75"/>
      <c r="Y75"/>
      <c r="Z75"/>
      <c r="AA75"/>
      <c r="AB75"/>
      <c r="AC75"/>
      <c r="AD75" s="11" t="s">
        <v>21</v>
      </c>
      <c r="AE75" s="6">
        <v>6</v>
      </c>
      <c r="AF75" s="6">
        <v>32.298519134521484</v>
      </c>
      <c r="AG75" s="6">
        <v>32.154792785644531</v>
      </c>
      <c r="AH75" s="6">
        <v>28.538774490356445</v>
      </c>
      <c r="AI75" s="6">
        <v>28.614933013916016</v>
      </c>
      <c r="AJ75" s="6">
        <f>(AVERAGE(AH75:AI75)-AVERAGE('Genes HOJA'!AE82:AF82))</f>
        <v>4.7556381225585938</v>
      </c>
      <c r="AK75" s="6">
        <f t="shared" si="46"/>
        <v>1.1732856432596841</v>
      </c>
      <c r="AL75" s="6">
        <f>2^-AK75</f>
        <v>0.44341035181838573</v>
      </c>
      <c r="AM75">
        <f t="shared" si="48"/>
        <v>-1.1732856432596841</v>
      </c>
      <c r="AN75"/>
      <c r="AO75"/>
      <c r="AP75"/>
      <c r="AQ75" s="15" t="s">
        <v>39</v>
      </c>
      <c r="AR75" s="13">
        <v>42</v>
      </c>
      <c r="AS75">
        <v>28.548709869384766</v>
      </c>
      <c r="AT75">
        <v>23.964010238647461</v>
      </c>
      <c r="AU75">
        <v>22.925621032714844</v>
      </c>
      <c r="AV75">
        <v>22.847755432128906</v>
      </c>
      <c r="AW75">
        <f t="shared" si="51"/>
        <v>-3.3696718215942383</v>
      </c>
      <c r="AX75">
        <f t="shared" si="39"/>
        <v>-3.5214080810546875</v>
      </c>
      <c r="AY75">
        <f t="shared" si="40"/>
        <v>11.482843857409504</v>
      </c>
      <c r="AZ75">
        <f t="shared" si="49"/>
        <v>3.5214080810546875</v>
      </c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</row>
    <row r="76" spans="2:98" ht="14.65" thickBot="1" x14ac:dyDescent="0.5">
      <c r="C76" s="11" t="s">
        <v>27</v>
      </c>
      <c r="D76" s="19">
        <v>18</v>
      </c>
      <c r="E76">
        <v>24.220592498779297</v>
      </c>
      <c r="F76">
        <v>23.636730194091797</v>
      </c>
      <c r="G76">
        <v>25.487449645996094</v>
      </c>
      <c r="H76">
        <v>25.427541732788086</v>
      </c>
      <c r="I76">
        <f t="shared" si="41"/>
        <v>1.528834342956543</v>
      </c>
      <c r="J76">
        <f t="shared" si="42"/>
        <v>0.26190598805745435</v>
      </c>
      <c r="K76">
        <f t="shared" si="43"/>
        <v>0.8339853879722916</v>
      </c>
      <c r="L76" s="6"/>
      <c r="O76" s="11" t="s">
        <v>27</v>
      </c>
      <c r="P76" s="19">
        <v>18</v>
      </c>
      <c r="Q76">
        <v>24.220592498779297</v>
      </c>
      <c r="R76">
        <v>23.636730194091797</v>
      </c>
      <c r="S76">
        <v>21.991939544677734</v>
      </c>
      <c r="T76">
        <v>21.239625930786133</v>
      </c>
      <c r="U76">
        <f t="shared" si="50"/>
        <v>-2.3128786087036133</v>
      </c>
      <c r="V76">
        <f t="shared" si="44"/>
        <v>0.34749507904052734</v>
      </c>
      <c r="W76">
        <f t="shared" si="45"/>
        <v>0.78594753802530015</v>
      </c>
      <c r="X76" s="6"/>
      <c r="AD76" s="9" t="s">
        <v>22</v>
      </c>
      <c r="AE76">
        <v>13</v>
      </c>
      <c r="AF76">
        <v>25.93670654296875</v>
      </c>
      <c r="AG76">
        <v>25.985652923583984</v>
      </c>
      <c r="AH76">
        <v>30.384269714355469</v>
      </c>
      <c r="AI76">
        <v>28.845123291015625</v>
      </c>
      <c r="AJ76">
        <f>(AVERAGE(AH76:AI76)-AVERAGE('Genes HOJA'!AE83:AF83))</f>
        <v>6.111393928527832</v>
      </c>
      <c r="AK76">
        <f>AJ76-$AG$36</f>
        <v>0.17547353108723929</v>
      </c>
      <c r="AL76">
        <f t="shared" ref="AL76:AL89" si="52">2^-AK76</f>
        <v>0.8854768342267989</v>
      </c>
      <c r="AM76">
        <f t="shared" si="48"/>
        <v>-0.17547353108723937</v>
      </c>
      <c r="AQ76" s="12" t="s">
        <v>40</v>
      </c>
      <c r="AR76" s="13">
        <v>43</v>
      </c>
      <c r="AS76">
        <v>24.271867752075195</v>
      </c>
      <c r="AT76">
        <v>23.987945556640625</v>
      </c>
      <c r="AU76">
        <v>23.698894500732422</v>
      </c>
      <c r="AV76">
        <v>22.256195068359375</v>
      </c>
      <c r="AW76">
        <f t="shared" si="51"/>
        <v>-1.1523618698120117</v>
      </c>
      <c r="AX76">
        <f t="shared" ref="AX76:AX81" si="53">AW76-$H$26</f>
        <v>0.23948574066162109</v>
      </c>
      <c r="AY76">
        <f t="shared" si="40"/>
        <v>0.84704719480482316</v>
      </c>
      <c r="AZ76">
        <f t="shared" si="49"/>
        <v>-0.23948574066162123</v>
      </c>
    </row>
    <row r="77" spans="2:98" x14ac:dyDescent="0.45">
      <c r="C77" s="9" t="s">
        <v>89</v>
      </c>
      <c r="D77" s="18" t="s">
        <v>90</v>
      </c>
      <c r="E77">
        <v>19.815937042236328</v>
      </c>
      <c r="F77">
        <v>16.608829498291016</v>
      </c>
      <c r="G77">
        <v>20.57823371887207</v>
      </c>
      <c r="H77">
        <v>19.895570755004883</v>
      </c>
      <c r="I77">
        <f t="shared" si="41"/>
        <v>2.0245189666748047</v>
      </c>
      <c r="J77">
        <f t="shared" ref="J77:J82" si="54">I77-$I$116</f>
        <v>1.753949483235677</v>
      </c>
      <c r="K77">
        <f t="shared" si="43"/>
        <v>0.29648900639742487</v>
      </c>
      <c r="O77" s="9" t="s">
        <v>89</v>
      </c>
      <c r="P77" s="18" t="s">
        <v>90</v>
      </c>
      <c r="Q77">
        <v>19.815937042236328</v>
      </c>
      <c r="S77">
        <v>17.160327911376953</v>
      </c>
      <c r="T77">
        <v>16.950372695922852</v>
      </c>
      <c r="U77">
        <f t="shared" si="50"/>
        <v>-2.7605867385864258</v>
      </c>
      <c r="V77">
        <f t="shared" ref="V77:V82" si="55">U77-$U$116</f>
        <v>-0.26543585459391261</v>
      </c>
      <c r="W77">
        <f t="shared" si="45"/>
        <v>1.2019991322984789</v>
      </c>
      <c r="AD77" s="10" t="s">
        <v>23</v>
      </c>
      <c r="AE77">
        <v>14</v>
      </c>
      <c r="AF77">
        <v>27.826032638549805</v>
      </c>
      <c r="AG77">
        <v>27.974365234375</v>
      </c>
      <c r="AH77">
        <v>27.827814102172852</v>
      </c>
      <c r="AI77">
        <v>27.808982849121094</v>
      </c>
      <c r="AJ77">
        <f>(AVERAGE(AH77:AI77)-AVERAGE('Genes HOJA'!AE84:AF84))</f>
        <v>4.6532087326049805</v>
      </c>
      <c r="AK77">
        <f t="shared" ref="AK77:AK81" si="56">AJ77-$AG$36</f>
        <v>-1.2827116648356123</v>
      </c>
      <c r="AL77">
        <f t="shared" si="52"/>
        <v>2.4329584207521222</v>
      </c>
      <c r="AM77">
        <f t="shared" si="48"/>
        <v>1.2827116648356123</v>
      </c>
      <c r="AQ77" s="14" t="s">
        <v>41</v>
      </c>
      <c r="AR77" s="13">
        <v>44</v>
      </c>
      <c r="AS77">
        <v>24.207023620605469</v>
      </c>
      <c r="AT77">
        <v>24.640312194824219</v>
      </c>
      <c r="AU77">
        <v>23.646625518798828</v>
      </c>
      <c r="AV77">
        <v>23.31834602355957</v>
      </c>
      <c r="AW77">
        <f t="shared" si="51"/>
        <v>-0.94118213653564453</v>
      </c>
      <c r="AX77">
        <f t="shared" si="53"/>
        <v>0.45066547393798828</v>
      </c>
      <c r="AY77">
        <f t="shared" si="40"/>
        <v>0.73170525542216613</v>
      </c>
      <c r="AZ77">
        <f t="shared" si="49"/>
        <v>-0.45066547393798839</v>
      </c>
    </row>
    <row r="78" spans="2:98" x14ac:dyDescent="0.45">
      <c r="C78" s="10" t="s">
        <v>91</v>
      </c>
      <c r="D78" s="18" t="s">
        <v>92</v>
      </c>
      <c r="E78">
        <v>19.375036239624023</v>
      </c>
      <c r="F78">
        <v>21.857366561889648</v>
      </c>
      <c r="G78">
        <v>19.618621826171875</v>
      </c>
      <c r="H78">
        <v>19.929195404052734</v>
      </c>
      <c r="I78">
        <f t="shared" si="41"/>
        <v>-0.84229278564453125</v>
      </c>
      <c r="J78">
        <f t="shared" si="54"/>
        <v>-1.1128622690836589</v>
      </c>
      <c r="K78">
        <f t="shared" si="43"/>
        <v>2.162743044798662</v>
      </c>
      <c r="O78" s="10" t="s">
        <v>91</v>
      </c>
      <c r="P78" s="18" t="s">
        <v>92</v>
      </c>
      <c r="Q78">
        <v>19.375036239624023</v>
      </c>
      <c r="R78">
        <v>21.857366561889648</v>
      </c>
      <c r="S78">
        <v>17.818681716918945</v>
      </c>
      <c r="T78">
        <v>17.715719223022461</v>
      </c>
      <c r="U78">
        <f t="shared" si="50"/>
        <v>-2.8490009307861328</v>
      </c>
      <c r="V78">
        <f t="shared" si="55"/>
        <v>-0.35385004679361964</v>
      </c>
      <c r="W78">
        <f t="shared" si="45"/>
        <v>1.277966524916222</v>
      </c>
      <c r="AD78" s="10" t="s">
        <v>24</v>
      </c>
      <c r="AE78">
        <v>15</v>
      </c>
      <c r="AF78">
        <v>25.866519927978516</v>
      </c>
      <c r="AG78">
        <v>25.534645080566406</v>
      </c>
      <c r="AH78">
        <v>27.69183349609375</v>
      </c>
      <c r="AI78">
        <v>28.981197357177734</v>
      </c>
      <c r="AJ78">
        <f>(AVERAGE(AH78:AI78)-AVERAGE('Genes HOJA'!AE85:AF85))</f>
        <v>6.119816780090332</v>
      </c>
      <c r="AK78">
        <f t="shared" si="56"/>
        <v>0.18389638264973929</v>
      </c>
      <c r="AL78">
        <f t="shared" si="52"/>
        <v>0.88032223786175268</v>
      </c>
      <c r="AM78">
        <f t="shared" si="48"/>
        <v>-0.18389638264973929</v>
      </c>
      <c r="AQ78" s="14" t="s">
        <v>42</v>
      </c>
      <c r="AR78" s="13">
        <v>45</v>
      </c>
      <c r="AS78">
        <v>24.478330612182617</v>
      </c>
      <c r="AT78">
        <v>24.568014144897461</v>
      </c>
      <c r="AU78">
        <v>24.891016006469727</v>
      </c>
      <c r="AV78">
        <v>24.596920013427734</v>
      </c>
      <c r="AW78">
        <f>(AVERAGE(AU78:AV78)-AVERAGE(AS78:AT78))</f>
        <v>0.22079563140869141</v>
      </c>
      <c r="AX78">
        <f t="shared" si="53"/>
        <v>1.6126432418823242</v>
      </c>
      <c r="AY78">
        <f t="shared" si="40"/>
        <v>0.32699868929673476</v>
      </c>
      <c r="AZ78">
        <f t="shared" si="49"/>
        <v>-1.6126432418823242</v>
      </c>
    </row>
    <row r="79" spans="2:98" x14ac:dyDescent="0.45">
      <c r="C79" s="10" t="s">
        <v>93</v>
      </c>
      <c r="D79" s="18" t="s">
        <v>94</v>
      </c>
      <c r="E79">
        <v>21.734310150146484</v>
      </c>
      <c r="F79">
        <v>19.444177627563477</v>
      </c>
      <c r="G79">
        <v>20.230546951293945</v>
      </c>
      <c r="H79">
        <v>20.206905364990234</v>
      </c>
      <c r="I79">
        <f t="shared" si="41"/>
        <v>-0.37051773071289063</v>
      </c>
      <c r="J79">
        <f t="shared" si="54"/>
        <v>-0.6410872141520183</v>
      </c>
      <c r="K79">
        <f t="shared" si="43"/>
        <v>1.5595039578862415</v>
      </c>
      <c r="O79" s="10" t="s">
        <v>93</v>
      </c>
      <c r="P79" s="18" t="s">
        <v>94</v>
      </c>
      <c r="R79">
        <v>19.444177627563477</v>
      </c>
      <c r="S79">
        <v>17.797401428222656</v>
      </c>
      <c r="T79">
        <v>17.339223861694336</v>
      </c>
      <c r="U79">
        <f t="shared" si="50"/>
        <v>-1.8758649826049805</v>
      </c>
      <c r="V79">
        <f t="shared" si="55"/>
        <v>0.6192859013875327</v>
      </c>
      <c r="W79">
        <f t="shared" si="45"/>
        <v>0.65099307357019298</v>
      </c>
      <c r="AD79" s="10" t="s">
        <v>25</v>
      </c>
      <c r="AE79">
        <v>16</v>
      </c>
      <c r="AF79">
        <v>27.283601760864258</v>
      </c>
      <c r="AG79">
        <v>27.191221237182617</v>
      </c>
      <c r="AH79">
        <v>33.462390899658203</v>
      </c>
      <c r="AI79">
        <v>31.444431304931641</v>
      </c>
      <c r="AJ79">
        <f>(AVERAGE(AH79:AI79)-AVERAGE('Genes HOJA'!AE86:AF86))</f>
        <v>10.79953670501709</v>
      </c>
      <c r="AK79">
        <f t="shared" si="56"/>
        <v>4.8636163075764971</v>
      </c>
      <c r="AL79">
        <f t="shared" si="52"/>
        <v>3.4348328205290858E-2</v>
      </c>
      <c r="AM79">
        <f t="shared" si="48"/>
        <v>-4.8636163075764971</v>
      </c>
      <c r="AQ79" s="14" t="s">
        <v>43</v>
      </c>
      <c r="AR79" s="13">
        <v>46</v>
      </c>
      <c r="AS79">
        <v>24.430946350097656</v>
      </c>
      <c r="AT79">
        <v>23.775470733642578</v>
      </c>
      <c r="AU79">
        <v>23.441144943237305</v>
      </c>
      <c r="AV79">
        <v>23.850734710693359</v>
      </c>
      <c r="AW79">
        <f t="shared" ref="AW79:AW86" si="57">(AVERAGE(AU79:AV79)-AVERAGE(AS79:AT79))</f>
        <v>-0.45726871490478516</v>
      </c>
      <c r="AX79">
        <f t="shared" si="53"/>
        <v>0.93457889556884766</v>
      </c>
      <c r="AY79">
        <f t="shared" si="40"/>
        <v>0.52319516165962132</v>
      </c>
      <c r="AZ79">
        <f t="shared" si="49"/>
        <v>-0.93457889556884755</v>
      </c>
    </row>
    <row r="80" spans="2:98" x14ac:dyDescent="0.45">
      <c r="C80" s="10" t="s">
        <v>95</v>
      </c>
      <c r="D80" s="18" t="s">
        <v>96</v>
      </c>
      <c r="E80">
        <v>25.797534942626953</v>
      </c>
      <c r="F80">
        <v>21.927577972412109</v>
      </c>
      <c r="G80">
        <v>24.542383193969727</v>
      </c>
      <c r="H80">
        <v>23.92054557800293</v>
      </c>
      <c r="I80">
        <f t="shared" si="41"/>
        <v>0.36890792846679688</v>
      </c>
      <c r="J80">
        <f t="shared" si="54"/>
        <v>9.8338445027669252E-2</v>
      </c>
      <c r="K80">
        <f t="shared" si="43"/>
        <v>0.93410818666739381</v>
      </c>
      <c r="O80" s="10" t="s">
        <v>95</v>
      </c>
      <c r="P80" s="18" t="s">
        <v>96</v>
      </c>
      <c r="R80">
        <v>21.927577972412109</v>
      </c>
      <c r="S80">
        <v>21.46491813659668</v>
      </c>
      <c r="T80">
        <v>22.240808486938477</v>
      </c>
      <c r="U80">
        <f t="shared" si="50"/>
        <v>-7.471466064453125E-2</v>
      </c>
      <c r="V80">
        <f t="shared" si="55"/>
        <v>2.4204362233479819</v>
      </c>
      <c r="W80">
        <f t="shared" si="45"/>
        <v>0.18679966548793411</v>
      </c>
      <c r="AD80" s="10" t="s">
        <v>26</v>
      </c>
      <c r="AE80">
        <v>17</v>
      </c>
      <c r="AF80">
        <v>27.121788024902344</v>
      </c>
      <c r="AG80">
        <v>25.903133392333984</v>
      </c>
      <c r="AH80">
        <v>29.520856857299805</v>
      </c>
      <c r="AI80">
        <v>29.037160873413086</v>
      </c>
      <c r="AJ80">
        <f>(AVERAGE(AH80:AI80)-AVERAGE('Genes HOJA'!AE87:AF87))</f>
        <v>4.5869922637939453</v>
      </c>
      <c r="AK80">
        <f t="shared" si="56"/>
        <v>-1.3489281336466474</v>
      </c>
      <c r="AL80">
        <f t="shared" si="52"/>
        <v>2.5472280599753527</v>
      </c>
      <c r="AM80">
        <f t="shared" si="48"/>
        <v>1.3489281336466474</v>
      </c>
      <c r="AQ80" s="14" t="s">
        <v>44</v>
      </c>
      <c r="AR80" s="13">
        <v>47</v>
      </c>
      <c r="AS80">
        <v>24.132528305053711</v>
      </c>
      <c r="AT80">
        <v>23.887575149536133</v>
      </c>
      <c r="AU80">
        <v>23.198938369750977</v>
      </c>
      <c r="AV80">
        <v>22.911041259765625</v>
      </c>
      <c r="AW80">
        <f t="shared" si="57"/>
        <v>-0.95506191253662109</v>
      </c>
      <c r="AX80">
        <f t="shared" si="53"/>
        <v>0.43678569793701172</v>
      </c>
      <c r="AY80">
        <f t="shared" si="40"/>
        <v>0.73877876395955955</v>
      </c>
      <c r="AZ80">
        <f t="shared" si="49"/>
        <v>-0.43678569793701161</v>
      </c>
    </row>
    <row r="81" spans="2:98" s="6" customFormat="1" ht="14.65" thickBot="1" x14ac:dyDescent="0.5">
      <c r="B81"/>
      <c r="C81" s="10" t="s">
        <v>97</v>
      </c>
      <c r="D81" s="18" t="s">
        <v>98</v>
      </c>
      <c r="E81">
        <v>22.306346893310547</v>
      </c>
      <c r="F81">
        <v>19.968173980712891</v>
      </c>
      <c r="G81">
        <v>20.845632553100586</v>
      </c>
      <c r="H81">
        <v>21.118564605712891</v>
      </c>
      <c r="I81">
        <f t="shared" si="41"/>
        <v>-0.15516185760498047</v>
      </c>
      <c r="J81">
        <f t="shared" si="54"/>
        <v>-0.42573134104410809</v>
      </c>
      <c r="K81">
        <f t="shared" si="43"/>
        <v>1.3432532615411368</v>
      </c>
      <c r="L81"/>
      <c r="M81"/>
      <c r="N81"/>
      <c r="O81" s="10" t="s">
        <v>97</v>
      </c>
      <c r="P81" s="18" t="s">
        <v>98</v>
      </c>
      <c r="Q81">
        <v>22.306346893310547</v>
      </c>
      <c r="R81">
        <v>19.968173980712891</v>
      </c>
      <c r="S81"/>
      <c r="T81">
        <v>18.456825256347656</v>
      </c>
      <c r="U81">
        <f t="shared" si="50"/>
        <v>-2.6804351806640625</v>
      </c>
      <c r="V81">
        <f t="shared" si="55"/>
        <v>-0.18528429667154933</v>
      </c>
      <c r="W81">
        <f t="shared" si="45"/>
        <v>1.1370410158220947</v>
      </c>
      <c r="X81"/>
      <c r="Y81"/>
      <c r="Z81"/>
      <c r="AA81"/>
      <c r="AB81"/>
      <c r="AC81"/>
      <c r="AD81" s="11" t="s">
        <v>27</v>
      </c>
      <c r="AE81" s="6">
        <v>18</v>
      </c>
      <c r="AF81" s="6">
        <v>27.844718933105469</v>
      </c>
      <c r="AG81" s="6">
        <v>27.873027801513672</v>
      </c>
      <c r="AH81" s="6">
        <v>29.445468902587891</v>
      </c>
      <c r="AI81" s="6">
        <v>28.585977554321289</v>
      </c>
      <c r="AJ81" s="6">
        <f>(AVERAGE(AH81:AI81)-AVERAGE('Genes HOJA'!AE88:AF88))</f>
        <v>4.6494274139404297</v>
      </c>
      <c r="AK81" s="6">
        <f t="shared" si="56"/>
        <v>-1.2864929835001631</v>
      </c>
      <c r="AL81" s="6">
        <f t="shared" si="52"/>
        <v>2.43934359415295</v>
      </c>
      <c r="AM81">
        <f t="shared" si="48"/>
        <v>1.2864929835001631</v>
      </c>
      <c r="AN81"/>
      <c r="AO81"/>
      <c r="AP81"/>
      <c r="AQ81" s="15" t="s">
        <v>45</v>
      </c>
      <c r="AR81" s="13">
        <v>48</v>
      </c>
      <c r="AS81">
        <v>26.401252746582031</v>
      </c>
      <c r="AT81">
        <v>26.482845306396484</v>
      </c>
      <c r="AU81">
        <v>25.937450408935547</v>
      </c>
      <c r="AV81">
        <v>25.26801872253418</v>
      </c>
      <c r="AW81" s="6">
        <f t="shared" si="57"/>
        <v>-0.83931446075439453</v>
      </c>
      <c r="AX81">
        <f t="shared" si="53"/>
        <v>0.55253314971923828</v>
      </c>
      <c r="AY81">
        <f t="shared" si="40"/>
        <v>0.68182190275718257</v>
      </c>
      <c r="AZ81">
        <f t="shared" si="49"/>
        <v>-0.55253314971923828</v>
      </c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</row>
    <row r="82" spans="2:98" ht="14.65" thickBot="1" x14ac:dyDescent="0.5">
      <c r="C82" s="11" t="s">
        <v>99</v>
      </c>
      <c r="D82" s="18" t="s">
        <v>100</v>
      </c>
      <c r="E82">
        <v>21.577007293701172</v>
      </c>
      <c r="F82">
        <v>18.911455154418945</v>
      </c>
      <c r="G82">
        <v>22.438375473022461</v>
      </c>
      <c r="H82">
        <v>21.57734489440918</v>
      </c>
      <c r="I82">
        <f t="shared" si="41"/>
        <v>1.7636289596557617</v>
      </c>
      <c r="J82">
        <f t="shared" si="54"/>
        <v>1.493059476216634</v>
      </c>
      <c r="K82">
        <f t="shared" si="43"/>
        <v>0.35525836469314576</v>
      </c>
      <c r="L82" s="6"/>
      <c r="O82" s="11" t="s">
        <v>99</v>
      </c>
      <c r="P82" s="18" t="s">
        <v>100</v>
      </c>
      <c r="Q82">
        <v>21.577007293701172</v>
      </c>
      <c r="R82">
        <v>18.911455154418945</v>
      </c>
      <c r="S82">
        <v>18.352754592895508</v>
      </c>
      <c r="T82">
        <v>19.39991569519043</v>
      </c>
      <c r="U82">
        <f t="shared" si="50"/>
        <v>-1.3678960800170898</v>
      </c>
      <c r="V82">
        <f t="shared" si="55"/>
        <v>1.1272548039754233</v>
      </c>
      <c r="W82">
        <f t="shared" si="45"/>
        <v>0.45778598343859245</v>
      </c>
      <c r="X82" s="6"/>
      <c r="AD82" s="12" t="s">
        <v>28</v>
      </c>
      <c r="AE82" s="13">
        <v>25</v>
      </c>
      <c r="AF82">
        <v>24.894834518432617</v>
      </c>
      <c r="AG82">
        <v>24.81810188293457</v>
      </c>
      <c r="AH82">
        <v>28.414457321166992</v>
      </c>
      <c r="AI82">
        <v>28.175651550292969</v>
      </c>
      <c r="AJ82">
        <f t="shared" ref="AJ82:AJ99" si="58">(AVERAGE(AH82:AI82)-AVERAGE(AF82:AG82))</f>
        <v>3.4385862350463867</v>
      </c>
      <c r="AK82">
        <f>AJ82-$AG$37</f>
        <v>-3.5770295461018877</v>
      </c>
      <c r="AL82">
        <f t="shared" si="52"/>
        <v>11.934196620955792</v>
      </c>
      <c r="AM82">
        <f t="shared" si="48"/>
        <v>3.5770295461018882</v>
      </c>
      <c r="AQ82" s="12" t="s">
        <v>46</v>
      </c>
      <c r="AR82" s="13">
        <v>49</v>
      </c>
      <c r="AS82">
        <v>24.557197570800781</v>
      </c>
      <c r="AT82">
        <v>24.816131591796875</v>
      </c>
      <c r="AU82">
        <v>23.540491104125977</v>
      </c>
      <c r="AV82">
        <v>23.180973052978516</v>
      </c>
      <c r="AW82">
        <f t="shared" si="57"/>
        <v>-1.325932502746582</v>
      </c>
      <c r="AX82">
        <f t="shared" ref="AX82:AX87" si="59">AW82-$H$27</f>
        <v>-8.4463844299316406</v>
      </c>
      <c r="AY82">
        <f t="shared" si="40"/>
        <v>348.83099626756928</v>
      </c>
      <c r="AZ82">
        <f t="shared" si="49"/>
        <v>8.4463844299316406</v>
      </c>
    </row>
    <row r="83" spans="2:98" x14ac:dyDescent="0.45">
      <c r="C83" s="12" t="s">
        <v>28</v>
      </c>
      <c r="D83" s="20">
        <v>25</v>
      </c>
      <c r="E83">
        <v>19.915727615356445</v>
      </c>
      <c r="F83">
        <v>20.202024459838867</v>
      </c>
      <c r="G83">
        <v>29.55335807800293</v>
      </c>
      <c r="H83">
        <v>27.764247894287109</v>
      </c>
      <c r="I83">
        <f>(AVERAGE(G83:H83)-AVERAGE(E83:F83))</f>
        <v>8.5999269485473633</v>
      </c>
      <c r="J83">
        <f t="shared" ref="J83:J88" si="60">I83-$I$117</f>
        <v>0.61692460378011038</v>
      </c>
      <c r="K83">
        <f t="shared" ref="K83" si="61">2^-J83</f>
        <v>0.65205944380698533</v>
      </c>
      <c r="L83">
        <f t="shared" ref="L83:L88" si="62">LOG(K83,2)</f>
        <v>-0.61692460378011038</v>
      </c>
      <c r="O83" s="12" t="s">
        <v>28</v>
      </c>
      <c r="P83" s="20">
        <v>25</v>
      </c>
      <c r="Q83">
        <v>19.915727615356445</v>
      </c>
      <c r="R83">
        <v>20.202024459838867</v>
      </c>
      <c r="S83">
        <v>18.270387649536133</v>
      </c>
      <c r="T83">
        <v>18.349540710449219</v>
      </c>
      <c r="U83">
        <f t="shared" ref="U83:U88" si="63">(AVERAGE(S83:T83)-AVERAGE(Q83:R83))</f>
        <v>-1.7489118576049805</v>
      </c>
      <c r="V83">
        <f t="shared" ref="V83:V88" si="64">U83-$U$117</f>
        <v>-0.28246974945068359</v>
      </c>
      <c r="W83">
        <f t="shared" ref="W83" si="65">2^-V83</f>
        <v>1.216275244634043</v>
      </c>
      <c r="AD83" s="14" t="s">
        <v>29</v>
      </c>
      <c r="AE83" s="13">
        <v>26</v>
      </c>
      <c r="AF83">
        <v>25.15125846862793</v>
      </c>
      <c r="AG83">
        <v>24.412837982177734</v>
      </c>
      <c r="AH83">
        <v>28.629373550415039</v>
      </c>
      <c r="AI83">
        <v>28.780122756958008</v>
      </c>
      <c r="AJ83">
        <f t="shared" si="58"/>
        <v>3.9226999282836914</v>
      </c>
      <c r="AK83">
        <f t="shared" ref="AK83:AK87" si="66">AJ83-$AG$37</f>
        <v>-3.092915852864583</v>
      </c>
      <c r="AL83">
        <f t="shared" si="52"/>
        <v>8.5321885807261584</v>
      </c>
      <c r="AM83">
        <f t="shared" si="48"/>
        <v>3.092915852864583</v>
      </c>
      <c r="AQ83" s="14" t="s">
        <v>47</v>
      </c>
      <c r="AR83" s="13">
        <v>50</v>
      </c>
      <c r="AS83">
        <v>25.651039123535156</v>
      </c>
      <c r="AT83">
        <v>25.4066162109375</v>
      </c>
      <c r="AU83">
        <v>24.36235237121582</v>
      </c>
      <c r="AV83">
        <v>24.237541198730469</v>
      </c>
      <c r="AW83">
        <f t="shared" si="57"/>
        <v>-1.2288808822631836</v>
      </c>
      <c r="AX83">
        <f t="shared" si="59"/>
        <v>-8.3493328094482422</v>
      </c>
      <c r="AY83">
        <f t="shared" si="40"/>
        <v>326.13666014539211</v>
      </c>
      <c r="AZ83">
        <f t="shared" si="49"/>
        <v>8.3493328094482422</v>
      </c>
    </row>
    <row r="84" spans="2:98" x14ac:dyDescent="0.45">
      <c r="C84" s="14" t="s">
        <v>29</v>
      </c>
      <c r="D84" s="20">
        <v>26</v>
      </c>
      <c r="E84">
        <v>19.674240112304688</v>
      </c>
      <c r="F84">
        <v>19.620489120483398</v>
      </c>
      <c r="G84">
        <v>27.973468780517578</v>
      </c>
      <c r="H84">
        <v>27.581432342529297</v>
      </c>
      <c r="I84">
        <f t="shared" si="41"/>
        <v>8.1300859451293945</v>
      </c>
      <c r="J84">
        <f t="shared" si="60"/>
        <v>0.14708360036214163</v>
      </c>
      <c r="K84">
        <f t="shared" si="43"/>
        <v>0.90307417787531974</v>
      </c>
      <c r="L84">
        <f t="shared" si="62"/>
        <v>-0.14708360036214177</v>
      </c>
      <c r="O84" s="14" t="s">
        <v>29</v>
      </c>
      <c r="P84" s="20">
        <v>26</v>
      </c>
      <c r="Q84">
        <v>19.674240112304688</v>
      </c>
      <c r="R84">
        <v>19.620489120483398</v>
      </c>
      <c r="S84">
        <v>18.824390411376953</v>
      </c>
      <c r="T84">
        <v>18.718997955322266</v>
      </c>
      <c r="U84">
        <f t="shared" si="63"/>
        <v>-0.87567043304443359</v>
      </c>
      <c r="V84">
        <f t="shared" si="64"/>
        <v>0.59077167510986328</v>
      </c>
      <c r="W84">
        <f t="shared" si="45"/>
        <v>0.66398765539103977</v>
      </c>
      <c r="AD84" s="14" t="s">
        <v>30</v>
      </c>
      <c r="AE84" s="13">
        <v>27</v>
      </c>
      <c r="AF84">
        <v>26.410083770751953</v>
      </c>
      <c r="AG84">
        <v>25.912343978881836</v>
      </c>
      <c r="AH84">
        <v>29.827919006347656</v>
      </c>
      <c r="AI84">
        <v>28.252962112426758</v>
      </c>
      <c r="AJ84">
        <f t="shared" si="58"/>
        <v>2.8792266845703125</v>
      </c>
      <c r="AK84">
        <f t="shared" si="66"/>
        <v>-4.1363890965779619</v>
      </c>
      <c r="AL84">
        <f t="shared" si="52"/>
        <v>17.586409917468693</v>
      </c>
      <c r="AM84">
        <f t="shared" si="48"/>
        <v>4.1363890965779619</v>
      </c>
      <c r="AQ84" s="14" t="s">
        <v>48</v>
      </c>
      <c r="AR84" s="13">
        <v>51</v>
      </c>
      <c r="AS84">
        <v>24.690805435180664</v>
      </c>
      <c r="AT84">
        <v>24.414400100708008</v>
      </c>
      <c r="AU84">
        <v>23.726654052734375</v>
      </c>
      <c r="AV84">
        <v>23.944591522216797</v>
      </c>
      <c r="AW84">
        <f t="shared" si="57"/>
        <v>-0.71697998046875</v>
      </c>
      <c r="AX84">
        <f t="shared" si="59"/>
        <v>-7.8374319076538086</v>
      </c>
      <c r="AY84">
        <f t="shared" si="40"/>
        <v>228.7189208116383</v>
      </c>
      <c r="AZ84">
        <f t="shared" si="49"/>
        <v>7.8374319076538086</v>
      </c>
    </row>
    <row r="85" spans="2:98" x14ac:dyDescent="0.45">
      <c r="C85" s="14" t="s">
        <v>30</v>
      </c>
      <c r="D85" s="20">
        <v>27</v>
      </c>
      <c r="E85">
        <v>21.640522003173828</v>
      </c>
      <c r="F85">
        <v>21.428911209106445</v>
      </c>
      <c r="G85">
        <v>29.353113174438477</v>
      </c>
      <c r="H85">
        <v>28.154308319091797</v>
      </c>
      <c r="I85">
        <f t="shared" si="41"/>
        <v>7.218994140625</v>
      </c>
      <c r="J85">
        <f t="shared" si="60"/>
        <v>-0.7640082041422529</v>
      </c>
      <c r="K85">
        <f t="shared" si="43"/>
        <v>1.6982021499951483</v>
      </c>
      <c r="L85">
        <f t="shared" si="62"/>
        <v>0.7640082041422529</v>
      </c>
      <c r="O85" s="14" t="s">
        <v>30</v>
      </c>
      <c r="P85" s="20">
        <v>27</v>
      </c>
      <c r="Q85">
        <v>21.640522003173828</v>
      </c>
      <c r="R85">
        <v>21.428911209106445</v>
      </c>
      <c r="S85">
        <v>19.747772216796875</v>
      </c>
      <c r="T85">
        <v>19.772172927856445</v>
      </c>
      <c r="U85">
        <f t="shared" si="63"/>
        <v>-1.7747440338134766</v>
      </c>
      <c r="V85">
        <f t="shared" si="64"/>
        <v>-0.30830192565917969</v>
      </c>
      <c r="W85">
        <f t="shared" si="45"/>
        <v>1.2382494032201727</v>
      </c>
      <c r="AD85" s="14" t="s">
        <v>31</v>
      </c>
      <c r="AE85" s="13">
        <v>28</v>
      </c>
      <c r="AF85">
        <v>24.918218612670898</v>
      </c>
      <c r="AG85">
        <v>23.806465148925781</v>
      </c>
      <c r="AH85">
        <v>30.248966217041016</v>
      </c>
      <c r="AI85">
        <v>28.047704696655273</v>
      </c>
      <c r="AJ85">
        <f t="shared" si="58"/>
        <v>4.7859935760498047</v>
      </c>
      <c r="AK85">
        <f t="shared" si="66"/>
        <v>-2.2296222050984698</v>
      </c>
      <c r="AL85">
        <f t="shared" si="52"/>
        <v>4.6901114484793807</v>
      </c>
      <c r="AM85">
        <f t="shared" si="48"/>
        <v>2.2296222050984698</v>
      </c>
      <c r="AQ85" s="14" t="s">
        <v>49</v>
      </c>
      <c r="AR85" s="13">
        <v>52</v>
      </c>
      <c r="AS85">
        <v>26.175790786743164</v>
      </c>
      <c r="AT85">
        <v>26.606502532958984</v>
      </c>
      <c r="AU85">
        <v>25.402442932128906</v>
      </c>
      <c r="AV85">
        <v>24.688053131103516</v>
      </c>
      <c r="AW85">
        <f t="shared" si="57"/>
        <v>-1.3458986282348633</v>
      </c>
      <c r="AX85">
        <f t="shared" si="59"/>
        <v>-8.4663505554199219</v>
      </c>
      <c r="AY85">
        <f t="shared" si="40"/>
        <v>353.69219071208192</v>
      </c>
      <c r="AZ85">
        <f t="shared" si="49"/>
        <v>8.4663505554199219</v>
      </c>
    </row>
    <row r="86" spans="2:98" x14ac:dyDescent="0.45">
      <c r="C86" s="14" t="s">
        <v>31</v>
      </c>
      <c r="D86" s="20">
        <v>28</v>
      </c>
      <c r="E86">
        <v>20.238740921020508</v>
      </c>
      <c r="F86">
        <v>20.211931228637695</v>
      </c>
      <c r="G86">
        <v>28.178014755249023</v>
      </c>
      <c r="H86">
        <v>27.013545989990234</v>
      </c>
      <c r="I86">
        <f t="shared" si="41"/>
        <v>7.3704442977905273</v>
      </c>
      <c r="J86">
        <f t="shared" si="60"/>
        <v>-0.61255804697672556</v>
      </c>
      <c r="K86">
        <f t="shared" si="43"/>
        <v>1.5289678244360811</v>
      </c>
      <c r="L86">
        <f t="shared" si="62"/>
        <v>0.61255804697672567</v>
      </c>
      <c r="O86" s="14" t="s">
        <v>31</v>
      </c>
      <c r="P86" s="20">
        <v>28</v>
      </c>
      <c r="Q86">
        <v>20.238740921020508</v>
      </c>
      <c r="R86">
        <v>20.211931228637695</v>
      </c>
      <c r="S86">
        <v>18.2720947265625</v>
      </c>
      <c r="T86">
        <v>18.367221832275391</v>
      </c>
      <c r="U86">
        <f t="shared" si="63"/>
        <v>-1.9056777954101563</v>
      </c>
      <c r="V86">
        <f t="shared" si="64"/>
        <v>-0.43923568725585938</v>
      </c>
      <c r="W86">
        <f t="shared" si="45"/>
        <v>1.3558858142912396</v>
      </c>
      <c r="AD86" s="14" t="s">
        <v>32</v>
      </c>
      <c r="AE86" s="13">
        <v>29</v>
      </c>
      <c r="AF86">
        <v>27.832710266113281</v>
      </c>
      <c r="AG86">
        <v>27.47218132019043</v>
      </c>
      <c r="AH86">
        <v>27.922695159912109</v>
      </c>
      <c r="AI86">
        <v>28.357686996459961</v>
      </c>
      <c r="AJ86">
        <f t="shared" si="58"/>
        <v>0.48774528503417969</v>
      </c>
      <c r="AK86">
        <f t="shared" si="66"/>
        <v>-6.5278704961140948</v>
      </c>
      <c r="AL86">
        <f t="shared" si="52"/>
        <v>92.275164298171262</v>
      </c>
      <c r="AM86">
        <f t="shared" si="48"/>
        <v>6.5278704961140948</v>
      </c>
      <c r="AQ86" s="14" t="s">
        <v>50</v>
      </c>
      <c r="AR86" s="13">
        <v>53</v>
      </c>
      <c r="AS86">
        <v>25.96226692199707</v>
      </c>
      <c r="AT86">
        <v>26.004446029663086</v>
      </c>
      <c r="AU86">
        <v>23.826967239379883</v>
      </c>
      <c r="AV86">
        <v>23.657016754150391</v>
      </c>
      <c r="AW86">
        <f t="shared" si="57"/>
        <v>-2.2413644790649414</v>
      </c>
      <c r="AX86">
        <f t="shared" si="59"/>
        <v>-9.36181640625</v>
      </c>
      <c r="AY86">
        <f t="shared" si="40"/>
        <v>657.94191142025102</v>
      </c>
      <c r="AZ86">
        <f t="shared" si="49"/>
        <v>9.36181640625</v>
      </c>
    </row>
    <row r="87" spans="2:98" s="6" customFormat="1" ht="14.65" thickBot="1" x14ac:dyDescent="0.5">
      <c r="B87"/>
      <c r="C87" s="14" t="s">
        <v>32</v>
      </c>
      <c r="D87" s="20">
        <v>29</v>
      </c>
      <c r="E87">
        <v>23.880186080932617</v>
      </c>
      <c r="F87">
        <v>24.139802932739258</v>
      </c>
      <c r="G87">
        <v>28.107156753540039</v>
      </c>
      <c r="H87">
        <v>29.741828918457031</v>
      </c>
      <c r="I87">
        <f t="shared" si="41"/>
        <v>4.9144983291625977</v>
      </c>
      <c r="J87">
        <f t="shared" si="60"/>
        <v>-3.0685040156046552</v>
      </c>
      <c r="K87">
        <f t="shared" si="43"/>
        <v>8.3890300585881405</v>
      </c>
      <c r="L87">
        <f t="shared" si="62"/>
        <v>3.0685040156046552</v>
      </c>
      <c r="M87"/>
      <c r="N87"/>
      <c r="O87" s="14" t="s">
        <v>32</v>
      </c>
      <c r="P87" s="20">
        <v>29</v>
      </c>
      <c r="Q87">
        <v>23.880186080932617</v>
      </c>
      <c r="R87">
        <v>24.139802932739258</v>
      </c>
      <c r="S87">
        <v>21.148244857788086</v>
      </c>
      <c r="T87">
        <v>20.500768661499023</v>
      </c>
      <c r="U87">
        <f t="shared" si="63"/>
        <v>-3.1854877471923828</v>
      </c>
      <c r="V87">
        <f t="shared" si="64"/>
        <v>-1.7190456390380859</v>
      </c>
      <c r="W87">
        <f t="shared" si="45"/>
        <v>3.2921855263428998</v>
      </c>
      <c r="X87"/>
      <c r="Y87"/>
      <c r="Z87"/>
      <c r="AA87"/>
      <c r="AB87"/>
      <c r="AC87"/>
      <c r="AD87" s="15" t="s">
        <v>33</v>
      </c>
      <c r="AE87" s="16">
        <v>30</v>
      </c>
      <c r="AF87" s="6">
        <v>26.808563232421875</v>
      </c>
      <c r="AG87" s="6">
        <v>27.074119567871094</v>
      </c>
      <c r="AH87" s="6">
        <v>27.968351364135742</v>
      </c>
      <c r="AI87" s="6">
        <v>27.540069580078125</v>
      </c>
      <c r="AJ87" s="6">
        <f t="shared" si="58"/>
        <v>0.81286907196044922</v>
      </c>
      <c r="AK87" s="6">
        <f t="shared" si="66"/>
        <v>-6.2027467091878252</v>
      </c>
      <c r="AL87" s="6">
        <f t="shared" si="52"/>
        <v>73.656794547428518</v>
      </c>
      <c r="AM87">
        <f t="shared" si="48"/>
        <v>6.2027467091878252</v>
      </c>
      <c r="AN87"/>
      <c r="AO87"/>
      <c r="AP87"/>
      <c r="AQ87" s="15" t="s">
        <v>51</v>
      </c>
      <c r="AR87" s="13">
        <v>54</v>
      </c>
      <c r="AS87">
        <v>28.795482635498047</v>
      </c>
      <c r="AT87">
        <v>29.096010208129883</v>
      </c>
      <c r="AU87">
        <v>29.151504516601563</v>
      </c>
      <c r="AV87">
        <v>28.995267868041992</v>
      </c>
      <c r="AW87">
        <f>(AVERAGE(AU87:AV87)-AVERAGE(AS87:AT87))</f>
        <v>0.1276397705078125</v>
      </c>
      <c r="AX87">
        <f t="shared" si="59"/>
        <v>-6.9928121566772461</v>
      </c>
      <c r="AY87">
        <f>2^-AX87</f>
        <v>127.36386014779271</v>
      </c>
      <c r="AZ87">
        <f t="shared" si="49"/>
        <v>6.9928121566772461</v>
      </c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</row>
    <row r="88" spans="2:98" ht="14.65" thickBot="1" x14ac:dyDescent="0.5">
      <c r="C88" s="15" t="s">
        <v>33</v>
      </c>
      <c r="D88" s="20">
        <v>30</v>
      </c>
      <c r="E88">
        <v>21.847354888916016</v>
      </c>
      <c r="F88">
        <v>21.626710891723633</v>
      </c>
      <c r="G88" s="6">
        <v>27.537342071533203</v>
      </c>
      <c r="H88" s="6">
        <v>27.780059814453125</v>
      </c>
      <c r="I88">
        <f t="shared" si="41"/>
        <v>5.9216680526733398</v>
      </c>
      <c r="J88">
        <f t="shared" si="60"/>
        <v>-2.0613342920939131</v>
      </c>
      <c r="K88">
        <f t="shared" si="43"/>
        <v>4.1737213701795124</v>
      </c>
      <c r="L88">
        <f t="shared" si="62"/>
        <v>2.0613342920939131</v>
      </c>
      <c r="O88" s="15" t="s">
        <v>33</v>
      </c>
      <c r="P88" s="20">
        <v>30</v>
      </c>
      <c r="Q88">
        <v>21.847354888916016</v>
      </c>
      <c r="R88">
        <v>21.626710891723633</v>
      </c>
      <c r="S88">
        <v>19.995136260986328</v>
      </c>
      <c r="T88">
        <v>19.926101684570313</v>
      </c>
      <c r="U88">
        <f t="shared" si="63"/>
        <v>-1.7764139175415039</v>
      </c>
      <c r="V88">
        <f t="shared" si="64"/>
        <v>-0.30997180938720703</v>
      </c>
      <c r="W88">
        <f t="shared" si="45"/>
        <v>1.2396834759849908</v>
      </c>
      <c r="AD88" s="12" t="s">
        <v>34</v>
      </c>
      <c r="AE88" s="13">
        <v>37</v>
      </c>
      <c r="AF88">
        <v>28.46466064453125</v>
      </c>
      <c r="AG88">
        <v>28.247451782226563</v>
      </c>
      <c r="AH88">
        <v>29.15998649597168</v>
      </c>
      <c r="AI88">
        <v>29.227071762084961</v>
      </c>
      <c r="AJ88">
        <f t="shared" si="58"/>
        <v>0.83747291564941406</v>
      </c>
      <c r="AK88">
        <f>AJ88-$AG$38</f>
        <v>-6.7805790901184082</v>
      </c>
      <c r="AL88">
        <f t="shared" si="52"/>
        <v>109.9404965392802</v>
      </c>
      <c r="AM88">
        <f t="shared" si="48"/>
        <v>6.7805790901184082</v>
      </c>
    </row>
    <row r="89" spans="2:98" x14ac:dyDescent="0.45">
      <c r="C89" s="9" t="s">
        <v>101</v>
      </c>
      <c r="D89" s="18" t="s">
        <v>102</v>
      </c>
      <c r="E89">
        <v>20.908760070800781</v>
      </c>
      <c r="F89">
        <v>20.090328216552734</v>
      </c>
      <c r="G89">
        <v>20.757713317871094</v>
      </c>
      <c r="H89">
        <v>21.118783950805664</v>
      </c>
      <c r="I89">
        <f t="shared" si="41"/>
        <v>0.43870449066162109</v>
      </c>
      <c r="J89">
        <f t="shared" ref="J89:J94" si="67">I89-$I$118</f>
        <v>-0.20312086741129554</v>
      </c>
      <c r="K89">
        <f t="shared" si="43"/>
        <v>1.1511859323851255</v>
      </c>
      <c r="O89" s="9" t="s">
        <v>101</v>
      </c>
      <c r="P89" s="18" t="s">
        <v>102</v>
      </c>
      <c r="Q89">
        <v>20.908760070800781</v>
      </c>
      <c r="R89">
        <v>20.090328216552734</v>
      </c>
      <c r="S89">
        <v>17.396368026733398</v>
      </c>
      <c r="T89">
        <v>16.52155876159668</v>
      </c>
      <c r="U89">
        <f t="shared" ref="U89:U100" si="68">(AVERAGE(S89:T89)-AVERAGE(Q89:R89))</f>
        <v>-3.5405807495117188</v>
      </c>
      <c r="V89">
        <f t="shared" ref="V89:V94" si="69">U89-$U$118</f>
        <v>-1.726336161295573</v>
      </c>
      <c r="W89">
        <f t="shared" si="45"/>
        <v>3.3088643799769937</v>
      </c>
      <c r="AD89" s="14" t="s">
        <v>35</v>
      </c>
      <c r="AE89" s="13">
        <v>38</v>
      </c>
      <c r="AF89">
        <v>26.077716827392578</v>
      </c>
      <c r="AG89">
        <v>26.038030624389648</v>
      </c>
      <c r="AH89">
        <v>29.499912261962891</v>
      </c>
      <c r="AI89">
        <v>28.750667572021484</v>
      </c>
      <c r="AJ89">
        <f t="shared" si="58"/>
        <v>3.0674161911010742</v>
      </c>
      <c r="AK89">
        <f t="shared" ref="AK89:AK93" si="70">AJ89-$AG$38</f>
        <v>-4.550635814666748</v>
      </c>
      <c r="AL89">
        <f t="shared" si="52"/>
        <v>23.435697279349924</v>
      </c>
      <c r="AM89">
        <f t="shared" si="48"/>
        <v>4.550635814666748</v>
      </c>
    </row>
    <row r="90" spans="2:98" x14ac:dyDescent="0.45">
      <c r="C90" s="10" t="s">
        <v>103</v>
      </c>
      <c r="D90" s="18" t="s">
        <v>104</v>
      </c>
      <c r="E90">
        <v>17.307544708251953</v>
      </c>
      <c r="F90">
        <v>18.863681793212891</v>
      </c>
      <c r="G90">
        <v>19.275970458984375</v>
      </c>
      <c r="H90">
        <v>19.196958541870117</v>
      </c>
      <c r="I90">
        <f t="shared" si="41"/>
        <v>1.1508512496948242</v>
      </c>
      <c r="J90">
        <f t="shared" si="67"/>
        <v>0.50902589162190759</v>
      </c>
      <c r="K90">
        <f t="shared" si="43"/>
        <v>0.70269673889931084</v>
      </c>
      <c r="O90" s="10" t="s">
        <v>103</v>
      </c>
      <c r="P90" s="18" t="s">
        <v>104</v>
      </c>
      <c r="Q90">
        <v>17.307544708251953</v>
      </c>
      <c r="R90">
        <v>18.863681793212891</v>
      </c>
      <c r="S90">
        <v>17.689426422119141</v>
      </c>
      <c r="T90">
        <v>16.776361465454102</v>
      </c>
      <c r="U90">
        <f t="shared" si="68"/>
        <v>-0.85271930694580078</v>
      </c>
      <c r="V90">
        <f t="shared" si="69"/>
        <v>0.96152528127034498</v>
      </c>
      <c r="W90">
        <f t="shared" si="45"/>
        <v>0.51351371672529922</v>
      </c>
      <c r="AD90" s="14" t="s">
        <v>36</v>
      </c>
      <c r="AE90" s="13">
        <v>39</v>
      </c>
      <c r="AF90">
        <v>25.821271896362305</v>
      </c>
      <c r="AG90">
        <v>25.893802642822266</v>
      </c>
      <c r="AH90">
        <v>31.566387176513672</v>
      </c>
      <c r="AI90">
        <v>29.926631927490234</v>
      </c>
      <c r="AJ90">
        <f t="shared" si="58"/>
        <v>4.888972282409668</v>
      </c>
      <c r="AK90">
        <f t="shared" si="70"/>
        <v>-2.7290797233581543</v>
      </c>
      <c r="AL90">
        <f>AVERAGE(AL88:AL89)</f>
        <v>66.688096909315064</v>
      </c>
      <c r="AM90">
        <f t="shared" si="48"/>
        <v>6.0593573741028459</v>
      </c>
    </row>
    <row r="91" spans="2:98" x14ac:dyDescent="0.45">
      <c r="C91" s="10" t="s">
        <v>105</v>
      </c>
      <c r="D91" s="18" t="s">
        <v>106</v>
      </c>
      <c r="E91">
        <v>18.830657958984375</v>
      </c>
      <c r="F91">
        <v>18.962850570678711</v>
      </c>
      <c r="G91">
        <v>19.756816864013672</v>
      </c>
      <c r="H91">
        <v>18.708532333374023</v>
      </c>
      <c r="I91">
        <f t="shared" si="41"/>
        <v>0.33592033386230469</v>
      </c>
      <c r="J91">
        <f t="shared" si="67"/>
        <v>-0.30590502421061194</v>
      </c>
      <c r="K91">
        <f t="shared" si="43"/>
        <v>1.2361938768788081</v>
      </c>
      <c r="O91" s="10" t="s">
        <v>105</v>
      </c>
      <c r="P91" s="18" t="s">
        <v>106</v>
      </c>
      <c r="Q91">
        <v>18.830657958984375</v>
      </c>
      <c r="R91">
        <v>18.962850570678711</v>
      </c>
      <c r="S91">
        <v>18.305870056152344</v>
      </c>
      <c r="T91">
        <v>17.388771057128906</v>
      </c>
      <c r="U91">
        <f t="shared" si="68"/>
        <v>-1.049433708190918</v>
      </c>
      <c r="V91">
        <f t="shared" si="69"/>
        <v>0.76481088002522779</v>
      </c>
      <c r="W91">
        <f t="shared" si="45"/>
        <v>0.58853051282743984</v>
      </c>
      <c r="AD91" s="14" t="s">
        <v>37</v>
      </c>
      <c r="AE91" s="13">
        <v>40</v>
      </c>
      <c r="AF91">
        <v>23.456048965454102</v>
      </c>
      <c r="AG91">
        <v>23.970487594604492</v>
      </c>
      <c r="AH91">
        <v>28.700799942016602</v>
      </c>
      <c r="AI91">
        <v>28.764259338378906</v>
      </c>
      <c r="AJ91">
        <f t="shared" si="58"/>
        <v>5.019261360168457</v>
      </c>
      <c r="AK91">
        <f t="shared" si="70"/>
        <v>-2.5987906455993652</v>
      </c>
      <c r="AL91">
        <f t="shared" ref="AL91:AL99" si="71">2^-AK91</f>
        <v>6.0577861337043961</v>
      </c>
      <c r="AM91">
        <f t="shared" si="48"/>
        <v>2.5987906455993652</v>
      </c>
    </row>
    <row r="92" spans="2:98" x14ac:dyDescent="0.45">
      <c r="C92" s="10" t="s">
        <v>107</v>
      </c>
      <c r="D92" s="18" t="s">
        <v>108</v>
      </c>
      <c r="E92">
        <v>18.896659851074219</v>
      </c>
      <c r="F92">
        <v>15.871526718139648</v>
      </c>
      <c r="G92">
        <v>20.777484893798828</v>
      </c>
      <c r="H92">
        <v>21.595983505249023</v>
      </c>
      <c r="I92">
        <f t="shared" si="41"/>
        <v>3.8026409149169922</v>
      </c>
      <c r="J92">
        <f t="shared" si="67"/>
        <v>3.1608155568440757</v>
      </c>
      <c r="K92">
        <f t="shared" si="43"/>
        <v>0.11181490692601229</v>
      </c>
      <c r="O92" s="10" t="s">
        <v>107</v>
      </c>
      <c r="P92" s="18" t="s">
        <v>108</v>
      </c>
      <c r="Q92">
        <v>18.896659851074219</v>
      </c>
      <c r="R92">
        <v>15.871526718139648</v>
      </c>
      <c r="S92">
        <v>17.685344696044922</v>
      </c>
      <c r="T92">
        <v>18.469688415527344</v>
      </c>
      <c r="U92">
        <f t="shared" si="68"/>
        <v>0.69342327117919922</v>
      </c>
      <c r="V92">
        <f t="shared" si="69"/>
        <v>2.5076678593953448</v>
      </c>
      <c r="W92">
        <f t="shared" si="45"/>
        <v>0.17583962753718776</v>
      </c>
      <c r="AD92" s="14" t="s">
        <v>38</v>
      </c>
      <c r="AE92" s="13">
        <v>41</v>
      </c>
      <c r="AF92">
        <v>24.723295211791992</v>
      </c>
      <c r="AG92">
        <v>24.641563415527344</v>
      </c>
      <c r="AH92">
        <v>29.955465316772461</v>
      </c>
      <c r="AI92">
        <v>27.877138137817383</v>
      </c>
      <c r="AJ92">
        <f t="shared" si="58"/>
        <v>4.2338724136352539</v>
      </c>
      <c r="AK92">
        <f t="shared" si="70"/>
        <v>-3.3841795921325684</v>
      </c>
      <c r="AL92">
        <f t="shared" si="71"/>
        <v>10.440939228202947</v>
      </c>
      <c r="AM92">
        <f t="shared" si="48"/>
        <v>3.3841795921325684</v>
      </c>
      <c r="AV92" t="s">
        <v>9</v>
      </c>
      <c r="AW92">
        <f>AVERAGE(AW70:AW72)</f>
        <v>-1.6952924728393555</v>
      </c>
    </row>
    <row r="93" spans="2:98" s="6" customFormat="1" ht="14.65" thickBot="1" x14ac:dyDescent="0.5">
      <c r="B93"/>
      <c r="C93" s="10" t="s">
        <v>109</v>
      </c>
      <c r="D93" s="18" t="s">
        <v>110</v>
      </c>
      <c r="E93">
        <v>16.763273239135742</v>
      </c>
      <c r="F93">
        <v>16.163143157958984</v>
      </c>
      <c r="G93">
        <v>19.23101806640625</v>
      </c>
      <c r="H93">
        <v>19.487615585327148</v>
      </c>
      <c r="I93">
        <f t="shared" si="41"/>
        <v>2.8961086273193359</v>
      </c>
      <c r="J93">
        <f t="shared" si="67"/>
        <v>2.2542832692464194</v>
      </c>
      <c r="K93">
        <f t="shared" si="43"/>
        <v>0.20960088750563358</v>
      </c>
      <c r="L93"/>
      <c r="M93"/>
      <c r="N93"/>
      <c r="O93" s="10" t="s">
        <v>109</v>
      </c>
      <c r="P93" s="18" t="s">
        <v>110</v>
      </c>
      <c r="Q93">
        <v>16.763273239135742</v>
      </c>
      <c r="R93">
        <v>16.163143157958984</v>
      </c>
      <c r="S93">
        <v>17.442348480224609</v>
      </c>
      <c r="T93">
        <v>18.385932922363281</v>
      </c>
      <c r="U93">
        <f t="shared" si="68"/>
        <v>1.450932502746582</v>
      </c>
      <c r="V93">
        <f t="shared" si="69"/>
        <v>3.2651770909627276</v>
      </c>
      <c r="W93">
        <f t="shared" si="45"/>
        <v>0.10401207356271415</v>
      </c>
      <c r="X93"/>
      <c r="Y93"/>
      <c r="Z93"/>
      <c r="AA93"/>
      <c r="AB93"/>
      <c r="AC93"/>
      <c r="AD93" s="15" t="s">
        <v>39</v>
      </c>
      <c r="AE93" s="16">
        <v>42</v>
      </c>
      <c r="AF93" s="6">
        <v>28.548709869384766</v>
      </c>
      <c r="AG93" s="6">
        <v>23.964010238647461</v>
      </c>
      <c r="AH93" s="6">
        <v>29.284336090087891</v>
      </c>
      <c r="AI93" s="6">
        <v>29.053306579589844</v>
      </c>
      <c r="AJ93" s="6">
        <f t="shared" si="58"/>
        <v>2.9124612808227539</v>
      </c>
      <c r="AK93" s="6">
        <f t="shared" si="70"/>
        <v>-4.7055907249450684</v>
      </c>
      <c r="AL93" s="6">
        <f t="shared" si="71"/>
        <v>26.092996470703287</v>
      </c>
      <c r="AM93">
        <f t="shared" si="48"/>
        <v>4.7055907249450684</v>
      </c>
      <c r="AN93"/>
      <c r="AO93"/>
      <c r="AP93"/>
      <c r="AQ93"/>
      <c r="AR93"/>
      <c r="AS93"/>
      <c r="AT93"/>
      <c r="AU93"/>
      <c r="AV93" t="s">
        <v>10</v>
      </c>
      <c r="AW93">
        <f>AVERAGE(AW76:AW78)</f>
        <v>-0.62424945831298828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</row>
    <row r="94" spans="2:98" ht="14.65" thickBot="1" x14ac:dyDescent="0.5">
      <c r="C94" s="11" t="s">
        <v>111</v>
      </c>
      <c r="D94" s="18" t="s">
        <v>112</v>
      </c>
      <c r="E94">
        <v>19.7908935546875</v>
      </c>
      <c r="F94">
        <v>16.724653244018555</v>
      </c>
      <c r="G94">
        <v>19.26392936706543</v>
      </c>
      <c r="H94">
        <v>19.411420822143555</v>
      </c>
      <c r="I94">
        <f t="shared" si="41"/>
        <v>1.0799016952514648</v>
      </c>
      <c r="J94">
        <f t="shared" si="67"/>
        <v>0.43807633717854821</v>
      </c>
      <c r="K94">
        <f t="shared" si="43"/>
        <v>0.73811814583641611</v>
      </c>
      <c r="L94" s="6"/>
      <c r="O94" s="11" t="s">
        <v>111</v>
      </c>
      <c r="P94" s="18" t="s">
        <v>112</v>
      </c>
      <c r="Q94">
        <v>19.7908935546875</v>
      </c>
      <c r="R94">
        <v>16.724653244018555</v>
      </c>
      <c r="S94">
        <v>17.860683441162109</v>
      </c>
      <c r="T94">
        <v>18.964962005615234</v>
      </c>
      <c r="U94">
        <f t="shared" si="68"/>
        <v>0.15504932403564453</v>
      </c>
      <c r="V94">
        <f t="shared" si="69"/>
        <v>1.9692939122517903</v>
      </c>
      <c r="W94">
        <f t="shared" si="45"/>
        <v>0.25537798863872058</v>
      </c>
      <c r="X94" s="6"/>
      <c r="AD94" s="9" t="s">
        <v>46</v>
      </c>
      <c r="AE94">
        <v>49</v>
      </c>
      <c r="AF94">
        <v>24.557197570800781</v>
      </c>
      <c r="AG94">
        <v>24.816131591796875</v>
      </c>
      <c r="AH94">
        <v>29.994661331176758</v>
      </c>
      <c r="AI94">
        <v>29.422616958618164</v>
      </c>
      <c r="AJ94">
        <f t="shared" si="58"/>
        <v>5.0219745635986328</v>
      </c>
      <c r="AK94">
        <f>AJ94-$AG$39</f>
        <v>-4.6570879618326817</v>
      </c>
      <c r="AL94">
        <f t="shared" si="71"/>
        <v>25.230343829491805</v>
      </c>
      <c r="AM94">
        <f t="shared" si="48"/>
        <v>4.6570879618326817</v>
      </c>
      <c r="AV94" t="s">
        <v>59</v>
      </c>
      <c r="AW94">
        <f>AVERAGE(AW82:AW84)</f>
        <v>-1.0905977884928386</v>
      </c>
    </row>
    <row r="95" spans="2:98" x14ac:dyDescent="0.45">
      <c r="C95" s="12" t="s">
        <v>34</v>
      </c>
      <c r="D95" s="20">
        <v>37</v>
      </c>
      <c r="E95">
        <v>22.639360427856445</v>
      </c>
      <c r="F95">
        <v>20.842739105224609</v>
      </c>
      <c r="G95">
        <v>30.548727035522461</v>
      </c>
      <c r="H95">
        <v>30.980796813964844</v>
      </c>
      <c r="I95">
        <f t="shared" si="41"/>
        <v>9.023712158203125</v>
      </c>
      <c r="J95">
        <f t="shared" ref="J95:J112" si="72">I95-$I$119</f>
        <v>3.4420420328776045</v>
      </c>
      <c r="K95">
        <f t="shared" si="43"/>
        <v>9.201149809416688E-2</v>
      </c>
      <c r="O95" s="12" t="s">
        <v>34</v>
      </c>
      <c r="P95" s="20">
        <v>37</v>
      </c>
      <c r="Q95">
        <v>22.639360427856445</v>
      </c>
      <c r="R95">
        <v>20.842739105224609</v>
      </c>
      <c r="S95">
        <v>27.015241622924805</v>
      </c>
      <c r="T95">
        <v>27.580282211303711</v>
      </c>
      <c r="U95">
        <f t="shared" si="68"/>
        <v>5.5567121505737305</v>
      </c>
      <c r="V95">
        <f t="shared" ref="V95:V106" si="73">U95-$U$119</f>
        <v>0.14547030131022165</v>
      </c>
      <c r="W95">
        <f t="shared" si="45"/>
        <v>0.90408460876012253</v>
      </c>
      <c r="AD95" s="10" t="s">
        <v>47</v>
      </c>
      <c r="AE95">
        <v>50</v>
      </c>
      <c r="AF95">
        <v>25.651039123535156</v>
      </c>
      <c r="AG95">
        <v>25.4066162109375</v>
      </c>
      <c r="AH95">
        <v>30.059211730957031</v>
      </c>
      <c r="AI95">
        <v>29.024120330810547</v>
      </c>
      <c r="AJ95">
        <f t="shared" si="58"/>
        <v>4.0128383636474609</v>
      </c>
      <c r="AK95">
        <f t="shared" ref="AK95:AK99" si="74">AJ95-$AG$39</f>
        <v>-5.6662241617838536</v>
      </c>
      <c r="AL95">
        <f t="shared" si="71"/>
        <v>50.781255595942028</v>
      </c>
      <c r="AM95">
        <f t="shared" si="48"/>
        <v>5.6662241617838536</v>
      </c>
    </row>
    <row r="96" spans="2:98" x14ac:dyDescent="0.45">
      <c r="C96" s="14" t="s">
        <v>35</v>
      </c>
      <c r="D96" s="20">
        <v>38</v>
      </c>
      <c r="E96">
        <v>21.157871246337891</v>
      </c>
      <c r="F96">
        <v>20.422847747802734</v>
      </c>
      <c r="G96">
        <v>25.081197738647461</v>
      </c>
      <c r="H96">
        <v>25.104053497314453</v>
      </c>
      <c r="I96">
        <f t="shared" si="41"/>
        <v>4.3022661209106445</v>
      </c>
      <c r="J96">
        <f t="shared" si="72"/>
        <v>-1.279404004414876</v>
      </c>
      <c r="K96">
        <f t="shared" si="43"/>
        <v>2.427386777422996</v>
      </c>
      <c r="O96" s="14" t="s">
        <v>35</v>
      </c>
      <c r="P96" s="20">
        <v>38</v>
      </c>
      <c r="Q96">
        <v>21.157871246337891</v>
      </c>
      <c r="R96">
        <v>20.422847747802734</v>
      </c>
      <c r="S96">
        <v>26.9599609375</v>
      </c>
      <c r="T96">
        <v>26.244173049926758</v>
      </c>
      <c r="U96">
        <f t="shared" si="68"/>
        <v>5.8117074966430664</v>
      </c>
      <c r="V96">
        <f t="shared" si="73"/>
        <v>0.40046564737955759</v>
      </c>
      <c r="W96">
        <f t="shared" si="45"/>
        <v>0.75761371474330486</v>
      </c>
      <c r="AD96" s="10" t="s">
        <v>48</v>
      </c>
      <c r="AE96">
        <v>51</v>
      </c>
      <c r="AF96">
        <v>24.690805435180664</v>
      </c>
      <c r="AG96">
        <v>24.414400100708008</v>
      </c>
      <c r="AH96">
        <v>29.964704513549805</v>
      </c>
      <c r="AI96">
        <v>30.704715728759766</v>
      </c>
      <c r="AJ96">
        <f t="shared" si="58"/>
        <v>5.7821073532104492</v>
      </c>
      <c r="AK96">
        <f t="shared" si="74"/>
        <v>-3.8969551722208653</v>
      </c>
      <c r="AL96">
        <f t="shared" si="71"/>
        <v>14.897054225118101</v>
      </c>
      <c r="AM96">
        <f t="shared" si="48"/>
        <v>3.8969551722208653</v>
      </c>
      <c r="AR96" t="s">
        <v>12</v>
      </c>
      <c r="AS96" t="s">
        <v>7</v>
      </c>
      <c r="AT96" t="s">
        <v>13</v>
      </c>
      <c r="AU96" t="s">
        <v>7</v>
      </c>
    </row>
    <row r="97" spans="3:47" x14ac:dyDescent="0.45">
      <c r="C97" s="14" t="s">
        <v>36</v>
      </c>
      <c r="D97" s="20">
        <v>39</v>
      </c>
      <c r="E97">
        <v>20.917741775512695</v>
      </c>
      <c r="F97">
        <v>21.402065277099609</v>
      </c>
      <c r="G97">
        <v>24.143505096435547</v>
      </c>
      <c r="H97">
        <v>25.014366149902344</v>
      </c>
      <c r="I97">
        <f t="shared" si="41"/>
        <v>3.419032096862793</v>
      </c>
      <c r="J97">
        <f t="shared" si="72"/>
        <v>-2.1626380284627276</v>
      </c>
      <c r="K97">
        <f t="shared" si="43"/>
        <v>4.4773280540837366</v>
      </c>
      <c r="O97" s="14" t="s">
        <v>36</v>
      </c>
      <c r="P97" s="20">
        <v>39</v>
      </c>
      <c r="Q97">
        <v>20.917741775512695</v>
      </c>
      <c r="R97">
        <v>21.402065277099609</v>
      </c>
      <c r="S97">
        <v>26.025209426879883</v>
      </c>
      <c r="U97">
        <f t="shared" si="68"/>
        <v>4.8653059005737305</v>
      </c>
      <c r="V97">
        <f t="shared" si="73"/>
        <v>-0.54593594868977835</v>
      </c>
      <c r="W97">
        <f t="shared" si="45"/>
        <v>1.4599671910740193</v>
      </c>
      <c r="AD97" s="10" t="s">
        <v>49</v>
      </c>
      <c r="AE97">
        <v>52</v>
      </c>
      <c r="AF97">
        <v>26.175790786743164</v>
      </c>
      <c r="AG97">
        <v>26.606502532958984</v>
      </c>
      <c r="AH97">
        <v>28.864034652709961</v>
      </c>
      <c r="AI97">
        <v>28.610322952270508</v>
      </c>
      <c r="AJ97">
        <f t="shared" si="58"/>
        <v>2.3460321426391602</v>
      </c>
      <c r="AK97">
        <f t="shared" si="74"/>
        <v>-7.3330303827921544</v>
      </c>
      <c r="AL97">
        <f t="shared" si="71"/>
        <v>161.236032987529</v>
      </c>
      <c r="AM97">
        <f t="shared" si="48"/>
        <v>7.3330303827921552</v>
      </c>
      <c r="AQ97" t="s">
        <v>10</v>
      </c>
      <c r="AR97">
        <f>AVERAGE(AY70:AY72)</f>
        <v>3.6360239109307018</v>
      </c>
      <c r="AS97">
        <f>_xlfn.STDEV.S(AY70:AY72)/SQRT(3)</f>
        <v>0.37073184440808854</v>
      </c>
      <c r="AT97">
        <f>AVERAGE(AY73:AY75)</f>
        <v>5.0260589402828488</v>
      </c>
      <c r="AU97">
        <f>_xlfn.STDEV.S(AY73:AY75)/SQRT(3)</f>
        <v>3.2285513557307333</v>
      </c>
    </row>
    <row r="98" spans="3:47" x14ac:dyDescent="0.45">
      <c r="C98" s="14" t="s">
        <v>37</v>
      </c>
      <c r="D98" s="20">
        <v>40</v>
      </c>
      <c r="E98">
        <v>18.610633850097656</v>
      </c>
      <c r="F98">
        <v>18.739953994750977</v>
      </c>
      <c r="G98">
        <v>25.764936447143555</v>
      </c>
      <c r="H98">
        <v>25.324113845825195</v>
      </c>
      <c r="I98">
        <f t="shared" si="41"/>
        <v>6.8692312240600586</v>
      </c>
      <c r="J98">
        <f t="shared" si="72"/>
        <v>1.2875610987345381</v>
      </c>
      <c r="K98">
        <f t="shared" si="43"/>
        <v>0.40964295285486263</v>
      </c>
      <c r="O98" s="14" t="s">
        <v>37</v>
      </c>
      <c r="P98" s="20">
        <v>40</v>
      </c>
      <c r="Q98">
        <v>18.610633850097656</v>
      </c>
      <c r="R98">
        <v>18.739953994750977</v>
      </c>
      <c r="S98">
        <v>24.729209899902344</v>
      </c>
      <c r="T98">
        <v>23.254209518432617</v>
      </c>
      <c r="U98">
        <f t="shared" si="68"/>
        <v>5.3164157867431641</v>
      </c>
      <c r="V98">
        <f t="shared" si="73"/>
        <v>-9.4826062520344756E-2</v>
      </c>
      <c r="W98">
        <f t="shared" si="45"/>
        <v>1.0679366452800059</v>
      </c>
      <c r="AD98" s="10" t="s">
        <v>50</v>
      </c>
      <c r="AE98">
        <v>53</v>
      </c>
      <c r="AF98">
        <v>25.96226692199707</v>
      </c>
      <c r="AG98">
        <v>26.004446029663086</v>
      </c>
      <c r="AH98">
        <v>29.733160018920898</v>
      </c>
      <c r="AI98">
        <v>28.947938919067383</v>
      </c>
      <c r="AJ98">
        <f t="shared" si="58"/>
        <v>3.3571929931640625</v>
      </c>
      <c r="AK98">
        <f t="shared" si="74"/>
        <v>-6.321869532267252</v>
      </c>
      <c r="AL98">
        <f t="shared" si="71"/>
        <v>79.996752664707955</v>
      </c>
      <c r="AM98">
        <f t="shared" si="48"/>
        <v>6.3218695322672529</v>
      </c>
      <c r="AQ98" t="s">
        <v>11</v>
      </c>
      <c r="AR98">
        <f>AVERAGE(AY76:AY78)</f>
        <v>0.63525037984124133</v>
      </c>
      <c r="AS98">
        <f>_xlfn.STDEV.S(AY76:AY78)/SQRT(3)</f>
        <v>0.15768139743144297</v>
      </c>
      <c r="AT98">
        <f>AVERAGE(AY79:AY81)</f>
        <v>0.64793194279212118</v>
      </c>
      <c r="AU98">
        <f>_xlfn.STDEV.S(AY79:AY81)/SQRT(3)</f>
        <v>6.4499275021712724E-2</v>
      </c>
    </row>
    <row r="99" spans="3:47" ht="14.65" thickBot="1" x14ac:dyDescent="0.5">
      <c r="C99" s="14" t="s">
        <v>38</v>
      </c>
      <c r="D99" s="20">
        <v>41</v>
      </c>
      <c r="E99">
        <v>19.761592864990234</v>
      </c>
      <c r="F99">
        <v>19.535896301269531</v>
      </c>
      <c r="G99">
        <v>27.327812194824219</v>
      </c>
      <c r="H99">
        <v>27.708196640014648</v>
      </c>
      <c r="I99">
        <f t="shared" si="41"/>
        <v>7.8692598342895508</v>
      </c>
      <c r="J99">
        <f t="shared" si="72"/>
        <v>2.2875897089640302</v>
      </c>
      <c r="K99">
        <f t="shared" si="43"/>
        <v>0.20481741463254413</v>
      </c>
      <c r="O99" s="14" t="s">
        <v>38</v>
      </c>
      <c r="P99" s="20">
        <v>41</v>
      </c>
      <c r="Q99">
        <v>19.761592864990234</v>
      </c>
      <c r="R99">
        <v>19.535896301269531</v>
      </c>
      <c r="S99">
        <v>26.447994232177734</v>
      </c>
      <c r="T99">
        <v>26.162919998168945</v>
      </c>
      <c r="U99">
        <f t="shared" si="68"/>
        <v>6.656712532043457</v>
      </c>
      <c r="V99">
        <f t="shared" si="73"/>
        <v>1.2454706827799482</v>
      </c>
      <c r="W99">
        <f t="shared" si="45"/>
        <v>0.42177027203466055</v>
      </c>
      <c r="AD99" s="11" t="s">
        <v>51</v>
      </c>
      <c r="AE99" s="6">
        <v>54</v>
      </c>
      <c r="AF99" s="6">
        <v>28.795482635498047</v>
      </c>
      <c r="AG99">
        <f>AVERAGE(AG97:AG98)</f>
        <v>26.305474281311035</v>
      </c>
      <c r="AH99" s="6">
        <v>28.232904434204102</v>
      </c>
      <c r="AI99" s="6">
        <v>28.570615768432617</v>
      </c>
      <c r="AJ99" s="6">
        <f t="shared" si="58"/>
        <v>0.85128164291381836</v>
      </c>
      <c r="AK99" s="6">
        <f t="shared" si="74"/>
        <v>-8.8277808825174962</v>
      </c>
      <c r="AL99" s="6">
        <f t="shared" si="71"/>
        <v>454.38798669118478</v>
      </c>
      <c r="AM99">
        <f t="shared" si="48"/>
        <v>8.8277808825174962</v>
      </c>
      <c r="AQ99" t="s">
        <v>61</v>
      </c>
      <c r="AR99">
        <f>AVERAGE(AY82:AY84)</f>
        <v>301.22885907486653</v>
      </c>
      <c r="AS99">
        <f>_xlfn.STDEV.S(AY82:AY84)/SQRT(3)</f>
        <v>36.842125269902155</v>
      </c>
      <c r="AT99">
        <f>AVERAGE(AY85:AY87)</f>
        <v>379.66598742670857</v>
      </c>
      <c r="AU99">
        <f>_xlfn.STDEV.S(AY85:AY87)/SQRT(3)</f>
        <v>153.71428659458797</v>
      </c>
    </row>
    <row r="100" spans="3:47" ht="14.65" thickBot="1" x14ac:dyDescent="0.5">
      <c r="C100" s="15" t="s">
        <v>39</v>
      </c>
      <c r="D100" s="20">
        <v>42</v>
      </c>
      <c r="E100">
        <v>19.471731185913086</v>
      </c>
      <c r="F100">
        <v>19.580150604248047</v>
      </c>
      <c r="G100">
        <v>25.048927307128906</v>
      </c>
      <c r="H100">
        <v>24.949560165405273</v>
      </c>
      <c r="I100">
        <f t="shared" si="41"/>
        <v>5.4733028411865234</v>
      </c>
      <c r="J100">
        <f t="shared" si="72"/>
        <v>-0.1083672841389971</v>
      </c>
      <c r="K100">
        <f t="shared" si="43"/>
        <v>1.0780075513938958</v>
      </c>
      <c r="L100" s="6"/>
      <c r="O100" s="15" t="s">
        <v>39</v>
      </c>
      <c r="P100" s="20">
        <v>42</v>
      </c>
      <c r="Q100">
        <v>19.471731185913086</v>
      </c>
      <c r="R100">
        <v>19.580150604248047</v>
      </c>
      <c r="S100">
        <v>22.912817001342773</v>
      </c>
      <c r="T100">
        <v>22.945905685424805</v>
      </c>
      <c r="U100">
        <f t="shared" si="68"/>
        <v>3.4034204483032227</v>
      </c>
      <c r="V100">
        <f t="shared" si="73"/>
        <v>-2.0078214009602862</v>
      </c>
      <c r="W100">
        <f t="shared" si="45"/>
        <v>4.0217444172327736</v>
      </c>
      <c r="X100" s="6"/>
    </row>
    <row r="101" spans="3:47" x14ac:dyDescent="0.45">
      <c r="C101" s="9" t="s">
        <v>113</v>
      </c>
      <c r="D101" t="s">
        <v>114</v>
      </c>
      <c r="E101">
        <v>19.571315765380859</v>
      </c>
      <c r="F101">
        <v>19.484441757202148</v>
      </c>
      <c r="G101">
        <v>24.744054794311523</v>
      </c>
      <c r="H101">
        <v>24.744722366333008</v>
      </c>
      <c r="I101">
        <f t="shared" si="41"/>
        <v>5.2165098190307617</v>
      </c>
      <c r="J101">
        <f t="shared" si="72"/>
        <v>-0.36516030629475882</v>
      </c>
      <c r="K101">
        <f t="shared" si="43"/>
        <v>1.2880247415306818</v>
      </c>
      <c r="O101" s="9" t="s">
        <v>113</v>
      </c>
      <c r="P101" s="18" t="s">
        <v>114</v>
      </c>
      <c r="Q101">
        <v>19.571315765380859</v>
      </c>
      <c r="R101">
        <v>19.484441757202148</v>
      </c>
      <c r="S101">
        <v>26.158147811889648</v>
      </c>
      <c r="T101">
        <v>25.983499526977539</v>
      </c>
      <c r="U101">
        <f>(AVERAGE(S101:T101)-AVERAGE(Q101:R101))</f>
        <v>6.5429449081420898</v>
      </c>
      <c r="V101">
        <f t="shared" si="73"/>
        <v>1.131703058878581</v>
      </c>
      <c r="W101">
        <f t="shared" si="45"/>
        <v>0.45637666783168351</v>
      </c>
    </row>
    <row r="102" spans="3:47" x14ac:dyDescent="0.45">
      <c r="C102" s="10" t="s">
        <v>115</v>
      </c>
      <c r="D102" t="s">
        <v>116</v>
      </c>
      <c r="E102">
        <v>20.865747451782227</v>
      </c>
      <c r="F102">
        <v>20.862632751464844</v>
      </c>
      <c r="G102">
        <v>26.20399284362793</v>
      </c>
      <c r="H102">
        <v>25.841577529907227</v>
      </c>
      <c r="I102">
        <f t="shared" si="41"/>
        <v>5.158595085144043</v>
      </c>
      <c r="J102">
        <f t="shared" si="72"/>
        <v>-0.42307504018147757</v>
      </c>
      <c r="K102">
        <f t="shared" si="43"/>
        <v>1.3407823290715337</v>
      </c>
      <c r="O102" s="10" t="s">
        <v>115</v>
      </c>
      <c r="P102" s="18" t="s">
        <v>116</v>
      </c>
      <c r="Q102">
        <v>20.865747451782227</v>
      </c>
      <c r="R102">
        <v>20.862632751464844</v>
      </c>
      <c r="S102">
        <v>25.433828353881836</v>
      </c>
      <c r="T102">
        <v>23.828285217285156</v>
      </c>
      <c r="U102">
        <f>(AVERAGE(S102:T102)-AVERAGE(Q102:R102))</f>
        <v>3.7668666839599609</v>
      </c>
      <c r="V102">
        <f t="shared" si="73"/>
        <v>-1.6443751653035479</v>
      </c>
      <c r="W102">
        <f t="shared" si="45"/>
        <v>3.1261243472934144</v>
      </c>
      <c r="AE102" s="8"/>
      <c r="AG102" t="s">
        <v>60</v>
      </c>
      <c r="AH102">
        <f>AVERAGE(AJ70:AJ72)</f>
        <v>4.1146351496378584</v>
      </c>
    </row>
    <row r="103" spans="3:47" x14ac:dyDescent="0.45">
      <c r="C103" s="10" t="s">
        <v>117</v>
      </c>
      <c r="D103" t="s">
        <v>118</v>
      </c>
      <c r="E103">
        <v>21.150739669799805</v>
      </c>
      <c r="F103">
        <v>20.814653396606445</v>
      </c>
      <c r="G103">
        <v>26.964374542236328</v>
      </c>
      <c r="H103">
        <v>26.199079513549805</v>
      </c>
      <c r="I103">
        <f t="shared" si="41"/>
        <v>5.5990304946899414</v>
      </c>
      <c r="J103">
        <f t="shared" si="72"/>
        <v>1.7360369364420869E-2</v>
      </c>
      <c r="K103">
        <f t="shared" si="43"/>
        <v>0.98803881943657734</v>
      </c>
      <c r="O103" s="10" t="s">
        <v>117</v>
      </c>
      <c r="P103" s="18" t="s">
        <v>118</v>
      </c>
      <c r="Q103">
        <v>21.150739669799805</v>
      </c>
      <c r="R103">
        <v>20.814653396606445</v>
      </c>
      <c r="S103">
        <v>24.336002349853516</v>
      </c>
      <c r="T103">
        <v>23.676731109619141</v>
      </c>
      <c r="U103">
        <f>(AVERAGE(S103:T103)-AVERAGE(Q103:R103))</f>
        <v>3.0236701965332031</v>
      </c>
      <c r="V103">
        <f t="shared" si="73"/>
        <v>-2.3875716527303057</v>
      </c>
      <c r="W103">
        <f t="shared" si="45"/>
        <v>5.2327584088766255</v>
      </c>
      <c r="AG103" t="s">
        <v>8</v>
      </c>
      <c r="AH103">
        <f>AVERAGE(AJ76:AJ78)</f>
        <v>5.6281398137410479</v>
      </c>
    </row>
    <row r="104" spans="3:47" x14ac:dyDescent="0.45">
      <c r="C104" s="10" t="s">
        <v>119</v>
      </c>
      <c r="D104" t="s">
        <v>120</v>
      </c>
      <c r="E104">
        <v>19.512594223022461</v>
      </c>
      <c r="F104">
        <v>19.430202484130859</v>
      </c>
      <c r="G104">
        <v>24.709074020385742</v>
      </c>
      <c r="H104">
        <v>24.922080993652344</v>
      </c>
      <c r="I104">
        <f t="shared" si="41"/>
        <v>5.3441791534423828</v>
      </c>
      <c r="J104">
        <f t="shared" si="72"/>
        <v>-0.23749097188313772</v>
      </c>
      <c r="K104">
        <f t="shared" si="43"/>
        <v>1.1789405516193359</v>
      </c>
      <c r="O104" s="10" t="s">
        <v>119</v>
      </c>
      <c r="P104" s="18" t="s">
        <v>120</v>
      </c>
      <c r="Q104">
        <v>19.512594223022461</v>
      </c>
      <c r="R104">
        <v>19.430202484130859</v>
      </c>
      <c r="T104">
        <v>25.624601364135742</v>
      </c>
      <c r="U104">
        <f t="shared" ref="U104:U112" si="75">(AVERAGE(S104:T104)-AVERAGE(Q104:R104))</f>
        <v>6.153203010559082</v>
      </c>
      <c r="V104">
        <f t="shared" si="73"/>
        <v>0.74196116129557321</v>
      </c>
      <c r="W104">
        <f t="shared" si="45"/>
        <v>0.59792599490031284</v>
      </c>
      <c r="AG104" t="s">
        <v>9</v>
      </c>
      <c r="AH104">
        <f>AVERAGE(AJ82:AJ84)</f>
        <v>3.4135042826334634</v>
      </c>
    </row>
    <row r="105" spans="3:47" x14ac:dyDescent="0.45">
      <c r="C105" s="10" t="s">
        <v>121</v>
      </c>
      <c r="D105" t="s">
        <v>122</v>
      </c>
      <c r="E105">
        <v>18.439184188842773</v>
      </c>
      <c r="F105">
        <v>18.924104690551758</v>
      </c>
      <c r="G105">
        <v>24.204904556274414</v>
      </c>
      <c r="H105">
        <v>24.334100723266602</v>
      </c>
      <c r="I105">
        <f t="shared" si="41"/>
        <v>5.5878582000732422</v>
      </c>
      <c r="J105">
        <f t="shared" si="72"/>
        <v>6.1880747477216502E-3</v>
      </c>
      <c r="K105">
        <f t="shared" si="43"/>
        <v>0.99571993911565937</v>
      </c>
      <c r="O105" s="10" t="s">
        <v>121</v>
      </c>
      <c r="P105" s="18" t="s">
        <v>122</v>
      </c>
      <c r="Q105">
        <v>18.439184188842773</v>
      </c>
      <c r="R105">
        <v>18.924104690551758</v>
      </c>
      <c r="S105">
        <v>25.382270812988281</v>
      </c>
      <c r="T105">
        <v>25.655925750732422</v>
      </c>
      <c r="U105">
        <f t="shared" si="75"/>
        <v>6.8374538421630859</v>
      </c>
      <c r="V105">
        <f t="shared" si="73"/>
        <v>1.4262119928995771</v>
      </c>
      <c r="W105">
        <f t="shared" si="45"/>
        <v>0.37210663157708324</v>
      </c>
      <c r="AG105" t="s">
        <v>10</v>
      </c>
      <c r="AH105">
        <f>AVERAGE(AJ88:AJ90)</f>
        <v>2.9312871297200522</v>
      </c>
    </row>
    <row r="106" spans="3:47" ht="14.65" thickBot="1" x14ac:dyDescent="0.5">
      <c r="C106" s="11" t="s">
        <v>123</v>
      </c>
      <c r="D106" t="s">
        <v>124</v>
      </c>
      <c r="E106">
        <v>22.297138214111328</v>
      </c>
      <c r="F106">
        <v>22.335651397705078</v>
      </c>
      <c r="G106">
        <v>29.594884872436523</v>
      </c>
      <c r="H106">
        <v>29.598577499389648</v>
      </c>
      <c r="I106">
        <f t="shared" si="41"/>
        <v>7.2803363800048828</v>
      </c>
      <c r="J106">
        <f t="shared" si="72"/>
        <v>1.6986662546793623</v>
      </c>
      <c r="K106">
        <f t="shared" si="43"/>
        <v>0.30807077755749301</v>
      </c>
      <c r="O106" s="11" t="s">
        <v>123</v>
      </c>
      <c r="P106" s="18" t="s">
        <v>124</v>
      </c>
      <c r="Q106">
        <v>22.297138214111328</v>
      </c>
      <c r="R106">
        <v>22.335651397705078</v>
      </c>
      <c r="S106">
        <v>24.791534423828125</v>
      </c>
      <c r="T106">
        <v>26.650386810302734</v>
      </c>
      <c r="U106" s="6">
        <f t="shared" si="75"/>
        <v>3.4045658111572266</v>
      </c>
      <c r="V106">
        <f t="shared" si="73"/>
        <v>-2.0066760381062823</v>
      </c>
      <c r="W106">
        <f t="shared" si="45"/>
        <v>4.0185528011862663</v>
      </c>
      <c r="AG106" t="s">
        <v>59</v>
      </c>
      <c r="AH106">
        <f>AVERAGE(AJ94:AJ96)</f>
        <v>4.9389734268188477</v>
      </c>
    </row>
    <row r="107" spans="3:47" x14ac:dyDescent="0.45">
      <c r="C107" s="9" t="s">
        <v>125</v>
      </c>
      <c r="D107" t="s">
        <v>126</v>
      </c>
      <c r="E107">
        <v>19.013988494873047</v>
      </c>
      <c r="F107">
        <v>19.229890823364258</v>
      </c>
      <c r="G107">
        <v>25.312355041503906</v>
      </c>
      <c r="H107">
        <v>25.366989135742188</v>
      </c>
      <c r="I107">
        <f t="shared" si="41"/>
        <v>6.2177324295043945</v>
      </c>
      <c r="J107">
        <f t="shared" si="72"/>
        <v>0.63606230417887399</v>
      </c>
      <c r="K107">
        <f t="shared" si="43"/>
        <v>0.64346683431380536</v>
      </c>
      <c r="O107" s="9" t="s">
        <v>125</v>
      </c>
      <c r="P107" s="18" t="s">
        <v>126</v>
      </c>
      <c r="Q107">
        <v>19.013988494873047</v>
      </c>
      <c r="R107">
        <v>19.229890823364258</v>
      </c>
      <c r="S107">
        <v>24.070642471313477</v>
      </c>
      <c r="T107">
        <v>25.001577377319336</v>
      </c>
      <c r="U107">
        <f t="shared" si="75"/>
        <v>5.4141702651977539</v>
      </c>
      <c r="V107">
        <f t="shared" ref="V107:V112" si="76">U107-$U$121</f>
        <v>-1.5669822692871094E-2</v>
      </c>
      <c r="W107">
        <f t="shared" si="45"/>
        <v>1.0109206935789965</v>
      </c>
      <c r="AE107" t="s">
        <v>12</v>
      </c>
      <c r="AF107" t="s">
        <v>7</v>
      </c>
      <c r="AG107" t="s">
        <v>13</v>
      </c>
      <c r="AH107" t="s">
        <v>7</v>
      </c>
    </row>
    <row r="108" spans="3:47" x14ac:dyDescent="0.45">
      <c r="C108" s="10" t="s">
        <v>127</v>
      </c>
      <c r="D108" t="s">
        <v>128</v>
      </c>
      <c r="E108">
        <v>17.551944732666016</v>
      </c>
      <c r="F108">
        <v>21.725025177001953</v>
      </c>
      <c r="G108">
        <v>28.222265243530273</v>
      </c>
      <c r="H108">
        <v>28.141908645629883</v>
      </c>
      <c r="I108">
        <f t="shared" si="41"/>
        <v>8.5436019897460938</v>
      </c>
      <c r="J108">
        <f t="shared" si="72"/>
        <v>2.9619318644205732</v>
      </c>
      <c r="K108">
        <f t="shared" si="43"/>
        <v>0.12834225441790725</v>
      </c>
      <c r="O108" s="10" t="s">
        <v>127</v>
      </c>
      <c r="P108" s="18" t="s">
        <v>128</v>
      </c>
      <c r="Q108">
        <v>17.551944732666016</v>
      </c>
      <c r="R108">
        <v>21.725025177001953</v>
      </c>
      <c r="S108">
        <v>24.590778350830078</v>
      </c>
      <c r="T108">
        <v>25.542291641235352</v>
      </c>
      <c r="U108">
        <f t="shared" si="75"/>
        <v>5.4280500411987305</v>
      </c>
      <c r="V108">
        <f t="shared" si="76"/>
        <v>-1.7900466918945313E-3</v>
      </c>
      <c r="W108">
        <f t="shared" si="45"/>
        <v>1.001241535885923</v>
      </c>
      <c r="AD108" t="s">
        <v>60</v>
      </c>
      <c r="AE108">
        <f>AVERAGE(AL70:AL72)</f>
        <v>0.77392989123811917</v>
      </c>
      <c r="AF108">
        <f>_xlfn.STDEV.S(AL70:AL72)/SQRT(3)</f>
        <v>0.25398739102088097</v>
      </c>
      <c r="AG108">
        <f>AVERAGE(AL73:AL75)</f>
        <v>0.48594411180412989</v>
      </c>
      <c r="AH108">
        <f>_xlfn.STDEV.S(AL73:AL75)/SQRT(3)</f>
        <v>0.16949184679371904</v>
      </c>
      <c r="AI108" s="8"/>
      <c r="AJ108" s="8"/>
      <c r="AL108" s="8"/>
    </row>
    <row r="109" spans="3:47" x14ac:dyDescent="0.45">
      <c r="C109" s="10" t="s">
        <v>129</v>
      </c>
      <c r="D109" t="s">
        <v>130</v>
      </c>
      <c r="E109">
        <v>19.365203857421875</v>
      </c>
      <c r="F109">
        <v>19.709468841552734</v>
      </c>
      <c r="G109">
        <v>24.480628967285156</v>
      </c>
      <c r="H109">
        <v>24.298036575317383</v>
      </c>
      <c r="I109">
        <f t="shared" si="41"/>
        <v>4.8519964218139648</v>
      </c>
      <c r="J109">
        <f t="shared" si="72"/>
        <v>-0.72967370351155569</v>
      </c>
      <c r="K109">
        <f t="shared" si="43"/>
        <v>1.6582639971719477</v>
      </c>
      <c r="O109" s="10" t="s">
        <v>129</v>
      </c>
      <c r="P109" s="18" t="s">
        <v>130</v>
      </c>
      <c r="Q109">
        <v>19.365203857421875</v>
      </c>
      <c r="R109">
        <v>19.709468841552734</v>
      </c>
      <c r="S109">
        <v>24.443914413452148</v>
      </c>
      <c r="T109">
        <v>25.525358200073242</v>
      </c>
      <c r="U109">
        <f t="shared" si="75"/>
        <v>5.4472999572753906</v>
      </c>
      <c r="V109">
        <f t="shared" si="76"/>
        <v>1.7459869384765625E-2</v>
      </c>
      <c r="W109">
        <f t="shared" si="45"/>
        <v>0.9879706785684097</v>
      </c>
      <c r="AD109" t="s">
        <v>8</v>
      </c>
      <c r="AE109">
        <f>AVERAGE(AL76:AL78)</f>
        <v>1.3995858309468912</v>
      </c>
      <c r="AF109">
        <f>_xlfn.STDEV.S(AL76:AL78)/SQRT(3)</f>
        <v>0.51668843754771576</v>
      </c>
      <c r="AG109">
        <f>AVERAGE(AL79:AL81)</f>
        <v>1.6736399941111977</v>
      </c>
      <c r="AH109">
        <f>_xlfn.STDEV.S(AL79:AL81)/SQRT(3)</f>
        <v>0.82023729065087625</v>
      </c>
    </row>
    <row r="110" spans="3:47" x14ac:dyDescent="0.45">
      <c r="C110" s="10" t="s">
        <v>131</v>
      </c>
      <c r="D110" t="s">
        <v>132</v>
      </c>
      <c r="E110">
        <v>22.088394165039063</v>
      </c>
      <c r="F110">
        <v>21.123758316040039</v>
      </c>
      <c r="G110">
        <v>27.459375381469727</v>
      </c>
      <c r="H110">
        <v>27.710939407348633</v>
      </c>
      <c r="I110">
        <f t="shared" si="41"/>
        <v>5.9790811538696289</v>
      </c>
      <c r="J110">
        <f t="shared" si="72"/>
        <v>0.39741102854410837</v>
      </c>
      <c r="K110">
        <f t="shared" si="43"/>
        <v>0.7592195099655058</v>
      </c>
      <c r="O110" s="10" t="s">
        <v>131</v>
      </c>
      <c r="P110" s="18" t="s">
        <v>132</v>
      </c>
      <c r="Q110">
        <v>22.088394165039063</v>
      </c>
      <c r="R110">
        <v>21.123758316040039</v>
      </c>
      <c r="S110">
        <v>26.356880187988281</v>
      </c>
      <c r="T110">
        <v>26.604270935058594</v>
      </c>
      <c r="U110">
        <f t="shared" si="75"/>
        <v>4.8744993209838867</v>
      </c>
      <c r="V110">
        <f t="shared" si="76"/>
        <v>-0.55534076690673828</v>
      </c>
      <c r="W110">
        <f t="shared" si="45"/>
        <v>1.4695156942770453</v>
      </c>
      <c r="AD110" t="s">
        <v>9</v>
      </c>
      <c r="AE110">
        <f>AVERAGE(AL82:AL84)</f>
        <v>12.684265039716882</v>
      </c>
      <c r="AF110">
        <f>_xlfn.STDEV.S(AL82:AL84)/SQRT(3)</f>
        <v>2.6404976158733153</v>
      </c>
      <c r="AG110">
        <f>AVERAGE(AL85:AL87)</f>
        <v>56.874023431359717</v>
      </c>
      <c r="AH110">
        <f>_xlfn.STDEV.S(AL85:AL87)/SQRT(3)</f>
        <v>26.639766174033856</v>
      </c>
    </row>
    <row r="111" spans="3:47" x14ac:dyDescent="0.45">
      <c r="C111" s="10" t="s">
        <v>133</v>
      </c>
      <c r="D111" t="s">
        <v>134</v>
      </c>
      <c r="E111">
        <v>20.197696685791016</v>
      </c>
      <c r="F111">
        <v>19.158523559570313</v>
      </c>
      <c r="G111">
        <v>24.874094009399414</v>
      </c>
      <c r="H111">
        <v>25.077451705932617</v>
      </c>
      <c r="I111">
        <f t="shared" si="41"/>
        <v>5.2976627349853516</v>
      </c>
      <c r="J111">
        <f t="shared" si="72"/>
        <v>-0.28400739034016897</v>
      </c>
      <c r="K111">
        <f t="shared" si="43"/>
        <v>1.2175722557746751</v>
      </c>
      <c r="O111" s="10" t="s">
        <v>133</v>
      </c>
      <c r="P111" s="18" t="s">
        <v>134</v>
      </c>
      <c r="Q111">
        <v>20.197696685791016</v>
      </c>
      <c r="R111">
        <v>19.158523559570313</v>
      </c>
      <c r="S111">
        <v>27.179788589477539</v>
      </c>
      <c r="T111">
        <v>25.391399383544922</v>
      </c>
      <c r="U111">
        <f t="shared" si="75"/>
        <v>6.6074838638305664</v>
      </c>
      <c r="V111">
        <f t="shared" si="76"/>
        <v>1.1776437759399414</v>
      </c>
      <c r="W111">
        <f t="shared" si="45"/>
        <v>0.44207290679944006</v>
      </c>
      <c r="AD111" t="s">
        <v>10</v>
      </c>
      <c r="AE111">
        <f>AVERAGE(AL88:AL90)</f>
        <v>66.688096909315064</v>
      </c>
      <c r="AF111">
        <f>_xlfn.STDEV.S(AL88:AL90)/SQRT(3)</f>
        <v>24.971784569457636</v>
      </c>
      <c r="AG111">
        <f>AVERAGE(AL91:AL93)</f>
        <v>14.19724061087021</v>
      </c>
      <c r="AH111">
        <f>_xlfn.STDEV.S(AL91:AL93)/SQRT(3)</f>
        <v>6.0809747949381112</v>
      </c>
    </row>
    <row r="112" spans="3:47" ht="14.65" thickBot="1" x14ac:dyDescent="0.5">
      <c r="C112" s="11" t="s">
        <v>135</v>
      </c>
      <c r="D112" t="s">
        <v>136</v>
      </c>
      <c r="E112">
        <v>20.010265350341797</v>
      </c>
      <c r="F112">
        <v>15.717747688293457</v>
      </c>
      <c r="G112">
        <v>31.096672058105469</v>
      </c>
      <c r="H112">
        <v>30.857091903686523</v>
      </c>
      <c r="I112">
        <f t="shared" si="41"/>
        <v>13.112875461578369</v>
      </c>
      <c r="J112">
        <f t="shared" si="72"/>
        <v>7.5312053362528486</v>
      </c>
      <c r="K112">
        <f t="shared" si="43"/>
        <v>5.4060653377768593E-3</v>
      </c>
      <c r="O112" s="11" t="s">
        <v>135</v>
      </c>
      <c r="P112" s="18" t="s">
        <v>136</v>
      </c>
      <c r="Q112">
        <v>20.010265350341797</v>
      </c>
      <c r="S112">
        <v>29.635795593261719</v>
      </c>
      <c r="T112">
        <v>29.312080383300781</v>
      </c>
      <c r="U112">
        <f t="shared" si="75"/>
        <v>9.4636726379394531</v>
      </c>
      <c r="V112">
        <f t="shared" si="76"/>
        <v>4.0338325500488281</v>
      </c>
      <c r="W112">
        <f t="shared" si="45"/>
        <v>6.105136872631519E-2</v>
      </c>
      <c r="AD112" t="s">
        <v>59</v>
      </c>
      <c r="AE112">
        <f>AVERAGE(AL94:AL96)</f>
        <v>30.302884550183975</v>
      </c>
      <c r="AF112">
        <f>_xlfn.STDEV.S(AL94:AL96)/SQRT(3)</f>
        <v>10.664848475682021</v>
      </c>
      <c r="AG112">
        <f>AVERAGE(AL97:AL99)</f>
        <v>231.87359078114059</v>
      </c>
      <c r="AH112">
        <f>_xlfn.STDEV.S(AL97:AL99)/SQRT(3)</f>
        <v>113.7020191219889</v>
      </c>
    </row>
    <row r="115" spans="3:21" x14ac:dyDescent="0.45">
      <c r="H115" t="s">
        <v>8</v>
      </c>
      <c r="I115">
        <f>AVERAGE(I71:I73)</f>
        <v>1.2669283548990886</v>
      </c>
      <c r="T115" t="s">
        <v>8</v>
      </c>
      <c r="U115">
        <f>AVERAGE(U71:U73)</f>
        <v>-2.6603736877441406</v>
      </c>
    </row>
    <row r="116" spans="3:21" x14ac:dyDescent="0.45">
      <c r="H116" t="s">
        <v>87</v>
      </c>
      <c r="I116">
        <f>AVERAGE(I77:I79)</f>
        <v>0.27056948343912762</v>
      </c>
      <c r="T116" t="s">
        <v>87</v>
      </c>
      <c r="U116">
        <f>AVERAGE(U77:U79)</f>
        <v>-2.4951508839925132</v>
      </c>
    </row>
    <row r="117" spans="3:21" x14ac:dyDescent="0.45">
      <c r="H117" t="s">
        <v>9</v>
      </c>
      <c r="I117">
        <f>AVERAGE(I83:I85)</f>
        <v>7.9830023447672529</v>
      </c>
      <c r="T117" t="s">
        <v>9</v>
      </c>
      <c r="U117">
        <f>AVERAGE(U83:U85)</f>
        <v>-1.4664421081542969</v>
      </c>
    </row>
    <row r="118" spans="3:21" x14ac:dyDescent="0.45">
      <c r="H118" t="s">
        <v>88</v>
      </c>
      <c r="I118">
        <f>AVERAGE(I89:I91)</f>
        <v>0.64182535807291663</v>
      </c>
      <c r="T118" t="s">
        <v>88</v>
      </c>
      <c r="U118">
        <f>AVERAGE(U89:U91)</f>
        <v>-1.8142445882161458</v>
      </c>
    </row>
    <row r="119" spans="3:21" x14ac:dyDescent="0.45">
      <c r="H119" t="s">
        <v>10</v>
      </c>
      <c r="I119">
        <f>AVERAGE(I95:I97)</f>
        <v>5.5816701253255205</v>
      </c>
      <c r="T119" t="s">
        <v>10</v>
      </c>
      <c r="U119">
        <f>AVERAGE(U95:U97)</f>
        <v>5.4112418492635088</v>
      </c>
    </row>
    <row r="120" spans="3:21" x14ac:dyDescent="0.45">
      <c r="H120" t="s">
        <v>11</v>
      </c>
      <c r="I120">
        <f>AVERAGE(I101:I103)</f>
        <v>5.324711799621582</v>
      </c>
      <c r="T120" t="s">
        <v>11</v>
      </c>
      <c r="U120">
        <f>AVERAGE(U101:U103)</f>
        <v>4.4444939295450849</v>
      </c>
    </row>
    <row r="121" spans="3:21" x14ac:dyDescent="0.45">
      <c r="H121" t="s">
        <v>61</v>
      </c>
      <c r="I121" t="s">
        <v>167</v>
      </c>
      <c r="T121" t="s">
        <v>61</v>
      </c>
      <c r="U121">
        <f>AVERAGE(U107:U109)</f>
        <v>5.429840087890625</v>
      </c>
    </row>
    <row r="125" spans="3:21" x14ac:dyDescent="0.45">
      <c r="D125" t="s">
        <v>12</v>
      </c>
      <c r="E125" t="s">
        <v>7</v>
      </c>
      <c r="F125" t="s">
        <v>13</v>
      </c>
      <c r="G125" t="s">
        <v>7</v>
      </c>
      <c r="P125" t="s">
        <v>12</v>
      </c>
      <c r="Q125" t="s">
        <v>7</v>
      </c>
      <c r="R125" t="s">
        <v>13</v>
      </c>
      <c r="S125" t="s">
        <v>7</v>
      </c>
    </row>
    <row r="126" spans="3:21" x14ac:dyDescent="0.45">
      <c r="C126" t="s">
        <v>8</v>
      </c>
      <c r="D126">
        <f>AVERAGE(K71:K73)</f>
        <v>1.0442259882186875</v>
      </c>
      <c r="E126">
        <f>_xlfn.STDEV.S(K71:K73)/SQRT(3)</f>
        <v>0.20625972674476228</v>
      </c>
      <c r="F126">
        <f>AVERAGE(K74:K76)</f>
        <v>0.60805323285786528</v>
      </c>
      <c r="G126">
        <f>_xlfn.STDEV.S(K74:K76)/SQRT(3)</f>
        <v>0.14563333150482008</v>
      </c>
      <c r="O126" t="s">
        <v>8</v>
      </c>
      <c r="P126">
        <f>AVERAGE(W71:W73)</f>
        <v>1.0548998552594082</v>
      </c>
      <c r="Q126">
        <f>_xlfn.STDEV.S(W71:W73)/SQRT(3)</f>
        <v>0.25208939646915263</v>
      </c>
      <c r="R126">
        <f>AVERAGE(W74:W76)</f>
        <v>1.0064082859116514</v>
      </c>
      <c r="S126">
        <f>_xlfn.STDEV.S(W74:W76)/SQRT(3)</f>
        <v>0.16920951300430068</v>
      </c>
    </row>
    <row r="127" spans="3:21" x14ac:dyDescent="0.45">
      <c r="C127" t="s">
        <v>87</v>
      </c>
      <c r="D127">
        <f>AVERAGE(K77:K79)</f>
        <v>1.3395786696941094</v>
      </c>
      <c r="E127">
        <f>_xlfn.STDEV.S(K77:K79)/SQRT(3)</f>
        <v>0.54984888325551973</v>
      </c>
      <c r="F127">
        <f>AVERAGE(K80:K82)</f>
        <v>0.87753993763389226</v>
      </c>
      <c r="G127">
        <f>_xlfn.STDEV.S(K80:K82)/SQRT(3)</f>
        <v>0.28660859149047097</v>
      </c>
      <c r="O127" t="s">
        <v>87</v>
      </c>
      <c r="P127">
        <f>AVERAGE(W77:W79)</f>
        <v>1.0436529102616312</v>
      </c>
      <c r="Q127">
        <f>_xlfn.STDEV.S(W77:W79)/SQRT(3)</f>
        <v>0.19755089782820959</v>
      </c>
      <c r="R127">
        <f>AVERAGE(W80:W82)</f>
        <v>0.59387555491620703</v>
      </c>
      <c r="S127">
        <f>_xlfn.STDEV.S(W80:W82)/SQRT(3)</f>
        <v>0.28262456520381879</v>
      </c>
    </row>
    <row r="128" spans="3:21" x14ac:dyDescent="0.45">
      <c r="C128" t="s">
        <v>9</v>
      </c>
      <c r="D128">
        <f>AVERAGE(K83:K85)</f>
        <v>1.0844452572258179</v>
      </c>
      <c r="E128">
        <f>_xlfn.STDEV.S(K83:K85)/SQRT(3)</f>
        <v>0.31531742828787995</v>
      </c>
      <c r="F128">
        <f>AVERAGE(K86:K88)</f>
        <v>4.6972397510679116</v>
      </c>
      <c r="G128">
        <f>_xlfn.STDEV.S(K86:K88)/SQRT(3)</f>
        <v>1.9975540948416433</v>
      </c>
      <c r="O128" t="s">
        <v>9</v>
      </c>
      <c r="P128">
        <f>AVERAGE(W83:W85)</f>
        <v>1.0395041010817518</v>
      </c>
      <c r="Q128">
        <f>_xlfn.STDEV.S(W83:W85)/SQRT(3)</f>
        <v>0.18786534774454061</v>
      </c>
      <c r="R128">
        <f>AVERAGE(W86:W88)</f>
        <v>1.9625849388730436</v>
      </c>
      <c r="S128">
        <f>_xlfn.STDEV.S(W86:W88)/SQRT(3)</f>
        <v>0.66564606148390393</v>
      </c>
    </row>
    <row r="129" spans="3:19" x14ac:dyDescent="0.45">
      <c r="C129" t="s">
        <v>88</v>
      </c>
      <c r="D129">
        <f>AVERAGE(K89:K91)</f>
        <v>1.0300255160544147</v>
      </c>
      <c r="E129">
        <f>_xlfn.STDEV.S(K89:K91)/SQRT(3)</f>
        <v>0.16549389104752693</v>
      </c>
      <c r="F129">
        <f>AVERAGE(K92:K94)</f>
        <v>0.35317798008935397</v>
      </c>
      <c r="G129">
        <f>_xlfn.STDEV.S(K92:K94)/SQRT(3)</f>
        <v>0.19452910913580629</v>
      </c>
      <c r="O129" t="s">
        <v>88</v>
      </c>
      <c r="P129">
        <f>AVERAGE(W89:W91)</f>
        <v>1.4703028698432441</v>
      </c>
      <c r="Q129">
        <f>_xlfn.STDEV.S(W89:W91)/SQRT(3)</f>
        <v>0.91953578865159424</v>
      </c>
      <c r="R129">
        <f>AVERAGE(W92:W94)</f>
        <v>0.17840989657954084</v>
      </c>
      <c r="S129">
        <f>_xlfn.STDEV.S(W92:W94)/SQRT(3)</f>
        <v>4.3714470426132961E-2</v>
      </c>
    </row>
    <row r="130" spans="3:19" x14ac:dyDescent="0.45">
      <c r="C130" t="s">
        <v>10</v>
      </c>
      <c r="D130">
        <f>AVERAGE(K95:K97)</f>
        <v>2.3322421098669666</v>
      </c>
      <c r="E130">
        <f>_xlfn.STDEV.S(K95:K97)/SQRT(3)</f>
        <v>1.2668253898205959</v>
      </c>
      <c r="F130">
        <f>AVERAGE(K98:K100)</f>
        <v>0.56415597296043418</v>
      </c>
      <c r="G130">
        <f>_xlfn.STDEV.S(K98:K100)/SQRT(3)</f>
        <v>0.26364177638792097</v>
      </c>
      <c r="O130" t="s">
        <v>10</v>
      </c>
      <c r="P130">
        <f>AVERAGE(W95:W97)</f>
        <v>1.0405551715258154</v>
      </c>
      <c r="Q130">
        <f>_xlfn.STDEV.S(W95:W97)/SQRT(3)</f>
        <v>0.21392620402422932</v>
      </c>
      <c r="R130">
        <f>AVERAGE(W98:W100)</f>
        <v>1.8371504448491465</v>
      </c>
      <c r="S130">
        <f>_xlfn.STDEV.S(W98:W100)/SQRT(3)</f>
        <v>1.1081096310999528</v>
      </c>
    </row>
    <row r="131" spans="3:19" x14ac:dyDescent="0.45">
      <c r="O131" t="s">
        <v>11</v>
      </c>
      <c r="P131">
        <f>AVERAGE(W101:W103)</f>
        <v>2.9384198080005746</v>
      </c>
      <c r="Q131">
        <f>_xlfn.STDEV.S(W101:W103)/SQRT(3)</f>
        <v>1.3820130703193116</v>
      </c>
      <c r="R131">
        <f>AVERAGE(W104:W106)</f>
        <v>1.6628618092212208</v>
      </c>
      <c r="S131">
        <f>_xlfn.STDEV.S(W104:W106)/SQRT(3)</f>
        <v>1.1796480595827263</v>
      </c>
    </row>
    <row r="132" spans="3:19" x14ac:dyDescent="0.45">
      <c r="O132" t="s">
        <v>61</v>
      </c>
      <c r="P132">
        <f>AVERAGE(W107:W109)</f>
        <v>1.0000443026777763</v>
      </c>
      <c r="Q132">
        <f>_xlfn.STDEV.S(W107:W109)/SQRT(3)</f>
        <v>6.6520879620000171E-3</v>
      </c>
      <c r="R132">
        <f>AVERAGE(W110:W112)</f>
        <v>0.65754665660093348</v>
      </c>
      <c r="S132">
        <f>_xlfn.STDEV.S(W110:W112)/SQRT(3)</f>
        <v>0.42062043131839016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3597-F66F-4A3C-8CE2-0F6FE02CC014}">
  <dimension ref="A2:AM72"/>
  <sheetViews>
    <sheetView tabSelected="1" zoomScale="50" zoomScaleNormal="50" workbookViewId="0">
      <selection activeCell="J51" sqref="J51"/>
    </sheetView>
  </sheetViews>
  <sheetFormatPr baseColWidth="10" defaultRowHeight="14.25" x14ac:dyDescent="0.45"/>
  <cols>
    <col min="1" max="2" width="10.6640625" style="32"/>
    <col min="8" max="8" width="13.06640625" bestFit="1" customWidth="1"/>
    <col min="9" max="9" width="35.59765625" bestFit="1" customWidth="1"/>
    <col min="10" max="10" width="32.19921875" bestFit="1" customWidth="1"/>
    <col min="15" max="16" width="10.6640625" style="32"/>
    <col min="23" max="23" width="36.73046875" bestFit="1" customWidth="1"/>
    <col min="28" max="28" width="11.46484375" customWidth="1"/>
    <col min="29" max="30" width="10.6640625" style="32"/>
  </cols>
  <sheetData>
    <row r="2" spans="1:39" x14ac:dyDescent="0.45">
      <c r="C2" s="25" t="s">
        <v>168</v>
      </c>
      <c r="D2" s="25"/>
      <c r="E2" s="26" t="s">
        <v>6</v>
      </c>
      <c r="F2" s="26"/>
      <c r="G2" s="27" t="s">
        <v>58</v>
      </c>
      <c r="H2" s="27"/>
      <c r="Q2" s="25" t="s">
        <v>168</v>
      </c>
      <c r="R2" s="25"/>
      <c r="S2" s="26" t="s">
        <v>6</v>
      </c>
      <c r="T2" s="26"/>
      <c r="U2" s="27" t="s">
        <v>14</v>
      </c>
      <c r="V2" s="27"/>
      <c r="AE2" s="25" t="s">
        <v>168</v>
      </c>
      <c r="AF2" s="25"/>
      <c r="AG2" s="26" t="s">
        <v>6</v>
      </c>
      <c r="AH2" s="26"/>
      <c r="AI2" s="27" t="s">
        <v>15</v>
      </c>
      <c r="AJ2" s="27"/>
    </row>
    <row r="3" spans="1:39" ht="14.65" thickBot="1" x14ac:dyDescent="0.5">
      <c r="B3" s="33" t="s">
        <v>5</v>
      </c>
      <c r="C3" s="1"/>
      <c r="D3" s="1"/>
      <c r="E3" s="2" t="s">
        <v>0</v>
      </c>
      <c r="F3" s="2" t="s">
        <v>0</v>
      </c>
      <c r="G3" s="3" t="s">
        <v>1</v>
      </c>
      <c r="H3" s="3" t="s">
        <v>1</v>
      </c>
      <c r="I3" s="4" t="s">
        <v>2</v>
      </c>
      <c r="J3" s="4" t="s">
        <v>3</v>
      </c>
      <c r="K3" s="5" t="s">
        <v>4</v>
      </c>
      <c r="L3" s="7"/>
      <c r="P3" s="33" t="s">
        <v>5</v>
      </c>
      <c r="Q3" s="28" t="s">
        <v>0</v>
      </c>
      <c r="R3" s="28"/>
      <c r="S3" s="28"/>
      <c r="T3" s="29"/>
      <c r="U3" s="30" t="s">
        <v>1</v>
      </c>
      <c r="V3" s="31"/>
      <c r="W3" s="4" t="s">
        <v>2</v>
      </c>
      <c r="X3" s="4" t="s">
        <v>3</v>
      </c>
      <c r="Y3" s="5" t="s">
        <v>4</v>
      </c>
      <c r="Z3" s="7"/>
      <c r="AD3" s="33" t="s">
        <v>5</v>
      </c>
      <c r="AE3" s="28" t="s">
        <v>0</v>
      </c>
      <c r="AF3" s="28"/>
      <c r="AG3" s="28"/>
      <c r="AH3" s="29"/>
      <c r="AI3" s="30" t="s">
        <v>1</v>
      </c>
      <c r="AJ3" s="31"/>
      <c r="AK3" s="4" t="s">
        <v>2</v>
      </c>
      <c r="AL3" s="4" t="s">
        <v>3</v>
      </c>
      <c r="AM3" s="5" t="s">
        <v>4</v>
      </c>
    </row>
    <row r="4" spans="1:39" x14ac:dyDescent="0.45">
      <c r="A4" s="32" t="s">
        <v>22</v>
      </c>
      <c r="B4" s="32">
        <v>13</v>
      </c>
      <c r="C4">
        <v>21.284868240356445</v>
      </c>
      <c r="D4">
        <v>21.909469604492188</v>
      </c>
      <c r="E4">
        <v>23.071939468383789</v>
      </c>
      <c r="F4">
        <v>22.264886856079102</v>
      </c>
      <c r="G4">
        <v>23.373025894165039</v>
      </c>
      <c r="H4">
        <v>23.521110534667969</v>
      </c>
      <c r="I4">
        <f t="shared" ref="I4:I45" si="0">(AVERAGE(G4:H4)-AVERAGE(C4:F4))</f>
        <v>1.314277172088623</v>
      </c>
      <c r="J4">
        <f t="shared" ref="J4:J9" si="1">I4-$I$57</f>
        <v>-2.2243499755859375E-2</v>
      </c>
      <c r="K4">
        <f t="shared" ref="K4:K45" si="2">2^-J4</f>
        <v>1.0155374900103649</v>
      </c>
      <c r="O4" s="32" t="s">
        <v>68</v>
      </c>
      <c r="P4" s="32">
        <v>7</v>
      </c>
      <c r="W4" t="e">
        <f>(AVERAGE(U4:V4)-AVERAGE(Q4:T4))</f>
        <v>#DIV/0!</v>
      </c>
      <c r="X4" t="e">
        <f>W4-$X$53</f>
        <v>#DIV/0!</v>
      </c>
      <c r="Y4" t="e">
        <f t="shared" ref="Y4:Y33" si="3">2^-X4</f>
        <v>#DIV/0!</v>
      </c>
      <c r="AC4" s="35" t="s">
        <v>16</v>
      </c>
      <c r="AD4" s="32">
        <v>1</v>
      </c>
      <c r="AE4">
        <v>20.908760070800781</v>
      </c>
      <c r="AF4">
        <v>20.090328216552734</v>
      </c>
      <c r="AG4">
        <f>AVERAGE(AG5:AG6)</f>
        <v>24.916069030761719</v>
      </c>
      <c r="AH4">
        <f>AVERAGE(AH5:AH6)</f>
        <v>24.364872932434082</v>
      </c>
      <c r="AI4">
        <v>29.597381591796875</v>
      </c>
      <c r="AJ4">
        <v>28.577678680419922</v>
      </c>
      <c r="AK4">
        <f>(AVERAGE(AI4:AJ4)-AVERAGE(AE4:AH4))</f>
        <v>6.5175225734710693</v>
      </c>
      <c r="AL4">
        <f>AK4-$AI$36</f>
        <v>0.19525321324666312</v>
      </c>
      <c r="AM4">
        <f>2^-AL4</f>
        <v>0.87341958505600292</v>
      </c>
    </row>
    <row r="5" spans="1:39" x14ac:dyDescent="0.45">
      <c r="A5" s="32" t="s">
        <v>23</v>
      </c>
      <c r="B5" s="32">
        <v>14</v>
      </c>
      <c r="C5">
        <v>24.800493240356445</v>
      </c>
      <c r="D5">
        <v>24.307313919067383</v>
      </c>
      <c r="E5">
        <f>AVERAGE(E4:F4)</f>
        <v>22.668413162231445</v>
      </c>
      <c r="F5">
        <v>24.496122360229492</v>
      </c>
      <c r="G5">
        <v>26.720930099487305</v>
      </c>
      <c r="H5">
        <v>24.680517196655273</v>
      </c>
      <c r="I5">
        <f t="shared" si="0"/>
        <v>1.6326379776000977</v>
      </c>
      <c r="J5">
        <f t="shared" si="1"/>
        <v>0.29611730575561523</v>
      </c>
      <c r="K5">
        <f t="shared" si="2"/>
        <v>0.81444133802743757</v>
      </c>
      <c r="O5" s="32" t="s">
        <v>69</v>
      </c>
      <c r="P5" s="32">
        <v>8</v>
      </c>
      <c r="W5" t="e">
        <f t="shared" ref="W5:W51" si="4">(AVERAGE(U5:V5)-AVERAGE(Q5:T5))</f>
        <v>#DIV/0!</v>
      </c>
      <c r="X5" t="e">
        <f t="shared" ref="X5:X9" si="5">W5-$X$53</f>
        <v>#DIV/0!</v>
      </c>
      <c r="Y5" t="e">
        <f t="shared" si="3"/>
        <v>#DIV/0!</v>
      </c>
      <c r="AC5" s="36" t="s">
        <v>17</v>
      </c>
      <c r="AD5" s="32">
        <v>2</v>
      </c>
      <c r="AE5">
        <v>17.307544708251953</v>
      </c>
      <c r="AF5">
        <v>18.863681793212891</v>
      </c>
      <c r="AG5">
        <v>25.264202117919922</v>
      </c>
      <c r="AH5">
        <v>24.607383728027344</v>
      </c>
      <c r="AI5">
        <v>28.978958129882813</v>
      </c>
      <c r="AJ5">
        <v>27.349374771118164</v>
      </c>
      <c r="AK5">
        <f t="shared" ref="AK5:AK33" si="6">(AVERAGE(AI5:AJ5)-AVERAGE(AE5:AH5))</f>
        <v>6.6534633636474609</v>
      </c>
      <c r="AL5">
        <f t="shared" ref="AL5:AL9" si="7">AK5-$AI$36</f>
        <v>0.33119400342305472</v>
      </c>
      <c r="AM5">
        <f t="shared" ref="AM5:AM33" si="8">2^-AL5</f>
        <v>0.7948783541439074</v>
      </c>
    </row>
    <row r="6" spans="1:39" x14ac:dyDescent="0.45">
      <c r="A6" s="32" t="s">
        <v>24</v>
      </c>
      <c r="B6" s="32">
        <v>15</v>
      </c>
      <c r="C6">
        <v>22.700410842895508</v>
      </c>
      <c r="D6">
        <v>21.756250381469727</v>
      </c>
      <c r="E6">
        <v>21.682107925415039</v>
      </c>
      <c r="F6">
        <v>21.740228652954102</v>
      </c>
      <c r="G6">
        <v>23.224050521850586</v>
      </c>
      <c r="H6">
        <v>22.840742111206055</v>
      </c>
      <c r="I6">
        <f t="shared" si="0"/>
        <v>1.0626468658447266</v>
      </c>
      <c r="J6">
        <f t="shared" si="1"/>
        <v>-0.27387380599975586</v>
      </c>
      <c r="K6">
        <f t="shared" si="2"/>
        <v>1.2090499143841298</v>
      </c>
      <c r="O6" s="32" t="s">
        <v>70</v>
      </c>
      <c r="P6" s="32">
        <v>9</v>
      </c>
      <c r="W6" t="e">
        <f t="shared" si="4"/>
        <v>#DIV/0!</v>
      </c>
      <c r="X6" t="e">
        <f t="shared" si="5"/>
        <v>#DIV/0!</v>
      </c>
      <c r="Y6" t="e">
        <f t="shared" si="3"/>
        <v>#DIV/0!</v>
      </c>
      <c r="AC6" s="36" t="s">
        <v>18</v>
      </c>
      <c r="AD6" s="32">
        <v>3</v>
      </c>
      <c r="AE6">
        <v>18.830657958984375</v>
      </c>
      <c r="AF6">
        <v>18.962850570678711</v>
      </c>
      <c r="AG6">
        <v>24.567935943603516</v>
      </c>
      <c r="AH6">
        <v>24.12236213684082</v>
      </c>
      <c r="AI6">
        <v>26.972911834716797</v>
      </c>
      <c r="AJ6">
        <v>27.860635757446289</v>
      </c>
      <c r="AK6">
        <f t="shared" si="6"/>
        <v>5.7958221435546875</v>
      </c>
      <c r="AL6">
        <f t="shared" si="7"/>
        <v>-0.52644721666971872</v>
      </c>
      <c r="AM6">
        <f t="shared" si="8"/>
        <v>1.4403777476565041</v>
      </c>
    </row>
    <row r="7" spans="1:39" x14ac:dyDescent="0.45">
      <c r="A7" s="32" t="s">
        <v>25</v>
      </c>
      <c r="B7" s="32">
        <v>16</v>
      </c>
      <c r="C7">
        <v>23.723972320556641</v>
      </c>
      <c r="D7">
        <v>23.676177978515625</v>
      </c>
      <c r="E7">
        <v>22.851814270019531</v>
      </c>
      <c r="F7">
        <v>22.62908935546875</v>
      </c>
      <c r="G7">
        <v>26.621055603027344</v>
      </c>
      <c r="H7">
        <v>26.4608154296875</v>
      </c>
      <c r="I7">
        <f t="shared" si="0"/>
        <v>3.3206720352172852</v>
      </c>
      <c r="J7">
        <f t="shared" si="1"/>
        <v>1.9841513633728027</v>
      </c>
      <c r="K7">
        <f t="shared" si="2"/>
        <v>0.25276149981931534</v>
      </c>
      <c r="O7" s="32" t="s">
        <v>71</v>
      </c>
      <c r="P7" s="32">
        <v>10</v>
      </c>
      <c r="W7" t="e">
        <f t="shared" si="4"/>
        <v>#DIV/0!</v>
      </c>
      <c r="X7" t="e">
        <f t="shared" si="5"/>
        <v>#DIV/0!</v>
      </c>
      <c r="Y7" t="e">
        <f t="shared" si="3"/>
        <v>#DIV/0!</v>
      </c>
      <c r="AC7" s="36" t="s">
        <v>19</v>
      </c>
      <c r="AD7" s="32">
        <v>4</v>
      </c>
      <c r="AE7">
        <v>18.896659851074219</v>
      </c>
      <c r="AF7">
        <v>15.871526718139648</v>
      </c>
      <c r="AG7">
        <v>26.225223541259766</v>
      </c>
      <c r="AH7">
        <v>26.224079132080078</v>
      </c>
      <c r="AI7">
        <v>28.039314270019531</v>
      </c>
      <c r="AJ7">
        <v>28.311746597290039</v>
      </c>
      <c r="AK7">
        <f t="shared" si="6"/>
        <v>6.3711581230163574</v>
      </c>
      <c r="AL7">
        <f t="shared" si="7"/>
        <v>4.8888762791951201E-2</v>
      </c>
      <c r="AM7">
        <f t="shared" si="8"/>
        <v>0.96668062890002937</v>
      </c>
    </row>
    <row r="8" spans="1:39" x14ac:dyDescent="0.45">
      <c r="A8" s="32" t="s">
        <v>26</v>
      </c>
      <c r="B8" s="32">
        <v>17</v>
      </c>
      <c r="C8">
        <v>22.567632675170898</v>
      </c>
      <c r="D8">
        <v>21.779718399047852</v>
      </c>
      <c r="E8">
        <v>21.444099426269531</v>
      </c>
      <c r="F8">
        <v>21.269981384277344</v>
      </c>
      <c r="G8">
        <v>24.655250549316406</v>
      </c>
      <c r="H8">
        <v>23.449985504150391</v>
      </c>
      <c r="I8">
        <f t="shared" si="0"/>
        <v>2.2872600555419922</v>
      </c>
      <c r="J8">
        <f t="shared" si="1"/>
        <v>0.95073938369750977</v>
      </c>
      <c r="K8">
        <f t="shared" si="2"/>
        <v>0.51736724235943954</v>
      </c>
      <c r="O8" s="32" t="s">
        <v>72</v>
      </c>
      <c r="P8" s="32">
        <v>11</v>
      </c>
      <c r="W8" t="e">
        <f t="shared" si="4"/>
        <v>#DIV/0!</v>
      </c>
      <c r="X8" t="e">
        <f t="shared" si="5"/>
        <v>#DIV/0!</v>
      </c>
      <c r="Y8" t="e">
        <f t="shared" si="3"/>
        <v>#DIV/0!</v>
      </c>
      <c r="AC8" s="36" t="s">
        <v>20</v>
      </c>
      <c r="AD8" s="32">
        <v>5</v>
      </c>
      <c r="AE8">
        <v>16.763273239135742</v>
      </c>
      <c r="AF8">
        <v>16.163143157958984</v>
      </c>
      <c r="AG8">
        <v>28.975690841674805</v>
      </c>
      <c r="AH8">
        <v>27.984882354736328</v>
      </c>
      <c r="AI8">
        <v>30.757711410522461</v>
      </c>
      <c r="AJ8">
        <v>30.088790893554688</v>
      </c>
      <c r="AK8">
        <f t="shared" si="6"/>
        <v>7.9515037536621094</v>
      </c>
      <c r="AL8">
        <f t="shared" si="7"/>
        <v>1.6292343934377032</v>
      </c>
      <c r="AM8">
        <f t="shared" si="8"/>
        <v>0.32325970897491929</v>
      </c>
    </row>
    <row r="9" spans="1:39" ht="14.65" thickBot="1" x14ac:dyDescent="0.5">
      <c r="A9" s="34" t="s">
        <v>27</v>
      </c>
      <c r="B9" s="34">
        <v>18</v>
      </c>
      <c r="C9">
        <v>24.220592498779297</v>
      </c>
      <c r="D9">
        <v>23.636730194091797</v>
      </c>
      <c r="E9" s="22">
        <v>24.16185188293457</v>
      </c>
      <c r="F9" s="22">
        <v>24.008493423461914</v>
      </c>
      <c r="G9" s="22">
        <v>25.487449645996094</v>
      </c>
      <c r="H9" s="22">
        <v>25.427541732788086</v>
      </c>
      <c r="I9">
        <f t="shared" si="0"/>
        <v>1.4505786895751953</v>
      </c>
      <c r="J9">
        <f t="shared" si="1"/>
        <v>0.11405801773071289</v>
      </c>
      <c r="K9">
        <f t="shared" si="2"/>
        <v>0.92398541378659116</v>
      </c>
      <c r="L9" s="6"/>
      <c r="O9" s="34" t="s">
        <v>73</v>
      </c>
      <c r="P9" s="34">
        <v>12</v>
      </c>
      <c r="S9" s="6"/>
      <c r="T9" s="6"/>
      <c r="W9" t="e">
        <f t="shared" si="4"/>
        <v>#DIV/0!</v>
      </c>
      <c r="X9" t="e">
        <f t="shared" si="5"/>
        <v>#DIV/0!</v>
      </c>
      <c r="Y9" s="6" t="e">
        <f t="shared" si="3"/>
        <v>#DIV/0!</v>
      </c>
      <c r="Z9" s="6"/>
      <c r="AC9" s="37" t="s">
        <v>21</v>
      </c>
      <c r="AD9" s="34">
        <v>6</v>
      </c>
      <c r="AE9">
        <v>19.7908935546875</v>
      </c>
      <c r="AF9">
        <v>16.724653244018555</v>
      </c>
      <c r="AG9" s="6">
        <v>27.481815338134766</v>
      </c>
      <c r="AH9" s="6">
        <v>27.595712661743164</v>
      </c>
      <c r="AI9">
        <v>28.538774490356445</v>
      </c>
      <c r="AJ9">
        <v>28.614933013916016</v>
      </c>
      <c r="AK9">
        <f t="shared" si="6"/>
        <v>5.6785850524902344</v>
      </c>
      <c r="AL9">
        <f t="shared" si="7"/>
        <v>-0.64368430773417185</v>
      </c>
      <c r="AM9">
        <f t="shared" si="8"/>
        <v>1.5623138555391194</v>
      </c>
    </row>
    <row r="10" spans="1:39" x14ac:dyDescent="0.45">
      <c r="A10" s="32" t="s">
        <v>74</v>
      </c>
      <c r="B10" s="32">
        <v>19</v>
      </c>
      <c r="C10">
        <v>19.815937042236328</v>
      </c>
      <c r="D10">
        <v>16.608829498291016</v>
      </c>
      <c r="E10">
        <v>19.560247421264648</v>
      </c>
      <c r="F10">
        <v>19.663799285888672</v>
      </c>
      <c r="G10">
        <v>20.57823371887207</v>
      </c>
      <c r="H10">
        <v>19.895570755004883</v>
      </c>
      <c r="I10">
        <f t="shared" si="0"/>
        <v>1.3246989250183105</v>
      </c>
      <c r="J10">
        <f t="shared" ref="J10:J15" si="9">I10-$I$58</f>
        <v>1.3241267204284668</v>
      </c>
      <c r="K10">
        <f t="shared" si="2"/>
        <v>0.39939087582373983</v>
      </c>
      <c r="O10" s="32" t="s">
        <v>22</v>
      </c>
      <c r="P10" s="32">
        <v>13</v>
      </c>
      <c r="Q10">
        <v>21.284868240356445</v>
      </c>
      <c r="R10">
        <v>21.909469604492188</v>
      </c>
      <c r="S10">
        <v>23.071939468383789</v>
      </c>
      <c r="T10">
        <v>22.264886856079102</v>
      </c>
      <c r="U10">
        <v>19.613838195800781</v>
      </c>
      <c r="V10">
        <v>19.181236267089844</v>
      </c>
      <c r="W10">
        <f t="shared" si="4"/>
        <v>-2.7352538108825684</v>
      </c>
      <c r="X10">
        <f>W10-$W$54</f>
        <v>-0.14447244008382176</v>
      </c>
      <c r="Y10">
        <f t="shared" si="3"/>
        <v>1.105326387338555</v>
      </c>
      <c r="AC10" s="35" t="s">
        <v>22</v>
      </c>
      <c r="AD10" s="32">
        <v>13</v>
      </c>
      <c r="AE10">
        <v>21.284868240356445</v>
      </c>
      <c r="AF10">
        <v>21.909469604492188</v>
      </c>
      <c r="AG10">
        <v>23.071939468383789</v>
      </c>
      <c r="AH10">
        <v>22.264886856079102</v>
      </c>
      <c r="AI10">
        <v>30.384269714355469</v>
      </c>
      <c r="AJ10">
        <v>28.845123291015625</v>
      </c>
      <c r="AK10">
        <f t="shared" ref="AK10:AK15" si="10">(AVERAGE(AI10:AJ10)-AVERAGE(AE10:AH10))</f>
        <v>7.481905460357666</v>
      </c>
      <c r="AL10">
        <f>AK10-$AI$37</f>
        <v>1.7710965474446612</v>
      </c>
      <c r="AM10">
        <f t="shared" si="8"/>
        <v>0.29298596317631798</v>
      </c>
    </row>
    <row r="11" spans="1:39" x14ac:dyDescent="0.45">
      <c r="A11" s="32" t="s">
        <v>75</v>
      </c>
      <c r="B11" s="32">
        <v>20</v>
      </c>
      <c r="C11">
        <v>19.375036239624023</v>
      </c>
      <c r="D11">
        <v>21.857366561889648</v>
      </c>
      <c r="E11">
        <v>20.876609802246094</v>
      </c>
      <c r="F11">
        <v>21.012306213378906</v>
      </c>
      <c r="G11">
        <v>19.618621826171875</v>
      </c>
      <c r="H11">
        <v>19.929195404052734</v>
      </c>
      <c r="I11">
        <f t="shared" si="0"/>
        <v>-1.0064210891723633</v>
      </c>
      <c r="J11">
        <f t="shared" si="9"/>
        <v>-1.006993293762207</v>
      </c>
      <c r="K11">
        <f t="shared" si="2"/>
        <v>2.0097182988315856</v>
      </c>
      <c r="O11" s="32" t="s">
        <v>23</v>
      </c>
      <c r="P11" s="32">
        <v>14</v>
      </c>
      <c r="Q11">
        <v>24.800493240356445</v>
      </c>
      <c r="R11">
        <v>24.307313919067383</v>
      </c>
      <c r="S11">
        <f>AVERAGE(S10:T10)</f>
        <v>22.668413162231445</v>
      </c>
      <c r="T11">
        <v>24.496122360229492</v>
      </c>
      <c r="U11">
        <v>21.626813888549805</v>
      </c>
      <c r="V11">
        <v>20.894906997680664</v>
      </c>
      <c r="W11">
        <f t="shared" si="4"/>
        <v>-2.807225227355957</v>
      </c>
      <c r="X11">
        <f t="shared" ref="X11:X15" si="11">W11-$W$54</f>
        <v>-0.21644385655721043</v>
      </c>
      <c r="Y11">
        <f t="shared" si="3"/>
        <v>1.1618661342636569</v>
      </c>
      <c r="AC11" s="36" t="s">
        <v>23</v>
      </c>
      <c r="AD11" s="32">
        <v>14</v>
      </c>
      <c r="AE11">
        <v>24.800493240356445</v>
      </c>
      <c r="AF11">
        <v>24.307313919067383</v>
      </c>
      <c r="AH11">
        <v>24.496122360229492</v>
      </c>
      <c r="AI11">
        <v>27.827814102172852</v>
      </c>
      <c r="AJ11">
        <v>27.808982849121094</v>
      </c>
      <c r="AK11">
        <f t="shared" si="10"/>
        <v>3.2837553024291992</v>
      </c>
      <c r="AL11">
        <f t="shared" ref="AL11:AL15" si="12">AK11-$AI$37</f>
        <v>-2.4270536104838056</v>
      </c>
      <c r="AM11">
        <f t="shared" si="8"/>
        <v>5.3779398169027965</v>
      </c>
    </row>
    <row r="12" spans="1:39" x14ac:dyDescent="0.45">
      <c r="A12" s="32" t="s">
        <v>76</v>
      </c>
      <c r="B12" s="32">
        <v>21</v>
      </c>
      <c r="C12">
        <v>21.734310150146484</v>
      </c>
      <c r="D12">
        <v>19.444177627563477</v>
      </c>
      <c r="E12">
        <v>20.971982955932617</v>
      </c>
      <c r="F12">
        <v>19.990678787231445</v>
      </c>
      <c r="G12">
        <v>20.230546951293945</v>
      </c>
      <c r="H12">
        <v>20.206905364990234</v>
      </c>
      <c r="I12">
        <f t="shared" si="0"/>
        <v>-0.31656122207641602</v>
      </c>
      <c r="J12">
        <f t="shared" si="9"/>
        <v>-0.31713342666625977</v>
      </c>
      <c r="K12">
        <f t="shared" si="2"/>
        <v>1.2458526320719514</v>
      </c>
      <c r="O12" s="32" t="s">
        <v>24</v>
      </c>
      <c r="P12" s="32">
        <v>15</v>
      </c>
      <c r="Q12">
        <v>22.700410842895508</v>
      </c>
      <c r="R12">
        <v>21.756250381469727</v>
      </c>
      <c r="S12">
        <v>21.682107925415039</v>
      </c>
      <c r="T12">
        <v>21.740228652954102</v>
      </c>
      <c r="U12">
        <v>19.684675216674805</v>
      </c>
      <c r="V12">
        <v>19.795093536376953</v>
      </c>
      <c r="W12">
        <f t="shared" si="4"/>
        <v>-2.2298650741577148</v>
      </c>
      <c r="X12">
        <f t="shared" si="11"/>
        <v>0.36091629664103175</v>
      </c>
      <c r="Y12">
        <f t="shared" si="3"/>
        <v>0.77866986720135156</v>
      </c>
      <c r="AC12" s="36" t="s">
        <v>24</v>
      </c>
      <c r="AD12" s="32">
        <v>15</v>
      </c>
      <c r="AE12">
        <v>22.700410842895508</v>
      </c>
      <c r="AF12">
        <v>21.756250381469727</v>
      </c>
      <c r="AG12">
        <v>21.682107925415039</v>
      </c>
      <c r="AH12">
        <v>21.740228652954102</v>
      </c>
      <c r="AI12">
        <v>27.69183349609375</v>
      </c>
      <c r="AJ12">
        <v>28.981197357177734</v>
      </c>
      <c r="AK12">
        <f t="shared" si="10"/>
        <v>6.3667659759521484</v>
      </c>
      <c r="AL12">
        <f t="shared" si="12"/>
        <v>0.65595706303914358</v>
      </c>
      <c r="AM12">
        <f t="shared" si="8"/>
        <v>0.63465433107834268</v>
      </c>
    </row>
    <row r="13" spans="1:39" x14ac:dyDescent="0.45">
      <c r="A13" s="32" t="s">
        <v>77</v>
      </c>
      <c r="B13" s="32">
        <v>22</v>
      </c>
      <c r="C13">
        <v>25.797534942626953</v>
      </c>
      <c r="D13">
        <v>21.927577972412109</v>
      </c>
      <c r="E13">
        <v>24.447492599487305</v>
      </c>
      <c r="F13">
        <v>23.712411880493164</v>
      </c>
      <c r="G13">
        <v>24.542383193969727</v>
      </c>
      <c r="H13">
        <v>23.92054557800293</v>
      </c>
      <c r="I13">
        <f t="shared" si="0"/>
        <v>0.26021003723144531</v>
      </c>
      <c r="J13">
        <f t="shared" si="9"/>
        <v>0.25963783264160156</v>
      </c>
      <c r="K13">
        <f t="shared" si="2"/>
        <v>0.83529758227614259</v>
      </c>
      <c r="O13" s="32" t="s">
        <v>25</v>
      </c>
      <c r="P13" s="32">
        <v>16</v>
      </c>
      <c r="Q13">
        <v>23.723972320556641</v>
      </c>
      <c r="R13">
        <v>23.676177978515625</v>
      </c>
      <c r="S13">
        <v>22.851814270019531</v>
      </c>
      <c r="T13">
        <v>22.62908935546875</v>
      </c>
      <c r="U13">
        <v>20.653175354003906</v>
      </c>
      <c r="V13">
        <v>20.583921432495117</v>
      </c>
      <c r="W13">
        <f t="shared" si="4"/>
        <v>-2.601715087890625</v>
      </c>
      <c r="X13">
        <f t="shared" si="11"/>
        <v>-1.0933717091878403E-2</v>
      </c>
      <c r="Y13">
        <f t="shared" si="3"/>
        <v>1.0076074660201779</v>
      </c>
      <c r="AC13" s="36" t="s">
        <v>25</v>
      </c>
      <c r="AD13" s="32">
        <v>16</v>
      </c>
      <c r="AE13">
        <v>23.723972320556641</v>
      </c>
      <c r="AF13">
        <v>23.676177978515625</v>
      </c>
      <c r="AG13">
        <v>22.851814270019531</v>
      </c>
      <c r="AH13">
        <v>22.62908935546875</v>
      </c>
      <c r="AI13">
        <v>33.462390899658203</v>
      </c>
      <c r="AJ13">
        <v>31.444431304931641</v>
      </c>
      <c r="AK13">
        <f t="shared" si="10"/>
        <v>9.2331476211547852</v>
      </c>
      <c r="AL13">
        <f t="shared" si="12"/>
        <v>3.5223387082417803</v>
      </c>
      <c r="AM13">
        <f t="shared" si="8"/>
        <v>8.703028263784808E-2</v>
      </c>
    </row>
    <row r="14" spans="1:39" x14ac:dyDescent="0.45">
      <c r="A14" s="32" t="s">
        <v>78</v>
      </c>
      <c r="B14" s="32">
        <v>23</v>
      </c>
      <c r="C14">
        <v>22.306346893310547</v>
      </c>
      <c r="D14">
        <v>19.968173980712891</v>
      </c>
      <c r="E14">
        <v>23.247901916503906</v>
      </c>
      <c r="F14">
        <v>23.132987976074219</v>
      </c>
      <c r="G14">
        <v>20.845632553100586</v>
      </c>
      <c r="H14">
        <v>21.118564605712891</v>
      </c>
      <c r="I14">
        <f t="shared" si="0"/>
        <v>-1.1817541122436523</v>
      </c>
      <c r="J14">
        <f t="shared" si="9"/>
        <v>-1.1823263168334961</v>
      </c>
      <c r="K14">
        <f t="shared" si="2"/>
        <v>2.2694242228883663</v>
      </c>
      <c r="O14" s="32" t="s">
        <v>26</v>
      </c>
      <c r="P14" s="32">
        <v>17</v>
      </c>
      <c r="Q14">
        <v>22.567632675170898</v>
      </c>
      <c r="R14">
        <v>21.779718399047852</v>
      </c>
      <c r="S14">
        <v>21.444099426269531</v>
      </c>
      <c r="T14">
        <v>21.269981384277344</v>
      </c>
      <c r="U14">
        <v>19.605207443237305</v>
      </c>
      <c r="V14">
        <v>19.743799209594727</v>
      </c>
      <c r="W14">
        <f t="shared" si="4"/>
        <v>-2.0908546447753906</v>
      </c>
      <c r="X14">
        <f t="shared" si="11"/>
        <v>0.49992672602335597</v>
      </c>
      <c r="Y14">
        <f t="shared" si="3"/>
        <v>0.7071426958047401</v>
      </c>
      <c r="AC14" s="36" t="s">
        <v>26</v>
      </c>
      <c r="AD14" s="32">
        <v>17</v>
      </c>
      <c r="AE14">
        <v>22.567632675170898</v>
      </c>
      <c r="AF14">
        <v>21.779718399047852</v>
      </c>
      <c r="AG14">
        <v>21.444099426269531</v>
      </c>
      <c r="AH14">
        <v>21.269981384277344</v>
      </c>
      <c r="AI14">
        <v>29.520856857299805</v>
      </c>
      <c r="AJ14">
        <v>29.037160873413086</v>
      </c>
      <c r="AK14">
        <f t="shared" si="10"/>
        <v>7.5136508941650391</v>
      </c>
      <c r="AL14">
        <f t="shared" si="12"/>
        <v>1.8028419812520342</v>
      </c>
      <c r="AM14">
        <f t="shared" si="8"/>
        <v>0.28660943711614145</v>
      </c>
    </row>
    <row r="15" spans="1:39" ht="14.65" thickBot="1" x14ac:dyDescent="0.5">
      <c r="A15" s="34" t="s">
        <v>79</v>
      </c>
      <c r="B15" s="34">
        <v>24</v>
      </c>
      <c r="C15">
        <v>21.577007293701172</v>
      </c>
      <c r="D15">
        <v>18.911455154418945</v>
      </c>
      <c r="E15">
        <v>23.886114120483398</v>
      </c>
      <c r="F15">
        <v>24.142057418823242</v>
      </c>
      <c r="G15" s="22">
        <v>22.438375473022461</v>
      </c>
      <c r="H15" s="22">
        <v>21.57734489440918</v>
      </c>
      <c r="I15">
        <f t="shared" si="0"/>
        <v>-0.12129831314086914</v>
      </c>
      <c r="J15">
        <f t="shared" si="9"/>
        <v>-0.12187051773071289</v>
      </c>
      <c r="K15">
        <f t="shared" si="2"/>
        <v>1.088144776000785</v>
      </c>
      <c r="L15" s="6"/>
      <c r="O15" s="34" t="s">
        <v>27</v>
      </c>
      <c r="P15" s="34">
        <v>18</v>
      </c>
      <c r="Q15">
        <v>24.220592498779297</v>
      </c>
      <c r="R15">
        <v>23.636730194091797</v>
      </c>
      <c r="S15" s="22">
        <v>24.16185188293457</v>
      </c>
      <c r="T15" s="22">
        <v>24.008493423461914</v>
      </c>
      <c r="U15" s="22">
        <v>21.991939544677734</v>
      </c>
      <c r="V15" s="22">
        <v>21.239625930786133</v>
      </c>
      <c r="W15">
        <f t="shared" si="4"/>
        <v>-2.3911342620849609</v>
      </c>
      <c r="X15">
        <f t="shared" si="11"/>
        <v>0.19964710871378566</v>
      </c>
      <c r="Y15" s="6">
        <f t="shared" si="3"/>
        <v>0.87076353088453284</v>
      </c>
      <c r="Z15" s="6"/>
      <c r="AC15" s="37" t="s">
        <v>27</v>
      </c>
      <c r="AD15" s="34">
        <v>18</v>
      </c>
      <c r="AE15">
        <v>24.220592498779297</v>
      </c>
      <c r="AF15">
        <v>23.636730194091797</v>
      </c>
      <c r="AG15">
        <v>24.16185188293457</v>
      </c>
      <c r="AH15">
        <v>24.008493423461914</v>
      </c>
      <c r="AI15">
        <v>29.445468902587891</v>
      </c>
      <c r="AJ15">
        <v>28.585977554321289</v>
      </c>
      <c r="AK15">
        <f t="shared" si="10"/>
        <v>5.0088062286376953</v>
      </c>
      <c r="AL15">
        <f t="shared" si="12"/>
        <v>-0.70200268427530954</v>
      </c>
      <c r="AM15">
        <f t="shared" si="8"/>
        <v>1.6267614230102627</v>
      </c>
    </row>
    <row r="16" spans="1:39" x14ac:dyDescent="0.45">
      <c r="A16" s="35" t="s">
        <v>28</v>
      </c>
      <c r="B16" s="32">
        <v>25</v>
      </c>
      <c r="C16">
        <v>19.915727615356445</v>
      </c>
      <c r="D16">
        <v>20.202024459838867</v>
      </c>
      <c r="E16">
        <v>21.633312225341797</v>
      </c>
      <c r="F16">
        <v>20.965621948242188</v>
      </c>
      <c r="G16">
        <v>29.55335807800293</v>
      </c>
      <c r="H16">
        <v>27.764247894287109</v>
      </c>
      <c r="I16">
        <f t="shared" si="0"/>
        <v>7.9796314239501953</v>
      </c>
      <c r="J16">
        <f t="shared" ref="J16:J21" si="13">I16-$I$59</f>
        <v>0.62203550338745117</v>
      </c>
      <c r="K16">
        <f t="shared" si="2"/>
        <v>0.64975354119870066</v>
      </c>
      <c r="O16" s="32" t="s">
        <v>74</v>
      </c>
      <c r="P16" s="32">
        <v>19</v>
      </c>
      <c r="Q16">
        <v>19.815937042236328</v>
      </c>
      <c r="S16">
        <f>AVERAGE(S12:S13)</f>
        <v>22.266961097717285</v>
      </c>
      <c r="U16">
        <v>17.160327911376953</v>
      </c>
      <c r="V16">
        <v>16.950372695922852</v>
      </c>
      <c r="W16">
        <f t="shared" si="4"/>
        <v>-3.9860987663269043</v>
      </c>
      <c r="X16">
        <f>W16-$W$55</f>
        <v>-0.55646387736002589</v>
      </c>
      <c r="Y16">
        <f t="shared" si="3"/>
        <v>1.4706601294978745</v>
      </c>
      <c r="AC16" s="35" t="s">
        <v>28</v>
      </c>
      <c r="AD16" s="32">
        <v>25</v>
      </c>
      <c r="AE16">
        <v>19.915727615356445</v>
      </c>
      <c r="AF16">
        <v>20.202024459838867</v>
      </c>
      <c r="AG16">
        <v>21.633312225341797</v>
      </c>
      <c r="AH16">
        <v>20.965621948242188</v>
      </c>
      <c r="AI16">
        <v>28.414457321166992</v>
      </c>
      <c r="AJ16">
        <v>28.175651550292969</v>
      </c>
      <c r="AK16">
        <f t="shared" si="6"/>
        <v>7.6158828735351563</v>
      </c>
      <c r="AL16">
        <f>AK16-$AI$38</f>
        <v>-2.5139331817626953E-2</v>
      </c>
      <c r="AM16">
        <f t="shared" si="8"/>
        <v>1.0175779624487151</v>
      </c>
    </row>
    <row r="17" spans="1:39" x14ac:dyDescent="0.45">
      <c r="A17" s="36" t="s">
        <v>29</v>
      </c>
      <c r="B17" s="32">
        <v>26</v>
      </c>
      <c r="C17">
        <v>19.674240112304688</v>
      </c>
      <c r="D17">
        <v>19.620489120483398</v>
      </c>
      <c r="E17">
        <v>20.730085372924805</v>
      </c>
      <c r="F17">
        <v>21.229768753051758</v>
      </c>
      <c r="G17">
        <v>27.973468780517578</v>
      </c>
      <c r="H17">
        <v>27.581432342529297</v>
      </c>
      <c r="I17">
        <f t="shared" si="0"/>
        <v>7.4638047218322754</v>
      </c>
      <c r="J17">
        <f t="shared" si="13"/>
        <v>0.10620880126953125</v>
      </c>
      <c r="K17">
        <f t="shared" si="2"/>
        <v>0.92902620654704549</v>
      </c>
      <c r="O17" s="32" t="s">
        <v>75</v>
      </c>
      <c r="P17" s="32">
        <v>20</v>
      </c>
      <c r="Q17">
        <v>19.375036239624023</v>
      </c>
      <c r="R17">
        <v>21.857366561889648</v>
      </c>
      <c r="S17">
        <f>(AVERAGE(T13:T14))</f>
        <v>21.949535369873047</v>
      </c>
      <c r="U17">
        <v>17.818681716918945</v>
      </c>
      <c r="V17">
        <v>17.715719223022461</v>
      </c>
      <c r="W17">
        <f t="shared" si="4"/>
        <v>-3.2934455871582031</v>
      </c>
      <c r="X17">
        <f t="shared" ref="X17:X21" si="14">W17-$W$55</f>
        <v>0.13618930180867528</v>
      </c>
      <c r="Y17">
        <f t="shared" si="3"/>
        <v>0.90991942206680387</v>
      </c>
      <c r="AC17" s="36" t="s">
        <v>29</v>
      </c>
      <c r="AD17" s="32">
        <v>26</v>
      </c>
      <c r="AE17">
        <v>19.674240112304688</v>
      </c>
      <c r="AF17">
        <v>19.620489120483398</v>
      </c>
      <c r="AG17">
        <v>20.730085372924805</v>
      </c>
      <c r="AH17">
        <v>21.229768753051758</v>
      </c>
      <c r="AI17">
        <v>28.629373550415039</v>
      </c>
      <c r="AJ17">
        <v>28.780122756958008</v>
      </c>
      <c r="AK17">
        <f t="shared" si="6"/>
        <v>8.3911023139953613</v>
      </c>
      <c r="AL17">
        <f t="shared" ref="AL17:AL21" si="15">AK17-$AI$38</f>
        <v>0.75008010864257813</v>
      </c>
      <c r="AM17">
        <f t="shared" si="8"/>
        <v>0.59457054181884927</v>
      </c>
    </row>
    <row r="18" spans="1:39" x14ac:dyDescent="0.45">
      <c r="A18" s="36" t="s">
        <v>30</v>
      </c>
      <c r="B18" s="32">
        <v>27</v>
      </c>
      <c r="C18">
        <v>21.640522003173828</v>
      </c>
      <c r="D18">
        <v>21.428911209106445</v>
      </c>
      <c r="E18">
        <v>22.786979675292969</v>
      </c>
      <c r="F18">
        <v>22.641023635864258</v>
      </c>
      <c r="G18">
        <v>29.353113174438477</v>
      </c>
      <c r="H18">
        <v>28.154308319091797</v>
      </c>
      <c r="I18">
        <f t="shared" si="0"/>
        <v>6.6293516159057617</v>
      </c>
      <c r="J18">
        <f t="shared" si="13"/>
        <v>-0.72824430465698242</v>
      </c>
      <c r="K18">
        <f t="shared" si="2"/>
        <v>1.656621829741505</v>
      </c>
      <c r="O18" s="32" t="s">
        <v>76</v>
      </c>
      <c r="P18" s="32">
        <v>21</v>
      </c>
      <c r="R18">
        <v>19.444177627563477</v>
      </c>
      <c r="S18">
        <f>AVERAGE(S12:T12)</f>
        <v>21.71116828918457</v>
      </c>
      <c r="U18">
        <v>17.797401428222656</v>
      </c>
      <c r="V18">
        <v>17.339223861694336</v>
      </c>
      <c r="W18">
        <f t="shared" si="4"/>
        <v>-3.0093603134155273</v>
      </c>
      <c r="X18">
        <f t="shared" si="14"/>
        <v>0.42027457555135106</v>
      </c>
      <c r="Y18">
        <f t="shared" si="3"/>
        <v>0.74728238705010364</v>
      </c>
      <c r="AC18" s="36" t="s">
        <v>30</v>
      </c>
      <c r="AD18" s="32">
        <v>27</v>
      </c>
      <c r="AE18">
        <v>21.640522003173828</v>
      </c>
      <c r="AF18">
        <v>21.428911209106445</v>
      </c>
      <c r="AG18">
        <v>22.786979675292969</v>
      </c>
      <c r="AH18">
        <v>22.641023635864258</v>
      </c>
      <c r="AI18">
        <v>29.827919006347656</v>
      </c>
      <c r="AJ18">
        <v>28.252962112426758</v>
      </c>
      <c r="AK18">
        <f t="shared" si="6"/>
        <v>6.916081428527832</v>
      </c>
      <c r="AL18">
        <f t="shared" si="15"/>
        <v>-0.72494077682495117</v>
      </c>
      <c r="AM18">
        <f t="shared" si="8"/>
        <v>1.6528327855071352</v>
      </c>
    </row>
    <row r="19" spans="1:39" x14ac:dyDescent="0.45">
      <c r="A19" s="36" t="s">
        <v>31</v>
      </c>
      <c r="B19" s="32">
        <v>28</v>
      </c>
      <c r="C19">
        <v>20.238740921020508</v>
      </c>
      <c r="D19">
        <v>20.211931228637695</v>
      </c>
      <c r="E19">
        <v>21.162612915039063</v>
      </c>
      <c r="F19">
        <v>21.344795227050781</v>
      </c>
      <c r="G19">
        <v>28.178014755249023</v>
      </c>
      <c r="H19">
        <v>27.013545989990234</v>
      </c>
      <c r="I19">
        <f t="shared" si="0"/>
        <v>6.8562602996826172</v>
      </c>
      <c r="J19">
        <f t="shared" si="13"/>
        <v>-0.50133562088012695</v>
      </c>
      <c r="K19">
        <f t="shared" si="2"/>
        <v>1.4155234218459336</v>
      </c>
      <c r="O19" s="32" t="s">
        <v>77</v>
      </c>
      <c r="P19" s="32">
        <v>22</v>
      </c>
      <c r="R19">
        <v>21.927577972412109</v>
      </c>
      <c r="S19">
        <f>AVERAGE(S14:S15)</f>
        <v>22.802975654602051</v>
      </c>
      <c r="U19">
        <v>21.46491813659668</v>
      </c>
      <c r="V19">
        <v>22.240808486938477</v>
      </c>
      <c r="W19">
        <f t="shared" si="4"/>
        <v>-0.51241350173950195</v>
      </c>
      <c r="X19">
        <f t="shared" si="14"/>
        <v>2.9172213872273765</v>
      </c>
      <c r="Y19">
        <f t="shared" si="3"/>
        <v>0.13238197574196672</v>
      </c>
      <c r="AC19" s="36" t="s">
        <v>31</v>
      </c>
      <c r="AD19" s="32">
        <v>28</v>
      </c>
      <c r="AE19">
        <v>20.238740921020508</v>
      </c>
      <c r="AF19">
        <v>20.211931228637695</v>
      </c>
      <c r="AG19">
        <v>21.162612915039063</v>
      </c>
      <c r="AH19">
        <v>21.344795227050781</v>
      </c>
      <c r="AJ19">
        <v>28.047704696655273</v>
      </c>
      <c r="AK19">
        <f t="shared" si="6"/>
        <v>7.3081846237182617</v>
      </c>
      <c r="AL19">
        <f t="shared" si="15"/>
        <v>-0.33283758163452148</v>
      </c>
      <c r="AM19">
        <f t="shared" si="8"/>
        <v>1.2594881789978587</v>
      </c>
    </row>
    <row r="20" spans="1:39" x14ac:dyDescent="0.45">
      <c r="A20" s="36" t="s">
        <v>32</v>
      </c>
      <c r="B20" s="32">
        <v>29</v>
      </c>
      <c r="C20">
        <v>23.880186080932617</v>
      </c>
      <c r="D20">
        <v>24.139802932739258</v>
      </c>
      <c r="E20">
        <v>23.891290664672852</v>
      </c>
      <c r="F20">
        <v>22.611394882202148</v>
      </c>
      <c r="G20">
        <v>28.107156753540039</v>
      </c>
      <c r="H20">
        <v>29.741828918457031</v>
      </c>
      <c r="I20">
        <f t="shared" si="0"/>
        <v>5.2938241958618164</v>
      </c>
      <c r="J20">
        <f t="shared" si="13"/>
        <v>-2.0637717247009277</v>
      </c>
      <c r="K20">
        <f t="shared" si="2"/>
        <v>4.1807788306211782</v>
      </c>
      <c r="O20" s="32" t="s">
        <v>78</v>
      </c>
      <c r="P20" s="32">
        <v>23</v>
      </c>
      <c r="Q20">
        <v>22.306346893310547</v>
      </c>
      <c r="R20">
        <v>19.968173980712891</v>
      </c>
      <c r="S20">
        <f>AVERAGE(T10:T11)</f>
        <v>23.380504608154297</v>
      </c>
      <c r="V20">
        <v>18.456825256347656</v>
      </c>
      <c r="W20">
        <f t="shared" si="4"/>
        <v>-3.4281832377115897</v>
      </c>
      <c r="X20">
        <f t="shared" si="14"/>
        <v>1.4516512552886773E-3</v>
      </c>
      <c r="Y20">
        <f t="shared" si="3"/>
        <v>0.99899429808273721</v>
      </c>
      <c r="AC20" s="36" t="s">
        <v>32</v>
      </c>
      <c r="AD20" s="32">
        <v>29</v>
      </c>
      <c r="AE20">
        <v>23.880186080932617</v>
      </c>
      <c r="AF20">
        <v>24.139802932739258</v>
      </c>
      <c r="AG20">
        <v>23.891290664672852</v>
      </c>
      <c r="AH20">
        <v>22.611394882202148</v>
      </c>
      <c r="AI20">
        <v>27.922695159912109</v>
      </c>
      <c r="AJ20">
        <v>28.357686996459961</v>
      </c>
      <c r="AK20">
        <f t="shared" si="6"/>
        <v>4.5095224380493164</v>
      </c>
      <c r="AL20">
        <f t="shared" si="15"/>
        <v>-3.1314997673034668</v>
      </c>
      <c r="AM20">
        <f t="shared" si="8"/>
        <v>8.7634550091778376</v>
      </c>
    </row>
    <row r="21" spans="1:39" ht="14.65" thickBot="1" x14ac:dyDescent="0.5">
      <c r="A21" s="37" t="s">
        <v>33</v>
      </c>
      <c r="B21" s="34">
        <v>30</v>
      </c>
      <c r="C21">
        <v>21.847354888916016</v>
      </c>
      <c r="D21">
        <v>21.626710891723633</v>
      </c>
      <c r="E21" s="22">
        <v>23.328094482421875</v>
      </c>
      <c r="F21" s="22">
        <v>22.834209442138672</v>
      </c>
      <c r="G21" s="22">
        <v>27.537342071533203</v>
      </c>
      <c r="H21" s="22">
        <v>27.780059814453125</v>
      </c>
      <c r="I21">
        <f t="shared" si="0"/>
        <v>5.2496085166931152</v>
      </c>
      <c r="J21">
        <f t="shared" si="13"/>
        <v>-2.1079874038696289</v>
      </c>
      <c r="K21">
        <f t="shared" si="2"/>
        <v>4.3108949417062536</v>
      </c>
      <c r="L21" s="6"/>
      <c r="O21" s="34" t="s">
        <v>79</v>
      </c>
      <c r="P21" s="34">
        <v>24</v>
      </c>
      <c r="Q21">
        <v>21.577007293701172</v>
      </c>
      <c r="R21">
        <v>18.911455154418945</v>
      </c>
      <c r="S21" s="22">
        <f>AVERAGE(S22:S23)</f>
        <v>21.181698799133301</v>
      </c>
      <c r="T21" s="22"/>
      <c r="U21" s="22">
        <v>18.352754592895508</v>
      </c>
      <c r="V21" s="22">
        <v>19.39991569519043</v>
      </c>
      <c r="W21">
        <f t="shared" si="4"/>
        <v>-1.6803852717081718</v>
      </c>
      <c r="X21">
        <f t="shared" si="14"/>
        <v>1.7492496172587066</v>
      </c>
      <c r="Y21" s="6">
        <f t="shared" si="3"/>
        <v>0.29745645326256065</v>
      </c>
      <c r="Z21" s="6"/>
      <c r="AC21" s="37" t="s">
        <v>33</v>
      </c>
      <c r="AD21" s="34">
        <v>30</v>
      </c>
      <c r="AE21">
        <v>21.847354888916016</v>
      </c>
      <c r="AF21">
        <v>21.626710891723633</v>
      </c>
      <c r="AG21">
        <v>23.328094482421875</v>
      </c>
      <c r="AH21">
        <v>22.834209442138672</v>
      </c>
      <c r="AI21">
        <v>27.968351364135742</v>
      </c>
      <c r="AJ21">
        <v>27.540069580078125</v>
      </c>
      <c r="AK21">
        <f t="shared" si="6"/>
        <v>5.3451180458068848</v>
      </c>
      <c r="AL21">
        <f t="shared" si="15"/>
        <v>-2.2959041595458984</v>
      </c>
      <c r="AM21">
        <f t="shared" si="8"/>
        <v>4.91061650500491</v>
      </c>
    </row>
    <row r="22" spans="1:39" x14ac:dyDescent="0.45">
      <c r="A22" s="32" t="s">
        <v>80</v>
      </c>
      <c r="B22" s="32">
        <v>31</v>
      </c>
      <c r="C22">
        <v>20.908760070800781</v>
      </c>
      <c r="D22">
        <v>20.090328216552734</v>
      </c>
      <c r="E22">
        <v>19.232830047607422</v>
      </c>
      <c r="F22">
        <v>18.350856781005859</v>
      </c>
      <c r="G22">
        <v>20.757713317871094</v>
      </c>
      <c r="H22">
        <v>21.118783950805664</v>
      </c>
      <c r="I22">
        <f t="shared" si="0"/>
        <v>1.2925548553466797</v>
      </c>
      <c r="J22">
        <f t="shared" ref="J22:J27" si="16">I22-$I$60</f>
        <v>0.83354409535725904</v>
      </c>
      <c r="K22">
        <f t="shared" si="2"/>
        <v>0.56114904040659852</v>
      </c>
      <c r="O22" s="35" t="s">
        <v>28</v>
      </c>
      <c r="P22" s="32">
        <v>25</v>
      </c>
      <c r="Q22">
        <v>19.915727615356445</v>
      </c>
      <c r="R22">
        <v>20.202024459838867</v>
      </c>
      <c r="S22">
        <v>21.633312225341797</v>
      </c>
      <c r="T22">
        <v>20.965621948242188</v>
      </c>
      <c r="U22">
        <v>18.270387649536133</v>
      </c>
      <c r="V22">
        <v>18.349540710449219</v>
      </c>
      <c r="W22">
        <f t="shared" si="4"/>
        <v>-2.3692073822021484</v>
      </c>
      <c r="X22">
        <f>W22-$W$56</f>
        <v>-0.27735884984334325</v>
      </c>
      <c r="Y22">
        <f t="shared" si="3"/>
        <v>1.2119740842327473</v>
      </c>
      <c r="AC22" s="35" t="s">
        <v>34</v>
      </c>
      <c r="AD22" s="32">
        <v>37</v>
      </c>
      <c r="AE22">
        <v>22.639360427856445</v>
      </c>
      <c r="AF22">
        <v>20.842739105224609</v>
      </c>
      <c r="AG22">
        <f>AVERAGE(AH22:AH23)</f>
        <v>22.803471565246582</v>
      </c>
      <c r="AH22">
        <v>23.644309997558594</v>
      </c>
      <c r="AI22">
        <v>29.15998649597168</v>
      </c>
      <c r="AJ22">
        <v>29.227071762084961</v>
      </c>
      <c r="AK22">
        <f t="shared" si="6"/>
        <v>6.7110588550567627</v>
      </c>
      <c r="AL22">
        <f>AK22-$AI$39</f>
        <v>-1.3269697825113926</v>
      </c>
      <c r="AM22">
        <f t="shared" si="8"/>
        <v>2.5087518622648948</v>
      </c>
    </row>
    <row r="23" spans="1:39" x14ac:dyDescent="0.45">
      <c r="A23" s="32" t="s">
        <v>81</v>
      </c>
      <c r="B23" s="32">
        <v>32</v>
      </c>
      <c r="C23">
        <v>17.307544708251953</v>
      </c>
      <c r="D23">
        <v>18.863681793212891</v>
      </c>
      <c r="E23">
        <v>19.631061553955078</v>
      </c>
      <c r="F23">
        <v>18.865997314453125</v>
      </c>
      <c r="G23">
        <v>19.275970458984375</v>
      </c>
      <c r="H23">
        <v>19.196958541870117</v>
      </c>
      <c r="I23">
        <f t="shared" si="0"/>
        <v>0.56939315795898438</v>
      </c>
      <c r="J23">
        <f t="shared" si="16"/>
        <v>0.11038239796956378</v>
      </c>
      <c r="K23">
        <f t="shared" si="2"/>
        <v>0.92634249478908237</v>
      </c>
      <c r="O23" s="36" t="s">
        <v>29</v>
      </c>
      <c r="P23" s="32">
        <v>26</v>
      </c>
      <c r="Q23">
        <v>19.674240112304688</v>
      </c>
      <c r="R23">
        <v>19.620489120483398</v>
      </c>
      <c r="S23">
        <v>20.730085372924805</v>
      </c>
      <c r="T23">
        <v>21.229768753051758</v>
      </c>
      <c r="U23">
        <v>18.824390411376953</v>
      </c>
      <c r="V23">
        <v>18.718997955322266</v>
      </c>
      <c r="W23">
        <f t="shared" si="4"/>
        <v>-1.5419516563415527</v>
      </c>
      <c r="X23">
        <f t="shared" ref="X23:X27" si="17">W23-$W$56</f>
        <v>0.54989687601725246</v>
      </c>
      <c r="Y23">
        <f t="shared" si="3"/>
        <v>0.68306895246778931</v>
      </c>
      <c r="AC23" s="36" t="s">
        <v>35</v>
      </c>
      <c r="AD23" s="32">
        <v>38</v>
      </c>
      <c r="AE23">
        <v>21.157871246337891</v>
      </c>
      <c r="AF23">
        <v>20.422847747802734</v>
      </c>
      <c r="AG23">
        <v>22.447786331176758</v>
      </c>
      <c r="AH23">
        <v>21.96263313293457</v>
      </c>
      <c r="AI23">
        <v>29.499912261962891</v>
      </c>
      <c r="AJ23">
        <v>28.750667572021484</v>
      </c>
      <c r="AK23">
        <f t="shared" si="6"/>
        <v>7.6275053024291992</v>
      </c>
      <c r="AL23">
        <f t="shared" ref="AL23:AL27" si="18">AK23-$AI$39</f>
        <v>-0.41052333513895611</v>
      </c>
      <c r="AM23">
        <f t="shared" si="8"/>
        <v>1.3291678800139985</v>
      </c>
    </row>
    <row r="24" spans="1:39" x14ac:dyDescent="0.45">
      <c r="A24" s="32" t="s">
        <v>82</v>
      </c>
      <c r="B24" s="32">
        <v>33</v>
      </c>
      <c r="C24">
        <v>18.830657958984375</v>
      </c>
      <c r="D24">
        <v>18.962850570678711</v>
      </c>
      <c r="E24">
        <v>20.281583786010742</v>
      </c>
      <c r="F24">
        <v>20.795269012451172</v>
      </c>
      <c r="G24">
        <v>19.756816864013672</v>
      </c>
      <c r="H24">
        <v>18.708532333374023</v>
      </c>
      <c r="I24">
        <f t="shared" si="0"/>
        <v>-0.48491573333740234</v>
      </c>
      <c r="J24">
        <f t="shared" si="16"/>
        <v>-0.94392649332682299</v>
      </c>
      <c r="K24">
        <f t="shared" si="2"/>
        <v>1.923756889604334</v>
      </c>
      <c r="O24" s="36" t="s">
        <v>30</v>
      </c>
      <c r="P24" s="32">
        <v>27</v>
      </c>
      <c r="Q24">
        <v>21.640522003173828</v>
      </c>
      <c r="R24">
        <v>21.428911209106445</v>
      </c>
      <c r="S24">
        <v>22.786979675292969</v>
      </c>
      <c r="T24">
        <v>22.641023635864258</v>
      </c>
      <c r="U24">
        <v>19.747772216796875</v>
      </c>
      <c r="V24">
        <v>19.772172927856445</v>
      </c>
      <c r="W24">
        <f t="shared" si="4"/>
        <v>-2.3643865585327148</v>
      </c>
      <c r="X24">
        <f t="shared" si="17"/>
        <v>-0.27253802617390965</v>
      </c>
      <c r="Y24">
        <f t="shared" si="3"/>
        <v>1.2079309828013056</v>
      </c>
      <c r="AC24" s="36" t="s">
        <v>36</v>
      </c>
      <c r="AD24" s="32">
        <v>39</v>
      </c>
      <c r="AE24">
        <v>20.917741775512695</v>
      </c>
      <c r="AF24">
        <v>21.402065277099609</v>
      </c>
      <c r="AG24">
        <v>20.822649002075195</v>
      </c>
      <c r="AH24">
        <v>20.741495132446289</v>
      </c>
      <c r="AI24">
        <v>31.566387176513672</v>
      </c>
      <c r="AJ24">
        <v>29.926631927490234</v>
      </c>
      <c r="AK24">
        <f t="shared" si="6"/>
        <v>9.7755217552185059</v>
      </c>
      <c r="AL24">
        <f t="shared" si="18"/>
        <v>1.7374931176503505</v>
      </c>
      <c r="AM24">
        <f>AVERAGE(AM22:AM23)</f>
        <v>1.9189598711394467</v>
      </c>
    </row>
    <row r="25" spans="1:39" x14ac:dyDescent="0.45">
      <c r="A25" s="32" t="s">
        <v>83</v>
      </c>
      <c r="B25" s="32">
        <v>34</v>
      </c>
      <c r="C25">
        <v>18.896659851074219</v>
      </c>
      <c r="D25">
        <v>15.871526718139648</v>
      </c>
      <c r="E25">
        <v>20.040353775024414</v>
      </c>
      <c r="F25">
        <v>20.383733749389648</v>
      </c>
      <c r="G25">
        <v>20.777484893798828</v>
      </c>
      <c r="H25">
        <v>21.595983505249023</v>
      </c>
      <c r="I25">
        <f t="shared" si="0"/>
        <v>2.3886656761169434</v>
      </c>
      <c r="J25">
        <f t="shared" si="16"/>
        <v>1.9296549161275227</v>
      </c>
      <c r="K25">
        <f t="shared" si="2"/>
        <v>0.26249194987398472</v>
      </c>
      <c r="O25" s="36" t="s">
        <v>31</v>
      </c>
      <c r="P25" s="32">
        <v>28</v>
      </c>
      <c r="Q25">
        <v>20.238740921020508</v>
      </c>
      <c r="R25">
        <v>20.211931228637695</v>
      </c>
      <c r="S25">
        <v>21.162612915039063</v>
      </c>
      <c r="T25">
        <v>21.344795227050781</v>
      </c>
      <c r="U25">
        <v>18.2720947265625</v>
      </c>
      <c r="V25">
        <v>18.367221832275391</v>
      </c>
      <c r="W25">
        <f t="shared" si="4"/>
        <v>-2.4198617935180664</v>
      </c>
      <c r="X25">
        <f t="shared" si="17"/>
        <v>-0.32801326115926122</v>
      </c>
      <c r="Y25">
        <f t="shared" si="3"/>
        <v>1.2552835297144165</v>
      </c>
      <c r="AC25" s="36" t="s">
        <v>37</v>
      </c>
      <c r="AD25" s="32">
        <v>40</v>
      </c>
      <c r="AE25">
        <v>18.610633850097656</v>
      </c>
      <c r="AF25">
        <v>18.739953994750977</v>
      </c>
      <c r="AG25">
        <v>18.585508346557617</v>
      </c>
      <c r="AH25">
        <v>18.453964233398438</v>
      </c>
      <c r="AI25">
        <v>28.700799942016602</v>
      </c>
      <c r="AJ25">
        <v>28.764259338378906</v>
      </c>
      <c r="AK25">
        <f t="shared" si="6"/>
        <v>10.135014533996582</v>
      </c>
      <c r="AL25">
        <f t="shared" si="18"/>
        <v>2.0969858964284267</v>
      </c>
      <c r="AM25">
        <f t="shared" si="8"/>
        <v>0.23374608449355855</v>
      </c>
    </row>
    <row r="26" spans="1:39" x14ac:dyDescent="0.45">
      <c r="A26" s="32" t="s">
        <v>84</v>
      </c>
      <c r="B26" s="32">
        <v>35</v>
      </c>
      <c r="C26">
        <v>16.763273239135742</v>
      </c>
      <c r="D26">
        <v>16.163143157958984</v>
      </c>
      <c r="E26">
        <v>19.423830032348633</v>
      </c>
      <c r="F26">
        <v>18.991331100463867</v>
      </c>
      <c r="G26">
        <v>19.23101806640625</v>
      </c>
      <c r="H26">
        <v>19.487615585327148</v>
      </c>
      <c r="I26">
        <f t="shared" si="0"/>
        <v>1.5239224433898926</v>
      </c>
      <c r="J26">
        <f t="shared" si="16"/>
        <v>1.0649116834004719</v>
      </c>
      <c r="K26">
        <f t="shared" si="2"/>
        <v>0.47800191945888476</v>
      </c>
      <c r="O26" s="36" t="s">
        <v>32</v>
      </c>
      <c r="P26" s="32">
        <v>29</v>
      </c>
      <c r="Q26">
        <v>23.880186080932617</v>
      </c>
      <c r="R26">
        <v>24.139802932739258</v>
      </c>
      <c r="S26">
        <v>23.891290664672852</v>
      </c>
      <c r="T26">
        <v>22.611394882202148</v>
      </c>
      <c r="U26">
        <v>21.148244857788086</v>
      </c>
      <c r="V26">
        <v>20.500768661499023</v>
      </c>
      <c r="W26">
        <f t="shared" si="4"/>
        <v>-2.8061618804931641</v>
      </c>
      <c r="X26">
        <f t="shared" si="17"/>
        <v>-0.71431334813435887</v>
      </c>
      <c r="Y26">
        <f t="shared" si="3"/>
        <v>1.6407021382550973</v>
      </c>
      <c r="AC26" s="36" t="s">
        <v>38</v>
      </c>
      <c r="AD26" s="32">
        <v>41</v>
      </c>
      <c r="AE26">
        <v>19.761592864990234</v>
      </c>
      <c r="AF26">
        <v>19.535896301269531</v>
      </c>
      <c r="AG26">
        <v>19.966827392578125</v>
      </c>
      <c r="AH26">
        <v>20.117240905761719</v>
      </c>
      <c r="AI26">
        <v>29.955465316772461</v>
      </c>
      <c r="AJ26">
        <v>27.877138137817383</v>
      </c>
      <c r="AK26">
        <f t="shared" si="6"/>
        <v>9.0709123611450195</v>
      </c>
      <c r="AL26">
        <f t="shared" si="18"/>
        <v>1.0328837235768642</v>
      </c>
      <c r="AM26">
        <f t="shared" si="8"/>
        <v>0.48873227181409196</v>
      </c>
    </row>
    <row r="27" spans="1:39" ht="14.65" thickBot="1" x14ac:dyDescent="0.5">
      <c r="A27" s="34" t="s">
        <v>85</v>
      </c>
      <c r="B27" s="34">
        <v>36</v>
      </c>
      <c r="C27">
        <v>19.7908935546875</v>
      </c>
      <c r="D27">
        <v>16.724653244018555</v>
      </c>
      <c r="E27">
        <v>20.472314834594727</v>
      </c>
      <c r="F27">
        <v>20.986730575561523</v>
      </c>
      <c r="G27" s="22">
        <v>19.26392936706543</v>
      </c>
      <c r="H27" s="22">
        <v>19.411420822143555</v>
      </c>
      <c r="I27">
        <f t="shared" si="0"/>
        <v>-0.15597295761108398</v>
      </c>
      <c r="J27">
        <f t="shared" si="16"/>
        <v>-0.61498371760050463</v>
      </c>
      <c r="K27">
        <f t="shared" si="2"/>
        <v>1.5315407118762809</v>
      </c>
      <c r="O27" s="37" t="s">
        <v>33</v>
      </c>
      <c r="P27" s="32">
        <v>30</v>
      </c>
      <c r="Q27">
        <v>21.847354888916016</v>
      </c>
      <c r="R27">
        <v>21.626710891723633</v>
      </c>
      <c r="S27" s="22">
        <v>23.328094482421875</v>
      </c>
      <c r="T27" s="22">
        <v>22.834209442138672</v>
      </c>
      <c r="U27" s="22">
        <v>19.995136260986328</v>
      </c>
      <c r="V27" s="22">
        <v>19.926101684570313</v>
      </c>
      <c r="W27">
        <f t="shared" si="4"/>
        <v>-2.4484734535217285</v>
      </c>
      <c r="X27">
        <f t="shared" si="17"/>
        <v>-0.35662492116292333</v>
      </c>
      <c r="Y27">
        <f t="shared" si="3"/>
        <v>1.2804269264650676</v>
      </c>
      <c r="AC27" s="37" t="s">
        <v>39</v>
      </c>
      <c r="AD27" s="34">
        <v>42</v>
      </c>
      <c r="AE27">
        <v>19.471731185913086</v>
      </c>
      <c r="AF27">
        <v>19.580150604248047</v>
      </c>
      <c r="AG27">
        <v>19.546146392822266</v>
      </c>
      <c r="AH27">
        <v>19.319753646850586</v>
      </c>
      <c r="AI27">
        <v>29.284336090087891</v>
      </c>
      <c r="AJ27">
        <v>29.053306579589844</v>
      </c>
      <c r="AK27">
        <f t="shared" si="6"/>
        <v>9.6893758773803711</v>
      </c>
      <c r="AL27">
        <f t="shared" si="18"/>
        <v>1.6513472398122158</v>
      </c>
      <c r="AM27">
        <f t="shared" si="8"/>
        <v>0.31834273823848108</v>
      </c>
    </row>
    <row r="28" spans="1:39" x14ac:dyDescent="0.45">
      <c r="A28" s="35" t="s">
        <v>34</v>
      </c>
      <c r="B28" s="32">
        <v>37</v>
      </c>
      <c r="C28">
        <v>22.639360427856445</v>
      </c>
      <c r="D28">
        <v>20.842739105224609</v>
      </c>
      <c r="F28">
        <v>23.644309997558594</v>
      </c>
      <c r="G28">
        <v>30.548727035522461</v>
      </c>
      <c r="H28">
        <v>30.980796813964844</v>
      </c>
      <c r="I28">
        <f t="shared" si="0"/>
        <v>8.3892920811971017</v>
      </c>
      <c r="J28">
        <f t="shared" ref="J28:J33" si="19">I28-$I$61</f>
        <v>3.1919317775302458</v>
      </c>
      <c r="K28">
        <f t="shared" si="2"/>
        <v>0.10942909079553954</v>
      </c>
      <c r="O28" s="32" t="s">
        <v>80</v>
      </c>
      <c r="P28" s="32">
        <v>31</v>
      </c>
      <c r="Q28">
        <v>20.908760070800781</v>
      </c>
      <c r="R28">
        <v>20.090328216552734</v>
      </c>
      <c r="S28">
        <f>AVERAGE(S24:S25)</f>
        <v>21.974796295166016</v>
      </c>
      <c r="U28">
        <v>17.396368026733398</v>
      </c>
      <c r="V28">
        <v>16.52155876159668</v>
      </c>
      <c r="W28">
        <f t="shared" si="4"/>
        <v>-4.0323314666748047</v>
      </c>
      <c r="X28">
        <f>W28-$W$57</f>
        <v>-1.197533395555284</v>
      </c>
      <c r="Y28">
        <f>2^-X28</f>
        <v>2.2934721609789031</v>
      </c>
      <c r="AC28" s="35" t="s">
        <v>46</v>
      </c>
      <c r="AD28" s="32">
        <v>49</v>
      </c>
      <c r="AE28">
        <v>19.013988494873047</v>
      </c>
      <c r="AF28">
        <v>19.229890823364258</v>
      </c>
      <c r="AG28">
        <v>19.839866638183594</v>
      </c>
      <c r="AH28">
        <v>19.958887100219727</v>
      </c>
      <c r="AI28">
        <v>29.994661331176758</v>
      </c>
      <c r="AJ28">
        <v>29.422616958618164</v>
      </c>
      <c r="AK28">
        <f t="shared" si="6"/>
        <v>10.197980880737305</v>
      </c>
      <c r="AL28">
        <f>AK28-$AI$40</f>
        <v>0.61499500274658203</v>
      </c>
      <c r="AM28">
        <f t="shared" si="8"/>
        <v>0.65293215518791137</v>
      </c>
    </row>
    <row r="29" spans="1:39" x14ac:dyDescent="0.45">
      <c r="A29" s="36" t="s">
        <v>35</v>
      </c>
      <c r="B29" s="32">
        <v>38</v>
      </c>
      <c r="C29">
        <v>21.157871246337891</v>
      </c>
      <c r="D29">
        <v>20.422847747802734</v>
      </c>
      <c r="E29">
        <v>22.447786331176758</v>
      </c>
      <c r="F29">
        <v>21.96263313293457</v>
      </c>
      <c r="G29">
        <v>25.081197738647461</v>
      </c>
      <c r="H29">
        <v>25.104053497314453</v>
      </c>
      <c r="I29">
        <f t="shared" si="0"/>
        <v>3.5948410034179688</v>
      </c>
      <c r="J29">
        <f t="shared" si="19"/>
        <v>-1.6025193002488871</v>
      </c>
      <c r="K29">
        <f t="shared" si="2"/>
        <v>3.0367313852720206</v>
      </c>
      <c r="O29" s="32" t="s">
        <v>81</v>
      </c>
      <c r="P29" s="32">
        <v>32</v>
      </c>
      <c r="Q29">
        <v>17.307544708251953</v>
      </c>
      <c r="R29">
        <v>18.863681793212891</v>
      </c>
      <c r="S29">
        <f>(AVERAGE(T25:T26))</f>
        <v>21.978095054626465</v>
      </c>
      <c r="U29">
        <v>17.689426422119141</v>
      </c>
      <c r="V29">
        <v>16.776361465454102</v>
      </c>
      <c r="W29">
        <f t="shared" si="4"/>
        <v>-2.1502132415771484</v>
      </c>
      <c r="X29">
        <f t="shared" ref="X29:X33" si="20">W29-$W$57</f>
        <v>0.68458482954237221</v>
      </c>
      <c r="Y29">
        <f t="shared" si="3"/>
        <v>0.62218484965626397</v>
      </c>
      <c r="AC29" s="36" t="s">
        <v>47</v>
      </c>
      <c r="AD29" s="32">
        <v>50</v>
      </c>
      <c r="AF29">
        <v>21.725025177001953</v>
      </c>
      <c r="AG29">
        <v>20.922845840454102</v>
      </c>
      <c r="AH29">
        <v>20.756574630737305</v>
      </c>
      <c r="AJ29">
        <v>29.024120330810547</v>
      </c>
      <c r="AK29">
        <f t="shared" si="6"/>
        <v>7.8893051147460938</v>
      </c>
      <c r="AL29">
        <f t="shared" ref="AL29:AL33" si="21">AK29-$AI$40</f>
        <v>-1.6936807632446289</v>
      </c>
      <c r="AM29">
        <f t="shared" si="8"/>
        <v>3.2348095218810453</v>
      </c>
    </row>
    <row r="30" spans="1:39" x14ac:dyDescent="0.45">
      <c r="A30" s="36" t="s">
        <v>36</v>
      </c>
      <c r="B30" s="32">
        <v>39</v>
      </c>
      <c r="C30">
        <v>20.917741775512695</v>
      </c>
      <c r="D30">
        <v>21.402065277099609</v>
      </c>
      <c r="E30">
        <v>20.822649002075195</v>
      </c>
      <c r="F30">
        <v>20.741495132446289</v>
      </c>
      <c r="G30">
        <v>24.143505096435547</v>
      </c>
      <c r="H30">
        <v>25.014366149902344</v>
      </c>
      <c r="I30">
        <f t="shared" si="0"/>
        <v>3.607947826385498</v>
      </c>
      <c r="J30">
        <f t="shared" si="19"/>
        <v>-1.5894124772813578</v>
      </c>
      <c r="K30">
        <f t="shared" si="2"/>
        <v>3.0092677519089968</v>
      </c>
      <c r="O30" s="32" t="s">
        <v>82</v>
      </c>
      <c r="P30" s="32">
        <v>33</v>
      </c>
      <c r="Q30">
        <v>18.830657958984375</v>
      </c>
      <c r="R30">
        <v>18.962850570678711</v>
      </c>
      <c r="S30">
        <f>AVERAGE(S24:T24)</f>
        <v>22.714001655578613</v>
      </c>
      <c r="U30">
        <v>18.305870056152344</v>
      </c>
      <c r="V30">
        <v>17.388771057128906</v>
      </c>
      <c r="W30">
        <f t="shared" si="4"/>
        <v>-2.3218495051066093</v>
      </c>
      <c r="X30">
        <f t="shared" si="20"/>
        <v>0.51294856601291139</v>
      </c>
      <c r="Y30">
        <f t="shared" si="3"/>
        <v>0.70078870813970462</v>
      </c>
      <c r="AC30" s="36" t="s">
        <v>48</v>
      </c>
      <c r="AD30" s="32">
        <v>51</v>
      </c>
      <c r="AE30">
        <v>19.365203857421875</v>
      </c>
      <c r="AF30">
        <v>19.709468841552734</v>
      </c>
      <c r="AG30">
        <v>19.859399795532227</v>
      </c>
      <c r="AH30">
        <v>19.758081436157227</v>
      </c>
      <c r="AI30">
        <v>29.964704513549805</v>
      </c>
      <c r="AJ30">
        <v>30.704715728759766</v>
      </c>
      <c r="AK30">
        <f t="shared" si="6"/>
        <v>10.66167163848877</v>
      </c>
      <c r="AL30">
        <f t="shared" si="21"/>
        <v>1.0786857604980469</v>
      </c>
      <c r="AM30">
        <f t="shared" si="8"/>
        <v>0.47345993069576209</v>
      </c>
    </row>
    <row r="31" spans="1:39" x14ac:dyDescent="0.45">
      <c r="A31" s="36" t="s">
        <v>37</v>
      </c>
      <c r="B31" s="32">
        <v>40</v>
      </c>
      <c r="C31">
        <v>18.610633850097656</v>
      </c>
      <c r="D31">
        <v>18.739953994750977</v>
      </c>
      <c r="E31">
        <v>18.585508346557617</v>
      </c>
      <c r="F31">
        <v>18.453964233398438</v>
      </c>
      <c r="G31">
        <v>25.764936447143555</v>
      </c>
      <c r="H31">
        <v>25.324113845825195</v>
      </c>
      <c r="I31">
        <f t="shared" si="0"/>
        <v>6.9470100402832031</v>
      </c>
      <c r="J31">
        <f t="shared" si="19"/>
        <v>1.7496497366163473</v>
      </c>
      <c r="K31">
        <f t="shared" si="2"/>
        <v>0.29737396765137802</v>
      </c>
      <c r="O31" s="32" t="s">
        <v>83</v>
      </c>
      <c r="P31" s="32">
        <v>34</v>
      </c>
      <c r="Q31">
        <v>18.896659851074219</v>
      </c>
      <c r="R31">
        <v>15.871526718139648</v>
      </c>
      <c r="S31">
        <f>AVERAGE(S26:S27)</f>
        <v>23.609692573547363</v>
      </c>
      <c r="U31">
        <v>17.685344696044922</v>
      </c>
      <c r="V31">
        <v>18.469688415527344</v>
      </c>
      <c r="W31">
        <f t="shared" si="4"/>
        <v>-1.3817764918009452</v>
      </c>
      <c r="X31">
        <f t="shared" si="20"/>
        <v>1.4530215793185755</v>
      </c>
      <c r="Y31">
        <f t="shared" si="3"/>
        <v>0.36525563123192073</v>
      </c>
      <c r="AC31" s="36" t="s">
        <v>49</v>
      </c>
      <c r="AD31" s="32">
        <v>52</v>
      </c>
      <c r="AE31">
        <v>22.088394165039063</v>
      </c>
      <c r="AF31">
        <v>21.123758316040039</v>
      </c>
      <c r="AG31">
        <v>21.173982620239258</v>
      </c>
      <c r="AH31">
        <v>21.189119338989258</v>
      </c>
      <c r="AI31">
        <v>28.864034652709961</v>
      </c>
      <c r="AJ31">
        <v>28.610322952270508</v>
      </c>
      <c r="AK31">
        <f t="shared" si="6"/>
        <v>7.3433651924133301</v>
      </c>
      <c r="AL31">
        <f t="shared" si="21"/>
        <v>-2.2396206855773926</v>
      </c>
      <c r="AM31">
        <f t="shared" si="8"/>
        <v>4.7227287792058954</v>
      </c>
    </row>
    <row r="32" spans="1:39" x14ac:dyDescent="0.45">
      <c r="A32" s="36" t="s">
        <v>38</v>
      </c>
      <c r="B32" s="32">
        <v>41</v>
      </c>
      <c r="C32">
        <v>19.761592864990234</v>
      </c>
      <c r="D32">
        <v>19.535896301269531</v>
      </c>
      <c r="E32">
        <v>19.966827392578125</v>
      </c>
      <c r="F32">
        <v>20.117240905761719</v>
      </c>
      <c r="G32">
        <v>27.327812194824219</v>
      </c>
      <c r="H32">
        <v>27.708196640014648</v>
      </c>
      <c r="I32">
        <f t="shared" si="0"/>
        <v>7.6726150512695313</v>
      </c>
      <c r="J32">
        <f t="shared" si="19"/>
        <v>2.4752547476026754</v>
      </c>
      <c r="K32">
        <f t="shared" si="2"/>
        <v>0.17983493987865132</v>
      </c>
      <c r="O32" s="32" t="s">
        <v>84</v>
      </c>
      <c r="P32" s="32">
        <v>35</v>
      </c>
      <c r="Q32">
        <v>16.763273239135742</v>
      </c>
      <c r="R32">
        <v>16.163143157958984</v>
      </c>
      <c r="S32">
        <f>AVERAGE(T22:T23)</f>
        <v>21.097695350646973</v>
      </c>
      <c r="U32">
        <v>17.442348480224609</v>
      </c>
      <c r="V32">
        <v>18.385932922363281</v>
      </c>
      <c r="W32">
        <f t="shared" si="4"/>
        <v>-9.3896547953288945E-2</v>
      </c>
      <c r="X32">
        <f t="shared" si="20"/>
        <v>2.7409015231662317</v>
      </c>
      <c r="Y32">
        <f t="shared" si="3"/>
        <v>0.14959133100099203</v>
      </c>
      <c r="AC32" s="36" t="s">
        <v>50</v>
      </c>
      <c r="AD32" s="32">
        <v>53</v>
      </c>
      <c r="AE32">
        <v>20.197696685791016</v>
      </c>
      <c r="AF32">
        <v>19.158523559570313</v>
      </c>
      <c r="AG32">
        <v>21.494962692260742</v>
      </c>
      <c r="AH32">
        <v>20.850429534912109</v>
      </c>
      <c r="AI32">
        <v>29.733160018920898</v>
      </c>
      <c r="AJ32">
        <v>28.947938919067383</v>
      </c>
      <c r="AK32">
        <f t="shared" si="6"/>
        <v>8.9151463508605957</v>
      </c>
      <c r="AL32">
        <f t="shared" si="21"/>
        <v>-0.66783952713012695</v>
      </c>
      <c r="AM32">
        <f t="shared" si="8"/>
        <v>1.5886920780512335</v>
      </c>
    </row>
    <row r="33" spans="1:39" ht="14.65" thickBot="1" x14ac:dyDescent="0.5">
      <c r="A33" s="37" t="s">
        <v>39</v>
      </c>
      <c r="B33" s="34">
        <v>42</v>
      </c>
      <c r="C33">
        <v>19.471731185913086</v>
      </c>
      <c r="D33">
        <v>19.580150604248047</v>
      </c>
      <c r="E33" s="22">
        <v>19.546146392822266</v>
      </c>
      <c r="F33" s="22">
        <v>19.319753646850586</v>
      </c>
      <c r="G33" s="22">
        <v>25.048927307128906</v>
      </c>
      <c r="H33" s="22">
        <v>24.949560165405273</v>
      </c>
      <c r="I33">
        <f t="shared" si="0"/>
        <v>5.5197982788085938</v>
      </c>
      <c r="J33">
        <f t="shared" si="19"/>
        <v>0.32243797514173789</v>
      </c>
      <c r="K33">
        <f t="shared" si="2"/>
        <v>0.79971731230838095</v>
      </c>
      <c r="L33" s="6"/>
      <c r="O33" s="34" t="s">
        <v>85</v>
      </c>
      <c r="P33" s="34">
        <v>36</v>
      </c>
      <c r="Q33">
        <v>19.7908935546875</v>
      </c>
      <c r="R33">
        <v>16.724653244018555</v>
      </c>
      <c r="S33" s="22">
        <f>AVERAGE(S34:S35)</f>
        <v>22.447786331176758</v>
      </c>
      <c r="T33" s="22"/>
      <c r="U33" s="22">
        <v>17.860683441162109</v>
      </c>
      <c r="V33" s="22">
        <v>18.964962005615234</v>
      </c>
      <c r="W33">
        <f t="shared" si="4"/>
        <v>-1.2416216532389335</v>
      </c>
      <c r="X33">
        <f t="shared" si="20"/>
        <v>1.5931764178805872</v>
      </c>
      <c r="Y33" s="6">
        <f t="shared" si="3"/>
        <v>0.33144090782351304</v>
      </c>
      <c r="Z33" s="6"/>
      <c r="AC33" s="37" t="s">
        <v>51</v>
      </c>
      <c r="AD33" s="34">
        <v>54</v>
      </c>
      <c r="AE33">
        <v>20.010265350341797</v>
      </c>
      <c r="AF33">
        <f>AVERAGE(AF31:AF32)</f>
        <v>20.141140937805176</v>
      </c>
      <c r="AG33">
        <f>AVERAGE(AH31:AH32)</f>
        <v>21.019774436950684</v>
      </c>
      <c r="AI33">
        <v>28.232904434204102</v>
      </c>
      <c r="AJ33">
        <v>28.570615768432617</v>
      </c>
      <c r="AK33">
        <f t="shared" si="6"/>
        <v>8.0113665262858085</v>
      </c>
      <c r="AL33">
        <f t="shared" si="21"/>
        <v>-1.5716193517049142</v>
      </c>
      <c r="AM33">
        <f t="shared" si="8"/>
        <v>2.9723816164956438</v>
      </c>
    </row>
    <row r="34" spans="1:39" x14ac:dyDescent="0.45">
      <c r="A34" s="35" t="s">
        <v>40</v>
      </c>
      <c r="B34" s="32">
        <v>43</v>
      </c>
      <c r="C34">
        <v>19.571315765380859</v>
      </c>
      <c r="D34">
        <v>19.484441757202148</v>
      </c>
      <c r="E34">
        <v>21.514856338500977</v>
      </c>
      <c r="F34">
        <v>20.881267547607422</v>
      </c>
      <c r="G34">
        <v>24.744054794311523</v>
      </c>
      <c r="H34">
        <v>24.744722366333008</v>
      </c>
      <c r="I34">
        <f t="shared" ref="I34:I39" si="22">(AVERAGE(G34:H34)-AVERAGE(C34:F34))</f>
        <v>4.3814182281494141</v>
      </c>
      <c r="J34">
        <f>I34-$I$62</f>
        <v>-1.0275362332661944</v>
      </c>
      <c r="K34">
        <f t="shared" si="2"/>
        <v>2.0385399544502802</v>
      </c>
      <c r="O34" s="35" t="s">
        <v>34</v>
      </c>
      <c r="P34" s="32">
        <v>37</v>
      </c>
      <c r="Q34">
        <v>22.639360427856445</v>
      </c>
      <c r="R34">
        <v>20.842739105224609</v>
      </c>
      <c r="T34">
        <v>23.644309997558594</v>
      </c>
      <c r="U34">
        <v>27.015241622924805</v>
      </c>
      <c r="V34">
        <v>27.580282211303711</v>
      </c>
      <c r="W34">
        <f t="shared" si="4"/>
        <v>4.9222920735677071</v>
      </c>
      <c r="X34">
        <f>W34-$W$58</f>
        <v>0.21672858132256323</v>
      </c>
      <c r="Y34">
        <f>2^-X34</f>
        <v>0.86051450663784212</v>
      </c>
    </row>
    <row r="35" spans="1:39" x14ac:dyDescent="0.45">
      <c r="A35" s="36" t="s">
        <v>41</v>
      </c>
      <c r="B35" s="32">
        <v>44</v>
      </c>
      <c r="C35">
        <v>20.865747451782227</v>
      </c>
      <c r="D35">
        <v>20.862632751464844</v>
      </c>
      <c r="E35">
        <v>19.935474395751953</v>
      </c>
      <c r="F35">
        <v>20.273777008056641</v>
      </c>
      <c r="G35">
        <v>26.20399284362793</v>
      </c>
      <c r="H35">
        <v>25.841577529907227</v>
      </c>
      <c r="I35">
        <f t="shared" si="22"/>
        <v>5.5383772850036621</v>
      </c>
      <c r="J35">
        <f t="shared" ref="J35:J39" si="23">I35-$I$62</f>
        <v>0.12942282358805368</v>
      </c>
      <c r="K35">
        <f t="shared" si="2"/>
        <v>0.91419711827639905</v>
      </c>
      <c r="O35" s="36" t="s">
        <v>35</v>
      </c>
      <c r="P35" s="32">
        <v>38</v>
      </c>
      <c r="Q35">
        <v>21.157871246337891</v>
      </c>
      <c r="R35">
        <v>20.422847747802734</v>
      </c>
      <c r="S35">
        <v>22.447786331176758</v>
      </c>
      <c r="T35">
        <v>21.96263313293457</v>
      </c>
      <c r="U35">
        <v>26.9599609375</v>
      </c>
      <c r="V35">
        <v>26.244173049926758</v>
      </c>
      <c r="W35">
        <f t="shared" si="4"/>
        <v>5.1042823791503906</v>
      </c>
      <c r="X35">
        <f t="shared" ref="X35:X39" si="24">W35-$W$58</f>
        <v>0.39871888690524671</v>
      </c>
      <c r="Y35">
        <f t="shared" ref="Y35:Y51" si="25">2^-X35</f>
        <v>0.7585315602481002</v>
      </c>
    </row>
    <row r="36" spans="1:39" x14ac:dyDescent="0.45">
      <c r="A36" s="36" t="s">
        <v>42</v>
      </c>
      <c r="B36" s="32">
        <v>45</v>
      </c>
      <c r="C36">
        <v>21.150739669799805</v>
      </c>
      <c r="D36">
        <v>20.814653396606445</v>
      </c>
      <c r="E36">
        <v>19.500825881958008</v>
      </c>
      <c r="F36">
        <v>19.632417678833008</v>
      </c>
      <c r="G36">
        <v>26.964374542236328</v>
      </c>
      <c r="H36">
        <v>26.199079513549805</v>
      </c>
      <c r="I36">
        <f t="shared" si="22"/>
        <v>6.30706787109375</v>
      </c>
      <c r="J36">
        <f t="shared" si="23"/>
        <v>0.89811340967814157</v>
      </c>
      <c r="K36">
        <f t="shared" si="2"/>
        <v>0.53658796057454661</v>
      </c>
      <c r="O36" s="36" t="s">
        <v>36</v>
      </c>
      <c r="P36" s="32">
        <v>39</v>
      </c>
      <c r="Q36">
        <v>20.917741775512695</v>
      </c>
      <c r="R36">
        <v>21.402065277099609</v>
      </c>
      <c r="S36">
        <v>20.822649002075195</v>
      </c>
      <c r="T36">
        <v>20.741495132446289</v>
      </c>
      <c r="U36">
        <v>26.025209426879883</v>
      </c>
      <c r="V36">
        <v>24.09699821472168</v>
      </c>
      <c r="W36">
        <f t="shared" si="4"/>
        <v>4.090116024017334</v>
      </c>
      <c r="X36">
        <f t="shared" si="24"/>
        <v>-0.61544746822780994</v>
      </c>
      <c r="Y36">
        <f t="shared" si="25"/>
        <v>1.5320331008514103</v>
      </c>
      <c r="AD36" s="39"/>
      <c r="AE36" s="8"/>
      <c r="AF36" s="8"/>
      <c r="AH36" t="s">
        <v>60</v>
      </c>
      <c r="AI36">
        <f>AVERAGE(AK4:AK6)</f>
        <v>6.3222693602244062</v>
      </c>
    </row>
    <row r="37" spans="1:39" x14ac:dyDescent="0.45">
      <c r="A37" s="36" t="s">
        <v>43</v>
      </c>
      <c r="B37" s="32">
        <v>46</v>
      </c>
      <c r="C37">
        <v>19.512594223022461</v>
      </c>
      <c r="D37">
        <v>19.430202484130859</v>
      </c>
      <c r="E37">
        <v>21.100166320800781</v>
      </c>
      <c r="F37">
        <v>22.047357559204102</v>
      </c>
      <c r="G37">
        <v>24.709074020385742</v>
      </c>
      <c r="H37">
        <v>24.922080993652344</v>
      </c>
      <c r="I37">
        <f t="shared" si="22"/>
        <v>4.2929973602294922</v>
      </c>
      <c r="J37">
        <f t="shared" si="23"/>
        <v>-1.1159571011861162</v>
      </c>
      <c r="K37">
        <f t="shared" si="2"/>
        <v>2.1673874850485944</v>
      </c>
      <c r="O37" s="36" t="s">
        <v>37</v>
      </c>
      <c r="P37" s="32">
        <v>40</v>
      </c>
      <c r="Q37">
        <v>18.610633850097656</v>
      </c>
      <c r="R37">
        <v>18.739953994750977</v>
      </c>
      <c r="S37">
        <v>18.585508346557617</v>
      </c>
      <c r="T37">
        <v>18.453964233398438</v>
      </c>
      <c r="U37">
        <v>24.729209899902344</v>
      </c>
      <c r="V37">
        <v>23.254209518432617</v>
      </c>
      <c r="W37">
        <f t="shared" si="4"/>
        <v>5.3941946029663086</v>
      </c>
      <c r="X37">
        <f t="shared" si="24"/>
        <v>0.68863111072116467</v>
      </c>
      <c r="Y37">
        <f t="shared" si="25"/>
        <v>0.62044227229328563</v>
      </c>
      <c r="AH37" t="s">
        <v>8</v>
      </c>
      <c r="AI37">
        <f>AVERAGE(AK10:AK12)</f>
        <v>5.7108089129130049</v>
      </c>
    </row>
    <row r="38" spans="1:39" x14ac:dyDescent="0.45">
      <c r="A38" s="36" t="s">
        <v>44</v>
      </c>
      <c r="B38" s="32">
        <v>47</v>
      </c>
      <c r="C38">
        <v>18.439184188842773</v>
      </c>
      <c r="D38">
        <v>18.924104690551758</v>
      </c>
      <c r="E38">
        <v>20.984155654907227</v>
      </c>
      <c r="F38">
        <v>20.072259902954102</v>
      </c>
      <c r="G38">
        <v>24.204904556274414</v>
      </c>
      <c r="H38">
        <v>24.334100723266602</v>
      </c>
      <c r="I38">
        <f t="shared" si="22"/>
        <v>4.664576530456543</v>
      </c>
      <c r="J38">
        <f t="shared" si="23"/>
        <v>-0.74437793095906546</v>
      </c>
      <c r="K38">
        <f t="shared" si="2"/>
        <v>1.675251769473995</v>
      </c>
      <c r="O38" s="36" t="s">
        <v>38</v>
      </c>
      <c r="P38" s="32">
        <v>41</v>
      </c>
      <c r="Q38">
        <v>19.761592864990234</v>
      </c>
      <c r="R38">
        <v>19.535896301269531</v>
      </c>
      <c r="S38">
        <v>19.966827392578125</v>
      </c>
      <c r="T38">
        <v>20.117240905761719</v>
      </c>
      <c r="U38">
        <v>26.447994232177734</v>
      </c>
      <c r="V38">
        <v>26.162919998168945</v>
      </c>
      <c r="W38">
        <f t="shared" si="4"/>
        <v>6.4600677490234375</v>
      </c>
      <c r="X38">
        <f t="shared" si="24"/>
        <v>1.7545042567782936</v>
      </c>
      <c r="Y38">
        <f t="shared" si="25"/>
        <v>0.29637501651705955</v>
      </c>
      <c r="AH38" t="s">
        <v>9</v>
      </c>
      <c r="AI38">
        <f>AVERAGE(AK16:AK18)</f>
        <v>7.6410222053527832</v>
      </c>
    </row>
    <row r="39" spans="1:39" ht="14.65" thickBot="1" x14ac:dyDescent="0.5">
      <c r="A39" s="37" t="s">
        <v>45</v>
      </c>
      <c r="B39" s="32">
        <v>48</v>
      </c>
      <c r="C39">
        <v>22.297138214111328</v>
      </c>
      <c r="D39">
        <v>22.335651397705078</v>
      </c>
      <c r="E39" s="22">
        <v>22.302639007568359</v>
      </c>
      <c r="F39" s="22">
        <v>21.141641616821289</v>
      </c>
      <c r="G39">
        <v>29.594884872436523</v>
      </c>
      <c r="H39">
        <v>29.598577499389648</v>
      </c>
      <c r="I39">
        <f t="shared" si="22"/>
        <v>7.5774636268615723</v>
      </c>
      <c r="J39">
        <f t="shared" si="23"/>
        <v>2.1685091654459638</v>
      </c>
      <c r="K39">
        <f t="shared" si="2"/>
        <v>0.22244041432057857</v>
      </c>
      <c r="O39" s="37" t="s">
        <v>39</v>
      </c>
      <c r="P39" s="32">
        <v>42</v>
      </c>
      <c r="Q39">
        <v>19.471731185913086</v>
      </c>
      <c r="R39">
        <v>19.580150604248047</v>
      </c>
      <c r="S39" s="22">
        <v>19.546146392822266</v>
      </c>
      <c r="T39" s="22">
        <v>19.319753646850586</v>
      </c>
      <c r="U39" s="22">
        <v>22.912817001342773</v>
      </c>
      <c r="V39" s="22">
        <v>22.945905685424805</v>
      </c>
      <c r="W39">
        <f t="shared" si="4"/>
        <v>3.449915885925293</v>
      </c>
      <c r="X39">
        <f t="shared" si="24"/>
        <v>-1.255647606319851</v>
      </c>
      <c r="Y39">
        <f>2^-X39</f>
        <v>2.3877430711529084</v>
      </c>
      <c r="AH39" t="s">
        <v>10</v>
      </c>
      <c r="AI39">
        <f>AVERAGE(AK22:AK24)</f>
        <v>8.0380286375681553</v>
      </c>
    </row>
    <row r="40" spans="1:39" x14ac:dyDescent="0.45">
      <c r="A40" s="35" t="s">
        <v>46</v>
      </c>
      <c r="B40" s="32">
        <v>49</v>
      </c>
      <c r="C40">
        <v>19.013988494873047</v>
      </c>
      <c r="D40">
        <v>19.229890823364258</v>
      </c>
      <c r="E40">
        <v>19.839866638183594</v>
      </c>
      <c r="F40">
        <v>19.958887100219727</v>
      </c>
      <c r="G40">
        <v>25.312355041503906</v>
      </c>
      <c r="H40">
        <v>25.366989135742188</v>
      </c>
      <c r="I40">
        <f t="shared" si="0"/>
        <v>5.8290138244628906</v>
      </c>
      <c r="J40">
        <f>I40-$I$63</f>
        <v>-0.33375199635823538</v>
      </c>
      <c r="K40">
        <f t="shared" si="2"/>
        <v>1.2602867258601571</v>
      </c>
      <c r="O40" s="35" t="s">
        <v>40</v>
      </c>
      <c r="P40" s="32">
        <v>43</v>
      </c>
      <c r="Q40">
        <v>19.571315765380859</v>
      </c>
      <c r="R40">
        <v>19.484441757202148</v>
      </c>
      <c r="S40">
        <v>21.514856338500977</v>
      </c>
      <c r="T40">
        <v>20.881267547607422</v>
      </c>
      <c r="U40">
        <v>26.158147811889648</v>
      </c>
      <c r="V40">
        <v>25.983499526977539</v>
      </c>
      <c r="W40">
        <f t="shared" si="4"/>
        <v>5.7078533172607422</v>
      </c>
      <c r="X40">
        <f>W40-$W$59</f>
        <v>1.1791167259216309</v>
      </c>
      <c r="Y40">
        <f t="shared" si="25"/>
        <v>0.44162179345164454</v>
      </c>
      <c r="AH40" t="s">
        <v>61</v>
      </c>
      <c r="AI40">
        <f>AVERAGE(AK28:AK30)</f>
        <v>9.5829858779907227</v>
      </c>
    </row>
    <row r="41" spans="1:39" x14ac:dyDescent="0.45">
      <c r="A41" s="36" t="s">
        <v>47</v>
      </c>
      <c r="B41" s="32">
        <v>50</v>
      </c>
      <c r="C41">
        <v>17.551944732666016</v>
      </c>
      <c r="D41">
        <v>21.725025177001953</v>
      </c>
      <c r="E41">
        <v>20.922845840454102</v>
      </c>
      <c r="F41">
        <v>20.756574630737305</v>
      </c>
      <c r="G41">
        <v>28.222265243530273</v>
      </c>
      <c r="H41">
        <v>28.141908645629883</v>
      </c>
      <c r="I41">
        <f t="shared" si="0"/>
        <v>7.9429893493652344</v>
      </c>
      <c r="J41">
        <f t="shared" ref="J41:J45" si="26">I41-$I$63</f>
        <v>1.7802235285441084</v>
      </c>
      <c r="K41">
        <f t="shared" si="2"/>
        <v>0.29113828468643038</v>
      </c>
      <c r="O41" s="36" t="s">
        <v>41</v>
      </c>
      <c r="P41" s="32">
        <v>44</v>
      </c>
      <c r="Q41">
        <v>20.865747451782227</v>
      </c>
      <c r="R41">
        <v>20.862632751464844</v>
      </c>
      <c r="S41">
        <v>19.935474395751953</v>
      </c>
      <c r="T41">
        <v>20.273777008056641</v>
      </c>
      <c r="U41">
        <v>25.433828353881836</v>
      </c>
      <c r="V41">
        <v>23.828285217285156</v>
      </c>
      <c r="W41">
        <f t="shared" si="4"/>
        <v>4.1466488838195801</v>
      </c>
      <c r="X41">
        <f t="shared" ref="X41:X45" si="27">W41-$W$59</f>
        <v>-0.38208770751953125</v>
      </c>
      <c r="Y41">
        <f t="shared" si="25"/>
        <v>1.3032263755858482</v>
      </c>
      <c r="AD41" s="32" t="s">
        <v>12</v>
      </c>
      <c r="AE41" t="s">
        <v>7</v>
      </c>
      <c r="AF41" t="s">
        <v>13</v>
      </c>
      <c r="AG41" t="s">
        <v>7</v>
      </c>
    </row>
    <row r="42" spans="1:39" x14ac:dyDescent="0.45">
      <c r="A42" s="36" t="s">
        <v>48</v>
      </c>
      <c r="B42" s="32">
        <v>51</v>
      </c>
      <c r="C42">
        <v>19.365203857421875</v>
      </c>
      <c r="D42">
        <v>19.709468841552734</v>
      </c>
      <c r="E42">
        <v>19.859399795532227</v>
      </c>
      <c r="F42">
        <v>19.758081436157227</v>
      </c>
      <c r="G42">
        <v>24.480628967285156</v>
      </c>
      <c r="H42">
        <v>24.298036575317383</v>
      </c>
      <c r="I42">
        <f t="shared" si="0"/>
        <v>4.7162942886352539</v>
      </c>
      <c r="J42">
        <f t="shared" si="26"/>
        <v>-1.4464715321858721</v>
      </c>
      <c r="K42">
        <f t="shared" si="2"/>
        <v>2.7254066989359003</v>
      </c>
      <c r="O42" s="36" t="s">
        <v>42</v>
      </c>
      <c r="P42" s="32">
        <v>45</v>
      </c>
      <c r="Q42">
        <v>21.150739669799805</v>
      </c>
      <c r="R42">
        <v>20.814653396606445</v>
      </c>
      <c r="S42">
        <v>19.500825881958008</v>
      </c>
      <c r="T42">
        <v>19.632417678833008</v>
      </c>
      <c r="U42">
        <v>24.336002349853516</v>
      </c>
      <c r="V42">
        <v>23.676731109619141</v>
      </c>
      <c r="W42">
        <f t="shared" si="4"/>
        <v>3.7317075729370117</v>
      </c>
      <c r="X42">
        <f t="shared" si="27"/>
        <v>-0.79702901840209961</v>
      </c>
      <c r="Y42">
        <f t="shared" si="25"/>
        <v>1.7375193184543478</v>
      </c>
      <c r="AC42" s="32" t="s">
        <v>60</v>
      </c>
      <c r="AD42" s="32">
        <f>AVERAGE(AM4:AM6)</f>
        <v>1.0362252289521381</v>
      </c>
      <c r="AE42">
        <f>_xlfn.STDEV.S(AM4:AM6)/SQRT(3)</f>
        <v>0.20334422786628678</v>
      </c>
      <c r="AF42">
        <f>AVERAGE(AM7:AM9)</f>
        <v>0.95075139780468942</v>
      </c>
      <c r="AG42">
        <f>_xlfn.STDEV.S(AM7:AM9)/SQRT(3)</f>
        <v>0.3577727862913142</v>
      </c>
      <c r="AJ42" s="8"/>
      <c r="AK42" s="8"/>
      <c r="AM42" s="8"/>
    </row>
    <row r="43" spans="1:39" x14ac:dyDescent="0.45">
      <c r="A43" s="36" t="s">
        <v>49</v>
      </c>
      <c r="B43" s="32">
        <v>52</v>
      </c>
      <c r="C43">
        <v>22.088394165039063</v>
      </c>
      <c r="D43">
        <v>21.123758316040039</v>
      </c>
      <c r="E43">
        <v>21.173982620239258</v>
      </c>
      <c r="F43">
        <v>21.189119338989258</v>
      </c>
      <c r="G43">
        <v>27.459375381469727</v>
      </c>
      <c r="H43">
        <v>27.710939407348633</v>
      </c>
      <c r="I43">
        <f t="shared" si="0"/>
        <v>6.1913437843322754</v>
      </c>
      <c r="J43">
        <f t="shared" si="26"/>
        <v>2.8577963511149385E-2</v>
      </c>
      <c r="K43">
        <f t="shared" si="2"/>
        <v>0.98038616909895338</v>
      </c>
      <c r="O43" s="36" t="s">
        <v>43</v>
      </c>
      <c r="P43" s="32">
        <v>46</v>
      </c>
      <c r="Q43">
        <v>19.512594223022461</v>
      </c>
      <c r="R43">
        <v>19.430202484130859</v>
      </c>
      <c r="S43">
        <v>21.100166320800781</v>
      </c>
      <c r="T43">
        <v>22.047357559204102</v>
      </c>
      <c r="V43">
        <v>25.624601364135742</v>
      </c>
      <c r="W43">
        <f t="shared" si="4"/>
        <v>5.1020212173461914</v>
      </c>
      <c r="X43">
        <f t="shared" si="27"/>
        <v>0.57328462600708008</v>
      </c>
      <c r="Y43">
        <f t="shared" si="25"/>
        <v>0.67208488990410098</v>
      </c>
      <c r="AC43" s="32" t="s">
        <v>8</v>
      </c>
      <c r="AD43" s="32">
        <f>AVERAGE(AM10:AM12)</f>
        <v>2.1018600370524858</v>
      </c>
      <c r="AE43">
        <f>_xlfn.STDEV.S(AM10:AM12)/SQRT(3)</f>
        <v>1.6410066383538546</v>
      </c>
      <c r="AF43">
        <f>AVERAGE(AM13:AM15)</f>
        <v>0.66680038092141736</v>
      </c>
      <c r="AG43">
        <f>_xlfn.STDEV.S(AM13:AM15)/SQRT(3)</f>
        <v>0.48342592037518844</v>
      </c>
    </row>
    <row r="44" spans="1:39" x14ac:dyDescent="0.45">
      <c r="A44" s="36" t="s">
        <v>50</v>
      </c>
      <c r="B44" s="32">
        <v>53</v>
      </c>
      <c r="C44">
        <v>20.197696685791016</v>
      </c>
      <c r="D44">
        <v>19.158523559570313</v>
      </c>
      <c r="E44">
        <v>21.494962692260742</v>
      </c>
      <c r="F44">
        <v>20.850429534912109</v>
      </c>
      <c r="G44">
        <v>24.874094009399414</v>
      </c>
      <c r="H44">
        <v>25.077451705932617</v>
      </c>
      <c r="I44">
        <f t="shared" si="0"/>
        <v>4.5503697395324707</v>
      </c>
      <c r="J44">
        <f t="shared" si="26"/>
        <v>-1.6123960812886553</v>
      </c>
      <c r="K44">
        <f t="shared" si="2"/>
        <v>3.0575923657549096</v>
      </c>
      <c r="O44" s="36" t="s">
        <v>44</v>
      </c>
      <c r="P44" s="32">
        <v>47</v>
      </c>
      <c r="Q44">
        <v>18.439184188842773</v>
      </c>
      <c r="R44">
        <v>18.924104690551758</v>
      </c>
      <c r="S44">
        <v>20.984155654907227</v>
      </c>
      <c r="T44">
        <v>20.072259902954102</v>
      </c>
      <c r="U44">
        <v>25.382270812988281</v>
      </c>
      <c r="V44">
        <v>25.655925750732422</v>
      </c>
      <c r="W44">
        <f t="shared" si="4"/>
        <v>5.9141721725463867</v>
      </c>
      <c r="X44">
        <f t="shared" si="27"/>
        <v>1.3854355812072754</v>
      </c>
      <c r="Y44">
        <f t="shared" si="25"/>
        <v>0.38277391400368899</v>
      </c>
      <c r="AC44" s="32" t="s">
        <v>9</v>
      </c>
      <c r="AD44" s="32">
        <f>AVERAGE(AM16:AM18)</f>
        <v>1.0883270965915666</v>
      </c>
      <c r="AE44">
        <f>_xlfn.STDEV.S(AM16:AM18)/SQRT(3)</f>
        <v>0.30753526848721657</v>
      </c>
      <c r="AF44">
        <f>AVERAGE(AM19:AM21)</f>
        <v>4.9778532310602026</v>
      </c>
      <c r="AG44">
        <f>_xlfn.STDEV.S(AM19:AM21)/SQRT(3)</f>
        <v>2.1664694882156628</v>
      </c>
    </row>
    <row r="45" spans="1:39" ht="14.65" thickBot="1" x14ac:dyDescent="0.5">
      <c r="A45" s="37" t="s">
        <v>51</v>
      </c>
      <c r="B45" s="32">
        <v>54</v>
      </c>
      <c r="C45">
        <v>20.010265350341797</v>
      </c>
      <c r="D45">
        <v>15.717747688293457</v>
      </c>
      <c r="E45" s="22">
        <v>25.072328567504883</v>
      </c>
      <c r="F45" s="22">
        <v>23.420070648193359</v>
      </c>
      <c r="G45">
        <v>31.096672058105469</v>
      </c>
      <c r="H45">
        <v>30.857091903686523</v>
      </c>
      <c r="I45">
        <f t="shared" si="0"/>
        <v>9.9217789173126221</v>
      </c>
      <c r="J45">
        <f t="shared" si="26"/>
        <v>3.7590130964914961</v>
      </c>
      <c r="K45">
        <f t="shared" si="2"/>
        <v>7.3862551171171395E-2</v>
      </c>
      <c r="O45" s="37" t="s">
        <v>45</v>
      </c>
      <c r="P45" s="32">
        <v>48</v>
      </c>
      <c r="Q45">
        <v>22.297138214111328</v>
      </c>
      <c r="R45">
        <v>22.335651397705078</v>
      </c>
      <c r="S45" s="22">
        <v>22.302639007568359</v>
      </c>
      <c r="T45" s="22">
        <v>21.141641616821289</v>
      </c>
      <c r="U45" s="22">
        <v>24.791534423828125</v>
      </c>
      <c r="V45" s="22">
        <v>26.650386810302734</v>
      </c>
      <c r="W45">
        <f t="shared" si="4"/>
        <v>3.701693058013916</v>
      </c>
      <c r="X45">
        <f t="shared" si="27"/>
        <v>-0.82704353332519531</v>
      </c>
      <c r="Y45">
        <f t="shared" si="25"/>
        <v>1.7740461413418342</v>
      </c>
      <c r="AC45" s="32" t="s">
        <v>10</v>
      </c>
      <c r="AD45" s="32">
        <f>AVERAGE(AM22:AM24)</f>
        <v>1.9189598711394467</v>
      </c>
      <c r="AE45">
        <f>_xlfn.STDEV.S(AM22:AM24)/SQRT(3)</f>
        <v>0.34051656484216292</v>
      </c>
      <c r="AF45">
        <f>AVERAGE(AM25:AM27)</f>
        <v>0.34694036484871055</v>
      </c>
      <c r="AG45">
        <f>_xlfn.STDEV.S(AM25:AM27)/SQRT(3)</f>
        <v>7.498412524632378E-2</v>
      </c>
    </row>
    <row r="46" spans="1:39" x14ac:dyDescent="0.45">
      <c r="O46" s="35" t="s">
        <v>46</v>
      </c>
      <c r="P46" s="32">
        <v>49</v>
      </c>
      <c r="Q46">
        <v>19.013988494873047</v>
      </c>
      <c r="R46">
        <v>19.229890823364258</v>
      </c>
      <c r="S46">
        <v>19.839866638183594</v>
      </c>
      <c r="T46">
        <v>19.958887100219727</v>
      </c>
      <c r="U46">
        <v>24.070642471313477</v>
      </c>
      <c r="V46">
        <v>25.001577377319336</v>
      </c>
      <c r="W46">
        <f t="shared" si="4"/>
        <v>5.02545166015625</v>
      </c>
      <c r="X46">
        <f>W46-$W$60</f>
        <v>-2.9377301534016631E-2</v>
      </c>
      <c r="Y46">
        <f t="shared" si="25"/>
        <v>1.0205715298242419</v>
      </c>
      <c r="AC46" s="32" t="s">
        <v>61</v>
      </c>
      <c r="AD46" s="32">
        <f>AVERAGE(AM28:AM30)</f>
        <v>1.4537338692549062</v>
      </c>
      <c r="AE46">
        <f>_xlfn.STDEV.S(AM28:AM30)/SQRT(3)</f>
        <v>0.89204361442780367</v>
      </c>
      <c r="AF46">
        <f>AVERAGE(AM31:AM33)</f>
        <v>3.094600824584258</v>
      </c>
      <c r="AG46">
        <f>_xlfn.STDEV.S(AM31:AM33)/SQRT(3)</f>
        <v>0.90677995533011446</v>
      </c>
    </row>
    <row r="47" spans="1:39" x14ac:dyDescent="0.45">
      <c r="O47" s="36" t="s">
        <v>47</v>
      </c>
      <c r="P47" s="32">
        <v>50</v>
      </c>
      <c r="Q47">
        <v>17.551944732666016</v>
      </c>
      <c r="R47">
        <v>21.725025177001953</v>
      </c>
      <c r="S47">
        <v>20.922845840454102</v>
      </c>
      <c r="T47">
        <v>20.756574630737305</v>
      </c>
      <c r="U47">
        <v>24.590778350830078</v>
      </c>
      <c r="V47">
        <v>25.542291641235352</v>
      </c>
      <c r="W47">
        <f t="shared" si="4"/>
        <v>4.8274374008178711</v>
      </c>
      <c r="X47">
        <f t="shared" ref="X47:X51" si="28">W47-$W$60</f>
        <v>-0.22739156087239554</v>
      </c>
      <c r="Y47">
        <f t="shared" si="25"/>
        <v>1.1707163416792674</v>
      </c>
    </row>
    <row r="48" spans="1:39" x14ac:dyDescent="0.45">
      <c r="O48" s="36" t="s">
        <v>48</v>
      </c>
      <c r="P48" s="32">
        <v>51</v>
      </c>
      <c r="Q48">
        <v>19.365203857421875</v>
      </c>
      <c r="R48">
        <v>19.709468841552734</v>
      </c>
      <c r="S48">
        <v>19.859399795532227</v>
      </c>
      <c r="T48">
        <v>19.758081436157227</v>
      </c>
      <c r="U48">
        <v>24.443914413452148</v>
      </c>
      <c r="V48">
        <v>25.525358200073242</v>
      </c>
      <c r="W48">
        <f t="shared" si="4"/>
        <v>5.3115978240966797</v>
      </c>
      <c r="X48">
        <f t="shared" si="28"/>
        <v>0.25676886240641306</v>
      </c>
      <c r="Y48">
        <f t="shared" si="25"/>
        <v>0.83696032334051462</v>
      </c>
    </row>
    <row r="49" spans="5:26" x14ac:dyDescent="0.45">
      <c r="O49" s="36" t="s">
        <v>49</v>
      </c>
      <c r="P49" s="32">
        <v>52</v>
      </c>
      <c r="Q49">
        <v>22.088394165039063</v>
      </c>
      <c r="R49">
        <v>21.123758316040039</v>
      </c>
      <c r="S49">
        <v>21.173982620239258</v>
      </c>
      <c r="T49">
        <v>21.189119338989258</v>
      </c>
      <c r="U49">
        <v>26.356880187988281</v>
      </c>
      <c r="V49">
        <v>26.604270935058594</v>
      </c>
      <c r="W49">
        <f t="shared" si="4"/>
        <v>5.0867619514465332</v>
      </c>
      <c r="X49">
        <f t="shared" si="28"/>
        <v>3.1932989756266572E-2</v>
      </c>
      <c r="Y49">
        <f t="shared" si="25"/>
        <v>0.97810890355697055</v>
      </c>
    </row>
    <row r="50" spans="5:26" x14ac:dyDescent="0.45">
      <c r="O50" s="36" t="s">
        <v>50</v>
      </c>
      <c r="P50" s="32">
        <v>53</v>
      </c>
      <c r="Q50">
        <v>20.197696685791016</v>
      </c>
      <c r="R50">
        <v>19.158523559570313</v>
      </c>
      <c r="S50">
        <v>21.494962692260742</v>
      </c>
      <c r="T50">
        <v>20.850429534912109</v>
      </c>
      <c r="U50">
        <v>27.179788589477539</v>
      </c>
      <c r="V50">
        <v>25.391399383544922</v>
      </c>
      <c r="W50">
        <f t="shared" si="4"/>
        <v>5.8601908683776855</v>
      </c>
      <c r="X50">
        <f t="shared" si="28"/>
        <v>0.80536190668741892</v>
      </c>
      <c r="Y50">
        <f t="shared" si="25"/>
        <v>0.57221851864593121</v>
      </c>
    </row>
    <row r="51" spans="5:26" ht="14.65" thickBot="1" x14ac:dyDescent="0.5">
      <c r="O51" s="37" t="s">
        <v>51</v>
      </c>
      <c r="P51" s="32">
        <v>54</v>
      </c>
      <c r="Q51">
        <v>20.010265350341797</v>
      </c>
      <c r="S51" s="22">
        <v>25.072328567504883</v>
      </c>
      <c r="T51" s="22">
        <v>23.420070648193359</v>
      </c>
      <c r="U51" s="22">
        <v>29.635795593261719</v>
      </c>
      <c r="V51" s="22">
        <v>29.312080383300781</v>
      </c>
      <c r="W51">
        <f t="shared" si="4"/>
        <v>6.6397164662679025</v>
      </c>
      <c r="X51">
        <f t="shared" si="28"/>
        <v>1.5848875045776358</v>
      </c>
      <c r="Y51">
        <f t="shared" si="25"/>
        <v>0.33335066157219756</v>
      </c>
    </row>
    <row r="53" spans="5:26" x14ac:dyDescent="0.45">
      <c r="V53" t="s">
        <v>86</v>
      </c>
      <c r="W53" t="e">
        <f>AVERAGE(W4:W6)</f>
        <v>#DIV/0!</v>
      </c>
    </row>
    <row r="54" spans="5:26" x14ac:dyDescent="0.45">
      <c r="V54" t="s">
        <v>8</v>
      </c>
      <c r="W54">
        <f>AVERAGE(W10:W12)</f>
        <v>-2.5907813707987466</v>
      </c>
    </row>
    <row r="55" spans="5:26" x14ac:dyDescent="0.45">
      <c r="V55" t="s">
        <v>87</v>
      </c>
      <c r="W55">
        <f>AVERAGE(W16:W18)</f>
        <v>-3.4296348889668784</v>
      </c>
    </row>
    <row r="56" spans="5:26" x14ac:dyDescent="0.45">
      <c r="V56" t="s">
        <v>9</v>
      </c>
      <c r="W56">
        <f>AVERAGE(W22:W24)</f>
        <v>-2.0918485323588052</v>
      </c>
    </row>
    <row r="57" spans="5:26" x14ac:dyDescent="0.45">
      <c r="H57" t="s">
        <v>8</v>
      </c>
      <c r="I57">
        <f>AVERAGE(I4:I6)</f>
        <v>1.3365206718444824</v>
      </c>
      <c r="V57" t="s">
        <v>88</v>
      </c>
      <c r="W57">
        <f>AVERAGE(W28:W30)</f>
        <v>-2.8347980711195206</v>
      </c>
    </row>
    <row r="58" spans="5:26" ht="14.65" thickBot="1" x14ac:dyDescent="0.5">
      <c r="E58" s="22"/>
      <c r="F58" s="22"/>
      <c r="G58" s="22"/>
      <c r="H58" s="22" t="s">
        <v>87</v>
      </c>
      <c r="I58">
        <f>AVERAGE(I10:I12)</f>
        <v>5.7220458984375E-4</v>
      </c>
      <c r="V58" t="s">
        <v>10</v>
      </c>
      <c r="W58">
        <f>AVERAGE(W34:W36)</f>
        <v>4.7055634922451439</v>
      </c>
    </row>
    <row r="59" spans="5:26" x14ac:dyDescent="0.45">
      <c r="H59" t="s">
        <v>9</v>
      </c>
      <c r="I59">
        <f>AVERAGE(I16:I18)</f>
        <v>7.3575959205627441</v>
      </c>
      <c r="P59" s="39"/>
      <c r="Q59" s="8"/>
      <c r="R59" s="8"/>
      <c r="V59" t="s">
        <v>11</v>
      </c>
      <c r="W59">
        <f>AVERAGE(W40:W42)</f>
        <v>4.5287365913391113</v>
      </c>
      <c r="Z59" s="8"/>
    </row>
    <row r="60" spans="5:26" x14ac:dyDescent="0.45">
      <c r="H60" t="s">
        <v>88</v>
      </c>
      <c r="I60">
        <f>AVERAGE(I22:I24)</f>
        <v>0.45901075998942059</v>
      </c>
      <c r="V60" t="s">
        <v>61</v>
      </c>
      <c r="W60">
        <f>AVERAGE(W46:W48)</f>
        <v>5.0548289616902666</v>
      </c>
    </row>
    <row r="61" spans="5:26" x14ac:dyDescent="0.45">
      <c r="H61" t="s">
        <v>10</v>
      </c>
      <c r="I61">
        <f>AVERAGE(I28:I30)</f>
        <v>5.1973603036668559</v>
      </c>
    </row>
    <row r="62" spans="5:26" x14ac:dyDescent="0.45">
      <c r="H62" t="s">
        <v>11</v>
      </c>
      <c r="I62">
        <f>AVERAGE(I34:I36)</f>
        <v>5.4089544614156084</v>
      </c>
    </row>
    <row r="63" spans="5:26" x14ac:dyDescent="0.45">
      <c r="H63" t="s">
        <v>61</v>
      </c>
      <c r="I63">
        <f>AVERAGE(I40:I42)</f>
        <v>6.162765820821126</v>
      </c>
      <c r="P63" s="32" t="s">
        <v>12</v>
      </c>
      <c r="Q63" t="s">
        <v>7</v>
      </c>
      <c r="R63" t="s">
        <v>13</v>
      </c>
      <c r="S63" t="s">
        <v>7</v>
      </c>
    </row>
    <row r="64" spans="5:26" x14ac:dyDescent="0.45">
      <c r="O64" s="32" t="s">
        <v>8</v>
      </c>
      <c r="P64" s="32">
        <f>AVERAGE(Y10:Y12)</f>
        <v>1.015287462934521</v>
      </c>
      <c r="Q64">
        <f>_xlfn.STDEV.S(Y10:Y12)/SQRT(3)</f>
        <v>0.11942933852770864</v>
      </c>
      <c r="R64">
        <f>AVERAGE(Y13:Y15)</f>
        <v>0.86183789756981699</v>
      </c>
      <c r="S64">
        <f>_xlfn.STDEV.S(Y13:Y15)/SQRT(3)</f>
        <v>8.6851443535701719E-2</v>
      </c>
    </row>
    <row r="65" spans="1:25" x14ac:dyDescent="0.45">
      <c r="B65" s="32" t="s">
        <v>12</v>
      </c>
      <c r="C65" t="s">
        <v>7</v>
      </c>
      <c r="D65" t="s">
        <v>13</v>
      </c>
      <c r="E65" t="s">
        <v>7</v>
      </c>
      <c r="O65" s="32" t="s">
        <v>87</v>
      </c>
      <c r="P65" s="32">
        <f>AVERAGE(Y16:Y18)</f>
        <v>1.0426206462049274</v>
      </c>
      <c r="Q65">
        <f>_xlfn.STDEV.S(Y16:Y18)/SQRT(3)</f>
        <v>0.21910883956991598</v>
      </c>
      <c r="R65">
        <f>AVERAGE(Y19:Y21)</f>
        <v>0.47627757569575485</v>
      </c>
      <c r="S65">
        <f>_xlfn.STDEV.S(Y19:Y21)/SQRT(3)</f>
        <v>0.26566706901647691</v>
      </c>
      <c r="V65" s="8"/>
      <c r="W65" s="8"/>
      <c r="Y65" s="8"/>
    </row>
    <row r="66" spans="1:25" x14ac:dyDescent="0.45">
      <c r="A66" s="32" t="s">
        <v>8</v>
      </c>
      <c r="B66" s="32">
        <f>AVERAGE(K4:K6)</f>
        <v>1.0130095808073107</v>
      </c>
      <c r="C66">
        <f>_xlfn.STDEV.S(K4:K6)/SQRT(3)</f>
        <v>0.11392069592084371</v>
      </c>
      <c r="D66">
        <f>AVERAGE(K7:K9)</f>
        <v>0.56470471865511529</v>
      </c>
      <c r="E66">
        <f>_xlfn.STDEV.S(K7:K9)/SQRT(3)</f>
        <v>0.19520588547046086</v>
      </c>
      <c r="O66" s="32" t="s">
        <v>9</v>
      </c>
      <c r="P66" s="32">
        <f>AVERAGE(Y22:Y24)</f>
        <v>1.0343246731672808</v>
      </c>
      <c r="Q66">
        <f>_xlfn.STDEV.S(Y22:Y24)/SQRT(3)</f>
        <v>0.17563173845709604</v>
      </c>
      <c r="R66">
        <f>AVERAGE(Y25:Y27)</f>
        <v>1.3921375314781939</v>
      </c>
      <c r="S66">
        <f>_xlfn.STDEV.S(Y25:Y27)/SQRT(3)</f>
        <v>0.12449407001494425</v>
      </c>
    </row>
    <row r="67" spans="1:25" x14ac:dyDescent="0.45">
      <c r="A67" s="32" t="s">
        <v>87</v>
      </c>
      <c r="B67" s="32">
        <f>AVERAGE(K10:K12)</f>
        <v>1.2183206022424256</v>
      </c>
      <c r="C67">
        <f>_xlfn.STDEV.S(K10:K12)/SQRT(3)</f>
        <v>0.46506526847410462</v>
      </c>
      <c r="D67">
        <f>AVERAGE(K13:K15)</f>
        <v>1.3976221937217648</v>
      </c>
      <c r="E67">
        <f>_xlfn.STDEV.S(K13:K15)/SQRT(3)</f>
        <v>0.44196983659817785</v>
      </c>
      <c r="O67" s="32" t="s">
        <v>88</v>
      </c>
      <c r="P67" s="32">
        <f>AVERAGE(Y28:Y30)</f>
        <v>1.2054819062582904</v>
      </c>
      <c r="Q67">
        <f>_xlfn.STDEV.S(Y28:Y30)/SQRT(3)</f>
        <v>0.54446816173136314</v>
      </c>
      <c r="R67">
        <f>AVERAGE(Y28:Y30)</f>
        <v>1.2054819062582904</v>
      </c>
      <c r="S67">
        <f>_xlfn.STDEV.S(Y31:Y33)/SQRT(3)</f>
        <v>6.6967568644918277E-2</v>
      </c>
    </row>
    <row r="68" spans="1:25" x14ac:dyDescent="0.45">
      <c r="A68" s="32" t="s">
        <v>9</v>
      </c>
      <c r="B68" s="32">
        <f>AVERAGE(K16:K18)</f>
        <v>1.0784671924957505</v>
      </c>
      <c r="C68">
        <f>_xlfn.STDEV.S(K16:K18)/SQRT(3)</f>
        <v>0.30010853249520114</v>
      </c>
      <c r="D68">
        <f>AVERAGE(K19:K21)</f>
        <v>3.302399064724455</v>
      </c>
      <c r="E68">
        <f>_xlfn.STDEV.S(K19:K21)/SQRT(3)</f>
        <v>0.94418524301063389</v>
      </c>
      <c r="O68" s="32" t="s">
        <v>10</v>
      </c>
      <c r="P68" s="32">
        <f>AVERAGE(Y34:Y36)</f>
        <v>1.0503597225791175</v>
      </c>
      <c r="Q68">
        <f>_xlfn.STDEV.S(Y34:Y36)/SQRT(3)</f>
        <v>0.24262939011365028</v>
      </c>
      <c r="R68">
        <f>AVERAGE(Y37:Y39)</f>
        <v>1.1015201199877511</v>
      </c>
      <c r="S68">
        <f>_xlfn.STDEV.S(Y37:Y39)/SQRT(3)</f>
        <v>0.64987999062508672</v>
      </c>
    </row>
    <row r="69" spans="1:25" x14ac:dyDescent="0.45">
      <c r="A69" s="32" t="s">
        <v>88</v>
      </c>
      <c r="B69" s="32">
        <f>AVERAGE(K22:K24)</f>
        <v>1.1370828082666717</v>
      </c>
      <c r="C69">
        <f>_xlfn.STDEV.S(K22:K24)/SQRT(3)</f>
        <v>0.40721969806125297</v>
      </c>
      <c r="D69">
        <f>AVERAGE(K25:K27)</f>
        <v>0.75734486040305027</v>
      </c>
      <c r="E69">
        <f>_xlfn.STDEV.S(K25:K27)/SQRT(3)</f>
        <v>0.39206527903585625</v>
      </c>
      <c r="O69" s="32" t="s">
        <v>11</v>
      </c>
      <c r="P69" s="32">
        <f>AVERAGE(Y40:Y42)</f>
        <v>1.1607891624972801</v>
      </c>
      <c r="Q69">
        <f>_xlfn.STDEV.S(Y40:Y42)/SQRT(3)</f>
        <v>0.38081223220084109</v>
      </c>
      <c r="R69">
        <f>AVERAGE(Y43:Y45)</f>
        <v>0.942968315083208</v>
      </c>
      <c r="S69">
        <f>_xlfn.STDEV.S(Y43:Y45)/SQRT(3)</f>
        <v>0.42384862674001311</v>
      </c>
    </row>
    <row r="70" spans="1:25" x14ac:dyDescent="0.45">
      <c r="A70" s="32" t="s">
        <v>10</v>
      </c>
      <c r="B70" s="32">
        <f>AVERAGE(K28:K30)</f>
        <v>2.0518094093255193</v>
      </c>
      <c r="C70">
        <f>_xlfn.STDEV.S(K28:K30)/SQRT(3)</f>
        <v>0.97122251812665494</v>
      </c>
      <c r="D70">
        <f>AVERAGE(K31:K33)</f>
        <v>0.42564207327947007</v>
      </c>
      <c r="E70">
        <f>_xlfn.STDEV.S(K31:K33)/SQRT(3)</f>
        <v>0.19009038999323635</v>
      </c>
      <c r="O70" s="32" t="s">
        <v>61</v>
      </c>
      <c r="P70" s="32">
        <f>AVERAGE(Y46:Y48)</f>
        <v>1.009416064948008</v>
      </c>
      <c r="Q70">
        <f>_xlfn.STDEV.S(Y46:Y48)/SQRT(3)</f>
        <v>9.6508381746160748E-2</v>
      </c>
      <c r="R70">
        <f>AVERAGE(Y46:Y48)</f>
        <v>1.009416064948008</v>
      </c>
      <c r="S70">
        <f>_xlfn.STDEV.S(Y46:Y48)/SQRT(3)</f>
        <v>9.6508381746160748E-2</v>
      </c>
    </row>
    <row r="71" spans="1:25" x14ac:dyDescent="0.45">
      <c r="A71" s="32" t="s">
        <v>11</v>
      </c>
      <c r="B71" s="32">
        <f>AVERAGE(K34:K36)</f>
        <v>1.163108344433742</v>
      </c>
      <c r="C71">
        <f>_xlfn.STDEV.S(K34:K36)/SQRT(3)</f>
        <v>0.45108482086971424</v>
      </c>
      <c r="D71">
        <f>AVERAGE(K37:K39)</f>
        <v>1.3550265562810562</v>
      </c>
      <c r="E71">
        <f>_xlfn.STDEV.S(K37:K39)/SQRT(3)</f>
        <v>0.58384156451235958</v>
      </c>
    </row>
    <row r="72" spans="1:25" x14ac:dyDescent="0.45">
      <c r="A72" s="32" t="s">
        <v>61</v>
      </c>
      <c r="B72" s="32">
        <f>AVERAGE(K40:K42)</f>
        <v>1.4256105698274959</v>
      </c>
      <c r="C72">
        <f>_xlfn.STDEV.S(K40:K42)/SQRT(3)</f>
        <v>0.70755792653116856</v>
      </c>
      <c r="D72">
        <f>AVERAGE(K43:K45)</f>
        <v>1.3706136953416781</v>
      </c>
      <c r="E72">
        <f>_xlfn.STDEV.S(K43:K45)/SQRT(3)</f>
        <v>0.88315137307393232</v>
      </c>
    </row>
  </sheetData>
  <mergeCells count="13">
    <mergeCell ref="C2:D2"/>
    <mergeCell ref="E2:F2"/>
    <mergeCell ref="G2:H2"/>
    <mergeCell ref="Q2:R2"/>
    <mergeCell ref="S2:T2"/>
    <mergeCell ref="AE2:AF2"/>
    <mergeCell ref="AG2:AH2"/>
    <mergeCell ref="AI2:AJ2"/>
    <mergeCell ref="Q3:T3"/>
    <mergeCell ref="U3:V3"/>
    <mergeCell ref="AE3:AH3"/>
    <mergeCell ref="AI3:AJ3"/>
    <mergeCell ref="U2:V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Genes HOJA</vt:lpstr>
      <vt:lpstr>Genes hoja norm ambos const</vt:lpstr>
      <vt:lpstr>Genes RAIZ</vt:lpstr>
      <vt:lpstr>Genes raiz norm ambos const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Orero Bayo</dc:creator>
  <cp:lastModifiedBy>Marta Orero Bayo</cp:lastModifiedBy>
  <dcterms:created xsi:type="dcterms:W3CDTF">2024-05-17T15:00:05Z</dcterms:created>
  <dcterms:modified xsi:type="dcterms:W3CDTF">2026-05-19T10:52:34Z</dcterms:modified>
</cp:coreProperties>
</file>