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Experimentos\Hormone time curse\"/>
    </mc:Choice>
  </mc:AlternateContent>
  <xr:revisionPtr revIDLastSave="0" documentId="13_ncr:1_{7F9F9F24-BD2C-4508-B1C0-628061E66435}" xr6:coauthVersionLast="47" xr6:coauthVersionMax="47" xr10:uidLastSave="{00000000-0000-0000-0000-000000000000}"/>
  <bookViews>
    <workbookView xWindow="-98" yWindow="-98" windowWidth="21795" windowHeight="11625" activeTab="5" xr2:uid="{B94D52E1-BD9A-4C88-AFA7-21294572DFB1}"/>
  </bookViews>
  <sheets>
    <sheet name="ABA" sheetId="1" r:id="rId1"/>
    <sheet name="SA" sheetId="2" r:id="rId2"/>
    <sheet name="Ja-Ile" sheetId="3" r:id="rId3"/>
    <sheet name="JA" sheetId="4" r:id="rId4"/>
    <sheet name="OPDA" sheetId="5" r:id="rId5"/>
    <sheet name="IAA" sheetId="6" r:id="rId6"/>
    <sheet name="I3C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K11" i="3"/>
  <c r="J11" i="3"/>
  <c r="I11" i="3"/>
  <c r="L10" i="3"/>
  <c r="K10" i="3"/>
  <c r="J10" i="3"/>
  <c r="I10" i="3"/>
  <c r="L9" i="3"/>
  <c r="K9" i="3"/>
  <c r="J9" i="3"/>
  <c r="I9" i="3"/>
  <c r="L8" i="3"/>
  <c r="K8" i="3"/>
  <c r="J8" i="3"/>
  <c r="I8" i="3"/>
  <c r="L7" i="3"/>
  <c r="K7" i="3"/>
  <c r="J7" i="3"/>
  <c r="I7" i="3"/>
  <c r="L6" i="3"/>
  <c r="K6" i="3"/>
  <c r="J6" i="3"/>
  <c r="I6" i="3"/>
  <c r="L5" i="3"/>
  <c r="K5" i="3"/>
  <c r="J5" i="3"/>
  <c r="I5" i="3"/>
  <c r="L4" i="3"/>
  <c r="K4" i="3"/>
  <c r="J4" i="3"/>
  <c r="I4" i="3"/>
  <c r="K11" i="1"/>
  <c r="L11" i="1"/>
  <c r="K10" i="1"/>
  <c r="L10" i="1"/>
  <c r="K9" i="1"/>
  <c r="L9" i="1"/>
  <c r="K8" i="1"/>
  <c r="L8" i="1"/>
  <c r="K7" i="1"/>
  <c r="L7" i="1"/>
  <c r="K6" i="1"/>
  <c r="L6" i="1"/>
  <c r="K5" i="1"/>
  <c r="L5" i="1"/>
  <c r="K4" i="1"/>
  <c r="L4" i="1"/>
  <c r="I11" i="1"/>
  <c r="J11" i="1"/>
  <c r="I10" i="1"/>
  <c r="J10" i="1"/>
  <c r="I9" i="1"/>
  <c r="J9" i="1"/>
  <c r="I8" i="1"/>
  <c r="J8" i="1"/>
  <c r="I7" i="1"/>
  <c r="J7" i="1"/>
  <c r="I6" i="1"/>
  <c r="J6" i="1"/>
  <c r="I5" i="1"/>
  <c r="J5" i="1"/>
  <c r="I4" i="1"/>
  <c r="J4" i="1"/>
  <c r="K11" i="2"/>
  <c r="L11" i="2"/>
  <c r="K10" i="2"/>
  <c r="L10" i="2"/>
  <c r="K9" i="2"/>
  <c r="L9" i="2"/>
  <c r="K8" i="2"/>
  <c r="L8" i="2"/>
  <c r="K7" i="2"/>
  <c r="L7" i="2"/>
  <c r="K6" i="2"/>
  <c r="L6" i="2"/>
  <c r="K5" i="2"/>
  <c r="L5" i="2"/>
  <c r="K4" i="2"/>
  <c r="L4" i="2"/>
  <c r="I11" i="2"/>
  <c r="J11" i="2"/>
  <c r="I10" i="2"/>
  <c r="J10" i="2"/>
  <c r="I9" i="2"/>
  <c r="J9" i="2"/>
  <c r="I8" i="2"/>
  <c r="J8" i="2"/>
  <c r="I7" i="2"/>
  <c r="J7" i="2"/>
  <c r="I6" i="2"/>
  <c r="J6" i="2"/>
  <c r="I5" i="2"/>
  <c r="J5" i="2"/>
  <c r="I4" i="2"/>
  <c r="J4" i="2"/>
  <c r="K11" i="4"/>
  <c r="L11" i="4"/>
  <c r="K10" i="4"/>
  <c r="L10" i="4"/>
  <c r="K9" i="4"/>
  <c r="L9" i="4"/>
  <c r="K8" i="4"/>
  <c r="L8" i="4"/>
  <c r="K7" i="4"/>
  <c r="L7" i="4"/>
  <c r="K6" i="4"/>
  <c r="L6" i="4"/>
  <c r="K5" i="4"/>
  <c r="L5" i="4"/>
  <c r="K4" i="4"/>
  <c r="L4" i="4"/>
  <c r="I11" i="4"/>
  <c r="J11" i="4"/>
  <c r="I10" i="4"/>
  <c r="J10" i="4"/>
  <c r="I9" i="4"/>
  <c r="J9" i="4"/>
  <c r="I8" i="4"/>
  <c r="J8" i="4"/>
  <c r="I7" i="4"/>
  <c r="J7" i="4"/>
  <c r="I6" i="4"/>
  <c r="J6" i="4"/>
  <c r="I5" i="4"/>
  <c r="J5" i="4"/>
  <c r="I4" i="4"/>
  <c r="J4" i="4"/>
  <c r="K11" i="5"/>
  <c r="L11" i="5"/>
  <c r="K10" i="5"/>
  <c r="L10" i="5"/>
  <c r="K9" i="5"/>
  <c r="L9" i="5"/>
  <c r="K8" i="5"/>
  <c r="L8" i="5"/>
  <c r="K7" i="5"/>
  <c r="L7" i="5"/>
  <c r="K6" i="5"/>
  <c r="L6" i="5"/>
  <c r="K5" i="5"/>
  <c r="L5" i="5"/>
  <c r="K4" i="5"/>
  <c r="L4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K11" i="6"/>
  <c r="L11" i="6"/>
  <c r="K10" i="6"/>
  <c r="L10" i="6"/>
  <c r="K9" i="6"/>
  <c r="L9" i="6"/>
  <c r="K8" i="6"/>
  <c r="L8" i="6"/>
  <c r="K7" i="6"/>
  <c r="L7" i="6"/>
  <c r="K6" i="6"/>
  <c r="L6" i="6"/>
  <c r="K5" i="6"/>
  <c r="L5" i="6"/>
  <c r="K4" i="6"/>
  <c r="L4" i="6"/>
  <c r="E47" i="6"/>
  <c r="D47" i="6"/>
  <c r="E44" i="6"/>
  <c r="D44" i="6"/>
  <c r="E41" i="6"/>
  <c r="D41" i="6"/>
  <c r="E38" i="6"/>
  <c r="D38" i="6"/>
  <c r="E35" i="6"/>
  <c r="D35" i="6"/>
  <c r="E32" i="6"/>
  <c r="D32" i="6"/>
  <c r="E29" i="6"/>
  <c r="D29" i="6"/>
  <c r="E26" i="6"/>
  <c r="D26" i="6"/>
  <c r="E23" i="6"/>
  <c r="D23" i="6"/>
  <c r="E20" i="6"/>
  <c r="D20" i="6"/>
  <c r="E17" i="6"/>
  <c r="D17" i="6"/>
  <c r="E14" i="6"/>
  <c r="D14" i="6"/>
  <c r="E11" i="6"/>
  <c r="D11" i="6"/>
  <c r="E8" i="6"/>
  <c r="D8" i="6"/>
  <c r="E5" i="6"/>
  <c r="D5" i="6"/>
  <c r="E2" i="6"/>
  <c r="D2" i="6"/>
  <c r="E47" i="5"/>
  <c r="D47" i="5"/>
  <c r="E44" i="5"/>
  <c r="D44" i="5"/>
  <c r="E41" i="5"/>
  <c r="D41" i="5"/>
  <c r="E38" i="5"/>
  <c r="D38" i="5"/>
  <c r="E35" i="5"/>
  <c r="D35" i="5"/>
  <c r="E32" i="5"/>
  <c r="D32" i="5"/>
  <c r="E29" i="5"/>
  <c r="D29" i="5"/>
  <c r="E26" i="5"/>
  <c r="D26" i="5"/>
  <c r="E23" i="5"/>
  <c r="D23" i="5"/>
  <c r="E20" i="5"/>
  <c r="D20" i="5"/>
  <c r="E17" i="5"/>
  <c r="D17" i="5"/>
  <c r="E14" i="5"/>
  <c r="D14" i="5"/>
  <c r="E11" i="5"/>
  <c r="D11" i="5"/>
  <c r="E8" i="5"/>
  <c r="D8" i="5"/>
  <c r="E5" i="5"/>
  <c r="D5" i="5"/>
  <c r="E2" i="5"/>
  <c r="D2" i="5"/>
  <c r="E47" i="4"/>
  <c r="D47" i="4"/>
  <c r="E44" i="4"/>
  <c r="D44" i="4"/>
  <c r="E41" i="4"/>
  <c r="D41" i="4"/>
  <c r="E38" i="4"/>
  <c r="D38" i="4"/>
  <c r="E35" i="4"/>
  <c r="D35" i="4"/>
  <c r="E32" i="4"/>
  <c r="D32" i="4"/>
  <c r="E29" i="4"/>
  <c r="D29" i="4"/>
  <c r="E26" i="4"/>
  <c r="D26" i="4"/>
  <c r="E23" i="4"/>
  <c r="D23" i="4"/>
  <c r="E20" i="4"/>
  <c r="D20" i="4"/>
  <c r="E17" i="4"/>
  <c r="D17" i="4"/>
  <c r="E14" i="4"/>
  <c r="D14" i="4"/>
  <c r="E11" i="4"/>
  <c r="D11" i="4"/>
  <c r="E8" i="4"/>
  <c r="D8" i="4"/>
  <c r="E5" i="4"/>
  <c r="D5" i="4"/>
  <c r="E2" i="4"/>
  <c r="D2" i="4"/>
  <c r="E47" i="3"/>
  <c r="D47" i="3"/>
  <c r="E44" i="3"/>
  <c r="D44" i="3"/>
  <c r="E41" i="3"/>
  <c r="D41" i="3"/>
  <c r="E38" i="3"/>
  <c r="D38" i="3"/>
  <c r="E35" i="3"/>
  <c r="D35" i="3"/>
  <c r="E32" i="3"/>
  <c r="D32" i="3"/>
  <c r="E29" i="3"/>
  <c r="D29" i="3"/>
  <c r="E26" i="3"/>
  <c r="D26" i="3"/>
  <c r="E23" i="3"/>
  <c r="D23" i="3"/>
  <c r="E20" i="3"/>
  <c r="D20" i="3"/>
  <c r="E17" i="3"/>
  <c r="D17" i="3"/>
  <c r="E14" i="3"/>
  <c r="D14" i="3"/>
  <c r="E11" i="3"/>
  <c r="D11" i="3"/>
  <c r="E8" i="3"/>
  <c r="D8" i="3"/>
  <c r="E5" i="3"/>
  <c r="D5" i="3"/>
  <c r="E2" i="3"/>
  <c r="D2" i="3"/>
  <c r="E47" i="2"/>
  <c r="D47" i="2"/>
  <c r="E44" i="2"/>
  <c r="D44" i="2"/>
  <c r="E41" i="2"/>
  <c r="D41" i="2"/>
  <c r="E38" i="2"/>
  <c r="D38" i="2"/>
  <c r="E35" i="2"/>
  <c r="D35" i="2"/>
  <c r="E32" i="2"/>
  <c r="D32" i="2"/>
  <c r="E29" i="2"/>
  <c r="D29" i="2"/>
  <c r="E26" i="2"/>
  <c r="D26" i="2"/>
  <c r="E23" i="2"/>
  <c r="D23" i="2"/>
  <c r="E20" i="2"/>
  <c r="D20" i="2"/>
  <c r="E17" i="2"/>
  <c r="D17" i="2"/>
  <c r="E14" i="2"/>
  <c r="D14" i="2"/>
  <c r="E11" i="2"/>
  <c r="D11" i="2"/>
  <c r="E8" i="2"/>
  <c r="D8" i="2"/>
  <c r="E5" i="2"/>
  <c r="D5" i="2"/>
  <c r="E2" i="2"/>
  <c r="D2" i="2"/>
  <c r="D2" i="1"/>
  <c r="E47" i="1"/>
  <c r="D47" i="1"/>
  <c r="E44" i="1"/>
  <c r="D44" i="1"/>
  <c r="E41" i="1"/>
  <c r="D41" i="1"/>
  <c r="E38" i="1"/>
  <c r="D38" i="1"/>
  <c r="E35" i="1"/>
  <c r="D35" i="1"/>
  <c r="E32" i="1"/>
  <c r="D32" i="1"/>
  <c r="E29" i="1"/>
  <c r="D29" i="1"/>
  <c r="E26" i="1"/>
  <c r="D26" i="1"/>
  <c r="E23" i="1"/>
  <c r="D23" i="1"/>
  <c r="E20" i="1"/>
  <c r="D20" i="1"/>
  <c r="E17" i="1"/>
  <c r="D17" i="1"/>
  <c r="E14" i="1"/>
  <c r="D14" i="1"/>
  <c r="E11" i="1"/>
  <c r="D11" i="1"/>
  <c r="E8" i="1"/>
  <c r="D8" i="1"/>
  <c r="E5" i="1"/>
  <c r="D5" i="1"/>
  <c r="E2" i="1"/>
  <c r="E47" i="7"/>
  <c r="D47" i="7"/>
  <c r="E44" i="7"/>
  <c r="D44" i="7"/>
  <c r="E41" i="7"/>
  <c r="D41" i="7"/>
  <c r="E38" i="7"/>
  <c r="D38" i="7"/>
  <c r="E35" i="7"/>
  <c r="D35" i="7"/>
  <c r="E32" i="7"/>
  <c r="D32" i="7"/>
  <c r="E29" i="7"/>
  <c r="D29" i="7"/>
  <c r="E26" i="7"/>
  <c r="D26" i="7"/>
  <c r="E23" i="7"/>
  <c r="D23" i="7"/>
  <c r="E20" i="7"/>
  <c r="D20" i="7"/>
  <c r="E17" i="7"/>
  <c r="D17" i="7"/>
  <c r="E14" i="7"/>
  <c r="D14" i="7"/>
  <c r="E11" i="7"/>
  <c r="D11" i="7"/>
  <c r="E8" i="7"/>
  <c r="D8" i="7"/>
  <c r="E5" i="7"/>
  <c r="D5" i="7"/>
  <c r="E2" i="7"/>
  <c r="D2" i="7"/>
</calcChain>
</file>

<file path=xl/sharedStrings.xml><?xml version="1.0" encoding="utf-8"?>
<sst xmlns="http://schemas.openxmlformats.org/spreadsheetml/2006/main" count="718" uniqueCount="36">
  <si>
    <t>Día</t>
  </si>
  <si>
    <t>Condición</t>
  </si>
  <si>
    <t>Fitohormona</t>
  </si>
  <si>
    <t>C</t>
  </si>
  <si>
    <t>Bm</t>
  </si>
  <si>
    <t>Promedio</t>
  </si>
  <si>
    <t>Error</t>
  </si>
  <si>
    <t>error</t>
  </si>
  <si>
    <t>1d</t>
  </si>
  <si>
    <t>2d</t>
  </si>
  <si>
    <t>3d</t>
  </si>
  <si>
    <t>4d</t>
  </si>
  <si>
    <t>5d</t>
  </si>
  <si>
    <t>6d</t>
  </si>
  <si>
    <t>7d</t>
  </si>
  <si>
    <t>8d</t>
  </si>
  <si>
    <t>p_value</t>
  </si>
  <si>
    <t>signif</t>
  </si>
  <si>
    <t>ns</t>
  </si>
  <si>
    <t>estadistica hecha con sccript Estadistica t test WELCH</t>
  </si>
  <si>
    <t>n_C</t>
  </si>
  <si>
    <t>n_Bm</t>
  </si>
  <si>
    <t>test</t>
  </si>
  <si>
    <t>1</t>
  </si>
  <si>
    <t>2</t>
  </si>
  <si>
    <t>3</t>
  </si>
  <si>
    <t>4</t>
  </si>
  <si>
    <t>5</t>
  </si>
  <si>
    <t>6</t>
  </si>
  <si>
    <t>7</t>
  </si>
  <si>
    <t>8</t>
  </si>
  <si>
    <t>Day</t>
  </si>
  <si>
    <t>median_C</t>
  </si>
  <si>
    <t>median_Bm</t>
  </si>
  <si>
    <t>significance</t>
  </si>
  <si>
    <t>Mann-Whitney U test (non-parametric)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</si>
</sst>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ABA!$I$3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ABA!$J$4:$J$11</c:f>
                <c:numCache>
                  <c:formatCode>General</c:formatCode>
                  <c:ptCount val="8"/>
                  <c:pt idx="0">
                    <c:v>179.49776953203556</c:v>
                  </c:pt>
                  <c:pt idx="1">
                    <c:v>430.69906139681785</c:v>
                  </c:pt>
                  <c:pt idx="2">
                    <c:v>61.793312816500325</c:v>
                  </c:pt>
                  <c:pt idx="3">
                    <c:v>255.73065873008403</c:v>
                  </c:pt>
                  <c:pt idx="4">
                    <c:v>229.11221572835939</c:v>
                  </c:pt>
                  <c:pt idx="5">
                    <c:v>48.785892662450571</c:v>
                  </c:pt>
                  <c:pt idx="6">
                    <c:v>112.50297152503013</c:v>
                  </c:pt>
                  <c:pt idx="7">
                    <c:v>370.63830460552839</c:v>
                  </c:pt>
                </c:numCache>
              </c:numRef>
            </c:plus>
            <c:minus>
              <c:numRef>
                <c:f>ABA!$J$4:$J$11</c:f>
                <c:numCache>
                  <c:formatCode>General</c:formatCode>
                  <c:ptCount val="8"/>
                  <c:pt idx="0">
                    <c:v>179.49776953203556</c:v>
                  </c:pt>
                  <c:pt idx="1">
                    <c:v>430.69906139681785</c:v>
                  </c:pt>
                  <c:pt idx="2">
                    <c:v>61.793312816500325</c:v>
                  </c:pt>
                  <c:pt idx="3">
                    <c:v>255.73065873008403</c:v>
                  </c:pt>
                  <c:pt idx="4">
                    <c:v>229.11221572835939</c:v>
                  </c:pt>
                  <c:pt idx="5">
                    <c:v>48.785892662450571</c:v>
                  </c:pt>
                  <c:pt idx="6">
                    <c:v>112.50297152503013</c:v>
                  </c:pt>
                  <c:pt idx="7">
                    <c:v>370.63830460552839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ABA!$H$4:$H$11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ABA!$I$4:$I$11</c:f>
              <c:numCache>
                <c:formatCode>General</c:formatCode>
                <c:ptCount val="8"/>
                <c:pt idx="0">
                  <c:v>2058.6805555555552</c:v>
                </c:pt>
                <c:pt idx="1">
                  <c:v>2928.9958437252085</c:v>
                </c:pt>
                <c:pt idx="2">
                  <c:v>2880.431239230662</c:v>
                </c:pt>
                <c:pt idx="3">
                  <c:v>3088.8461876809179</c:v>
                </c:pt>
                <c:pt idx="4">
                  <c:v>2462.3704422346186</c:v>
                </c:pt>
                <c:pt idx="5">
                  <c:v>2682.7346568314501</c:v>
                </c:pt>
                <c:pt idx="6">
                  <c:v>3003.4403794004052</c:v>
                </c:pt>
                <c:pt idx="7">
                  <c:v>3040.4089922578155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ABA!$K$3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layout>
                <c:manualLayout>
                  <c:x val="-3.3817395411702721E-2"/>
                  <c:y val="-9.8606929955016437E-2"/>
                </c:manualLayout>
              </c:layout>
              <c:tx>
                <c:rich>
                  <a:bodyPr/>
                  <a:lstStyle/>
                  <a:p>
                    <a:fld id="{B4FF2D11-532F-4C21-98E3-0ECB6ABFD8E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0D4-4030-A0F5-EDBE8B394ABF}"/>
                </c:ext>
              </c:extLst>
            </c:dLbl>
            <c:dLbl>
              <c:idx val="1"/>
              <c:layout>
                <c:manualLayout>
                  <c:x val="-3.3817395411702741E-2"/>
                  <c:y val="-0.22477134768911969"/>
                </c:manualLayout>
              </c:layout>
              <c:tx>
                <c:rich>
                  <a:bodyPr/>
                  <a:lstStyle/>
                  <a:p>
                    <a:fld id="{177693F1-5CF8-427E-9C01-6C1F1A368B2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0D4-4030-A0F5-EDBE8B394ABF}"/>
                </c:ext>
              </c:extLst>
            </c:dLbl>
            <c:dLbl>
              <c:idx val="2"/>
              <c:layout>
                <c:manualLayout>
                  <c:x val="-2.7578431033706972E-2"/>
                  <c:y val="-0.16402551692825521"/>
                </c:manualLayout>
              </c:layout>
              <c:tx>
                <c:rich>
                  <a:bodyPr/>
                  <a:lstStyle/>
                  <a:p>
                    <a:fld id="{8441A0B8-2D36-4CE3-BECC-E23140E503C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0D4-4030-A0F5-EDBE8B394ABF}"/>
                </c:ext>
              </c:extLst>
            </c:dLbl>
            <c:dLbl>
              <c:idx val="3"/>
              <c:layout>
                <c:manualLayout>
                  <c:x val="-3.657799911878052E-2"/>
                  <c:y val="-0.10327968616739064"/>
                </c:manualLayout>
              </c:layout>
              <c:tx>
                <c:rich>
                  <a:bodyPr/>
                  <a:lstStyle/>
                  <a:p>
                    <a:fld id="{4A417AFE-B3B4-43B7-A270-2999081434B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0D4-4030-A0F5-EDBE8B394ABF}"/>
                </c:ext>
              </c:extLst>
            </c:dLbl>
            <c:dLbl>
              <c:idx val="4"/>
              <c:layout>
                <c:manualLayout>
                  <c:x val="-3.3817395411702741E-2"/>
                  <c:y val="-0.12197071101688742"/>
                </c:manualLayout>
              </c:layout>
              <c:tx>
                <c:rich>
                  <a:bodyPr/>
                  <a:lstStyle/>
                  <a:p>
                    <a:fld id="{1E5C8D77-B733-4F9F-B720-13DCCBA12FF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0D4-4030-A0F5-EDBE8B394ABF}"/>
                </c:ext>
              </c:extLst>
            </c:dLbl>
            <c:dLbl>
              <c:idx val="5"/>
              <c:layout>
                <c:manualLayout>
                  <c:x val="-3.3817395411702741E-2"/>
                  <c:y val="-9.3934173742642249E-2"/>
                </c:manualLayout>
              </c:layout>
              <c:tx>
                <c:rich>
                  <a:bodyPr/>
                  <a:lstStyle/>
                  <a:p>
                    <a:fld id="{2FCCB44B-BED5-4663-B2DA-4FF0FA648C7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0D4-4030-A0F5-EDBE8B394AB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4119697-A031-425C-96C2-7F56299B4B5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0D4-4030-A0F5-EDBE8B394AB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097793C-C68B-40C5-9B1D-A85DAB008C20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0D4-4030-A0F5-EDBE8B394AB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ABA!$L$4:$L$11</c:f>
                <c:numCache>
                  <c:formatCode>General</c:formatCode>
                  <c:ptCount val="8"/>
                  <c:pt idx="0">
                    <c:v>159.84938367444187</c:v>
                  </c:pt>
                  <c:pt idx="1">
                    <c:v>289.60162188594899</c:v>
                  </c:pt>
                  <c:pt idx="2">
                    <c:v>147.99392160044144</c:v>
                  </c:pt>
                  <c:pt idx="3">
                    <c:v>358.02436428695091</c:v>
                  </c:pt>
                  <c:pt idx="4">
                    <c:v>232.92763843422503</c:v>
                  </c:pt>
                  <c:pt idx="5">
                    <c:v>381.41993568460384</c:v>
                  </c:pt>
                  <c:pt idx="6">
                    <c:v>189.61061058653848</c:v>
                  </c:pt>
                  <c:pt idx="7">
                    <c:v>187.88151685504045</c:v>
                  </c:pt>
                </c:numCache>
              </c:numRef>
            </c:plus>
            <c:minus>
              <c:numRef>
                <c:f>ABA!$L$4:$L$11</c:f>
                <c:numCache>
                  <c:formatCode>General</c:formatCode>
                  <c:ptCount val="8"/>
                  <c:pt idx="0">
                    <c:v>159.84938367444187</c:v>
                  </c:pt>
                  <c:pt idx="1">
                    <c:v>289.60162188594899</c:v>
                  </c:pt>
                  <c:pt idx="2">
                    <c:v>147.99392160044144</c:v>
                  </c:pt>
                  <c:pt idx="3">
                    <c:v>358.02436428695091</c:v>
                  </c:pt>
                  <c:pt idx="4">
                    <c:v>232.92763843422503</c:v>
                  </c:pt>
                  <c:pt idx="5">
                    <c:v>381.41993568460384</c:v>
                  </c:pt>
                  <c:pt idx="6">
                    <c:v>189.61061058653848</c:v>
                  </c:pt>
                  <c:pt idx="7">
                    <c:v>187.88151685504045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ABA!$H$4:$H$11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ABA!$K$4:$K$11</c:f>
              <c:numCache>
                <c:formatCode>General</c:formatCode>
                <c:ptCount val="8"/>
                <c:pt idx="0">
                  <c:v>1903.5796645115024</c:v>
                </c:pt>
                <c:pt idx="1">
                  <c:v>2338.1157812564197</c:v>
                </c:pt>
                <c:pt idx="2">
                  <c:v>2203.8696225656163</c:v>
                </c:pt>
                <c:pt idx="3">
                  <c:v>3115.9483029048247</c:v>
                </c:pt>
                <c:pt idx="4">
                  <c:v>2276.3013390706788</c:v>
                </c:pt>
                <c:pt idx="5">
                  <c:v>3035.3758538164643</c:v>
                </c:pt>
                <c:pt idx="6">
                  <c:v>2919.1746001294937</c:v>
                </c:pt>
                <c:pt idx="7">
                  <c:v>3569.9909157344773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ABA!$N$4:$N$11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s-ES" b="0"/>
                  <a:t>ABA (ng/g DW)</a:t>
                </a:r>
              </a:p>
            </c:rich>
          </c:tx>
          <c:layout>
            <c:manualLayout>
              <c:xMode val="edge"/>
              <c:yMode val="edge"/>
              <c:x val="4.6032230142143485E-2"/>
              <c:y val="0.2443958721802499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SA!$I$3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SA!$J$4:$J$11</c:f>
                <c:numCache>
                  <c:formatCode>General</c:formatCode>
                  <c:ptCount val="8"/>
                  <c:pt idx="0">
                    <c:v>417.14743675251975</c:v>
                  </c:pt>
                  <c:pt idx="1">
                    <c:v>407.71679385690038</c:v>
                  </c:pt>
                  <c:pt idx="2">
                    <c:v>168.09125932340746</c:v>
                  </c:pt>
                  <c:pt idx="3">
                    <c:v>250.47017217536799</c:v>
                  </c:pt>
                  <c:pt idx="4">
                    <c:v>398.0745594976031</c:v>
                  </c:pt>
                  <c:pt idx="5">
                    <c:v>28.414130991002573</c:v>
                  </c:pt>
                  <c:pt idx="6">
                    <c:v>184.79204015625766</c:v>
                  </c:pt>
                  <c:pt idx="7">
                    <c:v>419.17043123951754</c:v>
                  </c:pt>
                </c:numCache>
              </c:numRef>
            </c:plus>
            <c:minus>
              <c:numRef>
                <c:f>SA!$J$4:$J$11</c:f>
                <c:numCache>
                  <c:formatCode>General</c:formatCode>
                  <c:ptCount val="8"/>
                  <c:pt idx="0">
                    <c:v>417.14743675251975</c:v>
                  </c:pt>
                  <c:pt idx="1">
                    <c:v>407.71679385690038</c:v>
                  </c:pt>
                  <c:pt idx="2">
                    <c:v>168.09125932340746</c:v>
                  </c:pt>
                  <c:pt idx="3">
                    <c:v>250.47017217536799</c:v>
                  </c:pt>
                  <c:pt idx="4">
                    <c:v>398.0745594976031</c:v>
                  </c:pt>
                  <c:pt idx="5">
                    <c:v>28.414130991002573</c:v>
                  </c:pt>
                  <c:pt idx="6">
                    <c:v>184.79204015625766</c:v>
                  </c:pt>
                  <c:pt idx="7">
                    <c:v>419.17043123951754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SA!$I$4:$I$11</c:f>
              <c:numCache>
                <c:formatCode>General</c:formatCode>
                <c:ptCount val="8"/>
                <c:pt idx="0">
                  <c:v>1904.5138888888887</c:v>
                </c:pt>
                <c:pt idx="1">
                  <c:v>1560.4020084503557</c:v>
                </c:pt>
                <c:pt idx="2">
                  <c:v>1750.4263063291007</c:v>
                </c:pt>
                <c:pt idx="3">
                  <c:v>1394.0078364562057</c:v>
                </c:pt>
                <c:pt idx="4">
                  <c:v>1751.8619128466325</c:v>
                </c:pt>
                <c:pt idx="5">
                  <c:v>1805.2580975163257</c:v>
                </c:pt>
                <c:pt idx="6">
                  <c:v>1518.8729026982012</c:v>
                </c:pt>
                <c:pt idx="7">
                  <c:v>1864.5265943823103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SA!$K$3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layout>
                <c:manualLayout>
                  <c:x val="-3.6562423650134401E-2"/>
                  <c:y val="-0.22092503515895229"/>
                </c:manualLayout>
              </c:layout>
              <c:tx>
                <c:rich>
                  <a:bodyPr/>
                  <a:lstStyle/>
                  <a:p>
                    <a:fld id="{E4C7361F-9B12-44F6-A32D-10D2033E574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0D4-4030-A0F5-EDBE8B394ABF}"/>
                </c:ext>
              </c:extLst>
            </c:dLbl>
            <c:dLbl>
              <c:idx val="1"/>
              <c:layout>
                <c:manualLayout>
                  <c:x val="-3.6562423650134429E-2"/>
                  <c:y val="-9.9550377099520623E-2"/>
                </c:manualLayout>
              </c:layout>
              <c:tx>
                <c:rich>
                  <a:bodyPr/>
                  <a:lstStyle/>
                  <a:p>
                    <a:fld id="{C85EBBA2-50CF-4C5F-80F5-37341DA2F2E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0D4-4030-A0F5-EDBE8B394AB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F29FAF0-BEB6-404E-9B98-4109D8DEB11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0D4-4030-A0F5-EDBE8B394ABF}"/>
                </c:ext>
              </c:extLst>
            </c:dLbl>
            <c:dLbl>
              <c:idx val="3"/>
              <c:layout>
                <c:manualLayout>
                  <c:x val="-3.6562423650134374E-2"/>
                  <c:y val="-0.10888688925793846"/>
                </c:manualLayout>
              </c:layout>
              <c:tx>
                <c:rich>
                  <a:bodyPr/>
                  <a:lstStyle/>
                  <a:p>
                    <a:fld id="{BDADB842-AA8A-40BD-A10B-29CCED6E1C9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0D4-4030-A0F5-EDBE8B394ABF}"/>
                </c:ext>
              </c:extLst>
            </c:dLbl>
            <c:dLbl>
              <c:idx val="4"/>
              <c:layout>
                <c:manualLayout>
                  <c:x val="-3.6562423650134478E-2"/>
                  <c:y val="-9.0213864941102756E-2"/>
                </c:manualLayout>
              </c:layout>
              <c:tx>
                <c:rich>
                  <a:bodyPr/>
                  <a:lstStyle/>
                  <a:p>
                    <a:fld id="{D3B01934-CD61-4420-B7AB-DC3BEC26223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0D4-4030-A0F5-EDBE8B394ABF}"/>
                </c:ext>
              </c:extLst>
            </c:dLbl>
            <c:dLbl>
              <c:idx val="5"/>
              <c:layout>
                <c:manualLayout>
                  <c:x val="-3.3810774493036891E-2"/>
                  <c:y val="-0.1159205176103528"/>
                </c:manualLayout>
              </c:layout>
              <c:tx>
                <c:rich>
                  <a:bodyPr/>
                  <a:lstStyle/>
                  <a:p>
                    <a:fld id="{56170D6C-5F3A-46A6-B0EF-3A86584426C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0D4-4030-A0F5-EDBE8B394ABF}"/>
                </c:ext>
              </c:extLst>
            </c:dLbl>
            <c:dLbl>
              <c:idx val="6"/>
              <c:layout>
                <c:manualLayout>
                  <c:x val="-3.6562423650134478E-2"/>
                  <c:y val="-7.1540840624267132E-2"/>
                </c:manualLayout>
              </c:layout>
              <c:tx>
                <c:rich>
                  <a:bodyPr/>
                  <a:lstStyle/>
                  <a:p>
                    <a:fld id="{67A8A44F-7AED-4C59-AEBB-97B499319B5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0D4-4030-A0F5-EDBE8B394ABF}"/>
                </c:ext>
              </c:extLst>
            </c:dLbl>
            <c:dLbl>
              <c:idx val="7"/>
              <c:layout>
                <c:manualLayout>
                  <c:x val="-3.6562423650134374E-2"/>
                  <c:y val="-0.21625677907974336"/>
                </c:manualLayout>
              </c:layout>
              <c:tx>
                <c:rich>
                  <a:bodyPr/>
                  <a:lstStyle/>
                  <a:p>
                    <a:fld id="{006A2713-73BA-4AFE-AAC8-9972F02256B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0D4-4030-A0F5-EDBE8B394AB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SA!$L$4:$L$11</c:f>
                <c:numCache>
                  <c:formatCode>General</c:formatCode>
                  <c:ptCount val="8"/>
                  <c:pt idx="0">
                    <c:v>184.21378706575805</c:v>
                  </c:pt>
                  <c:pt idx="1">
                    <c:v>34.633488971988307</c:v>
                  </c:pt>
                  <c:pt idx="2">
                    <c:v>98.070216826474834</c:v>
                  </c:pt>
                  <c:pt idx="3">
                    <c:v>300.09299781394975</c:v>
                  </c:pt>
                  <c:pt idx="4">
                    <c:v>124.8086918297351</c:v>
                  </c:pt>
                  <c:pt idx="5">
                    <c:v>277.54904557412033</c:v>
                  </c:pt>
                  <c:pt idx="6">
                    <c:v>161.59748599413814</c:v>
                  </c:pt>
                  <c:pt idx="7">
                    <c:v>292.58382611535711</c:v>
                  </c:pt>
                </c:numCache>
              </c:numRef>
            </c:plus>
            <c:minus>
              <c:numRef>
                <c:f>SA!$L$4:$L$11</c:f>
                <c:numCache>
                  <c:formatCode>General</c:formatCode>
                  <c:ptCount val="8"/>
                  <c:pt idx="0">
                    <c:v>184.21378706575805</c:v>
                  </c:pt>
                  <c:pt idx="1">
                    <c:v>34.633488971988307</c:v>
                  </c:pt>
                  <c:pt idx="2">
                    <c:v>98.070216826474834</c:v>
                  </c:pt>
                  <c:pt idx="3">
                    <c:v>300.09299781394975</c:v>
                  </c:pt>
                  <c:pt idx="4">
                    <c:v>124.8086918297351</c:v>
                  </c:pt>
                  <c:pt idx="5">
                    <c:v>277.54904557412033</c:v>
                  </c:pt>
                  <c:pt idx="6">
                    <c:v>161.59748599413814</c:v>
                  </c:pt>
                  <c:pt idx="7">
                    <c:v>292.58382611535711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SA!$K$4:$K$11</c:f>
              <c:numCache>
                <c:formatCode>General</c:formatCode>
                <c:ptCount val="8"/>
                <c:pt idx="0">
                  <c:v>1622.9830911107874</c:v>
                </c:pt>
                <c:pt idx="1">
                  <c:v>1769.2633222400264</c:v>
                </c:pt>
                <c:pt idx="2">
                  <c:v>1976.2224334101793</c:v>
                </c:pt>
                <c:pt idx="3">
                  <c:v>1594.1527071961857</c:v>
                </c:pt>
                <c:pt idx="4">
                  <c:v>1935.3328409492308</c:v>
                </c:pt>
                <c:pt idx="5">
                  <c:v>1954.4263559494186</c:v>
                </c:pt>
                <c:pt idx="6">
                  <c:v>1675.8483009999761</c:v>
                </c:pt>
                <c:pt idx="7">
                  <c:v>1596.7453502220681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SA!$X$4:$X$11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s-ES" b="0"/>
                  <a:t>SA (ng/g Dw)</a:t>
                </a:r>
              </a:p>
            </c:rich>
          </c:tx>
          <c:layout>
            <c:manualLayout>
              <c:xMode val="edge"/>
              <c:yMode val="edge"/>
              <c:x val="4.8806675825778231E-2"/>
              <c:y val="0.2725556827795040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'Ja-Ile'!$I$3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'Ja-Ile'!$J$4:$J$11</c:f>
                <c:numCache>
                  <c:formatCode>General</c:formatCode>
                  <c:ptCount val="8"/>
                  <c:pt idx="0">
                    <c:v>1.5911721163041146</c:v>
                  </c:pt>
                  <c:pt idx="1">
                    <c:v>0.81200131988360358</c:v>
                  </c:pt>
                  <c:pt idx="2">
                    <c:v>0.42652782749745866</c:v>
                  </c:pt>
                  <c:pt idx="3">
                    <c:v>0.27278238128748727</c:v>
                  </c:pt>
                  <c:pt idx="4">
                    <c:v>1.2322910377008842</c:v>
                  </c:pt>
                  <c:pt idx="5">
                    <c:v>0.20892445858833036</c:v>
                  </c:pt>
                  <c:pt idx="6">
                    <c:v>0.39007962840444188</c:v>
                  </c:pt>
                  <c:pt idx="7">
                    <c:v>0.66342043720165222</c:v>
                  </c:pt>
                </c:numCache>
              </c:numRef>
            </c:plus>
            <c:minus>
              <c:numRef>
                <c:f>'Ja-Ile'!$J$4:$J$11</c:f>
                <c:numCache>
                  <c:formatCode>General</c:formatCode>
                  <c:ptCount val="8"/>
                  <c:pt idx="0">
                    <c:v>1.5911721163041146</c:v>
                  </c:pt>
                  <c:pt idx="1">
                    <c:v>0.81200131988360358</c:v>
                  </c:pt>
                  <c:pt idx="2">
                    <c:v>0.42652782749745866</c:v>
                  </c:pt>
                  <c:pt idx="3">
                    <c:v>0.27278238128748727</c:v>
                  </c:pt>
                  <c:pt idx="4">
                    <c:v>1.2322910377008842</c:v>
                  </c:pt>
                  <c:pt idx="5">
                    <c:v>0.20892445858833036</c:v>
                  </c:pt>
                  <c:pt idx="6">
                    <c:v>0.39007962840444188</c:v>
                  </c:pt>
                  <c:pt idx="7">
                    <c:v>0.66342043720165222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'Ja-Ile'!$H$4:$H$11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'Ja-Ile'!$I$4:$I$11</c:f>
              <c:numCache>
                <c:formatCode>General</c:formatCode>
                <c:ptCount val="8"/>
                <c:pt idx="0">
                  <c:v>17.708333333333332</c:v>
                </c:pt>
                <c:pt idx="1">
                  <c:v>14.790973330510688</c:v>
                </c:pt>
                <c:pt idx="2">
                  <c:v>14.378668957871007</c:v>
                </c:pt>
                <c:pt idx="3">
                  <c:v>13.26594658041936</c:v>
                </c:pt>
                <c:pt idx="4">
                  <c:v>14.708545557441989</c:v>
                </c:pt>
                <c:pt idx="5">
                  <c:v>13.746740610265443</c:v>
                </c:pt>
                <c:pt idx="6">
                  <c:v>14.127896750271139</c:v>
                </c:pt>
                <c:pt idx="7">
                  <c:v>14.50502590464037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'Ja-Ile'!$K$3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'Ja-Ile'!$L$4:$L$11</c:f>
                <c:numCache>
                  <c:formatCode>General</c:formatCode>
                  <c:ptCount val="8"/>
                  <c:pt idx="0">
                    <c:v>4.7846889952153102</c:v>
                  </c:pt>
                  <c:pt idx="1">
                    <c:v>4.7619047619047619</c:v>
                  </c:pt>
                  <c:pt idx="2">
                    <c:v>0.96643907775480353</c:v>
                  </c:pt>
                  <c:pt idx="3">
                    <c:v>4.8309178743961354</c:v>
                  </c:pt>
                  <c:pt idx="4">
                    <c:v>5.0409826568673397</c:v>
                  </c:pt>
                  <c:pt idx="5">
                    <c:v>5.044257877538981</c:v>
                  </c:pt>
                  <c:pt idx="6">
                    <c:v>1.3684982333794875</c:v>
                  </c:pt>
                  <c:pt idx="7">
                    <c:v>0.95339477490077906</c:v>
                  </c:pt>
                </c:numCache>
              </c:numRef>
            </c:plus>
            <c:minus>
              <c:numRef>
                <c:f>'Ja-Ile'!$L$4:$L$11</c:f>
                <c:numCache>
                  <c:formatCode>General</c:formatCode>
                  <c:ptCount val="8"/>
                  <c:pt idx="0">
                    <c:v>4.7846889952153102</c:v>
                  </c:pt>
                  <c:pt idx="1">
                    <c:v>4.7619047619047619</c:v>
                  </c:pt>
                  <c:pt idx="2">
                    <c:v>0.96643907775480353</c:v>
                  </c:pt>
                  <c:pt idx="3">
                    <c:v>4.8309178743961354</c:v>
                  </c:pt>
                  <c:pt idx="4">
                    <c:v>5.0409826568673397</c:v>
                  </c:pt>
                  <c:pt idx="5">
                    <c:v>5.044257877538981</c:v>
                  </c:pt>
                  <c:pt idx="6">
                    <c:v>1.3684982333794875</c:v>
                  </c:pt>
                  <c:pt idx="7">
                    <c:v>0.95339477490077906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'Ja-Ile'!$H$4:$H$11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'Ja-Ile'!$K$4:$K$11</c:f>
              <c:numCache>
                <c:formatCode>General</c:formatCode>
                <c:ptCount val="8"/>
                <c:pt idx="0">
                  <c:v>4.7846889952153111</c:v>
                </c:pt>
                <c:pt idx="1">
                  <c:v>4.7619047619047619</c:v>
                </c:pt>
                <c:pt idx="2">
                  <c:v>14.074212424565919</c:v>
                </c:pt>
                <c:pt idx="3">
                  <c:v>4.8309178743961354</c:v>
                </c:pt>
                <c:pt idx="4">
                  <c:v>10.047846889952153</c:v>
                </c:pt>
                <c:pt idx="5">
                  <c:v>10.08074754964197</c:v>
                </c:pt>
                <c:pt idx="6">
                  <c:v>14.912112419366442</c:v>
                </c:pt>
                <c:pt idx="7">
                  <c:v>13.342547448277079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Ja-Ile (ng/g DW)</a:t>
                </a:r>
              </a:p>
            </c:rich>
          </c:tx>
          <c:layout>
            <c:manualLayout>
              <c:xMode val="edge"/>
              <c:yMode val="edge"/>
              <c:x val="4.8806659989294468E-2"/>
              <c:y val="0.25384649675186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299679"/>
        <c:crosses val="autoZero"/>
        <c:crossBetween val="between"/>
      </c:valAx>
      <c:spPr>
        <a:noFill/>
        <a:ln w="6350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35650969076288624"/>
          <c:y val="0.88866925136810859"/>
          <c:w val="0.3019213258321306"/>
          <c:h val="8.148539347117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endParaRPr lang="es-ES"/>
          </a:p>
        </c:rich>
      </c:tx>
      <c:layout>
        <c:manualLayout>
          <c:xMode val="edge"/>
          <c:yMode val="edge"/>
          <c:x val="0.44492654404616883"/>
          <c:y val="4.828730260663985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463626421697288"/>
          <c:y val="9.1057159521726438E-2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JA!$I$3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layout>
                <c:manualLayout>
                  <c:x val="-4.2361029302603236E-2"/>
                  <c:y val="-0.15619400961802629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fld id="{F72506D8-965E-487E-BDAF-3099004989EB}" type="CELLRANGE">
                      <a:rPr lang="en-US"/>
                      <a:pPr>
                        <a:defRPr/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277777777777782E-2"/>
                      <c:h val="0.149097404491105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7D1-4994-81D5-A62381DC8995}"/>
                </c:ext>
              </c:extLst>
            </c:dLbl>
            <c:dLbl>
              <c:idx val="1"/>
              <c:layout>
                <c:manualLayout>
                  <c:x val="-3.402462678167982E-2"/>
                  <c:y val="-9.3604817605154156E-2"/>
                </c:manualLayout>
              </c:layout>
              <c:tx>
                <c:rich>
                  <a:bodyPr/>
                  <a:lstStyle/>
                  <a:p>
                    <a:fld id="{018BED90-9F02-4860-8693-35AE0D3FA42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7D1-4994-81D5-A62381DC899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4CBB91-C6B9-4558-8E92-5F7B0A88C2D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7D1-4994-81D5-A62381DC8995}"/>
                </c:ext>
              </c:extLst>
            </c:dLbl>
            <c:dLbl>
              <c:idx val="3"/>
              <c:layout>
                <c:manualLayout>
                  <c:x val="-3.4034042363109543E-2"/>
                  <c:y val="-0.20916625842461778"/>
                </c:manualLayout>
              </c:layout>
              <c:tx>
                <c:rich>
                  <a:bodyPr/>
                  <a:lstStyle/>
                  <a:p>
                    <a:fld id="{8489FD15-E84F-46AC-A1C1-AB7568C61D8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7D1-4994-81D5-A62381DC899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A7AF116-15C5-4D7E-9402-1D67878EDE2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7D1-4994-81D5-A62381DC8995}"/>
                </c:ext>
              </c:extLst>
            </c:dLbl>
            <c:dLbl>
              <c:idx val="5"/>
              <c:layout>
                <c:manualLayout>
                  <c:x val="-4.928378080701605E-2"/>
                  <c:y val="-0.1915959057143177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fld id="{46B81C1B-6D5F-4F53-BA76-958AE5EA0219}" type="CELLRANGE">
                      <a:rPr lang="en-US"/>
                      <a:pPr>
                        <a:defRPr/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036991410800066E-2"/>
                      <c:h val="0.1214542057113935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7D1-4994-81D5-A62381DC8995}"/>
                </c:ext>
              </c:extLst>
            </c:dLbl>
            <c:dLbl>
              <c:idx val="6"/>
              <c:layout>
                <c:manualLayout>
                  <c:x val="-3.4027777777777775E-2"/>
                  <c:y val="-0.13473388743073786"/>
                </c:manualLayout>
              </c:layout>
              <c:tx>
                <c:rich>
                  <a:bodyPr/>
                  <a:lstStyle/>
                  <a:p>
                    <a:fld id="{8E897BA3-BEE0-499E-8984-9FA7F347B73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7D1-4994-81D5-A62381DC8995}"/>
                </c:ext>
              </c:extLst>
            </c:dLbl>
            <c:dLbl>
              <c:idx val="7"/>
              <c:layout>
                <c:manualLayout>
                  <c:x val="-3.6700841577806308E-2"/>
                  <c:y val="-0.10235605902800968"/>
                </c:manualLayout>
              </c:layout>
              <c:tx>
                <c:rich>
                  <a:bodyPr/>
                  <a:lstStyle/>
                  <a:p>
                    <a:fld id="{7C0F6C9B-3C09-4217-AB33-B5EE2FBF3B3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37D1-4994-81D5-A62381DC8995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JA!$J$4:$J$11</c:f>
                <c:numCache>
                  <c:formatCode>General</c:formatCode>
                  <c:ptCount val="8"/>
                  <c:pt idx="0">
                    <c:v>1.5911721163041146</c:v>
                  </c:pt>
                  <c:pt idx="1">
                    <c:v>4.1205392795172688</c:v>
                  </c:pt>
                  <c:pt idx="2">
                    <c:v>0.42652782749745866</c:v>
                  </c:pt>
                  <c:pt idx="3">
                    <c:v>0.27278238128748727</c:v>
                  </c:pt>
                  <c:pt idx="4">
                    <c:v>2.4645820754017684</c:v>
                  </c:pt>
                  <c:pt idx="5">
                    <c:v>13.531989130734379</c:v>
                  </c:pt>
                  <c:pt idx="6">
                    <c:v>9.2992164163420767</c:v>
                  </c:pt>
                  <c:pt idx="7">
                    <c:v>0.66342043720165222</c:v>
                  </c:pt>
                </c:numCache>
              </c:numRef>
            </c:plus>
            <c:minus>
              <c:numRef>
                <c:f>JA!$J$4:$J$11</c:f>
                <c:numCache>
                  <c:formatCode>General</c:formatCode>
                  <c:ptCount val="8"/>
                  <c:pt idx="0">
                    <c:v>1.5911721163041146</c:v>
                  </c:pt>
                  <c:pt idx="1">
                    <c:v>4.1205392795172688</c:v>
                  </c:pt>
                  <c:pt idx="2">
                    <c:v>0.42652782749745866</c:v>
                  </c:pt>
                  <c:pt idx="3">
                    <c:v>0.27278238128748727</c:v>
                  </c:pt>
                  <c:pt idx="4">
                    <c:v>2.4645820754017684</c:v>
                  </c:pt>
                  <c:pt idx="5">
                    <c:v>13.531989130734379</c:v>
                  </c:pt>
                  <c:pt idx="6">
                    <c:v>9.2992164163420767</c:v>
                  </c:pt>
                  <c:pt idx="7">
                    <c:v>0.66342043720165222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JA!$H$4:$H$11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JA!$I$4:$I$11</c:f>
              <c:numCache>
                <c:formatCode>General</c:formatCode>
                <c:ptCount val="8"/>
                <c:pt idx="0">
                  <c:v>17.708333333333332</c:v>
                </c:pt>
                <c:pt idx="1">
                  <c:v>19.378129293813441</c:v>
                </c:pt>
                <c:pt idx="2">
                  <c:v>14.378668957871007</c:v>
                </c:pt>
                <c:pt idx="3">
                  <c:v>13.26594658041936</c:v>
                </c:pt>
                <c:pt idx="4">
                  <c:v>29.417091114883977</c:v>
                </c:pt>
                <c:pt idx="5">
                  <c:v>41.129844856894522</c:v>
                </c:pt>
                <c:pt idx="6">
                  <c:v>23.473691142794507</c:v>
                </c:pt>
                <c:pt idx="7">
                  <c:v>14.50502590464037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JA!$N$4:$N$11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JA!$K$3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JA!$L$4:$L$11</c:f>
                <c:numCache>
                  <c:formatCode>General</c:formatCode>
                  <c:ptCount val="8"/>
                  <c:pt idx="0">
                    <c:v>3.3844061007854056</c:v>
                  </c:pt>
                  <c:pt idx="1">
                    <c:v>2.481358768708632</c:v>
                  </c:pt>
                  <c:pt idx="2">
                    <c:v>0.96643907775480353</c:v>
                  </c:pt>
                  <c:pt idx="3">
                    <c:v>4.6956430217140852</c:v>
                  </c:pt>
                  <c:pt idx="4">
                    <c:v>1.7376156654074952</c:v>
                  </c:pt>
                  <c:pt idx="5">
                    <c:v>9.2655733137078542</c:v>
                  </c:pt>
                  <c:pt idx="6">
                    <c:v>3.1491881072178676</c:v>
                  </c:pt>
                  <c:pt idx="7">
                    <c:v>2.8731290378193561</c:v>
                  </c:pt>
                </c:numCache>
              </c:numRef>
            </c:plus>
            <c:minus>
              <c:numRef>
                <c:f>JA!$L$4:$L$11</c:f>
                <c:numCache>
                  <c:formatCode>General</c:formatCode>
                  <c:ptCount val="8"/>
                  <c:pt idx="0">
                    <c:v>3.3844061007854056</c:v>
                  </c:pt>
                  <c:pt idx="1">
                    <c:v>2.481358768708632</c:v>
                  </c:pt>
                  <c:pt idx="2">
                    <c:v>0.96643907775480353</c:v>
                  </c:pt>
                  <c:pt idx="3">
                    <c:v>4.6956430217140852</c:v>
                  </c:pt>
                  <c:pt idx="4">
                    <c:v>1.7376156654074952</c:v>
                  </c:pt>
                  <c:pt idx="5">
                    <c:v>9.2655733137078542</c:v>
                  </c:pt>
                  <c:pt idx="6">
                    <c:v>3.1491881072178676</c:v>
                  </c:pt>
                  <c:pt idx="7">
                    <c:v>2.8731290378193561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JA!$H$4:$H$11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JA!$K$4:$K$11</c:f>
              <c:numCache>
                <c:formatCode>General</c:formatCode>
                <c:ptCount val="8"/>
                <c:pt idx="0">
                  <c:v>23.480385016191747</c:v>
                </c:pt>
                <c:pt idx="1">
                  <c:v>17.745182628702906</c:v>
                </c:pt>
                <c:pt idx="2">
                  <c:v>14.074212424565919</c:v>
                </c:pt>
                <c:pt idx="3">
                  <c:v>22.865298952255475</c:v>
                </c:pt>
                <c:pt idx="4">
                  <c:v>16.759256285925307</c:v>
                </c:pt>
                <c:pt idx="5">
                  <c:v>30.860386724899701</c:v>
                </c:pt>
                <c:pt idx="6">
                  <c:v>23.94187189755641</c:v>
                </c:pt>
                <c:pt idx="7">
                  <c:v>17.159341341406851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GB" b="0"/>
                  <a:t>JA (ng/g Dw)</a:t>
                </a:r>
              </a:p>
            </c:rich>
          </c:tx>
          <c:layout>
            <c:manualLayout>
              <c:xMode val="edge"/>
              <c:yMode val="edge"/>
              <c:x val="5.1584426946631678E-2"/>
              <c:y val="0.318661417322834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OPDA!$I$3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OPDA!$J$4:$J$11</c:f>
                <c:numCache>
                  <c:formatCode>General</c:formatCode>
                  <c:ptCount val="8"/>
                  <c:pt idx="0">
                    <c:v>425.12309854882398</c:v>
                  </c:pt>
                  <c:pt idx="1">
                    <c:v>345.14491003464349</c:v>
                  </c:pt>
                  <c:pt idx="2">
                    <c:v>288.01211357948273</c:v>
                  </c:pt>
                  <c:pt idx="3">
                    <c:v>317.42619247621195</c:v>
                  </c:pt>
                  <c:pt idx="4">
                    <c:v>666.9581167230499</c:v>
                  </c:pt>
                  <c:pt idx="5">
                    <c:v>245.54552978222389</c:v>
                  </c:pt>
                  <c:pt idx="6">
                    <c:v>531.05939642270812</c:v>
                  </c:pt>
                  <c:pt idx="7">
                    <c:v>48.242031478037404</c:v>
                  </c:pt>
                </c:numCache>
              </c:numRef>
            </c:plus>
            <c:minus>
              <c:numRef>
                <c:f>OPDA!$J$4:$J$11</c:f>
                <c:numCache>
                  <c:formatCode>General</c:formatCode>
                  <c:ptCount val="8"/>
                  <c:pt idx="0">
                    <c:v>425.12309854882398</c:v>
                  </c:pt>
                  <c:pt idx="1">
                    <c:v>345.14491003464349</c:v>
                  </c:pt>
                  <c:pt idx="2">
                    <c:v>288.01211357948273</c:v>
                  </c:pt>
                  <c:pt idx="3">
                    <c:v>317.42619247621195</c:v>
                  </c:pt>
                  <c:pt idx="4">
                    <c:v>666.9581167230499</c:v>
                  </c:pt>
                  <c:pt idx="5">
                    <c:v>245.54552978222389</c:v>
                  </c:pt>
                  <c:pt idx="6">
                    <c:v>531.05939642270812</c:v>
                  </c:pt>
                  <c:pt idx="7">
                    <c:v>48.242031478037404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OPDA!$H$4:$H$11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OPDA!$I$4:$I$11</c:f>
              <c:numCache>
                <c:formatCode>General</c:formatCode>
                <c:ptCount val="8"/>
                <c:pt idx="0">
                  <c:v>1367.3611111111113</c:v>
                </c:pt>
                <c:pt idx="1">
                  <c:v>1699.3294077646995</c:v>
                </c:pt>
                <c:pt idx="2">
                  <c:v>1327.5343812430488</c:v>
                </c:pt>
                <c:pt idx="3">
                  <c:v>1582.8860860587004</c:v>
                </c:pt>
                <c:pt idx="4">
                  <c:v>2511.3566173498261</c:v>
                </c:pt>
                <c:pt idx="5">
                  <c:v>1849.8230891707497</c:v>
                </c:pt>
                <c:pt idx="6">
                  <c:v>2166.7942116262652</c:v>
                </c:pt>
                <c:pt idx="7">
                  <c:v>1527.0349634009897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OPDA!$K$3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layout>
                <c:manualLayout>
                  <c:x val="-3.6592397397173397E-2"/>
                  <c:y val="-0.11192974802971593"/>
                </c:manualLayout>
              </c:layout>
              <c:tx>
                <c:rich>
                  <a:bodyPr/>
                  <a:lstStyle/>
                  <a:p>
                    <a:fld id="{B18C4368-7221-415D-B90D-2541063F395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0D4-4030-A0F5-EDBE8B394ABF}"/>
                </c:ext>
              </c:extLst>
            </c:dLbl>
            <c:dLbl>
              <c:idx val="1"/>
              <c:layout>
                <c:manualLayout>
                  <c:x val="-3.6592397397173397E-2"/>
                  <c:y val="-7.5118260526781125E-2"/>
                </c:manualLayout>
              </c:layout>
              <c:tx>
                <c:rich>
                  <a:bodyPr/>
                  <a:lstStyle/>
                  <a:p>
                    <a:fld id="{20B417CC-EF1C-4A29-9D45-086BECD099F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0D4-4030-A0F5-EDBE8B394AB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E5AFC29-0EE4-4F8F-9FA7-5D80C2C7367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0D4-4030-A0F5-EDBE8B394ABF}"/>
                </c:ext>
              </c:extLst>
            </c:dLbl>
            <c:dLbl>
              <c:idx val="3"/>
              <c:layout>
                <c:manualLayout>
                  <c:x val="-3.6592397397173397E-2"/>
                  <c:y val="-0.12573405584331643"/>
                </c:manualLayout>
              </c:layout>
              <c:tx>
                <c:rich>
                  <a:bodyPr/>
                  <a:lstStyle/>
                  <a:p>
                    <a:fld id="{8A6D9E7B-4758-48D4-847E-3FF7635954C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0D4-4030-A0F5-EDBE8B394ABF}"/>
                </c:ext>
              </c:extLst>
            </c:dLbl>
            <c:dLbl>
              <c:idx val="4"/>
              <c:layout>
                <c:manualLayout>
                  <c:x val="-3.4027777019717688E-2"/>
                  <c:y val="-0.13927894411900255"/>
                </c:manualLayout>
              </c:layout>
              <c:tx>
                <c:rich>
                  <a:bodyPr/>
                  <a:lstStyle/>
                  <a:p>
                    <a:fld id="{3B841209-D682-42E5-8E44-6EF2DA09492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0D4-4030-A0F5-EDBE8B394ABF}"/>
                </c:ext>
              </c:extLst>
            </c:dLbl>
            <c:dLbl>
              <c:idx val="5"/>
              <c:layout>
                <c:manualLayout>
                  <c:x val="-3.6592397397173494E-2"/>
                  <c:y val="-0.1257340558433164"/>
                </c:manualLayout>
              </c:layout>
              <c:tx>
                <c:rich>
                  <a:bodyPr/>
                  <a:lstStyle/>
                  <a:p>
                    <a:fld id="{EA4E86D5-492C-49F1-8684-94F6A7C0487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0D4-4030-A0F5-EDBE8B394ABF}"/>
                </c:ext>
              </c:extLst>
            </c:dLbl>
            <c:dLbl>
              <c:idx val="6"/>
              <c:layout>
                <c:manualLayout>
                  <c:x val="-3.6592397397173397E-2"/>
                  <c:y val="-0.14413979959478379"/>
                </c:manualLayout>
              </c:layout>
              <c:tx>
                <c:rich>
                  <a:bodyPr/>
                  <a:lstStyle/>
                  <a:p>
                    <a:fld id="{78B66240-EA47-4093-869E-9EBCBFDCA1D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0D4-4030-A0F5-EDBE8B394ABF}"/>
                </c:ext>
              </c:extLst>
            </c:dLbl>
            <c:dLbl>
              <c:idx val="7"/>
              <c:layout>
                <c:manualLayout>
                  <c:x val="-3.6592397397173397E-2"/>
                  <c:y val="-7.5118260526781083E-2"/>
                </c:manualLayout>
              </c:layout>
              <c:tx>
                <c:rich>
                  <a:bodyPr/>
                  <a:lstStyle/>
                  <a:p>
                    <a:fld id="{8C8D2EA7-C052-4992-BB84-AEE0B34EF15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0D4-4030-A0F5-EDBE8B394AB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OPDA!$L$4:$L$11</c:f>
                <c:numCache>
                  <c:formatCode>General</c:formatCode>
                  <c:ptCount val="8"/>
                  <c:pt idx="0">
                    <c:v>181.62273657535064</c:v>
                  </c:pt>
                  <c:pt idx="1">
                    <c:v>274.26293100745488</c:v>
                  </c:pt>
                  <c:pt idx="2">
                    <c:v>155.87078837793121</c:v>
                  </c:pt>
                  <c:pt idx="3">
                    <c:v>602.1313366350771</c:v>
                  </c:pt>
                  <c:pt idx="4">
                    <c:v>660.42323991918317</c:v>
                  </c:pt>
                  <c:pt idx="5">
                    <c:v>610.78031981798722</c:v>
                  </c:pt>
                  <c:pt idx="6">
                    <c:v>277.099079973524</c:v>
                  </c:pt>
                  <c:pt idx="7">
                    <c:v>310.31682188526287</c:v>
                  </c:pt>
                </c:numCache>
              </c:numRef>
            </c:plus>
            <c:minus>
              <c:numRef>
                <c:f>OPDA!$L$4:$L$11</c:f>
                <c:numCache>
                  <c:formatCode>General</c:formatCode>
                  <c:ptCount val="8"/>
                  <c:pt idx="0">
                    <c:v>181.62273657535064</c:v>
                  </c:pt>
                  <c:pt idx="1">
                    <c:v>274.26293100745488</c:v>
                  </c:pt>
                  <c:pt idx="2">
                    <c:v>155.87078837793121</c:v>
                  </c:pt>
                  <c:pt idx="3">
                    <c:v>602.1313366350771</c:v>
                  </c:pt>
                  <c:pt idx="4">
                    <c:v>660.42323991918317</c:v>
                  </c:pt>
                  <c:pt idx="5">
                    <c:v>610.78031981798722</c:v>
                  </c:pt>
                  <c:pt idx="6">
                    <c:v>277.099079973524</c:v>
                  </c:pt>
                  <c:pt idx="7">
                    <c:v>310.31682188526287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OPDA!$H$4:$H$11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OPDA!$K$4:$K$11</c:f>
              <c:numCache>
                <c:formatCode>General</c:formatCode>
                <c:ptCount val="8"/>
                <c:pt idx="0">
                  <c:v>1287.0403280929595</c:v>
                </c:pt>
                <c:pt idx="1">
                  <c:v>2274.3292657874194</c:v>
                </c:pt>
                <c:pt idx="2">
                  <c:v>1870.9311985038614</c:v>
                </c:pt>
                <c:pt idx="3">
                  <c:v>2356.3303845912546</c:v>
                </c:pt>
                <c:pt idx="4">
                  <c:v>3390.7966988857138</c:v>
                </c:pt>
                <c:pt idx="5">
                  <c:v>2654.1091107612615</c:v>
                </c:pt>
                <c:pt idx="6">
                  <c:v>1947.4652886021915</c:v>
                </c:pt>
                <c:pt idx="7">
                  <c:v>1327.014081390656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OPDA!$N$4:$N$11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OPDA (ng/g Dw)</a:t>
                </a:r>
              </a:p>
            </c:rich>
          </c:tx>
          <c:layout>
            <c:manualLayout>
              <c:xMode val="edge"/>
              <c:yMode val="edge"/>
              <c:x val="4.0473315835520558E-2"/>
              <c:y val="0.2584082519492489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IAA!$I$3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IAA!$J$4:$J$11</c:f>
                <c:numCache>
                  <c:formatCode>General</c:formatCode>
                  <c:ptCount val="8"/>
                  <c:pt idx="0">
                    <c:v>8.9809146919288629</c:v>
                  </c:pt>
                  <c:pt idx="1">
                    <c:v>11.111487382814877</c:v>
                  </c:pt>
                  <c:pt idx="2">
                    <c:v>5.6655839537253048</c:v>
                  </c:pt>
                  <c:pt idx="3">
                    <c:v>6.8547056997919924</c:v>
                  </c:pt>
                  <c:pt idx="4">
                    <c:v>15.462917230427577</c:v>
                  </c:pt>
                  <c:pt idx="5">
                    <c:v>6.1359578757694448</c:v>
                  </c:pt>
                  <c:pt idx="6">
                    <c:v>6.6085185727356048</c:v>
                  </c:pt>
                  <c:pt idx="7">
                    <c:v>6.5352697428409687</c:v>
                  </c:pt>
                </c:numCache>
              </c:numRef>
            </c:plus>
            <c:minus>
              <c:numRef>
                <c:f>IAA!$J$4:$J$11</c:f>
                <c:numCache>
                  <c:formatCode>General</c:formatCode>
                  <c:ptCount val="8"/>
                  <c:pt idx="0">
                    <c:v>8.9809146919288629</c:v>
                  </c:pt>
                  <c:pt idx="1">
                    <c:v>11.111487382814877</c:v>
                  </c:pt>
                  <c:pt idx="2">
                    <c:v>5.6655839537253048</c:v>
                  </c:pt>
                  <c:pt idx="3">
                    <c:v>6.8547056997919924</c:v>
                  </c:pt>
                  <c:pt idx="4">
                    <c:v>15.462917230427577</c:v>
                  </c:pt>
                  <c:pt idx="5">
                    <c:v>6.1359578757694448</c:v>
                  </c:pt>
                  <c:pt idx="6">
                    <c:v>6.6085185727356048</c:v>
                  </c:pt>
                  <c:pt idx="7">
                    <c:v>6.5352697428409687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IAA!$H$4:$H$11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IAA!$I$4:$I$11</c:f>
              <c:numCache>
                <c:formatCode>General</c:formatCode>
                <c:ptCount val="8"/>
                <c:pt idx="0">
                  <c:v>134.375</c:v>
                </c:pt>
                <c:pt idx="1">
                  <c:v>109.00129418789174</c:v>
                </c:pt>
                <c:pt idx="2">
                  <c:v>129.00477568512107</c:v>
                </c:pt>
                <c:pt idx="3">
                  <c:v>145.7936303145049</c:v>
                </c:pt>
                <c:pt idx="4">
                  <c:v>142.6994906621392</c:v>
                </c:pt>
                <c:pt idx="5">
                  <c:v>132.983101169919</c:v>
                </c:pt>
                <c:pt idx="6">
                  <c:v>136.16007976144923</c:v>
                </c:pt>
                <c:pt idx="7">
                  <c:v>125.08998099277905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IAA!$K$3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layout>
                <c:manualLayout>
                  <c:x val="-3.6738842479209902E-2"/>
                  <c:y val="-0.10639626806542379"/>
                </c:manualLayout>
              </c:layout>
              <c:tx>
                <c:rich>
                  <a:bodyPr/>
                  <a:lstStyle/>
                  <a:p>
                    <a:fld id="{8AAF8A44-C82C-471B-9348-21FF7E183E6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0D4-4030-A0F5-EDBE8B394ABF}"/>
                </c:ext>
              </c:extLst>
            </c:dLbl>
            <c:dLbl>
              <c:idx val="1"/>
              <c:layout>
                <c:manualLayout>
                  <c:x val="-3.402777777777783E-2"/>
                  <c:y val="-7.9316018839937219E-2"/>
                </c:manualLayout>
              </c:layout>
              <c:tx>
                <c:rich>
                  <a:bodyPr/>
                  <a:lstStyle/>
                  <a:p>
                    <a:fld id="{A0891CC8-D214-44A0-AA5B-28E25AB53D5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0D4-4030-A0F5-EDBE8B394ABF}"/>
                </c:ext>
              </c:extLst>
            </c:dLbl>
            <c:dLbl>
              <c:idx val="2"/>
              <c:layout>
                <c:manualLayout>
                  <c:x val="-3.4027777777777775E-2"/>
                  <c:y val="-7.9316018839937219E-2"/>
                </c:manualLayout>
              </c:layout>
              <c:tx>
                <c:rich>
                  <a:bodyPr/>
                  <a:lstStyle/>
                  <a:p>
                    <a:fld id="{85529A32-CF65-486C-B9D4-7F6B0EF58FF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0D4-4030-A0F5-EDBE8B394ABF}"/>
                </c:ext>
              </c:extLst>
            </c:dLbl>
            <c:dLbl>
              <c:idx val="3"/>
              <c:layout>
                <c:manualLayout>
                  <c:x val="-3.4027777777777775E-2"/>
                  <c:y val="-8.8591379465227993E-2"/>
                </c:manualLayout>
              </c:layout>
              <c:tx>
                <c:rich>
                  <a:bodyPr/>
                  <a:lstStyle/>
                  <a:p>
                    <a:fld id="{4C8D4EB2-1236-4B52-A1DF-855B178A3D9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0D4-4030-A0F5-EDBE8B394AB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5742C32-ABDE-46A6-9BCD-6C590DFB0F5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0D4-4030-A0F5-EDBE8B394AB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D5B1DA-F4C7-43D9-9A03-60A74410A41D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0D4-4030-A0F5-EDBE8B394ABF}"/>
                </c:ext>
              </c:extLst>
            </c:dLbl>
            <c:dLbl>
              <c:idx val="6"/>
              <c:layout>
                <c:manualLayout>
                  <c:x val="-3.4027777777777775E-2"/>
                  <c:y val="-0.11641746134110033"/>
                </c:manualLayout>
              </c:layout>
              <c:tx>
                <c:rich>
                  <a:bodyPr/>
                  <a:lstStyle/>
                  <a:p>
                    <a:fld id="{FFCC7F84-B04C-49FB-A9EB-A638EA8CFA8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0D4-4030-A0F5-EDBE8B394ABF}"/>
                </c:ext>
              </c:extLst>
            </c:dLbl>
            <c:dLbl>
              <c:idx val="7"/>
              <c:layout>
                <c:manualLayout>
                  <c:x val="-3.4027777777777775E-2"/>
                  <c:y val="-0.12105514165374567"/>
                </c:manualLayout>
              </c:layout>
              <c:tx>
                <c:rich>
                  <a:bodyPr/>
                  <a:lstStyle/>
                  <a:p>
                    <a:fld id="{E533C039-DCF9-4640-99B9-E14357F6155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0D4-4030-A0F5-EDBE8B394AB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IAA!$L$4:$L$11</c:f>
                <c:numCache>
                  <c:formatCode>General</c:formatCode>
                  <c:ptCount val="8"/>
                  <c:pt idx="0">
                    <c:v>14.389944704087011</c:v>
                  </c:pt>
                  <c:pt idx="1">
                    <c:v>3.5541449998554766</c:v>
                  </c:pt>
                  <c:pt idx="2">
                    <c:v>18.176960934869008</c:v>
                  </c:pt>
                  <c:pt idx="3">
                    <c:v>23.038200784605447</c:v>
                  </c:pt>
                  <c:pt idx="4">
                    <c:v>5.6517131755563437</c:v>
                  </c:pt>
                  <c:pt idx="5">
                    <c:v>12.200090463373769</c:v>
                  </c:pt>
                  <c:pt idx="6">
                    <c:v>4.4605457951027576</c:v>
                  </c:pt>
                  <c:pt idx="7">
                    <c:v>13.42610537373025</c:v>
                  </c:pt>
                </c:numCache>
              </c:numRef>
            </c:plus>
            <c:minus>
              <c:numRef>
                <c:f>IAA!$L$4:$L$11</c:f>
                <c:numCache>
                  <c:formatCode>General</c:formatCode>
                  <c:ptCount val="8"/>
                  <c:pt idx="0">
                    <c:v>14.389944704087011</c:v>
                  </c:pt>
                  <c:pt idx="1">
                    <c:v>3.5541449998554766</c:v>
                  </c:pt>
                  <c:pt idx="2">
                    <c:v>18.176960934869008</c:v>
                  </c:pt>
                  <c:pt idx="3">
                    <c:v>23.038200784605447</c:v>
                  </c:pt>
                  <c:pt idx="4">
                    <c:v>5.6517131755563437</c:v>
                  </c:pt>
                  <c:pt idx="5">
                    <c:v>12.200090463373769</c:v>
                  </c:pt>
                  <c:pt idx="6">
                    <c:v>4.4605457951027576</c:v>
                  </c:pt>
                  <c:pt idx="7">
                    <c:v>13.42610537373025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IAA!$H$4:$H$11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IAA!$K$4:$K$11</c:f>
              <c:numCache>
                <c:formatCode>General</c:formatCode>
                <c:ptCount val="8"/>
                <c:pt idx="0">
                  <c:v>159.88436067814843</c:v>
                </c:pt>
                <c:pt idx="1">
                  <c:v>141.91215744278728</c:v>
                </c:pt>
                <c:pt idx="2">
                  <c:v>172.78837074595126</c:v>
                </c:pt>
                <c:pt idx="3">
                  <c:v>154.94071146245059</c:v>
                </c:pt>
                <c:pt idx="4">
                  <c:v>152.24302366654891</c:v>
                </c:pt>
                <c:pt idx="5">
                  <c:v>140.25958877152001</c:v>
                </c:pt>
                <c:pt idx="6">
                  <c:v>117.8988513464905</c:v>
                </c:pt>
                <c:pt idx="7">
                  <c:v>99.139254155311335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IAA!$X$4:$X$11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s-ES" b="0"/>
                  <a:t>IAA (ng/g Dw)</a:t>
                </a:r>
              </a:p>
            </c:rich>
          </c:tx>
          <c:layout>
            <c:manualLayout>
              <c:xMode val="edge"/>
              <c:yMode val="edge"/>
              <c:x val="5.9947651840241006E-2"/>
              <c:y val="0.277034955246567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I3CA!$J$3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layout>
                <c:manualLayout>
                  <c:x val="-3.665988626421697E-2"/>
                  <c:y val="-0.11261555847185768"/>
                </c:manualLayout>
              </c:layout>
              <c:tx>
                <c:rich>
                  <a:bodyPr/>
                  <a:lstStyle/>
                  <a:p>
                    <a:fld id="{FA0F0702-14DE-4EF8-9FBB-A495774B9FE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D55-4101-98FC-152C2B446FD0}"/>
                </c:ext>
              </c:extLst>
            </c:dLbl>
            <c:dLbl>
              <c:idx val="1"/>
              <c:layout>
                <c:manualLayout>
                  <c:x val="-3.6659886264217026E-2"/>
                  <c:y val="-0.14502296587926511"/>
                </c:manualLayout>
              </c:layout>
              <c:tx>
                <c:rich>
                  <a:bodyPr/>
                  <a:lstStyle/>
                  <a:p>
                    <a:fld id="{C3624B95-816D-431C-AD18-BE1BB97200F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D55-4101-98FC-152C2B446FD0}"/>
                </c:ext>
              </c:extLst>
            </c:dLbl>
            <c:dLbl>
              <c:idx val="2"/>
              <c:layout>
                <c:manualLayout>
                  <c:x val="-3.665988626421697E-2"/>
                  <c:y val="-0.12187481773111694"/>
                </c:manualLayout>
              </c:layout>
              <c:tx>
                <c:rich>
                  <a:bodyPr/>
                  <a:lstStyle/>
                  <a:p>
                    <a:fld id="{6638AACD-26D0-41DF-8D01-CB71F24E14A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D55-4101-98FC-152C2B446FD0}"/>
                </c:ext>
              </c:extLst>
            </c:dLbl>
            <c:dLbl>
              <c:idx val="3"/>
              <c:layout>
                <c:manualLayout>
                  <c:x val="-3.6659886264216873E-2"/>
                  <c:y val="-0.13576370662000584"/>
                </c:manualLayout>
              </c:layout>
              <c:tx>
                <c:rich>
                  <a:bodyPr/>
                  <a:lstStyle/>
                  <a:p>
                    <a:fld id="{84D4FCA2-0889-4376-ABC4-B9BA1390AED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D55-4101-98FC-152C2B446FD0}"/>
                </c:ext>
              </c:extLst>
            </c:dLbl>
            <c:dLbl>
              <c:idx val="4"/>
              <c:layout>
                <c:manualLayout>
                  <c:x val="-3.6659886264217074E-2"/>
                  <c:y val="-6.6319262175561389E-2"/>
                </c:manualLayout>
              </c:layout>
              <c:tx>
                <c:rich>
                  <a:bodyPr/>
                  <a:lstStyle/>
                  <a:p>
                    <a:fld id="{0313F3C9-C5E8-42A9-86D3-690A03FD391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D55-4101-98FC-152C2B446FD0}"/>
                </c:ext>
              </c:extLst>
            </c:dLbl>
            <c:dLbl>
              <c:idx val="5"/>
              <c:layout>
                <c:manualLayout>
                  <c:x val="-3.665988626421697E-2"/>
                  <c:y val="-0.16817111402741325"/>
                </c:manualLayout>
              </c:layout>
              <c:tx>
                <c:rich>
                  <a:bodyPr/>
                  <a:lstStyle/>
                  <a:p>
                    <a:fld id="{AD47F298-C85D-4413-B745-797C4D6FFC7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D55-4101-98FC-152C2B446FD0}"/>
                </c:ext>
              </c:extLst>
            </c:dLbl>
            <c:dLbl>
              <c:idx val="6"/>
              <c:layout>
                <c:manualLayout>
                  <c:x val="-3.6659886264217074E-2"/>
                  <c:y val="-0.10798592884222806"/>
                </c:manualLayout>
              </c:layout>
              <c:tx>
                <c:rich>
                  <a:bodyPr/>
                  <a:lstStyle/>
                  <a:p>
                    <a:fld id="{1C68C97D-F22D-4D09-AADE-59ACE5ED476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D55-4101-98FC-152C2B446F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9E6A753-C412-4792-A7AE-7FCF4F00F609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D55-4101-98FC-152C2B446FD0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I3CA!$K$4:$K$11</c:f>
                <c:numCache>
                  <c:formatCode>General</c:formatCode>
                  <c:ptCount val="8"/>
                  <c:pt idx="0">
                    <c:v>147.12391896243153</c:v>
                  </c:pt>
                  <c:pt idx="1">
                    <c:v>263.21622231133176</c:v>
                  </c:pt>
                  <c:pt idx="2">
                    <c:v>78.806586122529325</c:v>
                  </c:pt>
                  <c:pt idx="3">
                    <c:v>227.09893516308946</c:v>
                  </c:pt>
                  <c:pt idx="4">
                    <c:v>110.53004900375791</c:v>
                  </c:pt>
                  <c:pt idx="5">
                    <c:v>322.66429317641985</c:v>
                  </c:pt>
                  <c:pt idx="6">
                    <c:v>127.43802008544723</c:v>
                  </c:pt>
                  <c:pt idx="7">
                    <c:v>85.549185738737677</c:v>
                  </c:pt>
                </c:numCache>
              </c:numRef>
            </c:plus>
            <c:minus>
              <c:numRef>
                <c:f>I3CA!$K$4:$K$11</c:f>
                <c:numCache>
                  <c:formatCode>General</c:formatCode>
                  <c:ptCount val="8"/>
                  <c:pt idx="0">
                    <c:v>147.12391896243153</c:v>
                  </c:pt>
                  <c:pt idx="1">
                    <c:v>263.21622231133176</c:v>
                  </c:pt>
                  <c:pt idx="2">
                    <c:v>78.806586122529325</c:v>
                  </c:pt>
                  <c:pt idx="3">
                    <c:v>227.09893516308946</c:v>
                  </c:pt>
                  <c:pt idx="4">
                    <c:v>110.53004900375791</c:v>
                  </c:pt>
                  <c:pt idx="5">
                    <c:v>322.66429317641985</c:v>
                  </c:pt>
                  <c:pt idx="6">
                    <c:v>127.43802008544723</c:v>
                  </c:pt>
                  <c:pt idx="7">
                    <c:v>85.549185738737677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I3CA!$I$4:$I$11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I3CA!$J$4:$J$11</c:f>
              <c:numCache>
                <c:formatCode>General</c:formatCode>
                <c:ptCount val="8"/>
                <c:pt idx="0">
                  <c:v>1151.3888888888889</c:v>
                </c:pt>
                <c:pt idx="1">
                  <c:v>1121.7646193692908</c:v>
                </c:pt>
                <c:pt idx="2">
                  <c:v>1068.7082369147458</c:v>
                </c:pt>
                <c:pt idx="3">
                  <c:v>1111.6864270685553</c:v>
                </c:pt>
                <c:pt idx="4">
                  <c:v>958.79780095399792</c:v>
                </c:pt>
                <c:pt idx="5">
                  <c:v>1245.3249390426818</c:v>
                </c:pt>
                <c:pt idx="6">
                  <c:v>1173.319011618262</c:v>
                </c:pt>
                <c:pt idx="7">
                  <c:v>902.39499970792679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I3CA!$O$4:$O$11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I3CA!$L$3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I3CA!$M$4:$M$11</c:f>
                <c:numCache>
                  <c:formatCode>General</c:formatCode>
                  <c:ptCount val="8"/>
                  <c:pt idx="0">
                    <c:v>117.24624826978355</c:v>
                  </c:pt>
                  <c:pt idx="1">
                    <c:v>209.8315168425305</c:v>
                  </c:pt>
                  <c:pt idx="2">
                    <c:v>192.2831040954292</c:v>
                  </c:pt>
                  <c:pt idx="3">
                    <c:v>41.119450522194199</c:v>
                  </c:pt>
                  <c:pt idx="4">
                    <c:v>155.21781432942743</c:v>
                  </c:pt>
                  <c:pt idx="5">
                    <c:v>180.73497991491652</c:v>
                  </c:pt>
                  <c:pt idx="6">
                    <c:v>115.16237719023056</c:v>
                  </c:pt>
                  <c:pt idx="7">
                    <c:v>36.222647492593964</c:v>
                  </c:pt>
                </c:numCache>
              </c:numRef>
            </c:plus>
            <c:minus>
              <c:numRef>
                <c:f>I3CA!$M$4:$M$11</c:f>
                <c:numCache>
                  <c:formatCode>General</c:formatCode>
                  <c:ptCount val="8"/>
                  <c:pt idx="0">
                    <c:v>117.24624826978355</c:v>
                  </c:pt>
                  <c:pt idx="1">
                    <c:v>209.8315168425305</c:v>
                  </c:pt>
                  <c:pt idx="2">
                    <c:v>192.2831040954292</c:v>
                  </c:pt>
                  <c:pt idx="3">
                    <c:v>41.119450522194199</c:v>
                  </c:pt>
                  <c:pt idx="4">
                    <c:v>155.21781432942743</c:v>
                  </c:pt>
                  <c:pt idx="5">
                    <c:v>180.73497991491652</c:v>
                  </c:pt>
                  <c:pt idx="6">
                    <c:v>115.16237719023056</c:v>
                  </c:pt>
                  <c:pt idx="7">
                    <c:v>36.222647492593964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I3CA!$I$4:$I$11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I3CA!$L$4:$L$11</c:f>
              <c:numCache>
                <c:formatCode>General</c:formatCode>
                <c:ptCount val="8"/>
                <c:pt idx="0">
                  <c:v>770.90012662057518</c:v>
                </c:pt>
                <c:pt idx="1">
                  <c:v>952.99724721640177</c:v>
                </c:pt>
                <c:pt idx="2">
                  <c:v>1002.6963086664579</c:v>
                </c:pt>
                <c:pt idx="3">
                  <c:v>1156.0135516657258</c:v>
                </c:pt>
                <c:pt idx="4">
                  <c:v>538.8169936739348</c:v>
                </c:pt>
                <c:pt idx="5">
                  <c:v>658.60315309024429</c:v>
                </c:pt>
                <c:pt idx="6">
                  <c:v>731.34217404858407</c:v>
                </c:pt>
                <c:pt idx="7">
                  <c:v>891.88373594444931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I3CA (ng/g DW)</a:t>
                </a:r>
              </a:p>
            </c:rich>
          </c:tx>
          <c:layout>
            <c:manualLayout>
              <c:xMode val="edge"/>
              <c:yMode val="edge"/>
              <c:x val="4.8806659989294468E-2"/>
              <c:y val="0.25384649675186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5650969076288624"/>
          <c:y val="0.88866925136810859"/>
          <c:w val="0.3019213258321306"/>
          <c:h val="8.148539347117649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149219</xdr:colOff>
      <xdr:row>14</xdr:row>
      <xdr:rowOff>124140</xdr:rowOff>
    </xdr:from>
    <xdr:to>
      <xdr:col>14</xdr:col>
      <xdr:colOff>158925</xdr:colOff>
      <xdr:row>29</xdr:row>
      <xdr:rowOff>152263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6FCA7D-4CC5-3086-4C93-F1A124203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105384</xdr:colOff>
      <xdr:row>14</xdr:row>
      <xdr:rowOff>178745</xdr:rowOff>
    </xdr:from>
    <xdr:to>
      <xdr:col>13</xdr:col>
      <xdr:colOff>117544</xdr:colOff>
      <xdr:row>30</xdr:row>
      <xdr:rowOff>3647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607024-1EB3-D241-18B3-429100988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528979</xdr:colOff>
      <xdr:row>13</xdr:row>
      <xdr:rowOff>103924</xdr:rowOff>
    </xdr:from>
    <xdr:to>
      <xdr:col>13</xdr:col>
      <xdr:colOff>508569</xdr:colOff>
      <xdr:row>28</xdr:row>
      <xdr:rowOff>168219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EFB3CA-6870-F4AA-933F-0AB6F6E11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547418</xdr:colOff>
      <xdr:row>13</xdr:row>
      <xdr:rowOff>134966</xdr:rowOff>
    </xdr:from>
    <xdr:to>
      <xdr:col>14</xdr:col>
      <xdr:colOff>547418</xdr:colOff>
      <xdr:row>28</xdr:row>
      <xdr:rowOff>162283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47144-F507-862D-E1F2-57C7E2C4A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13</xdr:row>
      <xdr:rowOff>85724</xdr:rowOff>
    </xdr:from>
    <xdr:to>
      <xdr:col>12</xdr:col>
      <xdr:colOff>590550</xdr:colOff>
      <xdr:row>28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AC96B7-1511-4451-ECFD-3733AA037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530443</xdr:colOff>
      <xdr:row>13</xdr:row>
      <xdr:rowOff>12644</xdr:rowOff>
    </xdr:from>
    <xdr:to>
      <xdr:col>13</xdr:col>
      <xdr:colOff>520590</xdr:colOff>
      <xdr:row>28</xdr:row>
      <xdr:rowOff>41384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FF6EE9-9E06-97EA-3FCE-EF63290CE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15</xdr:row>
      <xdr:rowOff>104774</xdr:rowOff>
    </xdr:from>
    <xdr:to>
      <xdr:col>13</xdr:col>
      <xdr:colOff>85725</xdr:colOff>
      <xdr:row>30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7804E2-1525-A33D-DBD7-FA21CCD5C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2CC1-8665-4E04-B0B3-7A7DAC7C83E1}">
  <dimension ref="A1:Y49"/>
  <sheetViews>
    <sheetView topLeftCell="G10" zoomScale="127" zoomScaleNormal="80" workbookViewId="0">
      <selection activeCell="Q25" sqref="Q25"/>
    </sheetView>
  </sheetViews>
  <sheetFormatPr baseColWidth="10" defaultRowHeight="14.25" x14ac:dyDescent="0.45"/>
  <sheetData>
    <row r="1" spans="1:25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25" x14ac:dyDescent="0.45">
      <c r="A2">
        <v>1</v>
      </c>
      <c r="B2" t="s">
        <v>3</v>
      </c>
      <c r="C2">
        <v>1791.6666666666665</v>
      </c>
      <c r="D2">
        <f>AVERAGE(C2:C4)</f>
        <v>2058.6805555555552</v>
      </c>
      <c r="E2">
        <f>_xlfn.STDEV.S(C2:C4)/SQRT(3)</f>
        <v>179.49776953203556</v>
      </c>
    </row>
    <row r="3" spans="1:25" x14ac:dyDescent="0.45">
      <c r="A3">
        <v>1</v>
      </c>
      <c r="B3" t="s">
        <v>3</v>
      </c>
      <c r="C3">
        <v>2400</v>
      </c>
      <c r="I3" t="s">
        <v>3</v>
      </c>
      <c r="J3" t="s">
        <v>7</v>
      </c>
      <c r="K3" t="s">
        <v>4</v>
      </c>
      <c r="L3" t="s">
        <v>7</v>
      </c>
      <c r="M3" t="s">
        <v>16</v>
      </c>
      <c r="N3" t="s">
        <v>34</v>
      </c>
      <c r="R3" t="s">
        <v>31</v>
      </c>
      <c r="S3" t="s">
        <v>20</v>
      </c>
      <c r="T3" t="s">
        <v>21</v>
      </c>
      <c r="U3" t="s">
        <v>32</v>
      </c>
      <c r="V3" t="s">
        <v>33</v>
      </c>
      <c r="W3" t="s">
        <v>16</v>
      </c>
      <c r="X3" t="s">
        <v>22</v>
      </c>
      <c r="Y3" t="s">
        <v>34</v>
      </c>
    </row>
    <row r="4" spans="1:25" x14ac:dyDescent="0.45">
      <c r="A4">
        <v>1</v>
      </c>
      <c r="B4" t="s">
        <v>3</v>
      </c>
      <c r="C4">
        <v>1984.375</v>
      </c>
      <c r="H4" t="s">
        <v>8</v>
      </c>
      <c r="I4">
        <f t="shared" ref="I4:J4" si="0">D2</f>
        <v>2058.6805555555552</v>
      </c>
      <c r="J4">
        <f t="shared" si="0"/>
        <v>179.49776953203556</v>
      </c>
      <c r="K4">
        <f t="shared" ref="K4:L4" si="1">D5</f>
        <v>1903.5796645115024</v>
      </c>
      <c r="L4">
        <f t="shared" si="1"/>
        <v>159.84938367444187</v>
      </c>
      <c r="M4">
        <v>0.66252058354005705</v>
      </c>
      <c r="N4" t="s">
        <v>18</v>
      </c>
      <c r="R4" t="s">
        <v>23</v>
      </c>
      <c r="S4">
        <v>3</v>
      </c>
      <c r="T4">
        <v>3</v>
      </c>
      <c r="U4">
        <v>1984.375</v>
      </c>
      <c r="V4">
        <v>1868.85245901639</v>
      </c>
      <c r="W4">
        <v>0.66252058354005705</v>
      </c>
      <c r="X4" t="s">
        <v>35</v>
      </c>
      <c r="Y4" t="s">
        <v>18</v>
      </c>
    </row>
    <row r="5" spans="1:25" x14ac:dyDescent="0.45">
      <c r="A5">
        <v>1</v>
      </c>
      <c r="B5" t="s">
        <v>4</v>
      </c>
      <c r="C5">
        <v>2196.1722488038281</v>
      </c>
      <c r="D5">
        <f>AVERAGE(C5:C7)</f>
        <v>1903.5796645115024</v>
      </c>
      <c r="E5">
        <f>_xlfn.STDEV.S(C5:C7)/SQRT(3)</f>
        <v>159.84938367444187</v>
      </c>
      <c r="H5" t="s">
        <v>9</v>
      </c>
      <c r="I5">
        <f t="shared" ref="I5:J5" si="2">D8</f>
        <v>2928.9958437252085</v>
      </c>
      <c r="J5">
        <f t="shared" si="2"/>
        <v>430.69906139681785</v>
      </c>
      <c r="K5">
        <f t="shared" ref="K5:L5" si="3">D11</f>
        <v>2338.1157812564197</v>
      </c>
      <c r="L5">
        <f t="shared" si="3"/>
        <v>289.60162188594899</v>
      </c>
      <c r="M5">
        <v>0.382733088885226</v>
      </c>
      <c r="N5" t="s">
        <v>18</v>
      </c>
      <c r="R5" t="s">
        <v>24</v>
      </c>
      <c r="S5">
        <v>3</v>
      </c>
      <c r="T5">
        <v>3</v>
      </c>
      <c r="U5">
        <v>2872.0379146919399</v>
      </c>
      <c r="V5">
        <v>2409.8360655737702</v>
      </c>
      <c r="W5">
        <v>0.382733088885226</v>
      </c>
      <c r="X5" t="s">
        <v>35</v>
      </c>
      <c r="Y5" t="s">
        <v>18</v>
      </c>
    </row>
    <row r="6" spans="1:25" x14ac:dyDescent="0.45">
      <c r="A6">
        <v>1</v>
      </c>
      <c r="B6" t="s">
        <v>4</v>
      </c>
      <c r="C6">
        <v>1645.7142857142858</v>
      </c>
      <c r="H6" t="s">
        <v>10</v>
      </c>
      <c r="I6">
        <f t="shared" ref="I6:J6" si="4">D14</f>
        <v>2880.431239230662</v>
      </c>
      <c r="J6">
        <f t="shared" si="4"/>
        <v>61.793312816500325</v>
      </c>
      <c r="K6">
        <f t="shared" ref="K6:L6" si="5">D17</f>
        <v>2203.8696225656163</v>
      </c>
      <c r="L6">
        <f t="shared" si="5"/>
        <v>147.99392160044144</v>
      </c>
      <c r="M6">
        <v>8.0855598370052295E-2</v>
      </c>
      <c r="N6" t="s">
        <v>18</v>
      </c>
      <c r="R6" t="s">
        <v>25</v>
      </c>
      <c r="S6">
        <v>3</v>
      </c>
      <c r="T6">
        <v>3</v>
      </c>
      <c r="U6">
        <v>2847.71573604061</v>
      </c>
      <c r="V6">
        <v>2164.1791044776101</v>
      </c>
      <c r="W6">
        <v>8.0855598370052295E-2</v>
      </c>
      <c r="X6" t="s">
        <v>35</v>
      </c>
      <c r="Y6" t="s">
        <v>18</v>
      </c>
    </row>
    <row r="7" spans="1:25" x14ac:dyDescent="0.45">
      <c r="A7">
        <v>1</v>
      </c>
      <c r="B7" t="s">
        <v>4</v>
      </c>
      <c r="C7">
        <v>1868.8524590163931</v>
      </c>
      <c r="H7" t="s">
        <v>11</v>
      </c>
      <c r="I7">
        <f t="shared" ref="I7:J7" si="6">D20</f>
        <v>3088.8461876809179</v>
      </c>
      <c r="J7">
        <f t="shared" si="6"/>
        <v>255.73065873008403</v>
      </c>
      <c r="K7">
        <f t="shared" ref="K7:L7" si="7">D23</f>
        <v>3115.9483029048247</v>
      </c>
      <c r="L7">
        <f t="shared" si="7"/>
        <v>358.02436428695091</v>
      </c>
      <c r="M7">
        <v>1</v>
      </c>
      <c r="N7" t="s">
        <v>18</v>
      </c>
      <c r="R7" t="s">
        <v>26</v>
      </c>
      <c r="S7">
        <v>3</v>
      </c>
      <c r="T7">
        <v>3</v>
      </c>
      <c r="U7">
        <v>2961.5384615384601</v>
      </c>
      <c r="V7">
        <v>2985.5072463768101</v>
      </c>
      <c r="W7">
        <v>1</v>
      </c>
      <c r="X7" t="s">
        <v>35</v>
      </c>
      <c r="Y7" t="s">
        <v>18</v>
      </c>
    </row>
    <row r="8" spans="1:25" x14ac:dyDescent="0.45">
      <c r="A8">
        <v>2</v>
      </c>
      <c r="B8" t="s">
        <v>3</v>
      </c>
      <c r="C8">
        <v>2213.1147540983607</v>
      </c>
      <c r="D8">
        <f>AVERAGE(C8:C10)</f>
        <v>2928.9958437252085</v>
      </c>
      <c r="E8">
        <f>_xlfn.STDEV.S(C8:C10)/SQRT(3)</f>
        <v>430.69906139681785</v>
      </c>
      <c r="H8" t="s">
        <v>12</v>
      </c>
      <c r="I8">
        <f t="shared" ref="I8:J8" si="8">D26</f>
        <v>2462.3704422346186</v>
      </c>
      <c r="J8">
        <f t="shared" si="8"/>
        <v>229.11221572835939</v>
      </c>
      <c r="K8">
        <f t="shared" ref="K8:L8" si="9">D29</f>
        <v>2276.3013390706788</v>
      </c>
      <c r="L8">
        <f t="shared" si="9"/>
        <v>232.92763843422503</v>
      </c>
      <c r="M8">
        <v>0.382733088885226</v>
      </c>
      <c r="N8" t="s">
        <v>18</v>
      </c>
      <c r="R8" t="s">
        <v>27</v>
      </c>
      <c r="S8">
        <v>3</v>
      </c>
      <c r="T8">
        <v>3</v>
      </c>
      <c r="U8">
        <v>2657.8947368421</v>
      </c>
      <c r="V8">
        <v>2321.0526315789498</v>
      </c>
      <c r="W8">
        <v>0.382733088885226</v>
      </c>
      <c r="X8" t="s">
        <v>35</v>
      </c>
      <c r="Y8" t="s">
        <v>18</v>
      </c>
    </row>
    <row r="9" spans="1:25" x14ac:dyDescent="0.45">
      <c r="A9">
        <v>2</v>
      </c>
      <c r="B9" t="s">
        <v>3</v>
      </c>
      <c r="C9">
        <v>2872.0379146919431</v>
      </c>
      <c r="H9" t="s">
        <v>13</v>
      </c>
      <c r="I9">
        <f t="shared" ref="I9:J9" si="10">D32</f>
        <v>2682.7346568314501</v>
      </c>
      <c r="J9">
        <f t="shared" si="10"/>
        <v>48.785892662450571</v>
      </c>
      <c r="K9">
        <f t="shared" ref="K9:L9" si="11">D35</f>
        <v>3035.3758538164643</v>
      </c>
      <c r="L9">
        <f t="shared" si="11"/>
        <v>381.41993568460384</v>
      </c>
      <c r="M9">
        <v>0.66252058354005705</v>
      </c>
      <c r="N9" t="s">
        <v>18</v>
      </c>
      <c r="R9" t="s">
        <v>28</v>
      </c>
      <c r="S9">
        <v>3</v>
      </c>
      <c r="T9">
        <v>3</v>
      </c>
      <c r="U9">
        <v>2704.0358744394598</v>
      </c>
      <c r="V9">
        <v>3384.2364532019701</v>
      </c>
      <c r="W9">
        <v>0.66252058354005705</v>
      </c>
      <c r="X9" t="s">
        <v>35</v>
      </c>
      <c r="Y9" t="s">
        <v>18</v>
      </c>
    </row>
    <row r="10" spans="1:25" x14ac:dyDescent="0.45">
      <c r="A10">
        <v>2</v>
      </c>
      <c r="B10" t="s">
        <v>3</v>
      </c>
      <c r="C10">
        <v>3701.8348623853208</v>
      </c>
      <c r="H10" t="s">
        <v>14</v>
      </c>
      <c r="I10">
        <f t="shared" ref="I10:J10" si="12">D38</f>
        <v>3003.4403794004052</v>
      </c>
      <c r="J10">
        <f t="shared" si="12"/>
        <v>112.50297152503013</v>
      </c>
      <c r="K10">
        <f t="shared" ref="K10:L10" si="13">D41</f>
        <v>2919.1746001294937</v>
      </c>
      <c r="L10">
        <f t="shared" si="13"/>
        <v>189.61061058653848</v>
      </c>
      <c r="M10">
        <v>1</v>
      </c>
      <c r="N10" t="s">
        <v>18</v>
      </c>
      <c r="R10" t="s">
        <v>29</v>
      </c>
      <c r="S10">
        <v>3</v>
      </c>
      <c r="T10">
        <v>3</v>
      </c>
      <c r="U10">
        <v>3013.5135135135101</v>
      </c>
      <c r="V10">
        <v>3081.8181818181802</v>
      </c>
      <c r="W10">
        <v>1</v>
      </c>
      <c r="X10" t="s">
        <v>35</v>
      </c>
      <c r="Y10" t="s">
        <v>18</v>
      </c>
    </row>
    <row r="11" spans="1:25" x14ac:dyDescent="0.45">
      <c r="A11">
        <v>2</v>
      </c>
      <c r="B11" t="s">
        <v>4</v>
      </c>
      <c r="C11">
        <v>1804.511278195489</v>
      </c>
      <c r="D11">
        <f>AVERAGE(C11:C13)</f>
        <v>2338.1157812564197</v>
      </c>
      <c r="E11">
        <f>_xlfn.STDEV.S(C11:C13)/SQRT(3)</f>
        <v>289.60162188594899</v>
      </c>
      <c r="H11" t="s">
        <v>15</v>
      </c>
      <c r="I11">
        <f t="shared" ref="I11:J11" si="14">D44</f>
        <v>3040.4089922578155</v>
      </c>
      <c r="J11">
        <f t="shared" si="14"/>
        <v>370.63830460552839</v>
      </c>
      <c r="K11">
        <f t="shared" ref="K11:L11" si="15">D47</f>
        <v>3569.9909157344773</v>
      </c>
      <c r="L11">
        <f t="shared" si="15"/>
        <v>187.88151685504045</v>
      </c>
      <c r="M11">
        <v>0.190430263825524</v>
      </c>
      <c r="N11" t="s">
        <v>18</v>
      </c>
      <c r="R11" t="s">
        <v>30</v>
      </c>
      <c r="S11">
        <v>3</v>
      </c>
      <c r="T11">
        <v>3</v>
      </c>
      <c r="U11">
        <v>3190.0452488687802</v>
      </c>
      <c r="V11">
        <v>3633.8028169014101</v>
      </c>
      <c r="W11">
        <v>0.190430263825524</v>
      </c>
      <c r="X11" t="s">
        <v>35</v>
      </c>
      <c r="Y11" t="s">
        <v>18</v>
      </c>
    </row>
    <row r="12" spans="1:25" x14ac:dyDescent="0.45">
      <c r="A12">
        <v>2</v>
      </c>
      <c r="B12" t="s">
        <v>4</v>
      </c>
      <c r="C12">
        <v>2409.8360655737706</v>
      </c>
    </row>
    <row r="13" spans="1:25" x14ac:dyDescent="0.45">
      <c r="A13">
        <v>2</v>
      </c>
      <c r="B13" t="s">
        <v>4</v>
      </c>
      <c r="C13">
        <v>2800</v>
      </c>
    </row>
    <row r="14" spans="1:25" x14ac:dyDescent="0.45">
      <c r="A14">
        <v>3</v>
      </c>
      <c r="B14" t="s">
        <v>3</v>
      </c>
      <c r="C14">
        <v>2847.715736040609</v>
      </c>
      <c r="D14">
        <f>AVERAGE(C14:C16)</f>
        <v>2880.431239230662</v>
      </c>
      <c r="E14">
        <f>_xlfn.STDEV.S(C14:C16)/SQRT(3)</f>
        <v>61.793312816500325</v>
      </c>
    </row>
    <row r="15" spans="1:25" x14ac:dyDescent="0.45">
      <c r="A15">
        <v>3</v>
      </c>
      <c r="B15" t="s">
        <v>3</v>
      </c>
      <c r="C15">
        <v>2793.5779816513764</v>
      </c>
    </row>
    <row r="16" spans="1:25" x14ac:dyDescent="0.45">
      <c r="A16">
        <v>3</v>
      </c>
      <c r="B16" t="s">
        <v>3</v>
      </c>
      <c r="C16">
        <v>2999.9999999999995</v>
      </c>
    </row>
    <row r="17" spans="1:5" x14ac:dyDescent="0.45">
      <c r="A17">
        <v>3</v>
      </c>
      <c r="B17" t="s">
        <v>4</v>
      </c>
      <c r="C17">
        <v>1969.6969696969695</v>
      </c>
      <c r="D17">
        <f>AVERAGE(C17:C19)</f>
        <v>2203.8696225656163</v>
      </c>
      <c r="E17">
        <f>_xlfn.STDEV.S(C17:C19)/SQRT(3)</f>
        <v>147.99392160044144</v>
      </c>
    </row>
    <row r="18" spans="1:5" x14ac:dyDescent="0.45">
      <c r="A18">
        <v>3</v>
      </c>
      <c r="B18" t="s">
        <v>4</v>
      </c>
      <c r="C18">
        <v>2164.1791044776119</v>
      </c>
    </row>
    <row r="19" spans="1:5" x14ac:dyDescent="0.45">
      <c r="A19">
        <v>3</v>
      </c>
      <c r="B19" t="s">
        <v>4</v>
      </c>
      <c r="C19">
        <v>2477.732793522267</v>
      </c>
    </row>
    <row r="20" spans="1:5" x14ac:dyDescent="0.45">
      <c r="A20">
        <v>4</v>
      </c>
      <c r="B20" t="s">
        <v>3</v>
      </c>
      <c r="C20">
        <v>3581.497797356828</v>
      </c>
      <c r="D20">
        <f>AVERAGE(C20:C22)</f>
        <v>3088.8461876809179</v>
      </c>
      <c r="E20">
        <f>_xlfn.STDEV.S(C20:C22)/SQRT(3)</f>
        <v>255.73065873008403</v>
      </c>
    </row>
    <row r="21" spans="1:5" x14ac:dyDescent="0.45">
      <c r="A21">
        <v>4</v>
      </c>
      <c r="B21" t="s">
        <v>3</v>
      </c>
      <c r="C21">
        <v>2723.5023041474651</v>
      </c>
    </row>
    <row r="22" spans="1:5" x14ac:dyDescent="0.45">
      <c r="A22">
        <v>4</v>
      </c>
      <c r="B22" t="s">
        <v>3</v>
      </c>
      <c r="C22">
        <v>2961.5384615384614</v>
      </c>
    </row>
    <row r="23" spans="1:5" x14ac:dyDescent="0.45">
      <c r="A23">
        <v>4</v>
      </c>
      <c r="B23" t="s">
        <v>4</v>
      </c>
      <c r="C23">
        <v>2985.507246376812</v>
      </c>
      <c r="D23">
        <f>AVERAGE(C23:C25)</f>
        <v>3115.9483029048247</v>
      </c>
      <c r="E23">
        <f>_xlfn.STDEV.S(C23:C25)/SQRT(3)</f>
        <v>358.02436428695091</v>
      </c>
    </row>
    <row r="24" spans="1:5" x14ac:dyDescent="0.45">
      <c r="A24">
        <v>4</v>
      </c>
      <c r="B24" t="s">
        <v>4</v>
      </c>
      <c r="C24">
        <v>3790.909090909091</v>
      </c>
    </row>
    <row r="25" spans="1:5" x14ac:dyDescent="0.45">
      <c r="A25">
        <v>4</v>
      </c>
      <c r="B25" t="s">
        <v>4</v>
      </c>
      <c r="C25">
        <v>2571.4285714285716</v>
      </c>
    </row>
    <row r="26" spans="1:5" x14ac:dyDescent="0.45">
      <c r="A26">
        <v>5</v>
      </c>
      <c r="B26" t="s">
        <v>3</v>
      </c>
      <c r="C26">
        <v>2005.7142857142853</v>
      </c>
      <c r="D26">
        <f>AVERAGE(C26:C28)</f>
        <v>2462.3704422346186</v>
      </c>
      <c r="E26">
        <f>_xlfn.STDEV.S(C26:C28)/SQRT(3)</f>
        <v>229.11221572835939</v>
      </c>
    </row>
    <row r="27" spans="1:5" x14ac:dyDescent="0.45">
      <c r="A27">
        <v>5</v>
      </c>
      <c r="B27" t="s">
        <v>3</v>
      </c>
      <c r="C27">
        <v>2723.5023041474651</v>
      </c>
    </row>
    <row r="28" spans="1:5" x14ac:dyDescent="0.45">
      <c r="A28">
        <v>5</v>
      </c>
      <c r="B28" t="s">
        <v>3</v>
      </c>
      <c r="C28">
        <v>2657.894736842105</v>
      </c>
    </row>
    <row r="29" spans="1:5" x14ac:dyDescent="0.45">
      <c r="A29">
        <v>5</v>
      </c>
      <c r="B29" t="s">
        <v>4</v>
      </c>
      <c r="C29">
        <v>1852.3489932885907</v>
      </c>
      <c r="D29">
        <f>AVERAGE(C29:C31)</f>
        <v>2276.3013390706788</v>
      </c>
      <c r="E29">
        <f>_xlfn.STDEV.S(C29:C31)/SQRT(3)</f>
        <v>232.92763843422503</v>
      </c>
    </row>
    <row r="30" spans="1:5" x14ac:dyDescent="0.45">
      <c r="A30">
        <v>5</v>
      </c>
      <c r="B30" t="s">
        <v>4</v>
      </c>
      <c r="C30">
        <v>2321.0526315789475</v>
      </c>
    </row>
    <row r="31" spans="1:5" x14ac:dyDescent="0.45">
      <c r="A31">
        <v>5</v>
      </c>
      <c r="B31" t="s">
        <v>4</v>
      </c>
      <c r="C31">
        <v>2655.5023923444978</v>
      </c>
    </row>
    <row r="32" spans="1:5" x14ac:dyDescent="0.45">
      <c r="A32">
        <v>6</v>
      </c>
      <c r="B32" t="s">
        <v>3</v>
      </c>
      <c r="C32">
        <v>2589.6226415094343</v>
      </c>
      <c r="D32">
        <f>AVERAGE(C32:C34)</f>
        <v>2682.7346568314501</v>
      </c>
      <c r="E32">
        <f>_xlfn.STDEV.S(C32:C34)/SQRT(3)</f>
        <v>48.785892662450571</v>
      </c>
    </row>
    <row r="33" spans="1:5" x14ac:dyDescent="0.45">
      <c r="A33">
        <v>6</v>
      </c>
      <c r="B33" t="s">
        <v>3</v>
      </c>
      <c r="C33">
        <v>2754.545454545455</v>
      </c>
    </row>
    <row r="34" spans="1:5" x14ac:dyDescent="0.45">
      <c r="A34">
        <v>6</v>
      </c>
      <c r="B34" t="s">
        <v>3</v>
      </c>
      <c r="C34">
        <v>2704.0358744394616</v>
      </c>
    </row>
    <row r="35" spans="1:5" x14ac:dyDescent="0.45">
      <c r="A35">
        <v>6</v>
      </c>
      <c r="B35" t="s">
        <v>4</v>
      </c>
      <c r="C35">
        <v>3384.236453201971</v>
      </c>
      <c r="D35">
        <f>AVERAGE(C35:C37)</f>
        <v>3035.3758538164643</v>
      </c>
      <c r="E35">
        <f>_xlfn.STDEV.S(C35:C37)/SQRT(3)</f>
        <v>381.41993568460384</v>
      </c>
    </row>
    <row r="36" spans="1:5" x14ac:dyDescent="0.45">
      <c r="A36">
        <v>6</v>
      </c>
      <c r="B36" t="s">
        <v>4</v>
      </c>
      <c r="C36">
        <v>2273.4375</v>
      </c>
    </row>
    <row r="37" spans="1:5" x14ac:dyDescent="0.45">
      <c r="A37">
        <v>6</v>
      </c>
      <c r="B37" t="s">
        <v>4</v>
      </c>
      <c r="C37">
        <v>3448.4536082474228</v>
      </c>
    </row>
    <row r="38" spans="1:5" x14ac:dyDescent="0.45">
      <c r="A38">
        <v>7</v>
      </c>
      <c r="B38" t="s">
        <v>3</v>
      </c>
      <c r="C38">
        <v>3193.0693069306926</v>
      </c>
      <c r="D38">
        <f>AVERAGE(C38:C40)</f>
        <v>3003.4403794004052</v>
      </c>
      <c r="E38">
        <f>_xlfn.STDEV.S(C38:C40)/SQRT(3)</f>
        <v>112.50297152503013</v>
      </c>
    </row>
    <row r="39" spans="1:5" x14ac:dyDescent="0.45">
      <c r="A39">
        <v>7</v>
      </c>
      <c r="B39" t="s">
        <v>3</v>
      </c>
      <c r="C39">
        <v>3013.5135135135138</v>
      </c>
    </row>
    <row r="40" spans="1:5" x14ac:dyDescent="0.45">
      <c r="A40">
        <v>7</v>
      </c>
      <c r="B40" t="s">
        <v>3</v>
      </c>
      <c r="C40">
        <v>2803.7383177570091</v>
      </c>
    </row>
    <row r="41" spans="1:5" x14ac:dyDescent="0.45">
      <c r="A41">
        <v>7</v>
      </c>
      <c r="B41" t="s">
        <v>4</v>
      </c>
      <c r="C41">
        <v>3134.5291479820626</v>
      </c>
      <c r="D41">
        <f>AVERAGE(C41:C43)</f>
        <v>2919.1746001294937</v>
      </c>
      <c r="E41">
        <f>_xlfn.STDEV.S(C41:C43)/SQRT(3)</f>
        <v>189.61061058653848</v>
      </c>
    </row>
    <row r="42" spans="1:5" x14ac:dyDescent="0.45">
      <c r="A42">
        <v>7</v>
      </c>
      <c r="B42" t="s">
        <v>4</v>
      </c>
      <c r="C42">
        <v>2541.1764705882351</v>
      </c>
    </row>
    <row r="43" spans="1:5" x14ac:dyDescent="0.45">
      <c r="A43">
        <v>7</v>
      </c>
      <c r="B43" t="s">
        <v>4</v>
      </c>
      <c r="C43">
        <v>3081.8181818181824</v>
      </c>
    </row>
    <row r="44" spans="1:5" x14ac:dyDescent="0.45">
      <c r="A44">
        <v>8</v>
      </c>
      <c r="B44" t="s">
        <v>3</v>
      </c>
      <c r="C44">
        <v>3594.3396226415098</v>
      </c>
      <c r="D44">
        <f>AVERAGE(C44:C46)</f>
        <v>3040.4089922578155</v>
      </c>
      <c r="E44">
        <f>_xlfn.STDEV.S(C44:C46)/SQRT(3)</f>
        <v>370.63830460552839</v>
      </c>
    </row>
    <row r="45" spans="1:5" x14ac:dyDescent="0.45">
      <c r="A45">
        <v>8</v>
      </c>
      <c r="B45" t="s">
        <v>3</v>
      </c>
      <c r="C45">
        <v>2336.8421052631584</v>
      </c>
    </row>
    <row r="46" spans="1:5" x14ac:dyDescent="0.45">
      <c r="A46">
        <v>8</v>
      </c>
      <c r="B46" t="s">
        <v>3</v>
      </c>
      <c r="C46">
        <v>3190.0452488687779</v>
      </c>
    </row>
    <row r="47" spans="1:5" x14ac:dyDescent="0.45">
      <c r="A47">
        <v>8</v>
      </c>
      <c r="B47" t="s">
        <v>4</v>
      </c>
      <c r="C47">
        <v>3217.391304347826</v>
      </c>
      <c r="D47">
        <f>AVERAGE(C47:C49)</f>
        <v>3569.9909157344773</v>
      </c>
      <c r="E47">
        <f>_xlfn.STDEV.S(C47:C49)/SQRT(3)</f>
        <v>187.88151685504045</v>
      </c>
    </row>
    <row r="48" spans="1:5" x14ac:dyDescent="0.45">
      <c r="A48">
        <v>8</v>
      </c>
      <c r="B48" t="s">
        <v>4</v>
      </c>
      <c r="C48">
        <v>3633.8028169014083</v>
      </c>
    </row>
    <row r="49" spans="1:3" x14ac:dyDescent="0.45">
      <c r="A49">
        <v>8</v>
      </c>
      <c r="B49" t="s">
        <v>4</v>
      </c>
      <c r="C49">
        <v>3858.7786259541981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845C-C996-4A47-8813-56449055538D}">
  <dimension ref="A1:X49"/>
  <sheetViews>
    <sheetView topLeftCell="F19" zoomScale="150" workbookViewId="0">
      <selection activeCell="O23" sqref="O23"/>
    </sheetView>
  </sheetViews>
  <sheetFormatPr baseColWidth="10" defaultRowHeight="14.25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24" x14ac:dyDescent="0.45">
      <c r="A2">
        <v>1</v>
      </c>
      <c r="B2" t="s">
        <v>3</v>
      </c>
      <c r="C2">
        <v>2520.833333333333</v>
      </c>
      <c r="D2">
        <f>AVERAGE(C2:C4)</f>
        <v>1904.5138888888887</v>
      </c>
      <c r="E2">
        <f>_xlfn.STDEV.S(C2:C4)/SQRT(3)</f>
        <v>417.14743675251975</v>
      </c>
    </row>
    <row r="3" spans="1:24" x14ac:dyDescent="0.45">
      <c r="A3">
        <v>1</v>
      </c>
      <c r="B3" t="s">
        <v>3</v>
      </c>
      <c r="C3">
        <v>2083.3333333333335</v>
      </c>
      <c r="I3" t="s">
        <v>3</v>
      </c>
      <c r="J3" t="s">
        <v>7</v>
      </c>
      <c r="K3" t="s">
        <v>4</v>
      </c>
      <c r="L3" t="s">
        <v>7</v>
      </c>
      <c r="M3" t="s">
        <v>16</v>
      </c>
      <c r="N3" t="s">
        <v>17</v>
      </c>
      <c r="Q3" t="s">
        <v>31</v>
      </c>
      <c r="R3" t="s">
        <v>20</v>
      </c>
      <c r="S3" t="s">
        <v>21</v>
      </c>
      <c r="T3" t="s">
        <v>32</v>
      </c>
      <c r="U3" t="s">
        <v>33</v>
      </c>
      <c r="V3" t="s">
        <v>16</v>
      </c>
      <c r="W3" t="s">
        <v>22</v>
      </c>
      <c r="X3" t="s">
        <v>34</v>
      </c>
    </row>
    <row r="4" spans="1:24" x14ac:dyDescent="0.45">
      <c r="A4">
        <v>1</v>
      </c>
      <c r="B4" t="s">
        <v>3</v>
      </c>
      <c r="C4">
        <v>1109.375</v>
      </c>
      <c r="H4" t="s">
        <v>8</v>
      </c>
      <c r="I4">
        <f t="shared" ref="I4:J4" si="0">D2</f>
        <v>1904.5138888888887</v>
      </c>
      <c r="J4">
        <f t="shared" si="0"/>
        <v>417.14743675251975</v>
      </c>
      <c r="K4">
        <f t="shared" ref="K4:L4" si="1">D5</f>
        <v>1622.9830911107874</v>
      </c>
      <c r="L4">
        <f t="shared" si="1"/>
        <v>184.21378706575805</v>
      </c>
      <c r="M4">
        <v>0.66252058354005705</v>
      </c>
      <c r="N4" t="s">
        <v>18</v>
      </c>
      <c r="Q4" t="s">
        <v>23</v>
      </c>
      <c r="R4">
        <v>3</v>
      </c>
      <c r="S4">
        <v>3</v>
      </c>
      <c r="T4">
        <v>2083.3333333333298</v>
      </c>
      <c r="U4">
        <v>1564.59330143541</v>
      </c>
      <c r="V4">
        <v>0.66252058354005705</v>
      </c>
      <c r="W4" t="s">
        <v>35</v>
      </c>
      <c r="X4" t="s">
        <v>18</v>
      </c>
    </row>
    <row r="5" spans="1:24" x14ac:dyDescent="0.45">
      <c r="A5">
        <v>1</v>
      </c>
      <c r="B5" t="s">
        <v>4</v>
      </c>
      <c r="C5">
        <v>1564.5933014354068</v>
      </c>
      <c r="D5">
        <f>AVERAGE(C5:C7)</f>
        <v>1622.9830911107874</v>
      </c>
      <c r="E5">
        <f>_xlfn.STDEV.S(C5:C7)/SQRT(3)</f>
        <v>184.21378706575805</v>
      </c>
      <c r="H5" t="s">
        <v>9</v>
      </c>
      <c r="I5">
        <f t="shared" ref="I5:J5" si="2">D8</f>
        <v>1560.4020084503557</v>
      </c>
      <c r="J5">
        <f t="shared" si="2"/>
        <v>407.71679385690038</v>
      </c>
      <c r="K5">
        <f t="shared" ref="K5:L5" si="3">D11</f>
        <v>1769.2633222400264</v>
      </c>
      <c r="L5">
        <f t="shared" si="3"/>
        <v>34.633488971988307</v>
      </c>
      <c r="M5">
        <v>0.66252058354005705</v>
      </c>
      <c r="N5" t="s">
        <v>18</v>
      </c>
      <c r="Q5" t="s">
        <v>24</v>
      </c>
      <c r="R5">
        <v>3</v>
      </c>
      <c r="S5">
        <v>3</v>
      </c>
      <c r="T5">
        <v>1535.5450236966799</v>
      </c>
      <c r="U5">
        <v>1803.2786885245901</v>
      </c>
      <c r="V5">
        <v>0.66252058354005705</v>
      </c>
      <c r="W5" t="s">
        <v>35</v>
      </c>
      <c r="X5" t="s">
        <v>18</v>
      </c>
    </row>
    <row r="6" spans="1:24" x14ac:dyDescent="0.45">
      <c r="A6">
        <v>1</v>
      </c>
      <c r="B6" t="s">
        <v>4</v>
      </c>
      <c r="C6">
        <v>1337.1428571428569</v>
      </c>
      <c r="H6" t="s">
        <v>10</v>
      </c>
      <c r="I6">
        <f t="shared" ref="I6:J6" si="4">D14</f>
        <v>1750.4263063291007</v>
      </c>
      <c r="J6">
        <f t="shared" si="4"/>
        <v>168.09125932340746</v>
      </c>
      <c r="K6">
        <f t="shared" ref="K6:L6" si="5">D17</f>
        <v>1976.2224334101793</v>
      </c>
      <c r="L6">
        <f t="shared" si="5"/>
        <v>98.070216826474834</v>
      </c>
      <c r="M6">
        <v>0.382733088885226</v>
      </c>
      <c r="N6" t="s">
        <v>18</v>
      </c>
      <c r="Q6" t="s">
        <v>25</v>
      </c>
      <c r="R6">
        <v>3</v>
      </c>
      <c r="S6">
        <v>3</v>
      </c>
      <c r="T6">
        <v>1752.3364485981299</v>
      </c>
      <c r="U6">
        <v>1969.69696969697</v>
      </c>
      <c r="V6">
        <v>0.382733088885226</v>
      </c>
      <c r="W6" t="s">
        <v>35</v>
      </c>
      <c r="X6" t="s">
        <v>18</v>
      </c>
    </row>
    <row r="7" spans="1:24" x14ac:dyDescent="0.45">
      <c r="A7">
        <v>1</v>
      </c>
      <c r="B7" t="s">
        <v>4</v>
      </c>
      <c r="C7">
        <v>1967.2131147540981</v>
      </c>
      <c r="H7" t="s">
        <v>11</v>
      </c>
      <c r="I7">
        <f t="shared" ref="I7:J7" si="6">D20</f>
        <v>1394.0078364562057</v>
      </c>
      <c r="J7">
        <f t="shared" si="6"/>
        <v>250.47017217536799</v>
      </c>
      <c r="K7">
        <f t="shared" ref="K7:L7" si="7">D23</f>
        <v>1594.1527071961857</v>
      </c>
      <c r="L7">
        <f t="shared" si="7"/>
        <v>300.09299781394975</v>
      </c>
      <c r="M7">
        <v>0.66252058354005705</v>
      </c>
      <c r="N7" t="s">
        <v>18</v>
      </c>
      <c r="Q7" t="s">
        <v>26</v>
      </c>
      <c r="R7">
        <v>3</v>
      </c>
      <c r="S7">
        <v>3</v>
      </c>
      <c r="T7">
        <v>1576.9230769230801</v>
      </c>
      <c r="U7">
        <v>1681.15942028986</v>
      </c>
      <c r="V7">
        <v>0.66252058354005705</v>
      </c>
      <c r="W7" t="s">
        <v>35</v>
      </c>
      <c r="X7" t="s">
        <v>18</v>
      </c>
    </row>
    <row r="8" spans="1:24" x14ac:dyDescent="0.45">
      <c r="A8">
        <v>2</v>
      </c>
      <c r="B8" t="s">
        <v>3</v>
      </c>
      <c r="C8">
        <v>2278.688524590164</v>
      </c>
      <c r="D8">
        <f>AVERAGE(C8:C10)</f>
        <v>1560.4020084503557</v>
      </c>
      <c r="E8">
        <f>_xlfn.STDEV.S(C8:C10)/SQRT(3)</f>
        <v>407.71679385690038</v>
      </c>
      <c r="H8" t="s">
        <v>12</v>
      </c>
      <c r="I8">
        <f t="shared" ref="I8:J8" si="8">D26</f>
        <v>1751.8619128466325</v>
      </c>
      <c r="J8">
        <f t="shared" si="8"/>
        <v>398.0745594976031</v>
      </c>
      <c r="K8">
        <f t="shared" ref="K8:L8" si="9">D29</f>
        <v>1935.3328409492308</v>
      </c>
      <c r="L8">
        <f t="shared" si="9"/>
        <v>124.8086918297351</v>
      </c>
      <c r="M8">
        <v>0.66252058354005705</v>
      </c>
      <c r="N8" t="s">
        <v>18</v>
      </c>
      <c r="Q8" t="s">
        <v>27</v>
      </c>
      <c r="R8">
        <v>3</v>
      </c>
      <c r="S8">
        <v>3</v>
      </c>
      <c r="T8">
        <v>1605.2631578947401</v>
      </c>
      <c r="U8">
        <v>1966.5071770334901</v>
      </c>
      <c r="V8">
        <v>0.66252058354005705</v>
      </c>
      <c r="W8" t="s">
        <v>35</v>
      </c>
      <c r="X8" t="s">
        <v>18</v>
      </c>
    </row>
    <row r="9" spans="1:24" x14ac:dyDescent="0.45">
      <c r="A9">
        <v>2</v>
      </c>
      <c r="B9" t="s">
        <v>3</v>
      </c>
      <c r="C9">
        <v>1535.5450236966826</v>
      </c>
      <c r="H9" t="s">
        <v>13</v>
      </c>
      <c r="I9">
        <f t="shared" ref="I9:J9" si="10">D32</f>
        <v>1805.2580975163257</v>
      </c>
      <c r="J9">
        <f t="shared" si="10"/>
        <v>28.414130991002573</v>
      </c>
      <c r="K9">
        <f t="shared" ref="K9:L9" si="11">D35</f>
        <v>1954.4263559494186</v>
      </c>
      <c r="L9">
        <f t="shared" si="11"/>
        <v>277.54904557412033</v>
      </c>
      <c r="M9">
        <v>1</v>
      </c>
      <c r="N9" t="s">
        <v>18</v>
      </c>
      <c r="Q9" t="s">
        <v>28</v>
      </c>
      <c r="R9">
        <v>3</v>
      </c>
      <c r="S9">
        <v>3</v>
      </c>
      <c r="T9">
        <v>1827.27272727273</v>
      </c>
      <c r="U9">
        <v>1832.51231527094</v>
      </c>
      <c r="V9">
        <v>1</v>
      </c>
      <c r="W9" t="s">
        <v>35</v>
      </c>
      <c r="X9" t="s">
        <v>18</v>
      </c>
    </row>
    <row r="10" spans="1:24" x14ac:dyDescent="0.45">
      <c r="A10">
        <v>2</v>
      </c>
      <c r="B10" t="s">
        <v>3</v>
      </c>
      <c r="C10">
        <v>866.97247706422024</v>
      </c>
      <c r="H10" t="s">
        <v>14</v>
      </c>
      <c r="I10">
        <f t="shared" ref="I10:J10" si="12">D38</f>
        <v>1518.8729026982012</v>
      </c>
      <c r="J10">
        <f t="shared" si="12"/>
        <v>184.79204015625766</v>
      </c>
      <c r="K10">
        <f t="shared" ref="K10:L10" si="13">D41</f>
        <v>1675.8483009999761</v>
      </c>
      <c r="L10">
        <f t="shared" si="13"/>
        <v>161.59748599413814</v>
      </c>
      <c r="M10">
        <v>0.66252058354005705</v>
      </c>
      <c r="N10" t="s">
        <v>18</v>
      </c>
      <c r="Q10" t="s">
        <v>29</v>
      </c>
      <c r="R10">
        <v>3</v>
      </c>
      <c r="S10">
        <v>3</v>
      </c>
      <c r="T10">
        <v>1459.45945945946</v>
      </c>
      <c r="U10">
        <v>1731.8181818181799</v>
      </c>
      <c r="V10">
        <v>0.66252058354005705</v>
      </c>
      <c r="W10" t="s">
        <v>35</v>
      </c>
      <c r="X10" t="s">
        <v>18</v>
      </c>
    </row>
    <row r="11" spans="1:24" x14ac:dyDescent="0.45">
      <c r="A11">
        <v>2</v>
      </c>
      <c r="B11" t="s">
        <v>4</v>
      </c>
      <c r="C11">
        <v>1804.511278195489</v>
      </c>
      <c r="D11">
        <f>AVERAGE(C11:C13)</f>
        <v>1769.2633222400264</v>
      </c>
      <c r="E11">
        <f>_xlfn.STDEV.S(C11:C13)/SQRT(3)</f>
        <v>34.633488971988307</v>
      </c>
      <c r="H11" t="s">
        <v>15</v>
      </c>
      <c r="I11">
        <f t="shared" ref="I11:J11" si="14">D44</f>
        <v>1864.5265943823103</v>
      </c>
      <c r="J11">
        <f t="shared" si="14"/>
        <v>419.17043123951754</v>
      </c>
      <c r="K11">
        <f t="shared" ref="K11:L11" si="15">D47</f>
        <v>1596.7453502220681</v>
      </c>
      <c r="L11">
        <f t="shared" si="15"/>
        <v>292.58382611535711</v>
      </c>
      <c r="M11">
        <v>1</v>
      </c>
      <c r="N11" t="s">
        <v>18</v>
      </c>
      <c r="Q11" t="s">
        <v>30</v>
      </c>
      <c r="R11">
        <v>3</v>
      </c>
      <c r="S11">
        <v>3</v>
      </c>
      <c r="T11">
        <v>1506.7873303167401</v>
      </c>
      <c r="U11">
        <v>1633.8028169014101</v>
      </c>
      <c r="V11">
        <v>1</v>
      </c>
      <c r="W11" t="s">
        <v>35</v>
      </c>
      <c r="X11" t="s">
        <v>18</v>
      </c>
    </row>
    <row r="12" spans="1:24" x14ac:dyDescent="0.45">
      <c r="A12">
        <v>2</v>
      </c>
      <c r="B12" t="s">
        <v>4</v>
      </c>
      <c r="C12">
        <v>1803.2786885245903</v>
      </c>
    </row>
    <row r="13" spans="1:24" x14ac:dyDescent="0.45">
      <c r="A13">
        <v>2</v>
      </c>
      <c r="B13" t="s">
        <v>4</v>
      </c>
      <c r="C13">
        <v>1700</v>
      </c>
    </row>
    <row r="14" spans="1:24" x14ac:dyDescent="0.45">
      <c r="A14">
        <v>3</v>
      </c>
      <c r="B14" t="s">
        <v>3</v>
      </c>
      <c r="C14">
        <v>2040.6091370558377</v>
      </c>
      <c r="D14">
        <f>AVERAGE(C14:C16)</f>
        <v>1750.4263063291007</v>
      </c>
      <c r="E14">
        <f>_xlfn.STDEV.S(C14:C16)/SQRT(3)</f>
        <v>168.09125932340746</v>
      </c>
    </row>
    <row r="15" spans="1:24" x14ac:dyDescent="0.45">
      <c r="A15">
        <v>3</v>
      </c>
      <c r="B15" t="s">
        <v>3</v>
      </c>
      <c r="C15">
        <v>1752.336448598131</v>
      </c>
    </row>
    <row r="16" spans="1:24" x14ac:dyDescent="0.45">
      <c r="A16">
        <v>3</v>
      </c>
      <c r="B16" t="s">
        <v>3</v>
      </c>
      <c r="C16">
        <v>1458.333333333333</v>
      </c>
    </row>
    <row r="17" spans="1:5" x14ac:dyDescent="0.45">
      <c r="A17">
        <v>3</v>
      </c>
      <c r="B17" t="s">
        <v>4</v>
      </c>
      <c r="C17">
        <v>1969.6969696969695</v>
      </c>
      <c r="D17">
        <f>AVERAGE(C17:C19)</f>
        <v>1976.2224334101793</v>
      </c>
      <c r="E17">
        <f>_xlfn.STDEV.S(C17:C19)/SQRT(3)</f>
        <v>98.070216826474834</v>
      </c>
    </row>
    <row r="18" spans="1:5" x14ac:dyDescent="0.45">
      <c r="A18">
        <v>3</v>
      </c>
      <c r="B18" t="s">
        <v>4</v>
      </c>
      <c r="C18">
        <v>2149.253731343284</v>
      </c>
    </row>
    <row r="19" spans="1:5" x14ac:dyDescent="0.45">
      <c r="A19">
        <v>3</v>
      </c>
      <c r="B19" t="s">
        <v>4</v>
      </c>
      <c r="C19">
        <v>1809.7165991902834</v>
      </c>
    </row>
    <row r="20" spans="1:5" x14ac:dyDescent="0.45">
      <c r="A20">
        <v>4</v>
      </c>
      <c r="B20" t="s">
        <v>3</v>
      </c>
      <c r="C20">
        <v>898.67841409691619</v>
      </c>
      <c r="D20">
        <f>AVERAGE(C20:C22)</f>
        <v>1394.0078364562057</v>
      </c>
      <c r="E20">
        <f>_xlfn.STDEV.S(C20:C22)/SQRT(3)</f>
        <v>250.47017217536799</v>
      </c>
    </row>
    <row r="21" spans="1:5" x14ac:dyDescent="0.45">
      <c r="A21">
        <v>4</v>
      </c>
      <c r="B21" t="s">
        <v>3</v>
      </c>
      <c r="C21">
        <v>1706.4220183486241</v>
      </c>
    </row>
    <row r="22" spans="1:5" x14ac:dyDescent="0.45">
      <c r="A22">
        <v>4</v>
      </c>
      <c r="B22" t="s">
        <v>3</v>
      </c>
      <c r="C22">
        <v>1576.9230769230769</v>
      </c>
    </row>
    <row r="23" spans="1:5" x14ac:dyDescent="0.45">
      <c r="A23">
        <v>4</v>
      </c>
      <c r="B23" t="s">
        <v>4</v>
      </c>
      <c r="C23">
        <v>1681.159420289855</v>
      </c>
      <c r="D23">
        <f>AVERAGE(C23:C25)</f>
        <v>1594.1527071961857</v>
      </c>
      <c r="E23">
        <f>_xlfn.STDEV.S(C23:C25)/SQRT(3)</f>
        <v>300.09299781394975</v>
      </c>
    </row>
    <row r="24" spans="1:5" x14ac:dyDescent="0.45">
      <c r="A24">
        <v>4</v>
      </c>
      <c r="B24" t="s">
        <v>4</v>
      </c>
      <c r="C24">
        <v>1036.3636363636365</v>
      </c>
    </row>
    <row r="25" spans="1:5" x14ac:dyDescent="0.45">
      <c r="A25">
        <v>4</v>
      </c>
      <c r="B25" t="s">
        <v>4</v>
      </c>
      <c r="C25">
        <v>2064.9350649350654</v>
      </c>
    </row>
    <row r="26" spans="1:5" x14ac:dyDescent="0.45">
      <c r="A26">
        <v>5</v>
      </c>
      <c r="B26" t="s">
        <v>3</v>
      </c>
      <c r="C26">
        <v>2502.8571428571427</v>
      </c>
      <c r="D26">
        <f>AVERAGE(C26:C28)</f>
        <v>1751.8619128466325</v>
      </c>
      <c r="E26">
        <f>_xlfn.STDEV.S(C26:C28)/SQRT(3)</f>
        <v>398.0745594976031</v>
      </c>
    </row>
    <row r="27" spans="1:5" x14ac:dyDescent="0.45">
      <c r="A27">
        <v>5</v>
      </c>
      <c r="B27" t="s">
        <v>3</v>
      </c>
      <c r="C27">
        <v>1147.4654377880183</v>
      </c>
    </row>
    <row r="28" spans="1:5" x14ac:dyDescent="0.45">
      <c r="A28">
        <v>5</v>
      </c>
      <c r="B28" t="s">
        <v>3</v>
      </c>
      <c r="C28">
        <v>1605.2631578947367</v>
      </c>
    </row>
    <row r="29" spans="1:5" x14ac:dyDescent="0.45">
      <c r="A29">
        <v>5</v>
      </c>
      <c r="B29" t="s">
        <v>4</v>
      </c>
      <c r="C29">
        <v>2134.2281879194629</v>
      </c>
      <c r="D29">
        <f>AVERAGE(C29:C31)</f>
        <v>1935.3328409492308</v>
      </c>
      <c r="E29">
        <f>_xlfn.STDEV.S(C29:C31)/SQRT(3)</f>
        <v>124.8086918297351</v>
      </c>
    </row>
    <row r="30" spans="1:5" x14ac:dyDescent="0.45">
      <c r="A30">
        <v>5</v>
      </c>
      <c r="B30" t="s">
        <v>4</v>
      </c>
      <c r="C30">
        <v>1705.2631578947371</v>
      </c>
    </row>
    <row r="31" spans="1:5" x14ac:dyDescent="0.45">
      <c r="A31">
        <v>5</v>
      </c>
      <c r="B31" t="s">
        <v>4</v>
      </c>
      <c r="C31">
        <v>1966.5071770334928</v>
      </c>
    </row>
    <row r="32" spans="1:5" x14ac:dyDescent="0.45">
      <c r="A32">
        <v>6</v>
      </c>
      <c r="B32" t="s">
        <v>3</v>
      </c>
      <c r="C32">
        <v>1839.6226415094338</v>
      </c>
      <c r="D32">
        <f>AVERAGE(C32:C34)</f>
        <v>1805.2580975163257</v>
      </c>
      <c r="E32">
        <f>_xlfn.STDEV.S(C32:C34)/SQRT(3)</f>
        <v>28.414130991002573</v>
      </c>
    </row>
    <row r="33" spans="1:5" x14ac:dyDescent="0.45">
      <c r="A33">
        <v>6</v>
      </c>
      <c r="B33" t="s">
        <v>3</v>
      </c>
      <c r="C33">
        <v>1827.2727272727277</v>
      </c>
    </row>
    <row r="34" spans="1:5" x14ac:dyDescent="0.45">
      <c r="A34">
        <v>6</v>
      </c>
      <c r="B34" t="s">
        <v>3</v>
      </c>
      <c r="C34">
        <v>1748.8789237668161</v>
      </c>
    </row>
    <row r="35" spans="1:5" x14ac:dyDescent="0.45">
      <c r="A35">
        <v>6</v>
      </c>
      <c r="B35" t="s">
        <v>4</v>
      </c>
      <c r="C35">
        <v>1832.5123152709361</v>
      </c>
      <c r="D35">
        <f>AVERAGE(C35:C37)</f>
        <v>1954.4263559494186</v>
      </c>
      <c r="E35">
        <f>_xlfn.STDEV.S(C35:C37)/SQRT(3)</f>
        <v>277.54904557412033</v>
      </c>
    </row>
    <row r="36" spans="1:5" x14ac:dyDescent="0.45">
      <c r="A36">
        <v>6</v>
      </c>
      <c r="B36" t="s">
        <v>4</v>
      </c>
      <c r="C36">
        <v>2484.375</v>
      </c>
    </row>
    <row r="37" spans="1:5" x14ac:dyDescent="0.45">
      <c r="A37">
        <v>6</v>
      </c>
      <c r="B37" t="s">
        <v>4</v>
      </c>
      <c r="C37">
        <v>1546.3917525773197</v>
      </c>
    </row>
    <row r="38" spans="1:5" x14ac:dyDescent="0.45">
      <c r="A38">
        <v>7</v>
      </c>
      <c r="B38" t="s">
        <v>3</v>
      </c>
      <c r="C38">
        <v>1232.6732673267329</v>
      </c>
      <c r="D38">
        <f>AVERAGE(C38:C40)</f>
        <v>1518.8729026982012</v>
      </c>
      <c r="E38">
        <f>_xlfn.STDEV.S(C38:C40)/SQRT(3)</f>
        <v>184.79204015625766</v>
      </c>
    </row>
    <row r="39" spans="1:5" x14ac:dyDescent="0.45">
      <c r="A39">
        <v>7</v>
      </c>
      <c r="B39" t="s">
        <v>3</v>
      </c>
      <c r="C39">
        <v>1459.4594594594596</v>
      </c>
    </row>
    <row r="40" spans="1:5" x14ac:dyDescent="0.45">
      <c r="A40">
        <v>7</v>
      </c>
      <c r="B40" t="s">
        <v>3</v>
      </c>
      <c r="C40">
        <v>1864.4859813084113</v>
      </c>
    </row>
    <row r="41" spans="1:5" x14ac:dyDescent="0.45">
      <c r="A41">
        <v>7</v>
      </c>
      <c r="B41" t="s">
        <v>4</v>
      </c>
      <c r="C41">
        <v>1372.1973094170403</v>
      </c>
      <c r="D41">
        <f>AVERAGE(C41:C43)</f>
        <v>1675.8483009999761</v>
      </c>
      <c r="E41">
        <f>_xlfn.STDEV.S(C41:C43)/SQRT(3)</f>
        <v>161.59748599413814</v>
      </c>
    </row>
    <row r="42" spans="1:5" x14ac:dyDescent="0.45">
      <c r="A42">
        <v>7</v>
      </c>
      <c r="B42" t="s">
        <v>4</v>
      </c>
      <c r="C42">
        <v>1923.5294117647059</v>
      </c>
    </row>
    <row r="43" spans="1:5" x14ac:dyDescent="0.45">
      <c r="A43">
        <v>7</v>
      </c>
      <c r="B43" t="s">
        <v>4</v>
      </c>
      <c r="C43">
        <v>1731.818181818182</v>
      </c>
    </row>
    <row r="44" spans="1:5" x14ac:dyDescent="0.45">
      <c r="A44">
        <v>8</v>
      </c>
      <c r="B44" t="s">
        <v>3</v>
      </c>
      <c r="C44">
        <v>1386.7924528301887</v>
      </c>
      <c r="D44">
        <f>AVERAGE(C44:C46)</f>
        <v>1864.5265943823103</v>
      </c>
      <c r="E44">
        <f>_xlfn.STDEV.S(C44:C46)/SQRT(3)</f>
        <v>419.17043123951754</v>
      </c>
    </row>
    <row r="45" spans="1:5" x14ac:dyDescent="0.45">
      <c r="A45">
        <v>8</v>
      </c>
      <c r="B45" t="s">
        <v>3</v>
      </c>
      <c r="C45">
        <v>2700.0000000000005</v>
      </c>
    </row>
    <row r="46" spans="1:5" x14ac:dyDescent="0.45">
      <c r="A46">
        <v>8</v>
      </c>
      <c r="B46" t="s">
        <v>3</v>
      </c>
      <c r="C46">
        <v>1506.7873303167419</v>
      </c>
    </row>
    <row r="47" spans="1:5" x14ac:dyDescent="0.45">
      <c r="A47">
        <v>8</v>
      </c>
      <c r="B47" t="s">
        <v>4</v>
      </c>
      <c r="C47">
        <v>1072.463768115942</v>
      </c>
      <c r="D47">
        <f>AVERAGE(C47:C49)</f>
        <v>1596.7453502220681</v>
      </c>
      <c r="E47">
        <f>_xlfn.STDEV.S(C47:C49)/SQRT(3)</f>
        <v>292.58382611535711</v>
      </c>
    </row>
    <row r="48" spans="1:5" x14ac:dyDescent="0.45">
      <c r="A48">
        <v>8</v>
      </c>
      <c r="B48" t="s">
        <v>4</v>
      </c>
      <c r="C48">
        <v>1633.8028169014083</v>
      </c>
    </row>
    <row r="49" spans="1:3" x14ac:dyDescent="0.45">
      <c r="A49">
        <v>8</v>
      </c>
      <c r="B49" t="s">
        <v>4</v>
      </c>
      <c r="C49">
        <v>2083.9694656488546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182B-D320-45EC-8E0A-6A8BCC3F7EB4}">
  <dimension ref="A1:N49"/>
  <sheetViews>
    <sheetView topLeftCell="G10" zoomScale="141" workbookViewId="0">
      <selection activeCell="Q27" sqref="Q27"/>
    </sheetView>
  </sheetViews>
  <sheetFormatPr baseColWidth="10"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14" x14ac:dyDescent="0.45">
      <c r="A2">
        <v>1</v>
      </c>
      <c r="B2" t="s">
        <v>3</v>
      </c>
      <c r="C2">
        <v>20.833333333333336</v>
      </c>
      <c r="D2">
        <f>AVERAGE(C2:C4)</f>
        <v>17.708333333333332</v>
      </c>
      <c r="E2">
        <f>_xlfn.STDEV.S(C2:C4)/SQRT(3)</f>
        <v>1.5911721163041146</v>
      </c>
    </row>
    <row r="3" spans="1:14" x14ac:dyDescent="0.45">
      <c r="A3">
        <v>1</v>
      </c>
      <c r="B3" t="s">
        <v>3</v>
      </c>
      <c r="C3">
        <v>16.666666666666668</v>
      </c>
      <c r="I3" t="s">
        <v>3</v>
      </c>
      <c r="J3" t="s">
        <v>7</v>
      </c>
      <c r="K3" t="s">
        <v>4</v>
      </c>
      <c r="L3" t="s">
        <v>7</v>
      </c>
      <c r="M3" t="s">
        <v>16</v>
      </c>
      <c r="N3" t="s">
        <v>17</v>
      </c>
    </row>
    <row r="4" spans="1:14" x14ac:dyDescent="0.45">
      <c r="A4">
        <v>1</v>
      </c>
      <c r="B4" t="s">
        <v>3</v>
      </c>
      <c r="C4">
        <v>15.625000000000002</v>
      </c>
      <c r="H4" t="s">
        <v>8</v>
      </c>
      <c r="I4">
        <f t="shared" ref="I4:J4" si="0">D2</f>
        <v>17.708333333333332</v>
      </c>
      <c r="J4">
        <f t="shared" si="0"/>
        <v>1.5911721163041146</v>
      </c>
      <c r="K4">
        <f t="shared" ref="K4:L4" si="1">D5</f>
        <v>4.7846889952153111</v>
      </c>
      <c r="L4">
        <f t="shared" si="1"/>
        <v>4.7846889952153102</v>
      </c>
      <c r="N4" t="s">
        <v>18</v>
      </c>
    </row>
    <row r="5" spans="1:14" x14ac:dyDescent="0.45">
      <c r="A5">
        <v>1</v>
      </c>
      <c r="B5" t="s">
        <v>4</v>
      </c>
      <c r="C5">
        <v>14.354066985645932</v>
      </c>
      <c r="D5">
        <f>AVERAGE(C5:C7)</f>
        <v>4.7846889952153111</v>
      </c>
      <c r="E5">
        <f>_xlfn.STDEV.S(C5:C7)/SQRT(3)</f>
        <v>4.7846889952153102</v>
      </c>
      <c r="H5" t="s">
        <v>9</v>
      </c>
      <c r="I5">
        <f t="shared" ref="I5:J5" si="2">D8</f>
        <v>14.790973330510688</v>
      </c>
      <c r="J5">
        <f t="shared" si="2"/>
        <v>0.81200131988360358</v>
      </c>
      <c r="K5">
        <f t="shared" ref="K5:L5" si="3">D11</f>
        <v>4.7619047619047619</v>
      </c>
      <c r="L5">
        <f t="shared" si="3"/>
        <v>4.7619047619047619</v>
      </c>
      <c r="N5" t="s">
        <v>18</v>
      </c>
    </row>
    <row r="6" spans="1:14" x14ac:dyDescent="0.45">
      <c r="A6">
        <v>1</v>
      </c>
      <c r="B6" t="s">
        <v>4</v>
      </c>
      <c r="C6">
        <v>0</v>
      </c>
      <c r="H6" t="s">
        <v>10</v>
      </c>
      <c r="I6">
        <f t="shared" ref="I6:J6" si="4">D14</f>
        <v>14.378668957871007</v>
      </c>
      <c r="J6">
        <f t="shared" si="4"/>
        <v>0.42652782749745866</v>
      </c>
      <c r="K6">
        <f t="shared" ref="K6:L6" si="5">D17</f>
        <v>14.074212424565919</v>
      </c>
      <c r="L6">
        <f t="shared" si="5"/>
        <v>0.96643907775480353</v>
      </c>
      <c r="N6" t="s">
        <v>18</v>
      </c>
    </row>
    <row r="7" spans="1:14" x14ac:dyDescent="0.45">
      <c r="A7">
        <v>1</v>
      </c>
      <c r="B7" t="s">
        <v>4</v>
      </c>
      <c r="C7">
        <v>0</v>
      </c>
      <c r="H7" t="s">
        <v>11</v>
      </c>
      <c r="I7">
        <f t="shared" ref="I7:J7" si="6">D20</f>
        <v>13.26594658041936</v>
      </c>
      <c r="J7">
        <f t="shared" si="6"/>
        <v>0.27278238128748727</v>
      </c>
      <c r="K7">
        <f t="shared" ref="K7:L7" si="7">D23</f>
        <v>4.8309178743961354</v>
      </c>
      <c r="L7">
        <f t="shared" si="7"/>
        <v>4.8309178743961354</v>
      </c>
      <c r="N7" t="s">
        <v>18</v>
      </c>
    </row>
    <row r="8" spans="1:14" x14ac:dyDescent="0.45">
      <c r="A8">
        <v>2</v>
      </c>
      <c r="B8" t="s">
        <v>3</v>
      </c>
      <c r="C8">
        <v>16.393442622950822</v>
      </c>
      <c r="D8">
        <f>AVERAGE(C8:C10)</f>
        <v>14.790973330510688</v>
      </c>
      <c r="E8">
        <f>_xlfn.STDEV.S(C8:C10)/SQRT(3)</f>
        <v>0.81200131988360358</v>
      </c>
      <c r="H8" t="s">
        <v>12</v>
      </c>
      <c r="I8">
        <f t="shared" ref="I8:J8" si="8">D26</f>
        <v>14.708545557441989</v>
      </c>
      <c r="J8">
        <f t="shared" si="8"/>
        <v>1.2322910377008842</v>
      </c>
      <c r="K8">
        <f t="shared" ref="K8:L8" si="9">D29</f>
        <v>10.047846889952153</v>
      </c>
      <c r="L8">
        <f t="shared" si="9"/>
        <v>5.0409826568673397</v>
      </c>
      <c r="N8" t="s">
        <v>18</v>
      </c>
    </row>
    <row r="9" spans="1:14" x14ac:dyDescent="0.45">
      <c r="A9">
        <v>2</v>
      </c>
      <c r="B9" t="s">
        <v>3</v>
      </c>
      <c r="C9">
        <v>14.218009478672986</v>
      </c>
      <c r="H9" t="s">
        <v>13</v>
      </c>
      <c r="I9">
        <f t="shared" ref="I9:J9" si="10">D32</f>
        <v>13.746740610265443</v>
      </c>
      <c r="J9">
        <f t="shared" si="10"/>
        <v>0.20892445858833036</v>
      </c>
      <c r="K9">
        <f t="shared" ref="K9:L9" si="11">D35</f>
        <v>10.08074754964197</v>
      </c>
      <c r="L9">
        <f t="shared" si="11"/>
        <v>5.044257877538981</v>
      </c>
      <c r="N9" t="s">
        <v>18</v>
      </c>
    </row>
    <row r="10" spans="1:14" x14ac:dyDescent="0.45">
      <c r="A10">
        <v>2</v>
      </c>
      <c r="B10" t="s">
        <v>3</v>
      </c>
      <c r="C10">
        <v>13.761467889908257</v>
      </c>
      <c r="H10" t="s">
        <v>14</v>
      </c>
      <c r="I10">
        <f t="shared" ref="I10:J10" si="12">D38</f>
        <v>14.127896750271139</v>
      </c>
      <c r="J10">
        <f t="shared" si="12"/>
        <v>0.39007962840444188</v>
      </c>
      <c r="K10">
        <f t="shared" ref="K10:L10" si="13">D41</f>
        <v>14.912112419366442</v>
      </c>
      <c r="L10">
        <f t="shared" si="13"/>
        <v>1.3684982333794875</v>
      </c>
      <c r="N10" t="s">
        <v>18</v>
      </c>
    </row>
    <row r="11" spans="1:14" x14ac:dyDescent="0.45">
      <c r="A11">
        <v>2</v>
      </c>
      <c r="B11" t="s">
        <v>4</v>
      </c>
      <c r="C11">
        <v>0</v>
      </c>
      <c r="D11">
        <f>AVERAGE(C11:C13)</f>
        <v>4.7619047619047619</v>
      </c>
      <c r="E11">
        <f>_xlfn.STDEV.S(C11:C13)/SQRT(3)</f>
        <v>4.7619047619047619</v>
      </c>
      <c r="H11" t="s">
        <v>15</v>
      </c>
      <c r="I11">
        <f t="shared" ref="I11:J11" si="14">D44</f>
        <v>14.50502590464037</v>
      </c>
      <c r="J11">
        <f t="shared" si="14"/>
        <v>0.66342043720165222</v>
      </c>
      <c r="K11">
        <f t="shared" ref="K11:L11" si="15">D47</f>
        <v>13.342547448277079</v>
      </c>
      <c r="L11">
        <f t="shared" si="15"/>
        <v>0.95339477490077906</v>
      </c>
      <c r="N11" t="s">
        <v>18</v>
      </c>
    </row>
    <row r="12" spans="1:14" x14ac:dyDescent="0.45">
      <c r="A12">
        <v>2</v>
      </c>
      <c r="B12" t="s">
        <v>4</v>
      </c>
      <c r="C12">
        <v>0</v>
      </c>
    </row>
    <row r="13" spans="1:14" x14ac:dyDescent="0.45">
      <c r="A13">
        <v>2</v>
      </c>
      <c r="B13" t="s">
        <v>4</v>
      </c>
      <c r="C13">
        <v>14.285714285714285</v>
      </c>
    </row>
    <row r="14" spans="1:14" x14ac:dyDescent="0.45">
      <c r="A14">
        <v>3</v>
      </c>
      <c r="B14" t="s">
        <v>3</v>
      </c>
      <c r="C14">
        <v>15.228426395939088</v>
      </c>
      <c r="D14">
        <f>AVERAGE(C14:C16)</f>
        <v>14.378668957871007</v>
      </c>
      <c r="E14">
        <f>_xlfn.STDEV.S(C14:C16)/SQRT(3)</f>
        <v>0.42652782749745866</v>
      </c>
    </row>
    <row r="15" spans="1:14" x14ac:dyDescent="0.45">
      <c r="A15">
        <v>3</v>
      </c>
      <c r="B15" t="s">
        <v>3</v>
      </c>
      <c r="C15">
        <v>14.018691588785046</v>
      </c>
    </row>
    <row r="16" spans="1:14" x14ac:dyDescent="0.45">
      <c r="A16">
        <v>3</v>
      </c>
      <c r="B16" t="s">
        <v>3</v>
      </c>
      <c r="C16">
        <v>13.888888888888886</v>
      </c>
    </row>
    <row r="17" spans="1:5" x14ac:dyDescent="0.45">
      <c r="A17">
        <v>3</v>
      </c>
      <c r="B17" t="s">
        <v>4</v>
      </c>
      <c r="C17">
        <v>15.15151515151515</v>
      </c>
      <c r="D17">
        <f>AVERAGE(C17:C19)</f>
        <v>14.074212424565919</v>
      </c>
      <c r="E17">
        <f>_xlfn.STDEV.S(C17:C19)/SQRT(3)</f>
        <v>0.96643907775480353</v>
      </c>
    </row>
    <row r="18" spans="1:5" x14ac:dyDescent="0.45">
      <c r="A18">
        <v>3</v>
      </c>
      <c r="B18" t="s">
        <v>4</v>
      </c>
      <c r="C18">
        <v>14.92537313432836</v>
      </c>
    </row>
    <row r="19" spans="1:5" x14ac:dyDescent="0.45">
      <c r="A19">
        <v>3</v>
      </c>
      <c r="B19" t="s">
        <v>4</v>
      </c>
      <c r="C19">
        <v>12.145748987854251</v>
      </c>
    </row>
    <row r="20" spans="1:5" x14ac:dyDescent="0.45">
      <c r="A20">
        <v>4</v>
      </c>
      <c r="B20" t="s">
        <v>3</v>
      </c>
      <c r="C20">
        <v>13.215859030837002</v>
      </c>
      <c r="D20">
        <f>AVERAGE(C20:C22)</f>
        <v>13.26594658041936</v>
      </c>
      <c r="E20">
        <f>_xlfn.STDEV.S(C20:C22)/SQRT(3)</f>
        <v>0.27278238128748727</v>
      </c>
    </row>
    <row r="21" spans="1:5" x14ac:dyDescent="0.45">
      <c r="A21">
        <v>4</v>
      </c>
      <c r="B21" t="s">
        <v>3</v>
      </c>
      <c r="C21">
        <v>13.761467889908257</v>
      </c>
    </row>
    <row r="22" spans="1:5" x14ac:dyDescent="0.45">
      <c r="A22">
        <v>4</v>
      </c>
      <c r="B22" t="s">
        <v>3</v>
      </c>
      <c r="C22">
        <v>12.820512820512821</v>
      </c>
    </row>
    <row r="23" spans="1:5" x14ac:dyDescent="0.45">
      <c r="A23">
        <v>4</v>
      </c>
      <c r="B23" t="s">
        <v>4</v>
      </c>
      <c r="C23">
        <v>14.492753623188406</v>
      </c>
      <c r="D23">
        <f>AVERAGE(C23:C25)</f>
        <v>4.8309178743961354</v>
      </c>
      <c r="E23">
        <f>_xlfn.STDEV.S(C23:C25)/SQRT(3)</f>
        <v>4.8309178743961354</v>
      </c>
    </row>
    <row r="24" spans="1:5" x14ac:dyDescent="0.45">
      <c r="A24">
        <v>4</v>
      </c>
      <c r="B24" t="s">
        <v>4</v>
      </c>
      <c r="C24">
        <v>0</v>
      </c>
    </row>
    <row r="25" spans="1:5" x14ac:dyDescent="0.45">
      <c r="A25">
        <v>4</v>
      </c>
      <c r="B25" t="s">
        <v>4</v>
      </c>
      <c r="C25">
        <v>0</v>
      </c>
    </row>
    <row r="26" spans="1:5" x14ac:dyDescent="0.45">
      <c r="A26">
        <v>5</v>
      </c>
      <c r="B26" t="s">
        <v>3</v>
      </c>
      <c r="C26">
        <v>17.142857142857142</v>
      </c>
      <c r="D26">
        <f>AVERAGE(C26:C28)</f>
        <v>14.708545557441989</v>
      </c>
      <c r="E26">
        <f>_xlfn.STDEV.S(C26:C28)/SQRT(3)</f>
        <v>1.2322910377008842</v>
      </c>
    </row>
    <row r="27" spans="1:5" x14ac:dyDescent="0.45">
      <c r="A27">
        <v>5</v>
      </c>
      <c r="B27" t="s">
        <v>3</v>
      </c>
      <c r="C27">
        <v>13.824884792626726</v>
      </c>
    </row>
    <row r="28" spans="1:5" x14ac:dyDescent="0.45">
      <c r="A28">
        <v>5</v>
      </c>
      <c r="B28" t="s">
        <v>3</v>
      </c>
      <c r="C28">
        <v>13.157894736842103</v>
      </c>
    </row>
    <row r="29" spans="1:5" x14ac:dyDescent="0.45">
      <c r="A29">
        <v>5</v>
      </c>
      <c r="B29" t="s">
        <v>4</v>
      </c>
      <c r="C29">
        <v>0</v>
      </c>
      <c r="D29">
        <f>AVERAGE(C29:C31)</f>
        <v>10.047846889952153</v>
      </c>
      <c r="E29">
        <f>_xlfn.STDEV.S(C29:C31)/SQRT(3)</f>
        <v>5.0409826568673397</v>
      </c>
    </row>
    <row r="30" spans="1:5" x14ac:dyDescent="0.45">
      <c r="A30">
        <v>5</v>
      </c>
      <c r="B30" t="s">
        <v>4</v>
      </c>
      <c r="C30">
        <v>15.789473684210527</v>
      </c>
    </row>
    <row r="31" spans="1:5" x14ac:dyDescent="0.45">
      <c r="A31">
        <v>5</v>
      </c>
      <c r="B31" t="s">
        <v>4</v>
      </c>
      <c r="C31">
        <v>14.354066985645932</v>
      </c>
    </row>
    <row r="32" spans="1:5" x14ac:dyDescent="0.45">
      <c r="A32">
        <v>6</v>
      </c>
      <c r="B32" t="s">
        <v>3</v>
      </c>
      <c r="C32">
        <v>14.150943396226417</v>
      </c>
      <c r="D32">
        <f>AVERAGE(C32:C34)</f>
        <v>13.746740610265443</v>
      </c>
      <c r="E32">
        <f>_xlfn.STDEV.S(C32:C34)/SQRT(3)</f>
        <v>0.20892445858833036</v>
      </c>
    </row>
    <row r="33" spans="1:5" x14ac:dyDescent="0.45">
      <c r="A33">
        <v>6</v>
      </c>
      <c r="B33" t="s">
        <v>3</v>
      </c>
      <c r="C33">
        <v>13.636363636363637</v>
      </c>
    </row>
    <row r="34" spans="1:5" x14ac:dyDescent="0.45">
      <c r="A34">
        <v>6</v>
      </c>
      <c r="B34" t="s">
        <v>3</v>
      </c>
      <c r="C34">
        <v>13.452914798206276</v>
      </c>
    </row>
    <row r="35" spans="1:5" x14ac:dyDescent="0.45">
      <c r="A35">
        <v>6</v>
      </c>
      <c r="B35" t="s">
        <v>4</v>
      </c>
      <c r="C35">
        <v>14.778325123152712</v>
      </c>
      <c r="D35">
        <f>AVERAGE(C35:C37)</f>
        <v>10.08074754964197</v>
      </c>
      <c r="E35">
        <f>_xlfn.STDEV.S(C35:C37)/SQRT(3)</f>
        <v>5.044257877538981</v>
      </c>
    </row>
    <row r="36" spans="1:5" x14ac:dyDescent="0.45">
      <c r="A36">
        <v>6</v>
      </c>
      <c r="B36" t="s">
        <v>4</v>
      </c>
      <c r="C36">
        <v>0</v>
      </c>
    </row>
    <row r="37" spans="1:5" x14ac:dyDescent="0.45">
      <c r="A37">
        <v>6</v>
      </c>
      <c r="B37" t="s">
        <v>4</v>
      </c>
      <c r="C37">
        <v>15.463917525773198</v>
      </c>
    </row>
    <row r="38" spans="1:5" x14ac:dyDescent="0.45">
      <c r="A38">
        <v>7</v>
      </c>
      <c r="B38" t="s">
        <v>3</v>
      </c>
      <c r="C38">
        <v>14.851485148514854</v>
      </c>
      <c r="D38">
        <f>AVERAGE(C38:C40)</f>
        <v>14.127896750271139</v>
      </c>
      <c r="E38">
        <f>_xlfn.STDEV.S(C38:C40)/SQRT(3)</f>
        <v>0.39007962840444188</v>
      </c>
    </row>
    <row r="39" spans="1:5" x14ac:dyDescent="0.45">
      <c r="A39">
        <v>7</v>
      </c>
      <c r="B39" t="s">
        <v>3</v>
      </c>
      <c r="C39">
        <v>13.513513513513514</v>
      </c>
    </row>
    <row r="40" spans="1:5" x14ac:dyDescent="0.45">
      <c r="A40">
        <v>7</v>
      </c>
      <c r="B40" t="s">
        <v>3</v>
      </c>
      <c r="C40">
        <v>14.018691588785046</v>
      </c>
    </row>
    <row r="41" spans="1:5" x14ac:dyDescent="0.45">
      <c r="A41">
        <v>7</v>
      </c>
      <c r="B41" t="s">
        <v>4</v>
      </c>
      <c r="C41">
        <v>13.452914798206276</v>
      </c>
      <c r="D41">
        <f>AVERAGE(C41:C43)</f>
        <v>14.912112419366442</v>
      </c>
      <c r="E41">
        <f>_xlfn.STDEV.S(C41:C43)/SQRT(3)</f>
        <v>1.3684982333794875</v>
      </c>
    </row>
    <row r="42" spans="1:5" x14ac:dyDescent="0.45">
      <c r="A42">
        <v>7</v>
      </c>
      <c r="B42" t="s">
        <v>4</v>
      </c>
      <c r="C42">
        <v>17.647058823529413</v>
      </c>
    </row>
    <row r="43" spans="1:5" x14ac:dyDescent="0.45">
      <c r="A43">
        <v>7</v>
      </c>
      <c r="B43" t="s">
        <v>4</v>
      </c>
      <c r="C43">
        <v>13.636363636363637</v>
      </c>
    </row>
    <row r="44" spans="1:5" x14ac:dyDescent="0.45">
      <c r="A44">
        <v>8</v>
      </c>
      <c r="B44" t="s">
        <v>3</v>
      </c>
      <c r="C44">
        <v>14.150943396226417</v>
      </c>
      <c r="D44">
        <f>AVERAGE(C44:C46)</f>
        <v>14.50502590464037</v>
      </c>
      <c r="E44">
        <f>_xlfn.STDEV.S(C44:C46)/SQRT(3)</f>
        <v>0.66342043720165222</v>
      </c>
    </row>
    <row r="45" spans="1:5" x14ac:dyDescent="0.45">
      <c r="A45">
        <v>8</v>
      </c>
      <c r="B45" t="s">
        <v>3</v>
      </c>
      <c r="C45">
        <v>15.789473684210527</v>
      </c>
    </row>
    <row r="46" spans="1:5" x14ac:dyDescent="0.45">
      <c r="A46">
        <v>8</v>
      </c>
      <c r="B46" t="s">
        <v>3</v>
      </c>
      <c r="C46">
        <v>13.574660633484163</v>
      </c>
    </row>
    <row r="47" spans="1:5" x14ac:dyDescent="0.45">
      <c r="A47">
        <v>8</v>
      </c>
      <c r="B47" t="s">
        <v>4</v>
      </c>
      <c r="C47">
        <v>14.492753623188406</v>
      </c>
      <c r="D47">
        <f>AVERAGE(C47:C49)</f>
        <v>13.342547448277079</v>
      </c>
      <c r="E47">
        <f>_xlfn.STDEV.S(C47:C49)/SQRT(3)</f>
        <v>0.95339477490077906</v>
      </c>
    </row>
    <row r="48" spans="1:5" x14ac:dyDescent="0.45">
      <c r="A48">
        <v>8</v>
      </c>
      <c r="B48" t="s">
        <v>4</v>
      </c>
      <c r="C48">
        <v>14.084507042253522</v>
      </c>
    </row>
    <row r="49" spans="1:3" x14ac:dyDescent="0.45">
      <c r="A49">
        <v>8</v>
      </c>
      <c r="B49" t="s">
        <v>4</v>
      </c>
      <c r="C49">
        <v>11.450381679389313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6E32-C20E-430A-9B1E-FFECBDC255A3}">
  <dimension ref="A1:W49"/>
  <sheetViews>
    <sheetView topLeftCell="F11" zoomScale="112" workbookViewId="0">
      <selection activeCell="P24" sqref="P24"/>
    </sheetView>
  </sheetViews>
  <sheetFormatPr baseColWidth="10" defaultRowHeight="14.25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23" x14ac:dyDescent="0.45">
      <c r="A2">
        <v>1</v>
      </c>
      <c r="B2" t="s">
        <v>3</v>
      </c>
      <c r="C2">
        <v>20.833333333333336</v>
      </c>
      <c r="D2">
        <f>AVERAGE(C2:C4)</f>
        <v>17.708333333333332</v>
      </c>
      <c r="E2">
        <f>_xlfn.STDEV.S(C2:C4)/SQRT(3)</f>
        <v>1.5911721163041146</v>
      </c>
    </row>
    <row r="3" spans="1:23" x14ac:dyDescent="0.45">
      <c r="A3">
        <v>1</v>
      </c>
      <c r="B3" t="s">
        <v>3</v>
      </c>
      <c r="C3">
        <v>16.666666666666668</v>
      </c>
      <c r="I3" t="s">
        <v>3</v>
      </c>
      <c r="J3" t="s">
        <v>7</v>
      </c>
      <c r="K3" t="s">
        <v>4</v>
      </c>
      <c r="L3" t="s">
        <v>7</v>
      </c>
      <c r="M3" t="s">
        <v>16</v>
      </c>
      <c r="N3" t="s">
        <v>34</v>
      </c>
      <c r="P3" t="s">
        <v>31</v>
      </c>
      <c r="Q3" t="s">
        <v>20</v>
      </c>
      <c r="R3" t="s">
        <v>21</v>
      </c>
      <c r="S3" t="s">
        <v>32</v>
      </c>
      <c r="T3" t="s">
        <v>33</v>
      </c>
      <c r="U3" t="s">
        <v>16</v>
      </c>
      <c r="V3" t="s">
        <v>22</v>
      </c>
      <c r="W3" t="s">
        <v>34</v>
      </c>
    </row>
    <row r="4" spans="1:23" x14ac:dyDescent="0.45">
      <c r="A4">
        <v>1</v>
      </c>
      <c r="B4" t="s">
        <v>3</v>
      </c>
      <c r="C4">
        <v>15.625000000000002</v>
      </c>
      <c r="H4" t="s">
        <v>8</v>
      </c>
      <c r="I4">
        <f t="shared" ref="I4:J4" si="0">D2</f>
        <v>17.708333333333332</v>
      </c>
      <c r="J4">
        <f t="shared" si="0"/>
        <v>1.5911721163041146</v>
      </c>
      <c r="K4">
        <f t="shared" ref="K4:L4" si="1">D5</f>
        <v>23.480385016191747</v>
      </c>
      <c r="L4">
        <f t="shared" si="1"/>
        <v>3.3844061007854056</v>
      </c>
      <c r="M4">
        <v>0.190430263825524</v>
      </c>
      <c r="N4" t="s">
        <v>18</v>
      </c>
      <c r="P4" t="s">
        <v>23</v>
      </c>
      <c r="Q4">
        <v>3</v>
      </c>
      <c r="R4">
        <v>3</v>
      </c>
      <c r="S4">
        <v>16.6666666666667</v>
      </c>
      <c r="T4">
        <v>24.590163934426201</v>
      </c>
      <c r="U4">
        <v>0.190430263825524</v>
      </c>
      <c r="V4" t="s">
        <v>35</v>
      </c>
      <c r="W4" t="s">
        <v>18</v>
      </c>
    </row>
    <row r="5" spans="1:23" x14ac:dyDescent="0.45">
      <c r="A5">
        <v>1</v>
      </c>
      <c r="B5" t="s">
        <v>4</v>
      </c>
      <c r="C5">
        <v>28.708133971291865</v>
      </c>
      <c r="D5">
        <f>AVERAGE(C5:C7)</f>
        <v>23.480385016191747</v>
      </c>
      <c r="E5">
        <f>_xlfn.STDEV.S(C5:C7)/SQRT(3)</f>
        <v>3.3844061007854056</v>
      </c>
      <c r="H5" t="s">
        <v>9</v>
      </c>
      <c r="I5">
        <f t="shared" ref="I5:J5" si="2">D8</f>
        <v>19.378129293813441</v>
      </c>
      <c r="J5">
        <f t="shared" si="2"/>
        <v>4.1205392795172688</v>
      </c>
      <c r="K5">
        <f t="shared" ref="K5:L5" si="3">D11</f>
        <v>17.745182628702906</v>
      </c>
      <c r="L5">
        <f t="shared" si="3"/>
        <v>2.481358768708632</v>
      </c>
      <c r="M5">
        <v>1</v>
      </c>
      <c r="N5" t="s">
        <v>18</v>
      </c>
      <c r="P5" t="s">
        <v>24</v>
      </c>
      <c r="Q5">
        <v>3</v>
      </c>
      <c r="R5">
        <v>3</v>
      </c>
      <c r="S5">
        <v>16.393442622950801</v>
      </c>
      <c r="T5">
        <v>16.393442622950801</v>
      </c>
      <c r="U5">
        <v>1</v>
      </c>
      <c r="V5" t="s">
        <v>35</v>
      </c>
      <c r="W5" t="s">
        <v>18</v>
      </c>
    </row>
    <row r="6" spans="1:23" x14ac:dyDescent="0.45">
      <c r="A6">
        <v>1</v>
      </c>
      <c r="B6" t="s">
        <v>4</v>
      </c>
      <c r="C6">
        <v>17.142857142857142</v>
      </c>
      <c r="H6" t="s">
        <v>10</v>
      </c>
      <c r="I6">
        <f t="shared" ref="I6:J6" si="4">D14</f>
        <v>14.378668957871007</v>
      </c>
      <c r="J6">
        <f t="shared" si="4"/>
        <v>0.42652782749745866</v>
      </c>
      <c r="K6">
        <f t="shared" ref="K6:L6" si="5">D17</f>
        <v>14.074212424565919</v>
      </c>
      <c r="L6">
        <f t="shared" si="5"/>
        <v>0.96643907775480353</v>
      </c>
      <c r="M6">
        <v>1</v>
      </c>
      <c r="N6" t="s">
        <v>18</v>
      </c>
      <c r="P6" t="s">
        <v>25</v>
      </c>
      <c r="Q6">
        <v>3</v>
      </c>
      <c r="R6">
        <v>3</v>
      </c>
      <c r="S6">
        <v>14.018691588785</v>
      </c>
      <c r="T6">
        <v>14.9253731343284</v>
      </c>
      <c r="U6">
        <v>1</v>
      </c>
      <c r="V6" t="s">
        <v>35</v>
      </c>
      <c r="W6" t="s">
        <v>18</v>
      </c>
    </row>
    <row r="7" spans="1:23" x14ac:dyDescent="0.45">
      <c r="A7">
        <v>1</v>
      </c>
      <c r="B7" t="s">
        <v>4</v>
      </c>
      <c r="C7">
        <v>24.590163934426229</v>
      </c>
      <c r="H7" t="s">
        <v>11</v>
      </c>
      <c r="I7">
        <f t="shared" ref="I7:J7" si="6">D20</f>
        <v>13.26594658041936</v>
      </c>
      <c r="J7">
        <f t="shared" si="6"/>
        <v>0.27278238128748727</v>
      </c>
      <c r="K7">
        <f t="shared" ref="K7:L7" si="7">D23</f>
        <v>22.865298952255475</v>
      </c>
      <c r="L7">
        <f t="shared" si="7"/>
        <v>4.6956430217140852</v>
      </c>
      <c r="M7">
        <v>0.190430263825524</v>
      </c>
      <c r="N7" t="s">
        <v>18</v>
      </c>
      <c r="P7" t="s">
        <v>26</v>
      </c>
      <c r="Q7">
        <v>3</v>
      </c>
      <c r="R7">
        <v>3</v>
      </c>
      <c r="S7">
        <v>13.215859030837001</v>
      </c>
      <c r="T7">
        <v>25.974025974025999</v>
      </c>
      <c r="U7">
        <v>0.190430263825524</v>
      </c>
      <c r="V7" t="s">
        <v>35</v>
      </c>
      <c r="W7" t="s">
        <v>18</v>
      </c>
    </row>
    <row r="8" spans="1:23" x14ac:dyDescent="0.45">
      <c r="A8">
        <v>2</v>
      </c>
      <c r="B8" t="s">
        <v>3</v>
      </c>
      <c r="C8">
        <v>16.393442622950822</v>
      </c>
      <c r="D8">
        <f>AVERAGE(C8:C10)</f>
        <v>19.378129293813441</v>
      </c>
      <c r="E8">
        <f>_xlfn.STDEV.S(C8:C10)/SQRT(3)</f>
        <v>4.1205392795172688</v>
      </c>
      <c r="H8" t="s">
        <v>12</v>
      </c>
      <c r="I8">
        <f t="shared" ref="I8:J8" si="8">D26</f>
        <v>29.417091114883977</v>
      </c>
      <c r="J8">
        <f t="shared" si="8"/>
        <v>2.4645820754017684</v>
      </c>
      <c r="K8">
        <f t="shared" ref="K8:L8" si="9">D29</f>
        <v>16.759256285925307</v>
      </c>
      <c r="L8">
        <f t="shared" si="9"/>
        <v>1.7376156654074952</v>
      </c>
      <c r="M8">
        <v>8.0855598370052295E-2</v>
      </c>
      <c r="N8" t="s">
        <v>18</v>
      </c>
      <c r="P8" t="s">
        <v>27</v>
      </c>
      <c r="Q8">
        <v>3</v>
      </c>
      <c r="R8">
        <v>3</v>
      </c>
      <c r="S8">
        <v>27.649769585253502</v>
      </c>
      <c r="T8">
        <v>15.789473684210501</v>
      </c>
      <c r="U8">
        <v>8.0855598370052295E-2</v>
      </c>
      <c r="V8" t="s">
        <v>35</v>
      </c>
      <c r="W8" t="s">
        <v>18</v>
      </c>
    </row>
    <row r="9" spans="1:23" x14ac:dyDescent="0.45">
      <c r="A9">
        <v>2</v>
      </c>
      <c r="B9" t="s">
        <v>3</v>
      </c>
      <c r="C9">
        <v>14.218009478672986</v>
      </c>
      <c r="H9" t="s">
        <v>13</v>
      </c>
      <c r="I9">
        <f t="shared" ref="I9:J9" si="10">D32</f>
        <v>41.129844856894522</v>
      </c>
      <c r="J9">
        <f t="shared" si="10"/>
        <v>13.531989130734379</v>
      </c>
      <c r="K9">
        <f t="shared" ref="K9:L9" si="11">D35</f>
        <v>30.860386724899701</v>
      </c>
      <c r="L9">
        <f t="shared" si="11"/>
        <v>9.2655733137078542</v>
      </c>
      <c r="M9">
        <v>1</v>
      </c>
      <c r="N9" t="s">
        <v>18</v>
      </c>
      <c r="P9" t="s">
        <v>28</v>
      </c>
      <c r="Q9">
        <v>3</v>
      </c>
      <c r="R9">
        <v>3</v>
      </c>
      <c r="S9">
        <v>28.301886792452802</v>
      </c>
      <c r="T9">
        <v>30.927835051546399</v>
      </c>
      <c r="U9">
        <v>1</v>
      </c>
      <c r="V9" t="s">
        <v>35</v>
      </c>
      <c r="W9" t="s">
        <v>18</v>
      </c>
    </row>
    <row r="10" spans="1:23" x14ac:dyDescent="0.45">
      <c r="A10">
        <v>2</v>
      </c>
      <c r="B10" t="s">
        <v>3</v>
      </c>
      <c r="C10">
        <v>27.522935779816514</v>
      </c>
      <c r="H10" t="s">
        <v>14</v>
      </c>
      <c r="I10">
        <f t="shared" ref="I10:J10" si="12">D38</f>
        <v>23.473691142794507</v>
      </c>
      <c r="J10">
        <f t="shared" si="12"/>
        <v>9.2992164163420767</v>
      </c>
      <c r="K10">
        <f t="shared" ref="K10:L10" si="13">D41</f>
        <v>23.94187189755641</v>
      </c>
      <c r="L10">
        <f t="shared" si="13"/>
        <v>3.1491881072178676</v>
      </c>
      <c r="M10">
        <v>0.66252058354005705</v>
      </c>
      <c r="N10" t="s">
        <v>18</v>
      </c>
      <c r="P10" t="s">
        <v>29</v>
      </c>
      <c r="Q10">
        <v>3</v>
      </c>
      <c r="R10">
        <v>3</v>
      </c>
      <c r="S10">
        <v>14.8514851485149</v>
      </c>
      <c r="T10">
        <v>26.905829596412602</v>
      </c>
      <c r="U10">
        <v>0.66252058354005705</v>
      </c>
      <c r="V10" t="s">
        <v>35</v>
      </c>
      <c r="W10" t="s">
        <v>18</v>
      </c>
    </row>
    <row r="11" spans="1:23" x14ac:dyDescent="0.45">
      <c r="A11">
        <v>2</v>
      </c>
      <c r="B11" t="s">
        <v>4</v>
      </c>
      <c r="C11">
        <v>22.556390977443613</v>
      </c>
      <c r="D11">
        <f>AVERAGE(C11:C13)</f>
        <v>17.745182628702906</v>
      </c>
      <c r="E11">
        <f>_xlfn.STDEV.S(C11:C13)/SQRT(3)</f>
        <v>2.481358768708632</v>
      </c>
      <c r="H11" t="s">
        <v>15</v>
      </c>
      <c r="I11">
        <f t="shared" ref="I11:J11" si="14">D44</f>
        <v>14.50502590464037</v>
      </c>
      <c r="J11">
        <f t="shared" si="14"/>
        <v>0.66342043720165222</v>
      </c>
      <c r="K11">
        <f t="shared" ref="K11:L11" si="15">D47</f>
        <v>17.159341341406851</v>
      </c>
      <c r="L11">
        <f t="shared" si="15"/>
        <v>2.8731290378193561</v>
      </c>
      <c r="M11">
        <v>0.66252058354005705</v>
      </c>
      <c r="N11" t="s">
        <v>18</v>
      </c>
      <c r="P11" t="s">
        <v>30</v>
      </c>
      <c r="Q11">
        <v>3</v>
      </c>
      <c r="R11">
        <v>3</v>
      </c>
      <c r="S11">
        <v>14.150943396226401</v>
      </c>
      <c r="T11">
        <v>14.492753623188401</v>
      </c>
      <c r="U11">
        <v>0.66252058354005705</v>
      </c>
      <c r="V11" t="s">
        <v>35</v>
      </c>
      <c r="W11" t="s">
        <v>18</v>
      </c>
    </row>
    <row r="12" spans="1:23" x14ac:dyDescent="0.45">
      <c r="A12">
        <v>2</v>
      </c>
      <c r="B12" t="s">
        <v>4</v>
      </c>
      <c r="C12">
        <v>16.393442622950822</v>
      </c>
    </row>
    <row r="13" spans="1:23" x14ac:dyDescent="0.45">
      <c r="A13">
        <v>2</v>
      </c>
      <c r="B13" t="s">
        <v>4</v>
      </c>
      <c r="C13">
        <v>14.285714285714285</v>
      </c>
    </row>
    <row r="14" spans="1:23" x14ac:dyDescent="0.45">
      <c r="A14">
        <v>3</v>
      </c>
      <c r="B14" t="s">
        <v>3</v>
      </c>
      <c r="C14">
        <v>15.228426395939088</v>
      </c>
      <c r="D14">
        <f>AVERAGE(C14:C16)</f>
        <v>14.378668957871007</v>
      </c>
      <c r="E14">
        <f>_xlfn.STDEV.S(C14:C16)/SQRT(3)</f>
        <v>0.42652782749745866</v>
      </c>
    </row>
    <row r="15" spans="1:23" x14ac:dyDescent="0.45">
      <c r="A15">
        <v>3</v>
      </c>
      <c r="B15" t="s">
        <v>3</v>
      </c>
      <c r="C15">
        <v>14.018691588785046</v>
      </c>
    </row>
    <row r="16" spans="1:23" x14ac:dyDescent="0.45">
      <c r="A16">
        <v>3</v>
      </c>
      <c r="B16" t="s">
        <v>3</v>
      </c>
      <c r="C16">
        <v>13.888888888888886</v>
      </c>
    </row>
    <row r="17" spans="1:5" x14ac:dyDescent="0.45">
      <c r="A17">
        <v>3</v>
      </c>
      <c r="B17" t="s">
        <v>4</v>
      </c>
      <c r="C17">
        <v>15.15151515151515</v>
      </c>
      <c r="D17">
        <f>AVERAGE(C17:C19)</f>
        <v>14.074212424565919</v>
      </c>
      <c r="E17">
        <f>_xlfn.STDEV.S(C17:C19)/SQRT(3)</f>
        <v>0.96643907775480353</v>
      </c>
    </row>
    <row r="18" spans="1:5" x14ac:dyDescent="0.45">
      <c r="A18">
        <v>3</v>
      </c>
      <c r="B18" t="s">
        <v>4</v>
      </c>
      <c r="C18">
        <v>14.92537313432836</v>
      </c>
    </row>
    <row r="19" spans="1:5" x14ac:dyDescent="0.45">
      <c r="A19">
        <v>3</v>
      </c>
      <c r="B19" t="s">
        <v>4</v>
      </c>
      <c r="C19">
        <v>12.145748987854251</v>
      </c>
    </row>
    <row r="20" spans="1:5" x14ac:dyDescent="0.45">
      <c r="A20">
        <v>4</v>
      </c>
      <c r="B20" t="s">
        <v>3</v>
      </c>
      <c r="C20">
        <v>13.215859030837002</v>
      </c>
      <c r="D20">
        <f>AVERAGE(C20:C22)</f>
        <v>13.26594658041936</v>
      </c>
      <c r="E20">
        <f>_xlfn.STDEV.S(C20:C22)/SQRT(3)</f>
        <v>0.27278238128748727</v>
      </c>
    </row>
    <row r="21" spans="1:5" x14ac:dyDescent="0.45">
      <c r="A21">
        <v>4</v>
      </c>
      <c r="B21" t="s">
        <v>3</v>
      </c>
      <c r="C21">
        <v>13.761467889908257</v>
      </c>
    </row>
    <row r="22" spans="1:5" x14ac:dyDescent="0.45">
      <c r="A22">
        <v>4</v>
      </c>
      <c r="B22" t="s">
        <v>3</v>
      </c>
      <c r="C22">
        <v>12.820512820512821</v>
      </c>
    </row>
    <row r="23" spans="1:5" x14ac:dyDescent="0.45">
      <c r="A23">
        <v>4</v>
      </c>
      <c r="B23" t="s">
        <v>4</v>
      </c>
      <c r="C23">
        <v>28.985507246376812</v>
      </c>
      <c r="D23">
        <f>AVERAGE(C23:C25)</f>
        <v>22.865298952255475</v>
      </c>
      <c r="E23">
        <f>_xlfn.STDEV.S(C23:C25)/SQRT(3)</f>
        <v>4.6956430217140852</v>
      </c>
    </row>
    <row r="24" spans="1:5" x14ac:dyDescent="0.45">
      <c r="A24">
        <v>4</v>
      </c>
      <c r="B24" t="s">
        <v>4</v>
      </c>
      <c r="C24">
        <v>13.636363636363637</v>
      </c>
    </row>
    <row r="25" spans="1:5" x14ac:dyDescent="0.45">
      <c r="A25">
        <v>4</v>
      </c>
      <c r="B25" t="s">
        <v>4</v>
      </c>
      <c r="C25">
        <v>25.974025974025977</v>
      </c>
    </row>
    <row r="26" spans="1:5" x14ac:dyDescent="0.45">
      <c r="A26">
        <v>5</v>
      </c>
      <c r="B26" t="s">
        <v>3</v>
      </c>
      <c r="C26">
        <v>34.285714285714285</v>
      </c>
      <c r="D26">
        <f>AVERAGE(C26:C28)</f>
        <v>29.417091114883977</v>
      </c>
      <c r="E26">
        <f>_xlfn.STDEV.S(C26:C28)/SQRT(3)</f>
        <v>2.4645820754017684</v>
      </c>
    </row>
    <row r="27" spans="1:5" x14ac:dyDescent="0.45">
      <c r="A27">
        <v>5</v>
      </c>
      <c r="B27" t="s">
        <v>3</v>
      </c>
      <c r="C27">
        <v>27.649769585253452</v>
      </c>
    </row>
    <row r="28" spans="1:5" x14ac:dyDescent="0.45">
      <c r="A28">
        <v>5</v>
      </c>
      <c r="B28" t="s">
        <v>3</v>
      </c>
      <c r="C28">
        <v>26.315789473684205</v>
      </c>
    </row>
    <row r="29" spans="1:5" x14ac:dyDescent="0.45">
      <c r="A29">
        <v>5</v>
      </c>
      <c r="B29" t="s">
        <v>4</v>
      </c>
      <c r="C29">
        <v>20.134228187919465</v>
      </c>
      <c r="D29">
        <f>AVERAGE(C29:C31)</f>
        <v>16.759256285925307</v>
      </c>
      <c r="E29">
        <f>_xlfn.STDEV.S(C29:C31)/SQRT(3)</f>
        <v>1.7376156654074952</v>
      </c>
    </row>
    <row r="30" spans="1:5" x14ac:dyDescent="0.45">
      <c r="A30">
        <v>5</v>
      </c>
      <c r="B30" t="s">
        <v>4</v>
      </c>
      <c r="C30">
        <v>15.789473684210527</v>
      </c>
    </row>
    <row r="31" spans="1:5" x14ac:dyDescent="0.45">
      <c r="A31">
        <v>5</v>
      </c>
      <c r="B31" t="s">
        <v>4</v>
      </c>
      <c r="C31">
        <v>14.354066985645932</v>
      </c>
    </row>
    <row r="32" spans="1:5" x14ac:dyDescent="0.45">
      <c r="A32">
        <v>6</v>
      </c>
      <c r="B32" t="s">
        <v>3</v>
      </c>
      <c r="C32">
        <v>28.301886792452834</v>
      </c>
      <c r="D32">
        <f>AVERAGE(C32:C34)</f>
        <v>41.129844856894522</v>
      </c>
      <c r="E32">
        <f>_xlfn.STDEV.S(C32:C34)/SQRT(3)</f>
        <v>13.531989130734379</v>
      </c>
    </row>
    <row r="33" spans="1:5" x14ac:dyDescent="0.45">
      <c r="A33">
        <v>6</v>
      </c>
      <c r="B33" t="s">
        <v>3</v>
      </c>
      <c r="C33">
        <v>68.181818181818187</v>
      </c>
    </row>
    <row r="34" spans="1:5" x14ac:dyDescent="0.45">
      <c r="A34">
        <v>6</v>
      </c>
      <c r="B34" t="s">
        <v>3</v>
      </c>
      <c r="C34">
        <v>26.905829596412552</v>
      </c>
    </row>
    <row r="35" spans="1:5" x14ac:dyDescent="0.45">
      <c r="A35">
        <v>6</v>
      </c>
      <c r="B35" t="s">
        <v>4</v>
      </c>
      <c r="C35">
        <v>14.778325123152712</v>
      </c>
      <c r="D35">
        <f>AVERAGE(C35:C37)</f>
        <v>30.860386724899701</v>
      </c>
      <c r="E35">
        <f>_xlfn.STDEV.S(C35:C37)/SQRT(3)</f>
        <v>9.2655733137078542</v>
      </c>
    </row>
    <row r="36" spans="1:5" x14ac:dyDescent="0.45">
      <c r="A36">
        <v>6</v>
      </c>
      <c r="B36" t="s">
        <v>4</v>
      </c>
      <c r="C36">
        <v>46.875</v>
      </c>
    </row>
    <row r="37" spans="1:5" x14ac:dyDescent="0.45">
      <c r="A37">
        <v>6</v>
      </c>
      <c r="B37" t="s">
        <v>4</v>
      </c>
      <c r="C37">
        <v>30.927835051546396</v>
      </c>
    </row>
    <row r="38" spans="1:5" x14ac:dyDescent="0.45">
      <c r="A38">
        <v>7</v>
      </c>
      <c r="B38" t="s">
        <v>3</v>
      </c>
      <c r="C38">
        <v>14.851485148514854</v>
      </c>
      <c r="D38">
        <f>AVERAGE(C38:C40)</f>
        <v>23.473691142794507</v>
      </c>
      <c r="E38">
        <f>_xlfn.STDEV.S(C38:C40)/SQRT(3)</f>
        <v>9.2992164163420767</v>
      </c>
    </row>
    <row r="39" spans="1:5" x14ac:dyDescent="0.45">
      <c r="A39">
        <v>7</v>
      </c>
      <c r="B39" t="s">
        <v>3</v>
      </c>
      <c r="C39">
        <v>13.513513513513514</v>
      </c>
    </row>
    <row r="40" spans="1:5" x14ac:dyDescent="0.45">
      <c r="A40">
        <v>7</v>
      </c>
      <c r="B40" t="s">
        <v>3</v>
      </c>
      <c r="C40">
        <v>42.056074766355145</v>
      </c>
    </row>
    <row r="41" spans="1:5" x14ac:dyDescent="0.45">
      <c r="A41">
        <v>7</v>
      </c>
      <c r="B41" t="s">
        <v>4</v>
      </c>
      <c r="C41">
        <v>26.905829596412552</v>
      </c>
      <c r="D41">
        <f>AVERAGE(C41:C43)</f>
        <v>23.94187189755641</v>
      </c>
      <c r="E41">
        <f>_xlfn.STDEV.S(C41:C43)/SQRT(3)</f>
        <v>3.1491881072178676</v>
      </c>
    </row>
    <row r="42" spans="1:5" x14ac:dyDescent="0.45">
      <c r="A42">
        <v>7</v>
      </c>
      <c r="B42" t="s">
        <v>4</v>
      </c>
      <c r="C42">
        <v>17.647058823529413</v>
      </c>
    </row>
    <row r="43" spans="1:5" x14ac:dyDescent="0.45">
      <c r="A43">
        <v>7</v>
      </c>
      <c r="B43" t="s">
        <v>4</v>
      </c>
      <c r="C43">
        <v>27.272727272727273</v>
      </c>
    </row>
    <row r="44" spans="1:5" x14ac:dyDescent="0.45">
      <c r="A44">
        <v>8</v>
      </c>
      <c r="B44" t="s">
        <v>3</v>
      </c>
      <c r="C44">
        <v>14.150943396226417</v>
      </c>
      <c r="D44">
        <f>AVERAGE(C44:C46)</f>
        <v>14.50502590464037</v>
      </c>
      <c r="E44">
        <f>_xlfn.STDEV.S(C44:C46)/SQRT(3)</f>
        <v>0.66342043720165222</v>
      </c>
    </row>
    <row r="45" spans="1:5" x14ac:dyDescent="0.45">
      <c r="A45">
        <v>8</v>
      </c>
      <c r="B45" t="s">
        <v>3</v>
      </c>
      <c r="C45">
        <v>15.789473684210527</v>
      </c>
    </row>
    <row r="46" spans="1:5" x14ac:dyDescent="0.45">
      <c r="A46">
        <v>8</v>
      </c>
      <c r="B46" t="s">
        <v>3</v>
      </c>
      <c r="C46">
        <v>13.574660633484163</v>
      </c>
    </row>
    <row r="47" spans="1:5" x14ac:dyDescent="0.45">
      <c r="A47">
        <v>8</v>
      </c>
      <c r="B47" t="s">
        <v>4</v>
      </c>
      <c r="C47">
        <v>14.492753623188406</v>
      </c>
      <c r="D47">
        <f>AVERAGE(C47:C49)</f>
        <v>17.159341341406851</v>
      </c>
      <c r="E47">
        <f>_xlfn.STDEV.S(C47:C49)/SQRT(3)</f>
        <v>2.8731290378193561</v>
      </c>
    </row>
    <row r="48" spans="1:5" x14ac:dyDescent="0.45">
      <c r="A48">
        <v>8</v>
      </c>
      <c r="B48" t="s">
        <v>4</v>
      </c>
      <c r="C48">
        <v>14.084507042253522</v>
      </c>
    </row>
    <row r="49" spans="1:3" x14ac:dyDescent="0.45">
      <c r="A49">
        <v>8</v>
      </c>
      <c r="B49" t="s">
        <v>4</v>
      </c>
      <c r="C49">
        <v>22.900763358778626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62BE-D07A-4864-B6BD-1E810CA5A7E7}">
  <dimension ref="A1:W49"/>
  <sheetViews>
    <sheetView topLeftCell="F14" zoomScale="136" zoomScaleNormal="70" workbookViewId="0">
      <selection activeCell="N27" sqref="N27"/>
    </sheetView>
  </sheetViews>
  <sheetFormatPr baseColWidth="10" defaultRowHeight="14.25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23" x14ac:dyDescent="0.45">
      <c r="A2">
        <v>1</v>
      </c>
      <c r="B2" t="s">
        <v>3</v>
      </c>
      <c r="C2">
        <v>2166.666666666667</v>
      </c>
      <c r="D2">
        <f>AVERAGE(C2:C4)</f>
        <v>1367.3611111111113</v>
      </c>
      <c r="E2">
        <f>_xlfn.STDEV.S(C2:C4)/SQRT(3)</f>
        <v>425.12309854882398</v>
      </c>
    </row>
    <row r="3" spans="1:23" x14ac:dyDescent="0.45">
      <c r="A3">
        <v>1</v>
      </c>
      <c r="B3" t="s">
        <v>3</v>
      </c>
      <c r="C3">
        <v>716.66666666666663</v>
      </c>
      <c r="I3" t="s">
        <v>3</v>
      </c>
      <c r="J3" t="s">
        <v>7</v>
      </c>
      <c r="K3" t="s">
        <v>4</v>
      </c>
      <c r="L3" t="s">
        <v>7</v>
      </c>
      <c r="M3" t="s">
        <v>16</v>
      </c>
      <c r="N3" t="s">
        <v>17</v>
      </c>
      <c r="P3" t="s">
        <v>31</v>
      </c>
      <c r="Q3" t="s">
        <v>20</v>
      </c>
      <c r="R3" t="s">
        <v>21</v>
      </c>
      <c r="S3" t="s">
        <v>32</v>
      </c>
      <c r="T3" t="s">
        <v>33</v>
      </c>
      <c r="U3" t="s">
        <v>16</v>
      </c>
      <c r="V3" t="s">
        <v>22</v>
      </c>
      <c r="W3" t="s">
        <v>34</v>
      </c>
    </row>
    <row r="4" spans="1:23" x14ac:dyDescent="0.45">
      <c r="A4">
        <v>1</v>
      </c>
      <c r="B4" t="s">
        <v>3</v>
      </c>
      <c r="C4">
        <v>1218.75</v>
      </c>
      <c r="H4" t="s">
        <v>8</v>
      </c>
      <c r="I4">
        <f t="shared" ref="I4:J4" si="0">D2</f>
        <v>1367.3611111111113</v>
      </c>
      <c r="J4">
        <f t="shared" si="0"/>
        <v>425.12309854882398</v>
      </c>
      <c r="K4">
        <f t="shared" ref="K4:L4" si="1">D5</f>
        <v>1287.0403280929595</v>
      </c>
      <c r="L4">
        <f t="shared" si="1"/>
        <v>181.62273657535064</v>
      </c>
      <c r="M4">
        <v>1</v>
      </c>
      <c r="N4" t="s">
        <v>18</v>
      </c>
      <c r="P4" t="s">
        <v>23</v>
      </c>
      <c r="Q4">
        <v>3</v>
      </c>
      <c r="R4">
        <v>3</v>
      </c>
      <c r="S4">
        <v>1218.75</v>
      </c>
      <c r="T4">
        <v>1435.40669856459</v>
      </c>
      <c r="U4">
        <v>1</v>
      </c>
      <c r="V4" t="s">
        <v>35</v>
      </c>
      <c r="W4" t="s">
        <v>18</v>
      </c>
    </row>
    <row r="5" spans="1:23" x14ac:dyDescent="0.45">
      <c r="A5">
        <v>1</v>
      </c>
      <c r="B5" t="s">
        <v>4</v>
      </c>
      <c r="C5">
        <v>1435.4066985645934</v>
      </c>
      <c r="D5">
        <f>AVERAGE(C5:C7)</f>
        <v>1287.0403280929595</v>
      </c>
      <c r="E5">
        <f>_xlfn.STDEV.S(C5:C7)/SQRT(3)</f>
        <v>181.62273657535064</v>
      </c>
      <c r="H5" t="s">
        <v>9</v>
      </c>
      <c r="I5">
        <f t="shared" ref="I5:J5" si="2">D8</f>
        <v>1699.3294077646995</v>
      </c>
      <c r="J5">
        <f t="shared" si="2"/>
        <v>345.14491003464349</v>
      </c>
      <c r="K5">
        <f t="shared" ref="K5:L5" si="3">D11</f>
        <v>2274.3292657874194</v>
      </c>
      <c r="L5">
        <f t="shared" si="3"/>
        <v>274.26293100745488</v>
      </c>
      <c r="M5">
        <v>0.382733088885226</v>
      </c>
      <c r="N5" t="s">
        <v>18</v>
      </c>
      <c r="P5" t="s">
        <v>24</v>
      </c>
      <c r="Q5">
        <v>3</v>
      </c>
      <c r="R5">
        <v>3</v>
      </c>
      <c r="S5">
        <v>2022.9357798165099</v>
      </c>
      <c r="T5">
        <v>2157.1428571428601</v>
      </c>
      <c r="U5">
        <v>0.382733088885226</v>
      </c>
      <c r="V5" t="s">
        <v>35</v>
      </c>
      <c r="W5" t="s">
        <v>18</v>
      </c>
    </row>
    <row r="6" spans="1:23" x14ac:dyDescent="0.45">
      <c r="A6">
        <v>1</v>
      </c>
      <c r="B6" t="s">
        <v>4</v>
      </c>
      <c r="C6">
        <v>925.71428571428567</v>
      </c>
      <c r="H6" t="s">
        <v>10</v>
      </c>
      <c r="I6">
        <f t="shared" ref="I6:J6" si="4">D14</f>
        <v>1327.5343812430488</v>
      </c>
      <c r="J6">
        <f t="shared" si="4"/>
        <v>288.01211357948273</v>
      </c>
      <c r="K6">
        <f t="shared" ref="K6:L6" si="5">D17</f>
        <v>1870.9311985038614</v>
      </c>
      <c r="L6">
        <f t="shared" si="5"/>
        <v>155.87078837793121</v>
      </c>
      <c r="M6">
        <v>0.382733088885226</v>
      </c>
      <c r="N6" t="s">
        <v>18</v>
      </c>
      <c r="P6" t="s">
        <v>25</v>
      </c>
      <c r="Q6">
        <v>3</v>
      </c>
      <c r="R6">
        <v>3</v>
      </c>
      <c r="S6">
        <v>1041.6666666666699</v>
      </c>
      <c r="T6">
        <v>1757.57575757576</v>
      </c>
      <c r="U6">
        <v>0.382733088885226</v>
      </c>
      <c r="V6" t="s">
        <v>35</v>
      </c>
      <c r="W6" t="s">
        <v>18</v>
      </c>
    </row>
    <row r="7" spans="1:23" x14ac:dyDescent="0.45">
      <c r="A7">
        <v>1</v>
      </c>
      <c r="B7" t="s">
        <v>4</v>
      </c>
      <c r="C7">
        <v>1499.9999999999995</v>
      </c>
      <c r="H7" t="s">
        <v>11</v>
      </c>
      <c r="I7">
        <f t="shared" ref="I7:J7" si="6">D20</f>
        <v>1582.8860860587004</v>
      </c>
      <c r="J7">
        <f t="shared" si="6"/>
        <v>317.42619247621195</v>
      </c>
      <c r="K7">
        <f t="shared" ref="K7:L7" si="7">D23</f>
        <v>2356.3303845912546</v>
      </c>
      <c r="L7">
        <f t="shared" si="7"/>
        <v>602.1313366350771</v>
      </c>
      <c r="M7">
        <v>0.382733088885226</v>
      </c>
      <c r="N7" t="s">
        <v>18</v>
      </c>
      <c r="P7" t="s">
        <v>26</v>
      </c>
      <c r="Q7">
        <v>3</v>
      </c>
      <c r="R7">
        <v>3</v>
      </c>
      <c r="S7">
        <v>1679.4871794871799</v>
      </c>
      <c r="T7">
        <v>2168.1818181818198</v>
      </c>
      <c r="U7">
        <v>0.382733088885226</v>
      </c>
      <c r="V7" t="s">
        <v>35</v>
      </c>
      <c r="W7" t="s">
        <v>18</v>
      </c>
    </row>
    <row r="8" spans="1:23" x14ac:dyDescent="0.45">
      <c r="A8">
        <v>2</v>
      </c>
      <c r="B8" t="s">
        <v>3</v>
      </c>
      <c r="C8">
        <v>2065.5737704918029</v>
      </c>
      <c r="D8">
        <f>AVERAGE(C8:C10)</f>
        <v>1699.3294077646995</v>
      </c>
      <c r="E8">
        <f>_xlfn.STDEV.S(C8:C10)/SQRT(3)</f>
        <v>345.14491003464349</v>
      </c>
      <c r="H8" t="s">
        <v>12</v>
      </c>
      <c r="I8">
        <f t="shared" ref="I8:J8" si="8">D26</f>
        <v>2511.3566173498261</v>
      </c>
      <c r="J8">
        <f t="shared" si="8"/>
        <v>666.9581167230499</v>
      </c>
      <c r="K8">
        <f t="shared" ref="K8:L8" si="9">D29</f>
        <v>3390.7966988857138</v>
      </c>
      <c r="L8">
        <f t="shared" si="9"/>
        <v>660.42323991918317</v>
      </c>
      <c r="M8">
        <v>0.190430263825524</v>
      </c>
      <c r="N8" t="s">
        <v>18</v>
      </c>
      <c r="P8" t="s">
        <v>27</v>
      </c>
      <c r="Q8">
        <v>3</v>
      </c>
      <c r="R8">
        <v>3</v>
      </c>
      <c r="S8">
        <v>1907.8947368421</v>
      </c>
      <c r="T8">
        <v>3961.7224880382801</v>
      </c>
      <c r="U8">
        <v>0.190430263825524</v>
      </c>
      <c r="V8" t="s">
        <v>35</v>
      </c>
      <c r="W8" t="s">
        <v>18</v>
      </c>
    </row>
    <row r="9" spans="1:23" x14ac:dyDescent="0.45">
      <c r="A9">
        <v>2</v>
      </c>
      <c r="B9" t="s">
        <v>3</v>
      </c>
      <c r="C9">
        <v>1009.4786729857819</v>
      </c>
      <c r="H9" t="s">
        <v>13</v>
      </c>
      <c r="I9">
        <f t="shared" ref="I9:J9" si="10">D32</f>
        <v>1849.8230891707497</v>
      </c>
      <c r="J9">
        <f t="shared" si="10"/>
        <v>245.54552978222389</v>
      </c>
      <c r="K9">
        <f t="shared" ref="K9:L9" si="11">D35</f>
        <v>2654.1091107612615</v>
      </c>
      <c r="L9">
        <f t="shared" si="11"/>
        <v>610.78031981798722</v>
      </c>
      <c r="M9">
        <v>0.66252058354005705</v>
      </c>
      <c r="N9" t="s">
        <v>18</v>
      </c>
      <c r="P9" t="s">
        <v>28</v>
      </c>
      <c r="Q9">
        <v>3</v>
      </c>
      <c r="R9">
        <v>3</v>
      </c>
      <c r="S9">
        <v>1613.2075471698099</v>
      </c>
      <c r="T9">
        <v>2907.2164948453601</v>
      </c>
      <c r="U9">
        <v>0.66252058354005705</v>
      </c>
      <c r="V9" t="s">
        <v>35</v>
      </c>
      <c r="W9" t="s">
        <v>18</v>
      </c>
    </row>
    <row r="10" spans="1:23" x14ac:dyDescent="0.45">
      <c r="A10">
        <v>2</v>
      </c>
      <c r="B10" t="s">
        <v>3</v>
      </c>
      <c r="C10">
        <v>2022.9357798165138</v>
      </c>
      <c r="H10" t="s">
        <v>14</v>
      </c>
      <c r="I10">
        <f t="shared" ref="I10:J10" si="12">D38</f>
        <v>2166.7942116262652</v>
      </c>
      <c r="J10">
        <f t="shared" si="12"/>
        <v>531.05939642270812</v>
      </c>
      <c r="K10">
        <f t="shared" ref="K10:L10" si="13">D41</f>
        <v>1947.4652886021915</v>
      </c>
      <c r="L10">
        <f t="shared" si="13"/>
        <v>277.099079973524</v>
      </c>
      <c r="M10">
        <v>1</v>
      </c>
      <c r="N10" t="s">
        <v>18</v>
      </c>
      <c r="P10" t="s">
        <v>29</v>
      </c>
      <c r="Q10">
        <v>3</v>
      </c>
      <c r="R10">
        <v>3</v>
      </c>
      <c r="S10">
        <v>1878.3783783783799</v>
      </c>
      <c r="T10">
        <v>2029.4117647058799</v>
      </c>
      <c r="U10">
        <v>1</v>
      </c>
      <c r="V10" t="s">
        <v>35</v>
      </c>
      <c r="W10" t="s">
        <v>18</v>
      </c>
    </row>
    <row r="11" spans="1:23" x14ac:dyDescent="0.45">
      <c r="A11">
        <v>2</v>
      </c>
      <c r="B11" t="s">
        <v>4</v>
      </c>
      <c r="C11">
        <v>2796.9924812030076</v>
      </c>
      <c r="D11">
        <f>AVERAGE(C11:C13)</f>
        <v>2274.3292657874194</v>
      </c>
      <c r="E11">
        <f>_xlfn.STDEV.S(C11:C13)/SQRT(3)</f>
        <v>274.26293100745488</v>
      </c>
      <c r="H11" t="s">
        <v>15</v>
      </c>
      <c r="I11">
        <f t="shared" ref="I11:J11" si="14">D44</f>
        <v>1527.0349634009897</v>
      </c>
      <c r="J11">
        <f t="shared" si="14"/>
        <v>48.242031478037404</v>
      </c>
      <c r="K11">
        <f t="shared" ref="K11:L11" si="15">D47</f>
        <v>1327.014081390656</v>
      </c>
      <c r="L11">
        <f t="shared" si="15"/>
        <v>310.31682188526287</v>
      </c>
      <c r="M11">
        <v>0.66252058354005705</v>
      </c>
      <c r="N11" t="s">
        <v>18</v>
      </c>
      <c r="P11" t="s">
        <v>30</v>
      </c>
      <c r="Q11">
        <v>3</v>
      </c>
      <c r="R11">
        <v>3</v>
      </c>
      <c r="S11">
        <v>1542.4528301886801</v>
      </c>
      <c r="T11">
        <v>1130.4347826087001</v>
      </c>
      <c r="U11">
        <v>0.66252058354005705</v>
      </c>
      <c r="V11" t="s">
        <v>35</v>
      </c>
      <c r="W11" t="s">
        <v>18</v>
      </c>
    </row>
    <row r="12" spans="1:23" x14ac:dyDescent="0.45">
      <c r="A12">
        <v>2</v>
      </c>
      <c r="B12" t="s">
        <v>4</v>
      </c>
      <c r="C12">
        <v>1868.8524590163934</v>
      </c>
    </row>
    <row r="13" spans="1:23" x14ac:dyDescent="0.45">
      <c r="A13">
        <v>2</v>
      </c>
      <c r="B13" t="s">
        <v>4</v>
      </c>
      <c r="C13">
        <v>2157.1428571428569</v>
      </c>
    </row>
    <row r="14" spans="1:23" x14ac:dyDescent="0.45">
      <c r="A14">
        <v>3</v>
      </c>
      <c r="B14" t="s">
        <v>3</v>
      </c>
      <c r="C14">
        <v>1903.5532994923858</v>
      </c>
      <c r="D14">
        <f>AVERAGE(C14:C16)</f>
        <v>1327.5343812430488</v>
      </c>
      <c r="E14">
        <f>_xlfn.STDEV.S(C14:C16)/SQRT(3)</f>
        <v>288.01211357948273</v>
      </c>
    </row>
    <row r="15" spans="1:23" x14ac:dyDescent="0.45">
      <c r="A15">
        <v>3</v>
      </c>
      <c r="B15" t="s">
        <v>3</v>
      </c>
      <c r="C15">
        <v>1037.3831775700937</v>
      </c>
    </row>
    <row r="16" spans="1:23" x14ac:dyDescent="0.45">
      <c r="A16">
        <v>3</v>
      </c>
      <c r="B16" t="s">
        <v>3</v>
      </c>
      <c r="C16">
        <v>1041.6666666666665</v>
      </c>
    </row>
    <row r="17" spans="1:5" x14ac:dyDescent="0.45">
      <c r="A17">
        <v>3</v>
      </c>
      <c r="B17" t="s">
        <v>4</v>
      </c>
      <c r="C17">
        <v>1757.5757575757575</v>
      </c>
      <c r="D17">
        <f>AVERAGE(C17:C19)</f>
        <v>1870.9311985038614</v>
      </c>
      <c r="E17">
        <f>_xlfn.STDEV.S(C17:C19)/SQRT(3)</f>
        <v>155.87078837793121</v>
      </c>
    </row>
    <row r="18" spans="1:5" x14ac:dyDescent="0.45">
      <c r="A18">
        <v>3</v>
      </c>
      <c r="B18" t="s">
        <v>4</v>
      </c>
      <c r="C18">
        <v>2179.1044776119402</v>
      </c>
    </row>
    <row r="19" spans="1:5" x14ac:dyDescent="0.45">
      <c r="A19">
        <v>3</v>
      </c>
      <c r="B19" t="s">
        <v>4</v>
      </c>
      <c r="C19">
        <v>1676.1133603238866</v>
      </c>
    </row>
    <row r="20" spans="1:5" x14ac:dyDescent="0.45">
      <c r="A20">
        <v>4</v>
      </c>
      <c r="B20" t="s">
        <v>3</v>
      </c>
      <c r="C20">
        <v>991.18942731277536</v>
      </c>
      <c r="D20">
        <f>AVERAGE(C20:C22)</f>
        <v>1582.8860860587004</v>
      </c>
      <c r="E20">
        <f>_xlfn.STDEV.S(C20:C22)/SQRT(3)</f>
        <v>317.42619247621195</v>
      </c>
    </row>
    <row r="21" spans="1:5" x14ac:dyDescent="0.45">
      <c r="A21">
        <v>4</v>
      </c>
      <c r="B21" t="s">
        <v>3</v>
      </c>
      <c r="C21">
        <v>2077.9816513761466</v>
      </c>
    </row>
    <row r="22" spans="1:5" x14ac:dyDescent="0.45">
      <c r="A22">
        <v>4</v>
      </c>
      <c r="B22" t="s">
        <v>3</v>
      </c>
      <c r="C22">
        <v>1679.4871794871794</v>
      </c>
    </row>
    <row r="23" spans="1:5" x14ac:dyDescent="0.45">
      <c r="A23">
        <v>4</v>
      </c>
      <c r="B23" t="s">
        <v>4</v>
      </c>
      <c r="C23">
        <v>1420.289855072464</v>
      </c>
      <c r="D23">
        <f>AVERAGE(C23:C25)</f>
        <v>2356.3303845912546</v>
      </c>
      <c r="E23">
        <f>_xlfn.STDEV.S(C23:C25)/SQRT(3)</f>
        <v>602.1313366350771</v>
      </c>
    </row>
    <row r="24" spans="1:5" x14ac:dyDescent="0.45">
      <c r="A24">
        <v>4</v>
      </c>
      <c r="B24" t="s">
        <v>4</v>
      </c>
      <c r="C24">
        <v>2168.1818181818185</v>
      </c>
    </row>
    <row r="25" spans="1:5" x14ac:dyDescent="0.45">
      <c r="A25">
        <v>4</v>
      </c>
      <c r="B25" t="s">
        <v>4</v>
      </c>
      <c r="C25">
        <v>3480.519480519481</v>
      </c>
    </row>
    <row r="26" spans="1:5" x14ac:dyDescent="0.45">
      <c r="A26">
        <v>5</v>
      </c>
      <c r="B26" t="s">
        <v>3</v>
      </c>
      <c r="C26">
        <v>1782.8571428571427</v>
      </c>
      <c r="D26">
        <f>AVERAGE(C26:C28)</f>
        <v>2511.3566173498261</v>
      </c>
      <c r="E26">
        <f>_xlfn.STDEV.S(C26:C28)/SQRT(3)</f>
        <v>666.9581167230499</v>
      </c>
    </row>
    <row r="27" spans="1:5" x14ac:dyDescent="0.45">
      <c r="A27">
        <v>5</v>
      </c>
      <c r="B27" t="s">
        <v>3</v>
      </c>
      <c r="C27">
        <v>3843.3179723502303</v>
      </c>
    </row>
    <row r="28" spans="1:5" x14ac:dyDescent="0.45">
      <c r="A28">
        <v>5</v>
      </c>
      <c r="B28" t="s">
        <v>3</v>
      </c>
      <c r="C28">
        <v>1907.894736842105</v>
      </c>
    </row>
    <row r="29" spans="1:5" x14ac:dyDescent="0.45">
      <c r="A29">
        <v>5</v>
      </c>
      <c r="B29" t="s">
        <v>4</v>
      </c>
      <c r="C29">
        <v>2073.8255033557052</v>
      </c>
      <c r="D29">
        <f>AVERAGE(C29:C31)</f>
        <v>3390.7966988857138</v>
      </c>
      <c r="E29">
        <f>_xlfn.STDEV.S(C29:C31)/SQRT(3)</f>
        <v>660.42323991918317</v>
      </c>
    </row>
    <row r="30" spans="1:5" x14ac:dyDescent="0.45">
      <c r="A30">
        <v>5</v>
      </c>
      <c r="B30" t="s">
        <v>4</v>
      </c>
      <c r="C30">
        <v>4136.8421052631584</v>
      </c>
    </row>
    <row r="31" spans="1:5" x14ac:dyDescent="0.45">
      <c r="A31">
        <v>5</v>
      </c>
      <c r="B31" t="s">
        <v>4</v>
      </c>
      <c r="C31">
        <v>3961.7224880382782</v>
      </c>
    </row>
    <row r="32" spans="1:5" x14ac:dyDescent="0.45">
      <c r="A32">
        <v>6</v>
      </c>
      <c r="B32" t="s">
        <v>3</v>
      </c>
      <c r="C32">
        <v>1613.2075471698113</v>
      </c>
      <c r="D32">
        <f>AVERAGE(C32:C34)</f>
        <v>1849.8230891707497</v>
      </c>
      <c r="E32">
        <f>_xlfn.STDEV.S(C32:C34)/SQRT(3)</f>
        <v>245.54552978222389</v>
      </c>
    </row>
    <row r="33" spans="1:5" x14ac:dyDescent="0.45">
      <c r="A33">
        <v>6</v>
      </c>
      <c r="B33" t="s">
        <v>3</v>
      </c>
      <c r="C33">
        <v>1595.4545454545455</v>
      </c>
    </row>
    <row r="34" spans="1:5" x14ac:dyDescent="0.45">
      <c r="A34">
        <v>6</v>
      </c>
      <c r="B34" t="s">
        <v>3</v>
      </c>
      <c r="C34">
        <v>2340.807174887892</v>
      </c>
    </row>
    <row r="35" spans="1:5" x14ac:dyDescent="0.45">
      <c r="A35">
        <v>6</v>
      </c>
      <c r="B35" t="s">
        <v>4</v>
      </c>
      <c r="C35">
        <v>1492.6108374384237</v>
      </c>
      <c r="D35">
        <f>AVERAGE(C35:C37)</f>
        <v>2654.1091107612615</v>
      </c>
      <c r="E35">
        <f>_xlfn.STDEV.S(C35:C37)/SQRT(3)</f>
        <v>610.78031981798722</v>
      </c>
    </row>
    <row r="36" spans="1:5" x14ac:dyDescent="0.45">
      <c r="A36">
        <v>6</v>
      </c>
      <c r="B36" t="s">
        <v>4</v>
      </c>
      <c r="C36">
        <v>3562.5</v>
      </c>
    </row>
    <row r="37" spans="1:5" x14ac:dyDescent="0.45">
      <c r="A37">
        <v>6</v>
      </c>
      <c r="B37" t="s">
        <v>4</v>
      </c>
      <c r="C37">
        <v>2907.216494845361</v>
      </c>
    </row>
    <row r="38" spans="1:5" x14ac:dyDescent="0.45">
      <c r="A38">
        <v>7</v>
      </c>
      <c r="B38" t="s">
        <v>3</v>
      </c>
      <c r="C38">
        <v>1425.7425742574255</v>
      </c>
      <c r="D38">
        <f>AVERAGE(C38:C40)</f>
        <v>2166.7942116262652</v>
      </c>
      <c r="E38">
        <f>_xlfn.STDEV.S(C38:C40)/SQRT(3)</f>
        <v>531.05939642270812</v>
      </c>
    </row>
    <row r="39" spans="1:5" x14ac:dyDescent="0.45">
      <c r="A39">
        <v>7</v>
      </c>
      <c r="B39" t="s">
        <v>3</v>
      </c>
      <c r="C39">
        <v>1878.3783783783783</v>
      </c>
    </row>
    <row r="40" spans="1:5" x14ac:dyDescent="0.45">
      <c r="A40">
        <v>7</v>
      </c>
      <c r="B40" t="s">
        <v>3</v>
      </c>
      <c r="C40">
        <v>3196.2616822429909</v>
      </c>
    </row>
    <row r="41" spans="1:5" x14ac:dyDescent="0.45">
      <c r="A41">
        <v>7</v>
      </c>
      <c r="B41" t="s">
        <v>4</v>
      </c>
      <c r="C41">
        <v>2381.1659192825109</v>
      </c>
      <c r="D41">
        <f>AVERAGE(C41:C43)</f>
        <v>1947.4652886021915</v>
      </c>
      <c r="E41">
        <f>_xlfn.STDEV.S(C41:C43)/SQRT(3)</f>
        <v>277.099079973524</v>
      </c>
    </row>
    <row r="42" spans="1:5" x14ac:dyDescent="0.45">
      <c r="A42">
        <v>7</v>
      </c>
      <c r="B42" t="s">
        <v>4</v>
      </c>
      <c r="C42">
        <v>2029.411764705882</v>
      </c>
    </row>
    <row r="43" spans="1:5" x14ac:dyDescent="0.45">
      <c r="A43">
        <v>7</v>
      </c>
      <c r="B43" t="s">
        <v>4</v>
      </c>
      <c r="C43">
        <v>1431.818181818182</v>
      </c>
    </row>
    <row r="44" spans="1:5" x14ac:dyDescent="0.45">
      <c r="A44">
        <v>8</v>
      </c>
      <c r="B44" t="s">
        <v>3</v>
      </c>
      <c r="C44">
        <v>1542.4528301886794</v>
      </c>
      <c r="D44">
        <f>AVERAGE(C44:C46)</f>
        <v>1527.0349634009897</v>
      </c>
      <c r="E44">
        <f>_xlfn.STDEV.S(C44:C46)/SQRT(3)</f>
        <v>48.242031478037404</v>
      </c>
    </row>
    <row r="45" spans="1:5" x14ac:dyDescent="0.45">
      <c r="A45">
        <v>8</v>
      </c>
      <c r="B45" t="s">
        <v>3</v>
      </c>
      <c r="C45">
        <v>1436.8421052631579</v>
      </c>
    </row>
    <row r="46" spans="1:5" x14ac:dyDescent="0.45">
      <c r="A46">
        <v>8</v>
      </c>
      <c r="B46" t="s">
        <v>3</v>
      </c>
      <c r="C46">
        <v>1601.809954751131</v>
      </c>
    </row>
    <row r="47" spans="1:5" x14ac:dyDescent="0.45">
      <c r="A47">
        <v>8</v>
      </c>
      <c r="B47" t="s">
        <v>4</v>
      </c>
      <c r="C47">
        <v>1130.4347826086957</v>
      </c>
      <c r="D47">
        <f>AVERAGE(C47:C49)</f>
        <v>1327.014081390656</v>
      </c>
      <c r="E47">
        <f>_xlfn.STDEV.S(C47:C49)/SQRT(3)</f>
        <v>310.31682188526287</v>
      </c>
    </row>
    <row r="48" spans="1:5" x14ac:dyDescent="0.45">
      <c r="A48">
        <v>8</v>
      </c>
      <c r="B48" t="s">
        <v>4</v>
      </c>
      <c r="C48">
        <v>915.49295774647885</v>
      </c>
    </row>
    <row r="49" spans="1:3" x14ac:dyDescent="0.45">
      <c r="A49">
        <v>8</v>
      </c>
      <c r="B49" t="s">
        <v>4</v>
      </c>
      <c r="C49">
        <v>1935.1145038167933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461-36C3-4676-999B-E956347DA356}">
  <dimension ref="A1:X49"/>
  <sheetViews>
    <sheetView tabSelected="1" topLeftCell="C7" zoomScaleNormal="70" workbookViewId="0">
      <selection activeCell="O25" sqref="O25"/>
    </sheetView>
  </sheetViews>
  <sheetFormatPr baseColWidth="10" defaultRowHeight="14.25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24" x14ac:dyDescent="0.45">
      <c r="A2">
        <v>1</v>
      </c>
      <c r="B2" t="s">
        <v>3</v>
      </c>
      <c r="C2">
        <v>145.83333333333331</v>
      </c>
      <c r="D2">
        <f>AVERAGE(C2:C4)</f>
        <v>134.375</v>
      </c>
      <c r="E2">
        <f>_xlfn.STDEV.S(C2:C4)/SQRT(3)</f>
        <v>8.9809146919288629</v>
      </c>
    </row>
    <row r="3" spans="1:24" x14ac:dyDescent="0.45">
      <c r="A3">
        <v>1</v>
      </c>
      <c r="B3" t="s">
        <v>3</v>
      </c>
      <c r="C3">
        <v>116.66666666666666</v>
      </c>
      <c r="I3" t="s">
        <v>3</v>
      </c>
      <c r="J3" t="s">
        <v>7</v>
      </c>
      <c r="K3" t="s">
        <v>4</v>
      </c>
      <c r="L3" t="s">
        <v>7</v>
      </c>
      <c r="M3" t="s">
        <v>16</v>
      </c>
      <c r="N3" t="s">
        <v>17</v>
      </c>
      <c r="Q3" t="s">
        <v>31</v>
      </c>
      <c r="R3" t="s">
        <v>20</v>
      </c>
      <c r="S3" t="s">
        <v>21</v>
      </c>
      <c r="T3" t="s">
        <v>32</v>
      </c>
      <c r="U3" t="s">
        <v>33</v>
      </c>
      <c r="V3" t="s">
        <v>16</v>
      </c>
      <c r="W3" t="s">
        <v>22</v>
      </c>
      <c r="X3" t="s">
        <v>34</v>
      </c>
    </row>
    <row r="4" spans="1:24" x14ac:dyDescent="0.45">
      <c r="A4">
        <v>1</v>
      </c>
      <c r="B4" t="s">
        <v>3</v>
      </c>
      <c r="C4">
        <v>140.625</v>
      </c>
      <c r="H4" t="s">
        <v>8</v>
      </c>
      <c r="I4">
        <v>134.375</v>
      </c>
      <c r="J4">
        <v>8.9809146919288629</v>
      </c>
      <c r="K4">
        <f t="shared" ref="K4:L4" si="0">D5</f>
        <v>159.88436067814843</v>
      </c>
      <c r="L4">
        <f t="shared" si="0"/>
        <v>14.389944704087011</v>
      </c>
      <c r="M4">
        <v>0.190430263825524</v>
      </c>
      <c r="N4" t="s">
        <v>18</v>
      </c>
      <c r="Q4" t="s">
        <v>23</v>
      </c>
      <c r="R4">
        <v>3</v>
      </c>
      <c r="S4">
        <v>3</v>
      </c>
      <c r="T4">
        <v>140.625</v>
      </c>
      <c r="U4">
        <v>147.54098360655701</v>
      </c>
      <c r="V4">
        <v>0.190430263825524</v>
      </c>
      <c r="W4" t="s">
        <v>35</v>
      </c>
      <c r="X4" t="s">
        <v>18</v>
      </c>
    </row>
    <row r="5" spans="1:24" x14ac:dyDescent="0.45">
      <c r="A5">
        <v>1</v>
      </c>
      <c r="B5" t="s">
        <v>4</v>
      </c>
      <c r="C5">
        <v>143.54066985645935</v>
      </c>
      <c r="D5">
        <f>AVERAGE(C5:C7)</f>
        <v>159.88436067814843</v>
      </c>
      <c r="E5">
        <f>_xlfn.STDEV.S(C5:C7)/SQRT(3)</f>
        <v>14.389944704087011</v>
      </c>
      <c r="H5" t="s">
        <v>9</v>
      </c>
      <c r="I5">
        <v>109.00129418789174</v>
      </c>
      <c r="J5">
        <v>11.111487382814877</v>
      </c>
      <c r="K5">
        <f t="shared" ref="K5:L5" si="1">D11</f>
        <v>141.91215744278728</v>
      </c>
      <c r="L5">
        <f t="shared" si="1"/>
        <v>3.5541449998554766</v>
      </c>
      <c r="M5">
        <v>8.0855598370052295E-2</v>
      </c>
      <c r="N5" t="s">
        <v>18</v>
      </c>
      <c r="Q5" t="s">
        <v>24</v>
      </c>
      <c r="R5">
        <v>3</v>
      </c>
      <c r="S5">
        <v>3</v>
      </c>
      <c r="T5">
        <v>99.526066350710906</v>
      </c>
      <c r="U5">
        <v>142.857142857143</v>
      </c>
      <c r="V5">
        <v>8.0855598370052295E-2</v>
      </c>
      <c r="W5" t="s">
        <v>35</v>
      </c>
      <c r="X5" t="s">
        <v>18</v>
      </c>
    </row>
    <row r="6" spans="1:24" x14ac:dyDescent="0.45">
      <c r="A6">
        <v>1</v>
      </c>
      <c r="B6" t="s">
        <v>4</v>
      </c>
      <c r="C6">
        <v>188.57142857142858</v>
      </c>
      <c r="H6" t="s">
        <v>10</v>
      </c>
      <c r="I6">
        <v>129.00477568512107</v>
      </c>
      <c r="J6">
        <v>5.6655839537253048</v>
      </c>
      <c r="K6">
        <f t="shared" ref="K6:L6" si="2">D17</f>
        <v>172.78837074595126</v>
      </c>
      <c r="L6">
        <f t="shared" si="2"/>
        <v>18.176960934869008</v>
      </c>
      <c r="M6">
        <v>8.0855598370052295E-2</v>
      </c>
      <c r="N6" t="s">
        <v>18</v>
      </c>
      <c r="Q6" t="s">
        <v>25</v>
      </c>
      <c r="R6">
        <v>3</v>
      </c>
      <c r="S6">
        <v>3</v>
      </c>
      <c r="T6">
        <v>125</v>
      </c>
      <c r="U6">
        <v>157.894736842105</v>
      </c>
      <c r="V6">
        <v>8.0855598370052295E-2</v>
      </c>
      <c r="W6" t="s">
        <v>35</v>
      </c>
      <c r="X6" t="s">
        <v>18</v>
      </c>
    </row>
    <row r="7" spans="1:24" x14ac:dyDescent="0.45">
      <c r="A7">
        <v>1</v>
      </c>
      <c r="B7" t="s">
        <v>4</v>
      </c>
      <c r="C7">
        <v>147.54098360655735</v>
      </c>
      <c r="H7" t="s">
        <v>11</v>
      </c>
      <c r="I7">
        <v>145.7936303145049</v>
      </c>
      <c r="J7">
        <v>6.8547056997919924</v>
      </c>
      <c r="K7">
        <f t="shared" ref="K7:L7" si="3">D23</f>
        <v>154.94071146245059</v>
      </c>
      <c r="L7">
        <f t="shared" si="3"/>
        <v>23.038200784605447</v>
      </c>
      <c r="M7">
        <v>0.66252058354005705</v>
      </c>
      <c r="N7" t="s">
        <v>18</v>
      </c>
      <c r="Q7" t="s">
        <v>26</v>
      </c>
      <c r="R7">
        <v>3</v>
      </c>
      <c r="S7">
        <v>3</v>
      </c>
      <c r="T7">
        <v>151.37614678899101</v>
      </c>
      <c r="U7">
        <v>173.91304347826099</v>
      </c>
      <c r="V7">
        <v>0.66252058354005705</v>
      </c>
      <c r="W7" t="s">
        <v>35</v>
      </c>
      <c r="X7" t="s">
        <v>18</v>
      </c>
    </row>
    <row r="8" spans="1:24" x14ac:dyDescent="0.45">
      <c r="A8">
        <v>2</v>
      </c>
      <c r="B8" t="s">
        <v>3</v>
      </c>
      <c r="C8">
        <v>131.14754098360658</v>
      </c>
      <c r="D8">
        <f>AVERAGE(C8:C10)</f>
        <v>109.00129418789174</v>
      </c>
      <c r="E8">
        <f>_xlfn.STDEV.S(C8:C10)/SQRT(3)</f>
        <v>11.111487382814877</v>
      </c>
      <c r="H8" t="s">
        <v>12</v>
      </c>
      <c r="I8">
        <v>142.6994906621392</v>
      </c>
      <c r="J8">
        <v>15.462917230427577</v>
      </c>
      <c r="K8">
        <f t="shared" ref="K8:L8" si="4">D29</f>
        <v>152.24302366654891</v>
      </c>
      <c r="L8">
        <f t="shared" si="4"/>
        <v>5.6517131755563437</v>
      </c>
      <c r="M8">
        <v>0.65790501942848201</v>
      </c>
      <c r="N8" t="s">
        <v>18</v>
      </c>
      <c r="Q8" t="s">
        <v>27</v>
      </c>
      <c r="R8">
        <v>3</v>
      </c>
      <c r="S8">
        <v>3</v>
      </c>
      <c r="T8">
        <v>138.24884792626699</v>
      </c>
      <c r="U8">
        <v>157.894736842105</v>
      </c>
      <c r="V8">
        <v>0.65790501942848201</v>
      </c>
      <c r="W8" t="s">
        <v>35</v>
      </c>
      <c r="X8" t="s">
        <v>18</v>
      </c>
    </row>
    <row r="9" spans="1:24" x14ac:dyDescent="0.45">
      <c r="A9">
        <v>2</v>
      </c>
      <c r="B9" t="s">
        <v>3</v>
      </c>
      <c r="C9">
        <v>99.526066350710892</v>
      </c>
      <c r="H9" t="s">
        <v>13</v>
      </c>
      <c r="I9">
        <v>132.983101169919</v>
      </c>
      <c r="J9">
        <v>6.1359578757694448</v>
      </c>
      <c r="K9">
        <f t="shared" ref="K9:L9" si="5">D35</f>
        <v>140.25958877152001</v>
      </c>
      <c r="L9">
        <f t="shared" si="5"/>
        <v>12.200090463373769</v>
      </c>
      <c r="M9">
        <v>1</v>
      </c>
      <c r="N9" t="s">
        <v>18</v>
      </c>
      <c r="Q9" t="s">
        <v>28</v>
      </c>
      <c r="R9">
        <v>3</v>
      </c>
      <c r="S9">
        <v>3</v>
      </c>
      <c r="T9">
        <v>136.363636363636</v>
      </c>
      <c r="U9">
        <v>133.00492610837401</v>
      </c>
      <c r="V9">
        <v>1</v>
      </c>
      <c r="W9" t="s">
        <v>35</v>
      </c>
      <c r="X9" t="s">
        <v>18</v>
      </c>
    </row>
    <row r="10" spans="1:24" x14ac:dyDescent="0.45">
      <c r="A10">
        <v>2</v>
      </c>
      <c r="B10" t="s">
        <v>3</v>
      </c>
      <c r="C10">
        <v>96.330275229357795</v>
      </c>
      <c r="H10" t="s">
        <v>14</v>
      </c>
      <c r="I10">
        <v>136.16007976144923</v>
      </c>
      <c r="J10">
        <v>6.6085185727356048</v>
      </c>
      <c r="K10">
        <f t="shared" ref="K10:L10" si="6">D41</f>
        <v>117.8988513464905</v>
      </c>
      <c r="L10">
        <f t="shared" si="6"/>
        <v>4.4605457951027576</v>
      </c>
      <c r="M10">
        <v>8.0855598370052295E-2</v>
      </c>
      <c r="N10" t="s">
        <v>18</v>
      </c>
      <c r="Q10" t="s">
        <v>29</v>
      </c>
      <c r="R10">
        <v>3</v>
      </c>
      <c r="S10">
        <v>3</v>
      </c>
      <c r="T10">
        <v>133.663366336634</v>
      </c>
      <c r="U10">
        <v>121.076233183856</v>
      </c>
      <c r="V10">
        <v>8.0855598370052295E-2</v>
      </c>
      <c r="W10" t="s">
        <v>35</v>
      </c>
      <c r="X10" t="s">
        <v>18</v>
      </c>
    </row>
    <row r="11" spans="1:24" x14ac:dyDescent="0.45">
      <c r="A11">
        <v>2</v>
      </c>
      <c r="B11" t="s">
        <v>4</v>
      </c>
      <c r="C11">
        <v>135.33834586466165</v>
      </c>
      <c r="D11">
        <f>AVERAGE(C11:C13)</f>
        <v>141.91215744278728</v>
      </c>
      <c r="E11">
        <f>_xlfn.STDEV.S(C11:C13)/SQRT(3)</f>
        <v>3.5541449998554766</v>
      </c>
      <c r="H11" t="s">
        <v>15</v>
      </c>
      <c r="I11">
        <v>125.08998099277905</v>
      </c>
      <c r="J11">
        <v>6.5352697428409687</v>
      </c>
      <c r="K11">
        <f t="shared" ref="K11:L11" si="7">D47</f>
        <v>99.139254155311335</v>
      </c>
      <c r="L11">
        <f t="shared" si="7"/>
        <v>13.42610537373025</v>
      </c>
      <c r="M11">
        <v>0.190430263825524</v>
      </c>
      <c r="N11" t="s">
        <v>18</v>
      </c>
      <c r="Q11" t="s">
        <v>30</v>
      </c>
      <c r="R11">
        <v>3</v>
      </c>
      <c r="S11">
        <v>3</v>
      </c>
      <c r="T11">
        <v>126.31578947368401</v>
      </c>
      <c r="U11">
        <v>86.956521739130395</v>
      </c>
      <c r="V11">
        <v>0.190430263825524</v>
      </c>
      <c r="W11" t="s">
        <v>35</v>
      </c>
      <c r="X11" t="s">
        <v>18</v>
      </c>
    </row>
    <row r="12" spans="1:24" x14ac:dyDescent="0.45">
      <c r="A12">
        <v>2</v>
      </c>
      <c r="B12" t="s">
        <v>4</v>
      </c>
      <c r="C12">
        <v>147.54098360655738</v>
      </c>
    </row>
    <row r="13" spans="1:24" x14ac:dyDescent="0.45">
      <c r="A13">
        <v>2</v>
      </c>
      <c r="B13" t="s">
        <v>4</v>
      </c>
      <c r="C13">
        <v>142.85714285714283</v>
      </c>
    </row>
    <row r="14" spans="1:24" x14ac:dyDescent="0.45">
      <c r="A14">
        <v>3</v>
      </c>
      <c r="B14" t="s">
        <v>3</v>
      </c>
      <c r="C14">
        <v>121.82741116751271</v>
      </c>
      <c r="D14">
        <f>AVERAGE(C14:C16)</f>
        <v>129.00477568512107</v>
      </c>
      <c r="E14">
        <f>_xlfn.STDEV.S(C14:C16)/SQRT(3)</f>
        <v>5.6655839537253048</v>
      </c>
    </row>
    <row r="15" spans="1:24" x14ac:dyDescent="0.45">
      <c r="A15">
        <v>3</v>
      </c>
      <c r="B15" t="s">
        <v>3</v>
      </c>
      <c r="C15">
        <v>140.18691588785049</v>
      </c>
    </row>
    <row r="16" spans="1:24" x14ac:dyDescent="0.45">
      <c r="A16">
        <v>3</v>
      </c>
      <c r="B16" t="s">
        <v>3</v>
      </c>
      <c r="C16">
        <v>125</v>
      </c>
    </row>
    <row r="17" spans="1:5" x14ac:dyDescent="0.45">
      <c r="A17">
        <v>3</v>
      </c>
      <c r="B17" t="s">
        <v>4</v>
      </c>
      <c r="C17">
        <v>151.5151515151515</v>
      </c>
      <c r="D17">
        <f>AVERAGE(C17:C19)</f>
        <v>172.78837074595126</v>
      </c>
      <c r="E17">
        <f>_xlfn.STDEV.S(C17:C19)/SQRT(3)</f>
        <v>18.176960934869008</v>
      </c>
    </row>
    <row r="18" spans="1:5" x14ac:dyDescent="0.45">
      <c r="A18">
        <v>3</v>
      </c>
      <c r="B18" t="s">
        <v>4</v>
      </c>
      <c r="C18">
        <v>208.95522388059703</v>
      </c>
    </row>
    <row r="19" spans="1:5" x14ac:dyDescent="0.45">
      <c r="A19">
        <v>3</v>
      </c>
      <c r="B19" t="s">
        <v>4</v>
      </c>
      <c r="C19">
        <v>157.89473684210526</v>
      </c>
    </row>
    <row r="20" spans="1:5" x14ac:dyDescent="0.45">
      <c r="A20">
        <v>4</v>
      </c>
      <c r="B20" t="s">
        <v>3</v>
      </c>
      <c r="C20">
        <v>132.15859030837004</v>
      </c>
      <c r="D20">
        <f>AVERAGE(C20:C22)</f>
        <v>145.7936303145049</v>
      </c>
      <c r="E20">
        <f>_xlfn.STDEV.S(C20:C22)/SQRT(3)</f>
        <v>6.8547056997919924</v>
      </c>
    </row>
    <row r="21" spans="1:5" x14ac:dyDescent="0.45">
      <c r="A21">
        <v>4</v>
      </c>
      <c r="B21" t="s">
        <v>3</v>
      </c>
      <c r="C21">
        <v>151.37614678899084</v>
      </c>
    </row>
    <row r="22" spans="1:5" x14ac:dyDescent="0.45">
      <c r="A22">
        <v>4</v>
      </c>
      <c r="B22" t="s">
        <v>3</v>
      </c>
      <c r="C22">
        <v>153.84615384615384</v>
      </c>
    </row>
    <row r="23" spans="1:5" x14ac:dyDescent="0.45">
      <c r="A23">
        <v>4</v>
      </c>
      <c r="B23" t="s">
        <v>4</v>
      </c>
      <c r="C23">
        <v>173.91304347826087</v>
      </c>
      <c r="D23">
        <f>AVERAGE(C23:C25)</f>
        <v>154.94071146245059</v>
      </c>
      <c r="E23">
        <f>_xlfn.STDEV.S(C23:C25)/SQRT(3)</f>
        <v>23.038200784605447</v>
      </c>
    </row>
    <row r="24" spans="1:5" x14ac:dyDescent="0.45">
      <c r="A24">
        <v>4</v>
      </c>
      <c r="B24" t="s">
        <v>4</v>
      </c>
      <c r="C24">
        <v>109.09090909090909</v>
      </c>
    </row>
    <row r="25" spans="1:5" x14ac:dyDescent="0.45">
      <c r="A25">
        <v>4</v>
      </c>
      <c r="B25" t="s">
        <v>4</v>
      </c>
      <c r="C25">
        <v>181.81818181818181</v>
      </c>
    </row>
    <row r="26" spans="1:5" x14ac:dyDescent="0.45">
      <c r="A26">
        <v>5</v>
      </c>
      <c r="B26" t="s">
        <v>3</v>
      </c>
      <c r="C26">
        <v>171.42857142857142</v>
      </c>
      <c r="D26">
        <f>AVERAGE(C26:C28)</f>
        <v>142.6994906621392</v>
      </c>
      <c r="E26">
        <f>_xlfn.STDEV.S(C26:C28)/SQRT(3)</f>
        <v>15.462917230427577</v>
      </c>
    </row>
    <row r="27" spans="1:5" x14ac:dyDescent="0.45">
      <c r="A27">
        <v>5</v>
      </c>
      <c r="B27" t="s">
        <v>3</v>
      </c>
      <c r="C27">
        <v>138.24884792626727</v>
      </c>
    </row>
    <row r="28" spans="1:5" x14ac:dyDescent="0.45">
      <c r="A28">
        <v>5</v>
      </c>
      <c r="B28" t="s">
        <v>3</v>
      </c>
      <c r="C28">
        <v>118.42105263157895</v>
      </c>
    </row>
    <row r="29" spans="1:5" x14ac:dyDescent="0.45">
      <c r="A29">
        <v>5</v>
      </c>
      <c r="B29" t="s">
        <v>4</v>
      </c>
      <c r="C29">
        <v>140.93959731543623</v>
      </c>
      <c r="D29">
        <f>AVERAGE(C29:C31)</f>
        <v>152.24302366654891</v>
      </c>
      <c r="E29">
        <f>_xlfn.STDEV.S(C29:C31)/SQRT(3)</f>
        <v>5.6517131755563437</v>
      </c>
    </row>
    <row r="30" spans="1:5" x14ac:dyDescent="0.45">
      <c r="A30">
        <v>5</v>
      </c>
      <c r="B30" t="s">
        <v>4</v>
      </c>
      <c r="C30">
        <v>157.89473684210526</v>
      </c>
    </row>
    <row r="31" spans="1:5" x14ac:dyDescent="0.45">
      <c r="A31">
        <v>5</v>
      </c>
      <c r="B31" t="s">
        <v>4</v>
      </c>
      <c r="C31">
        <v>157.89473684210526</v>
      </c>
    </row>
    <row r="32" spans="1:5" x14ac:dyDescent="0.45">
      <c r="A32">
        <v>6</v>
      </c>
      <c r="B32" t="s">
        <v>3</v>
      </c>
      <c r="C32">
        <v>141.50943396226415</v>
      </c>
      <c r="D32">
        <f>AVERAGE(C32:C34)</f>
        <v>132.983101169919</v>
      </c>
      <c r="E32">
        <f>_xlfn.STDEV.S(C32:C34)/SQRT(3)</f>
        <v>6.1359578757694448</v>
      </c>
    </row>
    <row r="33" spans="1:5" x14ac:dyDescent="0.45">
      <c r="A33">
        <v>6</v>
      </c>
      <c r="B33" t="s">
        <v>3</v>
      </c>
      <c r="C33">
        <v>136.36363636363637</v>
      </c>
    </row>
    <row r="34" spans="1:5" x14ac:dyDescent="0.45">
      <c r="A34">
        <v>6</v>
      </c>
      <c r="B34" t="s">
        <v>3</v>
      </c>
      <c r="C34">
        <v>121.07623318385649</v>
      </c>
    </row>
    <row r="35" spans="1:5" x14ac:dyDescent="0.45">
      <c r="A35">
        <v>6</v>
      </c>
      <c r="B35" t="s">
        <v>4</v>
      </c>
      <c r="C35">
        <v>133.00492610837441</v>
      </c>
      <c r="D35">
        <f>AVERAGE(C35:C37)</f>
        <v>140.25958877152001</v>
      </c>
      <c r="E35">
        <f>_xlfn.STDEV.S(C35:C37)/SQRT(3)</f>
        <v>12.200090463373769</v>
      </c>
    </row>
    <row r="36" spans="1:5" x14ac:dyDescent="0.45">
      <c r="A36">
        <v>6</v>
      </c>
      <c r="B36" t="s">
        <v>4</v>
      </c>
      <c r="C36">
        <v>164.0625</v>
      </c>
    </row>
    <row r="37" spans="1:5" x14ac:dyDescent="0.45">
      <c r="A37">
        <v>6</v>
      </c>
      <c r="B37" t="s">
        <v>4</v>
      </c>
      <c r="C37">
        <v>123.71134020618558</v>
      </c>
    </row>
    <row r="38" spans="1:5" x14ac:dyDescent="0.45">
      <c r="A38">
        <v>7</v>
      </c>
      <c r="B38" t="s">
        <v>3</v>
      </c>
      <c r="C38">
        <v>133.66336633663366</v>
      </c>
      <c r="D38">
        <f>AVERAGE(C38:C40)</f>
        <v>136.16007976144923</v>
      </c>
      <c r="E38">
        <f>_xlfn.STDEV.S(C38:C40)/SQRT(3)</f>
        <v>6.6085185727356048</v>
      </c>
    </row>
    <row r="39" spans="1:5" x14ac:dyDescent="0.45">
      <c r="A39">
        <v>7</v>
      </c>
      <c r="B39" t="s">
        <v>3</v>
      </c>
      <c r="C39">
        <v>148.64864864864865</v>
      </c>
    </row>
    <row r="40" spans="1:5" x14ac:dyDescent="0.45">
      <c r="A40">
        <v>7</v>
      </c>
      <c r="B40" t="s">
        <v>3</v>
      </c>
      <c r="C40">
        <v>126.16822429906543</v>
      </c>
    </row>
    <row r="41" spans="1:5" x14ac:dyDescent="0.45">
      <c r="A41">
        <v>7</v>
      </c>
      <c r="B41" t="s">
        <v>4</v>
      </c>
      <c r="C41">
        <v>121.07623318385649</v>
      </c>
      <c r="D41">
        <f>AVERAGE(C41:C43)</f>
        <v>117.8988513464905</v>
      </c>
      <c r="E41">
        <f>_xlfn.STDEV.S(C41:C43)/SQRT(3)</f>
        <v>4.4605457951027576</v>
      </c>
    </row>
    <row r="42" spans="1:5" x14ac:dyDescent="0.45">
      <c r="A42">
        <v>7</v>
      </c>
      <c r="B42" t="s">
        <v>4</v>
      </c>
      <c r="C42">
        <v>123.52941176470587</v>
      </c>
    </row>
    <row r="43" spans="1:5" x14ac:dyDescent="0.45">
      <c r="A43">
        <v>7</v>
      </c>
      <c r="B43" t="s">
        <v>4</v>
      </c>
      <c r="C43">
        <v>109.09090909090909</v>
      </c>
    </row>
    <row r="44" spans="1:5" x14ac:dyDescent="0.45">
      <c r="A44">
        <v>8</v>
      </c>
      <c r="B44" t="s">
        <v>3</v>
      </c>
      <c r="C44">
        <v>113.20754716981133</v>
      </c>
      <c r="D44">
        <f>AVERAGE(C44:C46)</f>
        <v>125.08998099277905</v>
      </c>
      <c r="E44">
        <f>_xlfn.STDEV.S(C44:C46)/SQRT(3)</f>
        <v>6.5352697428409687</v>
      </c>
    </row>
    <row r="45" spans="1:5" x14ac:dyDescent="0.45">
      <c r="A45">
        <v>8</v>
      </c>
      <c r="B45" t="s">
        <v>3</v>
      </c>
      <c r="C45">
        <v>126.31578947368422</v>
      </c>
    </row>
    <row r="46" spans="1:5" x14ac:dyDescent="0.45">
      <c r="A46">
        <v>8</v>
      </c>
      <c r="B46" t="s">
        <v>3</v>
      </c>
      <c r="C46">
        <v>135.7466063348416</v>
      </c>
    </row>
    <row r="47" spans="1:5" x14ac:dyDescent="0.45">
      <c r="A47">
        <v>8</v>
      </c>
      <c r="B47" t="s">
        <v>4</v>
      </c>
      <c r="C47">
        <v>86.956521739130437</v>
      </c>
      <c r="D47">
        <f>AVERAGE(C47:C49)</f>
        <v>99.139254155311335</v>
      </c>
      <c r="E47">
        <f>_xlfn.STDEV.S(C47:C49)/SQRT(3)</f>
        <v>13.42610537373025</v>
      </c>
    </row>
    <row r="48" spans="1:5" x14ac:dyDescent="0.45">
      <c r="A48">
        <v>8</v>
      </c>
      <c r="B48" t="s">
        <v>4</v>
      </c>
      <c r="C48">
        <v>84.507042253521121</v>
      </c>
    </row>
    <row r="49" spans="1:3" x14ac:dyDescent="0.45">
      <c r="A49">
        <v>8</v>
      </c>
      <c r="B49" t="s">
        <v>4</v>
      </c>
      <c r="C49">
        <v>125.95419847328245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52C3-45A0-4087-A4DA-565E24E24EAE}">
  <dimension ref="A1:X49"/>
  <sheetViews>
    <sheetView topLeftCell="F13" workbookViewId="0">
      <selection activeCell="J35" sqref="J35"/>
    </sheetView>
  </sheetViews>
  <sheetFormatPr baseColWidth="10" defaultRowHeight="14.25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  <c r="M1" t="s">
        <v>19</v>
      </c>
    </row>
    <row r="2" spans="1:24" x14ac:dyDescent="0.45">
      <c r="A2">
        <v>1</v>
      </c>
      <c r="B2" t="s">
        <v>3</v>
      </c>
      <c r="C2">
        <v>1083.3333333333335</v>
      </c>
      <c r="D2">
        <f>AVERAGE(C2:C4)</f>
        <v>1151.3888888888889</v>
      </c>
      <c r="E2">
        <f>_xlfn.STDEV.S(C2:C4)/SQRT(3)</f>
        <v>147.12391896243153</v>
      </c>
    </row>
    <row r="3" spans="1:24" x14ac:dyDescent="0.45">
      <c r="A3">
        <v>1</v>
      </c>
      <c r="B3" t="s">
        <v>3</v>
      </c>
      <c r="C3">
        <v>1433.3333333333333</v>
      </c>
      <c r="J3" t="s">
        <v>3</v>
      </c>
      <c r="K3" t="s">
        <v>7</v>
      </c>
      <c r="L3" t="s">
        <v>4</v>
      </c>
      <c r="M3" t="s">
        <v>7</v>
      </c>
      <c r="N3" t="s">
        <v>16</v>
      </c>
      <c r="O3" t="s">
        <v>17</v>
      </c>
      <c r="Q3" t="s">
        <v>31</v>
      </c>
      <c r="R3" t="s">
        <v>20</v>
      </c>
      <c r="S3" t="s">
        <v>21</v>
      </c>
      <c r="T3" t="s">
        <v>32</v>
      </c>
      <c r="U3" t="s">
        <v>33</v>
      </c>
      <c r="V3" t="s">
        <v>16</v>
      </c>
      <c r="W3" t="s">
        <v>22</v>
      </c>
      <c r="X3" t="s">
        <v>34</v>
      </c>
    </row>
    <row r="4" spans="1:24" x14ac:dyDescent="0.45">
      <c r="A4">
        <v>1</v>
      </c>
      <c r="B4" t="s">
        <v>3</v>
      </c>
      <c r="C4">
        <v>937.5</v>
      </c>
      <c r="I4" t="s">
        <v>8</v>
      </c>
      <c r="J4">
        <v>1151.3888888888889</v>
      </c>
      <c r="K4">
        <v>147.12391896243153</v>
      </c>
      <c r="L4">
        <v>770.90012662057518</v>
      </c>
      <c r="M4">
        <v>117.24624826978355</v>
      </c>
      <c r="N4">
        <v>0.190430263825524</v>
      </c>
      <c r="O4" t="s">
        <v>18</v>
      </c>
      <c r="Q4" t="s">
        <v>23</v>
      </c>
      <c r="R4">
        <v>3</v>
      </c>
      <c r="S4">
        <v>3</v>
      </c>
      <c r="T4">
        <v>1083.3333333333301</v>
      </c>
      <c r="U4">
        <v>668.57142857142799</v>
      </c>
      <c r="V4">
        <v>0.190430263825524</v>
      </c>
      <c r="W4" t="s">
        <v>35</v>
      </c>
      <c r="X4" t="s">
        <v>18</v>
      </c>
    </row>
    <row r="5" spans="1:24" x14ac:dyDescent="0.45">
      <c r="A5">
        <v>1</v>
      </c>
      <c r="B5" t="s">
        <v>4</v>
      </c>
      <c r="C5">
        <v>1004.7846889952154</v>
      </c>
      <c r="D5">
        <f>AVERAGE(C5:C7)</f>
        <v>770.90012662057518</v>
      </c>
      <c r="E5">
        <f>_xlfn.STDEV.S(C5:C7)/SQRT(3)</f>
        <v>117.24624826978355</v>
      </c>
      <c r="I5" t="s">
        <v>9</v>
      </c>
      <c r="J5">
        <v>1121.7646193692908</v>
      </c>
      <c r="K5">
        <v>263.21622231133176</v>
      </c>
      <c r="L5">
        <v>952.99724721640177</v>
      </c>
      <c r="M5">
        <v>209.8315168425305</v>
      </c>
      <c r="N5">
        <v>0.66252058354005705</v>
      </c>
      <c r="O5" t="s">
        <v>18</v>
      </c>
      <c r="Q5" t="s">
        <v>24</v>
      </c>
      <c r="R5">
        <v>3</v>
      </c>
      <c r="S5">
        <v>3</v>
      </c>
      <c r="T5">
        <v>1196.7213114754099</v>
      </c>
      <c r="U5">
        <v>992.48120300751896</v>
      </c>
      <c r="V5">
        <v>0.66252058354005705</v>
      </c>
      <c r="W5" t="s">
        <v>35</v>
      </c>
      <c r="X5" t="s">
        <v>18</v>
      </c>
    </row>
    <row r="6" spans="1:24" x14ac:dyDescent="0.45">
      <c r="A6">
        <v>1</v>
      </c>
      <c r="B6" t="s">
        <v>4</v>
      </c>
      <c r="C6">
        <v>668.57142857142844</v>
      </c>
      <c r="I6" t="s">
        <v>10</v>
      </c>
      <c r="J6">
        <v>1068.7082369147458</v>
      </c>
      <c r="K6">
        <v>78.806586122529325</v>
      </c>
      <c r="L6">
        <v>1002.6963086664579</v>
      </c>
      <c r="M6">
        <v>192.2831040954292</v>
      </c>
      <c r="N6">
        <v>0.66252058354005705</v>
      </c>
      <c r="O6" t="s">
        <v>18</v>
      </c>
      <c r="Q6" t="s">
        <v>25</v>
      </c>
      <c r="R6">
        <v>3</v>
      </c>
      <c r="S6">
        <v>3</v>
      </c>
      <c r="T6">
        <v>1142.1319796954299</v>
      </c>
      <c r="U6">
        <v>850.74626865671598</v>
      </c>
      <c r="V6">
        <v>0.66252058354005705</v>
      </c>
      <c r="W6" t="s">
        <v>35</v>
      </c>
      <c r="X6" t="s">
        <v>18</v>
      </c>
    </row>
    <row r="7" spans="1:24" x14ac:dyDescent="0.45">
      <c r="A7">
        <v>1</v>
      </c>
      <c r="B7" t="s">
        <v>4</v>
      </c>
      <c r="C7">
        <v>639.34426229508188</v>
      </c>
      <c r="I7" t="s">
        <v>11</v>
      </c>
      <c r="J7">
        <v>1111.6864270685553</v>
      </c>
      <c r="K7">
        <v>227.09893516308946</v>
      </c>
      <c r="L7">
        <v>1156.0135516657258</v>
      </c>
      <c r="M7">
        <v>41.119450522194199</v>
      </c>
      <c r="N7">
        <v>0.66252058354005705</v>
      </c>
      <c r="O7" t="s">
        <v>18</v>
      </c>
      <c r="Q7" t="s">
        <v>26</v>
      </c>
      <c r="R7">
        <v>3</v>
      </c>
      <c r="S7">
        <v>3</v>
      </c>
      <c r="T7">
        <v>990.82568807339499</v>
      </c>
      <c r="U7">
        <v>1172.72727272727</v>
      </c>
      <c r="V7">
        <v>0.66252058354005705</v>
      </c>
      <c r="W7" t="s">
        <v>35</v>
      </c>
      <c r="X7" t="s">
        <v>18</v>
      </c>
    </row>
    <row r="8" spans="1:24" x14ac:dyDescent="0.45">
      <c r="A8">
        <v>2</v>
      </c>
      <c r="B8" t="s">
        <v>3</v>
      </c>
      <c r="C8">
        <v>1196.7213114754099</v>
      </c>
      <c r="D8">
        <f>AVERAGE(C8:C10)</f>
        <v>1121.7646193692908</v>
      </c>
      <c r="E8">
        <f>_xlfn.STDEV.S(C8:C10)/SQRT(3)</f>
        <v>263.21622231133176</v>
      </c>
      <c r="I8" t="s">
        <v>12</v>
      </c>
      <c r="J8">
        <v>958.79780095399792</v>
      </c>
      <c r="K8">
        <v>110.53004900375791</v>
      </c>
      <c r="L8">
        <v>538.8169936739348</v>
      </c>
      <c r="M8">
        <v>155.21781432942743</v>
      </c>
      <c r="N8">
        <v>0.190430263825524</v>
      </c>
      <c r="O8" t="s">
        <v>18</v>
      </c>
      <c r="Q8" t="s">
        <v>27</v>
      </c>
      <c r="R8">
        <v>3</v>
      </c>
      <c r="S8">
        <v>3</v>
      </c>
      <c r="T8">
        <v>1011.42857142857</v>
      </c>
      <c r="U8">
        <v>426.31578947368399</v>
      </c>
      <c r="V8">
        <v>0.190430263825524</v>
      </c>
      <c r="W8" t="s">
        <v>35</v>
      </c>
      <c r="X8" t="s">
        <v>18</v>
      </c>
    </row>
    <row r="9" spans="1:24" x14ac:dyDescent="0.45">
      <c r="A9">
        <v>2</v>
      </c>
      <c r="B9" t="s">
        <v>3</v>
      </c>
      <c r="C9">
        <v>1535.5450236966826</v>
      </c>
      <c r="I9" t="s">
        <v>13</v>
      </c>
      <c r="J9">
        <v>1245.3249390426818</v>
      </c>
      <c r="K9">
        <v>322.66429317641985</v>
      </c>
      <c r="L9">
        <v>658.60315309024429</v>
      </c>
      <c r="M9">
        <v>180.73497991491652</v>
      </c>
      <c r="N9">
        <v>0.190430263825524</v>
      </c>
      <c r="O9" t="s">
        <v>18</v>
      </c>
      <c r="Q9" t="s">
        <v>28</v>
      </c>
      <c r="R9">
        <v>3</v>
      </c>
      <c r="S9">
        <v>3</v>
      </c>
      <c r="T9">
        <v>1377.27272727273</v>
      </c>
      <c r="U9">
        <v>492.1875</v>
      </c>
      <c r="V9">
        <v>0.190430263825524</v>
      </c>
      <c r="W9" t="s">
        <v>35</v>
      </c>
      <c r="X9" t="s">
        <v>18</v>
      </c>
    </row>
    <row r="10" spans="1:24" x14ac:dyDescent="0.45">
      <c r="A10">
        <v>2</v>
      </c>
      <c r="B10" t="s">
        <v>3</v>
      </c>
      <c r="C10">
        <v>633.02752293577976</v>
      </c>
      <c r="I10" t="s">
        <v>14</v>
      </c>
      <c r="J10">
        <v>1173.319011618262</v>
      </c>
      <c r="K10">
        <v>127.43802008544723</v>
      </c>
      <c r="L10">
        <v>731.34217404858407</v>
      </c>
      <c r="M10">
        <v>115.16237719023056</v>
      </c>
      <c r="N10">
        <v>8.0855598370052295E-2</v>
      </c>
      <c r="O10" t="s">
        <v>18</v>
      </c>
      <c r="Q10" t="s">
        <v>29</v>
      </c>
      <c r="R10">
        <v>3</v>
      </c>
      <c r="S10">
        <v>3</v>
      </c>
      <c r="T10">
        <v>1177.5700934579399</v>
      </c>
      <c r="U10">
        <v>736.36363636363603</v>
      </c>
      <c r="V10">
        <v>8.0855598370052295E-2</v>
      </c>
      <c r="W10" t="s">
        <v>35</v>
      </c>
      <c r="X10" t="s">
        <v>18</v>
      </c>
    </row>
    <row r="11" spans="1:24" x14ac:dyDescent="0.45">
      <c r="A11">
        <v>2</v>
      </c>
      <c r="B11" t="s">
        <v>4</v>
      </c>
      <c r="C11">
        <v>992.48120300751907</v>
      </c>
      <c r="D11">
        <f>AVERAGE(C11:C13)</f>
        <v>952.99724721640177</v>
      </c>
      <c r="E11">
        <f>_xlfn.STDEV.S(C11:C13)/SQRT(3)</f>
        <v>209.8315168425305</v>
      </c>
      <c r="I11" t="s">
        <v>15</v>
      </c>
      <c r="J11">
        <v>902.39499970792679</v>
      </c>
      <c r="K11">
        <v>85.549185738737677</v>
      </c>
      <c r="L11">
        <v>891.88373594444931</v>
      </c>
      <c r="M11">
        <v>36.222647492593964</v>
      </c>
      <c r="N11">
        <v>1</v>
      </c>
      <c r="O11" t="s">
        <v>18</v>
      </c>
      <c r="Q11" t="s">
        <v>30</v>
      </c>
      <c r="R11">
        <v>3</v>
      </c>
      <c r="S11">
        <v>3</v>
      </c>
      <c r="T11">
        <v>884.21052631579005</v>
      </c>
      <c r="U11">
        <v>873.23943661971805</v>
      </c>
      <c r="V11">
        <v>1</v>
      </c>
      <c r="W11" t="s">
        <v>35</v>
      </c>
      <c r="X11" t="s">
        <v>18</v>
      </c>
    </row>
    <row r="12" spans="1:24" x14ac:dyDescent="0.45">
      <c r="A12">
        <v>2</v>
      </c>
      <c r="B12" t="s">
        <v>4</v>
      </c>
      <c r="C12">
        <v>1295.0819672131149</v>
      </c>
    </row>
    <row r="13" spans="1:24" x14ac:dyDescent="0.45">
      <c r="A13">
        <v>2</v>
      </c>
      <c r="B13" t="s">
        <v>4</v>
      </c>
      <c r="C13">
        <v>571.42857142857133</v>
      </c>
    </row>
    <row r="14" spans="1:24" x14ac:dyDescent="0.45">
      <c r="A14">
        <v>3</v>
      </c>
      <c r="B14" t="s">
        <v>3</v>
      </c>
      <c r="C14">
        <v>1142.1319796954317</v>
      </c>
      <c r="D14">
        <f>AVERAGE(C14:C16)</f>
        <v>1068.7082369147458</v>
      </c>
      <c r="E14">
        <f>_xlfn.STDEV.S(C14:C16)/SQRT(3)</f>
        <v>78.806586122529325</v>
      </c>
    </row>
    <row r="15" spans="1:24" x14ac:dyDescent="0.45">
      <c r="A15">
        <v>3</v>
      </c>
      <c r="B15" t="s">
        <v>3</v>
      </c>
      <c r="C15">
        <v>911.21495327102821</v>
      </c>
    </row>
    <row r="16" spans="1:24" x14ac:dyDescent="0.45">
      <c r="A16">
        <v>3</v>
      </c>
      <c r="B16" t="s">
        <v>3</v>
      </c>
      <c r="C16">
        <v>1152.7777777777778</v>
      </c>
    </row>
    <row r="17" spans="1:5" x14ac:dyDescent="0.45">
      <c r="A17">
        <v>3</v>
      </c>
      <c r="B17" t="s">
        <v>4</v>
      </c>
      <c r="C17">
        <v>772.72727272727252</v>
      </c>
      <c r="D17">
        <f>AVERAGE(C17:C19)</f>
        <v>1002.6963086664579</v>
      </c>
      <c r="E17">
        <f>_xlfn.STDEV.S(C17:C19)/SQRT(3)</f>
        <v>192.2831040954292</v>
      </c>
    </row>
    <row r="18" spans="1:5" x14ac:dyDescent="0.45">
      <c r="A18">
        <v>3</v>
      </c>
      <c r="B18" t="s">
        <v>4</v>
      </c>
      <c r="C18">
        <v>850.74626865671644</v>
      </c>
    </row>
    <row r="19" spans="1:5" x14ac:dyDescent="0.45">
      <c r="A19">
        <v>3</v>
      </c>
      <c r="B19" t="s">
        <v>4</v>
      </c>
      <c r="C19">
        <v>1384.6153846153848</v>
      </c>
    </row>
    <row r="20" spans="1:5" x14ac:dyDescent="0.45">
      <c r="A20">
        <v>4</v>
      </c>
      <c r="B20" t="s">
        <v>3</v>
      </c>
      <c r="C20">
        <v>792.95154185022022</v>
      </c>
      <c r="D20">
        <f>AVERAGE(C20:C22)</f>
        <v>1111.6864270685553</v>
      </c>
      <c r="E20">
        <f>_xlfn.STDEV.S(C20:C22)/SQRT(3)</f>
        <v>227.09893516308946</v>
      </c>
    </row>
    <row r="21" spans="1:5" x14ac:dyDescent="0.45">
      <c r="A21">
        <v>4</v>
      </c>
      <c r="B21" t="s">
        <v>3</v>
      </c>
      <c r="C21">
        <v>990.82568807339453</v>
      </c>
    </row>
    <row r="22" spans="1:5" x14ac:dyDescent="0.45">
      <c r="A22">
        <v>4</v>
      </c>
      <c r="B22" t="s">
        <v>3</v>
      </c>
      <c r="C22">
        <v>1551.2820512820513</v>
      </c>
    </row>
    <row r="23" spans="1:5" x14ac:dyDescent="0.45">
      <c r="A23">
        <v>4</v>
      </c>
      <c r="B23" t="s">
        <v>4</v>
      </c>
      <c r="C23">
        <v>1217.391304347826</v>
      </c>
      <c r="D23">
        <f>AVERAGE(C23:C25)</f>
        <v>1156.0135516657258</v>
      </c>
      <c r="E23">
        <f>_xlfn.STDEV.S(C23:C25)/SQRT(3)</f>
        <v>41.119450522194199</v>
      </c>
    </row>
    <row r="24" spans="1:5" x14ac:dyDescent="0.45">
      <c r="A24">
        <v>4</v>
      </c>
      <c r="B24" t="s">
        <v>4</v>
      </c>
      <c r="C24">
        <v>1172.7272727272727</v>
      </c>
    </row>
    <row r="25" spans="1:5" x14ac:dyDescent="0.45">
      <c r="A25">
        <v>4</v>
      </c>
      <c r="B25" t="s">
        <v>4</v>
      </c>
      <c r="C25">
        <v>1077.9220779220782</v>
      </c>
    </row>
    <row r="26" spans="1:5" x14ac:dyDescent="0.45">
      <c r="A26">
        <v>5</v>
      </c>
      <c r="B26" t="s">
        <v>3</v>
      </c>
      <c r="C26">
        <v>1011.4285714285716</v>
      </c>
      <c r="D26">
        <f>AVERAGE(C26:C28)</f>
        <v>958.79780095399792</v>
      </c>
      <c r="E26">
        <f>_xlfn.STDEV.S(C26:C28)/SQRT(3)</f>
        <v>110.53004900375791</v>
      </c>
    </row>
    <row r="27" spans="1:5" x14ac:dyDescent="0.45">
      <c r="A27">
        <v>5</v>
      </c>
      <c r="B27" t="s">
        <v>3</v>
      </c>
      <c r="C27">
        <v>746.54377880184336</v>
      </c>
    </row>
    <row r="28" spans="1:5" x14ac:dyDescent="0.45">
      <c r="A28">
        <v>5</v>
      </c>
      <c r="B28" t="s">
        <v>3</v>
      </c>
      <c r="C28">
        <v>1118.4210526315787</v>
      </c>
    </row>
    <row r="29" spans="1:5" x14ac:dyDescent="0.45">
      <c r="A29">
        <v>5</v>
      </c>
      <c r="B29" t="s">
        <v>4</v>
      </c>
      <c r="C29">
        <v>845.63758389261761</v>
      </c>
      <c r="D29">
        <f>AVERAGE(C29:C31)</f>
        <v>538.8169936739348</v>
      </c>
      <c r="E29">
        <f>_xlfn.STDEV.S(C29:C31)/SQRT(3)</f>
        <v>155.21781432942743</v>
      </c>
    </row>
    <row r="30" spans="1:5" x14ac:dyDescent="0.45">
      <c r="A30">
        <v>5</v>
      </c>
      <c r="B30" t="s">
        <v>4</v>
      </c>
      <c r="C30">
        <v>426.31578947368428</v>
      </c>
    </row>
    <row r="31" spans="1:5" x14ac:dyDescent="0.45">
      <c r="A31">
        <v>5</v>
      </c>
      <c r="B31" t="s">
        <v>4</v>
      </c>
      <c r="C31">
        <v>344.49760765550241</v>
      </c>
    </row>
    <row r="32" spans="1:5" x14ac:dyDescent="0.45">
      <c r="A32">
        <v>6</v>
      </c>
      <c r="B32" t="s">
        <v>3</v>
      </c>
      <c r="C32">
        <v>1726.4150943396226</v>
      </c>
      <c r="D32">
        <f>AVERAGE(C32:C34)</f>
        <v>1245.3249390426818</v>
      </c>
      <c r="E32">
        <f>_xlfn.STDEV.S(C32:C34)/SQRT(3)</f>
        <v>322.66429317641985</v>
      </c>
    </row>
    <row r="33" spans="1:5" x14ac:dyDescent="0.45">
      <c r="A33">
        <v>6</v>
      </c>
      <c r="B33" t="s">
        <v>3</v>
      </c>
      <c r="C33">
        <v>1377.2727272727275</v>
      </c>
    </row>
    <row r="34" spans="1:5" x14ac:dyDescent="0.45">
      <c r="A34">
        <v>6</v>
      </c>
      <c r="B34" t="s">
        <v>3</v>
      </c>
      <c r="C34">
        <v>632.28699551569503</v>
      </c>
    </row>
    <row r="35" spans="1:5" x14ac:dyDescent="0.45">
      <c r="A35">
        <v>6</v>
      </c>
      <c r="B35" t="s">
        <v>4</v>
      </c>
      <c r="C35">
        <v>1019.7044334975371</v>
      </c>
      <c r="D35">
        <f>AVERAGE(C35:C37)</f>
        <v>658.60315309024429</v>
      </c>
      <c r="E35">
        <f>_xlfn.STDEV.S(C35:C37)/SQRT(3)</f>
        <v>180.73497991491652</v>
      </c>
    </row>
    <row r="36" spans="1:5" x14ac:dyDescent="0.45">
      <c r="A36">
        <v>6</v>
      </c>
      <c r="B36" t="s">
        <v>4</v>
      </c>
      <c r="C36">
        <v>492.1875</v>
      </c>
    </row>
    <row r="37" spans="1:5" x14ac:dyDescent="0.45">
      <c r="A37">
        <v>6</v>
      </c>
      <c r="B37" t="s">
        <v>4</v>
      </c>
      <c r="C37">
        <v>463.91752577319585</v>
      </c>
    </row>
    <row r="38" spans="1:5" x14ac:dyDescent="0.45">
      <c r="A38">
        <v>7</v>
      </c>
      <c r="B38" t="s">
        <v>3</v>
      </c>
      <c r="C38">
        <v>950.49504950495066</v>
      </c>
      <c r="D38">
        <f>AVERAGE(C38:C40)</f>
        <v>1173.319011618262</v>
      </c>
      <c r="E38">
        <f>_xlfn.STDEV.S(C38:C40)/SQRT(3)</f>
        <v>127.43802008544723</v>
      </c>
    </row>
    <row r="39" spans="1:5" x14ac:dyDescent="0.45">
      <c r="A39">
        <v>7</v>
      </c>
      <c r="B39" t="s">
        <v>3</v>
      </c>
      <c r="C39">
        <v>1391.8918918918919</v>
      </c>
    </row>
    <row r="40" spans="1:5" x14ac:dyDescent="0.45">
      <c r="A40">
        <v>7</v>
      </c>
      <c r="B40" t="s">
        <v>3</v>
      </c>
      <c r="C40">
        <v>1177.570093457944</v>
      </c>
    </row>
    <row r="41" spans="1:5" x14ac:dyDescent="0.45">
      <c r="A41">
        <v>7</v>
      </c>
      <c r="B41" t="s">
        <v>4</v>
      </c>
      <c r="C41">
        <v>928.25112107623318</v>
      </c>
      <c r="D41">
        <f>AVERAGE(C41:C43)</f>
        <v>731.34217404858407</v>
      </c>
      <c r="E41">
        <f>_xlfn.STDEV.S(C41:C43)/SQRT(3)</f>
        <v>115.16237719023056</v>
      </c>
    </row>
    <row r="42" spans="1:5" x14ac:dyDescent="0.45">
      <c r="A42">
        <v>7</v>
      </c>
      <c r="B42" t="s">
        <v>4</v>
      </c>
      <c r="C42">
        <v>529.41176470588232</v>
      </c>
    </row>
    <row r="43" spans="1:5" x14ac:dyDescent="0.45">
      <c r="A43">
        <v>7</v>
      </c>
      <c r="B43" t="s">
        <v>4</v>
      </c>
      <c r="C43">
        <v>736.36363636363649</v>
      </c>
    </row>
    <row r="44" spans="1:5" x14ac:dyDescent="0.45">
      <c r="A44">
        <v>8</v>
      </c>
      <c r="B44" t="s">
        <v>3</v>
      </c>
      <c r="C44">
        <v>764.15094339622647</v>
      </c>
      <c r="D44">
        <f>AVERAGE(C44:C46)</f>
        <v>902.39499970792679</v>
      </c>
      <c r="E44">
        <f>_xlfn.STDEV.S(C44:C46)/SQRT(3)</f>
        <v>85.549185738737677</v>
      </c>
    </row>
    <row r="45" spans="1:5" x14ac:dyDescent="0.45">
      <c r="A45">
        <v>8</v>
      </c>
      <c r="B45" t="s">
        <v>3</v>
      </c>
      <c r="C45">
        <v>884.21052631578959</v>
      </c>
    </row>
    <row r="46" spans="1:5" x14ac:dyDescent="0.45">
      <c r="A46">
        <v>8</v>
      </c>
      <c r="B46" t="s">
        <v>3</v>
      </c>
      <c r="C46">
        <v>1058.8235294117644</v>
      </c>
    </row>
    <row r="47" spans="1:5" x14ac:dyDescent="0.45">
      <c r="A47">
        <v>8</v>
      </c>
      <c r="B47" t="s">
        <v>4</v>
      </c>
      <c r="C47">
        <v>840.5797101449275</v>
      </c>
      <c r="D47">
        <f>AVERAGE(C47:C49)</f>
        <v>891.88373594444931</v>
      </c>
      <c r="E47">
        <f>_xlfn.STDEV.S(C47:C49)/SQRT(3)</f>
        <v>36.222647492593964</v>
      </c>
    </row>
    <row r="48" spans="1:5" x14ac:dyDescent="0.45">
      <c r="A48">
        <v>8</v>
      </c>
      <c r="B48" t="s">
        <v>4</v>
      </c>
      <c r="C48">
        <v>873.23943661971839</v>
      </c>
    </row>
    <row r="49" spans="1:3" x14ac:dyDescent="0.45">
      <c r="A49">
        <v>8</v>
      </c>
      <c r="B49" t="s">
        <v>4</v>
      </c>
      <c r="C49">
        <v>961.83206106870216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ABA</vt:lpstr>
      <vt:lpstr>SA</vt:lpstr>
      <vt:lpstr>Ja-Ile</vt:lpstr>
      <vt:lpstr>JA</vt:lpstr>
      <vt:lpstr>OPDA</vt:lpstr>
      <vt:lpstr>IAA</vt:lpstr>
      <vt:lpstr>I3CA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2025-03-12T11:24:48Z</dcterms:created>
  <dcterms:modified xsi:type="dcterms:W3CDTF">2026-03-04T19:36:33Z</dcterms:modified>
</cp:coreProperties>
</file>