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externalLinks/externalLink3.xml" ContentType="application/vnd.openxmlformats-officedocument.spreadsheetml.externalLink+xml"/>
  <Override PartName="/xl/externalLinks/externalLink4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theme/themeOverride1.xml" ContentType="application/vnd.openxmlformats-officedocument.themeOverride+xml"/>
  <Override PartName="/xl/drawings/drawing2.xml" ContentType="application/vnd.openxmlformats-officedocument.drawing+xml"/>
  <Override PartName="/xl/charts/chart2.xml" ContentType="application/vnd.openxmlformats-officedocument.drawingml.chart+xml"/>
  <Override PartName="/xl/theme/themeOverride2.xml" ContentType="application/vnd.openxmlformats-officedocument.themeOverride+xml"/>
  <Override PartName="/xl/drawings/drawing3.xml" ContentType="application/vnd.openxmlformats-officedocument.drawing+xml"/>
  <Override PartName="/xl/charts/chart3.xml" ContentType="application/vnd.openxmlformats-officedocument.drawingml.chart+xml"/>
  <Override PartName="/xl/theme/themeOverride3.xml" ContentType="application/vnd.openxmlformats-officedocument.themeOverride+xml"/>
  <Override PartName="/xl/drawings/drawing4.xml" ContentType="application/vnd.openxmlformats-officedocument.drawing+xml"/>
  <Override PartName="/xl/charts/chart4.xml" ContentType="application/vnd.openxmlformats-officedocument.drawingml.chart+xml"/>
  <Override PartName="/xl/theme/themeOverride4.xml" ContentType="application/vnd.openxmlformats-officedocument.themeOverride+xml"/>
  <Override PartName="/xl/drawings/drawing5.xml" ContentType="application/vnd.openxmlformats-officedocument.drawing+xml"/>
  <Override PartName="/xl/charts/chart5.xml" ContentType="application/vnd.openxmlformats-officedocument.drawingml.chart+xml"/>
  <Override PartName="/xl/theme/themeOverride5.xml" ContentType="application/vnd.openxmlformats-officedocument.themeOverrid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marta\Documents\TESIS MARTA (propio)\3. BM-PLANT\Experimentos\Hormone time curse\"/>
    </mc:Choice>
  </mc:AlternateContent>
  <xr:revisionPtr revIDLastSave="0" documentId="13_ncr:1_{A10B71FF-DBE6-42CD-8806-3325C786B3B4}" xr6:coauthVersionLast="47" xr6:coauthVersionMax="47" xr10:uidLastSave="{00000000-0000-0000-0000-000000000000}"/>
  <bookViews>
    <workbookView xWindow="-98" yWindow="-98" windowWidth="21795" windowHeight="11625" activeTab="3" xr2:uid="{B94D52E1-BD9A-4C88-AFA7-21294572DFB1}"/>
  </bookViews>
  <sheets>
    <sheet name="ABA" sheetId="9" r:id="rId1"/>
    <sheet name="SA" sheetId="2" r:id="rId2"/>
    <sheet name="OPDA" sheetId="5" r:id="rId3"/>
    <sheet name="IAA" sheetId="6" r:id="rId4"/>
    <sheet name="I3CA" sheetId="7" r:id="rId5"/>
  </sheets>
  <externalReferences>
    <externalReference r:id="rId6"/>
    <externalReference r:id="rId7"/>
    <externalReference r:id="rId8"/>
    <externalReference r:id="rId9"/>
  </externalReferenc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E47" i="6" l="1"/>
  <c r="L11" i="6" s="1"/>
  <c r="D47" i="6"/>
  <c r="K11" i="6" s="1"/>
  <c r="E44" i="6"/>
  <c r="J11" i="6" s="1"/>
  <c r="D44" i="6"/>
  <c r="E41" i="6"/>
  <c r="D41" i="6"/>
  <c r="E38" i="6"/>
  <c r="D38" i="6"/>
  <c r="E35" i="6"/>
  <c r="D35" i="6"/>
  <c r="K9" i="6" s="1"/>
  <c r="E32" i="6"/>
  <c r="J9" i="6" s="1"/>
  <c r="D32" i="6"/>
  <c r="I9" i="6" s="1"/>
  <c r="E29" i="6"/>
  <c r="L8" i="6" s="1"/>
  <c r="D29" i="6"/>
  <c r="K8" i="6" s="1"/>
  <c r="E26" i="6"/>
  <c r="J8" i="6" s="1"/>
  <c r="D26" i="6"/>
  <c r="I8" i="6" s="1"/>
  <c r="E23" i="6"/>
  <c r="L7" i="6" s="1"/>
  <c r="D23" i="6"/>
  <c r="K7" i="6" s="1"/>
  <c r="E20" i="6"/>
  <c r="J7" i="6" s="1"/>
  <c r="D20" i="6"/>
  <c r="E17" i="6"/>
  <c r="D17" i="6"/>
  <c r="E14" i="6"/>
  <c r="D14" i="6"/>
  <c r="I11" i="6"/>
  <c r="E11" i="6"/>
  <c r="L5" i="6" s="1"/>
  <c r="D11" i="6"/>
  <c r="K5" i="6" s="1"/>
  <c r="L10" i="6"/>
  <c r="K10" i="6"/>
  <c r="J10" i="6"/>
  <c r="I10" i="6"/>
  <c r="L9" i="6"/>
  <c r="E8" i="6"/>
  <c r="J5" i="6" s="1"/>
  <c r="D8" i="6"/>
  <c r="I5" i="6" s="1"/>
  <c r="I7" i="6"/>
  <c r="L6" i="6"/>
  <c r="K6" i="6"/>
  <c r="J6" i="6"/>
  <c r="I6" i="6"/>
  <c r="E5" i="6"/>
  <c r="D5" i="6"/>
  <c r="L4" i="6"/>
  <c r="K4" i="6"/>
  <c r="J4" i="6"/>
  <c r="I4" i="6"/>
  <c r="E2" i="6"/>
  <c r="D2" i="6"/>
  <c r="E47" i="7"/>
  <c r="D47" i="7"/>
  <c r="K11" i="7" s="1"/>
  <c r="E44" i="7"/>
  <c r="J11" i="7" s="1"/>
  <c r="D44" i="7"/>
  <c r="E41" i="7"/>
  <c r="L10" i="7" s="1"/>
  <c r="D41" i="7"/>
  <c r="E38" i="7"/>
  <c r="J10" i="7" s="1"/>
  <c r="D38" i="7"/>
  <c r="I10" i="7" s="1"/>
  <c r="E35" i="7"/>
  <c r="D35" i="7"/>
  <c r="E32" i="7"/>
  <c r="D32" i="7"/>
  <c r="I9" i="7" s="1"/>
  <c r="E29" i="7"/>
  <c r="D29" i="7"/>
  <c r="E26" i="7"/>
  <c r="D26" i="7"/>
  <c r="I8" i="7" s="1"/>
  <c r="E23" i="7"/>
  <c r="D23" i="7"/>
  <c r="E20" i="7"/>
  <c r="J7" i="7" s="1"/>
  <c r="D20" i="7"/>
  <c r="I7" i="7" s="1"/>
  <c r="E17" i="7"/>
  <c r="L6" i="7" s="1"/>
  <c r="D17" i="7"/>
  <c r="K6" i="7" s="1"/>
  <c r="E14" i="7"/>
  <c r="J6" i="7" s="1"/>
  <c r="D14" i="7"/>
  <c r="I6" i="7" s="1"/>
  <c r="L11" i="7"/>
  <c r="I11" i="7"/>
  <c r="E11" i="7"/>
  <c r="D11" i="7"/>
  <c r="K10" i="7"/>
  <c r="L9" i="7"/>
  <c r="K9" i="7"/>
  <c r="J9" i="7"/>
  <c r="L8" i="7"/>
  <c r="K8" i="7"/>
  <c r="J8" i="7"/>
  <c r="E8" i="7"/>
  <c r="D8" i="7"/>
  <c r="L7" i="7"/>
  <c r="K7" i="7"/>
  <c r="L5" i="7"/>
  <c r="K5" i="7"/>
  <c r="J5" i="7"/>
  <c r="I5" i="7"/>
  <c r="E5" i="7"/>
  <c r="L4" i="7" s="1"/>
  <c r="D5" i="7"/>
  <c r="K4" i="7"/>
  <c r="E2" i="7"/>
  <c r="J4" i="7" s="1"/>
  <c r="D2" i="7"/>
  <c r="I4" i="7" s="1"/>
  <c r="E47" i="5"/>
  <c r="L11" i="5" s="1"/>
  <c r="D47" i="5"/>
  <c r="E44" i="5"/>
  <c r="J11" i="5" s="1"/>
  <c r="D44" i="5"/>
  <c r="E41" i="5"/>
  <c r="L10" i="5" s="1"/>
  <c r="D41" i="5"/>
  <c r="K10" i="5" s="1"/>
  <c r="E38" i="5"/>
  <c r="D38" i="5"/>
  <c r="E35" i="5"/>
  <c r="D35" i="5"/>
  <c r="K9" i="5" s="1"/>
  <c r="E32" i="5"/>
  <c r="J9" i="5" s="1"/>
  <c r="D32" i="5"/>
  <c r="I9" i="5" s="1"/>
  <c r="E29" i="5"/>
  <c r="L8" i="5" s="1"/>
  <c r="D29" i="5"/>
  <c r="K8" i="5" s="1"/>
  <c r="E26" i="5"/>
  <c r="D26" i="5"/>
  <c r="E23" i="5"/>
  <c r="L7" i="5" s="1"/>
  <c r="D23" i="5"/>
  <c r="K7" i="5" s="1"/>
  <c r="E20" i="5"/>
  <c r="J7" i="5" s="1"/>
  <c r="D20" i="5"/>
  <c r="E17" i="5"/>
  <c r="D17" i="5"/>
  <c r="E14" i="5"/>
  <c r="D14" i="5"/>
  <c r="I6" i="5" s="1"/>
  <c r="K11" i="5"/>
  <c r="I11" i="5"/>
  <c r="E11" i="5"/>
  <c r="L5" i="5" s="1"/>
  <c r="D11" i="5"/>
  <c r="K5" i="5" s="1"/>
  <c r="J10" i="5"/>
  <c r="I10" i="5"/>
  <c r="L9" i="5"/>
  <c r="J8" i="5"/>
  <c r="I8" i="5"/>
  <c r="E8" i="5"/>
  <c r="J5" i="5" s="1"/>
  <c r="D8" i="5"/>
  <c r="I7" i="5"/>
  <c r="L6" i="5"/>
  <c r="K6" i="5"/>
  <c r="J6" i="5"/>
  <c r="I5" i="5"/>
  <c r="E5" i="5"/>
  <c r="L4" i="5" s="1"/>
  <c r="D5" i="5"/>
  <c r="K4" i="5" s="1"/>
  <c r="J4" i="5"/>
  <c r="I4" i="5"/>
  <c r="E2" i="5"/>
  <c r="D2" i="5"/>
  <c r="E47" i="2"/>
  <c r="L11" i="2" s="1"/>
  <c r="D47" i="2"/>
  <c r="K11" i="2" s="1"/>
  <c r="E44" i="2"/>
  <c r="D44" i="2"/>
  <c r="E41" i="2"/>
  <c r="D41" i="2"/>
  <c r="E38" i="2"/>
  <c r="D38" i="2"/>
  <c r="E35" i="2"/>
  <c r="L9" i="2" s="1"/>
  <c r="D35" i="2"/>
  <c r="K9" i="2" s="1"/>
  <c r="E32" i="2"/>
  <c r="J9" i="2" s="1"/>
  <c r="D32" i="2"/>
  <c r="I9" i="2" s="1"/>
  <c r="E29" i="2"/>
  <c r="L8" i="2" s="1"/>
  <c r="D29" i="2"/>
  <c r="K8" i="2" s="1"/>
  <c r="E26" i="2"/>
  <c r="J8" i="2" s="1"/>
  <c r="D26" i="2"/>
  <c r="I8" i="2" s="1"/>
  <c r="E23" i="2"/>
  <c r="L7" i="2" s="1"/>
  <c r="D23" i="2"/>
  <c r="K7" i="2" s="1"/>
  <c r="E20" i="2"/>
  <c r="D20" i="2"/>
  <c r="E17" i="2"/>
  <c r="D17" i="2"/>
  <c r="E14" i="2"/>
  <c r="J6" i="2" s="1"/>
  <c r="D14" i="2"/>
  <c r="J11" i="2"/>
  <c r="I11" i="2"/>
  <c r="E11" i="2"/>
  <c r="L5" i="2" s="1"/>
  <c r="D11" i="2"/>
  <c r="K5" i="2" s="1"/>
  <c r="L10" i="2"/>
  <c r="K10" i="2"/>
  <c r="J10" i="2"/>
  <c r="I10" i="2"/>
  <c r="E8" i="2"/>
  <c r="J5" i="2" s="1"/>
  <c r="D8" i="2"/>
  <c r="I5" i="2" s="1"/>
  <c r="J7" i="2"/>
  <c r="I7" i="2"/>
  <c r="L6" i="2"/>
  <c r="K6" i="2"/>
  <c r="I6" i="2"/>
  <c r="E5" i="2"/>
  <c r="D5" i="2"/>
  <c r="L4" i="2"/>
  <c r="K4" i="2"/>
  <c r="E2" i="2"/>
  <c r="J4" i="2" s="1"/>
  <c r="D2" i="2"/>
  <c r="I4" i="2" s="1"/>
  <c r="E47" i="9"/>
  <c r="D47" i="9"/>
  <c r="K11" i="9" s="1"/>
  <c r="E44" i="9"/>
  <c r="J11" i="9" s="1"/>
  <c r="D44" i="9"/>
  <c r="E41" i="9"/>
  <c r="L10" i="9" s="1"/>
  <c r="D41" i="9"/>
  <c r="K10" i="9" s="1"/>
  <c r="E38" i="9"/>
  <c r="J10" i="9" s="1"/>
  <c r="D38" i="9"/>
  <c r="E35" i="9"/>
  <c r="D35" i="9"/>
  <c r="K9" i="9" s="1"/>
  <c r="E32" i="9"/>
  <c r="D32" i="9"/>
  <c r="E29" i="9"/>
  <c r="D29" i="9"/>
  <c r="K8" i="9" s="1"/>
  <c r="E26" i="9"/>
  <c r="D26" i="9"/>
  <c r="I8" i="9" s="1"/>
  <c r="E23" i="9"/>
  <c r="D23" i="9"/>
  <c r="E20" i="9"/>
  <c r="J7" i="9" s="1"/>
  <c r="D20" i="9"/>
  <c r="E17" i="9"/>
  <c r="L6" i="9" s="1"/>
  <c r="D17" i="9"/>
  <c r="K6" i="9" s="1"/>
  <c r="E14" i="9"/>
  <c r="J6" i="9" s="1"/>
  <c r="D14" i="9"/>
  <c r="L11" i="9"/>
  <c r="I11" i="9"/>
  <c r="E11" i="9"/>
  <c r="D11" i="9"/>
  <c r="K5" i="9" s="1"/>
  <c r="I10" i="9"/>
  <c r="L9" i="9"/>
  <c r="J9" i="9"/>
  <c r="I9" i="9"/>
  <c r="L8" i="9"/>
  <c r="J8" i="9"/>
  <c r="E8" i="9"/>
  <c r="D8" i="9"/>
  <c r="I5" i="9" s="1"/>
  <c r="L7" i="9"/>
  <c r="K7" i="9"/>
  <c r="I7" i="9"/>
  <c r="I6" i="9"/>
  <c r="L5" i="9"/>
  <c r="J5" i="9"/>
  <c r="E5" i="9"/>
  <c r="D5" i="9"/>
  <c r="L4" i="9"/>
  <c r="K4" i="9"/>
  <c r="J4" i="9"/>
  <c r="I4" i="9"/>
  <c r="E2" i="9"/>
  <c r="D2" i="9"/>
</calcChain>
</file>

<file path=xl/sharedStrings.xml><?xml version="1.0" encoding="utf-8"?>
<sst xmlns="http://schemas.openxmlformats.org/spreadsheetml/2006/main" count="496" uniqueCount="36">
  <si>
    <t>Día</t>
  </si>
  <si>
    <t>Condición</t>
  </si>
  <si>
    <t>Fitohormona</t>
  </si>
  <si>
    <t>C</t>
  </si>
  <si>
    <t>Bm</t>
  </si>
  <si>
    <t>Promedio</t>
  </si>
  <si>
    <t>Error</t>
  </si>
  <si>
    <t>error</t>
  </si>
  <si>
    <t>p_value</t>
  </si>
  <si>
    <t>signif</t>
  </si>
  <si>
    <t>1d</t>
  </si>
  <si>
    <t>ns</t>
  </si>
  <si>
    <t>2d</t>
  </si>
  <si>
    <t>3d</t>
  </si>
  <si>
    <t>4d</t>
  </si>
  <si>
    <t>5d</t>
  </si>
  <si>
    <t>6d</t>
  </si>
  <si>
    <t>7d</t>
  </si>
  <si>
    <t>8d</t>
  </si>
  <si>
    <t>n_C</t>
  </si>
  <si>
    <t>n_Bm</t>
  </si>
  <si>
    <t>test</t>
  </si>
  <si>
    <t>1</t>
  </si>
  <si>
    <t>2</t>
  </si>
  <si>
    <t>3</t>
  </si>
  <si>
    <t>4</t>
  </si>
  <si>
    <t>5</t>
  </si>
  <si>
    <t>6</t>
  </si>
  <si>
    <t>7</t>
  </si>
  <si>
    <t>8</t>
  </si>
  <si>
    <t>Day</t>
  </si>
  <si>
    <t>median_C</t>
  </si>
  <si>
    <t>median_Bm</t>
  </si>
  <si>
    <t>significance</t>
  </si>
  <si>
    <t>Mann-Whitney U test (non-parametric)</t>
  </si>
  <si>
    <t xml:space="preserve">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</si>
</sst>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2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0" fillId="2" borderId="0" xfId="0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externalLink" Target="externalLinks/externalLink3.xml"/><Relationship Id="rId13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externalLink" Target="externalLinks/externalLink2.xml"/><Relationship Id="rId12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externalLink" Target="externalLinks/externalLink1.xml"/><Relationship Id="rId11" Type="http://schemas.openxmlformats.org/officeDocument/2006/relationships/styles" Target="styles.xml"/><Relationship Id="rId5" Type="http://schemas.openxmlformats.org/officeDocument/2006/relationships/worksheet" Target="worksheets/sheet5.xml"/><Relationship Id="rId10" Type="http://schemas.openxmlformats.org/officeDocument/2006/relationships/theme" Target="theme/theme1.xml"/><Relationship Id="rId4" Type="http://schemas.openxmlformats.org/officeDocument/2006/relationships/worksheet" Target="worksheets/sheet4.xml"/><Relationship Id="rId9" Type="http://schemas.openxmlformats.org/officeDocument/2006/relationships/externalLink" Target="externalLinks/externalLink4.xml"/></Relationships>
</file>

<file path=xl/charts/_rels/chart1.xml.rels><?xml version="1.0" encoding="UTF-8" standalone="yes"?>
<Relationships xmlns="http://schemas.openxmlformats.org/package/2006/relationships"><Relationship Id="rId1" Type="http://schemas.openxmlformats.org/officeDocument/2006/relationships/themeOverride" Target="../theme/themeOverride1.xml"/></Relationships>
</file>

<file path=xl/charts/_rels/chart2.xml.rels><?xml version="1.0" encoding="UTF-8" standalone="yes"?>
<Relationships xmlns="http://schemas.openxmlformats.org/package/2006/relationships"><Relationship Id="rId1" Type="http://schemas.openxmlformats.org/officeDocument/2006/relationships/themeOverride" Target="../theme/themeOverride2.xml"/></Relationships>
</file>

<file path=xl/charts/_rels/chart3.xml.rels><?xml version="1.0" encoding="UTF-8" standalone="yes"?>
<Relationships xmlns="http://schemas.openxmlformats.org/package/2006/relationships"><Relationship Id="rId1" Type="http://schemas.openxmlformats.org/officeDocument/2006/relationships/themeOverride" Target="../theme/themeOverride3.xml"/></Relationships>
</file>

<file path=xl/charts/_rels/chart4.xml.rels><?xml version="1.0" encoding="UTF-8" standalone="yes"?>
<Relationships xmlns="http://schemas.openxmlformats.org/package/2006/relationships"><Relationship Id="rId1" Type="http://schemas.openxmlformats.org/officeDocument/2006/relationships/themeOverride" Target="../theme/themeOverride4.xml"/></Relationships>
</file>

<file path=xl/charts/_rels/chart5.xml.rels><?xml version="1.0" encoding="UTF-8" standalone="yes"?>
<Relationships xmlns="http://schemas.openxmlformats.org/package/2006/relationships"><Relationship Id="rId1" Type="http://schemas.openxmlformats.org/officeDocument/2006/relationships/themeOverride" Target="../theme/themeOverride5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lrMapOvr bg1="lt1" tx1="dk1" bg2="lt2" tx2="dk2" accent1="accent1" accent2="accent2" accent3="accent3" accent4="accent4" accent5="accent5" accent6="accent6" hlink="hlink" folHlink="folHlink"/>
  <c:chart>
    <c:autoTitleDeleted val="1"/>
    <c:plotArea>
      <c:layout>
        <c:manualLayout>
          <c:layoutTarget val="inner"/>
          <c:xMode val="edge"/>
          <c:yMode val="edge"/>
          <c:x val="0.20130291891143459"/>
          <c:y val="0.10031630084282255"/>
          <c:w val="0.64810734655962254"/>
          <c:h val="0.71733207644819041"/>
        </c:manualLayout>
      </c:layout>
      <c:lineChart>
        <c:grouping val="standard"/>
        <c:varyColors val="0"/>
        <c:ser>
          <c:idx val="0"/>
          <c:order val="0"/>
          <c:tx>
            <c:strRef>
              <c:f>ABA!$I$3</c:f>
              <c:strCache>
                <c:ptCount val="1"/>
                <c:pt idx="0">
                  <c:v>C</c:v>
                </c:pt>
              </c:strCache>
            </c:strRef>
          </c:tx>
          <c:spPr>
            <a:ln w="19050" cap="rnd">
              <a:solidFill>
                <a:schemeClr val="tx1">
                  <a:lumMod val="75000"/>
                  <a:lumOff val="25000"/>
                </a:schemeClr>
              </a:solidFill>
              <a:prstDash val="sysDot"/>
              <a:round/>
            </a:ln>
            <a:effectLst/>
          </c:spPr>
          <c:marker>
            <c:symbol val="circle"/>
            <c:size val="3"/>
            <c:spPr>
              <a:solidFill>
                <a:schemeClr val="tx1">
                  <a:lumMod val="50000"/>
                  <a:lumOff val="50000"/>
                </a:schemeClr>
              </a:solidFill>
              <a:ln w="19050">
                <a:solidFill>
                  <a:schemeClr val="tx1">
                    <a:lumMod val="65000"/>
                    <a:lumOff val="35000"/>
                  </a:schemeClr>
                </a:solidFill>
                <a:prstDash val="lgDash"/>
              </a:ln>
              <a:effectLst/>
            </c:spPr>
          </c:marker>
          <c:dLbls>
            <c:dLbl>
              <c:idx val="0"/>
              <c:tx>
                <c:rich>
                  <a:bodyPr/>
                  <a:lstStyle/>
                  <a:p>
                    <a:fld id="{ECF7020F-A0A7-40C6-8C21-25541261DF0A}" type="CELLRANGE">
                      <a:rPr lang="en-US"/>
                      <a:pPr/>
                      <a:t>[CELLRANGE]</a:t>
                    </a:fld>
                    <a:endParaRPr lang="es-ES"/>
                  </a:p>
                </c:rich>
              </c:tx>
              <c:dLblPos val="t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showDataLabelsRange val="1"/>
                </c:ext>
                <c:ext xmlns:c16="http://schemas.microsoft.com/office/drawing/2014/chart" uri="{C3380CC4-5D6E-409C-BE32-E72D297353CC}">
                  <c16:uniqueId val="{00000006-FB21-48F6-9632-F7C3DECF7ED8}"/>
                </c:ext>
              </c:extLst>
            </c:dLbl>
            <c:dLbl>
              <c:idx val="1"/>
              <c:layout>
                <c:manualLayout>
                  <c:x val="-6.1805555555555607E-2"/>
                  <c:y val="-0.13473388743073786"/>
                </c:manualLayout>
              </c:layout>
              <c:tx>
                <c:rich>
                  <a:bodyPr/>
                  <a:lstStyle/>
                  <a:p>
                    <a:fld id="{E17E7507-2439-4488-88A4-D48ED040E5B6}" type="CELLRANGE">
                      <a:rPr lang="en-US"/>
                      <a:pPr/>
                      <a:t>[CELLRANGE]</a:t>
                    </a:fld>
                    <a:endParaRPr lang="es-ES"/>
                  </a:p>
                </c:rich>
              </c:tx>
              <c:dLblPos val="r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showDataLabelsRange val="1"/>
                </c:ext>
                <c:ext xmlns:c16="http://schemas.microsoft.com/office/drawing/2014/chart" uri="{C3380CC4-5D6E-409C-BE32-E72D297353CC}">
                  <c16:uniqueId val="{00000004-FB21-48F6-9632-F7C3DECF7ED8}"/>
                </c:ext>
              </c:extLst>
            </c:dLbl>
            <c:dLbl>
              <c:idx val="2"/>
              <c:tx>
                <c:rich>
                  <a:bodyPr/>
                  <a:lstStyle/>
                  <a:p>
                    <a:fld id="{BAF5B0BA-1A00-4FF4-B9E4-642D978C58F3}" type="CELLRANGE">
                      <a:rPr lang="es-ES"/>
                      <a:pPr/>
                      <a:t>[CELLRANGE]</a:t>
                    </a:fld>
                    <a:endParaRPr lang="es-ES"/>
                  </a:p>
                </c:rich>
              </c:tx>
              <c:dLblPos val="t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07-FB21-48F6-9632-F7C3DECF7ED8}"/>
                </c:ext>
              </c:extLst>
            </c:dLbl>
            <c:dLbl>
              <c:idx val="3"/>
              <c:layout>
                <c:manualLayout>
                  <c:x val="-3.4027777777777775E-2"/>
                  <c:y val="-0.14399314668999713"/>
                </c:manualLayout>
              </c:layout>
              <c:tx>
                <c:rich>
                  <a:bodyPr/>
                  <a:lstStyle/>
                  <a:p>
                    <a:fld id="{19F6C9E4-73F2-46AE-A740-F212959EFE59}" type="CELLRANGE">
                      <a:rPr lang="en-US"/>
                      <a:pPr/>
                      <a:t>[CELLRANGE]</a:t>
                    </a:fld>
                    <a:endParaRPr lang="es-ES"/>
                  </a:p>
                </c:rich>
              </c:tx>
              <c:dLblPos val="r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showDataLabelsRange val="1"/>
                </c:ext>
                <c:ext xmlns:c16="http://schemas.microsoft.com/office/drawing/2014/chart" uri="{C3380CC4-5D6E-409C-BE32-E72D297353CC}">
                  <c16:uniqueId val="{00000005-FB21-48F6-9632-F7C3DECF7ED8}"/>
                </c:ext>
              </c:extLst>
            </c:dLbl>
            <c:dLbl>
              <c:idx val="4"/>
              <c:tx>
                <c:rich>
                  <a:bodyPr/>
                  <a:lstStyle/>
                  <a:p>
                    <a:fld id="{CD7C5402-6F1B-420A-BADA-1BC2C5989D06}" type="CELLRANGE">
                      <a:rPr lang="es-ES"/>
                      <a:pPr/>
                      <a:t>[CELLRANGE]</a:t>
                    </a:fld>
                    <a:endParaRPr lang="es-ES"/>
                  </a:p>
                </c:rich>
              </c:tx>
              <c:dLblPos val="t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08-FB21-48F6-9632-F7C3DECF7ED8}"/>
                </c:ext>
              </c:extLst>
            </c:dLbl>
            <c:dLbl>
              <c:idx val="5"/>
              <c:tx>
                <c:rich>
                  <a:bodyPr/>
                  <a:lstStyle/>
                  <a:p>
                    <a:fld id="{BCB990FE-26B6-4E6D-8801-2A487AFEBF9A}" type="CELLRANGE">
                      <a:rPr lang="es-ES"/>
                      <a:pPr/>
                      <a:t>[CELLRANGE]</a:t>
                    </a:fld>
                    <a:endParaRPr lang="es-ES"/>
                  </a:p>
                </c:rich>
              </c:tx>
              <c:dLblPos val="t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09-FB21-48F6-9632-F7C3DECF7ED8}"/>
                </c:ext>
              </c:extLst>
            </c:dLbl>
            <c:dLbl>
              <c:idx val="6"/>
              <c:tx>
                <c:rich>
                  <a:bodyPr/>
                  <a:lstStyle/>
                  <a:p>
                    <a:fld id="{F8C61BD4-8197-4894-B1C5-0F60243155E8}" type="CELLRANGE">
                      <a:rPr lang="es-ES"/>
                      <a:pPr/>
                      <a:t>[CELLRANGE]</a:t>
                    </a:fld>
                    <a:endParaRPr lang="es-ES"/>
                  </a:p>
                </c:rich>
              </c:tx>
              <c:dLblPos val="t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0A-FB21-48F6-9632-F7C3DECF7ED8}"/>
                </c:ext>
              </c:extLst>
            </c:dLbl>
            <c:dLbl>
              <c:idx val="7"/>
              <c:tx>
                <c:rich>
                  <a:bodyPr/>
                  <a:lstStyle/>
                  <a:p>
                    <a:fld id="{D6069128-1637-4C80-91A0-37BB1DFF9560}" type="CELLRANGE">
                      <a:rPr lang="es-ES"/>
                      <a:pPr/>
                      <a:t>[CELLRANGE]</a:t>
                    </a:fld>
                    <a:endParaRPr lang="es-ES"/>
                  </a:p>
                </c:rich>
              </c:tx>
              <c:dLblPos val="t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0B-FB21-48F6-9632-F7C3DECF7ED8}"/>
                </c:ext>
              </c:extLst>
            </c:dLbl>
            <c:spPr>
              <a:noFill/>
              <a:ln>
                <a:noFill/>
              </a:ln>
              <a:effectLst/>
            </c:spPr>
            <c:dLblPos val="t"/>
            <c:showLegendKey val="0"/>
            <c:showVal val="0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DataLabelsRange val="1"/>
                <c15:showLeaderLines val="0"/>
              </c:ext>
            </c:extLst>
          </c:dLbls>
          <c:errBars>
            <c:errDir val="y"/>
            <c:errBarType val="both"/>
            <c:errValType val="cust"/>
            <c:noEndCap val="0"/>
            <c:plus>
              <c:numRef>
                <c:f>ABA!$J$4:$J$11</c:f>
                <c:numCache>
                  <c:formatCode>General</c:formatCode>
                  <c:ptCount val="8"/>
                  <c:pt idx="0">
                    <c:v>7.9517968512258532</c:v>
                  </c:pt>
                  <c:pt idx="1">
                    <c:v>130.14306259068806</c:v>
                  </c:pt>
                  <c:pt idx="2">
                    <c:v>7.8211076020174977</c:v>
                  </c:pt>
                  <c:pt idx="3">
                    <c:v>51.980075290659002</c:v>
                  </c:pt>
                  <c:pt idx="4">
                    <c:v>13.197882317142454</c:v>
                  </c:pt>
                  <c:pt idx="5">
                    <c:v>24.268689717758175</c:v>
                  </c:pt>
                  <c:pt idx="6">
                    <c:v>16.93590231593447</c:v>
                  </c:pt>
                  <c:pt idx="7">
                    <c:v>13.492063492063462</c:v>
                  </c:pt>
                </c:numCache>
              </c:numRef>
            </c:plus>
            <c:minus>
              <c:numRef>
                <c:f>ABA!$J$4:$J$11</c:f>
                <c:numCache>
                  <c:formatCode>General</c:formatCode>
                  <c:ptCount val="8"/>
                  <c:pt idx="0">
                    <c:v>7.9517968512258532</c:v>
                  </c:pt>
                  <c:pt idx="1">
                    <c:v>130.14306259068806</c:v>
                  </c:pt>
                  <c:pt idx="2">
                    <c:v>7.8211076020174977</c:v>
                  </c:pt>
                  <c:pt idx="3">
                    <c:v>51.980075290659002</c:v>
                  </c:pt>
                  <c:pt idx="4">
                    <c:v>13.197882317142454</c:v>
                  </c:pt>
                  <c:pt idx="5">
                    <c:v>24.268689717758175</c:v>
                  </c:pt>
                  <c:pt idx="6">
                    <c:v>16.93590231593447</c:v>
                  </c:pt>
                  <c:pt idx="7">
                    <c:v>13.492063492063462</c:v>
                  </c:pt>
                </c:numCache>
              </c:numRef>
            </c:minus>
            <c:spPr>
              <a:noFill/>
              <a:ln w="9525" cap="flat" cmpd="sng" algn="ctr">
                <a:solidFill>
                  <a:schemeClr val="tx1">
                    <a:lumMod val="65000"/>
                    <a:lumOff val="35000"/>
                  </a:schemeClr>
                </a:solidFill>
                <a:round/>
              </a:ln>
              <a:effectLst/>
            </c:spPr>
          </c:errBars>
          <c:cat>
            <c:strRef>
              <c:f>ABA!$H$4:$H$11</c:f>
              <c:strCache>
                <c:ptCount val="8"/>
                <c:pt idx="0">
                  <c:v>1d</c:v>
                </c:pt>
                <c:pt idx="1">
                  <c:v>2d</c:v>
                </c:pt>
                <c:pt idx="2">
                  <c:v>3d</c:v>
                </c:pt>
                <c:pt idx="3">
                  <c:v>4d</c:v>
                </c:pt>
                <c:pt idx="4">
                  <c:v>5d</c:v>
                </c:pt>
                <c:pt idx="5">
                  <c:v>6d</c:v>
                </c:pt>
                <c:pt idx="6">
                  <c:v>7d</c:v>
                </c:pt>
                <c:pt idx="7">
                  <c:v>8d</c:v>
                </c:pt>
              </c:strCache>
            </c:strRef>
          </c:cat>
          <c:val>
            <c:numRef>
              <c:f>ABA!$I$4:$I$11</c:f>
              <c:numCache>
                <c:formatCode>General</c:formatCode>
                <c:ptCount val="8"/>
                <c:pt idx="0">
                  <c:v>91.606699947500104</c:v>
                </c:pt>
                <c:pt idx="1">
                  <c:v>295.43359399834702</c:v>
                </c:pt>
                <c:pt idx="2">
                  <c:v>199.71804511278197</c:v>
                </c:pt>
                <c:pt idx="3">
                  <c:v>236.00727419680746</c:v>
                </c:pt>
                <c:pt idx="4">
                  <c:v>108.9179931412658</c:v>
                </c:pt>
                <c:pt idx="5">
                  <c:v>136.23188405797103</c:v>
                </c:pt>
                <c:pt idx="6">
                  <c:v>165.35369248403472</c:v>
                </c:pt>
                <c:pt idx="7">
                  <c:v>130.15873015873015</c:v>
                </c:pt>
              </c:numCache>
            </c:numRef>
          </c:val>
          <c:smooth val="0"/>
          <c:extLst>
            <c:ext xmlns:c15="http://schemas.microsoft.com/office/drawing/2012/chart" uri="{02D57815-91ED-43cb-92C2-25804820EDAC}">
              <c15:datalabelsRange>
                <c15:f>ABA!$U$4:$U$11</c15:f>
                <c15:dlblRangeCache>
                  <c:ptCount val="8"/>
                  <c:pt idx="0">
                    <c:v>ns</c:v>
                  </c:pt>
                  <c:pt idx="1">
                    <c:v>ns</c:v>
                  </c:pt>
                  <c:pt idx="2">
                    <c:v>ns</c:v>
                  </c:pt>
                  <c:pt idx="3">
                    <c:v>ns</c:v>
                  </c:pt>
                  <c:pt idx="4">
                    <c:v>ns</c:v>
                  </c:pt>
                  <c:pt idx="5">
                    <c:v>ns</c:v>
                  </c:pt>
                  <c:pt idx="6">
                    <c:v>ns</c:v>
                  </c:pt>
                  <c:pt idx="7">
                    <c:v>ns</c:v>
                  </c:pt>
                </c15:dlblRangeCache>
              </c15:datalabelsRange>
            </c:ext>
            <c:ext xmlns:c16="http://schemas.microsoft.com/office/drawing/2014/chart" uri="{C3380CC4-5D6E-409C-BE32-E72D297353CC}">
              <c16:uniqueId val="{00000000-F4E2-4310-9462-34B6D22B41EA}"/>
            </c:ext>
          </c:extLst>
        </c:ser>
        <c:ser>
          <c:idx val="1"/>
          <c:order val="1"/>
          <c:tx>
            <c:strRef>
              <c:f>ABA!$K$3</c:f>
              <c:strCache>
                <c:ptCount val="1"/>
                <c:pt idx="0">
                  <c:v>Bm</c:v>
                </c:pt>
              </c:strCache>
            </c:strRef>
          </c:tx>
          <c:spPr>
            <a:ln w="19050" cap="rnd">
              <a:solidFill>
                <a:schemeClr val="bg2">
                  <a:lumMod val="75000"/>
                  <a:alpha val="93000"/>
                </a:schemeClr>
              </a:solidFill>
              <a:prstDash val="solid"/>
              <a:round/>
            </a:ln>
            <a:effectLst/>
          </c:spPr>
          <c:marker>
            <c:symbol val="diamond"/>
            <c:size val="3"/>
            <c:spPr>
              <a:solidFill>
                <a:schemeClr val="tx1">
                  <a:lumMod val="75000"/>
                  <a:lumOff val="25000"/>
                </a:schemeClr>
              </a:solidFill>
              <a:ln w="12700">
                <a:solidFill>
                  <a:schemeClr val="tx1">
                    <a:lumMod val="75000"/>
                    <a:lumOff val="25000"/>
                  </a:schemeClr>
                </a:solidFill>
                <a:prstDash val="sysDash"/>
                <a:bevel/>
              </a:ln>
              <a:effectLst/>
            </c:spPr>
          </c:marker>
          <c:errBars>
            <c:errDir val="y"/>
            <c:errBarType val="both"/>
            <c:errValType val="cust"/>
            <c:noEndCap val="0"/>
            <c:plus>
              <c:numRef>
                <c:f>ABA!$L$4:$L$11</c:f>
                <c:numCache>
                  <c:formatCode>General</c:formatCode>
                  <c:ptCount val="8"/>
                  <c:pt idx="0">
                    <c:v>6.5025542784696828</c:v>
                  </c:pt>
                  <c:pt idx="1">
                    <c:v>22.176243737535422</c:v>
                  </c:pt>
                  <c:pt idx="2">
                    <c:v>15.719520539160582</c:v>
                  </c:pt>
                  <c:pt idx="3">
                    <c:v>28.725118923313048</c:v>
                  </c:pt>
                  <c:pt idx="4">
                    <c:v>20.864617314535831</c:v>
                  </c:pt>
                  <c:pt idx="5">
                    <c:v>6.3519529980456415</c:v>
                  </c:pt>
                  <c:pt idx="6">
                    <c:v>9.4819355680547286</c:v>
                  </c:pt>
                  <c:pt idx="7">
                    <c:v>14.646122808634104</c:v>
                  </c:pt>
                </c:numCache>
              </c:numRef>
            </c:plus>
            <c:minus>
              <c:numRef>
                <c:f>ABA!$L$4:$L$11</c:f>
                <c:numCache>
                  <c:formatCode>General</c:formatCode>
                  <c:ptCount val="8"/>
                  <c:pt idx="0">
                    <c:v>6.5025542784696828</c:v>
                  </c:pt>
                  <c:pt idx="1">
                    <c:v>22.176243737535422</c:v>
                  </c:pt>
                  <c:pt idx="2">
                    <c:v>15.719520539160582</c:v>
                  </c:pt>
                  <c:pt idx="3">
                    <c:v>28.725118923313048</c:v>
                  </c:pt>
                  <c:pt idx="4">
                    <c:v>20.864617314535831</c:v>
                  </c:pt>
                  <c:pt idx="5">
                    <c:v>6.3519529980456415</c:v>
                  </c:pt>
                  <c:pt idx="6">
                    <c:v>9.4819355680547286</c:v>
                  </c:pt>
                  <c:pt idx="7">
                    <c:v>14.646122808634104</c:v>
                  </c:pt>
                </c:numCache>
              </c:numRef>
            </c:minus>
            <c:spPr>
              <a:noFill/>
              <a:ln w="9525" cap="flat" cmpd="sng" algn="ctr">
                <a:solidFill>
                  <a:schemeClr val="tx1">
                    <a:lumMod val="65000"/>
                    <a:lumOff val="35000"/>
                  </a:schemeClr>
                </a:solidFill>
                <a:round/>
              </a:ln>
              <a:effectLst/>
            </c:spPr>
          </c:errBars>
          <c:cat>
            <c:strRef>
              <c:f>ABA!$H$4:$H$11</c:f>
              <c:strCache>
                <c:ptCount val="8"/>
                <c:pt idx="0">
                  <c:v>1d</c:v>
                </c:pt>
                <c:pt idx="1">
                  <c:v>2d</c:v>
                </c:pt>
                <c:pt idx="2">
                  <c:v>3d</c:v>
                </c:pt>
                <c:pt idx="3">
                  <c:v>4d</c:v>
                </c:pt>
                <c:pt idx="4">
                  <c:v>5d</c:v>
                </c:pt>
                <c:pt idx="5">
                  <c:v>6d</c:v>
                </c:pt>
                <c:pt idx="6">
                  <c:v>7d</c:v>
                </c:pt>
                <c:pt idx="7">
                  <c:v>8d</c:v>
                </c:pt>
              </c:strCache>
            </c:strRef>
          </c:cat>
          <c:val>
            <c:numRef>
              <c:f>ABA!$K$4:$K$11</c:f>
              <c:numCache>
                <c:formatCode>General</c:formatCode>
                <c:ptCount val="8"/>
                <c:pt idx="0">
                  <c:v>94.995553399628093</c:v>
                </c:pt>
                <c:pt idx="1">
                  <c:v>116.2637891282709</c:v>
                </c:pt>
                <c:pt idx="2">
                  <c:v>153.98221144127754</c:v>
                </c:pt>
                <c:pt idx="3">
                  <c:v>208.00608828006088</c:v>
                </c:pt>
                <c:pt idx="4">
                  <c:v>98.192364181538196</c:v>
                </c:pt>
                <c:pt idx="5">
                  <c:v>110.1975499393003</c:v>
                </c:pt>
                <c:pt idx="6">
                  <c:v>126.23122009052831</c:v>
                </c:pt>
                <c:pt idx="7">
                  <c:v>108.47107438016529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F4E2-4310-9462-34B6D22B41EA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1772299679"/>
        <c:axId val="1772307839"/>
      </c:lineChart>
      <c:catAx>
        <c:axId val="1772299679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solidFill>
            <a:schemeClr val="bg1"/>
          </a:solidFill>
          <a:ln w="9525" cap="flat" cmpd="sng" algn="ctr">
            <a:solidFill>
              <a:schemeClr val="tx1">
                <a:lumMod val="50000"/>
                <a:lumOff val="50000"/>
              </a:schemeClr>
            </a:solidFill>
            <a:round/>
          </a:ln>
          <a:effectLst/>
        </c:spPr>
        <c:txPr>
          <a:bodyPr rot="-60000000" vert="horz"/>
          <a:lstStyle/>
          <a:p>
            <a:pPr>
              <a:defRPr/>
            </a:pPr>
            <a:endParaRPr lang="en-US"/>
          </a:p>
        </c:txPr>
        <c:crossAx val="1772307839"/>
        <c:crosses val="autoZero"/>
        <c:auto val="1"/>
        <c:lblAlgn val="ctr"/>
        <c:lblOffset val="100"/>
        <c:noMultiLvlLbl val="0"/>
      </c:catAx>
      <c:valAx>
        <c:axId val="1772307839"/>
        <c:scaling>
          <c:orientation val="minMax"/>
        </c:scaling>
        <c:delete val="0"/>
        <c:axPos val="l"/>
        <c:majorGridlines>
          <c:spPr>
            <a:ln w="9525" cap="flat" cmpd="sng" algn="ctr">
              <a:noFill/>
              <a:round/>
            </a:ln>
            <a:effectLst/>
          </c:spPr>
        </c:majorGridlines>
        <c:title>
          <c:tx>
            <c:rich>
              <a:bodyPr rot="-5400000" vert="horz"/>
              <a:lstStyle/>
              <a:p>
                <a:pPr algn="ctr" rtl="0">
                  <a:defRPr b="0"/>
                </a:pPr>
                <a:r>
                  <a:rPr lang="en-GB" b="0"/>
                  <a:t>ABA (ng/g Dw)</a:t>
                </a:r>
              </a:p>
              <a:p>
                <a:pPr algn="ctr" rtl="0">
                  <a:defRPr b="0"/>
                </a:pPr>
                <a:endParaRPr lang="es-ES" b="0"/>
              </a:p>
            </c:rich>
          </c:tx>
          <c:layout>
            <c:manualLayout>
              <c:xMode val="edge"/>
              <c:yMode val="edge"/>
              <c:x val="5.4362204724409446E-2"/>
              <c:y val="0.26773549139690872"/>
            </c:manualLayout>
          </c:layout>
          <c:overlay val="0"/>
          <c:spPr>
            <a:noFill/>
            <a:ln>
              <a:noFill/>
            </a:ln>
            <a:effectLst/>
          </c:spPr>
        </c:title>
        <c:numFmt formatCode="General" sourceLinked="1"/>
        <c:majorTickMark val="none"/>
        <c:minorTickMark val="none"/>
        <c:tickLblPos val="nextTo"/>
        <c:spPr>
          <a:noFill/>
          <a:ln>
            <a:solidFill>
              <a:schemeClr val="tx1">
                <a:lumMod val="65000"/>
                <a:lumOff val="35000"/>
              </a:schemeClr>
            </a:solidFill>
          </a:ln>
          <a:effectLst/>
        </c:spPr>
        <c:txPr>
          <a:bodyPr rot="-60000000" vert="horz"/>
          <a:lstStyle/>
          <a:p>
            <a:pPr>
              <a:defRPr/>
            </a:pPr>
            <a:endParaRPr lang="en-US"/>
          </a:p>
        </c:txPr>
        <c:crossAx val="1772299679"/>
        <c:crosses val="autoZero"/>
        <c:crossBetween val="between"/>
      </c:valAx>
      <c:spPr>
        <a:noFill/>
        <a:ln>
          <a:solidFill>
            <a:schemeClr val="tx1">
              <a:lumMod val="65000"/>
              <a:lumOff val="35000"/>
            </a:schemeClr>
          </a:solidFill>
        </a:ln>
        <a:effectLst/>
      </c:spPr>
    </c:plotArea>
    <c:plotVisOnly val="1"/>
    <c:dispBlanksAs val="gap"/>
    <c:showDLblsOverMax val="0"/>
    <c:extLst/>
  </c:chart>
  <c:spPr>
    <a:solidFill>
      <a:schemeClr val="bg1"/>
    </a:solidFill>
    <a:ln w="9525" cap="flat" cmpd="sng" algn="ctr">
      <a:noFill/>
      <a:round/>
    </a:ln>
    <a:effectLst/>
  </c:spPr>
  <c:txPr>
    <a:bodyPr/>
    <a:lstStyle/>
    <a:p>
      <a:pPr>
        <a:defRPr sz="1200">
          <a:solidFill>
            <a:schemeClr val="tx1"/>
          </a:solidFill>
        </a:defRPr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lrMapOvr bg1="lt1" tx1="dk1" bg2="lt2" tx2="dk2" accent1="accent1" accent2="accent2" accent3="accent3" accent4="accent4" accent5="accent5" accent6="accent6" hlink="hlink" folHlink="folHlink"/>
  <c:chart>
    <c:autoTitleDeleted val="1"/>
    <c:plotArea>
      <c:layout>
        <c:manualLayout>
          <c:layoutTarget val="inner"/>
          <c:xMode val="edge"/>
          <c:yMode val="edge"/>
          <c:x val="0.20130291891143459"/>
          <c:y val="0.10031630084282255"/>
          <c:w val="0.64810734655962254"/>
          <c:h val="0.71733207644819041"/>
        </c:manualLayout>
      </c:layout>
      <c:lineChart>
        <c:grouping val="standard"/>
        <c:varyColors val="0"/>
        <c:ser>
          <c:idx val="0"/>
          <c:order val="0"/>
          <c:tx>
            <c:strRef>
              <c:f>SA!$I$3</c:f>
              <c:strCache>
                <c:ptCount val="1"/>
                <c:pt idx="0">
                  <c:v>C</c:v>
                </c:pt>
              </c:strCache>
            </c:strRef>
          </c:tx>
          <c:spPr>
            <a:ln w="19050" cap="rnd">
              <a:solidFill>
                <a:schemeClr val="tx1">
                  <a:lumMod val="75000"/>
                  <a:lumOff val="25000"/>
                </a:schemeClr>
              </a:solidFill>
              <a:prstDash val="sysDot"/>
              <a:round/>
            </a:ln>
            <a:effectLst/>
          </c:spPr>
          <c:marker>
            <c:symbol val="circle"/>
            <c:size val="3"/>
            <c:spPr>
              <a:solidFill>
                <a:schemeClr val="tx1">
                  <a:lumMod val="50000"/>
                  <a:lumOff val="50000"/>
                </a:schemeClr>
              </a:solidFill>
              <a:ln w="19050">
                <a:solidFill>
                  <a:schemeClr val="tx1">
                    <a:lumMod val="65000"/>
                    <a:lumOff val="35000"/>
                  </a:schemeClr>
                </a:solidFill>
                <a:prstDash val="lgDash"/>
              </a:ln>
              <a:effectLst/>
            </c:spPr>
          </c:marker>
          <c:dLbls>
            <c:dLbl>
              <c:idx val="0"/>
              <c:layout>
                <c:manualLayout>
                  <c:x val="-3.6708226455293466E-2"/>
                  <c:y val="-9.8482402207414971E-2"/>
                </c:manualLayout>
              </c:layout>
              <c:tx>
                <c:rich>
                  <a:bodyPr/>
                  <a:lstStyle/>
                  <a:p>
                    <a:fld id="{84FBB11B-D1CA-4B75-B6EA-DCB5E3D339C3}" type="CELLRANGE">
                      <a:rPr lang="en-US"/>
                      <a:pPr/>
                      <a:t>[CELLRANGE]</a:t>
                    </a:fld>
                    <a:endParaRPr lang="es-ES"/>
                  </a:p>
                </c:rich>
              </c:tx>
              <c:dLblPos val="r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showDataLabelsRange val="1"/>
                </c:ext>
                <c:ext xmlns:c16="http://schemas.microsoft.com/office/drawing/2014/chart" uri="{C3380CC4-5D6E-409C-BE32-E72D297353CC}">
                  <c16:uniqueId val="{00000004-A2E4-4909-B88B-415FBF8DFB5B}"/>
                </c:ext>
              </c:extLst>
            </c:dLbl>
            <c:dLbl>
              <c:idx val="1"/>
              <c:layout>
                <c:manualLayout>
                  <c:x val="-3.6708226455293494E-2"/>
                  <c:y val="-0.10310057730825122"/>
                </c:manualLayout>
              </c:layout>
              <c:tx>
                <c:rich>
                  <a:bodyPr/>
                  <a:lstStyle/>
                  <a:p>
                    <a:fld id="{E7121388-7ABA-4D3A-8883-542866DA2C4C}" type="CELLRANGE">
                      <a:rPr lang="en-US"/>
                      <a:pPr/>
                      <a:t>[CELLRANGE]</a:t>
                    </a:fld>
                    <a:endParaRPr lang="es-ES"/>
                  </a:p>
                </c:rich>
              </c:tx>
              <c:dLblPos val="r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showDataLabelsRange val="1"/>
                </c:ext>
                <c:ext xmlns:c16="http://schemas.microsoft.com/office/drawing/2014/chart" uri="{C3380CC4-5D6E-409C-BE32-E72D297353CC}">
                  <c16:uniqueId val="{00000005-A2E4-4909-B88B-415FBF8DFB5B}"/>
                </c:ext>
              </c:extLst>
            </c:dLbl>
            <c:dLbl>
              <c:idx val="2"/>
              <c:layout>
                <c:manualLayout>
                  <c:x val="-3.6708226455293494E-2"/>
                  <c:y val="-8.0009701804070077E-2"/>
                </c:manualLayout>
              </c:layout>
              <c:tx>
                <c:rich>
                  <a:bodyPr/>
                  <a:lstStyle/>
                  <a:p>
                    <a:fld id="{75D7091B-F1C2-41D5-92C9-E38AD707887B}" type="CELLRANGE">
                      <a:rPr lang="en-US"/>
                      <a:pPr/>
                      <a:t>[CELLRANGE]</a:t>
                    </a:fld>
                    <a:endParaRPr lang="es-ES"/>
                  </a:p>
                </c:rich>
              </c:tx>
              <c:dLblPos val="r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showDataLabelsRange val="1"/>
                </c:ext>
                <c:ext xmlns:c16="http://schemas.microsoft.com/office/drawing/2014/chart" uri="{C3380CC4-5D6E-409C-BE32-E72D297353CC}">
                  <c16:uniqueId val="{00000006-A2E4-4909-B88B-415FBF8DFB5B}"/>
                </c:ext>
              </c:extLst>
            </c:dLbl>
            <c:dLbl>
              <c:idx val="3"/>
              <c:layout>
                <c:manualLayout>
                  <c:x val="-3.6708226455293438E-2"/>
                  <c:y val="-9.3864227106578796E-2"/>
                </c:manualLayout>
              </c:layout>
              <c:tx>
                <c:rich>
                  <a:bodyPr/>
                  <a:lstStyle/>
                  <a:p>
                    <a:fld id="{8BFE836F-BEF0-46EE-B218-1B4C0D063D0F}" type="CELLRANGE">
                      <a:rPr lang="en-US"/>
                      <a:pPr/>
                      <a:t>[CELLRANGE]</a:t>
                    </a:fld>
                    <a:endParaRPr lang="es-ES"/>
                  </a:p>
                </c:rich>
              </c:tx>
              <c:dLblPos val="r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showDataLabelsRange val="1"/>
                </c:ext>
                <c:ext xmlns:c16="http://schemas.microsoft.com/office/drawing/2014/chart" uri="{C3380CC4-5D6E-409C-BE32-E72D297353CC}">
                  <c16:uniqueId val="{00000007-A2E4-4909-B88B-415FBF8DFB5B}"/>
                </c:ext>
              </c:extLst>
            </c:dLbl>
            <c:dLbl>
              <c:idx val="4"/>
              <c:layout>
                <c:manualLayout>
                  <c:x val="-3.6708226455293438E-2"/>
                  <c:y val="-8.4627876904906321E-2"/>
                </c:manualLayout>
              </c:layout>
              <c:tx>
                <c:rich>
                  <a:bodyPr/>
                  <a:lstStyle/>
                  <a:p>
                    <a:fld id="{0655E7D6-A4DD-4A6C-84FE-CCBBCE6510C2}" type="CELLRANGE">
                      <a:rPr lang="en-US"/>
                      <a:pPr/>
                      <a:t>[CELLRANGE]</a:t>
                    </a:fld>
                    <a:endParaRPr lang="es-ES"/>
                  </a:p>
                </c:rich>
              </c:tx>
              <c:dLblPos val="r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showDataLabelsRange val="1"/>
                </c:ext>
                <c:ext xmlns:c16="http://schemas.microsoft.com/office/drawing/2014/chart" uri="{C3380CC4-5D6E-409C-BE32-E72D297353CC}">
                  <c16:uniqueId val="{00000008-A2E4-4909-B88B-415FBF8DFB5B}"/>
                </c:ext>
              </c:extLst>
            </c:dLbl>
            <c:dLbl>
              <c:idx val="5"/>
              <c:layout>
                <c:manualLayout>
                  <c:x val="-3.6708226455293438E-2"/>
                  <c:y val="-9.3864227106578782E-2"/>
                </c:manualLayout>
              </c:layout>
              <c:tx>
                <c:rich>
                  <a:bodyPr/>
                  <a:lstStyle/>
                  <a:p>
                    <a:fld id="{0941C8DC-FCC8-4528-BCED-FAE9AF3DA5AC}" type="CELLRANGE">
                      <a:rPr lang="en-US"/>
                      <a:pPr/>
                      <a:t>[CELLRANGE]</a:t>
                    </a:fld>
                    <a:endParaRPr lang="es-ES"/>
                  </a:p>
                </c:rich>
              </c:tx>
              <c:dLblPos val="r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showDataLabelsRange val="1"/>
                </c:ext>
                <c:ext xmlns:c16="http://schemas.microsoft.com/office/drawing/2014/chart" uri="{C3380CC4-5D6E-409C-BE32-E72D297353CC}">
                  <c16:uniqueId val="{00000009-A2E4-4909-B88B-415FBF8DFB5B}"/>
                </c:ext>
              </c:extLst>
            </c:dLbl>
            <c:dLbl>
              <c:idx val="6"/>
              <c:layout>
                <c:manualLayout>
                  <c:x val="-3.6708226455293438E-2"/>
                  <c:y val="-9.3864227106578754E-2"/>
                </c:manualLayout>
              </c:layout>
              <c:tx>
                <c:rich>
                  <a:bodyPr/>
                  <a:lstStyle/>
                  <a:p>
                    <a:fld id="{BF60083A-7849-4FCC-A326-00A2DCEA75F5}" type="CELLRANGE">
                      <a:rPr lang="en-US"/>
                      <a:pPr/>
                      <a:t>[CELLRANGE]</a:t>
                    </a:fld>
                    <a:endParaRPr lang="es-ES"/>
                  </a:p>
                </c:rich>
              </c:tx>
              <c:dLblPos val="r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showDataLabelsRange val="1"/>
                </c:ext>
                <c:ext xmlns:c16="http://schemas.microsoft.com/office/drawing/2014/chart" uri="{C3380CC4-5D6E-409C-BE32-E72D297353CC}">
                  <c16:uniqueId val="{0000000A-A2E4-4909-B88B-415FBF8DFB5B}"/>
                </c:ext>
              </c:extLst>
            </c:dLbl>
            <c:dLbl>
              <c:idx val="7"/>
              <c:layout>
                <c:manualLayout>
                  <c:x val="-3.6708226455293438E-2"/>
                  <c:y val="-7.5391526703233888E-2"/>
                </c:manualLayout>
              </c:layout>
              <c:tx>
                <c:rich>
                  <a:bodyPr/>
                  <a:lstStyle/>
                  <a:p>
                    <a:fld id="{A54CFBD9-4D48-451C-BE37-56F8FD5167CE}" type="CELLRANGE">
                      <a:rPr lang="en-US"/>
                      <a:pPr/>
                      <a:t>[CELLRANGE]</a:t>
                    </a:fld>
                    <a:endParaRPr lang="es-ES"/>
                  </a:p>
                </c:rich>
              </c:tx>
              <c:dLblPos val="r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showDataLabelsRange val="1"/>
                </c:ext>
                <c:ext xmlns:c16="http://schemas.microsoft.com/office/drawing/2014/chart" uri="{C3380CC4-5D6E-409C-BE32-E72D297353CC}">
                  <c16:uniqueId val="{0000000B-A2E4-4909-B88B-415FBF8DFB5B}"/>
                </c:ext>
              </c:extLst>
            </c:dLbl>
            <c:spPr>
              <a:noFill/>
              <a:ln>
                <a:noFill/>
              </a:ln>
              <a:effectLst/>
            </c:spPr>
            <c:dLblPos val="t"/>
            <c:showLegendKey val="0"/>
            <c:showVal val="0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DataLabelsRange val="1"/>
                <c15:showLeaderLines val="0"/>
              </c:ext>
            </c:extLst>
          </c:dLbls>
          <c:errBars>
            <c:errDir val="y"/>
            <c:errBarType val="both"/>
            <c:errValType val="cust"/>
            <c:noEndCap val="0"/>
            <c:plus>
              <c:numRef>
                <c:f>SA!$J$4:$J$11</c:f>
                <c:numCache>
                  <c:formatCode>General</c:formatCode>
                  <c:ptCount val="8"/>
                  <c:pt idx="0">
                    <c:v>145.06952240354948</c:v>
                  </c:pt>
                  <c:pt idx="1">
                    <c:v>160.22085112870124</c:v>
                  </c:pt>
                  <c:pt idx="2">
                    <c:v>100.55019560333849</c:v>
                  </c:pt>
                  <c:pt idx="3">
                    <c:v>147.4100248805552</c:v>
                  </c:pt>
                  <c:pt idx="4">
                    <c:v>127.54339565815634</c:v>
                  </c:pt>
                  <c:pt idx="5">
                    <c:v>157.61591882271966</c:v>
                  </c:pt>
                  <c:pt idx="6">
                    <c:v>136.06418497724016</c:v>
                  </c:pt>
                  <c:pt idx="7">
                    <c:v>69.962917147315295</c:v>
                  </c:pt>
                </c:numCache>
              </c:numRef>
            </c:plus>
            <c:minus>
              <c:numRef>
                <c:f>SA!$J$4:$J$11</c:f>
                <c:numCache>
                  <c:formatCode>General</c:formatCode>
                  <c:ptCount val="8"/>
                  <c:pt idx="0">
                    <c:v>145.06952240354948</c:v>
                  </c:pt>
                  <c:pt idx="1">
                    <c:v>160.22085112870124</c:v>
                  </c:pt>
                  <c:pt idx="2">
                    <c:v>100.55019560333849</c:v>
                  </c:pt>
                  <c:pt idx="3">
                    <c:v>147.4100248805552</c:v>
                  </c:pt>
                  <c:pt idx="4">
                    <c:v>127.54339565815634</c:v>
                  </c:pt>
                  <c:pt idx="5">
                    <c:v>157.61591882271966</c:v>
                  </c:pt>
                  <c:pt idx="6">
                    <c:v>136.06418497724016</c:v>
                  </c:pt>
                  <c:pt idx="7">
                    <c:v>69.962917147315295</c:v>
                  </c:pt>
                </c:numCache>
              </c:numRef>
            </c:minus>
            <c:spPr>
              <a:noFill/>
              <a:ln w="9525" cap="flat" cmpd="sng" algn="ctr">
                <a:solidFill>
                  <a:schemeClr val="tx1">
                    <a:lumMod val="65000"/>
                    <a:lumOff val="35000"/>
                  </a:schemeClr>
                </a:solidFill>
                <a:round/>
              </a:ln>
              <a:effectLst/>
            </c:spPr>
          </c:errBars>
          <c:cat>
            <c:strRef>
              <c:f>SA!$H$4:$H$11</c:f>
              <c:strCache>
                <c:ptCount val="8"/>
                <c:pt idx="0">
                  <c:v>1d</c:v>
                </c:pt>
                <c:pt idx="1">
                  <c:v>2d</c:v>
                </c:pt>
                <c:pt idx="2">
                  <c:v>3d</c:v>
                </c:pt>
                <c:pt idx="3">
                  <c:v>4d</c:v>
                </c:pt>
                <c:pt idx="4">
                  <c:v>5d</c:v>
                </c:pt>
                <c:pt idx="5">
                  <c:v>6d</c:v>
                </c:pt>
                <c:pt idx="6">
                  <c:v>7d</c:v>
                </c:pt>
                <c:pt idx="7">
                  <c:v>8d</c:v>
                </c:pt>
              </c:strCache>
            </c:strRef>
          </c:cat>
          <c:val>
            <c:numRef>
              <c:f>SA!$I$4:$I$11</c:f>
              <c:numCache>
                <c:formatCode>General</c:formatCode>
                <c:ptCount val="8"/>
                <c:pt idx="0">
                  <c:v>1131.8123831661562</c:v>
                </c:pt>
                <c:pt idx="1">
                  <c:v>1319.239585761615</c:v>
                </c:pt>
                <c:pt idx="2">
                  <c:v>1384.5327604726099</c:v>
                </c:pt>
                <c:pt idx="3">
                  <c:v>1212.0630430389981</c:v>
                </c:pt>
                <c:pt idx="4">
                  <c:v>1189.9463558468167</c:v>
                </c:pt>
                <c:pt idx="5">
                  <c:v>1341.4855072463768</c:v>
                </c:pt>
                <c:pt idx="6">
                  <c:v>1024.0082419081928</c:v>
                </c:pt>
                <c:pt idx="7">
                  <c:v>984.1269841269841</c:v>
                </c:pt>
              </c:numCache>
            </c:numRef>
          </c:val>
          <c:smooth val="0"/>
          <c:extLst>
            <c:ext xmlns:c15="http://schemas.microsoft.com/office/drawing/2012/chart" uri="{02D57815-91ED-43cb-92C2-25804820EDAC}">
              <c15:datalabelsRange>
                <c15:f>SA!$U$4:$U$11</c15:f>
                <c15:dlblRangeCache>
                  <c:ptCount val="8"/>
                  <c:pt idx="0">
                    <c:v>ns</c:v>
                  </c:pt>
                  <c:pt idx="1">
                    <c:v>ns</c:v>
                  </c:pt>
                  <c:pt idx="2">
                    <c:v>ns</c:v>
                  </c:pt>
                  <c:pt idx="3">
                    <c:v>ns</c:v>
                  </c:pt>
                  <c:pt idx="4">
                    <c:v>ns</c:v>
                  </c:pt>
                  <c:pt idx="5">
                    <c:v>ns</c:v>
                  </c:pt>
                  <c:pt idx="6">
                    <c:v>ns</c:v>
                  </c:pt>
                  <c:pt idx="7">
                    <c:v>ns</c:v>
                  </c:pt>
                </c15:dlblRangeCache>
              </c15:datalabelsRange>
            </c:ext>
            <c:ext xmlns:c16="http://schemas.microsoft.com/office/drawing/2014/chart" uri="{C3380CC4-5D6E-409C-BE32-E72D297353CC}">
              <c16:uniqueId val="{00000000-F4E2-4310-9462-34B6D22B41EA}"/>
            </c:ext>
          </c:extLst>
        </c:ser>
        <c:ser>
          <c:idx val="1"/>
          <c:order val="1"/>
          <c:tx>
            <c:strRef>
              <c:f>SA!$K$3</c:f>
              <c:strCache>
                <c:ptCount val="1"/>
                <c:pt idx="0">
                  <c:v>Bm</c:v>
                </c:pt>
              </c:strCache>
            </c:strRef>
          </c:tx>
          <c:spPr>
            <a:ln w="19050" cap="rnd">
              <a:solidFill>
                <a:schemeClr val="bg2">
                  <a:lumMod val="75000"/>
                  <a:alpha val="93000"/>
                </a:schemeClr>
              </a:solidFill>
              <a:prstDash val="solid"/>
              <a:round/>
            </a:ln>
            <a:effectLst/>
          </c:spPr>
          <c:marker>
            <c:symbol val="diamond"/>
            <c:size val="3"/>
            <c:spPr>
              <a:solidFill>
                <a:schemeClr val="tx1">
                  <a:lumMod val="75000"/>
                  <a:lumOff val="25000"/>
                </a:schemeClr>
              </a:solidFill>
              <a:ln w="12700">
                <a:solidFill>
                  <a:schemeClr val="tx1">
                    <a:lumMod val="75000"/>
                    <a:lumOff val="25000"/>
                  </a:schemeClr>
                </a:solidFill>
                <a:prstDash val="sysDash"/>
                <a:bevel/>
              </a:ln>
              <a:effectLst/>
            </c:spPr>
          </c:marker>
          <c:errBars>
            <c:errDir val="y"/>
            <c:errBarType val="both"/>
            <c:errValType val="cust"/>
            <c:noEndCap val="0"/>
            <c:plus>
              <c:numRef>
                <c:f>SA!$L$4:$L$11</c:f>
                <c:numCache>
                  <c:formatCode>General</c:formatCode>
                  <c:ptCount val="8"/>
                  <c:pt idx="0">
                    <c:v>130.52043993766267</c:v>
                  </c:pt>
                  <c:pt idx="1">
                    <c:v>136.04226597090729</c:v>
                  </c:pt>
                  <c:pt idx="2">
                    <c:v>45.574453245772411</c:v>
                  </c:pt>
                  <c:pt idx="3">
                    <c:v>106.62521136088959</c:v>
                  </c:pt>
                  <c:pt idx="4">
                    <c:v>227.28598300529998</c:v>
                  </c:pt>
                  <c:pt idx="5">
                    <c:v>111.5008115626735</c:v>
                  </c:pt>
                  <c:pt idx="6">
                    <c:v>75.905591679051867</c:v>
                  </c:pt>
                  <c:pt idx="7">
                    <c:v>45.714998546850182</c:v>
                  </c:pt>
                </c:numCache>
              </c:numRef>
            </c:plus>
            <c:minus>
              <c:numRef>
                <c:f>SA!$L$4:$L$11</c:f>
                <c:numCache>
                  <c:formatCode>General</c:formatCode>
                  <c:ptCount val="8"/>
                  <c:pt idx="0">
                    <c:v>130.52043993766267</c:v>
                  </c:pt>
                  <c:pt idx="1">
                    <c:v>136.04226597090729</c:v>
                  </c:pt>
                  <c:pt idx="2">
                    <c:v>45.574453245772411</c:v>
                  </c:pt>
                  <c:pt idx="3">
                    <c:v>106.62521136088959</c:v>
                  </c:pt>
                  <c:pt idx="4">
                    <c:v>227.28598300529998</c:v>
                  </c:pt>
                  <c:pt idx="5">
                    <c:v>111.5008115626735</c:v>
                  </c:pt>
                  <c:pt idx="6">
                    <c:v>75.905591679051867</c:v>
                  </c:pt>
                  <c:pt idx="7">
                    <c:v>45.714998546850182</c:v>
                  </c:pt>
                </c:numCache>
              </c:numRef>
            </c:minus>
            <c:spPr>
              <a:noFill/>
              <a:ln w="9525" cap="flat" cmpd="sng" algn="ctr">
                <a:solidFill>
                  <a:schemeClr val="tx1">
                    <a:lumMod val="65000"/>
                    <a:lumOff val="35000"/>
                  </a:schemeClr>
                </a:solidFill>
                <a:round/>
              </a:ln>
              <a:effectLst/>
            </c:spPr>
          </c:errBars>
          <c:cat>
            <c:strRef>
              <c:f>SA!$H$4:$H$11</c:f>
              <c:strCache>
                <c:ptCount val="8"/>
                <c:pt idx="0">
                  <c:v>1d</c:v>
                </c:pt>
                <c:pt idx="1">
                  <c:v>2d</c:v>
                </c:pt>
                <c:pt idx="2">
                  <c:v>3d</c:v>
                </c:pt>
                <c:pt idx="3">
                  <c:v>4d</c:v>
                </c:pt>
                <c:pt idx="4">
                  <c:v>5d</c:v>
                </c:pt>
                <c:pt idx="5">
                  <c:v>6d</c:v>
                </c:pt>
                <c:pt idx="6">
                  <c:v>7d</c:v>
                </c:pt>
                <c:pt idx="7">
                  <c:v>8d</c:v>
                </c:pt>
              </c:strCache>
            </c:strRef>
          </c:cat>
          <c:val>
            <c:numRef>
              <c:f>SA!$K$4:$K$11</c:f>
              <c:numCache>
                <c:formatCode>General</c:formatCode>
                <c:ptCount val="8"/>
                <c:pt idx="0">
                  <c:v>943.8919880346026</c:v>
                </c:pt>
                <c:pt idx="1">
                  <c:v>944.84153135835004</c:v>
                </c:pt>
                <c:pt idx="2">
                  <c:v>941.51337510949406</c:v>
                </c:pt>
                <c:pt idx="3">
                  <c:v>898.83561643835617</c:v>
                </c:pt>
                <c:pt idx="4">
                  <c:v>1033.0695061354866</c:v>
                </c:pt>
                <c:pt idx="5">
                  <c:v>1308.701670161498</c:v>
                </c:pt>
                <c:pt idx="6">
                  <c:v>835.29818197521263</c:v>
                </c:pt>
                <c:pt idx="7">
                  <c:v>686.46694214876027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F4E2-4310-9462-34B6D22B41EA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1772299679"/>
        <c:axId val="1772307839"/>
      </c:lineChart>
      <c:catAx>
        <c:axId val="1772299679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solidFill>
            <a:schemeClr val="bg1"/>
          </a:solidFill>
          <a:ln w="9525" cap="flat" cmpd="sng" algn="ctr">
            <a:solidFill>
              <a:schemeClr val="tx1">
                <a:lumMod val="50000"/>
                <a:lumOff val="50000"/>
              </a:schemeClr>
            </a:solidFill>
            <a:round/>
          </a:ln>
          <a:effectLst/>
        </c:spPr>
        <c:txPr>
          <a:bodyPr rot="-60000000" vert="horz"/>
          <a:lstStyle/>
          <a:p>
            <a:pPr>
              <a:defRPr/>
            </a:pPr>
            <a:endParaRPr lang="en-US"/>
          </a:p>
        </c:txPr>
        <c:crossAx val="1772307839"/>
        <c:crosses val="autoZero"/>
        <c:auto val="1"/>
        <c:lblAlgn val="ctr"/>
        <c:lblOffset val="100"/>
        <c:noMultiLvlLbl val="0"/>
      </c:catAx>
      <c:valAx>
        <c:axId val="1772307839"/>
        <c:scaling>
          <c:orientation val="minMax"/>
        </c:scaling>
        <c:delete val="0"/>
        <c:axPos val="l"/>
        <c:majorGridlines>
          <c:spPr>
            <a:ln w="9525" cap="flat" cmpd="sng" algn="ctr">
              <a:noFill/>
              <a:round/>
            </a:ln>
            <a:effectLst/>
          </c:spPr>
        </c:majorGridlines>
        <c:title>
          <c:tx>
            <c:rich>
              <a:bodyPr rot="-5400000" vert="horz"/>
              <a:lstStyle/>
              <a:p>
                <a:pPr>
                  <a:defRPr b="0"/>
                </a:pPr>
                <a:r>
                  <a:rPr lang="en-GB" b="0"/>
                  <a:t>SA (ng/g Dw)</a:t>
                </a:r>
              </a:p>
            </c:rich>
          </c:tx>
          <c:layout>
            <c:manualLayout>
              <c:xMode val="edge"/>
              <c:yMode val="edge"/>
              <c:x val="4.6028871391076122E-2"/>
              <c:y val="0.29088363954505686"/>
            </c:manualLayout>
          </c:layout>
          <c:overlay val="0"/>
          <c:spPr>
            <a:noFill/>
            <a:ln>
              <a:noFill/>
            </a:ln>
            <a:effectLst/>
          </c:spPr>
        </c:title>
        <c:numFmt formatCode="General" sourceLinked="1"/>
        <c:majorTickMark val="none"/>
        <c:minorTickMark val="none"/>
        <c:tickLblPos val="nextTo"/>
        <c:spPr>
          <a:noFill/>
          <a:ln>
            <a:solidFill>
              <a:schemeClr val="tx1">
                <a:lumMod val="65000"/>
                <a:lumOff val="35000"/>
              </a:schemeClr>
            </a:solidFill>
          </a:ln>
          <a:effectLst/>
        </c:spPr>
        <c:txPr>
          <a:bodyPr rot="-60000000" vert="horz"/>
          <a:lstStyle/>
          <a:p>
            <a:pPr>
              <a:defRPr/>
            </a:pPr>
            <a:endParaRPr lang="en-US"/>
          </a:p>
        </c:txPr>
        <c:crossAx val="1772299679"/>
        <c:crosses val="autoZero"/>
        <c:crossBetween val="between"/>
        <c:majorUnit val="300"/>
      </c:valAx>
      <c:spPr>
        <a:noFill/>
        <a:ln>
          <a:solidFill>
            <a:schemeClr val="tx1">
              <a:lumMod val="65000"/>
              <a:lumOff val="35000"/>
            </a:schemeClr>
          </a:solidFill>
        </a:ln>
        <a:effectLst/>
      </c:spPr>
    </c:plotArea>
    <c:plotVisOnly val="1"/>
    <c:dispBlanksAs val="gap"/>
    <c:showDLblsOverMax val="0"/>
    <c:extLst/>
  </c:chart>
  <c:spPr>
    <a:solidFill>
      <a:schemeClr val="bg1"/>
    </a:solidFill>
    <a:ln w="9525" cap="flat" cmpd="sng" algn="ctr">
      <a:noFill/>
      <a:round/>
    </a:ln>
    <a:effectLst/>
  </c:spPr>
  <c:txPr>
    <a:bodyPr/>
    <a:lstStyle/>
    <a:p>
      <a:pPr>
        <a:defRPr sz="1200">
          <a:solidFill>
            <a:schemeClr val="tx1"/>
          </a:solidFill>
        </a:defRPr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lrMapOvr bg1="lt1" tx1="dk1" bg2="lt2" tx2="dk2" accent1="accent1" accent2="accent2" accent3="accent3" accent4="accent4" accent5="accent5" accent6="accent6" hlink="hlink" folHlink="folHlink"/>
  <c:chart>
    <c:autoTitleDeleted val="1"/>
    <c:plotArea>
      <c:layout>
        <c:manualLayout>
          <c:layoutTarget val="inner"/>
          <c:xMode val="edge"/>
          <c:yMode val="edge"/>
          <c:x val="0.20130291891143459"/>
          <c:y val="0.10031630084282255"/>
          <c:w val="0.64810734655962254"/>
          <c:h val="0.71733207644819041"/>
        </c:manualLayout>
      </c:layout>
      <c:lineChart>
        <c:grouping val="standard"/>
        <c:varyColors val="0"/>
        <c:ser>
          <c:idx val="0"/>
          <c:order val="0"/>
          <c:tx>
            <c:strRef>
              <c:f>OPDA!$I$3</c:f>
              <c:strCache>
                <c:ptCount val="1"/>
                <c:pt idx="0">
                  <c:v>C</c:v>
                </c:pt>
              </c:strCache>
            </c:strRef>
          </c:tx>
          <c:spPr>
            <a:ln w="19050" cap="rnd">
              <a:solidFill>
                <a:schemeClr val="tx1">
                  <a:lumMod val="75000"/>
                  <a:lumOff val="25000"/>
                </a:schemeClr>
              </a:solidFill>
              <a:prstDash val="sysDot"/>
              <a:round/>
            </a:ln>
            <a:effectLst/>
          </c:spPr>
          <c:marker>
            <c:symbol val="circle"/>
            <c:size val="3"/>
            <c:spPr>
              <a:solidFill>
                <a:schemeClr val="tx1">
                  <a:lumMod val="50000"/>
                  <a:lumOff val="50000"/>
                </a:schemeClr>
              </a:solidFill>
              <a:ln w="19050">
                <a:solidFill>
                  <a:schemeClr val="tx1">
                    <a:lumMod val="65000"/>
                    <a:lumOff val="35000"/>
                  </a:schemeClr>
                </a:solidFill>
                <a:prstDash val="lgDash"/>
              </a:ln>
              <a:effectLst/>
            </c:spPr>
          </c:marker>
          <c:dLbls>
            <c:dLbl>
              <c:idx val="0"/>
              <c:layout>
                <c:manualLayout>
                  <c:x val="-3.6632628127539396E-2"/>
                  <c:y val="-0.1031006147993293"/>
                </c:manualLayout>
              </c:layout>
              <c:tx>
                <c:rich>
                  <a:bodyPr/>
                  <a:lstStyle/>
                  <a:p>
                    <a:fld id="{C68D2356-BB44-476D-8015-973E690926D6}" type="CELLRANGE">
                      <a:rPr lang="en-US"/>
                      <a:pPr/>
                      <a:t>[CELLRANGE]</a:t>
                    </a:fld>
                    <a:endParaRPr lang="es-ES"/>
                  </a:p>
                </c:rich>
              </c:tx>
              <c:dLblPos val="r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showDataLabelsRange val="1"/>
                </c:ext>
                <c:ext xmlns:c16="http://schemas.microsoft.com/office/drawing/2014/chart" uri="{C3380CC4-5D6E-409C-BE32-E72D297353CC}">
                  <c16:uniqueId val="{00000004-60B0-4F73-857A-A0B31CB9051B}"/>
                </c:ext>
              </c:extLst>
            </c:dLbl>
            <c:dLbl>
              <c:idx val="1"/>
              <c:tx>
                <c:rich>
                  <a:bodyPr/>
                  <a:lstStyle/>
                  <a:p>
                    <a:fld id="{4CCC1F3B-2DA9-482D-A2DA-458007A7F9CA}" type="CELLRANGE">
                      <a:rPr lang="es-ES"/>
                      <a:pPr/>
                      <a:t>[CELLRANGE]</a:t>
                    </a:fld>
                    <a:endParaRPr lang="es-ES"/>
                  </a:p>
                </c:rich>
              </c:tx>
              <c:dLblPos val="t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05-60B0-4F73-857A-A0B31CB9051B}"/>
                </c:ext>
              </c:extLst>
            </c:dLbl>
            <c:dLbl>
              <c:idx val="2"/>
              <c:layout>
                <c:manualLayout>
                  <c:x val="-3.6632628127539396E-2"/>
                  <c:y val="-0.14928238260103716"/>
                </c:manualLayout>
              </c:layout>
              <c:tx>
                <c:rich>
                  <a:bodyPr/>
                  <a:lstStyle/>
                  <a:p>
                    <a:fld id="{235E0167-7E33-4D66-B9D9-45A348C67611}" type="CELLRANGE">
                      <a:rPr lang="en-US"/>
                      <a:pPr/>
                      <a:t>[CELLRANGE]</a:t>
                    </a:fld>
                    <a:endParaRPr lang="es-ES"/>
                  </a:p>
                </c:rich>
              </c:tx>
              <c:dLblPos val="r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showDataLabelsRange val="1"/>
                </c:ext>
                <c:ext xmlns:c16="http://schemas.microsoft.com/office/drawing/2014/chart" uri="{C3380CC4-5D6E-409C-BE32-E72D297353CC}">
                  <c16:uniqueId val="{00000006-60B0-4F73-857A-A0B31CB9051B}"/>
                </c:ext>
              </c:extLst>
            </c:dLbl>
            <c:dLbl>
              <c:idx val="3"/>
              <c:tx>
                <c:rich>
                  <a:bodyPr/>
                  <a:lstStyle/>
                  <a:p>
                    <a:fld id="{BE318004-13D4-4A62-AF32-9AB84B5643F4}" type="CELLRANGE">
                      <a:rPr lang="es-ES"/>
                      <a:pPr/>
                      <a:t>[CELLRANGE]</a:t>
                    </a:fld>
                    <a:endParaRPr lang="es-ES"/>
                  </a:p>
                </c:rich>
              </c:tx>
              <c:dLblPos val="t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07-60B0-4F73-857A-A0B31CB9051B}"/>
                </c:ext>
              </c:extLst>
            </c:dLbl>
            <c:dLbl>
              <c:idx val="4"/>
              <c:layout>
                <c:manualLayout>
                  <c:x val="-3.6632628127539396E-2"/>
                  <c:y val="-0.11695514513984162"/>
                </c:manualLayout>
              </c:layout>
              <c:tx>
                <c:rich>
                  <a:bodyPr/>
                  <a:lstStyle/>
                  <a:p>
                    <a:fld id="{4D994B3F-C19E-485E-A336-134523E2F586}" type="CELLRANGE">
                      <a:rPr lang="en-US"/>
                      <a:pPr/>
                      <a:t>[CELLRANGE]</a:t>
                    </a:fld>
                    <a:endParaRPr lang="es-ES"/>
                  </a:p>
                </c:rich>
              </c:tx>
              <c:dLblPos val="r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showDataLabelsRange val="1"/>
                </c:ext>
                <c:ext xmlns:c16="http://schemas.microsoft.com/office/drawing/2014/chart" uri="{C3380CC4-5D6E-409C-BE32-E72D297353CC}">
                  <c16:uniqueId val="{00000008-60B0-4F73-857A-A0B31CB9051B}"/>
                </c:ext>
              </c:extLst>
            </c:dLbl>
            <c:dLbl>
              <c:idx val="5"/>
              <c:layout>
                <c:manualLayout>
                  <c:x val="-3.6632628127539396E-2"/>
                  <c:y val="-0.2324095646441113"/>
                </c:manualLayout>
              </c:layout>
              <c:tx>
                <c:rich>
                  <a:bodyPr/>
                  <a:lstStyle/>
                  <a:p>
                    <a:fld id="{96762FF6-F487-48D0-B9F2-A54872F00FF8}" type="CELLRANGE">
                      <a:rPr lang="en-US"/>
                      <a:pPr/>
                      <a:t>[CELLRANGE]</a:t>
                    </a:fld>
                    <a:endParaRPr lang="es-ES"/>
                  </a:p>
                </c:rich>
              </c:tx>
              <c:dLblPos val="r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showDataLabelsRange val="1"/>
                </c:ext>
                <c:ext xmlns:c16="http://schemas.microsoft.com/office/drawing/2014/chart" uri="{C3380CC4-5D6E-409C-BE32-E72D297353CC}">
                  <c16:uniqueId val="{00000009-60B0-4F73-857A-A0B31CB9051B}"/>
                </c:ext>
              </c:extLst>
            </c:dLbl>
            <c:dLbl>
              <c:idx val="6"/>
              <c:layout>
                <c:manualLayout>
                  <c:x val="-3.6632628127539396E-2"/>
                  <c:y val="-0.17699144328206187"/>
                </c:manualLayout>
              </c:layout>
              <c:tx>
                <c:rich>
                  <a:bodyPr/>
                  <a:lstStyle/>
                  <a:p>
                    <a:fld id="{0C22CF17-54D6-46F3-A131-E136EFB36800}" type="CELLRANGE">
                      <a:rPr lang="en-US"/>
                      <a:pPr/>
                      <a:t>[CELLRANGE]</a:t>
                    </a:fld>
                    <a:endParaRPr lang="es-ES"/>
                  </a:p>
                </c:rich>
              </c:tx>
              <c:dLblPos val="r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showDataLabelsRange val="1"/>
                </c:ext>
                <c:ext xmlns:c16="http://schemas.microsoft.com/office/drawing/2014/chart" uri="{C3380CC4-5D6E-409C-BE32-E72D297353CC}">
                  <c16:uniqueId val="{0000000A-60B0-4F73-857A-A0B31CB9051B}"/>
                </c:ext>
              </c:extLst>
            </c:dLbl>
            <c:dLbl>
              <c:idx val="7"/>
              <c:layout>
                <c:manualLayout>
                  <c:x val="-3.6632628127539493E-2"/>
                  <c:y val="-0.16313691294154953"/>
                </c:manualLayout>
              </c:layout>
              <c:tx>
                <c:rich>
                  <a:bodyPr/>
                  <a:lstStyle/>
                  <a:p>
                    <a:fld id="{5222CCD8-8A58-4CBF-ACB0-E6E5C554F8B2}" type="CELLRANGE">
                      <a:rPr lang="en-US"/>
                      <a:pPr/>
                      <a:t>[CELLRANGE]</a:t>
                    </a:fld>
                    <a:endParaRPr lang="es-ES"/>
                  </a:p>
                </c:rich>
              </c:tx>
              <c:dLblPos val="r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showDataLabelsRange val="1"/>
                </c:ext>
                <c:ext xmlns:c16="http://schemas.microsoft.com/office/drawing/2014/chart" uri="{C3380CC4-5D6E-409C-BE32-E72D297353CC}">
                  <c16:uniqueId val="{0000000B-60B0-4F73-857A-A0B31CB9051B}"/>
                </c:ext>
              </c:extLst>
            </c:dLbl>
            <c:spPr>
              <a:noFill/>
              <a:ln>
                <a:noFill/>
              </a:ln>
              <a:effectLst/>
            </c:spPr>
            <c:dLblPos val="t"/>
            <c:showLegendKey val="0"/>
            <c:showVal val="0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DataLabelsRange val="1"/>
                <c15:showLeaderLines val="0"/>
              </c:ext>
            </c:extLst>
          </c:dLbls>
          <c:errBars>
            <c:errDir val="y"/>
            <c:errBarType val="both"/>
            <c:errValType val="cust"/>
            <c:noEndCap val="0"/>
            <c:plus>
              <c:numRef>
                <c:f>OPDA!$J$4:$J$11</c:f>
                <c:numCache>
                  <c:formatCode>General</c:formatCode>
                  <c:ptCount val="8"/>
                  <c:pt idx="0">
                    <c:v>433.42054589540612</c:v>
                  </c:pt>
                  <c:pt idx="1">
                    <c:v>67.869921143685104</c:v>
                  </c:pt>
                  <c:pt idx="2">
                    <c:v>620.31832367117011</c:v>
                  </c:pt>
                  <c:pt idx="3">
                    <c:v>146.55696255559357</c:v>
                  </c:pt>
                  <c:pt idx="4">
                    <c:v>397.16685602556601</c:v>
                  </c:pt>
                  <c:pt idx="5">
                    <c:v>1109.8486035294504</c:v>
                  </c:pt>
                  <c:pt idx="6">
                    <c:v>770.05180220225031</c:v>
                  </c:pt>
                  <c:pt idx="7">
                    <c:v>747.38310569395696</c:v>
                  </c:pt>
                </c:numCache>
              </c:numRef>
            </c:plus>
            <c:minus>
              <c:numRef>
                <c:f>OPDA!$J$4:$J$11</c:f>
                <c:numCache>
                  <c:formatCode>General</c:formatCode>
                  <c:ptCount val="8"/>
                  <c:pt idx="0">
                    <c:v>433.42054589540612</c:v>
                  </c:pt>
                  <c:pt idx="1">
                    <c:v>67.869921143685104</c:v>
                  </c:pt>
                  <c:pt idx="2">
                    <c:v>620.31832367117011</c:v>
                  </c:pt>
                  <c:pt idx="3">
                    <c:v>146.55696255559357</c:v>
                  </c:pt>
                  <c:pt idx="4">
                    <c:v>397.16685602556601</c:v>
                  </c:pt>
                  <c:pt idx="5">
                    <c:v>1109.8486035294504</c:v>
                  </c:pt>
                  <c:pt idx="6">
                    <c:v>770.05180220225031</c:v>
                  </c:pt>
                  <c:pt idx="7">
                    <c:v>747.38310569395696</c:v>
                  </c:pt>
                </c:numCache>
              </c:numRef>
            </c:minus>
            <c:spPr>
              <a:noFill/>
              <a:ln w="9525" cap="flat" cmpd="sng" algn="ctr">
                <a:solidFill>
                  <a:schemeClr val="tx1">
                    <a:lumMod val="65000"/>
                    <a:lumOff val="35000"/>
                  </a:schemeClr>
                </a:solidFill>
                <a:round/>
              </a:ln>
              <a:effectLst/>
            </c:spPr>
          </c:errBars>
          <c:cat>
            <c:strRef>
              <c:f>OPDA!$H$4:$H$11</c:f>
              <c:strCache>
                <c:ptCount val="8"/>
                <c:pt idx="0">
                  <c:v>1d</c:v>
                </c:pt>
                <c:pt idx="1">
                  <c:v>2d</c:v>
                </c:pt>
                <c:pt idx="2">
                  <c:v>3d</c:v>
                </c:pt>
                <c:pt idx="3">
                  <c:v>4d</c:v>
                </c:pt>
                <c:pt idx="4">
                  <c:v>5d</c:v>
                </c:pt>
                <c:pt idx="5">
                  <c:v>6d</c:v>
                </c:pt>
                <c:pt idx="6">
                  <c:v>7d</c:v>
                </c:pt>
                <c:pt idx="7">
                  <c:v>8d</c:v>
                </c:pt>
              </c:strCache>
            </c:strRef>
          </c:cat>
          <c:val>
            <c:numRef>
              <c:f>OPDA!$I$4:$I$11</c:f>
              <c:numCache>
                <c:formatCode>General</c:formatCode>
                <c:ptCount val="8"/>
                <c:pt idx="0">
                  <c:v>1291.0567190243064</c:v>
                </c:pt>
                <c:pt idx="1">
                  <c:v>3021.4509999222951</c:v>
                </c:pt>
                <c:pt idx="2">
                  <c:v>2717.8138799379399</c:v>
                </c:pt>
                <c:pt idx="3">
                  <c:v>1252.9298848252172</c:v>
                </c:pt>
                <c:pt idx="4">
                  <c:v>1748.0470333559279</c:v>
                </c:pt>
                <c:pt idx="5">
                  <c:v>2473.8294314381269</c:v>
                </c:pt>
                <c:pt idx="6">
                  <c:v>2235.1457344031437</c:v>
                </c:pt>
                <c:pt idx="7">
                  <c:v>1763.4920634920636</c:v>
                </c:pt>
              </c:numCache>
            </c:numRef>
          </c:val>
          <c:smooth val="0"/>
          <c:extLst>
            <c:ext xmlns:c15="http://schemas.microsoft.com/office/drawing/2012/chart" uri="{02D57815-91ED-43cb-92C2-25804820EDAC}">
              <c15:datalabelsRange>
                <c15:f>OPDA!$U$4:$U$11</c15:f>
                <c15:dlblRangeCache>
                  <c:ptCount val="8"/>
                  <c:pt idx="0">
                    <c:v>ns</c:v>
                  </c:pt>
                  <c:pt idx="1">
                    <c:v>ns</c:v>
                  </c:pt>
                  <c:pt idx="2">
                    <c:v>ns</c:v>
                  </c:pt>
                  <c:pt idx="3">
                    <c:v>ns</c:v>
                  </c:pt>
                  <c:pt idx="4">
                    <c:v>ns</c:v>
                  </c:pt>
                  <c:pt idx="5">
                    <c:v>ns</c:v>
                  </c:pt>
                  <c:pt idx="6">
                    <c:v>ns</c:v>
                  </c:pt>
                  <c:pt idx="7">
                    <c:v>ns</c:v>
                  </c:pt>
                </c15:dlblRangeCache>
              </c15:datalabelsRange>
            </c:ext>
            <c:ext xmlns:c16="http://schemas.microsoft.com/office/drawing/2014/chart" uri="{C3380CC4-5D6E-409C-BE32-E72D297353CC}">
              <c16:uniqueId val="{00000000-F4E2-4310-9462-34B6D22B41EA}"/>
            </c:ext>
          </c:extLst>
        </c:ser>
        <c:ser>
          <c:idx val="1"/>
          <c:order val="1"/>
          <c:tx>
            <c:strRef>
              <c:f>OPDA!$K$3</c:f>
              <c:strCache>
                <c:ptCount val="1"/>
                <c:pt idx="0">
                  <c:v>Bm</c:v>
                </c:pt>
              </c:strCache>
            </c:strRef>
          </c:tx>
          <c:spPr>
            <a:ln w="19050" cap="rnd">
              <a:solidFill>
                <a:schemeClr val="bg2">
                  <a:lumMod val="75000"/>
                  <a:alpha val="93000"/>
                </a:schemeClr>
              </a:solidFill>
              <a:prstDash val="solid"/>
              <a:round/>
            </a:ln>
            <a:effectLst/>
          </c:spPr>
          <c:marker>
            <c:symbol val="diamond"/>
            <c:size val="3"/>
            <c:spPr>
              <a:solidFill>
                <a:schemeClr val="tx1">
                  <a:lumMod val="75000"/>
                  <a:lumOff val="25000"/>
                </a:schemeClr>
              </a:solidFill>
              <a:ln w="12700">
                <a:solidFill>
                  <a:schemeClr val="tx1">
                    <a:lumMod val="75000"/>
                    <a:lumOff val="25000"/>
                  </a:schemeClr>
                </a:solidFill>
                <a:prstDash val="sysDash"/>
                <a:bevel/>
              </a:ln>
              <a:effectLst/>
            </c:spPr>
          </c:marker>
          <c:errBars>
            <c:errDir val="y"/>
            <c:errBarType val="both"/>
            <c:errValType val="cust"/>
            <c:noEndCap val="0"/>
            <c:plus>
              <c:numRef>
                <c:f>OPDA!$L$4:$L$11</c:f>
                <c:numCache>
                  <c:formatCode>General</c:formatCode>
                  <c:ptCount val="8"/>
                  <c:pt idx="0">
                    <c:v>140.84415210405709</c:v>
                  </c:pt>
                  <c:pt idx="1">
                    <c:v>89.241830935716507</c:v>
                  </c:pt>
                  <c:pt idx="2">
                    <c:v>116.69049213667662</c:v>
                  </c:pt>
                  <c:pt idx="3">
                    <c:v>109.17692440026362</c:v>
                  </c:pt>
                  <c:pt idx="4">
                    <c:v>244.71596745870758</c:v>
                  </c:pt>
                  <c:pt idx="5">
                    <c:v>545.60725451850192</c:v>
                  </c:pt>
                  <c:pt idx="6">
                    <c:v>195.20514035307855</c:v>
                  </c:pt>
                  <c:pt idx="7">
                    <c:v>387.70373507288792</c:v>
                  </c:pt>
                </c:numCache>
              </c:numRef>
            </c:plus>
            <c:minus>
              <c:numRef>
                <c:f>OPDA!$L$4:$L$11</c:f>
                <c:numCache>
                  <c:formatCode>General</c:formatCode>
                  <c:ptCount val="8"/>
                  <c:pt idx="0">
                    <c:v>140.84415210405709</c:v>
                  </c:pt>
                  <c:pt idx="1">
                    <c:v>89.241830935716507</c:v>
                  </c:pt>
                  <c:pt idx="2">
                    <c:v>116.69049213667662</c:v>
                  </c:pt>
                  <c:pt idx="3">
                    <c:v>109.17692440026362</c:v>
                  </c:pt>
                  <c:pt idx="4">
                    <c:v>244.71596745870758</c:v>
                  </c:pt>
                  <c:pt idx="5">
                    <c:v>545.60725451850192</c:v>
                  </c:pt>
                  <c:pt idx="6">
                    <c:v>195.20514035307855</c:v>
                  </c:pt>
                  <c:pt idx="7">
                    <c:v>387.70373507288792</c:v>
                  </c:pt>
                </c:numCache>
              </c:numRef>
            </c:minus>
            <c:spPr>
              <a:noFill/>
              <a:ln w="9525" cap="flat" cmpd="sng" algn="ctr">
                <a:solidFill>
                  <a:schemeClr val="tx1">
                    <a:lumMod val="65000"/>
                    <a:lumOff val="35000"/>
                  </a:schemeClr>
                </a:solidFill>
                <a:round/>
              </a:ln>
              <a:effectLst/>
            </c:spPr>
          </c:errBars>
          <c:cat>
            <c:strRef>
              <c:f>OPDA!$H$4:$H$11</c:f>
              <c:strCache>
                <c:ptCount val="8"/>
                <c:pt idx="0">
                  <c:v>1d</c:v>
                </c:pt>
                <c:pt idx="1">
                  <c:v>2d</c:v>
                </c:pt>
                <c:pt idx="2">
                  <c:v>3d</c:v>
                </c:pt>
                <c:pt idx="3">
                  <c:v>4d</c:v>
                </c:pt>
                <c:pt idx="4">
                  <c:v>5d</c:v>
                </c:pt>
                <c:pt idx="5">
                  <c:v>6d</c:v>
                </c:pt>
                <c:pt idx="6">
                  <c:v>7d</c:v>
                </c:pt>
                <c:pt idx="7">
                  <c:v>8d</c:v>
                </c:pt>
              </c:strCache>
            </c:strRef>
          </c:cat>
          <c:val>
            <c:numRef>
              <c:f>OPDA!$K$4:$K$11</c:f>
              <c:numCache>
                <c:formatCode>General</c:formatCode>
                <c:ptCount val="8"/>
                <c:pt idx="0">
                  <c:v>1377.6376424933298</c:v>
                </c:pt>
                <c:pt idx="1">
                  <c:v>1193.8456634523811</c:v>
                </c:pt>
                <c:pt idx="2">
                  <c:v>1621.5383060440672</c:v>
                </c:pt>
                <c:pt idx="3">
                  <c:v>1003.1278538812785</c:v>
                </c:pt>
                <c:pt idx="4">
                  <c:v>949.52874682504762</c:v>
                </c:pt>
                <c:pt idx="5">
                  <c:v>1526.6342934922559</c:v>
                </c:pt>
                <c:pt idx="6">
                  <c:v>1361.3633419307728</c:v>
                </c:pt>
                <c:pt idx="7">
                  <c:v>1330.5785123966941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F4E2-4310-9462-34B6D22B41EA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1772299679"/>
        <c:axId val="1772307839"/>
      </c:lineChart>
      <c:catAx>
        <c:axId val="1772299679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solidFill>
            <a:schemeClr val="bg1"/>
          </a:solidFill>
          <a:ln w="9525" cap="flat" cmpd="sng" algn="ctr">
            <a:solidFill>
              <a:schemeClr val="tx1">
                <a:lumMod val="50000"/>
                <a:lumOff val="50000"/>
              </a:schemeClr>
            </a:solidFill>
            <a:round/>
          </a:ln>
          <a:effectLst/>
        </c:spPr>
        <c:txPr>
          <a:bodyPr rot="-60000000" vert="horz"/>
          <a:lstStyle/>
          <a:p>
            <a:pPr>
              <a:defRPr/>
            </a:pPr>
            <a:endParaRPr lang="en-US"/>
          </a:p>
        </c:txPr>
        <c:crossAx val="1772307839"/>
        <c:crosses val="autoZero"/>
        <c:auto val="1"/>
        <c:lblAlgn val="ctr"/>
        <c:lblOffset val="100"/>
        <c:noMultiLvlLbl val="0"/>
      </c:catAx>
      <c:valAx>
        <c:axId val="1772307839"/>
        <c:scaling>
          <c:orientation val="minMax"/>
        </c:scaling>
        <c:delete val="0"/>
        <c:axPos val="l"/>
        <c:majorGridlines>
          <c:spPr>
            <a:ln w="9525" cap="flat" cmpd="sng" algn="ctr">
              <a:noFill/>
              <a:round/>
            </a:ln>
            <a:effectLst/>
          </c:spPr>
        </c:majorGridlines>
        <c:title>
          <c:tx>
            <c:rich>
              <a:bodyPr rot="-5400000" vert="horz"/>
              <a:lstStyle/>
              <a:p>
                <a:pPr>
                  <a:defRPr b="0"/>
                </a:pPr>
                <a:r>
                  <a:rPr lang="en-GB" b="0"/>
                  <a:t>OPDA (ng/g Dw)</a:t>
                </a:r>
              </a:p>
            </c:rich>
          </c:tx>
          <c:layout>
            <c:manualLayout>
              <c:xMode val="edge"/>
              <c:yMode val="edge"/>
              <c:x val="4.3251093613298347E-2"/>
              <c:y val="0.25384660250801988"/>
            </c:manualLayout>
          </c:layout>
          <c:overlay val="0"/>
          <c:spPr>
            <a:noFill/>
            <a:ln>
              <a:noFill/>
            </a:ln>
            <a:effectLst/>
          </c:spPr>
        </c:title>
        <c:numFmt formatCode="General" sourceLinked="1"/>
        <c:majorTickMark val="none"/>
        <c:minorTickMark val="none"/>
        <c:tickLblPos val="nextTo"/>
        <c:spPr>
          <a:noFill/>
          <a:ln>
            <a:solidFill>
              <a:schemeClr val="tx1">
                <a:lumMod val="65000"/>
                <a:lumOff val="35000"/>
              </a:schemeClr>
            </a:solidFill>
          </a:ln>
          <a:effectLst/>
        </c:spPr>
        <c:txPr>
          <a:bodyPr rot="-60000000" vert="horz"/>
          <a:lstStyle/>
          <a:p>
            <a:pPr>
              <a:defRPr/>
            </a:pPr>
            <a:endParaRPr lang="en-US"/>
          </a:p>
        </c:txPr>
        <c:crossAx val="1772299679"/>
        <c:crosses val="autoZero"/>
        <c:crossBetween val="between"/>
      </c:valAx>
      <c:spPr>
        <a:noFill/>
        <a:ln>
          <a:solidFill>
            <a:schemeClr val="tx1">
              <a:lumMod val="65000"/>
              <a:lumOff val="35000"/>
            </a:schemeClr>
          </a:solidFill>
        </a:ln>
        <a:effectLst/>
      </c:spPr>
    </c:plotArea>
    <c:plotVisOnly val="1"/>
    <c:dispBlanksAs val="gap"/>
    <c:showDLblsOverMax val="0"/>
    <c:extLst/>
  </c:chart>
  <c:spPr>
    <a:solidFill>
      <a:schemeClr val="bg1"/>
    </a:solidFill>
    <a:ln w="9525" cap="flat" cmpd="sng" algn="ctr">
      <a:noFill/>
      <a:round/>
    </a:ln>
    <a:effectLst/>
  </c:spPr>
  <c:txPr>
    <a:bodyPr/>
    <a:lstStyle/>
    <a:p>
      <a:pPr>
        <a:defRPr sz="1200">
          <a:solidFill>
            <a:schemeClr val="tx1"/>
          </a:solidFill>
        </a:defRPr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lrMapOvr bg1="lt1" tx1="dk1" bg2="lt2" tx2="dk2" accent1="accent1" accent2="accent2" accent3="accent3" accent4="accent4" accent5="accent5" accent6="accent6" hlink="hlink" folHlink="folHlink"/>
  <c:chart>
    <c:autoTitleDeleted val="1"/>
    <c:plotArea>
      <c:layout>
        <c:manualLayout>
          <c:layoutTarget val="inner"/>
          <c:xMode val="edge"/>
          <c:yMode val="edge"/>
          <c:x val="0.20130291891143459"/>
          <c:y val="0.10031630084282255"/>
          <c:w val="0.64810734655962254"/>
          <c:h val="0.71733207644819041"/>
        </c:manualLayout>
      </c:layout>
      <c:lineChart>
        <c:grouping val="standard"/>
        <c:varyColors val="0"/>
        <c:ser>
          <c:idx val="0"/>
          <c:order val="0"/>
          <c:tx>
            <c:strRef>
              <c:f>IAA!$I$3</c:f>
              <c:strCache>
                <c:ptCount val="1"/>
                <c:pt idx="0">
                  <c:v>C</c:v>
                </c:pt>
              </c:strCache>
            </c:strRef>
          </c:tx>
          <c:spPr>
            <a:ln w="19050" cap="rnd">
              <a:solidFill>
                <a:schemeClr val="tx1">
                  <a:lumMod val="75000"/>
                  <a:lumOff val="25000"/>
                </a:schemeClr>
              </a:solidFill>
              <a:prstDash val="sysDot"/>
              <a:round/>
            </a:ln>
            <a:effectLst/>
          </c:spPr>
          <c:marker>
            <c:symbol val="circle"/>
            <c:size val="3"/>
            <c:spPr>
              <a:solidFill>
                <a:schemeClr val="tx1">
                  <a:lumMod val="50000"/>
                  <a:lumOff val="50000"/>
                </a:schemeClr>
              </a:solidFill>
              <a:ln w="19050">
                <a:solidFill>
                  <a:schemeClr val="tx1">
                    <a:lumMod val="65000"/>
                    <a:lumOff val="35000"/>
                  </a:schemeClr>
                </a:solidFill>
                <a:prstDash val="lgDash"/>
              </a:ln>
              <a:effectLst/>
            </c:spPr>
          </c:marker>
          <c:errBars>
            <c:errDir val="y"/>
            <c:errBarType val="both"/>
            <c:errValType val="cust"/>
            <c:noEndCap val="0"/>
            <c:plus>
              <c:numRef>
                <c:f>IAA!$J$4:$J$11</c:f>
                <c:numCache>
                  <c:formatCode>General</c:formatCode>
                  <c:ptCount val="8"/>
                  <c:pt idx="0">
                    <c:v>32.773637984848278</c:v>
                  </c:pt>
                  <c:pt idx="1">
                    <c:v>74.468963258284148</c:v>
                  </c:pt>
                  <c:pt idx="2">
                    <c:v>16.211599081438361</c:v>
                  </c:pt>
                  <c:pt idx="3">
                    <c:v>19.915315191412713</c:v>
                  </c:pt>
                  <c:pt idx="4">
                    <c:v>5.0933421816885058</c:v>
                  </c:pt>
                  <c:pt idx="5">
                    <c:v>38.776883395183866</c:v>
                  </c:pt>
                  <c:pt idx="6">
                    <c:v>4.812443128011946</c:v>
                  </c:pt>
                  <c:pt idx="7">
                    <c:v>8.943990213956079</c:v>
                  </c:pt>
                </c:numCache>
              </c:numRef>
            </c:plus>
            <c:minus>
              <c:numRef>
                <c:f>IAA!$J$4:$J$11</c:f>
                <c:numCache>
                  <c:formatCode>General</c:formatCode>
                  <c:ptCount val="8"/>
                  <c:pt idx="0">
                    <c:v>32.773637984848278</c:v>
                  </c:pt>
                  <c:pt idx="1">
                    <c:v>74.468963258284148</c:v>
                  </c:pt>
                  <c:pt idx="2">
                    <c:v>16.211599081438361</c:v>
                  </c:pt>
                  <c:pt idx="3">
                    <c:v>19.915315191412713</c:v>
                  </c:pt>
                  <c:pt idx="4">
                    <c:v>5.0933421816885058</c:v>
                  </c:pt>
                  <c:pt idx="5">
                    <c:v>38.776883395183866</c:v>
                  </c:pt>
                  <c:pt idx="6">
                    <c:v>4.812443128011946</c:v>
                  </c:pt>
                  <c:pt idx="7">
                    <c:v>8.943990213956079</c:v>
                  </c:pt>
                </c:numCache>
              </c:numRef>
            </c:minus>
            <c:spPr>
              <a:noFill/>
              <a:ln w="9525" cap="flat" cmpd="sng" algn="ctr">
                <a:solidFill>
                  <a:schemeClr val="tx1">
                    <a:lumMod val="65000"/>
                    <a:lumOff val="35000"/>
                  </a:schemeClr>
                </a:solidFill>
                <a:round/>
              </a:ln>
              <a:effectLst/>
            </c:spPr>
          </c:errBars>
          <c:cat>
            <c:strRef>
              <c:f>[1]OPDA!$H$4:$H$11</c:f>
              <c:strCache>
                <c:ptCount val="8"/>
                <c:pt idx="0">
                  <c:v>1d</c:v>
                </c:pt>
                <c:pt idx="1">
                  <c:v>2d</c:v>
                </c:pt>
                <c:pt idx="2">
                  <c:v>3d</c:v>
                </c:pt>
                <c:pt idx="3">
                  <c:v>4d</c:v>
                </c:pt>
                <c:pt idx="4">
                  <c:v>5d</c:v>
                </c:pt>
                <c:pt idx="5">
                  <c:v>6d</c:v>
                </c:pt>
                <c:pt idx="6">
                  <c:v>7d</c:v>
                </c:pt>
                <c:pt idx="7">
                  <c:v>8d</c:v>
                </c:pt>
              </c:strCache>
            </c:strRef>
          </c:cat>
          <c:val>
            <c:numRef>
              <c:f>IAA!$I$4:$I$11</c:f>
              <c:numCache>
                <c:formatCode>General</c:formatCode>
                <c:ptCount val="8"/>
                <c:pt idx="0">
                  <c:v>291.89523277723055</c:v>
                </c:pt>
                <c:pt idx="1">
                  <c:v>307.67301728583442</c:v>
                </c:pt>
                <c:pt idx="2">
                  <c:v>277.47941281775866</c:v>
                </c:pt>
                <c:pt idx="3">
                  <c:v>244.69589816124471</c:v>
                </c:pt>
                <c:pt idx="4">
                  <c:v>271.59783827471216</c:v>
                </c:pt>
                <c:pt idx="5">
                  <c:v>230.28149386845041</c:v>
                </c:pt>
                <c:pt idx="6">
                  <c:v>267.39206375197864</c:v>
                </c:pt>
                <c:pt idx="7">
                  <c:v>200.79365079365081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3875-45EB-A66A-DB0BF803F2BF}"/>
            </c:ext>
          </c:extLst>
        </c:ser>
        <c:ser>
          <c:idx val="1"/>
          <c:order val="1"/>
          <c:tx>
            <c:strRef>
              <c:f>IAA!$K$3</c:f>
              <c:strCache>
                <c:ptCount val="1"/>
                <c:pt idx="0">
                  <c:v>Bm</c:v>
                </c:pt>
              </c:strCache>
            </c:strRef>
          </c:tx>
          <c:spPr>
            <a:ln w="19050" cap="rnd">
              <a:solidFill>
                <a:schemeClr val="bg2">
                  <a:lumMod val="75000"/>
                  <a:alpha val="93000"/>
                </a:schemeClr>
              </a:solidFill>
              <a:prstDash val="solid"/>
              <a:round/>
            </a:ln>
            <a:effectLst/>
          </c:spPr>
          <c:marker>
            <c:symbol val="diamond"/>
            <c:size val="3"/>
            <c:spPr>
              <a:solidFill>
                <a:schemeClr val="tx1">
                  <a:lumMod val="75000"/>
                  <a:lumOff val="25000"/>
                </a:schemeClr>
              </a:solidFill>
              <a:ln w="12700">
                <a:solidFill>
                  <a:schemeClr val="tx1">
                    <a:lumMod val="75000"/>
                    <a:lumOff val="25000"/>
                  </a:schemeClr>
                </a:solidFill>
                <a:prstDash val="sysDash"/>
                <a:bevel/>
              </a:ln>
              <a:effectLst/>
            </c:spPr>
          </c:marker>
          <c:dLbls>
            <c:dLbl>
              <c:idx val="0"/>
              <c:layout>
                <c:manualLayout>
                  <c:x val="-3.6695785440613055E-2"/>
                  <c:y val="-0.10745710450901443"/>
                </c:manualLayout>
              </c:layout>
              <c:tx>
                <c:rich>
                  <a:bodyPr/>
                  <a:lstStyle/>
                  <a:p>
                    <a:fld id="{3ED703A1-BEA3-4EE6-94C4-5149AF06DBA4}" type="CELLRANGE">
                      <a:rPr lang="en-US"/>
                      <a:pPr/>
                      <a:t>[CELLRANGE]</a:t>
                    </a:fld>
                    <a:endParaRPr lang="es-ES"/>
                  </a:p>
                </c:rich>
              </c:tx>
              <c:dLblPos val="r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showDataLabelsRange val="1"/>
                </c:ext>
                <c:ext xmlns:c16="http://schemas.microsoft.com/office/drawing/2014/chart" uri="{C3380CC4-5D6E-409C-BE32-E72D297353CC}">
                  <c16:uniqueId val="{00000001-3875-45EB-A66A-DB0BF803F2BF}"/>
                </c:ext>
              </c:extLst>
            </c:dLbl>
            <c:dLbl>
              <c:idx val="1"/>
              <c:layout>
                <c:manualLayout>
                  <c:x val="-3.6695785440613027E-2"/>
                  <c:y val="-0.16734755323393916"/>
                </c:manualLayout>
              </c:layout>
              <c:tx>
                <c:rich>
                  <a:bodyPr/>
                  <a:lstStyle/>
                  <a:p>
                    <a:fld id="{CCC745FD-F2BA-4B17-9832-7E6388BCE21D}" type="CELLRANGE">
                      <a:rPr lang="en-US"/>
                      <a:pPr/>
                      <a:t>[CELLRANGE]</a:t>
                    </a:fld>
                    <a:endParaRPr lang="es-ES"/>
                  </a:p>
                </c:rich>
              </c:tx>
              <c:dLblPos val="r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showDataLabelsRange val="1"/>
                </c:ext>
                <c:ext xmlns:c16="http://schemas.microsoft.com/office/drawing/2014/chart" uri="{C3380CC4-5D6E-409C-BE32-E72D297353CC}">
                  <c16:uniqueId val="{00000002-3875-45EB-A66A-DB0BF803F2BF}"/>
                </c:ext>
              </c:extLst>
            </c:dLbl>
            <c:dLbl>
              <c:idx val="2"/>
              <c:tx>
                <c:rich>
                  <a:bodyPr/>
                  <a:lstStyle/>
                  <a:p>
                    <a:fld id="{D7C7872F-A37D-4D08-B98A-872CD24DA596}" type="CELLRANGE">
                      <a:rPr lang="es-ES"/>
                      <a:pPr/>
                      <a:t>[CELLRANGE]</a:t>
                    </a:fld>
                    <a:endParaRPr lang="es-ES"/>
                  </a:p>
                </c:rich>
              </c:tx>
              <c:dLblPos val="t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03-3875-45EB-A66A-DB0BF803F2BF}"/>
                </c:ext>
              </c:extLst>
            </c:dLbl>
            <c:dLbl>
              <c:idx val="3"/>
              <c:layout>
                <c:manualLayout>
                  <c:x val="-3.6695785440613027E-2"/>
                  <c:y val="-8.9029274132114505E-2"/>
                </c:manualLayout>
              </c:layout>
              <c:tx>
                <c:rich>
                  <a:bodyPr/>
                  <a:lstStyle/>
                  <a:p>
                    <a:fld id="{57594505-04A9-47A3-8B96-DAAFA47CA823}" type="CELLRANGE">
                      <a:rPr lang="en-US"/>
                      <a:pPr/>
                      <a:t>[CELLRANGE]</a:t>
                    </a:fld>
                    <a:endParaRPr lang="es-ES"/>
                  </a:p>
                </c:rich>
              </c:tx>
              <c:dLblPos val="r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showDataLabelsRange val="1"/>
                </c:ext>
                <c:ext xmlns:c16="http://schemas.microsoft.com/office/drawing/2014/chart" uri="{C3380CC4-5D6E-409C-BE32-E72D297353CC}">
                  <c16:uniqueId val="{00000004-3875-45EB-A66A-DB0BF803F2BF}"/>
                </c:ext>
              </c:extLst>
            </c:dLbl>
            <c:dLbl>
              <c:idx val="4"/>
              <c:layout>
                <c:manualLayout>
                  <c:x val="-3.4027777777777775E-2"/>
                  <c:y val="-0.12547462817147856"/>
                </c:manualLayout>
              </c:layout>
              <c:tx>
                <c:rich>
                  <a:bodyPr/>
                  <a:lstStyle/>
                  <a:p>
                    <a:fld id="{3A83F052-C513-44FC-ADE7-AE1F8EEE08CD}" type="CELLRANGE">
                      <a:rPr lang="en-US"/>
                      <a:pPr/>
                      <a:t>[CELLRANGE]</a:t>
                    </a:fld>
                    <a:endParaRPr lang="es-ES"/>
                  </a:p>
                </c:rich>
              </c:tx>
              <c:dLblPos val="r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showDataLabelsRange val="1"/>
                </c:ext>
                <c:ext xmlns:c16="http://schemas.microsoft.com/office/drawing/2014/chart" uri="{C3380CC4-5D6E-409C-BE32-E72D297353CC}">
                  <c16:uniqueId val="{00000005-3875-45EB-A66A-DB0BF803F2BF}"/>
                </c:ext>
              </c:extLst>
            </c:dLbl>
            <c:dLbl>
              <c:idx val="5"/>
              <c:layout>
                <c:manualLayout>
                  <c:x val="-3.6695785440613131E-2"/>
                  <c:y val="-0.16734755323393916"/>
                </c:manualLayout>
              </c:layout>
              <c:tx>
                <c:rich>
                  <a:bodyPr/>
                  <a:lstStyle/>
                  <a:p>
                    <a:fld id="{7A10E483-AA85-4AEE-8D85-E2D5528AEE4C}" type="CELLRANGE">
                      <a:rPr lang="en-US"/>
                      <a:pPr/>
                      <a:t>[CELLRANGE]</a:t>
                    </a:fld>
                    <a:endParaRPr lang="es-ES"/>
                  </a:p>
                </c:rich>
              </c:tx>
              <c:dLblPos val="r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showDataLabelsRange val="1"/>
                </c:ext>
                <c:ext xmlns:c16="http://schemas.microsoft.com/office/drawing/2014/chart" uri="{C3380CC4-5D6E-409C-BE32-E72D297353CC}">
                  <c16:uniqueId val="{00000006-3875-45EB-A66A-DB0BF803F2BF}"/>
                </c:ext>
              </c:extLst>
            </c:dLbl>
            <c:dLbl>
              <c:idx val="6"/>
              <c:layout>
                <c:manualLayout>
                  <c:x val="-3.4027805145046629E-2"/>
                  <c:y val="-0.13014945405738745"/>
                </c:manualLayout>
              </c:layout>
              <c:tx>
                <c:rich>
                  <a:bodyPr/>
                  <a:lstStyle/>
                  <a:p>
                    <a:fld id="{999E14B9-F091-4341-8262-72D182504D08}" type="CELLRANGE">
                      <a:rPr lang="en-US"/>
                      <a:pPr/>
                      <a:t>[CELLRANGE]</a:t>
                    </a:fld>
                    <a:endParaRPr lang="es-ES"/>
                  </a:p>
                </c:rich>
              </c:tx>
              <c:dLblPos val="r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showDataLabelsRange val="1"/>
                </c:ext>
                <c:ext xmlns:c16="http://schemas.microsoft.com/office/drawing/2014/chart" uri="{C3380CC4-5D6E-409C-BE32-E72D297353CC}">
                  <c16:uniqueId val="{00000007-3875-45EB-A66A-DB0BF803F2BF}"/>
                </c:ext>
              </c:extLst>
            </c:dLbl>
            <c:dLbl>
              <c:idx val="7"/>
              <c:layout>
                <c:manualLayout>
                  <c:x val="-3.6695785440613027E-2"/>
                  <c:y val="-9.8243189320564486E-2"/>
                </c:manualLayout>
              </c:layout>
              <c:tx>
                <c:rich>
                  <a:bodyPr/>
                  <a:lstStyle/>
                  <a:p>
                    <a:fld id="{80AA803C-CAD3-423C-B5C4-FE490B2AB127}" type="CELLRANGE">
                      <a:rPr lang="en-US"/>
                      <a:pPr/>
                      <a:t>[CELLRANGE]</a:t>
                    </a:fld>
                    <a:endParaRPr lang="es-ES"/>
                  </a:p>
                </c:rich>
              </c:tx>
              <c:dLblPos val="r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showDataLabelsRange val="1"/>
                </c:ext>
                <c:ext xmlns:c16="http://schemas.microsoft.com/office/drawing/2014/chart" uri="{C3380CC4-5D6E-409C-BE32-E72D297353CC}">
                  <c16:uniqueId val="{00000008-3875-45EB-A66A-DB0BF803F2BF}"/>
                </c:ext>
              </c:extLst>
            </c:dLbl>
            <c:spPr>
              <a:noFill/>
              <a:ln>
                <a:noFill/>
              </a:ln>
              <a:effectLst/>
            </c:spPr>
            <c:dLblPos val="t"/>
            <c:showLegendKey val="0"/>
            <c:showVal val="0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DataLabelsRange val="1"/>
                <c15:showLeaderLines val="0"/>
              </c:ext>
            </c:extLst>
          </c:dLbls>
          <c:errBars>
            <c:errDir val="y"/>
            <c:errBarType val="both"/>
            <c:errValType val="cust"/>
            <c:noEndCap val="0"/>
            <c:plus>
              <c:numRef>
                <c:f>IAA!$L$4:$L$11</c:f>
                <c:numCache>
                  <c:formatCode>General</c:formatCode>
                  <c:ptCount val="8"/>
                  <c:pt idx="0">
                    <c:v>48.383111656462638</c:v>
                  </c:pt>
                  <c:pt idx="1">
                    <c:v>88.487299401635724</c:v>
                  </c:pt>
                  <c:pt idx="2">
                    <c:v>8.9479234111079098</c:v>
                  </c:pt>
                  <c:pt idx="3">
                    <c:v>36.094547383019169</c:v>
                  </c:pt>
                  <c:pt idx="4">
                    <c:v>17.894687568927623</c:v>
                  </c:pt>
                  <c:pt idx="5">
                    <c:v>85.131314602034294</c:v>
                  </c:pt>
                  <c:pt idx="6">
                    <c:v>18.055208754637825</c:v>
                  </c:pt>
                  <c:pt idx="7">
                    <c:v>41.762250063423878</c:v>
                  </c:pt>
                </c:numCache>
              </c:numRef>
            </c:plus>
            <c:minus>
              <c:numRef>
                <c:f>IAA!$L$4:$L$11</c:f>
                <c:numCache>
                  <c:formatCode>General</c:formatCode>
                  <c:ptCount val="8"/>
                  <c:pt idx="0">
                    <c:v>48.383111656462638</c:v>
                  </c:pt>
                  <c:pt idx="1">
                    <c:v>88.487299401635724</c:v>
                  </c:pt>
                  <c:pt idx="2">
                    <c:v>8.9479234111079098</c:v>
                  </c:pt>
                  <c:pt idx="3">
                    <c:v>36.094547383019169</c:v>
                  </c:pt>
                  <c:pt idx="4">
                    <c:v>17.894687568927623</c:v>
                  </c:pt>
                  <c:pt idx="5">
                    <c:v>85.131314602034294</c:v>
                  </c:pt>
                  <c:pt idx="6">
                    <c:v>18.055208754637825</c:v>
                  </c:pt>
                  <c:pt idx="7">
                    <c:v>41.762250063423878</c:v>
                  </c:pt>
                </c:numCache>
              </c:numRef>
            </c:minus>
            <c:spPr>
              <a:noFill/>
              <a:ln w="9525" cap="flat" cmpd="sng" algn="ctr">
                <a:solidFill>
                  <a:schemeClr val="tx1">
                    <a:lumMod val="65000"/>
                    <a:lumOff val="35000"/>
                  </a:schemeClr>
                </a:solidFill>
                <a:round/>
              </a:ln>
              <a:effectLst/>
            </c:spPr>
          </c:errBars>
          <c:cat>
            <c:strRef>
              <c:f>[1]OPDA!$H$4:$H$11</c:f>
              <c:strCache>
                <c:ptCount val="8"/>
                <c:pt idx="0">
                  <c:v>1d</c:v>
                </c:pt>
                <c:pt idx="1">
                  <c:v>2d</c:v>
                </c:pt>
                <c:pt idx="2">
                  <c:v>3d</c:v>
                </c:pt>
                <c:pt idx="3">
                  <c:v>4d</c:v>
                </c:pt>
                <c:pt idx="4">
                  <c:v>5d</c:v>
                </c:pt>
                <c:pt idx="5">
                  <c:v>6d</c:v>
                </c:pt>
                <c:pt idx="6">
                  <c:v>7d</c:v>
                </c:pt>
                <c:pt idx="7">
                  <c:v>8d</c:v>
                </c:pt>
              </c:strCache>
            </c:strRef>
          </c:cat>
          <c:val>
            <c:numRef>
              <c:f>IAA!$K$4:$K$11</c:f>
              <c:numCache>
                <c:formatCode>General</c:formatCode>
                <c:ptCount val="8"/>
                <c:pt idx="0">
                  <c:v>323.83377799337046</c:v>
                </c:pt>
                <c:pt idx="1">
                  <c:v>319.30839736156116</c:v>
                </c:pt>
                <c:pt idx="2">
                  <c:v>326.94899265548139</c:v>
                </c:pt>
                <c:pt idx="3">
                  <c:v>313.35616438356163</c:v>
                </c:pt>
                <c:pt idx="4">
                  <c:v>241.48621242284557</c:v>
                </c:pt>
                <c:pt idx="5">
                  <c:v>295.40291726446679</c:v>
                </c:pt>
                <c:pt idx="6">
                  <c:v>222.01611921782924</c:v>
                </c:pt>
                <c:pt idx="7">
                  <c:v>215.39256198347107</c:v>
                </c:pt>
              </c:numCache>
            </c:numRef>
          </c:val>
          <c:smooth val="0"/>
          <c:extLst>
            <c:ext xmlns:c15="http://schemas.microsoft.com/office/drawing/2012/chart" uri="{02D57815-91ED-43cb-92C2-25804820EDAC}">
              <c15:datalabelsRange>
                <c15:f>IAA!$W$4:$W$11</c15:f>
                <c15:dlblRangeCache>
                  <c:ptCount val="8"/>
                  <c:pt idx="0">
                    <c:v>ns</c:v>
                  </c:pt>
                  <c:pt idx="1">
                    <c:v>ns</c:v>
                  </c:pt>
                  <c:pt idx="2">
                    <c:v>ns</c:v>
                  </c:pt>
                  <c:pt idx="3">
                    <c:v>ns</c:v>
                  </c:pt>
                  <c:pt idx="4">
                    <c:v>ns</c:v>
                  </c:pt>
                  <c:pt idx="5">
                    <c:v>ns</c:v>
                  </c:pt>
                  <c:pt idx="6">
                    <c:v>ns</c:v>
                  </c:pt>
                  <c:pt idx="7">
                    <c:v>ns</c:v>
                  </c:pt>
                </c15:dlblRangeCache>
              </c15:datalabelsRange>
            </c:ext>
            <c:ext xmlns:c16="http://schemas.microsoft.com/office/drawing/2014/chart" uri="{C3380CC4-5D6E-409C-BE32-E72D297353CC}">
              <c16:uniqueId val="{00000009-3875-45EB-A66A-DB0BF803F2BF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1772299679"/>
        <c:axId val="1772307839"/>
      </c:lineChart>
      <c:catAx>
        <c:axId val="1772299679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solidFill>
            <a:schemeClr val="bg1"/>
          </a:solidFill>
          <a:ln w="9525" cap="flat" cmpd="sng" algn="ctr">
            <a:solidFill>
              <a:schemeClr val="tx1">
                <a:lumMod val="50000"/>
                <a:lumOff val="50000"/>
              </a:schemeClr>
            </a:solidFill>
            <a:round/>
          </a:ln>
          <a:effectLst/>
        </c:spPr>
        <c:txPr>
          <a:bodyPr rot="-60000000" vert="horz"/>
          <a:lstStyle/>
          <a:p>
            <a:pPr>
              <a:defRPr/>
            </a:pPr>
            <a:endParaRPr lang="en-US"/>
          </a:p>
        </c:txPr>
        <c:crossAx val="1772307839"/>
        <c:crosses val="autoZero"/>
        <c:auto val="1"/>
        <c:lblAlgn val="ctr"/>
        <c:lblOffset val="100"/>
        <c:noMultiLvlLbl val="0"/>
      </c:catAx>
      <c:valAx>
        <c:axId val="1772307839"/>
        <c:scaling>
          <c:orientation val="minMax"/>
        </c:scaling>
        <c:delete val="0"/>
        <c:axPos val="l"/>
        <c:majorGridlines>
          <c:spPr>
            <a:ln w="9525" cap="flat" cmpd="sng" algn="ctr">
              <a:noFill/>
              <a:round/>
            </a:ln>
            <a:effectLst/>
          </c:spPr>
        </c:majorGridlines>
        <c:title>
          <c:tx>
            <c:rich>
              <a:bodyPr rot="-5400000" vert="horz"/>
              <a:lstStyle/>
              <a:p>
                <a:pPr>
                  <a:defRPr b="0"/>
                </a:pPr>
                <a:r>
                  <a:rPr lang="en-US" b="0"/>
                  <a:t>IAA (ng/g Dw)</a:t>
                </a:r>
              </a:p>
            </c:rich>
          </c:tx>
          <c:layout>
            <c:manualLayout>
              <c:xMode val="edge"/>
              <c:yMode val="edge"/>
              <c:x val="5.7139982502187228E-2"/>
              <c:y val="0.2678162668548853"/>
            </c:manualLayout>
          </c:layout>
          <c:overlay val="0"/>
          <c:spPr>
            <a:noFill/>
            <a:ln>
              <a:noFill/>
            </a:ln>
            <a:effectLst/>
          </c:spPr>
        </c:title>
        <c:numFmt formatCode="General" sourceLinked="1"/>
        <c:majorTickMark val="none"/>
        <c:minorTickMark val="none"/>
        <c:tickLblPos val="nextTo"/>
        <c:spPr>
          <a:noFill/>
          <a:ln>
            <a:solidFill>
              <a:schemeClr val="tx1">
                <a:lumMod val="65000"/>
                <a:lumOff val="35000"/>
              </a:schemeClr>
            </a:solidFill>
          </a:ln>
          <a:effectLst/>
        </c:spPr>
        <c:txPr>
          <a:bodyPr rot="-60000000" vert="horz"/>
          <a:lstStyle/>
          <a:p>
            <a:pPr>
              <a:defRPr/>
            </a:pPr>
            <a:endParaRPr lang="en-US"/>
          </a:p>
        </c:txPr>
        <c:crossAx val="1772299679"/>
        <c:crosses val="autoZero"/>
        <c:crossBetween val="between"/>
      </c:valAx>
      <c:spPr>
        <a:noFill/>
        <a:ln>
          <a:solidFill>
            <a:schemeClr val="tx1">
              <a:lumMod val="65000"/>
              <a:lumOff val="35000"/>
            </a:schemeClr>
          </a:solidFill>
        </a:ln>
        <a:effectLst/>
      </c:spPr>
    </c:plotArea>
    <c:plotVisOnly val="1"/>
    <c:dispBlanksAs val="gap"/>
    <c:showDLblsOverMax val="0"/>
    <c:extLst/>
  </c:chart>
  <c:spPr>
    <a:solidFill>
      <a:schemeClr val="bg1"/>
    </a:solidFill>
    <a:ln w="9525" cap="flat" cmpd="sng" algn="ctr">
      <a:noFill/>
      <a:round/>
    </a:ln>
    <a:effectLst/>
  </c:spPr>
  <c:txPr>
    <a:bodyPr/>
    <a:lstStyle/>
    <a:p>
      <a:pPr>
        <a:defRPr sz="1200">
          <a:solidFill>
            <a:schemeClr val="tx1"/>
          </a:solidFill>
        </a:defRPr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lrMapOvr bg1="lt1" tx1="dk1" bg2="lt2" tx2="dk2" accent1="accent1" accent2="accent2" accent3="accent3" accent4="accent4" accent5="accent5" accent6="accent6" hlink="hlink" folHlink="folHlink"/>
  <c:chart>
    <c:autoTitleDeleted val="1"/>
    <c:plotArea>
      <c:layout>
        <c:manualLayout>
          <c:layoutTarget val="inner"/>
          <c:xMode val="edge"/>
          <c:yMode val="edge"/>
          <c:x val="0.20130291891143459"/>
          <c:y val="0.10031630084282255"/>
          <c:w val="0.64810734655962254"/>
          <c:h val="0.71733207644819041"/>
        </c:manualLayout>
      </c:layout>
      <c:lineChart>
        <c:grouping val="standard"/>
        <c:varyColors val="0"/>
        <c:ser>
          <c:idx val="0"/>
          <c:order val="0"/>
          <c:tx>
            <c:strRef>
              <c:f>I3CA!$I$3</c:f>
              <c:strCache>
                <c:ptCount val="1"/>
                <c:pt idx="0">
                  <c:v>C</c:v>
                </c:pt>
              </c:strCache>
            </c:strRef>
          </c:tx>
          <c:spPr>
            <a:ln w="19050" cap="rnd">
              <a:solidFill>
                <a:schemeClr val="tx1">
                  <a:lumMod val="75000"/>
                  <a:lumOff val="25000"/>
                </a:schemeClr>
              </a:solidFill>
              <a:prstDash val="sysDot"/>
              <a:round/>
            </a:ln>
            <a:effectLst/>
          </c:spPr>
          <c:marker>
            <c:symbol val="circle"/>
            <c:size val="3"/>
            <c:spPr>
              <a:solidFill>
                <a:schemeClr val="tx1">
                  <a:lumMod val="50000"/>
                  <a:lumOff val="50000"/>
                </a:schemeClr>
              </a:solidFill>
              <a:ln w="19050">
                <a:solidFill>
                  <a:schemeClr val="tx1">
                    <a:lumMod val="65000"/>
                    <a:lumOff val="35000"/>
                  </a:schemeClr>
                </a:solidFill>
                <a:prstDash val="lgDash"/>
              </a:ln>
              <a:effectLst/>
            </c:spPr>
          </c:marker>
          <c:errBars>
            <c:errDir val="y"/>
            <c:errBarType val="both"/>
            <c:errValType val="cust"/>
            <c:noEndCap val="0"/>
            <c:plus>
              <c:numRef>
                <c:f>I3CA!$J$4:$J$11</c:f>
                <c:numCache>
                  <c:formatCode>General</c:formatCode>
                  <c:ptCount val="8"/>
                  <c:pt idx="0">
                    <c:v>558.72215241044262</c:v>
                  </c:pt>
                  <c:pt idx="1">
                    <c:v>179.18794517576794</c:v>
                  </c:pt>
                  <c:pt idx="2">
                    <c:v>45.879016207768409</c:v>
                  </c:pt>
                  <c:pt idx="3">
                    <c:v>95.770010505708186</c:v>
                  </c:pt>
                  <c:pt idx="4">
                    <c:v>398.53736008469468</c:v>
                  </c:pt>
                  <c:pt idx="5">
                    <c:v>312.42264354030766</c:v>
                  </c:pt>
                  <c:pt idx="6">
                    <c:v>409.45219252887296</c:v>
                  </c:pt>
                  <c:pt idx="7">
                    <c:v>440.39896362904057</c:v>
                  </c:pt>
                </c:numCache>
              </c:numRef>
            </c:plus>
            <c:minus>
              <c:numRef>
                <c:f>I3CA!$J$4:$J$11</c:f>
                <c:numCache>
                  <c:formatCode>General</c:formatCode>
                  <c:ptCount val="8"/>
                  <c:pt idx="0">
                    <c:v>558.72215241044262</c:v>
                  </c:pt>
                  <c:pt idx="1">
                    <c:v>179.18794517576794</c:v>
                  </c:pt>
                  <c:pt idx="2">
                    <c:v>45.879016207768409</c:v>
                  </c:pt>
                  <c:pt idx="3">
                    <c:v>95.770010505708186</c:v>
                  </c:pt>
                  <c:pt idx="4">
                    <c:v>398.53736008469468</c:v>
                  </c:pt>
                  <c:pt idx="5">
                    <c:v>312.42264354030766</c:v>
                  </c:pt>
                  <c:pt idx="6">
                    <c:v>409.45219252887296</c:v>
                  </c:pt>
                  <c:pt idx="7">
                    <c:v>440.39896362904057</c:v>
                  </c:pt>
                </c:numCache>
              </c:numRef>
            </c:minus>
            <c:spPr>
              <a:noFill/>
              <a:ln w="9525" cap="flat" cmpd="sng" algn="ctr">
                <a:solidFill>
                  <a:schemeClr val="tx1">
                    <a:lumMod val="65000"/>
                    <a:lumOff val="35000"/>
                  </a:schemeClr>
                </a:solidFill>
                <a:round/>
              </a:ln>
              <a:effectLst/>
            </c:spPr>
          </c:errBars>
          <c:cat>
            <c:strRef>
              <c:f>[1]OPDA!$H$4:$H$11</c:f>
              <c:strCache>
                <c:ptCount val="8"/>
                <c:pt idx="0">
                  <c:v>1d</c:v>
                </c:pt>
                <c:pt idx="1">
                  <c:v>2d</c:v>
                </c:pt>
                <c:pt idx="2">
                  <c:v>3d</c:v>
                </c:pt>
                <c:pt idx="3">
                  <c:v>4d</c:v>
                </c:pt>
                <c:pt idx="4">
                  <c:v>5d</c:v>
                </c:pt>
                <c:pt idx="5">
                  <c:v>6d</c:v>
                </c:pt>
                <c:pt idx="6">
                  <c:v>7d</c:v>
                </c:pt>
                <c:pt idx="7">
                  <c:v>8d</c:v>
                </c:pt>
              </c:strCache>
            </c:strRef>
          </c:cat>
          <c:val>
            <c:numRef>
              <c:f>I3CA!$I$4:$I$11</c:f>
              <c:numCache>
                <c:formatCode>General</c:formatCode>
                <c:ptCount val="8"/>
                <c:pt idx="0">
                  <c:v>1531.3685150453236</c:v>
                </c:pt>
                <c:pt idx="1">
                  <c:v>1203.3098805461957</c:v>
                </c:pt>
                <c:pt idx="2">
                  <c:v>970.99146676214332</c:v>
                </c:pt>
                <c:pt idx="3">
                  <c:v>883.66336633663366</c:v>
                </c:pt>
                <c:pt idx="4">
                  <c:v>923.48252251060956</c:v>
                </c:pt>
                <c:pt idx="5">
                  <c:v>1058.7095875139355</c:v>
                </c:pt>
                <c:pt idx="6">
                  <c:v>872.67670978658373</c:v>
                </c:pt>
                <c:pt idx="7">
                  <c:v>1088.0952380952381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0D5F-4019-91B5-B2931EC3F432}"/>
            </c:ext>
          </c:extLst>
        </c:ser>
        <c:ser>
          <c:idx val="1"/>
          <c:order val="1"/>
          <c:tx>
            <c:strRef>
              <c:f>I3CA!$K$3</c:f>
              <c:strCache>
                <c:ptCount val="1"/>
                <c:pt idx="0">
                  <c:v>Bm</c:v>
                </c:pt>
              </c:strCache>
            </c:strRef>
          </c:tx>
          <c:spPr>
            <a:ln w="19050" cap="rnd">
              <a:solidFill>
                <a:schemeClr val="bg2">
                  <a:lumMod val="75000"/>
                  <a:alpha val="93000"/>
                </a:schemeClr>
              </a:solidFill>
              <a:prstDash val="solid"/>
              <a:round/>
            </a:ln>
            <a:effectLst/>
          </c:spPr>
          <c:marker>
            <c:symbol val="diamond"/>
            <c:size val="3"/>
            <c:spPr>
              <a:solidFill>
                <a:schemeClr val="tx1">
                  <a:lumMod val="75000"/>
                  <a:lumOff val="25000"/>
                </a:schemeClr>
              </a:solidFill>
              <a:ln w="12700">
                <a:solidFill>
                  <a:schemeClr val="tx1">
                    <a:lumMod val="75000"/>
                    <a:lumOff val="25000"/>
                  </a:schemeClr>
                </a:solidFill>
                <a:prstDash val="sysDash"/>
                <a:bevel/>
              </a:ln>
              <a:effectLst/>
            </c:spPr>
          </c:marker>
          <c:dLbls>
            <c:dLbl>
              <c:idx val="0"/>
              <c:tx>
                <c:rich>
                  <a:bodyPr/>
                  <a:lstStyle/>
                  <a:p>
                    <a:fld id="{B358C639-5051-44BA-8711-726BD91335F5}" type="CELLRANGE">
                      <a:rPr lang="en-US"/>
                      <a:pPr/>
                      <a:t>[CELLRANGE]</a:t>
                    </a:fld>
                    <a:endParaRPr lang="es-ES"/>
                  </a:p>
                </c:rich>
              </c:tx>
              <c:dLblPos val="t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showDataLabelsRange val="1"/>
                </c:ext>
                <c:ext xmlns:c16="http://schemas.microsoft.com/office/drawing/2014/chart" uri="{C3380CC4-5D6E-409C-BE32-E72D297353CC}">
                  <c16:uniqueId val="{00000001-0D5F-4019-91B5-B2931EC3F432}"/>
                </c:ext>
              </c:extLst>
            </c:dLbl>
            <c:dLbl>
              <c:idx val="1"/>
              <c:tx>
                <c:rich>
                  <a:bodyPr/>
                  <a:lstStyle/>
                  <a:p>
                    <a:fld id="{ACC1219C-6E48-4DA5-A218-1AAC3A869F78}" type="CELLRANGE">
                      <a:rPr lang="es-ES"/>
                      <a:pPr/>
                      <a:t>[CELLRANGE]</a:t>
                    </a:fld>
                    <a:endParaRPr lang="es-ES"/>
                  </a:p>
                </c:rich>
              </c:tx>
              <c:dLblPos val="t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02-0D5F-4019-91B5-B2931EC3F432}"/>
                </c:ext>
              </c:extLst>
            </c:dLbl>
            <c:dLbl>
              <c:idx val="2"/>
              <c:layout>
                <c:manualLayout>
                  <c:x val="-3.4027777777777775E-2"/>
                  <c:y val="-0.13936351706036745"/>
                </c:manualLayout>
              </c:layout>
              <c:tx>
                <c:rich>
                  <a:bodyPr/>
                  <a:lstStyle/>
                  <a:p>
                    <a:fld id="{B277F6EB-861D-4C87-8179-0C8D341F4276}" type="CELLRANGE">
                      <a:rPr lang="en-US"/>
                      <a:pPr/>
                      <a:t>[CELLRANGE]</a:t>
                    </a:fld>
                    <a:endParaRPr lang="es-ES"/>
                  </a:p>
                </c:rich>
              </c:tx>
              <c:dLblPos val="r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showDataLabelsRange val="1"/>
                </c:ext>
                <c:ext xmlns:c16="http://schemas.microsoft.com/office/drawing/2014/chart" uri="{C3380CC4-5D6E-409C-BE32-E72D297353CC}">
                  <c16:uniqueId val="{00000003-0D5F-4019-91B5-B2931EC3F432}"/>
                </c:ext>
              </c:extLst>
            </c:dLbl>
            <c:dLbl>
              <c:idx val="3"/>
              <c:tx>
                <c:rich>
                  <a:bodyPr/>
                  <a:lstStyle/>
                  <a:p>
                    <a:fld id="{D5B5C5EA-6DDA-4577-8327-ACB5A5B4053D}" type="CELLRANGE">
                      <a:rPr lang="es-ES"/>
                      <a:pPr/>
                      <a:t>[CELLRANGE]</a:t>
                    </a:fld>
                    <a:endParaRPr lang="es-ES"/>
                  </a:p>
                </c:rich>
              </c:tx>
              <c:dLblPos val="t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04-0D5F-4019-91B5-B2931EC3F432}"/>
                </c:ext>
              </c:extLst>
            </c:dLbl>
            <c:dLbl>
              <c:idx val="4"/>
              <c:layout>
                <c:manualLayout>
                  <c:x val="-3.6805555555555557E-2"/>
                  <c:y val="-0.28751166520851562"/>
                </c:manualLayout>
              </c:layout>
              <c:tx>
                <c:rich>
                  <a:bodyPr/>
                  <a:lstStyle/>
                  <a:p>
                    <a:fld id="{661A5805-3936-4E17-834A-42EDF1B383D2}" type="CELLRANGE">
                      <a:rPr lang="en-US"/>
                      <a:pPr/>
                      <a:t>[CELLRANGE]</a:t>
                    </a:fld>
                    <a:endParaRPr lang="es-ES"/>
                  </a:p>
                </c:rich>
              </c:tx>
              <c:dLblPos val="r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showDataLabelsRange val="1"/>
                </c:ext>
                <c:ext xmlns:c16="http://schemas.microsoft.com/office/drawing/2014/chart" uri="{C3380CC4-5D6E-409C-BE32-E72D297353CC}">
                  <c16:uniqueId val="{00000005-0D5F-4019-91B5-B2931EC3F432}"/>
                </c:ext>
              </c:extLst>
            </c:dLbl>
            <c:dLbl>
              <c:idx val="5"/>
              <c:layout>
                <c:manualLayout>
                  <c:x val="-3.4027777777777775E-2"/>
                  <c:y val="-0.26899314668999708"/>
                </c:manualLayout>
              </c:layout>
              <c:tx>
                <c:rich>
                  <a:bodyPr/>
                  <a:lstStyle/>
                  <a:p>
                    <a:fld id="{6D515DD1-2D59-439F-A60D-86155628F26C}" type="CELLRANGE">
                      <a:rPr lang="en-US"/>
                      <a:pPr/>
                      <a:t>[CELLRANGE]</a:t>
                    </a:fld>
                    <a:endParaRPr lang="es-ES"/>
                  </a:p>
                </c:rich>
              </c:tx>
              <c:dLblPos val="r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showDataLabelsRange val="1"/>
                </c:ext>
                <c:ext xmlns:c16="http://schemas.microsoft.com/office/drawing/2014/chart" uri="{C3380CC4-5D6E-409C-BE32-E72D297353CC}">
                  <c16:uniqueId val="{00000006-0D5F-4019-91B5-B2931EC3F432}"/>
                </c:ext>
              </c:extLst>
            </c:dLbl>
            <c:dLbl>
              <c:idx val="6"/>
              <c:layout>
                <c:manualLayout>
                  <c:x val="-3.6805555555555557E-2"/>
                  <c:y val="-0.21343759113444152"/>
                </c:manualLayout>
              </c:layout>
              <c:tx>
                <c:rich>
                  <a:bodyPr/>
                  <a:lstStyle/>
                  <a:p>
                    <a:fld id="{20B0E745-DDDD-4F50-9CC7-C58382F1F73D}" type="CELLRANGE">
                      <a:rPr lang="en-US"/>
                      <a:pPr/>
                      <a:t>[CELLRANGE]</a:t>
                    </a:fld>
                    <a:endParaRPr lang="es-ES"/>
                  </a:p>
                </c:rich>
              </c:tx>
              <c:dLblPos val="r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showDataLabelsRange val="1"/>
                </c:ext>
                <c:ext xmlns:c16="http://schemas.microsoft.com/office/drawing/2014/chart" uri="{C3380CC4-5D6E-409C-BE32-E72D297353CC}">
                  <c16:uniqueId val="{00000007-0D5F-4019-91B5-B2931EC3F432}"/>
                </c:ext>
              </c:extLst>
            </c:dLbl>
            <c:dLbl>
              <c:idx val="7"/>
              <c:layout>
                <c:manualLayout>
                  <c:x val="-3.9583333333333331E-2"/>
                  <c:y val="-0.33843759113444155"/>
                </c:manualLayout>
              </c:layout>
              <c:tx>
                <c:rich>
                  <a:bodyPr/>
                  <a:lstStyle/>
                  <a:p>
                    <a:fld id="{42AA99A2-782E-4112-8B70-5114AD82ACDA}" type="CELLRANGE">
                      <a:rPr lang="en-US"/>
                      <a:pPr/>
                      <a:t>[CELLRANGE]</a:t>
                    </a:fld>
                    <a:endParaRPr lang="es-ES"/>
                  </a:p>
                </c:rich>
              </c:tx>
              <c:dLblPos val="r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showDataLabelsRange val="1"/>
                </c:ext>
                <c:ext xmlns:c16="http://schemas.microsoft.com/office/drawing/2014/chart" uri="{C3380CC4-5D6E-409C-BE32-E72D297353CC}">
                  <c16:uniqueId val="{00000008-0D5F-4019-91B5-B2931EC3F432}"/>
                </c:ext>
              </c:extLst>
            </c:dLbl>
            <c:spPr>
              <a:noFill/>
              <a:ln>
                <a:noFill/>
              </a:ln>
              <a:effectLst/>
            </c:spPr>
            <c:dLblPos val="t"/>
            <c:showLegendKey val="0"/>
            <c:showVal val="0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DataLabelsRange val="1"/>
                <c15:showLeaderLines val="0"/>
              </c:ext>
            </c:extLst>
          </c:dLbls>
          <c:errBars>
            <c:errDir val="y"/>
            <c:errBarType val="both"/>
            <c:errValType val="cust"/>
            <c:noEndCap val="0"/>
            <c:plus>
              <c:numRef>
                <c:f>I3CA!$L$4:$L$11</c:f>
                <c:numCache>
                  <c:formatCode>General</c:formatCode>
                  <c:ptCount val="8"/>
                  <c:pt idx="0">
                    <c:v>290.23895493089526</c:v>
                  </c:pt>
                  <c:pt idx="1">
                    <c:v>66.101871705099512</c:v>
                  </c:pt>
                  <c:pt idx="2">
                    <c:v>78.840921931933906</c:v>
                  </c:pt>
                  <c:pt idx="3">
                    <c:v>79.903806476269921</c:v>
                  </c:pt>
                  <c:pt idx="4">
                    <c:v>150.7336424049501</c:v>
                  </c:pt>
                  <c:pt idx="5">
                    <c:v>97.523269022458337</c:v>
                  </c:pt>
                  <c:pt idx="6">
                    <c:v>134.66335241873054</c:v>
                  </c:pt>
                  <c:pt idx="7">
                    <c:v>112.61752128026143</c:v>
                  </c:pt>
                </c:numCache>
              </c:numRef>
            </c:plus>
            <c:minus>
              <c:numRef>
                <c:f>I3CA!$L$4:$L$11</c:f>
                <c:numCache>
                  <c:formatCode>General</c:formatCode>
                  <c:ptCount val="8"/>
                  <c:pt idx="0">
                    <c:v>290.23895493089526</c:v>
                  </c:pt>
                  <c:pt idx="1">
                    <c:v>66.101871705099512</c:v>
                  </c:pt>
                  <c:pt idx="2">
                    <c:v>78.840921931933906</c:v>
                  </c:pt>
                  <c:pt idx="3">
                    <c:v>79.903806476269921</c:v>
                  </c:pt>
                  <c:pt idx="4">
                    <c:v>150.7336424049501</c:v>
                  </c:pt>
                  <c:pt idx="5">
                    <c:v>97.523269022458337</c:v>
                  </c:pt>
                  <c:pt idx="6">
                    <c:v>134.66335241873054</c:v>
                  </c:pt>
                  <c:pt idx="7">
                    <c:v>112.61752128026143</c:v>
                  </c:pt>
                </c:numCache>
              </c:numRef>
            </c:minus>
            <c:spPr>
              <a:noFill/>
              <a:ln w="9525" cap="flat" cmpd="sng" algn="ctr">
                <a:solidFill>
                  <a:schemeClr val="tx1">
                    <a:lumMod val="65000"/>
                    <a:lumOff val="35000"/>
                  </a:schemeClr>
                </a:solidFill>
                <a:round/>
              </a:ln>
              <a:effectLst/>
            </c:spPr>
          </c:errBars>
          <c:cat>
            <c:strRef>
              <c:f>[1]OPDA!$H$4:$H$11</c:f>
              <c:strCache>
                <c:ptCount val="8"/>
                <c:pt idx="0">
                  <c:v>1d</c:v>
                </c:pt>
                <c:pt idx="1">
                  <c:v>2d</c:v>
                </c:pt>
                <c:pt idx="2">
                  <c:v>3d</c:v>
                </c:pt>
                <c:pt idx="3">
                  <c:v>4d</c:v>
                </c:pt>
                <c:pt idx="4">
                  <c:v>5d</c:v>
                </c:pt>
                <c:pt idx="5">
                  <c:v>6d</c:v>
                </c:pt>
                <c:pt idx="6">
                  <c:v>7d</c:v>
                </c:pt>
                <c:pt idx="7">
                  <c:v>8d</c:v>
                </c:pt>
              </c:strCache>
            </c:strRef>
          </c:cat>
          <c:val>
            <c:numRef>
              <c:f>I3CA!$K$4:$K$11</c:f>
              <c:numCache>
                <c:formatCode>General</c:formatCode>
                <c:ptCount val="8"/>
                <c:pt idx="0">
                  <c:v>849.09855283369723</c:v>
                </c:pt>
                <c:pt idx="1">
                  <c:v>483.71411306645177</c:v>
                </c:pt>
                <c:pt idx="2">
                  <c:v>745.04750353749751</c:v>
                </c:pt>
                <c:pt idx="3">
                  <c:v>442.52663622526637</c:v>
                </c:pt>
                <c:pt idx="4">
                  <c:v>504.57608401790259</c:v>
                </c:pt>
                <c:pt idx="5">
                  <c:v>587.53402862082919</c:v>
                </c:pt>
                <c:pt idx="6">
                  <c:v>723.08981772642858</c:v>
                </c:pt>
                <c:pt idx="7">
                  <c:v>497.93388429752071</c:v>
                </c:pt>
              </c:numCache>
            </c:numRef>
          </c:val>
          <c:smooth val="0"/>
          <c:extLst>
            <c:ext xmlns:c15="http://schemas.microsoft.com/office/drawing/2012/chart" uri="{02D57815-91ED-43cb-92C2-25804820EDAC}">
              <c15:datalabelsRange>
                <c15:f>I3CA!$V$4:$V$11</c15:f>
                <c15:dlblRangeCache>
                  <c:ptCount val="8"/>
                  <c:pt idx="0">
                    <c:v>ns</c:v>
                  </c:pt>
                  <c:pt idx="1">
                    <c:v>ns</c:v>
                  </c:pt>
                  <c:pt idx="2">
                    <c:v>ns</c:v>
                  </c:pt>
                  <c:pt idx="3">
                    <c:v>ns</c:v>
                  </c:pt>
                  <c:pt idx="4">
                    <c:v>ns</c:v>
                  </c:pt>
                  <c:pt idx="5">
                    <c:v>ns</c:v>
                  </c:pt>
                  <c:pt idx="6">
                    <c:v>ns</c:v>
                  </c:pt>
                  <c:pt idx="7">
                    <c:v>ns</c:v>
                  </c:pt>
                </c15:dlblRangeCache>
              </c15:datalabelsRange>
            </c:ext>
            <c:ext xmlns:c16="http://schemas.microsoft.com/office/drawing/2014/chart" uri="{C3380CC4-5D6E-409C-BE32-E72D297353CC}">
              <c16:uniqueId val="{00000009-0D5F-4019-91B5-B2931EC3F432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1772299679"/>
        <c:axId val="1772307839"/>
      </c:lineChart>
      <c:catAx>
        <c:axId val="1772299679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solidFill>
            <a:schemeClr val="bg1"/>
          </a:solidFill>
          <a:ln w="9525" cap="flat" cmpd="sng" algn="ctr">
            <a:solidFill>
              <a:schemeClr val="tx1">
                <a:lumMod val="50000"/>
                <a:lumOff val="50000"/>
              </a:schemeClr>
            </a:solidFill>
            <a:round/>
          </a:ln>
          <a:effectLst/>
        </c:spPr>
        <c:txPr>
          <a:bodyPr rot="-60000000" vert="horz"/>
          <a:lstStyle/>
          <a:p>
            <a:pPr>
              <a:defRPr/>
            </a:pPr>
            <a:endParaRPr lang="en-US"/>
          </a:p>
        </c:txPr>
        <c:crossAx val="1772307839"/>
        <c:crosses val="autoZero"/>
        <c:auto val="1"/>
        <c:lblAlgn val="ctr"/>
        <c:lblOffset val="100"/>
        <c:noMultiLvlLbl val="0"/>
      </c:catAx>
      <c:valAx>
        <c:axId val="1772307839"/>
        <c:scaling>
          <c:orientation val="minMax"/>
        </c:scaling>
        <c:delete val="0"/>
        <c:axPos val="l"/>
        <c:majorGridlines>
          <c:spPr>
            <a:ln w="9525" cap="flat" cmpd="sng" algn="ctr">
              <a:noFill/>
              <a:round/>
            </a:ln>
            <a:effectLst/>
          </c:spPr>
        </c:majorGridlines>
        <c:title>
          <c:tx>
            <c:rich>
              <a:bodyPr rot="-5400000" vert="horz"/>
              <a:lstStyle/>
              <a:p>
                <a:pPr>
                  <a:defRPr b="0"/>
                </a:pPr>
                <a:r>
                  <a:rPr lang="en-US" b="0"/>
                  <a:t>I3CA (ng/gdw)</a:t>
                </a:r>
              </a:p>
            </c:rich>
          </c:tx>
          <c:layout>
            <c:manualLayout>
              <c:xMode val="edge"/>
              <c:yMode val="edge"/>
              <c:x val="4.8806659989294468E-2"/>
              <c:y val="0.25384649675186571"/>
            </c:manualLayout>
          </c:layout>
          <c:overlay val="0"/>
          <c:spPr>
            <a:noFill/>
            <a:ln>
              <a:noFill/>
            </a:ln>
            <a:effectLst/>
          </c:spPr>
        </c:title>
        <c:numFmt formatCode="General" sourceLinked="1"/>
        <c:majorTickMark val="none"/>
        <c:minorTickMark val="none"/>
        <c:tickLblPos val="nextTo"/>
        <c:spPr>
          <a:noFill/>
          <a:ln>
            <a:solidFill>
              <a:schemeClr val="tx1">
                <a:lumMod val="65000"/>
                <a:lumOff val="35000"/>
              </a:schemeClr>
            </a:solidFill>
          </a:ln>
          <a:effectLst/>
        </c:spPr>
        <c:txPr>
          <a:bodyPr rot="-60000000" vert="horz"/>
          <a:lstStyle/>
          <a:p>
            <a:pPr>
              <a:defRPr/>
            </a:pPr>
            <a:endParaRPr lang="en-US"/>
          </a:p>
        </c:txPr>
        <c:crossAx val="1772299679"/>
        <c:crosses val="autoZero"/>
        <c:crossBetween val="between"/>
      </c:valAx>
      <c:spPr>
        <a:noFill/>
        <a:ln>
          <a:solidFill>
            <a:schemeClr val="tx1">
              <a:lumMod val="65000"/>
              <a:lumOff val="35000"/>
            </a:schemeClr>
          </a:solidFill>
        </a:ln>
        <a:effectLst/>
      </c:spPr>
    </c:plotArea>
    <c:legend>
      <c:legendPos val="b"/>
      <c:layout>
        <c:manualLayout>
          <c:xMode val="edge"/>
          <c:yMode val="edge"/>
          <c:x val="0.35650969076288624"/>
          <c:y val="0.88866925136810859"/>
          <c:w val="0.3019213258321306"/>
          <c:h val="8.148539347117649E-2"/>
        </c:manualLayout>
      </c:layout>
      <c:overlay val="0"/>
      <c:spPr>
        <a:noFill/>
        <a:ln>
          <a:noFill/>
        </a:ln>
        <a:effectLst/>
      </c:spPr>
      <c:txPr>
        <a:bodyPr rot="0" vert="horz"/>
        <a:lstStyle/>
        <a:p>
          <a:pPr>
            <a:defRPr/>
          </a:pPr>
          <a:endParaRPr lang="en-US"/>
        </a:p>
      </c:txPr>
    </c:legend>
    <c:plotVisOnly val="1"/>
    <c:dispBlanksAs val="gap"/>
    <c:showDLblsOverMax val="0"/>
    <c:extLst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 sz="1200">
          <a:solidFill>
            <a:schemeClr val="tx1"/>
          </a:solidFill>
        </a:defRPr>
      </a:pPr>
      <a:endParaRPr lang="en-US"/>
    </a:p>
  </c:txPr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chart" Target="../charts/chart2.xml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chart" Target="../charts/chart3.xml"/></Relationships>
</file>

<file path=xl/drawings/_rels/drawing4.xml.rels><?xml version="1.0" encoding="UTF-8" standalone="yes"?>
<Relationships xmlns="http://schemas.openxmlformats.org/package/2006/relationships"><Relationship Id="rId1" Type="http://schemas.openxmlformats.org/officeDocument/2006/relationships/chart" Target="../charts/chart4.xml"/></Relationships>
</file>

<file path=xl/drawings/_rels/drawing5.xml.rels><?xml version="1.0" encoding="UTF-8" standalone="yes"?>
<Relationships xmlns="http://schemas.openxmlformats.org/package/2006/relationships"><Relationship Id="rId1" Type="http://schemas.openxmlformats.org/officeDocument/2006/relationships/chart" Target="../charts/chart5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7</xdr:col>
      <xdr:colOff>200025</xdr:colOff>
      <xdr:row>15</xdr:row>
      <xdr:rowOff>66674</xdr:rowOff>
    </xdr:from>
    <xdr:to>
      <xdr:col>13</xdr:col>
      <xdr:colOff>200025</xdr:colOff>
      <xdr:row>30</xdr:row>
      <xdr:rowOff>95249</xdr:rowOff>
    </xdr:to>
    <xdr:graphicFrame macro="">
      <xdr:nvGraphicFramePr>
        <xdr:cNvPr id="2" name="Gráfico 1">
          <a:extLst>
            <a:ext uri="{FF2B5EF4-FFF2-40B4-BE49-F238E27FC236}">
              <a16:creationId xmlns:a16="http://schemas.microsoft.com/office/drawing/2014/main" id="{A1821808-F27F-A01E-947D-46D0EC60C123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8</xdr:col>
      <xdr:colOff>714375</xdr:colOff>
      <xdr:row>14</xdr:row>
      <xdr:rowOff>76199</xdr:rowOff>
    </xdr:from>
    <xdr:to>
      <xdr:col>14</xdr:col>
      <xdr:colOff>714375</xdr:colOff>
      <xdr:row>29</xdr:row>
      <xdr:rowOff>104774</xdr:rowOff>
    </xdr:to>
    <xdr:graphicFrame macro="">
      <xdr:nvGraphicFramePr>
        <xdr:cNvPr id="2" name="Gráfico 1">
          <a:extLst>
            <a:ext uri="{FF2B5EF4-FFF2-40B4-BE49-F238E27FC236}">
              <a16:creationId xmlns:a16="http://schemas.microsoft.com/office/drawing/2014/main" id="{FBCA5FEB-C71D-B516-B3AD-8C748A10061C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7</xdr:col>
      <xdr:colOff>38100</xdr:colOff>
      <xdr:row>15</xdr:row>
      <xdr:rowOff>9524</xdr:rowOff>
    </xdr:from>
    <xdr:to>
      <xdr:col>13</xdr:col>
      <xdr:colOff>38100</xdr:colOff>
      <xdr:row>30</xdr:row>
      <xdr:rowOff>38099</xdr:rowOff>
    </xdr:to>
    <xdr:graphicFrame macro="">
      <xdr:nvGraphicFramePr>
        <xdr:cNvPr id="3" name="Gráfico 2">
          <a:extLst>
            <a:ext uri="{FF2B5EF4-FFF2-40B4-BE49-F238E27FC236}">
              <a16:creationId xmlns:a16="http://schemas.microsoft.com/office/drawing/2014/main" id="{979E0699-C1D9-54DD-3F79-D2594510DC5C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>
    <xdr:from>
      <xdr:col>6</xdr:col>
      <xdr:colOff>590550</xdr:colOff>
      <xdr:row>13</xdr:row>
      <xdr:rowOff>85724</xdr:rowOff>
    </xdr:from>
    <xdr:to>
      <xdr:col>12</xdr:col>
      <xdr:colOff>590550</xdr:colOff>
      <xdr:row>28</xdr:row>
      <xdr:rowOff>114299</xdr:rowOff>
    </xdr:to>
    <xdr:graphicFrame macro="">
      <xdr:nvGraphicFramePr>
        <xdr:cNvPr id="2" name="Gráfico 1">
          <a:extLst>
            <a:ext uri="{FF2B5EF4-FFF2-40B4-BE49-F238E27FC236}">
              <a16:creationId xmlns:a16="http://schemas.microsoft.com/office/drawing/2014/main" id="{80B977A3-BE51-4E70-881F-BFB46764529D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5.xml><?xml version="1.0" encoding="utf-8"?>
<xdr:wsDr xmlns:xdr="http://schemas.openxmlformats.org/drawingml/2006/spreadsheetDrawing" xmlns:a="http://schemas.openxmlformats.org/drawingml/2006/main">
  <xdr:twoCellAnchor>
    <xdr:from>
      <xdr:col>6</xdr:col>
      <xdr:colOff>590550</xdr:colOff>
      <xdr:row>13</xdr:row>
      <xdr:rowOff>85724</xdr:rowOff>
    </xdr:from>
    <xdr:to>
      <xdr:col>12</xdr:col>
      <xdr:colOff>590550</xdr:colOff>
      <xdr:row>28</xdr:row>
      <xdr:rowOff>114299</xdr:rowOff>
    </xdr:to>
    <xdr:graphicFrame macro="">
      <xdr:nvGraphicFramePr>
        <xdr:cNvPr id="2" name="Gráfico 1">
          <a:extLst>
            <a:ext uri="{FF2B5EF4-FFF2-40B4-BE49-F238E27FC236}">
              <a16:creationId xmlns:a16="http://schemas.microsoft.com/office/drawing/2014/main" id="{002D1BA4-145B-4810-AEA1-494592AA7A53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C:\Users\marta\Documents\TESIS%20MARTA%20(propio)\3.%20BM-PLANT\Experimentos\Hormone%20time%20curse\EXP%20281024\Hormonas%20HOJA%20sin%20haber%20tocado%20los%20datos\Hormonas%20Hoja%20281024%20con%20graficas.xlsx" TargetMode="External"/><Relationship Id="rId1" Type="http://schemas.openxmlformats.org/officeDocument/2006/relationships/externalLinkPath" Target="EXP%20281024/Hormonas%20HOJA%20sin%20haber%20tocado%20los%20datos/Hormonas%20Hoja%20281024%20con%20graficas.xlsx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openxmlformats.org/officeDocument/2006/relationships/externalLinkPath" Target="graficas%20hormonas%20exp%20281024/EXP%20281024/Hormonas%20HOJA%20sin%20haber%20tocado%20los%20datos/Hormonas%20Hoja%20281024%20con%20graficas.xlsx" TargetMode="External"/></Relationships>
</file>

<file path=xl/externalLinks/_rels/externalLink3.xml.rels><?xml version="1.0" encoding="UTF-8" standalone="yes"?>
<Relationships xmlns="http://schemas.openxmlformats.org/package/2006/relationships"><Relationship Id="rId2" Type="http://schemas.microsoft.com/office/2019/04/relationships/externalLinkLongPath" Target="graficas%20hormonas%20exp%20281024/graficas%20hormonas%20exp%20281024/EXP%20281024/Hormonas%20HOJA%20sin%20haber%20tocado%20los%20datos/Hormonas%20Hoja%20281024%20con%20graficas.xlsx?3FA62E08" TargetMode="External"/><Relationship Id="rId1" Type="http://schemas.openxmlformats.org/officeDocument/2006/relationships/externalLinkPath" Target="file:///\\3FA62E08\Hormonas%20Hoja%20281024%20con%20graficas.xlsx" TargetMode="External"/></Relationships>
</file>

<file path=xl/externalLinks/_rels/externalLink4.xml.rels><?xml version="1.0" encoding="UTF-8" standalone="yes"?>
<Relationships xmlns="http://schemas.openxmlformats.org/package/2006/relationships"><Relationship Id="rId2" Type="http://schemas.microsoft.com/office/2019/04/relationships/externalLinkLongPath" Target="graficas%20hormonas%20exp%20281024/graficas%20hormonas%20exp%20281024/graficas%20hormonas%20exp%20281024/EXP%20281024/Hormonas%20HOJA%20sin%20haber%20tocado%20los%20datos/Hormonas%20Hoja%20281024%20con%20graficas.xlsx?788331D0" TargetMode="External"/><Relationship Id="rId1" Type="http://schemas.openxmlformats.org/officeDocument/2006/relationships/externalLinkPath" Target="file:///\\788331D0\Hormonas%20Hoja%20281024%20con%20graficas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ABA"/>
      <sheetName val="SA"/>
      <sheetName val="Ja-Ile"/>
      <sheetName val="JA"/>
      <sheetName val="OPDA"/>
      <sheetName val="IAA"/>
      <sheetName val="I3CA"/>
    </sheetNames>
    <sheetDataSet>
      <sheetData sheetId="0"/>
      <sheetData sheetId="1"/>
      <sheetData sheetId="2"/>
      <sheetData sheetId="3"/>
      <sheetData sheetId="4">
        <row r="4">
          <cell r="H4" t="str">
            <v>1d</v>
          </cell>
        </row>
        <row r="5">
          <cell r="H5" t="str">
            <v>2d</v>
          </cell>
        </row>
        <row r="6">
          <cell r="H6" t="str">
            <v>3d</v>
          </cell>
        </row>
        <row r="7">
          <cell r="H7" t="str">
            <v>4d</v>
          </cell>
        </row>
        <row r="8">
          <cell r="H8" t="str">
            <v>5d</v>
          </cell>
        </row>
        <row r="9">
          <cell r="H9" t="str">
            <v>6d</v>
          </cell>
        </row>
        <row r="10">
          <cell r="H10" t="str">
            <v>7d</v>
          </cell>
        </row>
        <row r="11">
          <cell r="H11" t="str">
            <v>8d</v>
          </cell>
        </row>
      </sheetData>
      <sheetData sheetId="5"/>
      <sheetData sheetId="6"/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OPDA"/>
    </sheetNames>
    <sheetDataSet>
      <sheetData sheetId="0" refreshError="1"/>
    </sheetDataSet>
  </externalBook>
</externalLink>
</file>

<file path=xl/externalLinks/externalLink3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OPDA"/>
    </sheetNames>
    <sheetDataSet>
      <sheetData sheetId="0" refreshError="1"/>
    </sheetDataSet>
  </externalBook>
</externalLink>
</file>

<file path=xl/externalLinks/externalLink4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OPDA"/>
    </sheetNames>
    <sheetDataSet>
      <sheetData sheetId="0" refreshError="1"/>
    </sheetDataSet>
  </externalBook>
</externalLink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theme/themeOverride1.xml><?xml version="1.0" encoding="utf-8"?>
<a:themeOverride xmlns:a="http://schemas.openxmlformats.org/drawingml/2006/main">
  <a:clrScheme name="Office">
    <a:dk1>
      <a:sysClr val="windowText" lastClr="000000"/>
    </a:dk1>
    <a:lt1>
      <a:sysClr val="window" lastClr="FFFFFF"/>
    </a:lt1>
    <a:dk2>
      <a:srgbClr val="0E2841"/>
    </a:dk2>
    <a:lt2>
      <a:srgbClr val="E8E8E8"/>
    </a:lt2>
    <a:accent1>
      <a:srgbClr val="156082"/>
    </a:accent1>
    <a:accent2>
      <a:srgbClr val="E97132"/>
    </a:accent2>
    <a:accent3>
      <a:srgbClr val="196B24"/>
    </a:accent3>
    <a:accent4>
      <a:srgbClr val="0F9ED5"/>
    </a:accent4>
    <a:accent5>
      <a:srgbClr val="A02B93"/>
    </a:accent5>
    <a:accent6>
      <a:srgbClr val="4EA72E"/>
    </a:accent6>
    <a:hlink>
      <a:srgbClr val="467886"/>
    </a:hlink>
    <a:folHlink>
      <a:srgbClr val="96607D"/>
    </a:folHlink>
  </a:clrScheme>
  <a:fontScheme name="Office">
    <a:majorFont>
      <a:latin typeface="Aptos Display" panose="02110004020202020204"/>
      <a:ea typeface=""/>
      <a:cs typeface=""/>
      <a:font script="Jpan" typeface="游ゴシック Light"/>
      <a:font script="Hang" typeface="맑은 고딕"/>
      <a:font script="Hans" typeface="等线 Light"/>
      <a:font script="Hant" typeface="新細明體"/>
      <a:font script="Arab" typeface="Times New Roman"/>
      <a:font script="Hebr" typeface="Times New Roman"/>
      <a:font script="Thai" typeface="Tahoma"/>
      <a:font script="Ethi" typeface="Nyala"/>
      <a:font script="Beng" typeface="Vrinda"/>
      <a:font script="Gujr" typeface="Shruti"/>
      <a:font script="Khmr" typeface="MoolBoran"/>
      <a:font script="Knda" typeface="Tunga"/>
      <a:font script="Guru" typeface="Raavi"/>
      <a:font script="Cans" typeface="Euphemia"/>
      <a:font script="Cher" typeface="Plantagenet Cherokee"/>
      <a:font script="Yiii" typeface="Microsoft Yi Baiti"/>
      <a:font script="Tibt" typeface="Microsoft Himalaya"/>
      <a:font script="Thaa" typeface="MV Boli"/>
      <a:font script="Deva" typeface="Mangal"/>
      <a:font script="Telu" typeface="Gautami"/>
      <a:font script="Taml" typeface="Latha"/>
      <a:font script="Syrc" typeface="Estrangelo Edessa"/>
      <a:font script="Orya" typeface="Kalinga"/>
      <a:font script="Mlym" typeface="Kartika"/>
      <a:font script="Laoo" typeface="DokChampa"/>
      <a:font script="Sinh" typeface="Iskoola Pota"/>
      <a:font script="Mong" typeface="Mongolian Baiti"/>
      <a:font script="Viet" typeface="Times New Roman"/>
      <a:font script="Uigh" typeface="Microsoft Uighur"/>
      <a:font script="Geor" typeface="Sylfaen"/>
      <a:font script="Armn" typeface="Arial"/>
      <a:font script="Bugi" typeface="Leelawadee UI"/>
      <a:font script="Bopo" typeface="Microsoft JhengHei"/>
      <a:font script="Java" typeface="Javanese Text"/>
      <a:font script="Lisu" typeface="Segoe UI"/>
      <a:font script="Mymr" typeface="Myanmar Text"/>
      <a:font script="Nkoo" typeface="Ebrima"/>
      <a:font script="Olck" typeface="Nirmala UI"/>
      <a:font script="Osma" typeface="Ebrima"/>
      <a:font script="Phag" typeface="Phagspa"/>
      <a:font script="Syrn" typeface="Estrangelo Edessa"/>
      <a:font script="Syrj" typeface="Estrangelo Edessa"/>
      <a:font script="Syre" typeface="Estrangelo Edessa"/>
      <a:font script="Sora" typeface="Nirmala UI"/>
      <a:font script="Tale" typeface="Microsoft Tai Le"/>
      <a:font script="Talu" typeface="Microsoft New Tai Lue"/>
      <a:font script="Tfng" typeface="Ebrima"/>
    </a:majorFont>
    <a:minorFont>
      <a:latin typeface="Aptos Narrow" panose="02110004020202020204"/>
      <a:ea typeface=""/>
      <a:cs typeface=""/>
      <a:font script="Jpan" typeface="游ゴシック"/>
      <a:font script="Hang" typeface="맑은 고딕"/>
      <a:font script="Hans" typeface="等线"/>
      <a:font script="Hant" typeface="新細明體"/>
      <a:font script="Arab" typeface="Arial"/>
      <a:font script="Hebr" typeface="Arial"/>
      <a:font script="Thai" typeface="Tahoma"/>
      <a:font script="Ethi" typeface="Nyala"/>
      <a:font script="Beng" typeface="Vrinda"/>
      <a:font script="Gujr" typeface="Shruti"/>
      <a:font script="Khmr" typeface="DaunPenh"/>
      <a:font script="Knda" typeface="Tunga"/>
      <a:font script="Guru" typeface="Raavi"/>
      <a:font script="Cans" typeface="Euphemia"/>
      <a:font script="Cher" typeface="Plantagenet Cherokee"/>
      <a:font script="Yiii" typeface="Microsoft Yi Baiti"/>
      <a:font script="Tibt" typeface="Microsoft Himalaya"/>
      <a:font script="Thaa" typeface="MV Boli"/>
      <a:font script="Deva" typeface="Mangal"/>
      <a:font script="Telu" typeface="Gautami"/>
      <a:font script="Taml" typeface="Latha"/>
      <a:font script="Syrc" typeface="Estrangelo Edessa"/>
      <a:font script="Orya" typeface="Kalinga"/>
      <a:font script="Mlym" typeface="Kartika"/>
      <a:font script="Laoo" typeface="DokChampa"/>
      <a:font script="Sinh" typeface="Iskoola Pota"/>
      <a:font script="Mong" typeface="Mongolian Baiti"/>
      <a:font script="Viet" typeface="Arial"/>
      <a:font script="Uigh" typeface="Microsoft Uighur"/>
      <a:font script="Geor" typeface="Sylfaen"/>
      <a:font script="Armn" typeface="Arial"/>
      <a:font script="Bugi" typeface="Leelawadee UI"/>
      <a:font script="Bopo" typeface="Microsoft JhengHei"/>
      <a:font script="Java" typeface="Javanese Text"/>
      <a:font script="Lisu" typeface="Segoe UI"/>
      <a:font script="Mymr" typeface="Myanmar Text"/>
      <a:font script="Nkoo" typeface="Ebrima"/>
      <a:font script="Olck" typeface="Nirmala UI"/>
      <a:font script="Osma" typeface="Ebrima"/>
      <a:font script="Phag" typeface="Phagspa"/>
      <a:font script="Syrn" typeface="Estrangelo Edessa"/>
      <a:font script="Syrj" typeface="Estrangelo Edessa"/>
      <a:font script="Syre" typeface="Estrangelo Edessa"/>
      <a:font script="Sora" typeface="Nirmala UI"/>
      <a:font script="Tale" typeface="Microsoft Tai Le"/>
      <a:font script="Talu" typeface="Microsoft New Tai Lue"/>
      <a:font script="Tfng" typeface="Ebrima"/>
    </a:minorFont>
  </a:fontScheme>
  <a:fmtScheme name="Office">
    <a:fillStyleLst>
      <a:solidFill>
        <a:schemeClr val="phClr"/>
      </a:solidFill>
      <a:gradFill rotWithShape="1">
        <a:gsLst>
          <a:gs pos="0">
            <a:schemeClr val="phClr">
              <a:lumMod val="110000"/>
              <a:satMod val="105000"/>
              <a:tint val="67000"/>
            </a:schemeClr>
          </a:gs>
          <a:gs pos="50000">
            <a:schemeClr val="phClr">
              <a:lumMod val="105000"/>
              <a:satMod val="103000"/>
              <a:tint val="73000"/>
            </a:schemeClr>
          </a:gs>
          <a:gs pos="100000">
            <a:schemeClr val="phClr">
              <a:lumMod val="105000"/>
              <a:satMod val="109000"/>
              <a:tint val="81000"/>
            </a:schemeClr>
          </a:gs>
        </a:gsLst>
        <a:lin ang="5400000" scaled="0"/>
      </a:gradFill>
      <a:gradFill rotWithShape="1">
        <a:gsLst>
          <a:gs pos="0">
            <a:schemeClr val="phClr">
              <a:satMod val="103000"/>
              <a:lumMod val="102000"/>
              <a:tint val="94000"/>
            </a:schemeClr>
          </a:gs>
          <a:gs pos="50000">
            <a:schemeClr val="phClr">
              <a:satMod val="110000"/>
              <a:lumMod val="100000"/>
              <a:shade val="100000"/>
            </a:schemeClr>
          </a:gs>
          <a:gs pos="100000">
            <a:schemeClr val="phClr">
              <a:lumMod val="99000"/>
              <a:satMod val="120000"/>
              <a:shade val="78000"/>
            </a:schemeClr>
          </a:gs>
        </a:gsLst>
        <a:lin ang="5400000" scaled="0"/>
      </a:gradFill>
    </a:fillStyleLst>
    <a:lnStyleLst>
      <a:ln w="12700" cap="flat" cmpd="sng" algn="ctr">
        <a:solidFill>
          <a:schemeClr val="phClr"/>
        </a:solidFill>
        <a:prstDash val="solid"/>
        <a:miter lim="800000"/>
      </a:ln>
      <a:ln w="19050" cap="flat" cmpd="sng" algn="ctr">
        <a:solidFill>
          <a:schemeClr val="phClr"/>
        </a:solidFill>
        <a:prstDash val="solid"/>
        <a:miter lim="800000"/>
      </a:ln>
      <a:ln w="25400" cap="flat" cmpd="sng" algn="ctr">
        <a:solidFill>
          <a:schemeClr val="phClr"/>
        </a:solidFill>
        <a:prstDash val="solid"/>
        <a:miter lim="800000"/>
      </a:ln>
    </a:lnStyleLst>
    <a:effectStyleLst>
      <a:effectStyle>
        <a:effectLst/>
      </a:effectStyle>
      <a:effectStyle>
        <a:effectLst/>
      </a:effectStyle>
      <a:effectStyle>
        <a:effectLst>
          <a:outerShdw blurRad="57150" dist="19050" dir="5400000" algn="ctr" rotWithShape="0">
            <a:srgbClr val="000000">
              <a:alpha val="63000"/>
            </a:srgbClr>
          </a:outerShdw>
        </a:effectLst>
      </a:effectStyle>
    </a:effectStyleLst>
    <a:bgFillStyleLst>
      <a:solidFill>
        <a:schemeClr val="phClr"/>
      </a:solidFill>
      <a:solidFill>
        <a:schemeClr val="phClr">
          <a:tint val="95000"/>
          <a:satMod val="170000"/>
        </a:schemeClr>
      </a:solidFill>
      <a:gradFill rotWithShape="1">
        <a:gsLst>
          <a:gs pos="0">
            <a:schemeClr val="phClr">
              <a:tint val="93000"/>
              <a:satMod val="150000"/>
              <a:shade val="98000"/>
              <a:lumMod val="102000"/>
            </a:schemeClr>
          </a:gs>
          <a:gs pos="50000">
            <a:schemeClr val="phClr">
              <a:tint val="98000"/>
              <a:satMod val="130000"/>
              <a:shade val="90000"/>
              <a:lumMod val="103000"/>
            </a:schemeClr>
          </a:gs>
          <a:gs pos="100000">
            <a:schemeClr val="phClr">
              <a:shade val="63000"/>
              <a:satMod val="120000"/>
            </a:schemeClr>
          </a:gs>
        </a:gsLst>
        <a:lin ang="5400000" scaled="0"/>
      </a:gradFill>
    </a:bgFillStyleLst>
  </a:fmtScheme>
</a:themeOverride>
</file>

<file path=xl/theme/themeOverride2.xml><?xml version="1.0" encoding="utf-8"?>
<a:themeOverride xmlns:a="http://schemas.openxmlformats.org/drawingml/2006/main">
  <a:clrScheme name="Office">
    <a:dk1>
      <a:sysClr val="windowText" lastClr="000000"/>
    </a:dk1>
    <a:lt1>
      <a:sysClr val="window" lastClr="FFFFFF"/>
    </a:lt1>
    <a:dk2>
      <a:srgbClr val="0E2841"/>
    </a:dk2>
    <a:lt2>
      <a:srgbClr val="E8E8E8"/>
    </a:lt2>
    <a:accent1>
      <a:srgbClr val="156082"/>
    </a:accent1>
    <a:accent2>
      <a:srgbClr val="E97132"/>
    </a:accent2>
    <a:accent3>
      <a:srgbClr val="196B24"/>
    </a:accent3>
    <a:accent4>
      <a:srgbClr val="0F9ED5"/>
    </a:accent4>
    <a:accent5>
      <a:srgbClr val="A02B93"/>
    </a:accent5>
    <a:accent6>
      <a:srgbClr val="4EA72E"/>
    </a:accent6>
    <a:hlink>
      <a:srgbClr val="467886"/>
    </a:hlink>
    <a:folHlink>
      <a:srgbClr val="96607D"/>
    </a:folHlink>
  </a:clrScheme>
  <a:fontScheme name="Office">
    <a:majorFont>
      <a:latin typeface="Aptos Display" panose="02110004020202020204"/>
      <a:ea typeface=""/>
      <a:cs typeface=""/>
      <a:font script="Jpan" typeface="游ゴシック Light"/>
      <a:font script="Hang" typeface="맑은 고딕"/>
      <a:font script="Hans" typeface="等线 Light"/>
      <a:font script="Hant" typeface="新細明體"/>
      <a:font script="Arab" typeface="Times New Roman"/>
      <a:font script="Hebr" typeface="Times New Roman"/>
      <a:font script="Thai" typeface="Tahoma"/>
      <a:font script="Ethi" typeface="Nyala"/>
      <a:font script="Beng" typeface="Vrinda"/>
      <a:font script="Gujr" typeface="Shruti"/>
      <a:font script="Khmr" typeface="MoolBoran"/>
      <a:font script="Knda" typeface="Tunga"/>
      <a:font script="Guru" typeface="Raavi"/>
      <a:font script="Cans" typeface="Euphemia"/>
      <a:font script="Cher" typeface="Plantagenet Cherokee"/>
      <a:font script="Yiii" typeface="Microsoft Yi Baiti"/>
      <a:font script="Tibt" typeface="Microsoft Himalaya"/>
      <a:font script="Thaa" typeface="MV Boli"/>
      <a:font script="Deva" typeface="Mangal"/>
      <a:font script="Telu" typeface="Gautami"/>
      <a:font script="Taml" typeface="Latha"/>
      <a:font script="Syrc" typeface="Estrangelo Edessa"/>
      <a:font script="Orya" typeface="Kalinga"/>
      <a:font script="Mlym" typeface="Kartika"/>
      <a:font script="Laoo" typeface="DokChampa"/>
      <a:font script="Sinh" typeface="Iskoola Pota"/>
      <a:font script="Mong" typeface="Mongolian Baiti"/>
      <a:font script="Viet" typeface="Times New Roman"/>
      <a:font script="Uigh" typeface="Microsoft Uighur"/>
      <a:font script="Geor" typeface="Sylfaen"/>
      <a:font script="Armn" typeface="Arial"/>
      <a:font script="Bugi" typeface="Leelawadee UI"/>
      <a:font script="Bopo" typeface="Microsoft JhengHei"/>
      <a:font script="Java" typeface="Javanese Text"/>
      <a:font script="Lisu" typeface="Segoe UI"/>
      <a:font script="Mymr" typeface="Myanmar Text"/>
      <a:font script="Nkoo" typeface="Ebrima"/>
      <a:font script="Olck" typeface="Nirmala UI"/>
      <a:font script="Osma" typeface="Ebrima"/>
      <a:font script="Phag" typeface="Phagspa"/>
      <a:font script="Syrn" typeface="Estrangelo Edessa"/>
      <a:font script="Syrj" typeface="Estrangelo Edessa"/>
      <a:font script="Syre" typeface="Estrangelo Edessa"/>
      <a:font script="Sora" typeface="Nirmala UI"/>
      <a:font script="Tale" typeface="Microsoft Tai Le"/>
      <a:font script="Talu" typeface="Microsoft New Tai Lue"/>
      <a:font script="Tfng" typeface="Ebrima"/>
    </a:majorFont>
    <a:minorFont>
      <a:latin typeface="Aptos Narrow" panose="02110004020202020204"/>
      <a:ea typeface=""/>
      <a:cs typeface=""/>
      <a:font script="Jpan" typeface="游ゴシック"/>
      <a:font script="Hang" typeface="맑은 고딕"/>
      <a:font script="Hans" typeface="等线"/>
      <a:font script="Hant" typeface="新細明體"/>
      <a:font script="Arab" typeface="Arial"/>
      <a:font script="Hebr" typeface="Arial"/>
      <a:font script="Thai" typeface="Tahoma"/>
      <a:font script="Ethi" typeface="Nyala"/>
      <a:font script="Beng" typeface="Vrinda"/>
      <a:font script="Gujr" typeface="Shruti"/>
      <a:font script="Khmr" typeface="DaunPenh"/>
      <a:font script="Knda" typeface="Tunga"/>
      <a:font script="Guru" typeface="Raavi"/>
      <a:font script="Cans" typeface="Euphemia"/>
      <a:font script="Cher" typeface="Plantagenet Cherokee"/>
      <a:font script="Yiii" typeface="Microsoft Yi Baiti"/>
      <a:font script="Tibt" typeface="Microsoft Himalaya"/>
      <a:font script="Thaa" typeface="MV Boli"/>
      <a:font script="Deva" typeface="Mangal"/>
      <a:font script="Telu" typeface="Gautami"/>
      <a:font script="Taml" typeface="Latha"/>
      <a:font script="Syrc" typeface="Estrangelo Edessa"/>
      <a:font script="Orya" typeface="Kalinga"/>
      <a:font script="Mlym" typeface="Kartika"/>
      <a:font script="Laoo" typeface="DokChampa"/>
      <a:font script="Sinh" typeface="Iskoola Pota"/>
      <a:font script="Mong" typeface="Mongolian Baiti"/>
      <a:font script="Viet" typeface="Arial"/>
      <a:font script="Uigh" typeface="Microsoft Uighur"/>
      <a:font script="Geor" typeface="Sylfaen"/>
      <a:font script="Armn" typeface="Arial"/>
      <a:font script="Bugi" typeface="Leelawadee UI"/>
      <a:font script="Bopo" typeface="Microsoft JhengHei"/>
      <a:font script="Java" typeface="Javanese Text"/>
      <a:font script="Lisu" typeface="Segoe UI"/>
      <a:font script="Mymr" typeface="Myanmar Text"/>
      <a:font script="Nkoo" typeface="Ebrima"/>
      <a:font script="Olck" typeface="Nirmala UI"/>
      <a:font script="Osma" typeface="Ebrima"/>
      <a:font script="Phag" typeface="Phagspa"/>
      <a:font script="Syrn" typeface="Estrangelo Edessa"/>
      <a:font script="Syrj" typeface="Estrangelo Edessa"/>
      <a:font script="Syre" typeface="Estrangelo Edessa"/>
      <a:font script="Sora" typeface="Nirmala UI"/>
      <a:font script="Tale" typeface="Microsoft Tai Le"/>
      <a:font script="Talu" typeface="Microsoft New Tai Lue"/>
      <a:font script="Tfng" typeface="Ebrima"/>
    </a:minorFont>
  </a:fontScheme>
  <a:fmtScheme name="Office">
    <a:fillStyleLst>
      <a:solidFill>
        <a:schemeClr val="phClr"/>
      </a:solidFill>
      <a:gradFill rotWithShape="1">
        <a:gsLst>
          <a:gs pos="0">
            <a:schemeClr val="phClr">
              <a:lumMod val="110000"/>
              <a:satMod val="105000"/>
              <a:tint val="67000"/>
            </a:schemeClr>
          </a:gs>
          <a:gs pos="50000">
            <a:schemeClr val="phClr">
              <a:lumMod val="105000"/>
              <a:satMod val="103000"/>
              <a:tint val="73000"/>
            </a:schemeClr>
          </a:gs>
          <a:gs pos="100000">
            <a:schemeClr val="phClr">
              <a:lumMod val="105000"/>
              <a:satMod val="109000"/>
              <a:tint val="81000"/>
            </a:schemeClr>
          </a:gs>
        </a:gsLst>
        <a:lin ang="5400000" scaled="0"/>
      </a:gradFill>
      <a:gradFill rotWithShape="1">
        <a:gsLst>
          <a:gs pos="0">
            <a:schemeClr val="phClr">
              <a:satMod val="103000"/>
              <a:lumMod val="102000"/>
              <a:tint val="94000"/>
            </a:schemeClr>
          </a:gs>
          <a:gs pos="50000">
            <a:schemeClr val="phClr">
              <a:satMod val="110000"/>
              <a:lumMod val="100000"/>
              <a:shade val="100000"/>
            </a:schemeClr>
          </a:gs>
          <a:gs pos="100000">
            <a:schemeClr val="phClr">
              <a:lumMod val="99000"/>
              <a:satMod val="120000"/>
              <a:shade val="78000"/>
            </a:schemeClr>
          </a:gs>
        </a:gsLst>
        <a:lin ang="5400000" scaled="0"/>
      </a:gradFill>
    </a:fillStyleLst>
    <a:lnStyleLst>
      <a:ln w="12700" cap="flat" cmpd="sng" algn="ctr">
        <a:solidFill>
          <a:schemeClr val="phClr"/>
        </a:solidFill>
        <a:prstDash val="solid"/>
        <a:miter lim="800000"/>
      </a:ln>
      <a:ln w="19050" cap="flat" cmpd="sng" algn="ctr">
        <a:solidFill>
          <a:schemeClr val="phClr"/>
        </a:solidFill>
        <a:prstDash val="solid"/>
        <a:miter lim="800000"/>
      </a:ln>
      <a:ln w="25400" cap="flat" cmpd="sng" algn="ctr">
        <a:solidFill>
          <a:schemeClr val="phClr"/>
        </a:solidFill>
        <a:prstDash val="solid"/>
        <a:miter lim="800000"/>
      </a:ln>
    </a:lnStyleLst>
    <a:effectStyleLst>
      <a:effectStyle>
        <a:effectLst/>
      </a:effectStyle>
      <a:effectStyle>
        <a:effectLst/>
      </a:effectStyle>
      <a:effectStyle>
        <a:effectLst>
          <a:outerShdw blurRad="57150" dist="19050" dir="5400000" algn="ctr" rotWithShape="0">
            <a:srgbClr val="000000">
              <a:alpha val="63000"/>
            </a:srgbClr>
          </a:outerShdw>
        </a:effectLst>
      </a:effectStyle>
    </a:effectStyleLst>
    <a:bgFillStyleLst>
      <a:solidFill>
        <a:schemeClr val="phClr"/>
      </a:solidFill>
      <a:solidFill>
        <a:schemeClr val="phClr">
          <a:tint val="95000"/>
          <a:satMod val="170000"/>
        </a:schemeClr>
      </a:solidFill>
      <a:gradFill rotWithShape="1">
        <a:gsLst>
          <a:gs pos="0">
            <a:schemeClr val="phClr">
              <a:tint val="93000"/>
              <a:satMod val="150000"/>
              <a:shade val="98000"/>
              <a:lumMod val="102000"/>
            </a:schemeClr>
          </a:gs>
          <a:gs pos="50000">
            <a:schemeClr val="phClr">
              <a:tint val="98000"/>
              <a:satMod val="130000"/>
              <a:shade val="90000"/>
              <a:lumMod val="103000"/>
            </a:schemeClr>
          </a:gs>
          <a:gs pos="100000">
            <a:schemeClr val="phClr">
              <a:shade val="63000"/>
              <a:satMod val="120000"/>
            </a:schemeClr>
          </a:gs>
        </a:gsLst>
        <a:lin ang="5400000" scaled="0"/>
      </a:gradFill>
    </a:bgFillStyleLst>
  </a:fmtScheme>
</a:themeOverride>
</file>

<file path=xl/theme/themeOverride3.xml><?xml version="1.0" encoding="utf-8"?>
<a:themeOverride xmlns:a="http://schemas.openxmlformats.org/drawingml/2006/main">
  <a:clrScheme name="Office">
    <a:dk1>
      <a:sysClr val="windowText" lastClr="000000"/>
    </a:dk1>
    <a:lt1>
      <a:sysClr val="window" lastClr="FFFFFF"/>
    </a:lt1>
    <a:dk2>
      <a:srgbClr val="0E2841"/>
    </a:dk2>
    <a:lt2>
      <a:srgbClr val="E8E8E8"/>
    </a:lt2>
    <a:accent1>
      <a:srgbClr val="156082"/>
    </a:accent1>
    <a:accent2>
      <a:srgbClr val="E97132"/>
    </a:accent2>
    <a:accent3>
      <a:srgbClr val="196B24"/>
    </a:accent3>
    <a:accent4>
      <a:srgbClr val="0F9ED5"/>
    </a:accent4>
    <a:accent5>
      <a:srgbClr val="A02B93"/>
    </a:accent5>
    <a:accent6>
      <a:srgbClr val="4EA72E"/>
    </a:accent6>
    <a:hlink>
      <a:srgbClr val="467886"/>
    </a:hlink>
    <a:folHlink>
      <a:srgbClr val="96607D"/>
    </a:folHlink>
  </a:clrScheme>
  <a:fontScheme name="Office">
    <a:majorFont>
      <a:latin typeface="Aptos Display" panose="02110004020202020204"/>
      <a:ea typeface=""/>
      <a:cs typeface=""/>
      <a:font script="Jpan" typeface="游ゴシック Light"/>
      <a:font script="Hang" typeface="맑은 고딕"/>
      <a:font script="Hans" typeface="等线 Light"/>
      <a:font script="Hant" typeface="新細明體"/>
      <a:font script="Arab" typeface="Times New Roman"/>
      <a:font script="Hebr" typeface="Times New Roman"/>
      <a:font script="Thai" typeface="Tahoma"/>
      <a:font script="Ethi" typeface="Nyala"/>
      <a:font script="Beng" typeface="Vrinda"/>
      <a:font script="Gujr" typeface="Shruti"/>
      <a:font script="Khmr" typeface="MoolBoran"/>
      <a:font script="Knda" typeface="Tunga"/>
      <a:font script="Guru" typeface="Raavi"/>
      <a:font script="Cans" typeface="Euphemia"/>
      <a:font script="Cher" typeface="Plantagenet Cherokee"/>
      <a:font script="Yiii" typeface="Microsoft Yi Baiti"/>
      <a:font script="Tibt" typeface="Microsoft Himalaya"/>
      <a:font script="Thaa" typeface="MV Boli"/>
      <a:font script="Deva" typeface="Mangal"/>
      <a:font script="Telu" typeface="Gautami"/>
      <a:font script="Taml" typeface="Latha"/>
      <a:font script="Syrc" typeface="Estrangelo Edessa"/>
      <a:font script="Orya" typeface="Kalinga"/>
      <a:font script="Mlym" typeface="Kartika"/>
      <a:font script="Laoo" typeface="DokChampa"/>
      <a:font script="Sinh" typeface="Iskoola Pota"/>
      <a:font script="Mong" typeface="Mongolian Baiti"/>
      <a:font script="Viet" typeface="Times New Roman"/>
      <a:font script="Uigh" typeface="Microsoft Uighur"/>
      <a:font script="Geor" typeface="Sylfaen"/>
      <a:font script="Armn" typeface="Arial"/>
      <a:font script="Bugi" typeface="Leelawadee UI"/>
      <a:font script="Bopo" typeface="Microsoft JhengHei"/>
      <a:font script="Java" typeface="Javanese Text"/>
      <a:font script="Lisu" typeface="Segoe UI"/>
      <a:font script="Mymr" typeface="Myanmar Text"/>
      <a:font script="Nkoo" typeface="Ebrima"/>
      <a:font script="Olck" typeface="Nirmala UI"/>
      <a:font script="Osma" typeface="Ebrima"/>
      <a:font script="Phag" typeface="Phagspa"/>
      <a:font script="Syrn" typeface="Estrangelo Edessa"/>
      <a:font script="Syrj" typeface="Estrangelo Edessa"/>
      <a:font script="Syre" typeface="Estrangelo Edessa"/>
      <a:font script="Sora" typeface="Nirmala UI"/>
      <a:font script="Tale" typeface="Microsoft Tai Le"/>
      <a:font script="Talu" typeface="Microsoft New Tai Lue"/>
      <a:font script="Tfng" typeface="Ebrima"/>
    </a:majorFont>
    <a:minorFont>
      <a:latin typeface="Aptos Narrow" panose="02110004020202020204"/>
      <a:ea typeface=""/>
      <a:cs typeface=""/>
      <a:font script="Jpan" typeface="游ゴシック"/>
      <a:font script="Hang" typeface="맑은 고딕"/>
      <a:font script="Hans" typeface="等线"/>
      <a:font script="Hant" typeface="新細明體"/>
      <a:font script="Arab" typeface="Arial"/>
      <a:font script="Hebr" typeface="Arial"/>
      <a:font script="Thai" typeface="Tahoma"/>
      <a:font script="Ethi" typeface="Nyala"/>
      <a:font script="Beng" typeface="Vrinda"/>
      <a:font script="Gujr" typeface="Shruti"/>
      <a:font script="Khmr" typeface="DaunPenh"/>
      <a:font script="Knda" typeface="Tunga"/>
      <a:font script="Guru" typeface="Raavi"/>
      <a:font script="Cans" typeface="Euphemia"/>
      <a:font script="Cher" typeface="Plantagenet Cherokee"/>
      <a:font script="Yiii" typeface="Microsoft Yi Baiti"/>
      <a:font script="Tibt" typeface="Microsoft Himalaya"/>
      <a:font script="Thaa" typeface="MV Boli"/>
      <a:font script="Deva" typeface="Mangal"/>
      <a:font script="Telu" typeface="Gautami"/>
      <a:font script="Taml" typeface="Latha"/>
      <a:font script="Syrc" typeface="Estrangelo Edessa"/>
      <a:font script="Orya" typeface="Kalinga"/>
      <a:font script="Mlym" typeface="Kartika"/>
      <a:font script="Laoo" typeface="DokChampa"/>
      <a:font script="Sinh" typeface="Iskoola Pota"/>
      <a:font script="Mong" typeface="Mongolian Baiti"/>
      <a:font script="Viet" typeface="Arial"/>
      <a:font script="Uigh" typeface="Microsoft Uighur"/>
      <a:font script="Geor" typeface="Sylfaen"/>
      <a:font script="Armn" typeface="Arial"/>
      <a:font script="Bugi" typeface="Leelawadee UI"/>
      <a:font script="Bopo" typeface="Microsoft JhengHei"/>
      <a:font script="Java" typeface="Javanese Text"/>
      <a:font script="Lisu" typeface="Segoe UI"/>
      <a:font script="Mymr" typeface="Myanmar Text"/>
      <a:font script="Nkoo" typeface="Ebrima"/>
      <a:font script="Olck" typeface="Nirmala UI"/>
      <a:font script="Osma" typeface="Ebrima"/>
      <a:font script="Phag" typeface="Phagspa"/>
      <a:font script="Syrn" typeface="Estrangelo Edessa"/>
      <a:font script="Syrj" typeface="Estrangelo Edessa"/>
      <a:font script="Syre" typeface="Estrangelo Edessa"/>
      <a:font script="Sora" typeface="Nirmala UI"/>
      <a:font script="Tale" typeface="Microsoft Tai Le"/>
      <a:font script="Talu" typeface="Microsoft New Tai Lue"/>
      <a:font script="Tfng" typeface="Ebrima"/>
    </a:minorFont>
  </a:fontScheme>
  <a:fmtScheme name="Office">
    <a:fillStyleLst>
      <a:solidFill>
        <a:schemeClr val="phClr"/>
      </a:solidFill>
      <a:gradFill rotWithShape="1">
        <a:gsLst>
          <a:gs pos="0">
            <a:schemeClr val="phClr">
              <a:lumMod val="110000"/>
              <a:satMod val="105000"/>
              <a:tint val="67000"/>
            </a:schemeClr>
          </a:gs>
          <a:gs pos="50000">
            <a:schemeClr val="phClr">
              <a:lumMod val="105000"/>
              <a:satMod val="103000"/>
              <a:tint val="73000"/>
            </a:schemeClr>
          </a:gs>
          <a:gs pos="100000">
            <a:schemeClr val="phClr">
              <a:lumMod val="105000"/>
              <a:satMod val="109000"/>
              <a:tint val="81000"/>
            </a:schemeClr>
          </a:gs>
        </a:gsLst>
        <a:lin ang="5400000" scaled="0"/>
      </a:gradFill>
      <a:gradFill rotWithShape="1">
        <a:gsLst>
          <a:gs pos="0">
            <a:schemeClr val="phClr">
              <a:satMod val="103000"/>
              <a:lumMod val="102000"/>
              <a:tint val="94000"/>
            </a:schemeClr>
          </a:gs>
          <a:gs pos="50000">
            <a:schemeClr val="phClr">
              <a:satMod val="110000"/>
              <a:lumMod val="100000"/>
              <a:shade val="100000"/>
            </a:schemeClr>
          </a:gs>
          <a:gs pos="100000">
            <a:schemeClr val="phClr">
              <a:lumMod val="99000"/>
              <a:satMod val="120000"/>
              <a:shade val="78000"/>
            </a:schemeClr>
          </a:gs>
        </a:gsLst>
        <a:lin ang="5400000" scaled="0"/>
      </a:gradFill>
    </a:fillStyleLst>
    <a:lnStyleLst>
      <a:ln w="12700" cap="flat" cmpd="sng" algn="ctr">
        <a:solidFill>
          <a:schemeClr val="phClr"/>
        </a:solidFill>
        <a:prstDash val="solid"/>
        <a:miter lim="800000"/>
      </a:ln>
      <a:ln w="19050" cap="flat" cmpd="sng" algn="ctr">
        <a:solidFill>
          <a:schemeClr val="phClr"/>
        </a:solidFill>
        <a:prstDash val="solid"/>
        <a:miter lim="800000"/>
      </a:ln>
      <a:ln w="25400" cap="flat" cmpd="sng" algn="ctr">
        <a:solidFill>
          <a:schemeClr val="phClr"/>
        </a:solidFill>
        <a:prstDash val="solid"/>
        <a:miter lim="800000"/>
      </a:ln>
    </a:lnStyleLst>
    <a:effectStyleLst>
      <a:effectStyle>
        <a:effectLst/>
      </a:effectStyle>
      <a:effectStyle>
        <a:effectLst/>
      </a:effectStyle>
      <a:effectStyle>
        <a:effectLst>
          <a:outerShdw blurRad="57150" dist="19050" dir="5400000" algn="ctr" rotWithShape="0">
            <a:srgbClr val="000000">
              <a:alpha val="63000"/>
            </a:srgbClr>
          </a:outerShdw>
        </a:effectLst>
      </a:effectStyle>
    </a:effectStyleLst>
    <a:bgFillStyleLst>
      <a:solidFill>
        <a:schemeClr val="phClr"/>
      </a:solidFill>
      <a:solidFill>
        <a:schemeClr val="phClr">
          <a:tint val="95000"/>
          <a:satMod val="170000"/>
        </a:schemeClr>
      </a:solidFill>
      <a:gradFill rotWithShape="1">
        <a:gsLst>
          <a:gs pos="0">
            <a:schemeClr val="phClr">
              <a:tint val="93000"/>
              <a:satMod val="150000"/>
              <a:shade val="98000"/>
              <a:lumMod val="102000"/>
            </a:schemeClr>
          </a:gs>
          <a:gs pos="50000">
            <a:schemeClr val="phClr">
              <a:tint val="98000"/>
              <a:satMod val="130000"/>
              <a:shade val="90000"/>
              <a:lumMod val="103000"/>
            </a:schemeClr>
          </a:gs>
          <a:gs pos="100000">
            <a:schemeClr val="phClr">
              <a:shade val="63000"/>
              <a:satMod val="120000"/>
            </a:schemeClr>
          </a:gs>
        </a:gsLst>
        <a:lin ang="5400000" scaled="0"/>
      </a:gradFill>
    </a:bgFillStyleLst>
  </a:fmtScheme>
</a:themeOverride>
</file>

<file path=xl/theme/themeOverride4.xml><?xml version="1.0" encoding="utf-8"?>
<a:themeOverride xmlns:a="http://schemas.openxmlformats.org/drawingml/2006/main">
  <a:clrScheme name="Office">
    <a:dk1>
      <a:sysClr val="windowText" lastClr="000000"/>
    </a:dk1>
    <a:lt1>
      <a:sysClr val="window" lastClr="FFFFFF"/>
    </a:lt1>
    <a:dk2>
      <a:srgbClr val="0E2841"/>
    </a:dk2>
    <a:lt2>
      <a:srgbClr val="E8E8E8"/>
    </a:lt2>
    <a:accent1>
      <a:srgbClr val="156082"/>
    </a:accent1>
    <a:accent2>
      <a:srgbClr val="E97132"/>
    </a:accent2>
    <a:accent3>
      <a:srgbClr val="196B24"/>
    </a:accent3>
    <a:accent4>
      <a:srgbClr val="0F9ED5"/>
    </a:accent4>
    <a:accent5>
      <a:srgbClr val="A02B93"/>
    </a:accent5>
    <a:accent6>
      <a:srgbClr val="4EA72E"/>
    </a:accent6>
    <a:hlink>
      <a:srgbClr val="467886"/>
    </a:hlink>
    <a:folHlink>
      <a:srgbClr val="96607D"/>
    </a:folHlink>
  </a:clrScheme>
  <a:fontScheme name="Office">
    <a:majorFont>
      <a:latin typeface="Aptos Display" panose="02110004020202020204"/>
      <a:ea typeface=""/>
      <a:cs typeface=""/>
      <a:font script="Jpan" typeface="游ゴシック Light"/>
      <a:font script="Hang" typeface="맑은 고딕"/>
      <a:font script="Hans" typeface="等线 Light"/>
      <a:font script="Hant" typeface="新細明體"/>
      <a:font script="Arab" typeface="Times New Roman"/>
      <a:font script="Hebr" typeface="Times New Roman"/>
      <a:font script="Thai" typeface="Tahoma"/>
      <a:font script="Ethi" typeface="Nyala"/>
      <a:font script="Beng" typeface="Vrinda"/>
      <a:font script="Gujr" typeface="Shruti"/>
      <a:font script="Khmr" typeface="MoolBoran"/>
      <a:font script="Knda" typeface="Tunga"/>
      <a:font script="Guru" typeface="Raavi"/>
      <a:font script="Cans" typeface="Euphemia"/>
      <a:font script="Cher" typeface="Plantagenet Cherokee"/>
      <a:font script="Yiii" typeface="Microsoft Yi Baiti"/>
      <a:font script="Tibt" typeface="Microsoft Himalaya"/>
      <a:font script="Thaa" typeface="MV Boli"/>
      <a:font script="Deva" typeface="Mangal"/>
      <a:font script="Telu" typeface="Gautami"/>
      <a:font script="Taml" typeface="Latha"/>
      <a:font script="Syrc" typeface="Estrangelo Edessa"/>
      <a:font script="Orya" typeface="Kalinga"/>
      <a:font script="Mlym" typeface="Kartika"/>
      <a:font script="Laoo" typeface="DokChampa"/>
      <a:font script="Sinh" typeface="Iskoola Pota"/>
      <a:font script="Mong" typeface="Mongolian Baiti"/>
      <a:font script="Viet" typeface="Times New Roman"/>
      <a:font script="Uigh" typeface="Microsoft Uighur"/>
      <a:font script="Geor" typeface="Sylfaen"/>
      <a:font script="Armn" typeface="Arial"/>
      <a:font script="Bugi" typeface="Leelawadee UI"/>
      <a:font script="Bopo" typeface="Microsoft JhengHei"/>
      <a:font script="Java" typeface="Javanese Text"/>
      <a:font script="Lisu" typeface="Segoe UI"/>
      <a:font script="Mymr" typeface="Myanmar Text"/>
      <a:font script="Nkoo" typeface="Ebrima"/>
      <a:font script="Olck" typeface="Nirmala UI"/>
      <a:font script="Osma" typeface="Ebrima"/>
      <a:font script="Phag" typeface="Phagspa"/>
      <a:font script="Syrn" typeface="Estrangelo Edessa"/>
      <a:font script="Syrj" typeface="Estrangelo Edessa"/>
      <a:font script="Syre" typeface="Estrangelo Edessa"/>
      <a:font script="Sora" typeface="Nirmala UI"/>
      <a:font script="Tale" typeface="Microsoft Tai Le"/>
      <a:font script="Talu" typeface="Microsoft New Tai Lue"/>
      <a:font script="Tfng" typeface="Ebrima"/>
    </a:majorFont>
    <a:minorFont>
      <a:latin typeface="Aptos Narrow" panose="02110004020202020204"/>
      <a:ea typeface=""/>
      <a:cs typeface=""/>
      <a:font script="Jpan" typeface="游ゴシック"/>
      <a:font script="Hang" typeface="맑은 고딕"/>
      <a:font script="Hans" typeface="等线"/>
      <a:font script="Hant" typeface="新細明體"/>
      <a:font script="Arab" typeface="Arial"/>
      <a:font script="Hebr" typeface="Arial"/>
      <a:font script="Thai" typeface="Tahoma"/>
      <a:font script="Ethi" typeface="Nyala"/>
      <a:font script="Beng" typeface="Vrinda"/>
      <a:font script="Gujr" typeface="Shruti"/>
      <a:font script="Khmr" typeface="DaunPenh"/>
      <a:font script="Knda" typeface="Tunga"/>
      <a:font script="Guru" typeface="Raavi"/>
      <a:font script="Cans" typeface="Euphemia"/>
      <a:font script="Cher" typeface="Plantagenet Cherokee"/>
      <a:font script="Yiii" typeface="Microsoft Yi Baiti"/>
      <a:font script="Tibt" typeface="Microsoft Himalaya"/>
      <a:font script="Thaa" typeface="MV Boli"/>
      <a:font script="Deva" typeface="Mangal"/>
      <a:font script="Telu" typeface="Gautami"/>
      <a:font script="Taml" typeface="Latha"/>
      <a:font script="Syrc" typeface="Estrangelo Edessa"/>
      <a:font script="Orya" typeface="Kalinga"/>
      <a:font script="Mlym" typeface="Kartika"/>
      <a:font script="Laoo" typeface="DokChampa"/>
      <a:font script="Sinh" typeface="Iskoola Pota"/>
      <a:font script="Mong" typeface="Mongolian Baiti"/>
      <a:font script="Viet" typeface="Arial"/>
      <a:font script="Uigh" typeface="Microsoft Uighur"/>
      <a:font script="Geor" typeface="Sylfaen"/>
      <a:font script="Armn" typeface="Arial"/>
      <a:font script="Bugi" typeface="Leelawadee UI"/>
      <a:font script="Bopo" typeface="Microsoft JhengHei"/>
      <a:font script="Java" typeface="Javanese Text"/>
      <a:font script="Lisu" typeface="Segoe UI"/>
      <a:font script="Mymr" typeface="Myanmar Text"/>
      <a:font script="Nkoo" typeface="Ebrima"/>
      <a:font script="Olck" typeface="Nirmala UI"/>
      <a:font script="Osma" typeface="Ebrima"/>
      <a:font script="Phag" typeface="Phagspa"/>
      <a:font script="Syrn" typeface="Estrangelo Edessa"/>
      <a:font script="Syrj" typeface="Estrangelo Edessa"/>
      <a:font script="Syre" typeface="Estrangelo Edessa"/>
      <a:font script="Sora" typeface="Nirmala UI"/>
      <a:font script="Tale" typeface="Microsoft Tai Le"/>
      <a:font script="Talu" typeface="Microsoft New Tai Lue"/>
      <a:font script="Tfng" typeface="Ebrima"/>
    </a:minorFont>
  </a:fontScheme>
  <a:fmtScheme name="Office">
    <a:fillStyleLst>
      <a:solidFill>
        <a:schemeClr val="phClr"/>
      </a:solidFill>
      <a:gradFill rotWithShape="1">
        <a:gsLst>
          <a:gs pos="0">
            <a:schemeClr val="phClr">
              <a:lumMod val="110000"/>
              <a:satMod val="105000"/>
              <a:tint val="67000"/>
            </a:schemeClr>
          </a:gs>
          <a:gs pos="50000">
            <a:schemeClr val="phClr">
              <a:lumMod val="105000"/>
              <a:satMod val="103000"/>
              <a:tint val="73000"/>
            </a:schemeClr>
          </a:gs>
          <a:gs pos="100000">
            <a:schemeClr val="phClr">
              <a:lumMod val="105000"/>
              <a:satMod val="109000"/>
              <a:tint val="81000"/>
            </a:schemeClr>
          </a:gs>
        </a:gsLst>
        <a:lin ang="5400000" scaled="0"/>
      </a:gradFill>
      <a:gradFill rotWithShape="1">
        <a:gsLst>
          <a:gs pos="0">
            <a:schemeClr val="phClr">
              <a:satMod val="103000"/>
              <a:lumMod val="102000"/>
              <a:tint val="94000"/>
            </a:schemeClr>
          </a:gs>
          <a:gs pos="50000">
            <a:schemeClr val="phClr">
              <a:satMod val="110000"/>
              <a:lumMod val="100000"/>
              <a:shade val="100000"/>
            </a:schemeClr>
          </a:gs>
          <a:gs pos="100000">
            <a:schemeClr val="phClr">
              <a:lumMod val="99000"/>
              <a:satMod val="120000"/>
              <a:shade val="78000"/>
            </a:schemeClr>
          </a:gs>
        </a:gsLst>
        <a:lin ang="5400000" scaled="0"/>
      </a:gradFill>
    </a:fillStyleLst>
    <a:lnStyleLst>
      <a:ln w="12700" cap="flat" cmpd="sng" algn="ctr">
        <a:solidFill>
          <a:schemeClr val="phClr"/>
        </a:solidFill>
        <a:prstDash val="solid"/>
        <a:miter lim="800000"/>
      </a:ln>
      <a:ln w="19050" cap="flat" cmpd="sng" algn="ctr">
        <a:solidFill>
          <a:schemeClr val="phClr"/>
        </a:solidFill>
        <a:prstDash val="solid"/>
        <a:miter lim="800000"/>
      </a:ln>
      <a:ln w="25400" cap="flat" cmpd="sng" algn="ctr">
        <a:solidFill>
          <a:schemeClr val="phClr"/>
        </a:solidFill>
        <a:prstDash val="solid"/>
        <a:miter lim="800000"/>
      </a:ln>
    </a:lnStyleLst>
    <a:effectStyleLst>
      <a:effectStyle>
        <a:effectLst/>
      </a:effectStyle>
      <a:effectStyle>
        <a:effectLst/>
      </a:effectStyle>
      <a:effectStyle>
        <a:effectLst>
          <a:outerShdw blurRad="57150" dist="19050" dir="5400000" algn="ctr" rotWithShape="0">
            <a:srgbClr val="000000">
              <a:alpha val="63000"/>
            </a:srgbClr>
          </a:outerShdw>
        </a:effectLst>
      </a:effectStyle>
    </a:effectStyleLst>
    <a:bgFillStyleLst>
      <a:solidFill>
        <a:schemeClr val="phClr"/>
      </a:solidFill>
      <a:solidFill>
        <a:schemeClr val="phClr">
          <a:tint val="95000"/>
          <a:satMod val="170000"/>
        </a:schemeClr>
      </a:solidFill>
      <a:gradFill rotWithShape="1">
        <a:gsLst>
          <a:gs pos="0">
            <a:schemeClr val="phClr">
              <a:tint val="93000"/>
              <a:satMod val="150000"/>
              <a:shade val="98000"/>
              <a:lumMod val="102000"/>
            </a:schemeClr>
          </a:gs>
          <a:gs pos="50000">
            <a:schemeClr val="phClr">
              <a:tint val="98000"/>
              <a:satMod val="130000"/>
              <a:shade val="90000"/>
              <a:lumMod val="103000"/>
            </a:schemeClr>
          </a:gs>
          <a:gs pos="100000">
            <a:schemeClr val="phClr">
              <a:shade val="63000"/>
              <a:satMod val="120000"/>
            </a:schemeClr>
          </a:gs>
        </a:gsLst>
        <a:lin ang="5400000" scaled="0"/>
      </a:gradFill>
    </a:bgFillStyleLst>
  </a:fmtScheme>
</a:themeOverride>
</file>

<file path=xl/theme/themeOverride5.xml><?xml version="1.0" encoding="utf-8"?>
<a:themeOverride xmlns:a="http://schemas.openxmlformats.org/drawingml/2006/main">
  <a:clrScheme name="Office">
    <a:dk1>
      <a:sysClr val="windowText" lastClr="000000"/>
    </a:dk1>
    <a:lt1>
      <a:sysClr val="window" lastClr="FFFFFF"/>
    </a:lt1>
    <a:dk2>
      <a:srgbClr val="0E2841"/>
    </a:dk2>
    <a:lt2>
      <a:srgbClr val="E8E8E8"/>
    </a:lt2>
    <a:accent1>
      <a:srgbClr val="156082"/>
    </a:accent1>
    <a:accent2>
      <a:srgbClr val="E97132"/>
    </a:accent2>
    <a:accent3>
      <a:srgbClr val="196B24"/>
    </a:accent3>
    <a:accent4>
      <a:srgbClr val="0F9ED5"/>
    </a:accent4>
    <a:accent5>
      <a:srgbClr val="A02B93"/>
    </a:accent5>
    <a:accent6>
      <a:srgbClr val="4EA72E"/>
    </a:accent6>
    <a:hlink>
      <a:srgbClr val="467886"/>
    </a:hlink>
    <a:folHlink>
      <a:srgbClr val="96607D"/>
    </a:folHlink>
  </a:clrScheme>
  <a:fontScheme name="Office">
    <a:majorFont>
      <a:latin typeface="Aptos Display" panose="02110004020202020204"/>
      <a:ea typeface=""/>
      <a:cs typeface=""/>
      <a:font script="Jpan" typeface="游ゴシック Light"/>
      <a:font script="Hang" typeface="맑은 고딕"/>
      <a:font script="Hans" typeface="等线 Light"/>
      <a:font script="Hant" typeface="新細明體"/>
      <a:font script="Arab" typeface="Times New Roman"/>
      <a:font script="Hebr" typeface="Times New Roman"/>
      <a:font script="Thai" typeface="Tahoma"/>
      <a:font script="Ethi" typeface="Nyala"/>
      <a:font script="Beng" typeface="Vrinda"/>
      <a:font script="Gujr" typeface="Shruti"/>
      <a:font script="Khmr" typeface="MoolBoran"/>
      <a:font script="Knda" typeface="Tunga"/>
      <a:font script="Guru" typeface="Raavi"/>
      <a:font script="Cans" typeface="Euphemia"/>
      <a:font script="Cher" typeface="Plantagenet Cherokee"/>
      <a:font script="Yiii" typeface="Microsoft Yi Baiti"/>
      <a:font script="Tibt" typeface="Microsoft Himalaya"/>
      <a:font script="Thaa" typeface="MV Boli"/>
      <a:font script="Deva" typeface="Mangal"/>
      <a:font script="Telu" typeface="Gautami"/>
      <a:font script="Taml" typeface="Latha"/>
      <a:font script="Syrc" typeface="Estrangelo Edessa"/>
      <a:font script="Orya" typeface="Kalinga"/>
      <a:font script="Mlym" typeface="Kartika"/>
      <a:font script="Laoo" typeface="DokChampa"/>
      <a:font script="Sinh" typeface="Iskoola Pota"/>
      <a:font script="Mong" typeface="Mongolian Baiti"/>
      <a:font script="Viet" typeface="Times New Roman"/>
      <a:font script="Uigh" typeface="Microsoft Uighur"/>
      <a:font script="Geor" typeface="Sylfaen"/>
      <a:font script="Armn" typeface="Arial"/>
      <a:font script="Bugi" typeface="Leelawadee UI"/>
      <a:font script="Bopo" typeface="Microsoft JhengHei"/>
      <a:font script="Java" typeface="Javanese Text"/>
      <a:font script="Lisu" typeface="Segoe UI"/>
      <a:font script="Mymr" typeface="Myanmar Text"/>
      <a:font script="Nkoo" typeface="Ebrima"/>
      <a:font script="Olck" typeface="Nirmala UI"/>
      <a:font script="Osma" typeface="Ebrima"/>
      <a:font script="Phag" typeface="Phagspa"/>
      <a:font script="Syrn" typeface="Estrangelo Edessa"/>
      <a:font script="Syrj" typeface="Estrangelo Edessa"/>
      <a:font script="Syre" typeface="Estrangelo Edessa"/>
      <a:font script="Sora" typeface="Nirmala UI"/>
      <a:font script="Tale" typeface="Microsoft Tai Le"/>
      <a:font script="Talu" typeface="Microsoft New Tai Lue"/>
      <a:font script="Tfng" typeface="Ebrima"/>
    </a:majorFont>
    <a:minorFont>
      <a:latin typeface="Aptos Narrow" panose="02110004020202020204"/>
      <a:ea typeface=""/>
      <a:cs typeface=""/>
      <a:font script="Jpan" typeface="游ゴシック"/>
      <a:font script="Hang" typeface="맑은 고딕"/>
      <a:font script="Hans" typeface="等线"/>
      <a:font script="Hant" typeface="新細明體"/>
      <a:font script="Arab" typeface="Arial"/>
      <a:font script="Hebr" typeface="Arial"/>
      <a:font script="Thai" typeface="Tahoma"/>
      <a:font script="Ethi" typeface="Nyala"/>
      <a:font script="Beng" typeface="Vrinda"/>
      <a:font script="Gujr" typeface="Shruti"/>
      <a:font script="Khmr" typeface="DaunPenh"/>
      <a:font script="Knda" typeface="Tunga"/>
      <a:font script="Guru" typeface="Raavi"/>
      <a:font script="Cans" typeface="Euphemia"/>
      <a:font script="Cher" typeface="Plantagenet Cherokee"/>
      <a:font script="Yiii" typeface="Microsoft Yi Baiti"/>
      <a:font script="Tibt" typeface="Microsoft Himalaya"/>
      <a:font script="Thaa" typeface="MV Boli"/>
      <a:font script="Deva" typeface="Mangal"/>
      <a:font script="Telu" typeface="Gautami"/>
      <a:font script="Taml" typeface="Latha"/>
      <a:font script="Syrc" typeface="Estrangelo Edessa"/>
      <a:font script="Orya" typeface="Kalinga"/>
      <a:font script="Mlym" typeface="Kartika"/>
      <a:font script="Laoo" typeface="DokChampa"/>
      <a:font script="Sinh" typeface="Iskoola Pota"/>
      <a:font script="Mong" typeface="Mongolian Baiti"/>
      <a:font script="Viet" typeface="Arial"/>
      <a:font script="Uigh" typeface="Microsoft Uighur"/>
      <a:font script="Geor" typeface="Sylfaen"/>
      <a:font script="Armn" typeface="Arial"/>
      <a:font script="Bugi" typeface="Leelawadee UI"/>
      <a:font script="Bopo" typeface="Microsoft JhengHei"/>
      <a:font script="Java" typeface="Javanese Text"/>
      <a:font script="Lisu" typeface="Segoe UI"/>
      <a:font script="Mymr" typeface="Myanmar Text"/>
      <a:font script="Nkoo" typeface="Ebrima"/>
      <a:font script="Olck" typeface="Nirmala UI"/>
      <a:font script="Osma" typeface="Ebrima"/>
      <a:font script="Phag" typeface="Phagspa"/>
      <a:font script="Syrn" typeface="Estrangelo Edessa"/>
      <a:font script="Syrj" typeface="Estrangelo Edessa"/>
      <a:font script="Syre" typeface="Estrangelo Edessa"/>
      <a:font script="Sora" typeface="Nirmala UI"/>
      <a:font script="Tale" typeface="Microsoft Tai Le"/>
      <a:font script="Talu" typeface="Microsoft New Tai Lue"/>
      <a:font script="Tfng" typeface="Ebrima"/>
    </a:minorFont>
  </a:fontScheme>
  <a:fmtScheme name="Office">
    <a:fillStyleLst>
      <a:solidFill>
        <a:schemeClr val="phClr"/>
      </a:solidFill>
      <a:gradFill rotWithShape="1">
        <a:gsLst>
          <a:gs pos="0">
            <a:schemeClr val="phClr">
              <a:lumMod val="110000"/>
              <a:satMod val="105000"/>
              <a:tint val="67000"/>
            </a:schemeClr>
          </a:gs>
          <a:gs pos="50000">
            <a:schemeClr val="phClr">
              <a:lumMod val="105000"/>
              <a:satMod val="103000"/>
              <a:tint val="73000"/>
            </a:schemeClr>
          </a:gs>
          <a:gs pos="100000">
            <a:schemeClr val="phClr">
              <a:lumMod val="105000"/>
              <a:satMod val="109000"/>
              <a:tint val="81000"/>
            </a:schemeClr>
          </a:gs>
        </a:gsLst>
        <a:lin ang="5400000" scaled="0"/>
      </a:gradFill>
      <a:gradFill rotWithShape="1">
        <a:gsLst>
          <a:gs pos="0">
            <a:schemeClr val="phClr">
              <a:satMod val="103000"/>
              <a:lumMod val="102000"/>
              <a:tint val="94000"/>
            </a:schemeClr>
          </a:gs>
          <a:gs pos="50000">
            <a:schemeClr val="phClr">
              <a:satMod val="110000"/>
              <a:lumMod val="100000"/>
              <a:shade val="100000"/>
            </a:schemeClr>
          </a:gs>
          <a:gs pos="100000">
            <a:schemeClr val="phClr">
              <a:lumMod val="99000"/>
              <a:satMod val="120000"/>
              <a:shade val="78000"/>
            </a:schemeClr>
          </a:gs>
        </a:gsLst>
        <a:lin ang="5400000" scaled="0"/>
      </a:gradFill>
    </a:fillStyleLst>
    <a:lnStyleLst>
      <a:ln w="12700" cap="flat" cmpd="sng" algn="ctr">
        <a:solidFill>
          <a:schemeClr val="phClr"/>
        </a:solidFill>
        <a:prstDash val="solid"/>
        <a:miter lim="800000"/>
      </a:ln>
      <a:ln w="19050" cap="flat" cmpd="sng" algn="ctr">
        <a:solidFill>
          <a:schemeClr val="phClr"/>
        </a:solidFill>
        <a:prstDash val="solid"/>
        <a:miter lim="800000"/>
      </a:ln>
      <a:ln w="25400" cap="flat" cmpd="sng" algn="ctr">
        <a:solidFill>
          <a:schemeClr val="phClr"/>
        </a:solidFill>
        <a:prstDash val="solid"/>
        <a:miter lim="800000"/>
      </a:ln>
    </a:lnStyleLst>
    <a:effectStyleLst>
      <a:effectStyle>
        <a:effectLst/>
      </a:effectStyle>
      <a:effectStyle>
        <a:effectLst/>
      </a:effectStyle>
      <a:effectStyle>
        <a:effectLst>
          <a:outerShdw blurRad="57150" dist="19050" dir="5400000" algn="ctr" rotWithShape="0">
            <a:srgbClr val="000000">
              <a:alpha val="63000"/>
            </a:srgbClr>
          </a:outerShdw>
        </a:effectLst>
      </a:effectStyle>
    </a:effectStyleLst>
    <a:bgFillStyleLst>
      <a:solidFill>
        <a:schemeClr val="phClr"/>
      </a:solidFill>
      <a:solidFill>
        <a:schemeClr val="phClr">
          <a:tint val="95000"/>
          <a:satMod val="170000"/>
        </a:schemeClr>
      </a:solidFill>
      <a:gradFill rotWithShape="1">
        <a:gsLst>
          <a:gs pos="0">
            <a:schemeClr val="phClr">
              <a:tint val="93000"/>
              <a:satMod val="150000"/>
              <a:shade val="98000"/>
              <a:lumMod val="102000"/>
            </a:schemeClr>
          </a:gs>
          <a:gs pos="50000">
            <a:schemeClr val="phClr">
              <a:tint val="98000"/>
              <a:satMod val="130000"/>
              <a:shade val="90000"/>
              <a:lumMod val="103000"/>
            </a:schemeClr>
          </a:gs>
          <a:gs pos="100000">
            <a:schemeClr val="phClr">
              <a:shade val="63000"/>
              <a:satMod val="120000"/>
            </a:schemeClr>
          </a:gs>
        </a:gsLst>
        <a:lin ang="5400000" scaled="0"/>
      </a:gradFill>
    </a:bgFillStyleLst>
  </a:fmtScheme>
</a:themeOverrid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5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0481D79-8C47-4D12-96BE-E80F94F62A75}">
  <dimension ref="A1:U49"/>
  <sheetViews>
    <sheetView topLeftCell="G10" workbookViewId="0">
      <selection activeCell="P24" sqref="P24"/>
    </sheetView>
  </sheetViews>
  <sheetFormatPr baseColWidth="10" defaultRowHeight="14.25" x14ac:dyDescent="0.45"/>
  <sheetData>
    <row r="1" spans="1:21" x14ac:dyDescent="0.45">
      <c r="A1" t="s">
        <v>0</v>
      </c>
      <c r="B1" t="s">
        <v>1</v>
      </c>
      <c r="C1" t="s">
        <v>2</v>
      </c>
      <c r="D1" t="s">
        <v>5</v>
      </c>
      <c r="E1" t="s">
        <v>6</v>
      </c>
    </row>
    <row r="2" spans="1:21" x14ac:dyDescent="0.45">
      <c r="A2" s="1">
        <v>1</v>
      </c>
      <c r="B2" s="1" t="s">
        <v>3</v>
      </c>
      <c r="C2" s="1">
        <v>91.836734693877546</v>
      </c>
      <c r="D2">
        <f>AVERAGE(C2:C4)</f>
        <v>91.606699947500104</v>
      </c>
      <c r="E2">
        <f>_xlfn.STDEV.S(C2:C4)/SQRT(3)</f>
        <v>7.9517968512258532</v>
      </c>
    </row>
    <row r="3" spans="1:21" x14ac:dyDescent="0.45">
      <c r="A3" s="1">
        <v>1</v>
      </c>
      <c r="B3" s="1" t="s">
        <v>3</v>
      </c>
      <c r="C3" s="1">
        <v>105.26315789473682</v>
      </c>
      <c r="I3" t="s">
        <v>3</v>
      </c>
      <c r="J3" t="s">
        <v>7</v>
      </c>
      <c r="K3" t="s">
        <v>4</v>
      </c>
      <c r="L3" t="s">
        <v>7</v>
      </c>
      <c r="N3" t="s">
        <v>30</v>
      </c>
      <c r="O3" t="s">
        <v>19</v>
      </c>
      <c r="P3" t="s">
        <v>20</v>
      </c>
      <c r="Q3" t="s">
        <v>31</v>
      </c>
      <c r="R3" t="s">
        <v>32</v>
      </c>
      <c r="S3" t="s">
        <v>8</v>
      </c>
      <c r="T3" t="s">
        <v>21</v>
      </c>
      <c r="U3" t="s">
        <v>33</v>
      </c>
    </row>
    <row r="4" spans="1:21" x14ac:dyDescent="0.45">
      <c r="A4" s="1">
        <v>1</v>
      </c>
      <c r="B4" s="1" t="s">
        <v>3</v>
      </c>
      <c r="C4" s="1">
        <v>77.720207253886002</v>
      </c>
      <c r="H4" t="s">
        <v>10</v>
      </c>
      <c r="I4">
        <f t="shared" ref="I4:J4" si="0">D2</f>
        <v>91.606699947500104</v>
      </c>
      <c r="J4">
        <f t="shared" si="0"/>
        <v>7.9517968512258532</v>
      </c>
      <c r="K4">
        <f t="shared" ref="K4:L4" si="1">D5</f>
        <v>94.995553399628093</v>
      </c>
      <c r="L4">
        <f t="shared" si="1"/>
        <v>6.5025542784696828</v>
      </c>
      <c r="N4" t="s">
        <v>22</v>
      </c>
      <c r="O4">
        <v>3</v>
      </c>
      <c r="P4">
        <v>3</v>
      </c>
      <c r="Q4">
        <v>91.836734693877503</v>
      </c>
      <c r="R4">
        <v>96.774193548387103</v>
      </c>
      <c r="S4">
        <v>0.82477809508251299</v>
      </c>
      <c r="T4" t="s">
        <v>34</v>
      </c>
      <c r="U4" t="s">
        <v>11</v>
      </c>
    </row>
    <row r="5" spans="1:21" x14ac:dyDescent="0.45">
      <c r="A5" s="1">
        <v>1</v>
      </c>
      <c r="B5" s="1" t="s">
        <v>4</v>
      </c>
      <c r="C5" s="1">
        <v>82.94930875576037</v>
      </c>
      <c r="D5">
        <f>AVERAGE(C5:C7)</f>
        <v>94.995553399628093</v>
      </c>
      <c r="E5">
        <f>_xlfn.STDEV.S(C5:C7)/SQRT(3)</f>
        <v>6.5025542784696828</v>
      </c>
      <c r="H5" t="s">
        <v>12</v>
      </c>
      <c r="I5">
        <f t="shared" ref="I5:J5" si="2">D8</f>
        <v>295.43359399834702</v>
      </c>
      <c r="J5">
        <f t="shared" si="2"/>
        <v>130.14306259068806</v>
      </c>
      <c r="K5">
        <f t="shared" ref="K5:L5" si="3">D11</f>
        <v>116.2637891282709</v>
      </c>
      <c r="L5">
        <f t="shared" si="3"/>
        <v>22.176243737535422</v>
      </c>
      <c r="N5" t="s">
        <v>23</v>
      </c>
      <c r="O5">
        <v>3</v>
      </c>
      <c r="P5">
        <v>3</v>
      </c>
      <c r="Q5">
        <v>210.28037383177599</v>
      </c>
      <c r="R5">
        <v>126.506024096386</v>
      </c>
      <c r="S5">
        <v>0.382733088885226</v>
      </c>
      <c r="T5" t="s">
        <v>34</v>
      </c>
      <c r="U5" t="s">
        <v>11</v>
      </c>
    </row>
    <row r="6" spans="1:21" x14ac:dyDescent="0.45">
      <c r="A6" s="1">
        <v>1</v>
      </c>
      <c r="B6" s="1" t="s">
        <v>4</v>
      </c>
      <c r="C6" s="1">
        <v>96.774193548387103</v>
      </c>
      <c r="H6" t="s">
        <v>13</v>
      </c>
      <c r="I6">
        <f t="shared" ref="I6:J6" si="4">D14</f>
        <v>199.71804511278197</v>
      </c>
      <c r="J6">
        <f t="shared" si="4"/>
        <v>7.8211076020174977</v>
      </c>
      <c r="K6">
        <f t="shared" ref="K6:L6" si="5">D17</f>
        <v>153.98221144127754</v>
      </c>
      <c r="L6">
        <f t="shared" si="5"/>
        <v>15.719520539160582</v>
      </c>
      <c r="N6" t="s">
        <v>24</v>
      </c>
      <c r="O6">
        <v>3</v>
      </c>
      <c r="P6">
        <v>3</v>
      </c>
      <c r="Q6">
        <v>197.36842105263199</v>
      </c>
      <c r="R6">
        <v>161.76470588235301</v>
      </c>
      <c r="S6">
        <v>8.0855598370052295E-2</v>
      </c>
      <c r="T6" t="s">
        <v>34</v>
      </c>
      <c r="U6" t="s">
        <v>11</v>
      </c>
    </row>
    <row r="7" spans="1:21" x14ac:dyDescent="0.45">
      <c r="A7" s="1">
        <v>1</v>
      </c>
      <c r="B7" s="1" t="s">
        <v>4</v>
      </c>
      <c r="C7" s="1">
        <v>105.26315789473682</v>
      </c>
      <c r="H7" t="s">
        <v>14</v>
      </c>
      <c r="I7">
        <f t="shared" ref="I7:J7" si="6">D20</f>
        <v>236.00727419680746</v>
      </c>
      <c r="J7">
        <f t="shared" si="6"/>
        <v>51.980075290659002</v>
      </c>
      <c r="K7">
        <f t="shared" ref="K7:L7" si="7">D23</f>
        <v>208.00608828006088</v>
      </c>
      <c r="L7">
        <f t="shared" si="7"/>
        <v>28.725118923313048</v>
      </c>
      <c r="N7" t="s">
        <v>25</v>
      </c>
      <c r="O7">
        <v>3</v>
      </c>
      <c r="P7">
        <v>3</v>
      </c>
      <c r="Q7">
        <v>207.92079207920801</v>
      </c>
      <c r="R7">
        <v>233.333333333333</v>
      </c>
      <c r="S7">
        <v>1</v>
      </c>
      <c r="T7" t="s">
        <v>34</v>
      </c>
      <c r="U7" t="s">
        <v>11</v>
      </c>
    </row>
    <row r="8" spans="1:21" x14ac:dyDescent="0.45">
      <c r="A8">
        <v>2</v>
      </c>
      <c r="B8" t="s">
        <v>3</v>
      </c>
      <c r="C8">
        <v>125</v>
      </c>
      <c r="D8">
        <f>AVERAGE(C8:C10)</f>
        <v>295.43359399834702</v>
      </c>
      <c r="E8">
        <f>_xlfn.STDEV.S(C8:C10)/SQRT(3)</f>
        <v>130.14306259068806</v>
      </c>
      <c r="H8" t="s">
        <v>15</v>
      </c>
      <c r="I8">
        <f t="shared" ref="I8:J8" si="8">D26</f>
        <v>108.9179931412658</v>
      </c>
      <c r="J8">
        <f t="shared" si="8"/>
        <v>13.197882317142454</v>
      </c>
      <c r="K8">
        <f t="shared" ref="K8:L8" si="9">D29</f>
        <v>98.192364181538196</v>
      </c>
      <c r="L8">
        <f t="shared" si="9"/>
        <v>20.864617314535831</v>
      </c>
      <c r="N8" t="s">
        <v>26</v>
      </c>
      <c r="O8">
        <v>3</v>
      </c>
      <c r="P8">
        <v>3</v>
      </c>
      <c r="Q8">
        <v>118.22660098522201</v>
      </c>
      <c r="R8">
        <v>116.02209944751399</v>
      </c>
      <c r="S8">
        <v>0.66252058354005705</v>
      </c>
      <c r="T8" t="s">
        <v>34</v>
      </c>
      <c r="U8" t="s">
        <v>11</v>
      </c>
    </row>
    <row r="9" spans="1:21" x14ac:dyDescent="0.45">
      <c r="A9">
        <v>2</v>
      </c>
      <c r="B9" t="s">
        <v>3</v>
      </c>
      <c r="C9">
        <v>551.02040816326542</v>
      </c>
      <c r="H9" t="s">
        <v>16</v>
      </c>
      <c r="I9">
        <f t="shared" ref="I9:J9" si="10">D32</f>
        <v>136.23188405797103</v>
      </c>
      <c r="J9">
        <f t="shared" si="10"/>
        <v>24.268689717758175</v>
      </c>
      <c r="K9">
        <f t="shared" ref="K9:L9" si="11">D35</f>
        <v>110.1975499393003</v>
      </c>
      <c r="L9">
        <f t="shared" si="11"/>
        <v>6.3519529980456415</v>
      </c>
      <c r="N9" t="s">
        <v>27</v>
      </c>
      <c r="O9">
        <v>3</v>
      </c>
      <c r="P9">
        <v>3</v>
      </c>
      <c r="Q9">
        <v>115.384615384615</v>
      </c>
      <c r="R9">
        <v>115.384615384615</v>
      </c>
      <c r="S9">
        <v>0.82477809508251299</v>
      </c>
      <c r="T9" t="s">
        <v>34</v>
      </c>
      <c r="U9" t="s">
        <v>11</v>
      </c>
    </row>
    <row r="10" spans="1:21" x14ac:dyDescent="0.45">
      <c r="A10">
        <v>2</v>
      </c>
      <c r="B10" t="s">
        <v>3</v>
      </c>
      <c r="C10">
        <v>210.28037383177573</v>
      </c>
      <c r="H10" t="s">
        <v>17</v>
      </c>
      <c r="I10">
        <f t="shared" ref="I10:J10" si="12">D38</f>
        <v>165.35369248403472</v>
      </c>
      <c r="J10">
        <f t="shared" si="12"/>
        <v>16.93590231593447</v>
      </c>
      <c r="K10">
        <f t="shared" ref="K10:L10" si="13">D41</f>
        <v>126.23122009052831</v>
      </c>
      <c r="L10">
        <f t="shared" si="13"/>
        <v>9.4819355680547286</v>
      </c>
      <c r="N10" t="s">
        <v>28</v>
      </c>
      <c r="O10">
        <v>3</v>
      </c>
      <c r="P10">
        <v>3</v>
      </c>
      <c r="Q10">
        <v>167.51269035532999</v>
      </c>
      <c r="R10">
        <v>121.212121212121</v>
      </c>
      <c r="S10">
        <v>0.190430263825524</v>
      </c>
      <c r="T10" t="s">
        <v>34</v>
      </c>
      <c r="U10" t="s">
        <v>11</v>
      </c>
    </row>
    <row r="11" spans="1:21" x14ac:dyDescent="0.45">
      <c r="A11">
        <v>2</v>
      </c>
      <c r="B11" t="s">
        <v>4</v>
      </c>
      <c r="C11">
        <v>126.50602409638552</v>
      </c>
      <c r="D11">
        <f>AVERAGE(C11:C13)</f>
        <v>116.2637891282709</v>
      </c>
      <c r="E11">
        <f>_xlfn.STDEV.S(C11:C13)/SQRT(3)</f>
        <v>22.176243737535422</v>
      </c>
      <c r="H11" t="s">
        <v>18</v>
      </c>
      <c r="I11">
        <f t="shared" ref="I11:J11" si="14">D44</f>
        <v>130.15873015873015</v>
      </c>
      <c r="J11">
        <f t="shared" si="14"/>
        <v>13.492063492063462</v>
      </c>
      <c r="K11">
        <f t="shared" ref="K11:L11" si="15">D47</f>
        <v>108.47107438016529</v>
      </c>
      <c r="L11">
        <f t="shared" si="15"/>
        <v>14.646122808634104</v>
      </c>
      <c r="N11" t="s">
        <v>29</v>
      </c>
      <c r="O11">
        <v>3</v>
      </c>
      <c r="P11">
        <v>3</v>
      </c>
      <c r="Q11">
        <v>116.666666666667</v>
      </c>
      <c r="R11">
        <v>102.272727272727</v>
      </c>
      <c r="S11">
        <v>0.37582508748869797</v>
      </c>
      <c r="T11" t="s">
        <v>34</v>
      </c>
      <c r="U11" t="s">
        <v>11</v>
      </c>
    </row>
    <row r="12" spans="1:21" x14ac:dyDescent="0.45">
      <c r="A12">
        <v>2</v>
      </c>
      <c r="B12" t="s">
        <v>4</v>
      </c>
      <c r="C12">
        <v>148.51485148514851</v>
      </c>
    </row>
    <row r="13" spans="1:21" x14ac:dyDescent="0.45">
      <c r="A13">
        <v>2</v>
      </c>
      <c r="B13" t="s">
        <v>4</v>
      </c>
      <c r="C13">
        <v>73.770491803278674</v>
      </c>
    </row>
    <row r="14" spans="1:21" x14ac:dyDescent="0.45">
      <c r="A14" s="1">
        <v>3</v>
      </c>
      <c r="B14" s="1" t="s">
        <v>3</v>
      </c>
      <c r="C14">
        <v>197.36842105263156</v>
      </c>
      <c r="D14">
        <f>AVERAGE(C14:C16)</f>
        <v>199.71804511278197</v>
      </c>
      <c r="E14">
        <f>_xlfn.STDEV.S(C14:C16)/SQRT(3)</f>
        <v>7.8211076020174977</v>
      </c>
    </row>
    <row r="15" spans="1:21" x14ac:dyDescent="0.45">
      <c r="A15" s="1">
        <v>3</v>
      </c>
      <c r="B15" s="1" t="s">
        <v>3</v>
      </c>
      <c r="C15">
        <v>214.28571428571428</v>
      </c>
    </row>
    <row r="16" spans="1:21" x14ac:dyDescent="0.45">
      <c r="A16" s="1">
        <v>3</v>
      </c>
      <c r="B16" s="1" t="s">
        <v>3</v>
      </c>
      <c r="C16">
        <v>187.5</v>
      </c>
    </row>
    <row r="17" spans="1:5" x14ac:dyDescent="0.45">
      <c r="A17" s="1">
        <v>3</v>
      </c>
      <c r="B17" s="1" t="s">
        <v>4</v>
      </c>
      <c r="C17">
        <v>123.71134020618558</v>
      </c>
      <c r="D17">
        <f>AVERAGE(C17:C19)</f>
        <v>153.98221144127754</v>
      </c>
      <c r="E17">
        <f>_xlfn.STDEV.S(C17:C19)/SQRT(3)</f>
        <v>15.719520539160582</v>
      </c>
    </row>
    <row r="18" spans="1:5" x14ac:dyDescent="0.45">
      <c r="A18" s="1">
        <v>3</v>
      </c>
      <c r="B18" s="1" t="s">
        <v>4</v>
      </c>
      <c r="C18">
        <v>176.47058823529414</v>
      </c>
    </row>
    <row r="19" spans="1:5" x14ac:dyDescent="0.45">
      <c r="A19" s="1">
        <v>3</v>
      </c>
      <c r="B19" s="1" t="s">
        <v>4</v>
      </c>
      <c r="C19">
        <v>161.76470588235293</v>
      </c>
    </row>
    <row r="20" spans="1:5" x14ac:dyDescent="0.45">
      <c r="A20">
        <v>4</v>
      </c>
      <c r="B20" t="s">
        <v>3</v>
      </c>
      <c r="C20">
        <v>336.73469387755108</v>
      </c>
      <c r="D20">
        <f>AVERAGE(C20:C22)</f>
        <v>236.00727419680746</v>
      </c>
      <c r="E20">
        <f>_xlfn.STDEV.S(C20:C22)/SQRT(3)</f>
        <v>51.980075290659002</v>
      </c>
    </row>
    <row r="21" spans="1:5" x14ac:dyDescent="0.45">
      <c r="A21">
        <v>4</v>
      </c>
      <c r="B21" t="s">
        <v>3</v>
      </c>
      <c r="C21">
        <v>207.9207920792079</v>
      </c>
    </row>
    <row r="22" spans="1:5" x14ac:dyDescent="0.45">
      <c r="A22">
        <v>4</v>
      </c>
      <c r="B22" t="s">
        <v>3</v>
      </c>
      <c r="C22">
        <v>163.36633663366339</v>
      </c>
    </row>
    <row r="23" spans="1:5" x14ac:dyDescent="0.45">
      <c r="A23">
        <v>4</v>
      </c>
      <c r="B23" t="s">
        <v>4</v>
      </c>
      <c r="C23">
        <v>240</v>
      </c>
      <c r="D23">
        <f>AVERAGE(C23:C25)</f>
        <v>208.00608828006088</v>
      </c>
      <c r="E23">
        <f>_xlfn.STDEV.S(C23:C25)/SQRT(3)</f>
        <v>28.725118923313048</v>
      </c>
    </row>
    <row r="24" spans="1:5" x14ac:dyDescent="0.45">
      <c r="A24">
        <v>4</v>
      </c>
      <c r="B24" t="s">
        <v>4</v>
      </c>
      <c r="C24">
        <v>233.33333333333331</v>
      </c>
    </row>
    <row r="25" spans="1:5" x14ac:dyDescent="0.45">
      <c r="A25">
        <v>4</v>
      </c>
      <c r="B25" t="s">
        <v>4</v>
      </c>
      <c r="C25">
        <v>150.68493150684932</v>
      </c>
    </row>
    <row r="26" spans="1:5" x14ac:dyDescent="0.45">
      <c r="A26" s="1">
        <v>5</v>
      </c>
      <c r="B26" s="1" t="s">
        <v>3</v>
      </c>
      <c r="C26">
        <v>82.872928176795568</v>
      </c>
      <c r="D26">
        <f>AVERAGE(C26:C28)</f>
        <v>108.9179931412658</v>
      </c>
      <c r="E26">
        <f>_xlfn.STDEV.S(C26:C28)/SQRT(3)</f>
        <v>13.197882317142454</v>
      </c>
    </row>
    <row r="27" spans="1:5" x14ac:dyDescent="0.45">
      <c r="A27" s="1">
        <v>5</v>
      </c>
      <c r="B27" s="1" t="s">
        <v>3</v>
      </c>
      <c r="C27">
        <v>125.65445026178011</v>
      </c>
    </row>
    <row r="28" spans="1:5" x14ac:dyDescent="0.45">
      <c r="A28" s="1">
        <v>5</v>
      </c>
      <c r="B28" s="1" t="s">
        <v>3</v>
      </c>
      <c r="C28">
        <v>118.22660098522169</v>
      </c>
    </row>
    <row r="29" spans="1:5" x14ac:dyDescent="0.45">
      <c r="A29" s="1">
        <v>5</v>
      </c>
      <c r="B29" s="1" t="s">
        <v>4</v>
      </c>
      <c r="C29">
        <v>121.95121951219511</v>
      </c>
      <c r="D29">
        <f>AVERAGE(C29:C31)</f>
        <v>98.192364181538196</v>
      </c>
      <c r="E29">
        <f>_xlfn.STDEV.S(C29:C31)/SQRT(3)</f>
        <v>20.864617314535831</v>
      </c>
    </row>
    <row r="30" spans="1:5" x14ac:dyDescent="0.45">
      <c r="A30" s="1">
        <v>5</v>
      </c>
      <c r="B30" s="1" t="s">
        <v>4</v>
      </c>
      <c r="C30">
        <v>116.0220994475138</v>
      </c>
    </row>
    <row r="31" spans="1:5" x14ac:dyDescent="0.45">
      <c r="A31" s="1">
        <v>5</v>
      </c>
      <c r="B31" s="1" t="s">
        <v>4</v>
      </c>
      <c r="C31">
        <v>56.603773584905653</v>
      </c>
    </row>
    <row r="32" spans="1:5" x14ac:dyDescent="0.45">
      <c r="A32">
        <v>6</v>
      </c>
      <c r="B32" t="s">
        <v>3</v>
      </c>
      <c r="C32">
        <v>184.61538461538461</v>
      </c>
      <c r="D32">
        <f>AVERAGE(C32:C34)</f>
        <v>136.23188405797103</v>
      </c>
      <c r="E32">
        <f>_xlfn.STDEV.S(C32:C34)/SQRT(3)</f>
        <v>24.268689717758175</v>
      </c>
    </row>
    <row r="33" spans="1:5" x14ac:dyDescent="0.45">
      <c r="A33">
        <v>6</v>
      </c>
      <c r="B33" t="s">
        <v>3</v>
      </c>
      <c r="C33">
        <v>115.3846153846154</v>
      </c>
    </row>
    <row r="34" spans="1:5" x14ac:dyDescent="0.45">
      <c r="A34">
        <v>6</v>
      </c>
      <c r="B34" t="s">
        <v>3</v>
      </c>
      <c r="C34">
        <v>108.69565217391305</v>
      </c>
    </row>
    <row r="35" spans="1:5" x14ac:dyDescent="0.45">
      <c r="A35">
        <v>6</v>
      </c>
      <c r="B35" t="s">
        <v>4</v>
      </c>
      <c r="C35">
        <v>117.64705882352942</v>
      </c>
      <c r="D35">
        <f>AVERAGE(C35:C37)</f>
        <v>110.1975499393003</v>
      </c>
      <c r="E35">
        <f>_xlfn.STDEV.S(C35:C37)/SQRT(3)</f>
        <v>6.3519529980456415</v>
      </c>
    </row>
    <row r="36" spans="1:5" x14ac:dyDescent="0.45">
      <c r="A36">
        <v>6</v>
      </c>
      <c r="B36" t="s">
        <v>4</v>
      </c>
      <c r="C36">
        <v>115.3846153846154</v>
      </c>
    </row>
    <row r="37" spans="1:5" x14ac:dyDescent="0.45">
      <c r="A37">
        <v>6</v>
      </c>
      <c r="B37" t="s">
        <v>4</v>
      </c>
      <c r="C37">
        <v>97.560975609756099</v>
      </c>
    </row>
    <row r="38" spans="1:5" x14ac:dyDescent="0.45">
      <c r="A38" s="1">
        <v>7</v>
      </c>
      <c r="B38" s="1" t="s">
        <v>3</v>
      </c>
      <c r="C38">
        <v>193.54838709677421</v>
      </c>
      <c r="D38">
        <f>AVERAGE(C38:C40)</f>
        <v>165.35369248403472</v>
      </c>
      <c r="E38">
        <f>_xlfn.STDEV.S(C38:C40)/SQRT(3)</f>
        <v>16.93590231593447</v>
      </c>
    </row>
    <row r="39" spans="1:5" x14ac:dyDescent="0.45">
      <c r="A39" s="1">
        <v>7</v>
      </c>
      <c r="B39" s="1" t="s">
        <v>3</v>
      </c>
      <c r="C39">
        <v>167.51269035532999</v>
      </c>
    </row>
    <row r="40" spans="1:5" x14ac:dyDescent="0.45">
      <c r="A40" s="1">
        <v>7</v>
      </c>
      <c r="B40" s="1" t="s">
        <v>3</v>
      </c>
      <c r="C40">
        <v>135</v>
      </c>
    </row>
    <row r="41" spans="1:5" x14ac:dyDescent="0.45">
      <c r="A41" s="1">
        <v>7</v>
      </c>
      <c r="B41" s="1" t="s">
        <v>4</v>
      </c>
      <c r="C41">
        <v>121.2121212121212</v>
      </c>
      <c r="D41">
        <f>AVERAGE(C41:C43)</f>
        <v>126.23122009052831</v>
      </c>
      <c r="E41">
        <f>_xlfn.STDEV.S(C41:C43)/SQRT(3)</f>
        <v>9.4819355680547286</v>
      </c>
    </row>
    <row r="42" spans="1:5" x14ac:dyDescent="0.45">
      <c r="A42" s="1">
        <v>7</v>
      </c>
      <c r="B42" s="1" t="s">
        <v>4</v>
      </c>
      <c r="C42">
        <v>112.90322580645162</v>
      </c>
    </row>
    <row r="43" spans="1:5" x14ac:dyDescent="0.45">
      <c r="A43" s="1">
        <v>7</v>
      </c>
      <c r="B43" s="1" t="s">
        <v>4</v>
      </c>
      <c r="C43">
        <v>144.57831325301206</v>
      </c>
    </row>
    <row r="44" spans="1:5" x14ac:dyDescent="0.45">
      <c r="A44">
        <v>8</v>
      </c>
      <c r="B44" t="s">
        <v>3</v>
      </c>
      <c r="C44">
        <v>157.14285714285714</v>
      </c>
      <c r="D44">
        <f>AVERAGE(C44:C46)</f>
        <v>130.15873015873015</v>
      </c>
      <c r="E44">
        <f>_xlfn.STDEV.S(C44:C46)/SQRT(3)</f>
        <v>13.492063492063462</v>
      </c>
    </row>
    <row r="45" spans="1:5" x14ac:dyDescent="0.45">
      <c r="A45">
        <v>8</v>
      </c>
      <c r="B45" t="s">
        <v>3</v>
      </c>
      <c r="C45">
        <v>116.66666666666666</v>
      </c>
    </row>
    <row r="46" spans="1:5" x14ac:dyDescent="0.45">
      <c r="A46">
        <v>8</v>
      </c>
      <c r="B46" t="s">
        <v>3</v>
      </c>
      <c r="C46">
        <v>116.66666666666666</v>
      </c>
    </row>
    <row r="47" spans="1:5" x14ac:dyDescent="0.45">
      <c r="A47">
        <v>8</v>
      </c>
      <c r="B47" t="s">
        <v>4</v>
      </c>
      <c r="C47">
        <v>86.776859504132233</v>
      </c>
      <c r="D47">
        <f>AVERAGE(C47:C49)</f>
        <v>108.47107438016529</v>
      </c>
      <c r="E47">
        <f>_xlfn.STDEV.S(C47:C49)/SQRT(3)</f>
        <v>14.646122808634104</v>
      </c>
    </row>
    <row r="48" spans="1:5" x14ac:dyDescent="0.45">
      <c r="A48">
        <v>8</v>
      </c>
      <c r="B48" t="s">
        <v>4</v>
      </c>
      <c r="C48">
        <v>136.36363636363637</v>
      </c>
    </row>
    <row r="49" spans="1:3" x14ac:dyDescent="0.45">
      <c r="A49">
        <v>8</v>
      </c>
      <c r="B49" t="s">
        <v>4</v>
      </c>
      <c r="C49">
        <v>102.27272727272725</v>
      </c>
    </row>
  </sheetData>
  <pageMargins left="0.7" right="0.7" top="0.75" bottom="0.75" header="0.3" footer="0.3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2B2845C-C996-4A47-8813-56449055538D}">
  <dimension ref="A1:U49"/>
  <sheetViews>
    <sheetView topLeftCell="I13" zoomScale="189" workbookViewId="0">
      <selection activeCell="Q28" sqref="Q28"/>
    </sheetView>
  </sheetViews>
  <sheetFormatPr baseColWidth="10" defaultRowHeight="14.25" x14ac:dyDescent="0.45"/>
  <sheetData>
    <row r="1" spans="1:21" x14ac:dyDescent="0.45">
      <c r="A1" t="s">
        <v>0</v>
      </c>
      <c r="B1" t="s">
        <v>1</v>
      </c>
      <c r="C1" t="s">
        <v>2</v>
      </c>
      <c r="D1" t="s">
        <v>5</v>
      </c>
      <c r="E1" t="s">
        <v>6</v>
      </c>
    </row>
    <row r="2" spans="1:21" x14ac:dyDescent="0.45">
      <c r="A2" s="1">
        <v>1</v>
      </c>
      <c r="B2" s="1" t="s">
        <v>3</v>
      </c>
      <c r="C2">
        <v>1408.1632653061224</v>
      </c>
      <c r="D2">
        <f>AVERAGE(C2:C4)</f>
        <v>1131.8123831661562</v>
      </c>
      <c r="E2">
        <f>_xlfn.STDEV.S(C2:C4)/SQRT(3)</f>
        <v>145.06952240354948</v>
      </c>
    </row>
    <row r="3" spans="1:21" x14ac:dyDescent="0.45">
      <c r="A3" s="1">
        <v>1</v>
      </c>
      <c r="B3" s="1" t="s">
        <v>3</v>
      </c>
      <c r="C3">
        <v>1070.1754385964912</v>
      </c>
      <c r="I3" t="s">
        <v>3</v>
      </c>
      <c r="J3" t="s">
        <v>7</v>
      </c>
      <c r="K3" t="s">
        <v>4</v>
      </c>
      <c r="L3" t="s">
        <v>7</v>
      </c>
      <c r="N3" t="s">
        <v>30</v>
      </c>
      <c r="O3" t="s">
        <v>19</v>
      </c>
      <c r="P3" t="s">
        <v>20</v>
      </c>
      <c r="Q3" t="s">
        <v>31</v>
      </c>
      <c r="R3" t="s">
        <v>32</v>
      </c>
      <c r="S3" t="s">
        <v>8</v>
      </c>
      <c r="T3" t="s">
        <v>21</v>
      </c>
      <c r="U3" t="s">
        <v>33</v>
      </c>
    </row>
    <row r="4" spans="1:21" x14ac:dyDescent="0.45">
      <c r="A4" s="1">
        <v>1</v>
      </c>
      <c r="B4" s="1" t="s">
        <v>3</v>
      </c>
      <c r="C4">
        <v>917.09844559585508</v>
      </c>
      <c r="H4" t="s">
        <v>10</v>
      </c>
      <c r="I4">
        <f t="shared" ref="I4:J4" si="0">D2</f>
        <v>1131.8123831661562</v>
      </c>
      <c r="J4">
        <f t="shared" si="0"/>
        <v>145.06952240354948</v>
      </c>
      <c r="K4">
        <f t="shared" ref="K4:L4" si="1">D5</f>
        <v>943.8919880346026</v>
      </c>
      <c r="L4">
        <f t="shared" si="1"/>
        <v>130.52043993766267</v>
      </c>
      <c r="N4" t="s">
        <v>22</v>
      </c>
      <c r="O4">
        <v>3</v>
      </c>
      <c r="P4">
        <v>3</v>
      </c>
      <c r="Q4">
        <v>1070.17543859649</v>
      </c>
      <c r="R4">
        <v>1050.6912442396299</v>
      </c>
      <c r="S4">
        <v>0.66252058354005705</v>
      </c>
      <c r="T4" t="s">
        <v>34</v>
      </c>
      <c r="U4" t="s">
        <v>11</v>
      </c>
    </row>
    <row r="5" spans="1:21" x14ac:dyDescent="0.45">
      <c r="A5" s="1">
        <v>1</v>
      </c>
      <c r="B5" s="1" t="s">
        <v>4</v>
      </c>
      <c r="C5">
        <v>1050.6912442396313</v>
      </c>
      <c r="D5">
        <f>AVERAGE(C5:C7)</f>
        <v>943.8919880346026</v>
      </c>
      <c r="E5">
        <f>_xlfn.STDEV.S(C5:C7)/SQRT(3)</f>
        <v>130.52043993766267</v>
      </c>
      <c r="H5" t="s">
        <v>12</v>
      </c>
      <c r="I5">
        <f t="shared" ref="I5:J5" si="2">D8</f>
        <v>1319.239585761615</v>
      </c>
      <c r="J5">
        <f t="shared" si="2"/>
        <v>160.22085112870124</v>
      </c>
      <c r="K5">
        <f t="shared" ref="K5:L5" si="3">D11</f>
        <v>944.84153135835004</v>
      </c>
      <c r="L5">
        <f t="shared" si="3"/>
        <v>136.04226597090729</v>
      </c>
      <c r="N5" t="s">
        <v>23</v>
      </c>
      <c r="O5">
        <v>3</v>
      </c>
      <c r="P5">
        <v>3</v>
      </c>
      <c r="Q5">
        <v>1387.75510204082</v>
      </c>
      <c r="R5">
        <v>861.38613861386102</v>
      </c>
      <c r="S5">
        <v>0.190430263825524</v>
      </c>
      <c r="T5" t="s">
        <v>34</v>
      </c>
      <c r="U5" t="s">
        <v>11</v>
      </c>
    </row>
    <row r="6" spans="1:21" x14ac:dyDescent="0.45">
      <c r="A6" s="1">
        <v>1</v>
      </c>
      <c r="B6" s="1" t="s">
        <v>4</v>
      </c>
      <c r="C6">
        <v>1096.7741935483873</v>
      </c>
      <c r="H6" t="s">
        <v>13</v>
      </c>
      <c r="I6">
        <f t="shared" ref="I6:J6" si="4">D14</f>
        <v>1384.5327604726099</v>
      </c>
      <c r="J6">
        <f t="shared" si="4"/>
        <v>100.55019560333849</v>
      </c>
      <c r="K6">
        <f t="shared" ref="K6:L6" si="5">D17</f>
        <v>941.51337510949406</v>
      </c>
      <c r="L6">
        <f t="shared" si="5"/>
        <v>45.574453245772411</v>
      </c>
      <c r="N6" t="s">
        <v>24</v>
      </c>
      <c r="O6">
        <v>3</v>
      </c>
      <c r="P6">
        <v>3</v>
      </c>
      <c r="Q6">
        <v>1469.38775510204</v>
      </c>
      <c r="R6">
        <v>941.17647058823502</v>
      </c>
      <c r="S6">
        <v>8.0855598370052295E-2</v>
      </c>
      <c r="T6" t="s">
        <v>34</v>
      </c>
      <c r="U6" t="s">
        <v>11</v>
      </c>
    </row>
    <row r="7" spans="1:21" x14ac:dyDescent="0.45">
      <c r="A7" s="1">
        <v>1</v>
      </c>
      <c r="B7" s="1" t="s">
        <v>4</v>
      </c>
      <c r="C7">
        <v>684.21052631578937</v>
      </c>
      <c r="H7" t="s">
        <v>14</v>
      </c>
      <c r="I7">
        <f t="shared" ref="I7:J7" si="6">D20</f>
        <v>1212.0630430389981</v>
      </c>
      <c r="J7">
        <f t="shared" si="6"/>
        <v>147.4100248805552</v>
      </c>
      <c r="K7">
        <f t="shared" ref="K7:L7" si="7">D23</f>
        <v>898.83561643835617</v>
      </c>
      <c r="L7">
        <f t="shared" si="7"/>
        <v>106.62521136088959</v>
      </c>
      <c r="N7" t="s">
        <v>25</v>
      </c>
      <c r="O7">
        <v>3</v>
      </c>
      <c r="P7">
        <v>3</v>
      </c>
      <c r="Q7">
        <v>1336.63366336634</v>
      </c>
      <c r="R7">
        <v>931.50684931506805</v>
      </c>
      <c r="S7">
        <v>0.382733088885226</v>
      </c>
      <c r="T7" t="s">
        <v>34</v>
      </c>
      <c r="U7" t="s">
        <v>11</v>
      </c>
    </row>
    <row r="8" spans="1:21" x14ac:dyDescent="0.45">
      <c r="A8">
        <v>2</v>
      </c>
      <c r="B8" t="s">
        <v>3</v>
      </c>
      <c r="C8">
        <v>1013.8888888888888</v>
      </c>
      <c r="D8">
        <f>AVERAGE(C8:C10)</f>
        <v>1319.239585761615</v>
      </c>
      <c r="E8">
        <f>_xlfn.STDEV.S(C8:C10)/SQRT(3)</f>
        <v>160.22085112870124</v>
      </c>
      <c r="H8" t="s">
        <v>15</v>
      </c>
      <c r="I8">
        <f t="shared" ref="I8:J8" si="8">D26</f>
        <v>1189.9463558468167</v>
      </c>
      <c r="J8">
        <f t="shared" si="8"/>
        <v>127.54339565815634</v>
      </c>
      <c r="K8">
        <f t="shared" ref="K8:L8" si="9">D29</f>
        <v>1033.0695061354866</v>
      </c>
      <c r="L8">
        <f t="shared" si="9"/>
        <v>227.28598300529998</v>
      </c>
      <c r="N8" t="s">
        <v>26</v>
      </c>
      <c r="O8">
        <v>3</v>
      </c>
      <c r="P8">
        <v>3</v>
      </c>
      <c r="Q8">
        <v>1064.039408867</v>
      </c>
      <c r="R8">
        <v>1226.4150943396201</v>
      </c>
      <c r="S8">
        <v>1</v>
      </c>
      <c r="T8" t="s">
        <v>34</v>
      </c>
      <c r="U8" t="s">
        <v>11</v>
      </c>
    </row>
    <row r="9" spans="1:21" x14ac:dyDescent="0.45">
      <c r="A9">
        <v>2</v>
      </c>
      <c r="B9" t="s">
        <v>3</v>
      </c>
      <c r="C9">
        <v>1387.7551020408164</v>
      </c>
      <c r="H9" t="s">
        <v>16</v>
      </c>
      <c r="I9">
        <f t="shared" ref="I9:J9" si="10">D32</f>
        <v>1341.4855072463768</v>
      </c>
      <c r="J9">
        <f t="shared" si="10"/>
        <v>157.61591882271966</v>
      </c>
      <c r="K9">
        <f t="shared" ref="K9:L9" si="11">D35</f>
        <v>1308.701670161498</v>
      </c>
      <c r="L9">
        <f t="shared" si="11"/>
        <v>111.5008115626735</v>
      </c>
      <c r="N9" t="s">
        <v>27</v>
      </c>
      <c r="O9">
        <v>3</v>
      </c>
      <c r="P9">
        <v>3</v>
      </c>
      <c r="Q9">
        <v>1307.6923076923099</v>
      </c>
      <c r="R9">
        <v>1225.9615384615399</v>
      </c>
      <c r="S9">
        <v>1</v>
      </c>
      <c r="T9" t="s">
        <v>34</v>
      </c>
      <c r="U9" t="s">
        <v>11</v>
      </c>
    </row>
    <row r="10" spans="1:21" x14ac:dyDescent="0.45">
      <c r="A10">
        <v>2</v>
      </c>
      <c r="B10" t="s">
        <v>3</v>
      </c>
      <c r="C10">
        <v>1556.0747663551401</v>
      </c>
      <c r="H10" t="s">
        <v>17</v>
      </c>
      <c r="I10">
        <f t="shared" ref="I10:J10" si="12">D38</f>
        <v>1024.0082419081928</v>
      </c>
      <c r="J10">
        <f t="shared" si="12"/>
        <v>136.06418497724016</v>
      </c>
      <c r="K10">
        <f t="shared" ref="K10:L10" si="13">D41</f>
        <v>835.29818197521263</v>
      </c>
      <c r="L10">
        <f t="shared" si="13"/>
        <v>75.905591679051867</v>
      </c>
      <c r="N10" t="s">
        <v>28</v>
      </c>
      <c r="O10">
        <v>3</v>
      </c>
      <c r="P10">
        <v>3</v>
      </c>
      <c r="Q10">
        <v>1081.2182741116801</v>
      </c>
      <c r="R10">
        <v>833.33333333333303</v>
      </c>
      <c r="S10">
        <v>0.382733088885226</v>
      </c>
      <c r="T10" t="s">
        <v>34</v>
      </c>
      <c r="U10" t="s">
        <v>11</v>
      </c>
    </row>
    <row r="11" spans="1:21" x14ac:dyDescent="0.45">
      <c r="A11">
        <v>2</v>
      </c>
      <c r="B11" t="s">
        <v>4</v>
      </c>
      <c r="C11">
        <v>1210.8433734939758</v>
      </c>
      <c r="D11">
        <f>AVERAGE(C11:C13)</f>
        <v>944.84153135835004</v>
      </c>
      <c r="E11">
        <f>_xlfn.STDEV.S(C11:C13)/SQRT(3)</f>
        <v>136.04226597090729</v>
      </c>
      <c r="H11" t="s">
        <v>18</v>
      </c>
      <c r="I11">
        <f t="shared" ref="I11:J11" si="14">D44</f>
        <v>984.1269841269841</v>
      </c>
      <c r="J11">
        <f t="shared" si="14"/>
        <v>69.962917147315295</v>
      </c>
      <c r="K11">
        <f t="shared" ref="K11:L11" si="15">D47</f>
        <v>686.46694214876027</v>
      </c>
      <c r="L11">
        <f t="shared" si="15"/>
        <v>45.714998546850182</v>
      </c>
      <c r="N11" t="s">
        <v>29</v>
      </c>
      <c r="O11">
        <v>3</v>
      </c>
      <c r="P11">
        <v>3</v>
      </c>
      <c r="Q11">
        <v>1016.66666666667</v>
      </c>
      <c r="R11">
        <v>731.40495867768595</v>
      </c>
      <c r="S11">
        <v>8.0855598370052295E-2</v>
      </c>
      <c r="T11" t="s">
        <v>34</v>
      </c>
      <c r="U11" t="s">
        <v>11</v>
      </c>
    </row>
    <row r="12" spans="1:21" x14ac:dyDescent="0.45">
      <c r="A12">
        <v>2</v>
      </c>
      <c r="B12" t="s">
        <v>4</v>
      </c>
      <c r="C12">
        <v>861.38613861386136</v>
      </c>
    </row>
    <row r="13" spans="1:21" x14ac:dyDescent="0.45">
      <c r="A13">
        <v>2</v>
      </c>
      <c r="B13" t="s">
        <v>4</v>
      </c>
      <c r="C13">
        <v>762.29508196721304</v>
      </c>
    </row>
    <row r="14" spans="1:21" x14ac:dyDescent="0.45">
      <c r="A14" s="1">
        <v>3</v>
      </c>
      <c r="B14" s="1" t="s">
        <v>3</v>
      </c>
      <c r="C14">
        <v>1184.2105263157894</v>
      </c>
      <c r="D14">
        <f>AVERAGE(C14:C16)</f>
        <v>1384.5327604726099</v>
      </c>
      <c r="E14">
        <f>_xlfn.STDEV.S(C14:C16)/SQRT(3)</f>
        <v>100.55019560333849</v>
      </c>
    </row>
    <row r="15" spans="1:21" x14ac:dyDescent="0.45">
      <c r="A15" s="1">
        <v>3</v>
      </c>
      <c r="B15" s="1" t="s">
        <v>3</v>
      </c>
      <c r="C15">
        <v>1469.3877551020407</v>
      </c>
    </row>
    <row r="16" spans="1:21" x14ac:dyDescent="0.45">
      <c r="A16" s="1">
        <v>3</v>
      </c>
      <c r="B16" s="1" t="s">
        <v>3</v>
      </c>
      <c r="C16">
        <v>1500</v>
      </c>
    </row>
    <row r="17" spans="1:5" x14ac:dyDescent="0.45">
      <c r="A17" s="1">
        <v>3</v>
      </c>
      <c r="B17" s="1" t="s">
        <v>4</v>
      </c>
      <c r="C17">
        <v>1020.6185567010309</v>
      </c>
      <c r="D17">
        <f>AVERAGE(C17:C19)</f>
        <v>941.51337510949406</v>
      </c>
      <c r="E17">
        <f>_xlfn.STDEV.S(C17:C19)/SQRT(3)</f>
        <v>45.574453245772411</v>
      </c>
    </row>
    <row r="18" spans="1:5" x14ac:dyDescent="0.45">
      <c r="A18" s="1">
        <v>3</v>
      </c>
      <c r="B18" s="1" t="s">
        <v>4</v>
      </c>
      <c r="C18">
        <v>862.74509803921592</v>
      </c>
    </row>
    <row r="19" spans="1:5" x14ac:dyDescent="0.45">
      <c r="A19" s="1">
        <v>3</v>
      </c>
      <c r="B19" s="1" t="s">
        <v>4</v>
      </c>
      <c r="C19">
        <v>941.17647058823536</v>
      </c>
    </row>
    <row r="20" spans="1:5" x14ac:dyDescent="0.45">
      <c r="A20">
        <v>4</v>
      </c>
      <c r="B20" t="s">
        <v>3</v>
      </c>
      <c r="C20">
        <v>918.36734693877565</v>
      </c>
      <c r="D20">
        <f>AVERAGE(C20:C22)</f>
        <v>1212.0630430389981</v>
      </c>
      <c r="E20">
        <f>_xlfn.STDEV.S(C20:C22)/SQRT(3)</f>
        <v>147.4100248805552</v>
      </c>
    </row>
    <row r="21" spans="1:5" x14ac:dyDescent="0.45">
      <c r="A21">
        <v>4</v>
      </c>
      <c r="B21" t="s">
        <v>3</v>
      </c>
      <c r="C21">
        <v>1381.1881188118814</v>
      </c>
    </row>
    <row r="22" spans="1:5" x14ac:dyDescent="0.45">
      <c r="A22">
        <v>4</v>
      </c>
      <c r="B22" t="s">
        <v>3</v>
      </c>
      <c r="C22">
        <v>1336.6336633663368</v>
      </c>
    </row>
    <row r="23" spans="1:5" x14ac:dyDescent="0.45">
      <c r="A23">
        <v>4</v>
      </c>
      <c r="B23" t="s">
        <v>4</v>
      </c>
      <c r="C23">
        <v>1065</v>
      </c>
      <c r="D23">
        <f>AVERAGE(C23:C25)</f>
        <v>898.83561643835617</v>
      </c>
      <c r="E23">
        <f>_xlfn.STDEV.S(C23:C25)/SQRT(3)</f>
        <v>106.62521136088959</v>
      </c>
    </row>
    <row r="24" spans="1:5" x14ac:dyDescent="0.45">
      <c r="A24">
        <v>4</v>
      </c>
      <c r="B24" t="s">
        <v>4</v>
      </c>
      <c r="C24">
        <v>700</v>
      </c>
    </row>
    <row r="25" spans="1:5" x14ac:dyDescent="0.45">
      <c r="A25">
        <v>4</v>
      </c>
      <c r="B25" t="s">
        <v>4</v>
      </c>
      <c r="C25">
        <v>931.50684931506839</v>
      </c>
    </row>
    <row r="26" spans="1:5" x14ac:dyDescent="0.45">
      <c r="A26" s="1">
        <v>5</v>
      </c>
      <c r="B26" s="1" t="s">
        <v>3</v>
      </c>
      <c r="C26">
        <v>1060.7734806629833</v>
      </c>
      <c r="D26">
        <f>AVERAGE(C26:C28)</f>
        <v>1189.9463558468167</v>
      </c>
      <c r="E26">
        <f>_xlfn.STDEV.S(C26:C28)/SQRT(3)</f>
        <v>127.54339565815634</v>
      </c>
    </row>
    <row r="27" spans="1:5" x14ac:dyDescent="0.45">
      <c r="A27" s="1">
        <v>5</v>
      </c>
      <c r="B27" s="1" t="s">
        <v>3</v>
      </c>
      <c r="C27">
        <v>1445.0261780104711</v>
      </c>
    </row>
    <row r="28" spans="1:5" x14ac:dyDescent="0.45">
      <c r="A28" s="1">
        <v>5</v>
      </c>
      <c r="B28" s="1" t="s">
        <v>3</v>
      </c>
      <c r="C28">
        <v>1064.0394088669952</v>
      </c>
    </row>
    <row r="29" spans="1:5" x14ac:dyDescent="0.45">
      <c r="A29" s="1">
        <v>5</v>
      </c>
      <c r="B29" s="1" t="s">
        <v>4</v>
      </c>
      <c r="C29">
        <v>1292.6829268292681</v>
      </c>
      <c r="D29">
        <f>AVERAGE(C29:C31)</f>
        <v>1033.0695061354866</v>
      </c>
      <c r="E29">
        <f>_xlfn.STDEV.S(C29:C31)/SQRT(3)</f>
        <v>227.28598300529998</v>
      </c>
    </row>
    <row r="30" spans="1:5" x14ac:dyDescent="0.45">
      <c r="A30" s="1">
        <v>5</v>
      </c>
      <c r="B30" s="1" t="s">
        <v>4</v>
      </c>
      <c r="C30">
        <v>580.11049723756901</v>
      </c>
    </row>
    <row r="31" spans="1:5" x14ac:dyDescent="0.45">
      <c r="A31" s="1">
        <v>5</v>
      </c>
      <c r="B31" s="1" t="s">
        <v>4</v>
      </c>
      <c r="C31">
        <v>1226.4150943396226</v>
      </c>
    </row>
    <row r="32" spans="1:5" x14ac:dyDescent="0.45">
      <c r="A32">
        <v>6</v>
      </c>
      <c r="B32" t="s">
        <v>3</v>
      </c>
      <c r="C32">
        <v>1307.6923076923076</v>
      </c>
      <c r="D32">
        <f>AVERAGE(C32:C34)</f>
        <v>1341.4855072463768</v>
      </c>
      <c r="E32">
        <f>_xlfn.STDEV.S(C32:C34)/SQRT(3)</f>
        <v>157.61591882271966</v>
      </c>
    </row>
    <row r="33" spans="1:5" x14ac:dyDescent="0.45">
      <c r="A33">
        <v>6</v>
      </c>
      <c r="B33" t="s">
        <v>3</v>
      </c>
      <c r="C33">
        <v>1629.8076923076924</v>
      </c>
    </row>
    <row r="34" spans="1:5" x14ac:dyDescent="0.45">
      <c r="A34">
        <v>6</v>
      </c>
      <c r="B34" t="s">
        <v>3</v>
      </c>
      <c r="C34">
        <v>1086.9565217391305</v>
      </c>
    </row>
    <row r="35" spans="1:5" x14ac:dyDescent="0.45">
      <c r="A35">
        <v>6</v>
      </c>
      <c r="B35" t="s">
        <v>4</v>
      </c>
      <c r="C35">
        <v>1529.4117647058824</v>
      </c>
      <c r="D35">
        <f>AVERAGE(C35:C37)</f>
        <v>1308.701670161498</v>
      </c>
      <c r="E35">
        <f>_xlfn.STDEV.S(C35:C37)/SQRT(3)</f>
        <v>111.5008115626735</v>
      </c>
    </row>
    <row r="36" spans="1:5" x14ac:dyDescent="0.45">
      <c r="A36">
        <v>6</v>
      </c>
      <c r="B36" t="s">
        <v>4</v>
      </c>
      <c r="C36">
        <v>1225.9615384615386</v>
      </c>
    </row>
    <row r="37" spans="1:5" x14ac:dyDescent="0.45">
      <c r="A37">
        <v>6</v>
      </c>
      <c r="B37" t="s">
        <v>4</v>
      </c>
      <c r="C37">
        <v>1170.731707317073</v>
      </c>
    </row>
    <row r="38" spans="1:5" x14ac:dyDescent="0.45">
      <c r="A38" s="1">
        <v>7</v>
      </c>
      <c r="B38" s="1" t="s">
        <v>3</v>
      </c>
      <c r="C38">
        <v>1225.8064516129034</v>
      </c>
      <c r="D38">
        <f>AVERAGE(C38:C40)</f>
        <v>1024.0082419081928</v>
      </c>
      <c r="E38">
        <f>_xlfn.STDEV.S(C38:C40)/SQRT(3)</f>
        <v>136.06418497724016</v>
      </c>
    </row>
    <row r="39" spans="1:5" x14ac:dyDescent="0.45">
      <c r="A39" s="1">
        <v>7</v>
      </c>
      <c r="B39" s="1" t="s">
        <v>3</v>
      </c>
      <c r="C39">
        <v>1081.2182741116751</v>
      </c>
    </row>
    <row r="40" spans="1:5" x14ac:dyDescent="0.45">
      <c r="A40" s="1">
        <v>7</v>
      </c>
      <c r="B40" s="1" t="s">
        <v>3</v>
      </c>
      <c r="C40">
        <v>764.99999999999989</v>
      </c>
    </row>
    <row r="41" spans="1:5" x14ac:dyDescent="0.45">
      <c r="A41" s="1">
        <v>7</v>
      </c>
      <c r="B41" s="1" t="s">
        <v>4</v>
      </c>
      <c r="C41">
        <v>833.33333333333314</v>
      </c>
      <c r="D41">
        <f>AVERAGE(C41:C43)</f>
        <v>835.29818197521263</v>
      </c>
      <c r="E41">
        <f>_xlfn.STDEV.S(C41:C43)/SQRT(3)</f>
        <v>75.905591679051867</v>
      </c>
    </row>
    <row r="42" spans="1:5" x14ac:dyDescent="0.45">
      <c r="A42" s="1">
        <v>7</v>
      </c>
      <c r="B42" s="1" t="s">
        <v>4</v>
      </c>
      <c r="C42">
        <v>967.74193548387109</v>
      </c>
    </row>
    <row r="43" spans="1:5" x14ac:dyDescent="0.45">
      <c r="A43" s="1">
        <v>7</v>
      </c>
      <c r="B43" s="1" t="s">
        <v>4</v>
      </c>
      <c r="C43">
        <v>704.81927710843365</v>
      </c>
    </row>
    <row r="44" spans="1:5" x14ac:dyDescent="0.45">
      <c r="A44">
        <v>8</v>
      </c>
      <c r="B44" t="s">
        <v>3</v>
      </c>
      <c r="C44">
        <v>1085.7142857142856</v>
      </c>
      <c r="D44">
        <f>AVERAGE(C44:C46)</f>
        <v>984.1269841269841</v>
      </c>
      <c r="E44">
        <f>_xlfn.STDEV.S(C44:C46)/SQRT(3)</f>
        <v>69.962917147315295</v>
      </c>
    </row>
    <row r="45" spans="1:5" x14ac:dyDescent="0.45">
      <c r="A45">
        <v>8</v>
      </c>
      <c r="B45" t="s">
        <v>3</v>
      </c>
      <c r="C45">
        <v>1016.6666666666665</v>
      </c>
    </row>
    <row r="46" spans="1:5" x14ac:dyDescent="0.45">
      <c r="A46">
        <v>8</v>
      </c>
      <c r="B46" t="s">
        <v>3</v>
      </c>
      <c r="C46">
        <v>850</v>
      </c>
    </row>
    <row r="47" spans="1:5" x14ac:dyDescent="0.45">
      <c r="A47">
        <v>8</v>
      </c>
      <c r="B47" t="s">
        <v>4</v>
      </c>
      <c r="C47">
        <v>595.04132231404958</v>
      </c>
      <c r="D47">
        <f>AVERAGE(C47:C49)</f>
        <v>686.46694214876027</v>
      </c>
      <c r="E47">
        <f>_xlfn.STDEV.S(C47:C49)/SQRT(3)</f>
        <v>45.714998546850182</v>
      </c>
    </row>
    <row r="48" spans="1:5" x14ac:dyDescent="0.45">
      <c r="A48">
        <v>8</v>
      </c>
      <c r="B48" t="s">
        <v>4</v>
      </c>
      <c r="C48">
        <v>731.40495867768595</v>
      </c>
    </row>
    <row r="49" spans="1:3" x14ac:dyDescent="0.45">
      <c r="A49">
        <v>8</v>
      </c>
      <c r="B49" t="s">
        <v>4</v>
      </c>
      <c r="C49">
        <v>732.95454545454538</v>
      </c>
    </row>
  </sheetData>
  <pageMargins left="0.7" right="0.7" top="0.75" bottom="0.75" header="0.3" footer="0.3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64162BE-D07A-4864-B6BD-1E810CA5A7E7}">
  <dimension ref="A1:U49"/>
  <sheetViews>
    <sheetView topLeftCell="H16" zoomScale="168" workbookViewId="0">
      <selection activeCell="O28" sqref="O28"/>
    </sheetView>
  </sheetViews>
  <sheetFormatPr baseColWidth="10" defaultRowHeight="14.25" x14ac:dyDescent="0.45"/>
  <sheetData>
    <row r="1" spans="1:21" x14ac:dyDescent="0.45">
      <c r="A1" t="s">
        <v>0</v>
      </c>
      <c r="B1" t="s">
        <v>1</v>
      </c>
      <c r="C1" t="s">
        <v>2</v>
      </c>
      <c r="D1" t="s">
        <v>5</v>
      </c>
      <c r="E1" t="s">
        <v>6</v>
      </c>
    </row>
    <row r="2" spans="1:21" x14ac:dyDescent="0.45">
      <c r="A2" s="1">
        <v>1</v>
      </c>
      <c r="B2" s="1" t="s">
        <v>3</v>
      </c>
      <c r="C2">
        <v>1989.795918367347</v>
      </c>
      <c r="D2">
        <f>AVERAGE(C2:C4)</f>
        <v>1291.0567190243064</v>
      </c>
      <c r="E2">
        <f>_xlfn.STDEV.S(C2:C4)/SQRT(3)</f>
        <v>433.42054589540612</v>
      </c>
    </row>
    <row r="3" spans="1:21" x14ac:dyDescent="0.45">
      <c r="A3" s="1">
        <v>1</v>
      </c>
      <c r="B3" s="1" t="s">
        <v>3</v>
      </c>
      <c r="C3">
        <v>1385.9649122807018</v>
      </c>
      <c r="I3" t="s">
        <v>3</v>
      </c>
      <c r="J3" t="s">
        <v>7</v>
      </c>
      <c r="K3" t="s">
        <v>4</v>
      </c>
      <c r="L3" t="s">
        <v>7</v>
      </c>
      <c r="N3" t="s">
        <v>30</v>
      </c>
      <c r="O3" t="s">
        <v>19</v>
      </c>
      <c r="P3" t="s">
        <v>20</v>
      </c>
      <c r="Q3" t="s">
        <v>31</v>
      </c>
      <c r="R3" t="s">
        <v>32</v>
      </c>
      <c r="S3" t="s">
        <v>8</v>
      </c>
      <c r="T3" t="s">
        <v>21</v>
      </c>
      <c r="U3" t="s">
        <v>33</v>
      </c>
    </row>
    <row r="4" spans="1:21" x14ac:dyDescent="0.45">
      <c r="A4" s="1">
        <v>1</v>
      </c>
      <c r="B4" s="1" t="s">
        <v>3</v>
      </c>
      <c r="C4">
        <v>497.40932642487053</v>
      </c>
      <c r="H4" t="s">
        <v>10</v>
      </c>
      <c r="I4">
        <f t="shared" ref="I4:J4" si="0">D2</f>
        <v>1291.0567190243064</v>
      </c>
      <c r="J4">
        <f t="shared" si="0"/>
        <v>433.42054589540612</v>
      </c>
      <c r="K4">
        <f t="shared" ref="K4:L4" si="1">D5</f>
        <v>1377.6376424933298</v>
      </c>
      <c r="L4">
        <f t="shared" si="1"/>
        <v>140.84415210405709</v>
      </c>
      <c r="N4" t="s">
        <v>22</v>
      </c>
      <c r="O4">
        <v>3</v>
      </c>
      <c r="P4">
        <v>3</v>
      </c>
      <c r="Q4">
        <v>1385.9649122807</v>
      </c>
      <c r="R4">
        <v>1451.61290322581</v>
      </c>
      <c r="S4">
        <v>1</v>
      </c>
      <c r="T4" t="s">
        <v>34</v>
      </c>
      <c r="U4" t="s">
        <v>11</v>
      </c>
    </row>
    <row r="5" spans="1:21" x14ac:dyDescent="0.45">
      <c r="A5" s="1">
        <v>1</v>
      </c>
      <c r="B5" s="1" t="s">
        <v>4</v>
      </c>
      <c r="C5">
        <v>1576.0368663594468</v>
      </c>
      <c r="D5">
        <f>AVERAGE(C5:C7)</f>
        <v>1377.6376424933298</v>
      </c>
      <c r="E5">
        <f>_xlfn.STDEV.S(C5:C7)/SQRT(3)</f>
        <v>140.84415210405709</v>
      </c>
      <c r="H5" t="s">
        <v>12</v>
      </c>
      <c r="I5">
        <f t="shared" ref="I5:J5" si="2">D8</f>
        <v>3021.4509999222951</v>
      </c>
      <c r="J5">
        <f t="shared" si="2"/>
        <v>67.869921143685104</v>
      </c>
      <c r="K5">
        <f t="shared" ref="K5:L5" si="3">D11</f>
        <v>1193.8456634523811</v>
      </c>
      <c r="L5">
        <f t="shared" si="3"/>
        <v>89.241830935716507</v>
      </c>
      <c r="N5" t="s">
        <v>23</v>
      </c>
      <c r="O5">
        <v>3</v>
      </c>
      <c r="P5">
        <v>3</v>
      </c>
      <c r="Q5">
        <v>2979.5918367346899</v>
      </c>
      <c r="R5">
        <v>1228.9156626506001</v>
      </c>
      <c r="S5">
        <v>8.0855598370052295E-2</v>
      </c>
      <c r="T5" t="s">
        <v>34</v>
      </c>
      <c r="U5" t="s">
        <v>11</v>
      </c>
    </row>
    <row r="6" spans="1:21" x14ac:dyDescent="0.45">
      <c r="A6" s="1">
        <v>1</v>
      </c>
      <c r="B6" s="1" t="s">
        <v>4</v>
      </c>
      <c r="C6">
        <v>1451.6129032258063</v>
      </c>
      <c r="H6" t="s">
        <v>13</v>
      </c>
      <c r="I6">
        <f t="shared" ref="I6:J6" si="4">D14</f>
        <v>2717.8138799379399</v>
      </c>
      <c r="J6">
        <f t="shared" si="4"/>
        <v>620.31832367117011</v>
      </c>
      <c r="K6">
        <f t="shared" ref="K6:L6" si="5">D17</f>
        <v>1621.5383060440672</v>
      </c>
      <c r="L6">
        <f t="shared" si="5"/>
        <v>116.69049213667662</v>
      </c>
      <c r="N6" t="s">
        <v>24</v>
      </c>
      <c r="O6">
        <v>3</v>
      </c>
      <c r="P6">
        <v>3</v>
      </c>
      <c r="Q6">
        <v>3276.3157894736801</v>
      </c>
      <c r="R6">
        <v>1588.23529411765</v>
      </c>
      <c r="S6">
        <v>0.382733088885226</v>
      </c>
      <c r="T6" t="s">
        <v>34</v>
      </c>
      <c r="U6" t="s">
        <v>11</v>
      </c>
    </row>
    <row r="7" spans="1:21" x14ac:dyDescent="0.45">
      <c r="A7" s="1">
        <v>1</v>
      </c>
      <c r="B7" s="1" t="s">
        <v>4</v>
      </c>
      <c r="C7">
        <v>1105.2631578947367</v>
      </c>
      <c r="H7" t="s">
        <v>14</v>
      </c>
      <c r="I7">
        <f t="shared" ref="I7:J7" si="6">D20</f>
        <v>1252.9298848252172</v>
      </c>
      <c r="J7">
        <f t="shared" si="6"/>
        <v>146.55696255559357</v>
      </c>
      <c r="K7">
        <f t="shared" ref="K7:L7" si="7">D23</f>
        <v>1003.1278538812785</v>
      </c>
      <c r="L7">
        <f t="shared" si="7"/>
        <v>109.17692440026362</v>
      </c>
      <c r="N7" t="s">
        <v>25</v>
      </c>
      <c r="O7">
        <v>3</v>
      </c>
      <c r="P7">
        <v>3</v>
      </c>
      <c r="Q7">
        <v>1113.86138613861</v>
      </c>
      <c r="R7">
        <v>1050</v>
      </c>
      <c r="S7">
        <v>0.382733088885226</v>
      </c>
      <c r="T7" t="s">
        <v>34</v>
      </c>
      <c r="U7" t="s">
        <v>11</v>
      </c>
    </row>
    <row r="8" spans="1:21" x14ac:dyDescent="0.45">
      <c r="A8">
        <v>2</v>
      </c>
      <c r="B8" t="s">
        <v>3</v>
      </c>
      <c r="C8">
        <v>2930.5555555555557</v>
      </c>
      <c r="D8">
        <f>AVERAGE(C8:C10)</f>
        <v>3021.4509999222951</v>
      </c>
      <c r="E8">
        <f>_xlfn.STDEV.S(C8:C10)/SQRT(3)</f>
        <v>67.869921143685104</v>
      </c>
      <c r="H8" t="s">
        <v>15</v>
      </c>
      <c r="I8">
        <f t="shared" ref="I8:J8" si="8">D26</f>
        <v>1748.0470333559279</v>
      </c>
      <c r="J8">
        <f t="shared" si="8"/>
        <v>397.16685602556601</v>
      </c>
      <c r="K8">
        <f t="shared" ref="K8:L8" si="9">D29</f>
        <v>949.52874682504762</v>
      </c>
      <c r="L8">
        <f t="shared" si="9"/>
        <v>244.71596745870758</v>
      </c>
      <c r="N8" t="s">
        <v>26</v>
      </c>
      <c r="O8">
        <v>3</v>
      </c>
      <c r="P8">
        <v>3</v>
      </c>
      <c r="Q8">
        <v>1837.69633507853</v>
      </c>
      <c r="R8">
        <v>977.90055248618796</v>
      </c>
      <c r="S8">
        <v>0.190430263825524</v>
      </c>
      <c r="T8" t="s">
        <v>34</v>
      </c>
      <c r="U8" t="s">
        <v>11</v>
      </c>
    </row>
    <row r="9" spans="1:21" x14ac:dyDescent="0.45">
      <c r="A9">
        <v>2</v>
      </c>
      <c r="B9" t="s">
        <v>3</v>
      </c>
      <c r="C9">
        <v>2979.591836734694</v>
      </c>
      <c r="H9" t="s">
        <v>16</v>
      </c>
      <c r="I9">
        <f t="shared" ref="I9:J9" si="10">D32</f>
        <v>2473.8294314381269</v>
      </c>
      <c r="J9">
        <f t="shared" si="10"/>
        <v>1109.8486035294504</v>
      </c>
      <c r="K9">
        <f t="shared" ref="K9:L9" si="11">D35</f>
        <v>1526.6342934922559</v>
      </c>
      <c r="L9">
        <f t="shared" si="11"/>
        <v>545.60725451850192</v>
      </c>
      <c r="N9" t="s">
        <v>27</v>
      </c>
      <c r="O9">
        <v>3</v>
      </c>
      <c r="P9">
        <v>3</v>
      </c>
      <c r="Q9">
        <v>2369.5652173912999</v>
      </c>
      <c r="R9">
        <v>1853.65853658537</v>
      </c>
      <c r="S9">
        <v>0.382733088885226</v>
      </c>
      <c r="T9" t="s">
        <v>34</v>
      </c>
      <c r="U9" t="s">
        <v>11</v>
      </c>
    </row>
    <row r="10" spans="1:21" x14ac:dyDescent="0.45">
      <c r="A10">
        <v>2</v>
      </c>
      <c r="B10" t="s">
        <v>3</v>
      </c>
      <c r="C10">
        <v>3154.2056074766356</v>
      </c>
      <c r="H10" t="s">
        <v>17</v>
      </c>
      <c r="I10">
        <f t="shared" ref="I10:J10" si="12">D38</f>
        <v>2235.1457344031437</v>
      </c>
      <c r="J10">
        <f t="shared" si="12"/>
        <v>770.05180220225031</v>
      </c>
      <c r="K10">
        <f t="shared" ref="K10:L10" si="13">D41</f>
        <v>1361.3633419307728</v>
      </c>
      <c r="L10">
        <f t="shared" si="13"/>
        <v>195.20514035307855</v>
      </c>
      <c r="N10" t="s">
        <v>28</v>
      </c>
      <c r="O10">
        <v>3</v>
      </c>
      <c r="P10">
        <v>3</v>
      </c>
      <c r="Q10">
        <v>1515</v>
      </c>
      <c r="R10">
        <v>1463.8554216867501</v>
      </c>
      <c r="S10">
        <v>0.66252058354005705</v>
      </c>
      <c r="T10" t="s">
        <v>34</v>
      </c>
      <c r="U10" t="s">
        <v>11</v>
      </c>
    </row>
    <row r="11" spans="1:21" x14ac:dyDescent="0.45">
      <c r="A11">
        <v>2</v>
      </c>
      <c r="B11" t="s">
        <v>4</v>
      </c>
      <c r="C11">
        <v>1228.9156626506024</v>
      </c>
      <c r="D11">
        <f>AVERAGE(C11:C13)</f>
        <v>1193.8456634523811</v>
      </c>
      <c r="E11">
        <f>_xlfn.STDEV.S(C11:C13)/SQRT(3)</f>
        <v>89.241830935716507</v>
      </c>
      <c r="H11" t="s">
        <v>18</v>
      </c>
      <c r="I11">
        <f t="shared" ref="I11:J11" si="14">D44</f>
        <v>1763.4920634920636</v>
      </c>
      <c r="J11">
        <f t="shared" si="14"/>
        <v>747.38310569395696</v>
      </c>
      <c r="K11">
        <f t="shared" ref="K11:L11" si="15">D47</f>
        <v>1330.5785123966941</v>
      </c>
      <c r="L11">
        <f t="shared" si="15"/>
        <v>387.70373507288792</v>
      </c>
      <c r="N11" t="s">
        <v>29</v>
      </c>
      <c r="O11">
        <v>3</v>
      </c>
      <c r="P11">
        <v>3</v>
      </c>
      <c r="Q11">
        <v>1066.6666666666699</v>
      </c>
      <c r="R11">
        <v>1661.1570247933901</v>
      </c>
      <c r="S11">
        <v>1</v>
      </c>
      <c r="T11" t="s">
        <v>34</v>
      </c>
      <c r="U11" t="s">
        <v>11</v>
      </c>
    </row>
    <row r="12" spans="1:21" x14ac:dyDescent="0.45">
      <c r="A12">
        <v>2</v>
      </c>
      <c r="B12" t="s">
        <v>4</v>
      </c>
      <c r="C12">
        <v>1024.7524752475249</v>
      </c>
    </row>
    <row r="13" spans="1:21" x14ac:dyDescent="0.45">
      <c r="A13">
        <v>2</v>
      </c>
      <c r="B13" t="s">
        <v>4</v>
      </c>
      <c r="C13">
        <v>1327.8688524590164</v>
      </c>
    </row>
    <row r="14" spans="1:21" x14ac:dyDescent="0.45">
      <c r="A14" s="1">
        <v>3</v>
      </c>
      <c r="B14" s="1" t="s">
        <v>3</v>
      </c>
      <c r="C14">
        <v>3276.3157894736842</v>
      </c>
      <c r="D14">
        <f>AVERAGE(C14:C16)</f>
        <v>2717.8138799379399</v>
      </c>
      <c r="E14">
        <f>_xlfn.STDEV.S(C14:C16)/SQRT(3)</f>
        <v>620.31832367117011</v>
      </c>
    </row>
    <row r="15" spans="1:21" x14ac:dyDescent="0.45">
      <c r="A15" s="1">
        <v>3</v>
      </c>
      <c r="B15" s="1" t="s">
        <v>3</v>
      </c>
      <c r="C15">
        <v>3397.9591836734699</v>
      </c>
    </row>
    <row r="16" spans="1:21" x14ac:dyDescent="0.45">
      <c r="A16" s="1">
        <v>3</v>
      </c>
      <c r="B16" s="1" t="s">
        <v>3</v>
      </c>
      <c r="C16">
        <v>1479.1666666666665</v>
      </c>
    </row>
    <row r="17" spans="1:5" x14ac:dyDescent="0.45">
      <c r="A17" s="1">
        <v>3</v>
      </c>
      <c r="B17" s="1" t="s">
        <v>4</v>
      </c>
      <c r="C17">
        <v>1438.1443298969075</v>
      </c>
      <c r="D17">
        <f>AVERAGE(C17:C19)</f>
        <v>1621.5383060440672</v>
      </c>
      <c r="E17">
        <f>_xlfn.STDEV.S(C17:C19)/SQRT(3)</f>
        <v>116.69049213667662</v>
      </c>
    </row>
    <row r="18" spans="1:5" x14ac:dyDescent="0.45">
      <c r="A18" s="1">
        <v>3</v>
      </c>
      <c r="B18" s="1" t="s">
        <v>4</v>
      </c>
      <c r="C18">
        <v>1588.2352941176473</v>
      </c>
    </row>
    <row r="19" spans="1:5" x14ac:dyDescent="0.45">
      <c r="A19" s="1">
        <v>3</v>
      </c>
      <c r="B19" s="1" t="s">
        <v>4</v>
      </c>
      <c r="C19">
        <v>1838.2352941176471</v>
      </c>
    </row>
    <row r="20" spans="1:5" x14ac:dyDescent="0.45">
      <c r="A20">
        <v>4</v>
      </c>
      <c r="B20" t="s">
        <v>3</v>
      </c>
      <c r="C20">
        <v>1545.9183673469388</v>
      </c>
      <c r="D20">
        <f>AVERAGE(C20:C22)</f>
        <v>1252.9298848252172</v>
      </c>
      <c r="E20">
        <f>_xlfn.STDEV.S(C20:C22)/SQRT(3)</f>
        <v>146.55696255559357</v>
      </c>
    </row>
    <row r="21" spans="1:5" x14ac:dyDescent="0.45">
      <c r="A21">
        <v>4</v>
      </c>
      <c r="B21" t="s">
        <v>3</v>
      </c>
      <c r="C21">
        <v>1113.8613861386139</v>
      </c>
    </row>
    <row r="22" spans="1:5" x14ac:dyDescent="0.45">
      <c r="A22">
        <v>4</v>
      </c>
      <c r="B22" t="s">
        <v>3</v>
      </c>
      <c r="C22">
        <v>1099.0099009900991</v>
      </c>
    </row>
    <row r="23" spans="1:5" x14ac:dyDescent="0.45">
      <c r="A23">
        <v>4</v>
      </c>
      <c r="B23" t="s">
        <v>4</v>
      </c>
      <c r="C23">
        <v>795</v>
      </c>
      <c r="D23">
        <f>AVERAGE(C23:C25)</f>
        <v>1003.1278538812785</v>
      </c>
      <c r="E23">
        <f>_xlfn.STDEV.S(C23:C25)/SQRT(3)</f>
        <v>109.17692440026362</v>
      </c>
    </row>
    <row r="24" spans="1:5" x14ac:dyDescent="0.45">
      <c r="A24">
        <v>4</v>
      </c>
      <c r="B24" t="s">
        <v>4</v>
      </c>
      <c r="C24">
        <v>1050</v>
      </c>
    </row>
    <row r="25" spans="1:5" x14ac:dyDescent="0.45">
      <c r="A25">
        <v>4</v>
      </c>
      <c r="B25" t="s">
        <v>4</v>
      </c>
      <c r="C25">
        <v>1164.3835616438357</v>
      </c>
    </row>
    <row r="26" spans="1:5" x14ac:dyDescent="0.45">
      <c r="A26" s="1">
        <v>5</v>
      </c>
      <c r="B26" s="1" t="s">
        <v>3</v>
      </c>
      <c r="C26">
        <v>2386.7403314917124</v>
      </c>
      <c r="D26">
        <f>AVERAGE(C26:C28)</f>
        <v>1748.0470333559279</v>
      </c>
      <c r="E26">
        <f>_xlfn.STDEV.S(C26:C28)/SQRT(3)</f>
        <v>397.16685602556601</v>
      </c>
    </row>
    <row r="27" spans="1:5" x14ac:dyDescent="0.45">
      <c r="A27" s="1">
        <v>5</v>
      </c>
      <c r="B27" s="1" t="s">
        <v>3</v>
      </c>
      <c r="C27">
        <v>1837.6963350785338</v>
      </c>
    </row>
    <row r="28" spans="1:5" x14ac:dyDescent="0.45">
      <c r="A28" s="1">
        <v>5</v>
      </c>
      <c r="B28" s="1" t="s">
        <v>3</v>
      </c>
      <c r="C28">
        <v>1019.7044334975371</v>
      </c>
    </row>
    <row r="29" spans="1:5" x14ac:dyDescent="0.45">
      <c r="A29" s="1">
        <v>5</v>
      </c>
      <c r="B29" s="1" t="s">
        <v>4</v>
      </c>
      <c r="C29">
        <v>512.19512195121945</v>
      </c>
      <c r="D29">
        <f>AVERAGE(C29:C31)</f>
        <v>949.52874682504762</v>
      </c>
      <c r="E29">
        <f>_xlfn.STDEV.S(C29:C31)/SQRT(3)</f>
        <v>244.71596745870758</v>
      </c>
    </row>
    <row r="30" spans="1:5" x14ac:dyDescent="0.45">
      <c r="A30" s="1">
        <v>5</v>
      </c>
      <c r="B30" s="1" t="s">
        <v>4</v>
      </c>
      <c r="C30">
        <v>977.90055248618773</v>
      </c>
    </row>
    <row r="31" spans="1:5" x14ac:dyDescent="0.45">
      <c r="A31" s="1">
        <v>5</v>
      </c>
      <c r="B31" s="1" t="s">
        <v>4</v>
      </c>
      <c r="C31">
        <v>1358.4905660377358</v>
      </c>
    </row>
    <row r="32" spans="1:5" x14ac:dyDescent="0.45">
      <c r="A32">
        <v>6</v>
      </c>
      <c r="B32" t="s">
        <v>3</v>
      </c>
      <c r="C32">
        <v>4446.1538461538457</v>
      </c>
      <c r="D32">
        <f>AVERAGE(C32:C34)</f>
        <v>2473.8294314381269</v>
      </c>
      <c r="E32">
        <f>_xlfn.STDEV.S(C32:C34)/SQRT(3)</f>
        <v>1109.8486035294504</v>
      </c>
    </row>
    <row r="33" spans="1:5" x14ac:dyDescent="0.45">
      <c r="A33">
        <v>6</v>
      </c>
      <c r="B33" t="s">
        <v>3</v>
      </c>
      <c r="C33">
        <v>605.76923076923083</v>
      </c>
    </row>
    <row r="34" spans="1:5" x14ac:dyDescent="0.45">
      <c r="A34">
        <v>6</v>
      </c>
      <c r="B34" t="s">
        <v>3</v>
      </c>
      <c r="C34">
        <v>2369.5652173913045</v>
      </c>
    </row>
    <row r="35" spans="1:5" x14ac:dyDescent="0.45">
      <c r="A35">
        <v>6</v>
      </c>
      <c r="B35" t="s">
        <v>4</v>
      </c>
      <c r="C35">
        <v>2264.705882352941</v>
      </c>
      <c r="D35">
        <f>AVERAGE(C35:C37)</f>
        <v>1526.6342934922559</v>
      </c>
      <c r="E35">
        <f>_xlfn.STDEV.S(C35:C37)/SQRT(3)</f>
        <v>545.60725451850192</v>
      </c>
    </row>
    <row r="36" spans="1:5" x14ac:dyDescent="0.45">
      <c r="A36">
        <v>6</v>
      </c>
      <c r="B36" t="s">
        <v>4</v>
      </c>
      <c r="C36">
        <v>461.5384615384616</v>
      </c>
    </row>
    <row r="37" spans="1:5" x14ac:dyDescent="0.45">
      <c r="A37">
        <v>6</v>
      </c>
      <c r="B37" t="s">
        <v>4</v>
      </c>
      <c r="C37">
        <v>1853.6585365853657</v>
      </c>
    </row>
    <row r="38" spans="1:5" x14ac:dyDescent="0.45">
      <c r="A38" s="1">
        <v>7</v>
      </c>
      <c r="B38" s="1" t="s">
        <v>3</v>
      </c>
      <c r="C38">
        <v>3774.1935483870966</v>
      </c>
      <c r="D38">
        <f>AVERAGE(C38:C40)</f>
        <v>2235.1457344031437</v>
      </c>
      <c r="E38">
        <f>_xlfn.STDEV.S(C38:C40)/SQRT(3)</f>
        <v>770.05180220225031</v>
      </c>
    </row>
    <row r="39" spans="1:5" x14ac:dyDescent="0.45">
      <c r="A39" s="1">
        <v>7</v>
      </c>
      <c r="B39" s="1" t="s">
        <v>3</v>
      </c>
      <c r="C39">
        <v>1416.2436548223352</v>
      </c>
    </row>
    <row r="40" spans="1:5" x14ac:dyDescent="0.45">
      <c r="A40" s="1">
        <v>7</v>
      </c>
      <c r="B40" s="1" t="s">
        <v>3</v>
      </c>
      <c r="C40">
        <v>1515</v>
      </c>
    </row>
    <row r="41" spans="1:5" x14ac:dyDescent="0.45">
      <c r="A41" s="1">
        <v>7</v>
      </c>
      <c r="B41" s="1" t="s">
        <v>4</v>
      </c>
      <c r="C41">
        <v>1636.363636363636</v>
      </c>
      <c r="D41">
        <f>AVERAGE(C41:C43)</f>
        <v>1361.3633419307728</v>
      </c>
      <c r="E41">
        <f>_xlfn.STDEV.S(C41:C43)/SQRT(3)</f>
        <v>195.20514035307855</v>
      </c>
    </row>
    <row r="42" spans="1:5" x14ac:dyDescent="0.45">
      <c r="A42" s="1">
        <v>7</v>
      </c>
      <c r="B42" s="1" t="s">
        <v>4</v>
      </c>
      <c r="C42">
        <v>983.87096774193537</v>
      </c>
    </row>
    <row r="43" spans="1:5" x14ac:dyDescent="0.45">
      <c r="A43" s="1">
        <v>7</v>
      </c>
      <c r="B43" s="1" t="s">
        <v>4</v>
      </c>
      <c r="C43">
        <v>1463.8554216867467</v>
      </c>
    </row>
    <row r="44" spans="1:5" x14ac:dyDescent="0.45">
      <c r="A44">
        <v>8</v>
      </c>
      <c r="B44" t="s">
        <v>3</v>
      </c>
      <c r="C44">
        <v>3257.1428571428569</v>
      </c>
      <c r="D44">
        <f>AVERAGE(C44:C46)</f>
        <v>1763.4920634920636</v>
      </c>
      <c r="E44">
        <f>_xlfn.STDEV.S(C44:C46)/SQRT(3)</f>
        <v>747.38310569395696</v>
      </c>
    </row>
    <row r="45" spans="1:5" x14ac:dyDescent="0.45">
      <c r="A45">
        <v>8</v>
      </c>
      <c r="B45" t="s">
        <v>3</v>
      </c>
      <c r="C45">
        <v>966.66666666666674</v>
      </c>
    </row>
    <row r="46" spans="1:5" x14ac:dyDescent="0.45">
      <c r="A46">
        <v>8</v>
      </c>
      <c r="B46" t="s">
        <v>3</v>
      </c>
      <c r="C46">
        <v>1066.6666666666667</v>
      </c>
    </row>
    <row r="47" spans="1:5" x14ac:dyDescent="0.45">
      <c r="A47">
        <v>8</v>
      </c>
      <c r="B47" t="s">
        <v>4</v>
      </c>
      <c r="C47">
        <v>557.8512396694216</v>
      </c>
      <c r="D47">
        <f>AVERAGE(C47:C49)</f>
        <v>1330.5785123966941</v>
      </c>
      <c r="E47">
        <f>_xlfn.STDEV.S(C47:C49)/SQRT(3)</f>
        <v>387.70373507288792</v>
      </c>
    </row>
    <row r="48" spans="1:5" x14ac:dyDescent="0.45">
      <c r="A48">
        <v>8</v>
      </c>
      <c r="B48" t="s">
        <v>4</v>
      </c>
      <c r="C48">
        <v>1661.1570247933887</v>
      </c>
    </row>
    <row r="49" spans="1:3" x14ac:dyDescent="0.45">
      <c r="A49">
        <v>8</v>
      </c>
      <c r="B49" t="s">
        <v>4</v>
      </c>
      <c r="C49">
        <v>1772.7272727272725</v>
      </c>
    </row>
  </sheetData>
  <pageMargins left="0.7" right="0.7" top="0.75" bottom="0.75" header="0.3" footer="0.3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108D461-36C3-4676-999B-E956347DA356}">
  <dimension ref="A1:W49"/>
  <sheetViews>
    <sheetView tabSelected="1" zoomScale="57" zoomScaleNormal="90" workbookViewId="0">
      <selection activeCell="S23" sqref="S23"/>
    </sheetView>
  </sheetViews>
  <sheetFormatPr baseColWidth="10" defaultRowHeight="14.25" x14ac:dyDescent="0.45"/>
  <sheetData>
    <row r="1" spans="1:23" x14ac:dyDescent="0.45">
      <c r="A1" t="s">
        <v>0</v>
      </c>
      <c r="B1" t="s">
        <v>1</v>
      </c>
      <c r="C1" t="s">
        <v>2</v>
      </c>
      <c r="D1" t="s">
        <v>5</v>
      </c>
      <c r="E1" t="s">
        <v>6</v>
      </c>
    </row>
    <row r="2" spans="1:23" x14ac:dyDescent="0.45">
      <c r="A2" s="1">
        <v>1</v>
      </c>
      <c r="B2" s="1" t="s">
        <v>3</v>
      </c>
      <c r="C2">
        <v>336.73469387755108</v>
      </c>
      <c r="D2">
        <f>AVERAGE(C2:C4)</f>
        <v>291.89523277723055</v>
      </c>
      <c r="E2">
        <f>_xlfn.STDEV.S(C2:C4)/SQRT(3)</f>
        <v>32.773637984848278</v>
      </c>
    </row>
    <row r="3" spans="1:23" x14ac:dyDescent="0.45">
      <c r="A3" s="1">
        <v>1</v>
      </c>
      <c r="B3" s="1" t="s">
        <v>3</v>
      </c>
      <c r="C3">
        <v>228.07017543859649</v>
      </c>
      <c r="I3" t="s">
        <v>3</v>
      </c>
      <c r="J3" t="s">
        <v>7</v>
      </c>
      <c r="K3" t="s">
        <v>4</v>
      </c>
      <c r="L3" t="s">
        <v>7</v>
      </c>
      <c r="M3" t="s">
        <v>8</v>
      </c>
      <c r="N3" t="s">
        <v>9</v>
      </c>
      <c r="P3" t="s">
        <v>30</v>
      </c>
      <c r="Q3" t="s">
        <v>19</v>
      </c>
      <c r="R3" t="s">
        <v>20</v>
      </c>
      <c r="S3" t="s">
        <v>31</v>
      </c>
      <c r="T3" t="s">
        <v>32</v>
      </c>
      <c r="U3" t="s">
        <v>8</v>
      </c>
      <c r="V3" t="s">
        <v>21</v>
      </c>
      <c r="W3" t="s">
        <v>33</v>
      </c>
    </row>
    <row r="4" spans="1:23" x14ac:dyDescent="0.45">
      <c r="A4" s="1">
        <v>1</v>
      </c>
      <c r="B4" s="1" t="s">
        <v>3</v>
      </c>
      <c r="C4">
        <v>310.88082901554401</v>
      </c>
      <c r="H4" t="s">
        <v>10</v>
      </c>
      <c r="I4">
        <f t="shared" ref="I4:J4" si="0">D2</f>
        <v>291.89523277723055</v>
      </c>
      <c r="J4">
        <f t="shared" si="0"/>
        <v>32.773637984848278</v>
      </c>
      <c r="K4">
        <f t="shared" ref="K4:L4" si="1">D5</f>
        <v>323.83377799337046</v>
      </c>
      <c r="L4">
        <f t="shared" si="1"/>
        <v>48.383111656462638</v>
      </c>
      <c r="M4">
        <v>1</v>
      </c>
      <c r="N4" t="s">
        <v>11</v>
      </c>
      <c r="P4" t="s">
        <v>22</v>
      </c>
      <c r="Q4">
        <v>3</v>
      </c>
      <c r="R4">
        <v>3</v>
      </c>
      <c r="S4">
        <v>310.88082901554401</v>
      </c>
      <c r="T4">
        <v>289.47368421052602</v>
      </c>
      <c r="U4">
        <v>1</v>
      </c>
      <c r="V4" t="s">
        <v>34</v>
      </c>
      <c r="W4" t="s">
        <v>11</v>
      </c>
    </row>
    <row r="5" spans="1:23" x14ac:dyDescent="0.45">
      <c r="A5" s="1">
        <v>1</v>
      </c>
      <c r="B5" s="1" t="s">
        <v>4</v>
      </c>
      <c r="C5">
        <v>262.67281105990781</v>
      </c>
      <c r="D5">
        <f>AVERAGE(C5:C7)</f>
        <v>323.83377799337046</v>
      </c>
      <c r="E5">
        <f>_xlfn.STDEV.S(C5:C7)/SQRT(3)</f>
        <v>48.383111656462638</v>
      </c>
      <c r="H5" t="s">
        <v>12</v>
      </c>
      <c r="I5">
        <f t="shared" ref="I5:J5" si="2">D8</f>
        <v>307.67301728583442</v>
      </c>
      <c r="J5">
        <f t="shared" si="2"/>
        <v>74.468963258284148</v>
      </c>
      <c r="K5">
        <f t="shared" ref="K5:L5" si="3">D11</f>
        <v>319.30839736156116</v>
      </c>
      <c r="L5">
        <f t="shared" si="3"/>
        <v>88.487299401635724</v>
      </c>
      <c r="M5">
        <v>1</v>
      </c>
      <c r="N5" t="s">
        <v>11</v>
      </c>
      <c r="P5" t="s">
        <v>23</v>
      </c>
      <c r="Q5">
        <v>3</v>
      </c>
      <c r="R5">
        <v>3</v>
      </c>
      <c r="S5">
        <v>277.777777777778</v>
      </c>
      <c r="T5">
        <v>267.32673267326697</v>
      </c>
      <c r="U5">
        <v>1</v>
      </c>
      <c r="V5" t="s">
        <v>34</v>
      </c>
      <c r="W5" t="s">
        <v>11</v>
      </c>
    </row>
    <row r="6" spans="1:23" x14ac:dyDescent="0.45">
      <c r="A6" s="1">
        <v>1</v>
      </c>
      <c r="B6" s="1" t="s">
        <v>4</v>
      </c>
      <c r="C6">
        <v>419.35483870967744</v>
      </c>
      <c r="H6" t="s">
        <v>13</v>
      </c>
      <c r="I6">
        <f t="shared" ref="I6:J6" si="4">D14</f>
        <v>277.47941281775866</v>
      </c>
      <c r="J6">
        <f t="shared" si="4"/>
        <v>16.211599081438361</v>
      </c>
      <c r="K6">
        <f t="shared" ref="K6:L6" si="5">D17</f>
        <v>326.94899265548139</v>
      </c>
      <c r="L6">
        <f t="shared" si="5"/>
        <v>8.9479234111079098</v>
      </c>
      <c r="M6">
        <v>8.0855598370052295E-2</v>
      </c>
      <c r="N6" t="s">
        <v>11</v>
      </c>
      <c r="P6" t="s">
        <v>24</v>
      </c>
      <c r="Q6">
        <v>3</v>
      </c>
      <c r="R6">
        <v>3</v>
      </c>
      <c r="S6">
        <v>276.31578947368399</v>
      </c>
      <c r="T6">
        <v>333.33333333333297</v>
      </c>
      <c r="U6">
        <v>8.0855598370052295E-2</v>
      </c>
      <c r="V6" t="s">
        <v>34</v>
      </c>
      <c r="W6" t="s">
        <v>11</v>
      </c>
    </row>
    <row r="7" spans="1:23" x14ac:dyDescent="0.45">
      <c r="A7" s="1">
        <v>1</v>
      </c>
      <c r="B7" s="1" t="s">
        <v>4</v>
      </c>
      <c r="C7">
        <v>289.4736842105263</v>
      </c>
      <c r="H7" t="s">
        <v>14</v>
      </c>
      <c r="I7">
        <f t="shared" ref="I7:J7" si="6">D20</f>
        <v>244.69589816124471</v>
      </c>
      <c r="J7">
        <f t="shared" si="6"/>
        <v>19.915315191412713</v>
      </c>
      <c r="K7">
        <f t="shared" ref="K7:L7" si="7">D23</f>
        <v>313.35616438356163</v>
      </c>
      <c r="L7">
        <f t="shared" si="7"/>
        <v>36.094547383019169</v>
      </c>
      <c r="M7">
        <v>0.190430263825524</v>
      </c>
      <c r="N7" t="s">
        <v>11</v>
      </c>
      <c r="P7" t="s">
        <v>25</v>
      </c>
      <c r="Q7">
        <v>3</v>
      </c>
      <c r="R7">
        <v>3</v>
      </c>
      <c r="S7">
        <v>237.62376237623801</v>
      </c>
      <c r="T7">
        <v>315.06849315068501</v>
      </c>
      <c r="U7">
        <v>0.190430263825524</v>
      </c>
      <c r="V7" t="s">
        <v>34</v>
      </c>
      <c r="W7" t="s">
        <v>11</v>
      </c>
    </row>
    <row r="8" spans="1:23" x14ac:dyDescent="0.45">
      <c r="A8">
        <v>2</v>
      </c>
      <c r="B8" t="s">
        <v>3</v>
      </c>
      <c r="C8">
        <v>277.77777777777771</v>
      </c>
      <c r="D8">
        <f>AVERAGE(C8:C10)</f>
        <v>307.67301728583442</v>
      </c>
      <c r="E8">
        <f>_xlfn.STDEV.S(C8:C10)/SQRT(3)</f>
        <v>74.468963258284148</v>
      </c>
      <c r="H8" t="s">
        <v>15</v>
      </c>
      <c r="I8">
        <f t="shared" ref="I8:J8" si="8">D26</f>
        <v>271.59783827471216</v>
      </c>
      <c r="J8">
        <f t="shared" si="8"/>
        <v>5.0933421816885058</v>
      </c>
      <c r="K8">
        <f t="shared" ref="K8:L8" si="9">D29</f>
        <v>241.48621242284557</v>
      </c>
      <c r="L8">
        <f t="shared" si="9"/>
        <v>17.894687568927623</v>
      </c>
      <c r="M8">
        <v>0.382733088885226</v>
      </c>
      <c r="N8" t="s">
        <v>11</v>
      </c>
      <c r="P8" t="s">
        <v>26</v>
      </c>
      <c r="Q8">
        <v>3</v>
      </c>
      <c r="R8">
        <v>3</v>
      </c>
      <c r="S8">
        <v>267.01570680628299</v>
      </c>
      <c r="T8">
        <v>248.61878453038699</v>
      </c>
      <c r="U8">
        <v>0.382733088885226</v>
      </c>
      <c r="V8" t="s">
        <v>34</v>
      </c>
      <c r="W8" t="s">
        <v>11</v>
      </c>
    </row>
    <row r="9" spans="1:23" x14ac:dyDescent="0.45">
      <c r="A9">
        <v>2</v>
      </c>
      <c r="B9" t="s">
        <v>3</v>
      </c>
      <c r="C9">
        <v>448.97959183673476</v>
      </c>
      <c r="H9" t="s">
        <v>16</v>
      </c>
      <c r="I9">
        <f t="shared" ref="I9:J9" si="10">D32</f>
        <v>230.28149386845041</v>
      </c>
      <c r="J9">
        <f t="shared" si="10"/>
        <v>38.776883395183866</v>
      </c>
      <c r="K9">
        <f t="shared" ref="K9:L9" si="11">D35</f>
        <v>295.40291726446679</v>
      </c>
      <c r="L9">
        <f t="shared" si="11"/>
        <v>85.131314602034294</v>
      </c>
      <c r="M9">
        <v>0.82477809508251299</v>
      </c>
      <c r="N9" t="s">
        <v>11</v>
      </c>
      <c r="P9" t="s">
        <v>27</v>
      </c>
      <c r="Q9">
        <v>3</v>
      </c>
      <c r="R9">
        <v>3</v>
      </c>
      <c r="S9">
        <v>195.65217391304299</v>
      </c>
      <c r="T9">
        <v>235.29411764705901</v>
      </c>
      <c r="U9">
        <v>0.82477809508251299</v>
      </c>
      <c r="V9" t="s">
        <v>34</v>
      </c>
      <c r="W9" t="s">
        <v>11</v>
      </c>
    </row>
    <row r="10" spans="1:23" x14ac:dyDescent="0.45">
      <c r="A10">
        <v>2</v>
      </c>
      <c r="B10" t="s">
        <v>3</v>
      </c>
      <c r="C10">
        <v>196.26168224299067</v>
      </c>
      <c r="H10" t="s">
        <v>17</v>
      </c>
      <c r="I10">
        <f t="shared" ref="I10:J10" si="12">D38</f>
        <v>267.39206375197864</v>
      </c>
      <c r="J10">
        <f t="shared" si="12"/>
        <v>4.812443128011946</v>
      </c>
      <c r="K10">
        <f t="shared" ref="K10:L10" si="13">D41</f>
        <v>222.01611921782924</v>
      </c>
      <c r="L10">
        <f t="shared" si="13"/>
        <v>18.055208754637825</v>
      </c>
      <c r="M10">
        <v>8.0855598370052295E-2</v>
      </c>
      <c r="N10" t="s">
        <v>11</v>
      </c>
      <c r="P10" t="s">
        <v>28</v>
      </c>
      <c r="Q10">
        <v>3</v>
      </c>
      <c r="R10">
        <v>3</v>
      </c>
      <c r="S10">
        <v>270</v>
      </c>
      <c r="T10">
        <v>209.677419354839</v>
      </c>
      <c r="U10">
        <v>8.0855598370052295E-2</v>
      </c>
      <c r="V10" t="s">
        <v>34</v>
      </c>
      <c r="W10" t="s">
        <v>11</v>
      </c>
    </row>
    <row r="11" spans="1:23" x14ac:dyDescent="0.45">
      <c r="A11">
        <v>2</v>
      </c>
      <c r="B11" t="s">
        <v>4</v>
      </c>
      <c r="C11">
        <v>198.79518072289159</v>
      </c>
      <c r="D11">
        <f>AVERAGE(C11:C13)</f>
        <v>319.30839736156116</v>
      </c>
      <c r="E11">
        <f>_xlfn.STDEV.S(C11:C13)/SQRT(3)</f>
        <v>88.487299401635724</v>
      </c>
      <c r="H11" t="s">
        <v>18</v>
      </c>
      <c r="I11">
        <f t="shared" ref="I11:J11" si="14">D44</f>
        <v>200.79365079365081</v>
      </c>
      <c r="J11">
        <f t="shared" si="14"/>
        <v>8.943990213956079</v>
      </c>
      <c r="K11">
        <f t="shared" ref="K11:L11" si="15">D47</f>
        <v>215.39256198347107</v>
      </c>
      <c r="L11">
        <f t="shared" si="15"/>
        <v>41.762250063423878</v>
      </c>
      <c r="M11">
        <v>1</v>
      </c>
      <c r="N11" t="s">
        <v>11</v>
      </c>
      <c r="P11" t="s">
        <v>29</v>
      </c>
      <c r="Q11">
        <v>3</v>
      </c>
      <c r="R11">
        <v>3</v>
      </c>
      <c r="S11">
        <v>200</v>
      </c>
      <c r="T11">
        <v>187.5</v>
      </c>
      <c r="U11">
        <v>1</v>
      </c>
      <c r="V11" t="s">
        <v>34</v>
      </c>
      <c r="W11" t="s">
        <v>11</v>
      </c>
    </row>
    <row r="12" spans="1:23" x14ac:dyDescent="0.45">
      <c r="A12">
        <v>2</v>
      </c>
      <c r="B12" t="s">
        <v>4</v>
      </c>
      <c r="C12">
        <v>267.32673267326732</v>
      </c>
    </row>
    <row r="13" spans="1:23" x14ac:dyDescent="0.45">
      <c r="A13">
        <v>2</v>
      </c>
      <c r="B13" t="s">
        <v>4</v>
      </c>
      <c r="C13">
        <v>491.80327868852453</v>
      </c>
    </row>
    <row r="14" spans="1:23" x14ac:dyDescent="0.45">
      <c r="A14" s="1">
        <v>3</v>
      </c>
      <c r="B14" s="1" t="s">
        <v>3</v>
      </c>
      <c r="C14">
        <v>276.31578947368416</v>
      </c>
      <c r="D14">
        <f>AVERAGE(C14:C16)</f>
        <v>277.47941281775866</v>
      </c>
      <c r="E14">
        <f>_xlfn.STDEV.S(C14:C16)/SQRT(3)</f>
        <v>16.211599081438361</v>
      </c>
    </row>
    <row r="15" spans="1:23" x14ac:dyDescent="0.45">
      <c r="A15" s="1">
        <v>3</v>
      </c>
      <c r="B15" s="1" t="s">
        <v>3</v>
      </c>
      <c r="C15">
        <v>306.12244897959187</v>
      </c>
    </row>
    <row r="16" spans="1:23" x14ac:dyDescent="0.45">
      <c r="A16" s="1">
        <v>3</v>
      </c>
      <c r="B16" s="1" t="s">
        <v>3</v>
      </c>
      <c r="C16">
        <v>250</v>
      </c>
    </row>
    <row r="17" spans="1:7" x14ac:dyDescent="0.45">
      <c r="A17" s="1">
        <v>3</v>
      </c>
      <c r="B17" s="1" t="s">
        <v>4</v>
      </c>
      <c r="C17">
        <v>309.2783505154639</v>
      </c>
      <c r="D17">
        <f>AVERAGE(C17:C19)</f>
        <v>326.94899265548139</v>
      </c>
      <c r="E17">
        <f>_xlfn.STDEV.S(C17:C19)/SQRT(3)</f>
        <v>8.9479234111079098</v>
      </c>
      <c r="G17" t="s">
        <v>35</v>
      </c>
    </row>
    <row r="18" spans="1:7" x14ac:dyDescent="0.45">
      <c r="A18" s="1">
        <v>3</v>
      </c>
      <c r="B18" s="1" t="s">
        <v>4</v>
      </c>
      <c r="C18">
        <v>333.33333333333337</v>
      </c>
    </row>
    <row r="19" spans="1:7" x14ac:dyDescent="0.45">
      <c r="A19" s="1">
        <v>3</v>
      </c>
      <c r="B19" s="1" t="s">
        <v>4</v>
      </c>
      <c r="C19">
        <v>338.23529411764696</v>
      </c>
    </row>
    <row r="20" spans="1:7" x14ac:dyDescent="0.45">
      <c r="A20">
        <v>4</v>
      </c>
      <c r="B20" t="s">
        <v>3</v>
      </c>
      <c r="C20">
        <v>214.28571428571428</v>
      </c>
      <c r="D20">
        <f>AVERAGE(C20:C22)</f>
        <v>244.69589816124471</v>
      </c>
      <c r="E20">
        <f>_xlfn.STDEV.S(C20:C22)/SQRT(3)</f>
        <v>19.915315191412713</v>
      </c>
    </row>
    <row r="21" spans="1:7" x14ac:dyDescent="0.45">
      <c r="A21">
        <v>4</v>
      </c>
      <c r="B21" t="s">
        <v>3</v>
      </c>
      <c r="C21">
        <v>237.62376237623766</v>
      </c>
    </row>
    <row r="22" spans="1:7" x14ac:dyDescent="0.45">
      <c r="A22">
        <v>4</v>
      </c>
      <c r="B22" t="s">
        <v>3</v>
      </c>
      <c r="C22">
        <v>282.1782178217822</v>
      </c>
    </row>
    <row r="23" spans="1:7" x14ac:dyDescent="0.45">
      <c r="A23">
        <v>4</v>
      </c>
      <c r="B23" t="s">
        <v>4</v>
      </c>
      <c r="C23">
        <v>375</v>
      </c>
      <c r="D23">
        <f>AVERAGE(C23:C25)</f>
        <v>313.35616438356163</v>
      </c>
      <c r="E23">
        <f>_xlfn.STDEV.S(C23:C25)/SQRT(3)</f>
        <v>36.094547383019169</v>
      </c>
    </row>
    <row r="24" spans="1:7" x14ac:dyDescent="0.45">
      <c r="A24">
        <v>4</v>
      </c>
      <c r="B24" t="s">
        <v>4</v>
      </c>
      <c r="C24">
        <v>250.00000000000003</v>
      </c>
    </row>
    <row r="25" spans="1:7" x14ac:dyDescent="0.45">
      <c r="A25">
        <v>4</v>
      </c>
      <c r="B25" t="s">
        <v>4</v>
      </c>
      <c r="C25">
        <v>315.0684931506849</v>
      </c>
    </row>
    <row r="26" spans="1:7" x14ac:dyDescent="0.45">
      <c r="A26" s="1">
        <v>5</v>
      </c>
      <c r="B26" s="1" t="s">
        <v>3</v>
      </c>
      <c r="C26">
        <v>281.7679558011049</v>
      </c>
      <c r="D26">
        <f>AVERAGE(C26:C28)</f>
        <v>271.59783827471216</v>
      </c>
      <c r="E26">
        <f>_xlfn.STDEV.S(C26:C28)/SQRT(3)</f>
        <v>5.0933421816885058</v>
      </c>
    </row>
    <row r="27" spans="1:7" x14ac:dyDescent="0.45">
      <c r="A27" s="1">
        <v>5</v>
      </c>
      <c r="B27" s="1" t="s">
        <v>3</v>
      </c>
      <c r="C27">
        <v>267.01570680628276</v>
      </c>
    </row>
    <row r="28" spans="1:7" x14ac:dyDescent="0.45">
      <c r="A28" s="1">
        <v>5</v>
      </c>
      <c r="B28" s="1" t="s">
        <v>3</v>
      </c>
      <c r="C28">
        <v>266.00985221674881</v>
      </c>
    </row>
    <row r="29" spans="1:7" x14ac:dyDescent="0.45">
      <c r="A29" s="1">
        <v>5</v>
      </c>
      <c r="B29" s="1" t="s">
        <v>4</v>
      </c>
      <c r="C29">
        <v>268.29268292682929</v>
      </c>
      <c r="D29">
        <f>AVERAGE(C29:C31)</f>
        <v>241.48621242284557</v>
      </c>
      <c r="E29">
        <f>_xlfn.STDEV.S(C29:C31)/SQRT(3)</f>
        <v>17.894687568927623</v>
      </c>
    </row>
    <row r="30" spans="1:7" x14ac:dyDescent="0.45">
      <c r="A30" s="1">
        <v>5</v>
      </c>
      <c r="B30" s="1" t="s">
        <v>4</v>
      </c>
      <c r="C30">
        <v>248.61878453038671</v>
      </c>
    </row>
    <row r="31" spans="1:7" x14ac:dyDescent="0.45">
      <c r="A31" s="1">
        <v>5</v>
      </c>
      <c r="B31" s="1" t="s">
        <v>4</v>
      </c>
      <c r="C31">
        <v>207.54716981132077</v>
      </c>
    </row>
    <row r="32" spans="1:7" x14ac:dyDescent="0.45">
      <c r="A32">
        <v>6</v>
      </c>
      <c r="B32" t="s">
        <v>3</v>
      </c>
      <c r="C32">
        <v>307.69230769230774</v>
      </c>
      <c r="D32">
        <f>AVERAGE(C32:C34)</f>
        <v>230.28149386845041</v>
      </c>
      <c r="E32">
        <f>_xlfn.STDEV.S(C32:C34)/SQRT(3)</f>
        <v>38.776883395183866</v>
      </c>
    </row>
    <row r="33" spans="1:5" x14ac:dyDescent="0.45">
      <c r="A33">
        <v>6</v>
      </c>
      <c r="B33" t="s">
        <v>3</v>
      </c>
      <c r="C33">
        <v>187.50000000000003</v>
      </c>
    </row>
    <row r="34" spans="1:5" x14ac:dyDescent="0.45">
      <c r="A34">
        <v>6</v>
      </c>
      <c r="B34" t="s">
        <v>3</v>
      </c>
      <c r="C34">
        <v>195.6521739130435</v>
      </c>
    </row>
    <row r="35" spans="1:5" x14ac:dyDescent="0.45">
      <c r="A35">
        <v>6</v>
      </c>
      <c r="B35" t="s">
        <v>4</v>
      </c>
      <c r="C35">
        <v>235.29411764705884</v>
      </c>
      <c r="D35">
        <f>AVERAGE(C35:C37)</f>
        <v>295.40291726446679</v>
      </c>
      <c r="E35">
        <f>_xlfn.STDEV.S(C35:C37)/SQRT(3)</f>
        <v>85.131314602034294</v>
      </c>
    </row>
    <row r="36" spans="1:5" x14ac:dyDescent="0.45">
      <c r="A36">
        <v>6</v>
      </c>
      <c r="B36" t="s">
        <v>4</v>
      </c>
      <c r="C36">
        <v>187.50000000000003</v>
      </c>
    </row>
    <row r="37" spans="1:5" x14ac:dyDescent="0.45">
      <c r="A37">
        <v>6</v>
      </c>
      <c r="B37" t="s">
        <v>4</v>
      </c>
      <c r="C37">
        <v>463.41463414634143</v>
      </c>
    </row>
    <row r="38" spans="1:5" x14ac:dyDescent="0.45">
      <c r="A38" s="1">
        <v>7</v>
      </c>
      <c r="B38" s="1" t="s">
        <v>3</v>
      </c>
      <c r="C38">
        <v>258.06451612903231</v>
      </c>
      <c r="D38">
        <f>AVERAGE(C38:C40)</f>
        <v>267.39206375197864</v>
      </c>
      <c r="E38">
        <f>_xlfn.STDEV.S(C38:C40)/SQRT(3)</f>
        <v>4.812443128011946</v>
      </c>
    </row>
    <row r="39" spans="1:5" x14ac:dyDescent="0.45">
      <c r="A39" s="1">
        <v>7</v>
      </c>
      <c r="B39" s="1" t="s">
        <v>3</v>
      </c>
      <c r="C39">
        <v>274.11167512690361</v>
      </c>
    </row>
    <row r="40" spans="1:5" x14ac:dyDescent="0.45">
      <c r="A40" s="1">
        <v>7</v>
      </c>
      <c r="B40" s="1" t="s">
        <v>3</v>
      </c>
      <c r="C40">
        <v>270</v>
      </c>
    </row>
    <row r="41" spans="1:5" x14ac:dyDescent="0.45">
      <c r="A41" s="1">
        <v>7</v>
      </c>
      <c r="B41" s="1" t="s">
        <v>4</v>
      </c>
      <c r="C41">
        <v>257.57575757575751</v>
      </c>
      <c r="D41">
        <f>AVERAGE(C41:C43)</f>
        <v>222.01611921782924</v>
      </c>
      <c r="E41">
        <f>_xlfn.STDEV.S(C41:C43)/SQRT(3)</f>
        <v>18.055208754637825</v>
      </c>
    </row>
    <row r="42" spans="1:5" x14ac:dyDescent="0.45">
      <c r="A42" s="1">
        <v>7</v>
      </c>
      <c r="B42" s="1" t="s">
        <v>4</v>
      </c>
      <c r="C42">
        <v>209.67741935483872</v>
      </c>
    </row>
    <row r="43" spans="1:5" x14ac:dyDescent="0.45">
      <c r="A43" s="1">
        <v>7</v>
      </c>
      <c r="B43" s="1" t="s">
        <v>4</v>
      </c>
      <c r="C43">
        <v>198.79518072289159</v>
      </c>
    </row>
    <row r="44" spans="1:5" x14ac:dyDescent="0.45">
      <c r="A44">
        <v>8</v>
      </c>
      <c r="B44" t="s">
        <v>3</v>
      </c>
      <c r="C44">
        <v>185.71428571428569</v>
      </c>
      <c r="D44">
        <f>AVERAGE(C44:C46)</f>
        <v>200.79365079365081</v>
      </c>
      <c r="E44">
        <f>_xlfn.STDEV.S(C44:C46)/SQRT(3)</f>
        <v>8.943990213956079</v>
      </c>
    </row>
    <row r="45" spans="1:5" x14ac:dyDescent="0.45">
      <c r="A45">
        <v>8</v>
      </c>
      <c r="B45" t="s">
        <v>3</v>
      </c>
      <c r="C45">
        <v>216.66666666666669</v>
      </c>
    </row>
    <row r="46" spans="1:5" x14ac:dyDescent="0.45">
      <c r="A46">
        <v>8</v>
      </c>
      <c r="B46" t="s">
        <v>3</v>
      </c>
      <c r="C46">
        <v>200</v>
      </c>
    </row>
    <row r="47" spans="1:5" x14ac:dyDescent="0.45">
      <c r="A47">
        <v>8</v>
      </c>
      <c r="B47" t="s">
        <v>4</v>
      </c>
      <c r="C47">
        <v>161.15702479338844</v>
      </c>
      <c r="D47">
        <f>AVERAGE(C47:C49)</f>
        <v>215.39256198347107</v>
      </c>
      <c r="E47">
        <f>_xlfn.STDEV.S(C47:C49)/SQRT(3)</f>
        <v>41.762250063423878</v>
      </c>
    </row>
    <row r="48" spans="1:5" x14ac:dyDescent="0.45">
      <c r="A48">
        <v>8</v>
      </c>
      <c r="B48" t="s">
        <v>4</v>
      </c>
      <c r="C48">
        <v>297.52066115702479</v>
      </c>
    </row>
    <row r="49" spans="1:3" x14ac:dyDescent="0.45">
      <c r="A49">
        <v>8</v>
      </c>
      <c r="B49" t="s">
        <v>4</v>
      </c>
      <c r="C49">
        <v>187.5</v>
      </c>
    </row>
  </sheetData>
  <pageMargins left="0.7" right="0.7" top="0.75" bottom="0.75" header="0.3" footer="0.3"/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80C52C3-45A0-4087-A4DA-565E24E24EAE}">
  <dimension ref="A1:V49"/>
  <sheetViews>
    <sheetView topLeftCell="A10" workbookViewId="0">
      <selection activeCell="G25" sqref="G25"/>
    </sheetView>
  </sheetViews>
  <sheetFormatPr baseColWidth="10" defaultRowHeight="14.25" x14ac:dyDescent="0.45"/>
  <sheetData>
    <row r="1" spans="1:22" x14ac:dyDescent="0.45">
      <c r="A1" t="s">
        <v>0</v>
      </c>
      <c r="B1" t="s">
        <v>1</v>
      </c>
      <c r="C1" t="s">
        <v>2</v>
      </c>
      <c r="D1" t="s">
        <v>5</v>
      </c>
      <c r="E1" t="s">
        <v>6</v>
      </c>
    </row>
    <row r="2" spans="1:22" x14ac:dyDescent="0.45">
      <c r="A2" s="1">
        <v>1</v>
      </c>
      <c r="B2" s="1" t="s">
        <v>3</v>
      </c>
      <c r="C2">
        <v>2510.204081632653</v>
      </c>
      <c r="D2">
        <f>AVERAGE(C2:C4)</f>
        <v>1531.3685150453236</v>
      </c>
      <c r="E2">
        <f>_xlfn.STDEV.S(C2:C4)/SQRT(3)</f>
        <v>558.72215241044262</v>
      </c>
    </row>
    <row r="3" spans="1:22" x14ac:dyDescent="0.45">
      <c r="A3" s="1">
        <v>1</v>
      </c>
      <c r="B3" s="1" t="s">
        <v>3</v>
      </c>
      <c r="C3">
        <v>1508.7719298245613</v>
      </c>
      <c r="I3" t="s">
        <v>3</v>
      </c>
      <c r="J3" t="s">
        <v>7</v>
      </c>
      <c r="K3" t="s">
        <v>4</v>
      </c>
      <c r="L3" t="s">
        <v>7</v>
      </c>
      <c r="O3" t="s">
        <v>30</v>
      </c>
      <c r="P3" t="s">
        <v>19</v>
      </c>
      <c r="Q3" t="s">
        <v>20</v>
      </c>
      <c r="R3" t="s">
        <v>31</v>
      </c>
      <c r="S3" t="s">
        <v>32</v>
      </c>
      <c r="T3" t="s">
        <v>8</v>
      </c>
      <c r="U3" t="s">
        <v>21</v>
      </c>
      <c r="V3" t="s">
        <v>33</v>
      </c>
    </row>
    <row r="4" spans="1:22" x14ac:dyDescent="0.45">
      <c r="A4" s="1">
        <v>1</v>
      </c>
      <c r="B4" s="1" t="s">
        <v>3</v>
      </c>
      <c r="C4">
        <v>575.1295336787565</v>
      </c>
      <c r="H4" t="s">
        <v>10</v>
      </c>
      <c r="I4">
        <f t="shared" ref="I4:J4" si="0">D2</f>
        <v>1531.3685150453236</v>
      </c>
      <c r="J4">
        <f t="shared" si="0"/>
        <v>558.72215241044262</v>
      </c>
      <c r="K4">
        <f t="shared" ref="K4:L4" si="1">D5</f>
        <v>849.09855283369723</v>
      </c>
      <c r="L4">
        <f t="shared" si="1"/>
        <v>290.23895493089526</v>
      </c>
      <c r="O4" t="s">
        <v>22</v>
      </c>
      <c r="P4">
        <v>3</v>
      </c>
      <c r="Q4">
        <v>3</v>
      </c>
      <c r="R4">
        <v>1508.7719298245599</v>
      </c>
      <c r="S4">
        <v>657.89473684210498</v>
      </c>
      <c r="T4">
        <v>0.382733088885226</v>
      </c>
      <c r="U4" t="s">
        <v>34</v>
      </c>
      <c r="V4" t="s">
        <v>11</v>
      </c>
    </row>
    <row r="5" spans="1:22" x14ac:dyDescent="0.45">
      <c r="A5" s="1">
        <v>1</v>
      </c>
      <c r="B5" s="1" t="s">
        <v>4</v>
      </c>
      <c r="C5">
        <v>470.0460829493087</v>
      </c>
      <c r="D5">
        <f>AVERAGE(C5:C7)</f>
        <v>849.09855283369723</v>
      </c>
      <c r="E5">
        <f>_xlfn.STDEV.S(C5:C7)/SQRT(3)</f>
        <v>290.23895493089526</v>
      </c>
      <c r="H5" t="s">
        <v>12</v>
      </c>
      <c r="I5">
        <f t="shared" ref="I5:J5" si="2">D8</f>
        <v>1203.3098805461957</v>
      </c>
      <c r="J5">
        <f t="shared" si="2"/>
        <v>179.18794517576794</v>
      </c>
      <c r="K5">
        <f t="shared" ref="K5:L5" si="3">D11</f>
        <v>483.71411306645177</v>
      </c>
      <c r="L5">
        <f t="shared" si="3"/>
        <v>66.101871705099512</v>
      </c>
      <c r="O5" t="s">
        <v>23</v>
      </c>
      <c r="P5">
        <v>3</v>
      </c>
      <c r="Q5">
        <v>3</v>
      </c>
      <c r="R5">
        <v>1081.63265306122</v>
      </c>
      <c r="S5">
        <v>516.39344262295106</v>
      </c>
      <c r="T5">
        <v>8.0855598370052295E-2</v>
      </c>
      <c r="U5" t="s">
        <v>34</v>
      </c>
      <c r="V5" t="s">
        <v>11</v>
      </c>
    </row>
    <row r="6" spans="1:22" x14ac:dyDescent="0.45">
      <c r="A6" s="1">
        <v>1</v>
      </c>
      <c r="B6" s="1" t="s">
        <v>4</v>
      </c>
      <c r="C6">
        <v>1419.3548387096776</v>
      </c>
      <c r="H6" t="s">
        <v>13</v>
      </c>
      <c r="I6">
        <f t="shared" ref="I6:J6" si="4">D14</f>
        <v>970.99146676214332</v>
      </c>
      <c r="J6">
        <f t="shared" si="4"/>
        <v>45.879016207768409</v>
      </c>
      <c r="K6">
        <f t="shared" ref="K6:L6" si="5">D17</f>
        <v>745.04750353749751</v>
      </c>
      <c r="L6">
        <f t="shared" si="5"/>
        <v>78.840921931933906</v>
      </c>
      <c r="O6" t="s">
        <v>24</v>
      </c>
      <c r="P6">
        <v>3</v>
      </c>
      <c r="Q6">
        <v>3</v>
      </c>
      <c r="R6">
        <v>979.16666666666697</v>
      </c>
      <c r="S6">
        <v>705.88235294117703</v>
      </c>
      <c r="T6">
        <v>0.190430263825524</v>
      </c>
      <c r="U6" t="s">
        <v>34</v>
      </c>
      <c r="V6" t="s">
        <v>11</v>
      </c>
    </row>
    <row r="7" spans="1:22" x14ac:dyDescent="0.45">
      <c r="A7" s="1">
        <v>1</v>
      </c>
      <c r="B7" s="1" t="s">
        <v>4</v>
      </c>
      <c r="C7">
        <v>657.8947368421052</v>
      </c>
      <c r="H7" t="s">
        <v>14</v>
      </c>
      <c r="I7">
        <f t="shared" ref="I7:J7" si="6">D20</f>
        <v>883.66336633663366</v>
      </c>
      <c r="J7">
        <f t="shared" si="6"/>
        <v>95.770010505708186</v>
      </c>
      <c r="K7">
        <f t="shared" ref="K7:L7" si="7">D23</f>
        <v>442.52663622526637</v>
      </c>
      <c r="L7">
        <f t="shared" si="7"/>
        <v>79.903806476269921</v>
      </c>
      <c r="O7" t="s">
        <v>25</v>
      </c>
      <c r="P7">
        <v>3</v>
      </c>
      <c r="Q7">
        <v>3</v>
      </c>
      <c r="R7">
        <v>831.68316831683205</v>
      </c>
      <c r="S7">
        <v>510</v>
      </c>
      <c r="T7">
        <v>8.0855598370052295E-2</v>
      </c>
      <c r="U7" t="s">
        <v>34</v>
      </c>
      <c r="V7" t="s">
        <v>11</v>
      </c>
    </row>
    <row r="8" spans="1:22" x14ac:dyDescent="0.45">
      <c r="A8">
        <v>2</v>
      </c>
      <c r="B8" t="s">
        <v>3</v>
      </c>
      <c r="C8">
        <v>972.22222222222206</v>
      </c>
      <c r="D8">
        <f>AVERAGE(C8:C10)</f>
        <v>1203.3098805461957</v>
      </c>
      <c r="E8">
        <f>_xlfn.STDEV.S(C8:C10)/SQRT(3)</f>
        <v>179.18794517576794</v>
      </c>
      <c r="H8" t="s">
        <v>15</v>
      </c>
      <c r="I8">
        <f t="shared" ref="I8:J8" si="8">D26</f>
        <v>923.48252251060956</v>
      </c>
      <c r="J8">
        <f t="shared" si="8"/>
        <v>398.53736008469468</v>
      </c>
      <c r="K8">
        <f t="shared" ref="K8:L8" si="9">D29</f>
        <v>504.57608401790259</v>
      </c>
      <c r="L8">
        <f t="shared" si="9"/>
        <v>150.7336424049501</v>
      </c>
      <c r="O8" t="s">
        <v>26</v>
      </c>
      <c r="P8">
        <v>3</v>
      </c>
      <c r="Q8">
        <v>3</v>
      </c>
      <c r="R8">
        <v>629.83425414364604</v>
      </c>
      <c r="S8">
        <v>377.35849056603797</v>
      </c>
      <c r="T8">
        <v>0.382733088885226</v>
      </c>
      <c r="U8" t="s">
        <v>34</v>
      </c>
      <c r="V8" t="s">
        <v>11</v>
      </c>
    </row>
    <row r="9" spans="1:22" x14ac:dyDescent="0.45">
      <c r="A9">
        <v>2</v>
      </c>
      <c r="B9" t="s">
        <v>3</v>
      </c>
      <c r="C9">
        <v>1081.6326530612246</v>
      </c>
      <c r="H9" t="s">
        <v>16</v>
      </c>
      <c r="I9">
        <f t="shared" ref="I9:J9" si="10">D32</f>
        <v>1058.7095875139355</v>
      </c>
      <c r="J9">
        <f t="shared" si="10"/>
        <v>312.42264354030766</v>
      </c>
      <c r="K9">
        <f t="shared" ref="K9:L9" si="11">D35</f>
        <v>587.53402862082919</v>
      </c>
      <c r="L9">
        <f t="shared" si="11"/>
        <v>97.523269022458337</v>
      </c>
      <c r="O9" t="s">
        <v>27</v>
      </c>
      <c r="P9">
        <v>3</v>
      </c>
      <c r="Q9">
        <v>3</v>
      </c>
      <c r="R9">
        <v>1341.3461538461499</v>
      </c>
      <c r="S9">
        <v>588.23529411764696</v>
      </c>
      <c r="T9">
        <v>0.382733088885226</v>
      </c>
      <c r="U9" t="s">
        <v>34</v>
      </c>
      <c r="V9" t="s">
        <v>11</v>
      </c>
    </row>
    <row r="10" spans="1:22" x14ac:dyDescent="0.45">
      <c r="A10">
        <v>2</v>
      </c>
      <c r="B10" t="s">
        <v>3</v>
      </c>
      <c r="C10">
        <v>1556.0747663551401</v>
      </c>
      <c r="H10" t="s">
        <v>17</v>
      </c>
      <c r="I10">
        <f t="shared" ref="I10:J10" si="12">D38</f>
        <v>872.67670978658373</v>
      </c>
      <c r="J10">
        <f t="shared" si="12"/>
        <v>409.45219252887296</v>
      </c>
      <c r="K10">
        <f t="shared" ref="K10:L10" si="13">D41</f>
        <v>723.08981772642858</v>
      </c>
      <c r="L10">
        <f t="shared" si="13"/>
        <v>134.66335241873054</v>
      </c>
      <c r="O10" t="s">
        <v>28</v>
      </c>
      <c r="P10">
        <v>3</v>
      </c>
      <c r="Q10">
        <v>3</v>
      </c>
      <c r="R10">
        <v>612.90322580645204</v>
      </c>
      <c r="S10">
        <v>693.54838709677404</v>
      </c>
      <c r="T10">
        <v>1</v>
      </c>
      <c r="U10" t="s">
        <v>34</v>
      </c>
      <c r="V10" t="s">
        <v>11</v>
      </c>
    </row>
    <row r="11" spans="1:22" x14ac:dyDescent="0.45">
      <c r="A11">
        <v>2</v>
      </c>
      <c r="B11" t="s">
        <v>4</v>
      </c>
      <c r="C11">
        <v>578.31325301204822</v>
      </c>
      <c r="D11">
        <f>AVERAGE(C11:C13)</f>
        <v>483.71411306645177</v>
      </c>
      <c r="E11">
        <f>_xlfn.STDEV.S(C11:C13)/SQRT(3)</f>
        <v>66.101871705099512</v>
      </c>
      <c r="H11" t="s">
        <v>18</v>
      </c>
      <c r="I11">
        <f t="shared" ref="I11:J11" si="14">D44</f>
        <v>1088.0952380952381</v>
      </c>
      <c r="J11">
        <f t="shared" si="14"/>
        <v>440.39896362904057</v>
      </c>
      <c r="K11">
        <f t="shared" ref="K11:L11" si="15">D47</f>
        <v>497.93388429752071</v>
      </c>
      <c r="L11">
        <f t="shared" si="15"/>
        <v>112.61752128026143</v>
      </c>
      <c r="O11" t="s">
        <v>29</v>
      </c>
      <c r="P11">
        <v>3</v>
      </c>
      <c r="Q11">
        <v>3</v>
      </c>
      <c r="R11">
        <v>814.28571428571399</v>
      </c>
      <c r="S11">
        <v>607.43801652892603</v>
      </c>
      <c r="T11">
        <v>0.382733088885226</v>
      </c>
      <c r="U11" t="s">
        <v>34</v>
      </c>
      <c r="V11" t="s">
        <v>11</v>
      </c>
    </row>
    <row r="12" spans="1:22" x14ac:dyDescent="0.45">
      <c r="A12">
        <v>2</v>
      </c>
      <c r="B12" t="s">
        <v>4</v>
      </c>
      <c r="C12">
        <v>356.43564356435638</v>
      </c>
    </row>
    <row r="13" spans="1:22" x14ac:dyDescent="0.45">
      <c r="A13">
        <v>2</v>
      </c>
      <c r="B13" t="s">
        <v>4</v>
      </c>
      <c r="C13">
        <v>516.39344262295072</v>
      </c>
    </row>
    <row r="14" spans="1:22" x14ac:dyDescent="0.45">
      <c r="A14" s="1">
        <v>3</v>
      </c>
      <c r="B14" s="1" t="s">
        <v>3</v>
      </c>
      <c r="C14">
        <v>1046.0526315789471</v>
      </c>
      <c r="D14">
        <f>AVERAGE(C14:C16)</f>
        <v>970.99146676214332</v>
      </c>
      <c r="E14">
        <f>_xlfn.STDEV.S(C14:C16)/SQRT(3)</f>
        <v>45.879016207768409</v>
      </c>
    </row>
    <row r="15" spans="1:22" x14ac:dyDescent="0.45">
      <c r="A15" s="1">
        <v>3</v>
      </c>
      <c r="B15" s="1" t="s">
        <v>3</v>
      </c>
      <c r="C15">
        <v>887.75510204081638</v>
      </c>
    </row>
    <row r="16" spans="1:22" x14ac:dyDescent="0.45">
      <c r="A16" s="1">
        <v>3</v>
      </c>
      <c r="B16" s="1" t="s">
        <v>3</v>
      </c>
      <c r="C16">
        <v>979.16666666666674</v>
      </c>
    </row>
    <row r="17" spans="1:5" x14ac:dyDescent="0.45">
      <c r="A17" s="1">
        <v>3</v>
      </c>
      <c r="B17" s="1" t="s">
        <v>4</v>
      </c>
      <c r="C17">
        <v>896.90721649484533</v>
      </c>
      <c r="D17">
        <f>AVERAGE(C17:C19)</f>
        <v>745.04750353749751</v>
      </c>
      <c r="E17">
        <f>_xlfn.STDEV.S(C17:C19)/SQRT(3)</f>
        <v>78.840921931933906</v>
      </c>
    </row>
    <row r="18" spans="1:5" x14ac:dyDescent="0.45">
      <c r="A18" s="1">
        <v>3</v>
      </c>
      <c r="B18" s="1" t="s">
        <v>4</v>
      </c>
      <c r="C18">
        <v>705.88235294117658</v>
      </c>
    </row>
    <row r="19" spans="1:5" x14ac:dyDescent="0.45">
      <c r="A19" s="1">
        <v>3</v>
      </c>
      <c r="B19" s="1" t="s">
        <v>4</v>
      </c>
      <c r="C19">
        <v>632.35294117647049</v>
      </c>
    </row>
    <row r="20" spans="1:5" x14ac:dyDescent="0.45">
      <c r="A20">
        <v>4</v>
      </c>
      <c r="B20" t="s">
        <v>3</v>
      </c>
      <c r="C20">
        <v>750.00000000000011</v>
      </c>
      <c r="D20">
        <f>AVERAGE(C20:C22)</f>
        <v>883.66336633663366</v>
      </c>
      <c r="E20">
        <f>_xlfn.STDEV.S(C20:C22)/SQRT(3)</f>
        <v>95.770010505708186</v>
      </c>
    </row>
    <row r="21" spans="1:5" x14ac:dyDescent="0.45">
      <c r="A21">
        <v>4</v>
      </c>
      <c r="B21" t="s">
        <v>3</v>
      </c>
      <c r="C21">
        <v>1069.3069306930693</v>
      </c>
    </row>
    <row r="22" spans="1:5" x14ac:dyDescent="0.45">
      <c r="A22">
        <v>4</v>
      </c>
      <c r="B22" t="s">
        <v>3</v>
      </c>
      <c r="C22">
        <v>831.6831683168316</v>
      </c>
    </row>
    <row r="23" spans="1:5" x14ac:dyDescent="0.45">
      <c r="A23">
        <v>4</v>
      </c>
      <c r="B23" t="s">
        <v>4</v>
      </c>
      <c r="C23">
        <v>510</v>
      </c>
      <c r="D23">
        <f>AVERAGE(C23:C25)</f>
        <v>442.52663622526637</v>
      </c>
      <c r="E23">
        <f>_xlfn.STDEV.S(C23:C25)/SQRT(3)</f>
        <v>79.903806476269921</v>
      </c>
    </row>
    <row r="24" spans="1:5" x14ac:dyDescent="0.45">
      <c r="A24">
        <v>4</v>
      </c>
      <c r="B24" t="s">
        <v>4</v>
      </c>
      <c r="C24">
        <v>283.33333333333331</v>
      </c>
    </row>
    <row r="25" spans="1:5" x14ac:dyDescent="0.45">
      <c r="A25">
        <v>4</v>
      </c>
      <c r="B25" t="s">
        <v>4</v>
      </c>
      <c r="C25">
        <v>534.2465753424658</v>
      </c>
    </row>
    <row r="26" spans="1:5" x14ac:dyDescent="0.45">
      <c r="A26" s="1">
        <v>5</v>
      </c>
      <c r="B26" s="1" t="s">
        <v>3</v>
      </c>
      <c r="C26">
        <v>629.83425414364638</v>
      </c>
      <c r="D26">
        <f>AVERAGE(C26:C28)</f>
        <v>923.48252251060956</v>
      </c>
      <c r="E26">
        <f>_xlfn.STDEV.S(C26:C28)/SQRT(3)</f>
        <v>398.53736008469468</v>
      </c>
    </row>
    <row r="27" spans="1:5" x14ac:dyDescent="0.45">
      <c r="A27" s="1">
        <v>5</v>
      </c>
      <c r="B27" s="1" t="s">
        <v>3</v>
      </c>
      <c r="C27">
        <v>1712.0418848167537</v>
      </c>
    </row>
    <row r="28" spans="1:5" x14ac:dyDescent="0.45">
      <c r="A28" s="1">
        <v>5</v>
      </c>
      <c r="B28" s="1" t="s">
        <v>3</v>
      </c>
      <c r="C28">
        <v>428.57142857142856</v>
      </c>
    </row>
    <row r="29" spans="1:5" x14ac:dyDescent="0.45">
      <c r="A29" s="1">
        <v>5</v>
      </c>
      <c r="B29" s="1" t="s">
        <v>4</v>
      </c>
      <c r="C29">
        <v>804.87804878048769</v>
      </c>
      <c r="D29">
        <f>AVERAGE(C29:C31)</f>
        <v>504.57608401790259</v>
      </c>
      <c r="E29">
        <f>_xlfn.STDEV.S(C29:C31)/SQRT(3)</f>
        <v>150.7336424049501</v>
      </c>
    </row>
    <row r="30" spans="1:5" x14ac:dyDescent="0.45">
      <c r="A30" s="1">
        <v>5</v>
      </c>
      <c r="B30" s="1" t="s">
        <v>4</v>
      </c>
      <c r="C30">
        <v>331.49171270718227</v>
      </c>
    </row>
    <row r="31" spans="1:5" x14ac:dyDescent="0.45">
      <c r="A31" s="1">
        <v>5</v>
      </c>
      <c r="B31" s="1" t="s">
        <v>4</v>
      </c>
      <c r="C31">
        <v>377.35849056603774</v>
      </c>
    </row>
    <row r="32" spans="1:5" x14ac:dyDescent="0.45">
      <c r="A32">
        <v>6</v>
      </c>
      <c r="B32" t="s">
        <v>3</v>
      </c>
      <c r="C32">
        <v>1400</v>
      </c>
      <c r="D32">
        <f>AVERAGE(C32:C34)</f>
        <v>1058.7095875139355</v>
      </c>
      <c r="E32">
        <f>_xlfn.STDEV.S(C32:C34)/SQRT(3)</f>
        <v>312.42264354030766</v>
      </c>
    </row>
    <row r="33" spans="1:5" x14ac:dyDescent="0.45">
      <c r="A33">
        <v>6</v>
      </c>
      <c r="B33" t="s">
        <v>3</v>
      </c>
      <c r="C33">
        <v>1341.346153846154</v>
      </c>
    </row>
    <row r="34" spans="1:5" x14ac:dyDescent="0.45">
      <c r="A34">
        <v>6</v>
      </c>
      <c r="B34" t="s">
        <v>3</v>
      </c>
      <c r="C34">
        <v>434.78260869565219</v>
      </c>
    </row>
    <row r="35" spans="1:5" x14ac:dyDescent="0.45">
      <c r="A35">
        <v>6</v>
      </c>
      <c r="B35" t="s">
        <v>4</v>
      </c>
      <c r="C35">
        <v>588.23529411764707</v>
      </c>
      <c r="D35">
        <f>AVERAGE(C35:C37)</f>
        <v>587.53402862082919</v>
      </c>
      <c r="E35">
        <f>_xlfn.STDEV.S(C35:C37)/SQRT(3)</f>
        <v>97.523269022458337</v>
      </c>
    </row>
    <row r="36" spans="1:5" x14ac:dyDescent="0.45">
      <c r="A36">
        <v>6</v>
      </c>
      <c r="B36" t="s">
        <v>4</v>
      </c>
      <c r="C36">
        <v>418.26923076923083</v>
      </c>
    </row>
    <row r="37" spans="1:5" x14ac:dyDescent="0.45">
      <c r="A37">
        <v>6</v>
      </c>
      <c r="B37" t="s">
        <v>4</v>
      </c>
      <c r="C37">
        <v>756.09756097560978</v>
      </c>
    </row>
    <row r="38" spans="1:5" x14ac:dyDescent="0.45">
      <c r="A38" s="1">
        <v>7</v>
      </c>
      <c r="B38" s="1" t="s">
        <v>3</v>
      </c>
      <c r="C38">
        <v>612.9032258064517</v>
      </c>
      <c r="D38">
        <f>AVERAGE(C38:C40)</f>
        <v>872.67670978658373</v>
      </c>
      <c r="E38">
        <f>_xlfn.STDEV.S(C38:C40)/SQRT(3)</f>
        <v>409.45219252887296</v>
      </c>
    </row>
    <row r="39" spans="1:5" x14ac:dyDescent="0.45">
      <c r="A39" s="1">
        <v>7</v>
      </c>
      <c r="B39" s="1" t="s">
        <v>3</v>
      </c>
      <c r="C39">
        <v>1675.1269035532996</v>
      </c>
    </row>
    <row r="40" spans="1:5" x14ac:dyDescent="0.45">
      <c r="A40" s="1">
        <v>7</v>
      </c>
      <c r="B40" s="1" t="s">
        <v>3</v>
      </c>
      <c r="C40">
        <v>330.00000000000006</v>
      </c>
    </row>
    <row r="41" spans="1:5" x14ac:dyDescent="0.45">
      <c r="A41" s="1">
        <v>7</v>
      </c>
      <c r="B41" s="1" t="s">
        <v>4</v>
      </c>
      <c r="C41">
        <v>969.69696969696963</v>
      </c>
      <c r="D41">
        <f>AVERAGE(C41:C43)</f>
        <v>723.08981772642858</v>
      </c>
      <c r="E41">
        <f>_xlfn.STDEV.S(C41:C43)/SQRT(3)</f>
        <v>134.66335241873054</v>
      </c>
    </row>
    <row r="42" spans="1:5" x14ac:dyDescent="0.45">
      <c r="A42" s="1">
        <v>7</v>
      </c>
      <c r="B42" s="1" t="s">
        <v>4</v>
      </c>
      <c r="C42">
        <v>693.54838709677415</v>
      </c>
    </row>
    <row r="43" spans="1:5" x14ac:dyDescent="0.45">
      <c r="A43" s="1">
        <v>7</v>
      </c>
      <c r="B43" s="1" t="s">
        <v>4</v>
      </c>
      <c r="C43">
        <v>506.02409638554207</v>
      </c>
    </row>
    <row r="44" spans="1:5" x14ac:dyDescent="0.45">
      <c r="A44">
        <v>8</v>
      </c>
      <c r="B44" t="s">
        <v>3</v>
      </c>
      <c r="C44">
        <v>814.28571428571422</v>
      </c>
      <c r="D44">
        <f>AVERAGE(C44:C46)</f>
        <v>1088.0952380952381</v>
      </c>
      <c r="E44">
        <f>_xlfn.STDEV.S(C44:C46)/SQRT(3)</f>
        <v>440.39896362904057</v>
      </c>
    </row>
    <row r="45" spans="1:5" x14ac:dyDescent="0.45">
      <c r="A45">
        <v>8</v>
      </c>
      <c r="B45" t="s">
        <v>3</v>
      </c>
      <c r="C45">
        <v>1950</v>
      </c>
    </row>
    <row r="46" spans="1:5" x14ac:dyDescent="0.45">
      <c r="A46">
        <v>8</v>
      </c>
      <c r="B46" t="s">
        <v>3</v>
      </c>
      <c r="C46">
        <v>500.00000000000006</v>
      </c>
    </row>
    <row r="47" spans="1:5" x14ac:dyDescent="0.45">
      <c r="A47">
        <v>8</v>
      </c>
      <c r="B47" t="s">
        <v>4</v>
      </c>
      <c r="C47">
        <v>272.72727272727275</v>
      </c>
      <c r="D47">
        <f>AVERAGE(C47:C49)</f>
        <v>497.93388429752071</v>
      </c>
      <c r="E47">
        <f>_xlfn.STDEV.S(C47:C49)/SQRT(3)</f>
        <v>112.61752128026143</v>
      </c>
    </row>
    <row r="48" spans="1:5" x14ac:dyDescent="0.45">
      <c r="A48">
        <v>8</v>
      </c>
      <c r="B48" t="s">
        <v>4</v>
      </c>
      <c r="C48">
        <v>607.43801652892569</v>
      </c>
    </row>
    <row r="49" spans="1:3" x14ac:dyDescent="0.45">
      <c r="A49">
        <v>8</v>
      </c>
      <c r="B49" t="s">
        <v>4</v>
      </c>
      <c r="C49">
        <v>613.63636363636363</v>
      </c>
    </row>
  </sheetData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5</vt:i4>
      </vt:variant>
    </vt:vector>
  </HeadingPairs>
  <TitlesOfParts>
    <vt:vector size="5" baseType="lpstr">
      <vt:lpstr>ABA</vt:lpstr>
      <vt:lpstr>SA</vt:lpstr>
      <vt:lpstr>OPDA</vt:lpstr>
      <vt:lpstr>IAA</vt:lpstr>
      <vt:lpstr>I3CA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Marta Orero Bayo</dc:creator>
  <cp:lastModifiedBy>Marta Orero Bayo</cp:lastModifiedBy>
  <dcterms:created xsi:type="dcterms:W3CDTF">2025-03-12T11:24:48Z</dcterms:created>
  <dcterms:modified xsi:type="dcterms:W3CDTF">2026-03-05T16:27:59Z</dcterms:modified>
</cp:coreProperties>
</file>